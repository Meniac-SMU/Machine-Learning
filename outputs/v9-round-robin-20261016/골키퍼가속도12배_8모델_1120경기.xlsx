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3e26b44e6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순위" sheetId="1" r:id="Ra8cc17acefe84dfb"/>
    <x:sheet xmlns:r="http://schemas.openxmlformats.org/officeDocument/2006/relationships" name="대진별결과" sheetId="2" r:id="R6453313ef3624557"/>
    <x:sheet xmlns:r="http://schemas.openxmlformats.org/officeDocument/2006/relationships" name="경기별지표" sheetId="3" r:id="R77e473ebcbfa47aa"/>
    <x:sheet xmlns:r="http://schemas.openxmlformats.org/officeDocument/2006/relationships" name="명령별빈도" sheetId="4" r:id="Rb70a9cf626ea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"/>
    <x:numFmt numFmtId="203" formatCode="0.000"/>
  </x:numFmts>
  <x:fonts count="5">
    <x:font>
      <x:sz val="11"/>
      <x:name val="Carlito"/>
    </x:font>
    <x:font>
      <x:sz val="10"/>
      <x:color rgb="FF172B40"/>
      <x:name val="Arial"/>
    </x:font>
    <x:font>
      <x:b/>
      <x:sz val="14"/>
      <x:color rgb="FF172B40"/>
      <x:name val="Arial"/>
    </x:font>
    <x:font>
      <x:i/>
      <x:sz val="10"/>
      <x:color rgb="FF58677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EFF3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9B6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AE302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5bfd5915a4dc0" /><Relationship Type="http://schemas.openxmlformats.org/officeDocument/2006/relationships/theme" Target="/xl/theme/theme1.xml" Id="R469ddb324d3046d1" /><Relationship Type="http://schemas.openxmlformats.org/officeDocument/2006/relationships/sharedStrings" Target="/xl/sharedStrings.xml" Id="R0cb1afe1c4174438" /><Relationship Type="http://schemas.openxmlformats.org/officeDocument/2006/relationships/worksheet" Target="/xl/worksheets/sheet1.xml" Id="Ra8cc17acefe84dfb" /><Relationship Type="http://schemas.openxmlformats.org/officeDocument/2006/relationships/worksheet" Target="/xl/worksheets/sheet2.xml" Id="R6453313ef3624557" /><Relationship Type="http://schemas.openxmlformats.org/officeDocument/2006/relationships/worksheet" Target="/xl/worksheets/sheet3.xml" Id="R77e473ebcbfa47aa" /><Relationship Type="http://schemas.openxmlformats.org/officeDocument/2006/relationships/worksheet" Target="/xl/worksheets/sheet4.xml" Id="Rb70a9cf626ea44d9" /></Relationships>
</file>

<file path=xl/tables/table1.xml><?xml version="1.0" encoding="utf-8"?>
<x:table xmlns:x="http://schemas.openxmlformats.org/spreadsheetml/2006/main" id="3" name="PairMetrics" displayName="PairMetrics" ref="A5:R61" headerRowCount="1" totalsRowCount="0" totalsRowShown="0">
  <x:autoFilter ref="A5:R61"/>
  <x:tableColumns count="18">
    <x:tableColumn id="1" name="대진 ID"/>
    <x:tableColumn id="2" name="모델"/>
    <x:tableColumn id="3" name="상대 모델"/>
    <x:tableColumn id="4" name="경기"/>
    <x:tableColumn id="5" name="승"/>
    <x:tableColumn id="6" name="무"/>
    <x:tableColumn id="7" name="패"/>
    <x:tableColumn id="8" name="득점"/>
    <x:tableColumn id="9" name="실점"/>
    <x:tableColumn id="10" name="득실차"/>
    <x:tableColumn id="11" name="승점"/>
    <x:tableColumn id="12" name="슈팅 수"/>
    <x:tableColumn id="13" name="슛 득점"/>
    <x:tableColumn id="14" name="슈팅 성공률"/>
    <x:tableColumn id="15" name="패스 수"/>
    <x:tableColumn id="16" name="성공 패스"/>
    <x:tableColumn id="17" name="패스 성공률"/>
    <x:tableColumn id="18" name="명령 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atchMetrics" displayName="MatchMetrics" ref="A5:P2245" headerRowCount="1" totalsRowCount="0" totalsRowShown="0">
  <x:autoFilter ref="A5:P2245"/>
  <x:tableColumns count="16">
    <x:tableColumn id="1" name="경기 ID"/>
    <x:tableColumn id="2" name="대진 ID"/>
    <x:tableColumn id="3" name="시드"/>
    <x:tableColumn id="4" name="진영"/>
    <x:tableColumn id="5" name="모델"/>
    <x:tableColumn id="6" name="상대 모델"/>
    <x:tableColumn id="7" name="승무패"/>
    <x:tableColumn id="8" name="득점"/>
    <x:tableColumn id="9" name="실점"/>
    <x:tableColumn id="10" name="슈팅 수"/>
    <x:tableColumn id="11" name="슛 득점"/>
    <x:tableColumn id="12" name="슈팅 성공률"/>
    <x:tableColumn id="13" name="패스 수"/>
    <x:tableColumn id="14" name="성공 패스"/>
    <x:tableColumn id="15" name="패스 성공률"/>
    <x:tableColumn id="16" name="감독 명령 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mmandMetrics" displayName="CommandMetrics" ref="A5:V2245" headerRowCount="1" totalsRowCount="0" totalsRowShown="0">
  <x:autoFilter ref="A5:V2245"/>
  <x:tableColumns count="22">
    <x:tableColumn id="1" name="경기 ID"/>
    <x:tableColumn id="2" name="진영"/>
    <x:tableColumn id="3" name="모델"/>
    <x:tableColumn id="4" name="상대 모델"/>
    <x:tableColumn id="5" name="총 명령 수"/>
    <x:tableColumn id="6" name="T1 속공 전개&#10;횟수"/>
    <x:tableColumn id="7" name="T2 전방 롱패스&#10;횟수"/>
    <x:tableColumn id="8" name="T3 와이드 탈압박&#10;횟수"/>
    <x:tableColumn id="9" name="T4 측면 컷백&#10;횟수"/>
    <x:tableColumn id="10" name="T5 진로 차단 수비&#10;횟수"/>
    <x:tableColumn id="11" name="T6 수신자 봉쇄&#10;횟수"/>
    <x:tableColumn id="12" name="T7 전체 공 회수&#10;횟수"/>
    <x:tableColumn id="13" name="T8 골문 앞 집결&#10;횟수"/>
    <x:tableColumn id="14" name="T1 속공 전개&#10;빈도 (%)"/>
    <x:tableColumn id="15" name="T2 전방 롱패스&#10;빈도 (%)"/>
    <x:tableColumn id="16" name="T3 와이드 탈압박&#10;빈도 (%)"/>
    <x:tableColumn id="17" name="T4 측면 컷백&#10;빈도 (%)"/>
    <x:tableColumn id="18" name="T5 진로 차단 수비&#10;빈도 (%)"/>
    <x:tableColumn id="19" name="T6 수신자 봉쇄&#10;빈도 (%)"/>
    <x:tableColumn id="20" name="T7 전체 공 회수&#10;빈도 (%)"/>
    <x:tableColumn id="21" name="T8 골문 앞 집결&#10;빈도 (%)"/>
    <x:tableColumn id="22" name="총 명령 / 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3c249b39d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606a504d7640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07e6b434764509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9" customHeight="1">
      <x:c r="A2" s="3" t="str">
        <x:v>GK 가속도 1.2배 — 8개 모델 전수 평가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5" t="str">
        <x:v>1,120경기 · 모델당 280경기 · 조합당 40경기 · 300초 · 20개 시드 × 양 진영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8" customHeight="1">
      <x:c r="A5" s="10" t="str">
        <x:v>순위</x:v>
      </x:c>
      <x:c r="B5" s="11" t="str">
        <x:v>모델</x:v>
      </x:c>
      <x:c r="C5" s="11" t="str">
        <x:v>경기</x:v>
      </x:c>
      <x:c r="D5" s="11" t="str">
        <x:v>승</x:v>
      </x:c>
      <x:c r="E5" s="11" t="str">
        <x:v>무</x:v>
      </x:c>
      <x:c r="F5" s="11" t="str">
        <x:v>패</x:v>
      </x:c>
      <x:c r="G5" s="11" t="str">
        <x:v>승률</x:v>
      </x:c>
      <x:c r="H5" s="11" t="str">
        <x:v>승점</x:v>
      </x:c>
      <x:c r="I5" s="11" t="str">
        <x:v>득점</x:v>
      </x:c>
      <x:c r="J5" s="11" t="str">
        <x:v>실점</x:v>
      </x:c>
      <x:c r="K5" s="11" t="str">
        <x:v>득실차</x:v>
      </x:c>
      <x:c r="L5" s="12" t="str">
        <x:v>경기당 승점</x:v>
      </x:c>
    </x:row>
    <x:row r="6" ht="22" customHeight="1">
      <x:c r="A6" s="18" t="n">
        <x:f>1+COUNTIF($H$6:$H$13,"&gt;"&amp;H6)+COUNTIFS($H$6:$H$13,H6,$K$6:$K$13,"&gt;"&amp;K6)+COUNTIFS($H$6:$H$13,H6,$K$6:$K$13,K6,$I$6:$I$13,"&gt;"&amp;I6)</x:f>
        <x:v>1</x:v>
      </x:c>
      <x:c r="B6" s="18" t="str">
        <x:v>240만</x:v>
      </x:c>
      <x:c r="C6" s="19" t="n">
        <x:f>COUNTIFS('경기별지표'!$E$6:$E$2245,B6)</x:f>
        <x:v>280</x:v>
      </x:c>
      <x:c r="D6" s="19" t="n">
        <x:f>COUNTIFS('경기별지표'!$E$6:$E$2245,B6,'경기별지표'!$G$6:$G$2245,"승")</x:f>
        <x:v>167</x:v>
      </x:c>
      <x:c r="E6" s="19" t="n">
        <x:f>COUNTIFS('경기별지표'!$E$6:$E$2245,B6,'경기별지표'!$G$6:$G$2245,"무")</x:f>
        <x:v>40</x:v>
      </x:c>
      <x:c r="F6" s="19" t="n">
        <x:f>COUNTIFS('경기별지표'!$E$6:$E$2245,B6,'경기별지표'!$G$6:$G$2245,"패")</x:f>
        <x:v>73</x:v>
      </x:c>
      <x:c r="G6" s="20" t="n">
        <x:f>D6/C6</x:f>
        <x:v>0.5964285714285714</x:v>
      </x:c>
      <x:c r="H6" s="19" t="n">
        <x:f>3*D6+E6</x:f>
        <x:v>541</x:v>
      </x:c>
      <x:c r="I6" s="19" t="n">
        <x:f>SUMIFS('경기별지표'!$H$6:$H$2245,'경기별지표'!$E$6:$E$2245,B6)</x:f>
        <x:v>1007</x:v>
      </x:c>
      <x:c r="J6" s="19" t="n">
        <x:f>SUMIFS('경기별지표'!$I$6:$I$2245,'경기별지표'!$E$6:$E$2245,B6)</x:f>
        <x:v>569</x:v>
      </x:c>
      <x:c r="K6" s="19" t="n">
        <x:f>I6-J6</x:f>
        <x:v>438</x:v>
      </x:c>
      <x:c r="L6" s="21" t="n">
        <x:f>H6/C6</x:f>
        <x:v>1.9321428571428572</x:v>
      </x:c>
    </x:row>
    <x:row r="7" ht="22" customHeight="1">
      <x:c r="A7" s="2" t="n">
        <x:f>1+COUNTIF($H$6:$H$13,"&gt;"&amp;H7)+COUNTIFS($H$6:$H$13,H7,$K$6:$K$13,"&gt;"&amp;K7)+COUNTIFS($H$6:$H$13,H7,$K$6:$K$13,K7,$I$6:$I$13,"&gt;"&amp;I7)</x:f>
        <x:v>2</x:v>
      </x:c>
      <x:c r="B7" s="2" t="str">
        <x:v>160만</x:v>
      </x:c>
      <x:c r="C7" s="14" t="n">
        <x:f>COUNTIFS('경기별지표'!$E$6:$E$2245,B7)</x:f>
        <x:v>280</x:v>
      </x:c>
      <x:c r="D7" s="14" t="n">
        <x:f>COUNTIFS('경기별지표'!$E$6:$E$2245,B7,'경기별지표'!$G$6:$G$2245,"승")</x:f>
        <x:v>164</x:v>
      </x:c>
      <x:c r="E7" s="14" t="n">
        <x:f>COUNTIFS('경기별지표'!$E$6:$E$2245,B7,'경기별지표'!$G$6:$G$2245,"무")</x:f>
        <x:v>41</x:v>
      </x:c>
      <x:c r="F7" s="14" t="n">
        <x:f>COUNTIFS('경기별지표'!$E$6:$E$2245,B7,'경기별지표'!$G$6:$G$2245,"패")</x:f>
        <x:v>75</x:v>
      </x:c>
      <x:c r="G7" s="15" t="n">
        <x:f>D7/C7</x:f>
        <x:v>0.5857142857142857</x:v>
      </x:c>
      <x:c r="H7" s="14" t="n">
        <x:f>3*D7+E7</x:f>
        <x:v>533</x:v>
      </x:c>
      <x:c r="I7" s="14" t="n">
        <x:f>SUMIFS('경기별지표'!$H$6:$H$2245,'경기별지표'!$E$6:$E$2245,B7)</x:f>
        <x:v>957</x:v>
      </x:c>
      <x:c r="J7" s="14" t="n">
        <x:f>SUMIFS('경기별지표'!$I$6:$I$2245,'경기별지표'!$E$6:$E$2245,B7)</x:f>
        <x:v>609</x:v>
      </x:c>
      <x:c r="K7" s="14" t="n">
        <x:f>I7-J7</x:f>
        <x:v>348</x:v>
      </x:c>
      <x:c r="L7" s="17" t="n">
        <x:f>H7/C7</x:f>
        <x:v>1.9035714285714285</x:v>
      </x:c>
    </x:row>
    <x:row r="8" ht="22" customHeight="1">
      <x:c r="A8" s="18" t="n">
        <x:f>1+COUNTIF($H$6:$H$13,"&gt;"&amp;H8)+COUNTIFS($H$6:$H$13,H8,$K$6:$K$13,"&gt;"&amp;K8)+COUNTIFS($H$6:$H$13,H8,$K$6:$K$13,K8,$I$6:$I$13,"&gt;"&amp;I8)</x:f>
        <x:v>3</x:v>
      </x:c>
      <x:c r="B8" s="18" t="str">
        <x:v>120만</x:v>
      </x:c>
      <x:c r="C8" s="19" t="n">
        <x:f>COUNTIFS('경기별지표'!$E$6:$E$2245,B8)</x:f>
        <x:v>280</x:v>
      </x:c>
      <x:c r="D8" s="19" t="n">
        <x:f>COUNTIFS('경기별지표'!$E$6:$E$2245,B8,'경기별지표'!$G$6:$G$2245,"승")</x:f>
        <x:v>154</x:v>
      </x:c>
      <x:c r="E8" s="19" t="n">
        <x:f>COUNTIFS('경기별지표'!$E$6:$E$2245,B8,'경기별지표'!$G$6:$G$2245,"무")</x:f>
        <x:v>49</x:v>
      </x:c>
      <x:c r="F8" s="19" t="n">
        <x:f>COUNTIFS('경기별지표'!$E$6:$E$2245,B8,'경기별지표'!$G$6:$G$2245,"패")</x:f>
        <x:v>77</x:v>
      </x:c>
      <x:c r="G8" s="20" t="n">
        <x:f>D8/C8</x:f>
        <x:v>0.55</x:v>
      </x:c>
      <x:c r="H8" s="19" t="n">
        <x:f>3*D8+E8</x:f>
        <x:v>511</x:v>
      </x:c>
      <x:c r="I8" s="19" t="n">
        <x:f>SUMIFS('경기별지표'!$H$6:$H$2245,'경기별지표'!$E$6:$E$2245,B8)</x:f>
        <x:v>960</x:v>
      </x:c>
      <x:c r="J8" s="19" t="n">
        <x:f>SUMIFS('경기별지표'!$I$6:$I$2245,'경기별지표'!$E$6:$E$2245,B8)</x:f>
        <x:v>649</x:v>
      </x:c>
      <x:c r="K8" s="19" t="n">
        <x:f>I8-J8</x:f>
        <x:v>311</x:v>
      </x:c>
      <x:c r="L8" s="21" t="n">
        <x:f>H8/C8</x:f>
        <x:v>1.825</x:v>
      </x:c>
    </x:row>
    <x:row r="9" ht="22" customHeight="1">
      <x:c r="A9" s="2" t="n">
        <x:f>1+COUNTIF($H$6:$H$13,"&gt;"&amp;H9)+COUNTIFS($H$6:$H$13,H9,$K$6:$K$13,"&gt;"&amp;K9)+COUNTIFS($H$6:$H$13,H9,$K$6:$K$13,K9,$I$6:$I$13,"&gt;"&amp;I9)</x:f>
        <x:v>4</x:v>
      </x:c>
      <x:c r="B9" s="2" t="str">
        <x:v>200만</x:v>
      </x:c>
      <x:c r="C9" s="14" t="n">
        <x:f>COUNTIFS('경기별지표'!$E$6:$E$2245,B9)</x:f>
        <x:v>280</x:v>
      </x:c>
      <x:c r="D9" s="14" t="n">
        <x:f>COUNTIFS('경기별지표'!$E$6:$E$2245,B9,'경기별지표'!$G$6:$G$2245,"승")</x:f>
        <x:v>139</x:v>
      </x:c>
      <x:c r="E9" s="14" t="n">
        <x:f>COUNTIFS('경기별지표'!$E$6:$E$2245,B9,'경기별지표'!$G$6:$G$2245,"무")</x:f>
        <x:v>46</x:v>
      </x:c>
      <x:c r="F9" s="14" t="n">
        <x:f>COUNTIFS('경기별지표'!$E$6:$E$2245,B9,'경기별지표'!$G$6:$G$2245,"패")</x:f>
        <x:v>95</x:v>
      </x:c>
      <x:c r="G9" s="15" t="n">
        <x:f>D9/C9</x:f>
        <x:v>0.49642857142857144</x:v>
      </x:c>
      <x:c r="H9" s="14" t="n">
        <x:f>3*D9+E9</x:f>
        <x:v>463</x:v>
      </x:c>
      <x:c r="I9" s="14" t="n">
        <x:f>SUMIFS('경기별지표'!$H$6:$H$2245,'경기별지표'!$E$6:$E$2245,B9)</x:f>
        <x:v>891</x:v>
      </x:c>
      <x:c r="J9" s="14" t="n">
        <x:f>SUMIFS('경기별지표'!$I$6:$I$2245,'경기별지표'!$E$6:$E$2245,B9)</x:f>
        <x:v>680</x:v>
      </x:c>
      <x:c r="K9" s="14" t="n">
        <x:f>I9-J9</x:f>
        <x:v>211</x:v>
      </x:c>
      <x:c r="L9" s="17" t="n">
        <x:f>H9/C9</x:f>
        <x:v>1.6535714285714285</x:v>
      </x:c>
    </x:row>
    <x:row r="10" ht="22" customHeight="1">
      <x:c r="A10" s="18" t="n">
        <x:f>1+COUNTIF($H$6:$H$13,"&gt;"&amp;H10)+COUNTIFS($H$6:$H$13,H10,$K$6:$K$13,"&gt;"&amp;K10)+COUNTIFS($H$6:$H$13,H10,$K$6:$K$13,K10,$I$6:$I$13,"&gt;"&amp;I10)</x:f>
        <x:v>5</x:v>
      </x:c>
      <x:c r="B10" s="18" t="str">
        <x:v>80만</x:v>
      </x:c>
      <x:c r="C10" s="19" t="n">
        <x:f>COUNTIFS('경기별지표'!$E$6:$E$2245,B10)</x:f>
        <x:v>280</x:v>
      </x:c>
      <x:c r="D10" s="19" t="n">
        <x:f>COUNTIFS('경기별지표'!$E$6:$E$2245,B10,'경기별지표'!$G$6:$G$2245,"승")</x:f>
        <x:v>139</x:v>
      </x:c>
      <x:c r="E10" s="19" t="n">
        <x:f>COUNTIFS('경기별지표'!$E$6:$E$2245,B10,'경기별지표'!$G$6:$G$2245,"무")</x:f>
        <x:v>30</x:v>
      </x:c>
      <x:c r="F10" s="19" t="n">
        <x:f>COUNTIFS('경기별지표'!$E$6:$E$2245,B10,'경기별지표'!$G$6:$G$2245,"패")</x:f>
        <x:v>111</x:v>
      </x:c>
      <x:c r="G10" s="20" t="n">
        <x:f>D10/C10</x:f>
        <x:v>0.49642857142857144</x:v>
      </x:c>
      <x:c r="H10" s="19" t="n">
        <x:f>3*D10+E10</x:f>
        <x:v>447</x:v>
      </x:c>
      <x:c r="I10" s="19" t="n">
        <x:f>SUMIFS('경기별지표'!$H$6:$H$2245,'경기별지표'!$E$6:$E$2245,B10)</x:f>
        <x:v>933</x:v>
      </x:c>
      <x:c r="J10" s="19" t="n">
        <x:f>SUMIFS('경기별지표'!$I$6:$I$2245,'경기별지표'!$E$6:$E$2245,B10)</x:f>
        <x:v>763</x:v>
      </x:c>
      <x:c r="K10" s="19" t="n">
        <x:f>I10-J10</x:f>
        <x:v>170</x:v>
      </x:c>
      <x:c r="L10" s="21" t="n">
        <x:f>H10/C10</x:f>
        <x:v>1.5964285714285715</x:v>
      </x:c>
    </x:row>
    <x:row r="11" ht="22" customHeight="1">
      <x:c r="A11" s="2" t="n">
        <x:f>1+COUNTIF($H$6:$H$13,"&gt;"&amp;H11)+COUNTIFS($H$6:$H$13,H11,$K$6:$K$13,"&gt;"&amp;K11)+COUNTIFS($H$6:$H$13,H11,$K$6:$K$13,K11,$I$6:$I$13,"&gt;"&amp;I11)</x:f>
        <x:v>6</x:v>
      </x:c>
      <x:c r="B11" s="2" t="str">
        <x:v>40만</x:v>
      </x:c>
      <x:c r="C11" s="14" t="n">
        <x:f>COUNTIFS('경기별지표'!$E$6:$E$2245,B11)</x:f>
        <x:v>280</x:v>
      </x:c>
      <x:c r="D11" s="14" t="n">
        <x:f>COUNTIFS('경기별지표'!$E$6:$E$2245,B11,'경기별지표'!$G$6:$G$2245,"승")</x:f>
        <x:v>118</x:v>
      </x:c>
      <x:c r="E11" s="14" t="n">
        <x:f>COUNTIFS('경기별지표'!$E$6:$E$2245,B11,'경기별지표'!$G$6:$G$2245,"무")</x:f>
        <x:v>28</x:v>
      </x:c>
      <x:c r="F11" s="14" t="n">
        <x:f>COUNTIFS('경기별지표'!$E$6:$E$2245,B11,'경기별지표'!$G$6:$G$2245,"패")</x:f>
        <x:v>134</x:v>
      </x:c>
      <x:c r="G11" s="15" t="n">
        <x:f>D11/C11</x:f>
        <x:v>0.42142857142857143</x:v>
      </x:c>
      <x:c r="H11" s="14" t="n">
        <x:f>3*D11+E11</x:f>
        <x:v>382</x:v>
      </x:c>
      <x:c r="I11" s="14" t="n">
        <x:f>SUMIFS('경기별지표'!$H$6:$H$2245,'경기별지표'!$E$6:$E$2245,B11)</x:f>
        <x:v>852</x:v>
      </x:c>
      <x:c r="J11" s="14" t="n">
        <x:f>SUMIFS('경기별지표'!$I$6:$I$2245,'경기별지표'!$E$6:$E$2245,B11)</x:f>
        <x:v>854</x:v>
      </x:c>
      <x:c r="K11" s="14" t="n">
        <x:f>I11-J11</x:f>
        <x:v>-2</x:v>
      </x:c>
      <x:c r="L11" s="17" t="n">
        <x:f>H11/C11</x:f>
        <x:v>1.3642857142857143</x:v>
      </x:c>
    </x:row>
    <x:row r="12" ht="22" customHeight="1">
      <x:c r="A12" s="18" t="n">
        <x:f>1+COUNTIF($H$6:$H$13,"&gt;"&amp;H12)+COUNTIFS($H$6:$H$13,H12,$K$6:$K$13,"&gt;"&amp;K12)+COUNTIFS($H$6:$H$13,H12,$K$6:$K$13,K12,$I$6:$I$13,"&gt;"&amp;I12)</x:f>
        <x:v>7</x:v>
      </x:c>
      <x:c r="B12" s="18" t="str">
        <x:v>규칙형</x:v>
      </x:c>
      <x:c r="C12" s="19" t="n">
        <x:f>COUNTIFS('경기별지표'!$E$6:$E$2245,B12)</x:f>
        <x:v>280</x:v>
      </x:c>
      <x:c r="D12" s="19" t="n">
        <x:f>COUNTIFS('경기별지표'!$E$6:$E$2245,B12,'경기별지표'!$G$6:$G$2245,"승")</x:f>
        <x:v>88</x:v>
      </x:c>
      <x:c r="E12" s="19" t="n">
        <x:f>COUNTIFS('경기별지표'!$E$6:$E$2245,B12,'경기별지표'!$G$6:$G$2245,"무")</x:f>
        <x:v>35</x:v>
      </x:c>
      <x:c r="F12" s="19" t="n">
        <x:f>COUNTIFS('경기별지표'!$E$6:$E$2245,B12,'경기별지표'!$G$6:$G$2245,"패")</x:f>
        <x:v>157</x:v>
      </x:c>
      <x:c r="G12" s="20" t="n">
        <x:f>D12/C12</x:f>
        <x:v>0.3142857142857143</x:v>
      </x:c>
      <x:c r="H12" s="19" t="n">
        <x:f>3*D12+E12</x:f>
        <x:v>299</x:v>
      </x:c>
      <x:c r="I12" s="19" t="n">
        <x:f>SUMIFS('경기별지표'!$H$6:$H$2245,'경기별지표'!$E$6:$E$2245,B12)</x:f>
        <x:v>796</x:v>
      </x:c>
      <x:c r="J12" s="19" t="n">
        <x:f>SUMIFS('경기별지표'!$I$6:$I$2245,'경기별지표'!$E$6:$E$2245,B12)</x:f>
        <x:v>1015</x:v>
      </x:c>
      <x:c r="K12" s="19" t="n">
        <x:f>I12-J12</x:f>
        <x:v>-219</x:v>
      </x:c>
      <x:c r="L12" s="21" t="n">
        <x:f>H12/C12</x:f>
        <x:v>1.0678571428571428</x:v>
      </x:c>
    </x:row>
    <x:row r="13" ht="22" customHeight="1">
      <x:c r="A13" s="2" t="n">
        <x:f>1+COUNTIF($H$6:$H$13,"&gt;"&amp;H13)+COUNTIFS($H$6:$H$13,H13,$K$6:$K$13,"&gt;"&amp;K13)+COUNTIFS($H$6:$H$13,H13,$K$6:$K$13,K13,$I$6:$I$13,"&gt;"&amp;I13)</x:f>
        <x:v>8</x:v>
      </x:c>
      <x:c r="B13" s="2" t="str">
        <x:v>0만</x:v>
      </x:c>
      <x:c r="C13" s="14" t="n">
        <x:f>COUNTIFS('경기별지표'!$E$6:$E$2245,B13)</x:f>
        <x:v>280</x:v>
      </x:c>
      <x:c r="D13" s="14" t="n">
        <x:f>COUNTIFS('경기별지표'!$E$6:$E$2245,B13,'경기별지표'!$G$6:$G$2245,"승")</x:f>
        <x:v>13</x:v>
      </x:c>
      <x:c r="E13" s="14" t="n">
        <x:f>COUNTIFS('경기별지표'!$E$6:$E$2245,B13,'경기별지표'!$G$6:$G$2245,"무")</x:f>
        <x:v>7</x:v>
      </x:c>
      <x:c r="F13" s="14" t="n">
        <x:f>COUNTIFS('경기별지표'!$E$6:$E$2245,B13,'경기별지표'!$G$6:$G$2245,"패")</x:f>
        <x:v>260</x:v>
      </x:c>
      <x:c r="G13" s="15" t="n">
        <x:f>D13/C13</x:f>
        <x:v>0.04642857142857143</x:v>
      </x:c>
      <x:c r="H13" s="14" t="n">
        <x:f>3*D13+E13</x:f>
        <x:v>46</x:v>
      </x:c>
      <x:c r="I13" s="14" t="n">
        <x:f>SUMIFS('경기별지표'!$H$6:$H$2245,'경기별지표'!$E$6:$E$2245,B13)</x:f>
        <x:v>402</x:v>
      </x:c>
      <x:c r="J13" s="14" t="n">
        <x:f>SUMIFS('경기별지표'!$I$6:$I$2245,'경기별지표'!$E$6:$E$2245,B13)</x:f>
        <x:v>1659</x:v>
      </x:c>
      <x:c r="K13" s="14" t="n">
        <x:f>I13-J13</x:f>
        <x:v>-1257</x:v>
      </x:c>
      <x:c r="L13" s="17" t="n">
        <x:f>H13/C13</x:f>
        <x:v>0.16428571428571428</x:v>
      </x:c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 t="str">
        <x:v>승 3점 · 무 1점 · 패 0점 / 승점 → 득실차 → 득점 / 모두 같으면 공동 순위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38" customHeight="1">
      <x:c r="A18" s="10" t="str">
        <x:v>순위</x:v>
      </x:c>
      <x:c r="B18" s="11" t="str">
        <x:v>모델</x:v>
      </x:c>
      <x:c r="C18" s="11" t="str">
        <x:v>슈팅 수</x:v>
      </x:c>
      <x:c r="D18" s="11" t="str">
        <x:v>슛 득점</x:v>
      </x:c>
      <x:c r="E18" s="11" t="str">
        <x:v>슈팅 성공률</x:v>
      </x:c>
      <x:c r="F18" s="11" t="str">
        <x:v>패스 수</x:v>
      </x:c>
      <x:c r="G18" s="11" t="str">
        <x:v>성공 패스</x:v>
      </x:c>
      <x:c r="H18" s="11" t="str">
        <x:v>패스 성공률</x:v>
      </x:c>
      <x:c r="I18" s="11" t="str">
        <x:v>명령 수</x:v>
      </x:c>
      <x:c r="J18" s="11" t="str">
        <x:v>명령 / 경기</x:v>
      </x:c>
      <x:c r="K18" s="12" t="str">
        <x:v>명령 / 분</x:v>
      </x:c>
      <x:c r="L18" s="2"/>
    </x:row>
    <x:row r="19" ht="22" customHeight="1">
      <x:c r="A19" s="18" t="n">
        <x:f>A6</x:f>
        <x:v>1</x:v>
      </x:c>
      <x:c r="B19" s="18" t="str">
        <x:f>B6</x:f>
        <x:v>240만</x:v>
      </x:c>
      <x:c r="C19" s="19" t="n">
        <x:f>SUMIFS('경기별지표'!$J$6:$J$2245,'경기별지표'!$E$6:$E$2245,B19)</x:f>
        <x:v>2544</x:v>
      </x:c>
      <x:c r="D19" s="19" t="n">
        <x:f>SUMIFS('경기별지표'!$K$6:$K$2245,'경기별지표'!$E$6:$E$2245,B19)</x:f>
        <x:v>998</x:v>
      </x:c>
      <x:c r="E19" s="20" t="n">
        <x:f>IF(C19=0,"해당 없음",D19/C19)</x:f>
        <x:v>0.3922955974842767</x:v>
      </x:c>
      <x:c r="F19" s="19" t="n">
        <x:f>SUMIFS('경기별지표'!$M$6:$M$2245,'경기별지표'!$E$6:$E$2245,B19)</x:f>
        <x:v>2459</x:v>
      </x:c>
      <x:c r="G19" s="19" t="n">
        <x:f>SUMIFS('경기별지표'!$N$6:$N$2245,'경기별지표'!$E$6:$E$2245,B19)</x:f>
        <x:v>1733</x:v>
      </x:c>
      <x:c r="H19" s="20" t="n">
        <x:f>IF(F19=0,"해당 없음",G19/F19)</x:f>
        <x:v>0.7047580317202115</x:v>
      </x:c>
      <x:c r="I19" s="19" t="n">
        <x:f>SUMIFS('경기별지표'!$P$6:$P$2245,'경기별지표'!$E$6:$E$2245,B19)</x:f>
        <x:v>28941</x:v>
      </x:c>
      <x:c r="J19" s="22" t="n">
        <x:f>I19/C6</x:f>
        <x:v>103.36071428571428</x:v>
      </x:c>
      <x:c r="K19" s="22" t="n">
        <x:f>J19/5</x:f>
        <x:v>20.672142857142855</x:v>
      </x:c>
      <x:c r="L19" s="2"/>
    </x:row>
    <x:row r="20" ht="22" customHeight="1">
      <x:c r="A20" s="2" t="n">
        <x:f>A7</x:f>
        <x:v>2</x:v>
      </x:c>
      <x:c r="B20" s="2" t="str">
        <x:f>B7</x:f>
        <x:v>160만</x:v>
      </x:c>
      <x:c r="C20" s="14" t="n">
        <x:f>SUMIFS('경기별지표'!$J$6:$J$2245,'경기별지표'!$E$6:$E$2245,B20)</x:f>
        <x:v>2551</x:v>
      </x:c>
      <x:c r="D20" s="14" t="n">
        <x:f>SUMIFS('경기별지표'!$K$6:$K$2245,'경기별지표'!$E$6:$E$2245,B20)</x:f>
        <x:v>950</x:v>
      </x:c>
      <x:c r="E20" s="15" t="n">
        <x:f>IF(C20=0,"해당 없음",D20/C20)</x:f>
        <x:v>0.3724029792238338</x:v>
      </x:c>
      <x:c r="F20" s="14" t="n">
        <x:f>SUMIFS('경기별지표'!$M$6:$M$2245,'경기별지표'!$E$6:$E$2245,B20)</x:f>
        <x:v>2555</x:v>
      </x:c>
      <x:c r="G20" s="14" t="n">
        <x:f>SUMIFS('경기별지표'!$N$6:$N$2245,'경기별지표'!$E$6:$E$2245,B20)</x:f>
        <x:v>1888</x:v>
      </x:c>
      <x:c r="H20" s="15" t="n">
        <x:f>IF(F20=0,"해당 없음",G20/F20)</x:f>
        <x:v>0.7389432485322897</x:v>
      </x:c>
      <x:c r="I20" s="14" t="n">
        <x:f>SUMIFS('경기별지표'!$P$6:$P$2245,'경기별지표'!$E$6:$E$2245,B20)</x:f>
        <x:v>28884</x:v>
      </x:c>
      <x:c r="J20" s="16" t="n">
        <x:f>I20/C7</x:f>
        <x:v>103.15714285714286</x:v>
      </x:c>
      <x:c r="K20" s="16" t="n">
        <x:f>J20/5</x:f>
        <x:v>20.63142857142857</x:v>
      </x:c>
      <x:c r="L20" s="2"/>
    </x:row>
    <x:row r="21" ht="22" customHeight="1">
      <x:c r="A21" s="18" t="n">
        <x:f>A8</x:f>
        <x:v>3</x:v>
      </x:c>
      <x:c r="B21" s="18" t="str">
        <x:f>B8</x:f>
        <x:v>120만</x:v>
      </x:c>
      <x:c r="C21" s="19" t="n">
        <x:f>SUMIFS('경기별지표'!$J$6:$J$2245,'경기별지표'!$E$6:$E$2245,B21)</x:f>
        <x:v>2553</x:v>
      </x:c>
      <x:c r="D21" s="19" t="n">
        <x:f>SUMIFS('경기별지표'!$K$6:$K$2245,'경기별지표'!$E$6:$E$2245,B21)</x:f>
        <x:v>957</x:v>
      </x:c>
      <x:c r="E21" s="20" t="n">
        <x:f>IF(C21=0,"해당 없음",D21/C21)</x:f>
        <x:v>0.37485311398354876</x:v>
      </x:c>
      <x:c r="F21" s="19" t="n">
        <x:f>SUMIFS('경기별지표'!$M$6:$M$2245,'경기별지표'!$E$6:$E$2245,B21)</x:f>
        <x:v>2245</x:v>
      </x:c>
      <x:c r="G21" s="19" t="n">
        <x:f>SUMIFS('경기별지표'!$N$6:$N$2245,'경기별지표'!$E$6:$E$2245,B21)</x:f>
        <x:v>1697</x:v>
      </x:c>
      <x:c r="H21" s="20" t="n">
        <x:f>IF(F21=0,"해당 없음",G21/F21)</x:f>
        <x:v>0.755902004454343</x:v>
      </x:c>
      <x:c r="I21" s="19" t="n">
        <x:f>SUMIFS('경기별지표'!$P$6:$P$2245,'경기별지표'!$E$6:$E$2245,B21)</x:f>
        <x:v>28934</x:v>
      </x:c>
      <x:c r="J21" s="22" t="n">
        <x:f>I21/C8</x:f>
        <x:v>103.33571428571429</x:v>
      </x:c>
      <x:c r="K21" s="22" t="n">
        <x:f>J21/5</x:f>
        <x:v>20.667142857142856</x:v>
      </x:c>
      <x:c r="L21" s="2"/>
    </x:row>
    <x:row r="22" ht="22" customHeight="1">
      <x:c r="A22" s="2" t="n">
        <x:f>A9</x:f>
        <x:v>4</x:v>
      </x:c>
      <x:c r="B22" s="2" t="str">
        <x:f>B9</x:f>
        <x:v>200만</x:v>
      </x:c>
      <x:c r="C22" s="14" t="n">
        <x:f>SUMIFS('경기별지표'!$J$6:$J$2245,'경기별지표'!$E$6:$E$2245,B22)</x:f>
        <x:v>2511</x:v>
      </x:c>
      <x:c r="D22" s="14" t="n">
        <x:f>SUMIFS('경기별지표'!$K$6:$K$2245,'경기별지표'!$E$6:$E$2245,B22)</x:f>
        <x:v>886</x:v>
      </x:c>
      <x:c r="E22" s="15" t="n">
        <x:f>IF(C22=0,"해당 없음",D22/C22)</x:f>
        <x:v>0.352847471127041</x:v>
      </x:c>
      <x:c r="F22" s="14" t="n">
        <x:f>SUMIFS('경기별지표'!$M$6:$M$2245,'경기별지표'!$E$6:$E$2245,B22)</x:f>
        <x:v>2356</x:v>
      </x:c>
      <x:c r="G22" s="14" t="n">
        <x:f>SUMIFS('경기별지표'!$N$6:$N$2245,'경기별지표'!$E$6:$E$2245,B22)</x:f>
        <x:v>1722</x:v>
      </x:c>
      <x:c r="H22" s="15" t="n">
        <x:f>IF(F22=0,"해당 없음",G22/F22)</x:f>
        <x:v>0.730899830220713</x:v>
      </x:c>
      <x:c r="I22" s="14" t="n">
        <x:f>SUMIFS('경기별지표'!$P$6:$P$2245,'경기별지표'!$E$6:$E$2245,B22)</x:f>
        <x:v>28954</x:v>
      </x:c>
      <x:c r="J22" s="16" t="n">
        <x:f>I22/C9</x:f>
        <x:v>103.40714285714286</x:v>
      </x:c>
      <x:c r="K22" s="16" t="n">
        <x:f>J22/5</x:f>
        <x:v>20.681428571428572</x:v>
      </x:c>
      <x:c r="L22" s="2"/>
    </x:row>
    <x:row r="23" ht="22" customHeight="1">
      <x:c r="A23" s="18" t="n">
        <x:f>A10</x:f>
        <x:v>5</x:v>
      </x:c>
      <x:c r="B23" s="18" t="str">
        <x:f>B10</x:f>
        <x:v>80만</x:v>
      </x:c>
      <x:c r="C23" s="19" t="n">
        <x:f>SUMIFS('경기별지표'!$J$6:$J$2245,'경기별지표'!$E$6:$E$2245,B23)</x:f>
        <x:v>2556</x:v>
      </x:c>
      <x:c r="D23" s="19" t="n">
        <x:f>SUMIFS('경기별지표'!$K$6:$K$2245,'경기별지표'!$E$6:$E$2245,B23)</x:f>
        <x:v>921</x:v>
      </x:c>
      <x:c r="E23" s="20" t="n">
        <x:f>IF(C23=0,"해당 없음",D23/C23)</x:f>
        <x:v>0.36032863849765256</x:v>
      </x:c>
      <x:c r="F23" s="19" t="n">
        <x:f>SUMIFS('경기별지표'!$M$6:$M$2245,'경기별지표'!$E$6:$E$2245,B23)</x:f>
        <x:v>2399</x:v>
      </x:c>
      <x:c r="G23" s="19" t="n">
        <x:f>SUMIFS('경기별지표'!$N$6:$N$2245,'경기별지표'!$E$6:$E$2245,B23)</x:f>
        <x:v>1822</x:v>
      </x:c>
      <x:c r="H23" s="20" t="n">
        <x:f>IF(F23=0,"해당 없음",G23/F23)</x:f>
        <x:v>0.7594831179658191</x:v>
      </x:c>
      <x:c r="I23" s="19" t="n">
        <x:f>SUMIFS('경기별지표'!$P$6:$P$2245,'경기별지표'!$E$6:$E$2245,B23)</x:f>
        <x:v>28964</x:v>
      </x:c>
      <x:c r="J23" s="22" t="n">
        <x:f>I23/C10</x:f>
        <x:v>103.44285714285714</x:v>
      </x:c>
      <x:c r="K23" s="22" t="n">
        <x:f>J23/5</x:f>
        <x:v>20.68857142857143</x:v>
      </x:c>
      <x:c r="L23" s="2"/>
    </x:row>
    <x:row r="24" ht="22" customHeight="1">
      <x:c r="A24" s="2" t="n">
        <x:f>A11</x:f>
        <x:v>6</x:v>
      </x:c>
      <x:c r="B24" s="2" t="str">
        <x:f>B11</x:f>
        <x:v>40만</x:v>
      </x:c>
      <x:c r="C24" s="14" t="n">
        <x:f>SUMIFS('경기별지표'!$J$6:$J$2245,'경기별지표'!$E$6:$E$2245,B24)</x:f>
        <x:v>2583</x:v>
      </x:c>
      <x:c r="D24" s="14" t="n">
        <x:f>SUMIFS('경기별지표'!$K$6:$K$2245,'경기별지표'!$E$6:$E$2245,B24)</x:f>
        <x:v>847</x:v>
      </x:c>
      <x:c r="E24" s="15" t="n">
        <x:f>IF(C24=0,"해당 없음",D24/C24)</x:f>
        <x:v>0.32791327913279134</x:v>
      </x:c>
      <x:c r="F24" s="14" t="n">
        <x:f>SUMIFS('경기별지표'!$M$6:$M$2245,'경기별지표'!$E$6:$E$2245,B24)</x:f>
        <x:v>2151</x:v>
      </x:c>
      <x:c r="G24" s="14" t="n">
        <x:f>SUMIFS('경기별지표'!$N$6:$N$2245,'경기별지표'!$E$6:$E$2245,B24)</x:f>
        <x:v>1591</x:v>
      </x:c>
      <x:c r="H24" s="15" t="n">
        <x:f>IF(F24=0,"해당 없음",G24/F24)</x:f>
        <x:v>0.7396559739655973</x:v>
      </x:c>
      <x:c r="I24" s="14" t="n">
        <x:f>SUMIFS('경기별지표'!$P$6:$P$2245,'경기별지표'!$E$6:$E$2245,B24)</x:f>
        <x:v>28962</x:v>
      </x:c>
      <x:c r="J24" s="16" t="n">
        <x:f>I24/C11</x:f>
        <x:v>103.43571428571428</x:v>
      </x:c>
      <x:c r="K24" s="16" t="n">
        <x:f>J24/5</x:f>
        <x:v>20.687142857142856</x:v>
      </x:c>
      <x:c r="L24" s="2"/>
    </x:row>
    <x:row r="25" ht="22" customHeight="1">
      <x:c r="A25" s="18" t="n">
        <x:f>A12</x:f>
        <x:v>7</x:v>
      </x:c>
      <x:c r="B25" s="18" t="str">
        <x:f>B12</x:f>
        <x:v>규칙형</x:v>
      </x:c>
      <x:c r="C25" s="19" t="n">
        <x:f>SUMIFS('경기별지표'!$J$6:$J$2245,'경기별지표'!$E$6:$E$2245,B25)</x:f>
        <x:v>2532</x:v>
      </x:c>
      <x:c r="D25" s="19" t="n">
        <x:f>SUMIFS('경기별지표'!$K$6:$K$2245,'경기별지표'!$E$6:$E$2245,B25)</x:f>
        <x:v>786</x:v>
      </x:c>
      <x:c r="E25" s="20" t="n">
        <x:f>IF(C25=0,"해당 없음",D25/C25)</x:f>
        <x:v>0.3104265402843602</x:v>
      </x:c>
      <x:c r="F25" s="19" t="n">
        <x:f>SUMIFS('경기별지표'!$M$6:$M$2245,'경기별지표'!$E$6:$E$2245,B25)</x:f>
        <x:v>2877</x:v>
      </x:c>
      <x:c r="G25" s="19" t="n">
        <x:f>SUMIFS('경기별지표'!$N$6:$N$2245,'경기별지표'!$E$6:$E$2245,B25)</x:f>
        <x:v>2274</x:v>
      </x:c>
      <x:c r="H25" s="20" t="n">
        <x:f>IF(F25=0,"해당 없음",G25/F25)</x:f>
        <x:v>0.7904066736183525</x:v>
      </x:c>
      <x:c r="I25" s="19" t="n">
        <x:f>SUMIFS('경기별지표'!$P$6:$P$2245,'경기별지표'!$E$6:$E$2245,B25)</x:f>
        <x:v>29019</x:v>
      </x:c>
      <x:c r="J25" s="22" t="n">
        <x:f>I25/C12</x:f>
        <x:v>103.63928571428572</x:v>
      </x:c>
      <x:c r="K25" s="22" t="n">
        <x:f>J25/5</x:f>
        <x:v>20.727857142857143</x:v>
      </x:c>
      <x:c r="L25" s="2"/>
    </x:row>
    <x:row r="26" ht="22" customHeight="1">
      <x:c r="A26" s="2" t="n">
        <x:f>A13</x:f>
        <x:v>8</x:v>
      </x:c>
      <x:c r="B26" s="2" t="str">
        <x:f>B13</x:f>
        <x:v>0만</x:v>
      </x:c>
      <x:c r="C26" s="14" t="n">
        <x:f>SUMIFS('경기별지표'!$J$6:$J$2245,'경기별지표'!$E$6:$E$2245,B26)</x:f>
        <x:v>1381</x:v>
      </x:c>
      <x:c r="D26" s="14" t="n">
        <x:f>SUMIFS('경기별지표'!$K$6:$K$2245,'경기별지표'!$E$6:$E$2245,B26)</x:f>
        <x:v>397</x:v>
      </x:c>
      <x:c r="E26" s="15" t="n">
        <x:f>IF(C26=0,"해당 없음",D26/C26)</x:f>
        <x:v>0.28747284576393917</x:v>
      </x:c>
      <x:c r="F26" s="14" t="n">
        <x:f>SUMIFS('경기별지표'!$M$6:$M$2245,'경기별지표'!$E$6:$E$2245,B26)</x:f>
        <x:v>1961</x:v>
      </x:c>
      <x:c r="G26" s="14" t="n">
        <x:f>SUMIFS('경기별지표'!$N$6:$N$2245,'경기별지표'!$E$6:$E$2245,B26)</x:f>
        <x:v>1538</x:v>
      </x:c>
      <x:c r="H26" s="15" t="n">
        <x:f>IF(F26=0,"해당 없음",G26/F26)</x:f>
        <x:v>0.7842937276899541</x:v>
      </x:c>
      <x:c r="I26" s="14" t="n">
        <x:f>SUMIFS('경기별지표'!$P$6:$P$2245,'경기별지표'!$E$6:$E$2245,B26)</x:f>
        <x:v>29164</x:v>
      </x:c>
      <x:c r="J26" s="16" t="n">
        <x:f>I26/C13</x:f>
        <x:v>104.15714285714286</x:v>
      </x:c>
      <x:c r="K26" s="16" t="n">
        <x:f>J26/5</x:f>
        <x:v>20.83142857142857</x:v>
      </x:c>
      <x:c r="L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3" t="str">
        <x:v>전체 1위: 240만 / 2위: 160만 / 승점차 8점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3" t="str">
        <x:v>1위의 2위 상대 직접 대결: 18승 8무 14패 / 득실 111:91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3" t="str">
        <x:v>1·2위 승점차의 시드 묶음 부트스트랩 95% 구간: -60.0 ~ 76.0점 (10,000회 재표집)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3" t="str">
        <x:v>표본의 엄격한 승점 1위 재현 비율: 56.91% — 절대 우위의 확률이 아님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3" t="str">
        <x:v>슈팅 성공률 = 슛에 귀속된 득점 / 실제 슈팅 수. 전체 득점에는 다른 원인의 득점이 포함될 수 있음.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3" t="str">
        <x:v>패스 성공률 = 지정 수신자의 수신 성공 / 실제 패스 시도. 시도 0회는 해당 없음.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3" t="str">
        <x:v>명령 빈도 (%) = 각 명령 선택 횟수 / 해당 팀 전체 선택 횟수. 총 명령 / 분 = 총 명령 수 / 5분.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3" t="str">
        <x:v>v8에서 학습한 동일 정책을 가속도 변경 환경 v9에서 평가. 이번 작업에서 재학습 및 champion 승격 없음.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3" t="str">
        <x:v>표준 킥오프와 정책 확률 샘플링 조건의 결과. 다른 초기 배치 또는 재학습 이후의 성능은 포함하지 않음.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conditionalFormatting sqref="K6:K13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9" customHeight="1">
      <x:c r="A2" s="3" t="str">
        <x:v>대진별 결과 — 28개 조합 / 각 모델 관점 56행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5" t="str">
        <x:v>각 행은 40경기. 같은 대진 ID의 두 행은 동일 경기들을 서로 반대 관점에서 표시.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8" customHeight="1">
      <x:c r="A5" s="10" t="str">
        <x:v>대진 ID</x:v>
      </x:c>
      <x:c r="B5" s="11" t="str">
        <x:v>모델</x:v>
      </x:c>
      <x:c r="C5" s="11" t="str">
        <x:v>상대 모델</x:v>
      </x:c>
      <x:c r="D5" s="11" t="str">
        <x:v>경기</x:v>
      </x:c>
      <x:c r="E5" s="11" t="str">
        <x:v>승</x:v>
      </x:c>
      <x:c r="F5" s="11" t="str">
        <x:v>무</x:v>
      </x:c>
      <x:c r="G5" s="11" t="str">
        <x:v>패</x:v>
      </x:c>
      <x:c r="H5" s="11" t="str">
        <x:v>득점</x:v>
      </x:c>
      <x:c r="I5" s="11" t="str">
        <x:v>실점</x:v>
      </x:c>
      <x:c r="J5" s="11" t="str">
        <x:v>득실차</x:v>
      </x:c>
      <x:c r="K5" s="11" t="str">
        <x:v>승점</x:v>
      </x:c>
      <x:c r="L5" s="11" t="str">
        <x:v>슈팅 수</x:v>
      </x:c>
      <x:c r="M5" s="11" t="str">
        <x:v>슛 득점</x:v>
      </x:c>
      <x:c r="N5" s="11" t="str">
        <x:v>슈팅 성공률</x:v>
      </x:c>
      <x:c r="O5" s="11" t="str">
        <x:v>패스 수</x:v>
      </x:c>
      <x:c r="P5" s="11" t="str">
        <x:v>성공 패스</x:v>
      </x:c>
      <x:c r="Q5" s="11" t="str">
        <x:v>패스 성공률</x:v>
      </x:c>
      <x:c r="R5" s="12" t="str">
        <x:v>명령 수</x:v>
      </x:c>
    </x:row>
    <x:row r="6" ht="22" customHeight="1">
      <x:c r="A6" s="2" t="n">
        <x:v>1</x:v>
      </x:c>
      <x:c r="B6" s="2" t="str">
        <x:v>규칙형</x:v>
      </x:c>
      <x:c r="C6" s="2" t="str">
        <x:v>0만</x:v>
      </x:c>
      <x:c r="D6" s="14" t="n">
        <x:f>COUNTIFS('경기별지표'!$E$6:$E$2245,B6,'경기별지표'!$F$6:$F$2245,C6)</x:f>
        <x:v>40</x:v>
      </x:c>
      <x:c r="E6" s="14" t="n">
        <x:f>COUNTIFS('경기별지표'!$E$6:$E$2245,B6,'경기별지표'!$F$6:$F$2245,C6,'경기별지표'!$G$6:$G$2245,"승")</x:f>
        <x:v>36</x:v>
      </x:c>
      <x:c r="F6" s="14" t="n">
        <x:f>COUNTIFS('경기별지표'!$E$6:$E$2245,B6,'경기별지표'!$F$6:$F$2245,C6,'경기별지표'!$G$6:$G$2245,"무")</x:f>
        <x:v>0</x:v>
      </x:c>
      <x:c r="G6" s="14" t="n">
        <x:f>COUNTIFS('경기별지표'!$E$6:$E$2245,B6,'경기별지표'!$F$6:$F$2245,C6,'경기별지표'!$G$6:$G$2245,"패")</x:f>
        <x:v>4</x:v>
      </x:c>
      <x:c r="H6" s="14" t="n">
        <x:f>SUMIFS('경기별지표'!$H$6:$H$2245,'경기별지표'!$E$6:$E$2245,B6,'경기별지표'!$F$6:$F$2245,C6)</x:f>
        <x:v>188</x:v>
      </x:c>
      <x:c r="I6" s="14" t="n">
        <x:f>SUMIFS('경기별지표'!$I$6:$I$2245,'경기별지표'!$E$6:$E$2245,B6,'경기별지표'!$F$6:$F$2245,C6)</x:f>
        <x:v>54</x:v>
      </x:c>
      <x:c r="J6" s="14" t="n">
        <x:f>H6-I6</x:f>
        <x:v>134</x:v>
      </x:c>
      <x:c r="K6" s="14" t="n">
        <x:f>3*E6+F6</x:f>
        <x:v>108</x:v>
      </x:c>
      <x:c r="L6" s="14" t="n">
        <x:f>SUMIFS('경기별지표'!$J$6:$J$2245,'경기별지표'!$E$6:$E$2245,B6,'경기별지표'!$F$6:$F$2245,C6)</x:f>
        <x:v>465</x:v>
      </x:c>
      <x:c r="M6" s="14" t="n">
        <x:f>SUMIFS('경기별지표'!$K$6:$K$2245,'경기별지표'!$E$6:$E$2245,B6,'경기별지표'!$F$6:$F$2245,C6)</x:f>
        <x:v>187</x:v>
      </x:c>
      <x:c r="N6" s="15" t="n">
        <x:f>IF(L6=0,"해당 없음",M6/L6)</x:f>
        <x:v>0.4021505376344086</x:v>
      </x:c>
      <x:c r="O6" s="14" t="n">
        <x:f>SUMIFS('경기별지표'!$M$6:$M$2245,'경기별지표'!$E$6:$E$2245,B6,'경기별지표'!$F$6:$F$2245,C6)</x:f>
        <x:v>327</x:v>
      </x:c>
      <x:c r="P6" s="14" t="n">
        <x:f>SUMIFS('경기별지표'!$N$6:$N$2245,'경기별지표'!$E$6:$E$2245,B6,'경기별지표'!$F$6:$F$2245,C6)</x:f>
        <x:v>258</x:v>
      </x:c>
      <x:c r="Q6" s="15" t="n">
        <x:f>IF(O6=0,"해당 없음",P6/O6)</x:f>
        <x:v>0.7889908256880734</x:v>
      </x:c>
      <x:c r="R6" s="14" t="n">
        <x:f>SUMIFS('경기별지표'!$P$6:$P$2245,'경기별지표'!$E$6:$E$2245,B6,'경기별지표'!$F$6:$F$2245,C6)</x:f>
        <x:v>4129</x:v>
      </x:c>
    </x:row>
    <x:row r="7" ht="22" customHeight="1">
      <x:c r="A7" s="2" t="n">
        <x:v>1</x:v>
      </x:c>
      <x:c r="B7" s="2" t="str">
        <x:v>0만</x:v>
      </x:c>
      <x:c r="C7" s="2" t="str">
        <x:v>규칙형</x:v>
      </x:c>
      <x:c r="D7" s="14" t="n">
        <x:f>COUNTIFS('경기별지표'!$E$6:$E$2245,B7,'경기별지표'!$F$6:$F$2245,C7)</x:f>
        <x:v>40</x:v>
      </x:c>
      <x:c r="E7" s="14" t="n">
        <x:f>COUNTIFS('경기별지표'!$E$6:$E$2245,B7,'경기별지표'!$F$6:$F$2245,C7,'경기별지표'!$G$6:$G$2245,"승")</x:f>
        <x:v>4</x:v>
      </x:c>
      <x:c r="F7" s="14" t="n">
        <x:f>COUNTIFS('경기별지표'!$E$6:$E$2245,B7,'경기별지표'!$F$6:$F$2245,C7,'경기별지표'!$G$6:$G$2245,"무")</x:f>
        <x:v>0</x:v>
      </x:c>
      <x:c r="G7" s="14" t="n">
        <x:f>COUNTIFS('경기별지표'!$E$6:$E$2245,B7,'경기별지표'!$F$6:$F$2245,C7,'경기별지표'!$G$6:$G$2245,"패")</x:f>
        <x:v>36</x:v>
      </x:c>
      <x:c r="H7" s="14" t="n">
        <x:f>SUMIFS('경기별지표'!$H$6:$H$2245,'경기별지표'!$E$6:$E$2245,B7,'경기별지표'!$F$6:$F$2245,C7)</x:f>
        <x:v>54</x:v>
      </x:c>
      <x:c r="I7" s="14" t="n">
        <x:f>SUMIFS('경기별지표'!$I$6:$I$2245,'경기별지표'!$E$6:$E$2245,B7,'경기별지표'!$F$6:$F$2245,C7)</x:f>
        <x:v>188</x:v>
      </x:c>
      <x:c r="J7" s="14" t="n">
        <x:f>H7-I7</x:f>
        <x:v>-134</x:v>
      </x:c>
      <x:c r="K7" s="14" t="n">
        <x:f>3*E7+F7</x:f>
        <x:v>12</x:v>
      </x:c>
      <x:c r="L7" s="14" t="n">
        <x:f>SUMIFS('경기별지표'!$J$6:$J$2245,'경기별지표'!$E$6:$E$2245,B7,'경기별지표'!$F$6:$F$2245,C7)</x:f>
        <x:v>157</x:v>
      </x:c>
      <x:c r="M7" s="14" t="n">
        <x:f>SUMIFS('경기별지표'!$K$6:$K$2245,'경기별지표'!$E$6:$E$2245,B7,'경기별지표'!$F$6:$F$2245,C7)</x:f>
        <x:v>53</x:v>
      </x:c>
      <x:c r="N7" s="15" t="n">
        <x:f>IF(L7=0,"해당 없음",M7/L7)</x:f>
        <x:v>0.3375796178343949</x:v>
      </x:c>
      <x:c r="O7" s="14" t="n">
        <x:f>SUMIFS('경기별지표'!$M$6:$M$2245,'경기별지표'!$E$6:$E$2245,B7,'경기별지표'!$F$6:$F$2245,C7)</x:f>
        <x:v>239</x:v>
      </x:c>
      <x:c r="P7" s="14" t="n">
        <x:f>SUMIFS('경기별지표'!$N$6:$N$2245,'경기별지표'!$E$6:$E$2245,B7,'경기별지표'!$F$6:$F$2245,C7)</x:f>
        <x:v>177</x:v>
      </x:c>
      <x:c r="Q7" s="15" t="n">
        <x:f>IF(O7=0,"해당 없음",P7/O7)</x:f>
        <x:v>0.7405857740585774</x:v>
      </x:c>
      <x:c r="R7" s="14" t="n">
        <x:f>SUMIFS('경기별지표'!$P$6:$P$2245,'경기별지표'!$E$6:$E$2245,B7,'경기별지표'!$F$6:$F$2245,C7)</x:f>
        <x:v>4127</x:v>
      </x:c>
    </x:row>
    <x:row r="8" ht="22" customHeight="1">
      <x:c r="A8" s="2" t="n">
        <x:v>2</x:v>
      </x:c>
      <x:c r="B8" s="2" t="str">
        <x:v>규칙형</x:v>
      </x:c>
      <x:c r="C8" s="2" t="str">
        <x:v>40만</x:v>
      </x:c>
      <x:c r="D8" s="14" t="n">
        <x:f>COUNTIFS('경기별지표'!$E$6:$E$2245,B8,'경기별지표'!$F$6:$F$2245,C8)</x:f>
        <x:v>40</x:v>
      </x:c>
      <x:c r="E8" s="14" t="n">
        <x:f>COUNTIFS('경기별지표'!$E$6:$E$2245,B8,'경기별지표'!$F$6:$F$2245,C8,'경기별지표'!$G$6:$G$2245,"승")</x:f>
        <x:v>11</x:v>
      </x:c>
      <x:c r="F8" s="14" t="n">
        <x:f>COUNTIFS('경기별지표'!$E$6:$E$2245,B8,'경기별지표'!$F$6:$F$2245,C8,'경기별지표'!$G$6:$G$2245,"무")</x:f>
        <x:v>5</x:v>
      </x:c>
      <x:c r="G8" s="14" t="n">
        <x:f>COUNTIFS('경기별지표'!$E$6:$E$2245,B8,'경기별지표'!$F$6:$F$2245,C8,'경기별지표'!$G$6:$G$2245,"패")</x:f>
        <x:v>24</x:v>
      </x:c>
      <x:c r="H8" s="14" t="n">
        <x:f>SUMIFS('경기별지표'!$H$6:$H$2245,'경기별지표'!$E$6:$E$2245,B8,'경기별지표'!$F$6:$F$2245,C8)</x:f>
        <x:v>113</x:v>
      </x:c>
      <x:c r="I8" s="14" t="n">
        <x:f>SUMIFS('경기별지표'!$I$6:$I$2245,'경기별지표'!$E$6:$E$2245,B8,'경기별지표'!$F$6:$F$2245,C8)</x:f>
        <x:v>150</x:v>
      </x:c>
      <x:c r="J8" s="14" t="n">
        <x:f>H8-I8</x:f>
        <x:v>-37</x:v>
      </x:c>
      <x:c r="K8" s="14" t="n">
        <x:f>3*E8+F8</x:f>
        <x:v>38</x:v>
      </x:c>
      <x:c r="L8" s="14" t="n">
        <x:f>SUMIFS('경기별지표'!$J$6:$J$2245,'경기별지표'!$E$6:$E$2245,B8,'경기별지표'!$F$6:$F$2245,C8)</x:f>
        <x:v>290</x:v>
      </x:c>
      <x:c r="M8" s="14" t="n">
        <x:f>SUMIFS('경기별지표'!$K$6:$K$2245,'경기별지표'!$E$6:$E$2245,B8,'경기별지표'!$F$6:$F$2245,C8)</x:f>
        <x:v>113</x:v>
      </x:c>
      <x:c r="N8" s="15" t="n">
        <x:f>IF(L8=0,"해당 없음",M8/L8)</x:f>
        <x:v>0.3896551724137931</x:v>
      </x:c>
      <x:c r="O8" s="14" t="n">
        <x:f>SUMIFS('경기별지표'!$M$6:$M$2245,'경기별지표'!$E$6:$E$2245,B8,'경기별지표'!$F$6:$F$2245,C8)</x:f>
        <x:v>309</x:v>
      </x:c>
      <x:c r="P8" s="14" t="n">
        <x:f>SUMIFS('경기별지표'!$N$6:$N$2245,'경기별지표'!$E$6:$E$2245,B8,'경기별지표'!$F$6:$F$2245,C8)</x:f>
        <x:v>253</x:v>
      </x:c>
      <x:c r="Q8" s="15" t="n">
        <x:f>IF(O8=0,"해당 없음",P8/O8)</x:f>
        <x:v>0.8187702265372169</x:v>
      </x:c>
      <x:c r="R8" s="14" t="n">
        <x:f>SUMIFS('경기별지표'!$P$6:$P$2245,'경기별지표'!$E$6:$E$2245,B8,'경기별지표'!$F$6:$F$2245,C8)</x:f>
        <x:v>4147</x:v>
      </x:c>
    </x:row>
    <x:row r="9" ht="22" customHeight="1">
      <x:c r="A9" s="2" t="n">
        <x:v>2</x:v>
      </x:c>
      <x:c r="B9" s="2" t="str">
        <x:v>40만</x:v>
      </x:c>
      <x:c r="C9" s="2" t="str">
        <x:v>규칙형</x:v>
      </x:c>
      <x:c r="D9" s="14" t="n">
        <x:f>COUNTIFS('경기별지표'!$E$6:$E$2245,B9,'경기별지표'!$F$6:$F$2245,C9)</x:f>
        <x:v>40</x:v>
      </x:c>
      <x:c r="E9" s="14" t="n">
        <x:f>COUNTIFS('경기별지표'!$E$6:$E$2245,B9,'경기별지표'!$F$6:$F$2245,C9,'경기별지표'!$G$6:$G$2245,"승")</x:f>
        <x:v>24</x:v>
      </x:c>
      <x:c r="F9" s="14" t="n">
        <x:f>COUNTIFS('경기별지표'!$E$6:$E$2245,B9,'경기별지표'!$F$6:$F$2245,C9,'경기별지표'!$G$6:$G$2245,"무")</x:f>
        <x:v>5</x:v>
      </x:c>
      <x:c r="G9" s="14" t="n">
        <x:f>COUNTIFS('경기별지표'!$E$6:$E$2245,B9,'경기별지표'!$F$6:$F$2245,C9,'경기별지표'!$G$6:$G$2245,"패")</x:f>
        <x:v>11</x:v>
      </x:c>
      <x:c r="H9" s="14" t="n">
        <x:f>SUMIFS('경기별지표'!$H$6:$H$2245,'경기별지표'!$E$6:$E$2245,B9,'경기별지표'!$F$6:$F$2245,C9)</x:f>
        <x:v>150</x:v>
      </x:c>
      <x:c r="I9" s="14" t="n">
        <x:f>SUMIFS('경기별지표'!$I$6:$I$2245,'경기별지표'!$E$6:$E$2245,B9,'경기별지표'!$F$6:$F$2245,C9)</x:f>
        <x:v>113</x:v>
      </x:c>
      <x:c r="J9" s="14" t="n">
        <x:f>H9-I9</x:f>
        <x:v>37</x:v>
      </x:c>
      <x:c r="K9" s="14" t="n">
        <x:f>3*E9+F9</x:f>
        <x:v>77</x:v>
      </x:c>
      <x:c r="L9" s="14" t="n">
        <x:f>SUMIFS('경기별지표'!$J$6:$J$2245,'경기별지표'!$E$6:$E$2245,B9,'경기별지표'!$F$6:$F$2245,C9)</x:f>
        <x:v>326</x:v>
      </x:c>
      <x:c r="M9" s="14" t="n">
        <x:f>SUMIFS('경기별지표'!$K$6:$K$2245,'경기별지표'!$E$6:$E$2245,B9,'경기별지표'!$F$6:$F$2245,C9)</x:f>
        <x:v>149</x:v>
      </x:c>
      <x:c r="N9" s="15" t="n">
        <x:f>IF(L9=0,"해당 없음",M9/L9)</x:f>
        <x:v>0.4570552147239264</x:v>
      </x:c>
      <x:c r="O9" s="14" t="n">
        <x:f>SUMIFS('경기별지표'!$M$6:$M$2245,'경기별지표'!$E$6:$E$2245,B9,'경기별지표'!$F$6:$F$2245,C9)</x:f>
        <x:v>267</x:v>
      </x:c>
      <x:c r="P9" s="14" t="n">
        <x:f>SUMIFS('경기별지표'!$N$6:$N$2245,'경기별지표'!$E$6:$E$2245,B9,'경기별지표'!$F$6:$F$2245,C9)</x:f>
        <x:v>204</x:v>
      </x:c>
      <x:c r="Q9" s="15" t="n">
        <x:f>IF(O9=0,"해당 없음",P9/O9)</x:f>
        <x:v>0.7640449438202247</x:v>
      </x:c>
      <x:c r="R9" s="14" t="n">
        <x:f>SUMIFS('경기별지표'!$P$6:$P$2245,'경기별지표'!$E$6:$E$2245,B9,'경기별지표'!$F$6:$F$2245,C9)</x:f>
        <x:v>4138</x:v>
      </x:c>
    </x:row>
    <x:row r="10" ht="22" customHeight="1">
      <x:c r="A10" s="2" t="n">
        <x:v>3</x:v>
      </x:c>
      <x:c r="B10" s="2" t="str">
        <x:v>규칙형</x:v>
      </x:c>
      <x:c r="C10" s="2" t="str">
        <x:v>80만</x:v>
      </x:c>
      <x:c r="D10" s="14" t="n">
        <x:f>COUNTIFS('경기별지표'!$E$6:$E$2245,B10,'경기별지표'!$F$6:$F$2245,C10)</x:f>
        <x:v>40</x:v>
      </x:c>
      <x:c r="E10" s="14" t="n">
        <x:f>COUNTIFS('경기별지표'!$E$6:$E$2245,B10,'경기별지표'!$F$6:$F$2245,C10,'경기별지표'!$G$6:$G$2245,"승")</x:f>
        <x:v>12</x:v>
      </x:c>
      <x:c r="F10" s="14" t="n">
        <x:f>COUNTIFS('경기별지표'!$E$6:$E$2245,B10,'경기별지표'!$F$6:$F$2245,C10,'경기별지표'!$G$6:$G$2245,"무")</x:f>
        <x:v>4</x:v>
      </x:c>
      <x:c r="G10" s="14" t="n">
        <x:f>COUNTIFS('경기별지표'!$E$6:$E$2245,B10,'경기별지표'!$F$6:$F$2245,C10,'경기별지표'!$G$6:$G$2245,"패")</x:f>
        <x:v>24</x:v>
      </x:c>
      <x:c r="H10" s="14" t="n">
        <x:f>SUMIFS('경기별지표'!$H$6:$H$2245,'경기별지표'!$E$6:$E$2245,B10,'경기별지표'!$F$6:$F$2245,C10)</x:f>
        <x:v>121</x:v>
      </x:c>
      <x:c r="I10" s="14" t="n">
        <x:f>SUMIFS('경기별지표'!$I$6:$I$2245,'경기별지표'!$E$6:$E$2245,B10,'경기별지표'!$F$6:$F$2245,C10)</x:f>
        <x:v>157</x:v>
      </x:c>
      <x:c r="J10" s="14" t="n">
        <x:f>H10-I10</x:f>
        <x:v>-36</x:v>
      </x:c>
      <x:c r="K10" s="14" t="n">
        <x:f>3*E10+F10</x:f>
        <x:v>40</x:v>
      </x:c>
      <x:c r="L10" s="14" t="n">
        <x:f>SUMIFS('경기별지표'!$J$6:$J$2245,'경기별지표'!$E$6:$E$2245,B10,'경기별지표'!$F$6:$F$2245,C10)</x:f>
        <x:v>309</x:v>
      </x:c>
      <x:c r="M10" s="14" t="n">
        <x:f>SUMIFS('경기별지표'!$K$6:$K$2245,'경기별지표'!$E$6:$E$2245,B10,'경기별지표'!$F$6:$F$2245,C10)</x:f>
        <x:v>121</x:v>
      </x:c>
      <x:c r="N10" s="15" t="n">
        <x:f>IF(L10=0,"해당 없음",M10/L10)</x:f>
        <x:v>0.39158576051779936</x:v>
      </x:c>
      <x:c r="O10" s="14" t="n">
        <x:f>SUMIFS('경기별지표'!$M$6:$M$2245,'경기별지표'!$E$6:$E$2245,B10,'경기별지표'!$F$6:$F$2245,C10)</x:f>
        <x:v>343</x:v>
      </x:c>
      <x:c r="P10" s="14" t="n">
        <x:f>SUMIFS('경기별지표'!$N$6:$N$2245,'경기별지표'!$E$6:$E$2245,B10,'경기별지표'!$F$6:$F$2245,C10)</x:f>
        <x:v>260</x:v>
      </x:c>
      <x:c r="Q10" s="15" t="n">
        <x:f>IF(O10=0,"해당 없음",P10/O10)</x:f>
        <x:v>0.7580174927113703</x:v>
      </x:c>
      <x:c r="R10" s="14" t="n">
        <x:f>SUMIFS('경기별지표'!$P$6:$P$2245,'경기별지표'!$E$6:$E$2245,B10,'경기별지표'!$F$6:$F$2245,C10)</x:f>
        <x:v>4153</x:v>
      </x:c>
    </x:row>
    <x:row r="11" ht="22" customHeight="1">
      <x:c r="A11" s="2" t="n">
        <x:v>3</x:v>
      </x:c>
      <x:c r="B11" s="2" t="str">
        <x:v>80만</x:v>
      </x:c>
      <x:c r="C11" s="2" t="str">
        <x:v>규칙형</x:v>
      </x:c>
      <x:c r="D11" s="14" t="n">
        <x:f>COUNTIFS('경기별지표'!$E$6:$E$2245,B11,'경기별지표'!$F$6:$F$2245,C11)</x:f>
        <x:v>40</x:v>
      </x:c>
      <x:c r="E11" s="14" t="n">
        <x:f>COUNTIFS('경기별지표'!$E$6:$E$2245,B11,'경기별지표'!$F$6:$F$2245,C11,'경기별지표'!$G$6:$G$2245,"승")</x:f>
        <x:v>24</x:v>
      </x:c>
      <x:c r="F11" s="14" t="n">
        <x:f>COUNTIFS('경기별지표'!$E$6:$E$2245,B11,'경기별지표'!$F$6:$F$2245,C11,'경기별지표'!$G$6:$G$2245,"무")</x:f>
        <x:v>4</x:v>
      </x:c>
      <x:c r="G11" s="14" t="n">
        <x:f>COUNTIFS('경기별지표'!$E$6:$E$2245,B11,'경기별지표'!$F$6:$F$2245,C11,'경기별지표'!$G$6:$G$2245,"패")</x:f>
        <x:v>12</x:v>
      </x:c>
      <x:c r="H11" s="14" t="n">
        <x:f>SUMIFS('경기별지표'!$H$6:$H$2245,'경기별지표'!$E$6:$E$2245,B11,'경기별지표'!$F$6:$F$2245,C11)</x:f>
        <x:v>157</x:v>
      </x:c>
      <x:c r="I11" s="14" t="n">
        <x:f>SUMIFS('경기별지표'!$I$6:$I$2245,'경기별지표'!$E$6:$E$2245,B11,'경기별지표'!$F$6:$F$2245,C11)</x:f>
        <x:v>121</x:v>
      </x:c>
      <x:c r="J11" s="14" t="n">
        <x:f>H11-I11</x:f>
        <x:v>36</x:v>
      </x:c>
      <x:c r="K11" s="14" t="n">
        <x:f>3*E11+F11</x:f>
        <x:v>76</x:v>
      </x:c>
      <x:c r="L11" s="14" t="n">
        <x:f>SUMIFS('경기별지표'!$J$6:$J$2245,'경기별지표'!$E$6:$E$2245,B11,'경기별지표'!$F$6:$F$2245,C11)</x:f>
        <x:v>329</x:v>
      </x:c>
      <x:c r="M11" s="14" t="n">
        <x:f>SUMIFS('경기별지표'!$K$6:$K$2245,'경기별지표'!$E$6:$E$2245,B11,'경기별지표'!$F$6:$F$2245,C11)</x:f>
        <x:v>157</x:v>
      </x:c>
      <x:c r="N11" s="15" t="n">
        <x:f>IF(L11=0,"해당 없음",M11/L11)</x:f>
        <x:v>0.47720364741641336</x:v>
      </x:c>
      <x:c r="O11" s="14" t="n">
        <x:f>SUMIFS('경기별지표'!$M$6:$M$2245,'경기별지표'!$E$6:$E$2245,B11,'경기별지표'!$F$6:$F$2245,C11)</x:f>
        <x:v>268</x:v>
      </x:c>
      <x:c r="P11" s="14" t="n">
        <x:f>SUMIFS('경기별지표'!$N$6:$N$2245,'경기별지표'!$E$6:$E$2245,B11,'경기별지표'!$F$6:$F$2245,C11)</x:f>
        <x:v>208</x:v>
      </x:c>
      <x:c r="Q11" s="15" t="n">
        <x:f>IF(O11=0,"해당 없음",P11/O11)</x:f>
        <x:v>0.7761194029850746</x:v>
      </x:c>
      <x:c r="R11" s="14" t="n">
        <x:f>SUMIFS('경기별지표'!$P$6:$P$2245,'경기별지표'!$E$6:$E$2245,B11,'경기별지표'!$F$6:$F$2245,C11)</x:f>
        <x:v>4156</x:v>
      </x:c>
    </x:row>
    <x:row r="12" ht="22" customHeight="1">
      <x:c r="A12" s="2" t="n">
        <x:v>4</x:v>
      </x:c>
      <x:c r="B12" s="2" t="str">
        <x:v>규칙형</x:v>
      </x:c>
      <x:c r="C12" s="2" t="str">
        <x:v>120만</x:v>
      </x:c>
      <x:c r="D12" s="14" t="n">
        <x:f>COUNTIFS('경기별지표'!$E$6:$E$2245,B12,'경기별지표'!$F$6:$F$2245,C12)</x:f>
        <x:v>40</x:v>
      </x:c>
      <x:c r="E12" s="14" t="n">
        <x:f>COUNTIFS('경기별지표'!$E$6:$E$2245,B12,'경기별지표'!$F$6:$F$2245,C12,'경기별지표'!$G$6:$G$2245,"승")</x:f>
        <x:v>8</x:v>
      </x:c>
      <x:c r="F12" s="14" t="n">
        <x:f>COUNTIFS('경기별지표'!$E$6:$E$2245,B12,'경기별지표'!$F$6:$F$2245,C12,'경기별지표'!$G$6:$G$2245,"무")</x:f>
        <x:v>6</x:v>
      </x:c>
      <x:c r="G12" s="14" t="n">
        <x:f>COUNTIFS('경기별지표'!$E$6:$E$2245,B12,'경기별지표'!$F$6:$F$2245,C12,'경기별지표'!$G$6:$G$2245,"패")</x:f>
        <x:v>26</x:v>
      </x:c>
      <x:c r="H12" s="14" t="n">
        <x:f>SUMIFS('경기별지표'!$H$6:$H$2245,'경기별지표'!$E$6:$E$2245,B12,'경기별지표'!$F$6:$F$2245,C12)</x:f>
        <x:v>112</x:v>
      </x:c>
      <x:c r="I12" s="14" t="n">
        <x:f>SUMIFS('경기별지표'!$I$6:$I$2245,'경기별지표'!$E$6:$E$2245,B12,'경기별지표'!$F$6:$F$2245,C12)</x:f>
        <x:v>165</x:v>
      </x:c>
      <x:c r="J12" s="14" t="n">
        <x:f>H12-I12</x:f>
        <x:v>-53</x:v>
      </x:c>
      <x:c r="K12" s="14" t="n">
        <x:f>3*E12+F12</x:f>
        <x:v>30</x:v>
      </x:c>
      <x:c r="L12" s="14" t="n">
        <x:f>SUMIFS('경기별지표'!$J$6:$J$2245,'경기별지표'!$E$6:$E$2245,B12,'경기별지표'!$F$6:$F$2245,C12)</x:f>
        <x:v>342</x:v>
      </x:c>
      <x:c r="M12" s="14" t="n">
        <x:f>SUMIFS('경기별지표'!$K$6:$K$2245,'경기별지표'!$E$6:$E$2245,B12,'경기별지표'!$F$6:$F$2245,C12)</x:f>
        <x:v>109</x:v>
      </x:c>
      <x:c r="N12" s="15" t="n">
        <x:f>IF(L12=0,"해당 없음",M12/L12)</x:f>
        <x:v>0.31871345029239767</x:v>
      </x:c>
      <x:c r="O12" s="14" t="n">
        <x:f>SUMIFS('경기별지표'!$M$6:$M$2245,'경기별지표'!$E$6:$E$2245,B12,'경기별지표'!$F$6:$F$2245,C12)</x:f>
        <x:v>439</x:v>
      </x:c>
      <x:c r="P12" s="14" t="n">
        <x:f>SUMIFS('경기별지표'!$N$6:$N$2245,'경기별지표'!$E$6:$E$2245,B12,'경기별지표'!$F$6:$F$2245,C12)</x:f>
        <x:v>353</x:v>
      </x:c>
      <x:c r="Q12" s="15" t="n">
        <x:f>IF(O12=0,"해당 없음",P12/O12)</x:f>
        <x:v>0.8041002277904328</x:v>
      </x:c>
      <x:c r="R12" s="14" t="n">
        <x:f>SUMIFS('경기별지표'!$P$6:$P$2245,'경기별지표'!$E$6:$E$2245,B12,'경기별지표'!$F$6:$F$2245,C12)</x:f>
        <x:v>4150</x:v>
      </x:c>
    </x:row>
    <x:row r="13" ht="22" customHeight="1">
      <x:c r="A13" s="2" t="n">
        <x:v>4</x:v>
      </x:c>
      <x:c r="B13" s="2" t="str">
        <x:v>120만</x:v>
      </x:c>
      <x:c r="C13" s="2" t="str">
        <x:v>규칙형</x:v>
      </x:c>
      <x:c r="D13" s="14" t="n">
        <x:f>COUNTIFS('경기별지표'!$E$6:$E$2245,B13,'경기별지표'!$F$6:$F$2245,C13)</x:f>
        <x:v>40</x:v>
      </x:c>
      <x:c r="E13" s="14" t="n">
        <x:f>COUNTIFS('경기별지표'!$E$6:$E$2245,B13,'경기별지표'!$F$6:$F$2245,C13,'경기별지표'!$G$6:$G$2245,"승")</x:f>
        <x:v>26</x:v>
      </x:c>
      <x:c r="F13" s="14" t="n">
        <x:f>COUNTIFS('경기별지표'!$E$6:$E$2245,B13,'경기별지표'!$F$6:$F$2245,C13,'경기별지표'!$G$6:$G$2245,"무")</x:f>
        <x:v>6</x:v>
      </x:c>
      <x:c r="G13" s="14" t="n">
        <x:f>COUNTIFS('경기별지표'!$E$6:$E$2245,B13,'경기별지표'!$F$6:$F$2245,C13,'경기별지표'!$G$6:$G$2245,"패")</x:f>
        <x:v>8</x:v>
      </x:c>
      <x:c r="H13" s="14" t="n">
        <x:f>SUMIFS('경기별지표'!$H$6:$H$2245,'경기별지표'!$E$6:$E$2245,B13,'경기별지표'!$F$6:$F$2245,C13)</x:f>
        <x:v>165</x:v>
      </x:c>
      <x:c r="I13" s="14" t="n">
        <x:f>SUMIFS('경기별지표'!$I$6:$I$2245,'경기별지표'!$E$6:$E$2245,B13,'경기별지표'!$F$6:$F$2245,C13)</x:f>
        <x:v>112</x:v>
      </x:c>
      <x:c r="J13" s="14" t="n">
        <x:f>H13-I13</x:f>
        <x:v>53</x:v>
      </x:c>
      <x:c r="K13" s="14" t="n">
        <x:f>3*E13+F13</x:f>
        <x:v>84</x:v>
      </x:c>
      <x:c r="L13" s="14" t="n">
        <x:f>SUMIFS('경기별지표'!$J$6:$J$2245,'경기별지표'!$E$6:$E$2245,B13,'경기별지표'!$F$6:$F$2245,C13)</x:f>
        <x:v>318</x:v>
      </x:c>
      <x:c r="M13" s="14" t="n">
        <x:f>SUMIFS('경기별지표'!$K$6:$K$2245,'경기별지표'!$E$6:$E$2245,B13,'경기별지표'!$F$6:$F$2245,C13)</x:f>
        <x:v>165</x:v>
      </x:c>
      <x:c r="N13" s="15" t="n">
        <x:f>IF(L13=0,"해당 없음",M13/L13)</x:f>
        <x:v>0.5188679245283019</x:v>
      </x:c>
      <x:c r="O13" s="14" t="n">
        <x:f>SUMIFS('경기별지표'!$M$6:$M$2245,'경기별지표'!$E$6:$E$2245,B13,'경기별지표'!$F$6:$F$2245,C13)</x:f>
        <x:v>273</x:v>
      </x:c>
      <x:c r="P13" s="14" t="n">
        <x:f>SUMIFS('경기별지표'!$N$6:$N$2245,'경기별지표'!$E$6:$E$2245,B13,'경기별지표'!$F$6:$F$2245,C13)</x:f>
        <x:v>208</x:v>
      </x:c>
      <x:c r="Q13" s="15" t="n">
        <x:f>IF(O13=0,"해당 없음",P13/O13)</x:f>
        <x:v>0.7619047619047619</x:v>
      </x:c>
      <x:c r="R13" s="14" t="n">
        <x:f>SUMIFS('경기별지표'!$P$6:$P$2245,'경기별지표'!$E$6:$E$2245,B13,'경기별지표'!$F$6:$F$2245,C13)</x:f>
        <x:v>4155</x:v>
      </x:c>
    </x:row>
    <x:row r="14" ht="22" customHeight="1">
      <x:c r="A14" s="2" t="n">
        <x:v>5</x:v>
      </x:c>
      <x:c r="B14" s="2" t="str">
        <x:v>규칙형</x:v>
      </x:c>
      <x:c r="C14" s="2" t="str">
        <x:v>160만</x:v>
      </x:c>
      <x:c r="D14" s="14" t="n">
        <x:f>COUNTIFS('경기별지표'!$E$6:$E$2245,B14,'경기별지표'!$F$6:$F$2245,C14)</x:f>
        <x:v>40</x:v>
      </x:c>
      <x:c r="E14" s="14" t="n">
        <x:f>COUNTIFS('경기별지표'!$E$6:$E$2245,B14,'경기별지표'!$F$6:$F$2245,C14,'경기별지표'!$G$6:$G$2245,"승")</x:f>
        <x:v>5</x:v>
      </x:c>
      <x:c r="F14" s="14" t="n">
        <x:f>COUNTIFS('경기별지표'!$E$6:$E$2245,B14,'경기별지표'!$F$6:$F$2245,C14,'경기별지표'!$G$6:$G$2245,"무")</x:f>
        <x:v>4</x:v>
      </x:c>
      <x:c r="G14" s="14" t="n">
        <x:f>COUNTIFS('경기별지표'!$E$6:$E$2245,B14,'경기별지표'!$F$6:$F$2245,C14,'경기별지표'!$G$6:$G$2245,"패")</x:f>
        <x:v>31</x:v>
      </x:c>
      <x:c r="H14" s="14" t="n">
        <x:f>SUMIFS('경기별지표'!$H$6:$H$2245,'경기별지표'!$E$6:$E$2245,B14,'경기별지표'!$F$6:$F$2245,C14)</x:f>
        <x:v>72</x:v>
      </x:c>
      <x:c r="I14" s="14" t="n">
        <x:f>SUMIFS('경기별지표'!$I$6:$I$2245,'경기별지표'!$E$6:$E$2245,B14,'경기별지표'!$F$6:$F$2245,C14)</x:f>
        <x:v>172</x:v>
      </x:c>
      <x:c r="J14" s="14" t="n">
        <x:f>H14-I14</x:f>
        <x:v>-100</x:v>
      </x:c>
      <x:c r="K14" s="14" t="n">
        <x:f>3*E14+F14</x:f>
        <x:v>19</x:v>
      </x:c>
      <x:c r="L14" s="14" t="n">
        <x:f>SUMIFS('경기별지표'!$J$6:$J$2245,'경기별지표'!$E$6:$E$2245,B14,'경기별지표'!$F$6:$F$2245,C14)</x:f>
        <x:v>330</x:v>
      </x:c>
      <x:c r="M14" s="14" t="n">
        <x:f>SUMIFS('경기별지표'!$K$6:$K$2245,'경기별지표'!$E$6:$E$2245,B14,'경기별지표'!$F$6:$F$2245,C14)</x:f>
        <x:v>69</x:v>
      </x:c>
      <x:c r="N14" s="15" t="n">
        <x:f>IF(L14=0,"해당 없음",M14/L14)</x:f>
        <x:v>0.20909090909090908</x:v>
      </x:c>
      <x:c r="O14" s="14" t="n">
        <x:f>SUMIFS('경기별지표'!$M$6:$M$2245,'경기별지표'!$E$6:$E$2245,B14,'경기별지표'!$F$6:$F$2245,C14)</x:f>
        <x:v>459</x:v>
      </x:c>
      <x:c r="P14" s="14" t="n">
        <x:f>SUMIFS('경기별지표'!$N$6:$N$2245,'경기별지표'!$E$6:$E$2245,B14,'경기별지표'!$F$6:$F$2245,C14)</x:f>
        <x:v>338</x:v>
      </x:c>
      <x:c r="Q14" s="15" t="n">
        <x:f>IF(O14=0,"해당 없음",P14/O14)</x:f>
        <x:v>0.7363834422657952</x:v>
      </x:c>
      <x:c r="R14" s="14" t="n">
        <x:f>SUMIFS('경기별지표'!$P$6:$P$2245,'경기별지표'!$E$6:$E$2245,B14,'경기별지표'!$F$6:$F$2245,C14)</x:f>
        <x:v>4144</x:v>
      </x:c>
    </x:row>
    <x:row r="15" ht="22" customHeight="1">
      <x:c r="A15" s="2" t="n">
        <x:v>5</x:v>
      </x:c>
      <x:c r="B15" s="2" t="str">
        <x:v>160만</x:v>
      </x:c>
      <x:c r="C15" s="2" t="str">
        <x:v>규칙형</x:v>
      </x:c>
      <x:c r="D15" s="14" t="n">
        <x:f>COUNTIFS('경기별지표'!$E$6:$E$2245,B15,'경기별지표'!$F$6:$F$2245,C15)</x:f>
        <x:v>40</x:v>
      </x:c>
      <x:c r="E15" s="14" t="n">
        <x:f>COUNTIFS('경기별지표'!$E$6:$E$2245,B15,'경기별지표'!$F$6:$F$2245,C15,'경기별지표'!$G$6:$G$2245,"승")</x:f>
        <x:v>31</x:v>
      </x:c>
      <x:c r="F15" s="14" t="n">
        <x:f>COUNTIFS('경기별지표'!$E$6:$E$2245,B15,'경기별지표'!$F$6:$F$2245,C15,'경기별지표'!$G$6:$G$2245,"무")</x:f>
        <x:v>4</x:v>
      </x:c>
      <x:c r="G15" s="14" t="n">
        <x:f>COUNTIFS('경기별지표'!$E$6:$E$2245,B15,'경기별지표'!$F$6:$F$2245,C15,'경기별지표'!$G$6:$G$2245,"패")</x:f>
        <x:v>5</x:v>
      </x:c>
      <x:c r="H15" s="14" t="n">
        <x:f>SUMIFS('경기별지표'!$H$6:$H$2245,'경기별지표'!$E$6:$E$2245,B15,'경기별지표'!$F$6:$F$2245,C15)</x:f>
        <x:v>172</x:v>
      </x:c>
      <x:c r="I15" s="14" t="n">
        <x:f>SUMIFS('경기별지표'!$I$6:$I$2245,'경기별지표'!$E$6:$E$2245,B15,'경기별지표'!$F$6:$F$2245,C15)</x:f>
        <x:v>72</x:v>
      </x:c>
      <x:c r="J15" s="14" t="n">
        <x:f>H15-I15</x:f>
        <x:v>100</x:v>
      </x:c>
      <x:c r="K15" s="14" t="n">
        <x:f>3*E15+F15</x:f>
        <x:v>97</x:v>
      </x:c>
      <x:c r="L15" s="14" t="n">
        <x:f>SUMIFS('경기별지표'!$J$6:$J$2245,'경기별지표'!$E$6:$E$2245,B15,'경기별지표'!$F$6:$F$2245,C15)</x:f>
        <x:v>351</x:v>
      </x:c>
      <x:c r="M15" s="14" t="n">
        <x:f>SUMIFS('경기별지표'!$K$6:$K$2245,'경기별지표'!$E$6:$E$2245,B15,'경기별지표'!$F$6:$F$2245,C15)</x:f>
        <x:v>172</x:v>
      </x:c>
      <x:c r="N15" s="15" t="n">
        <x:f>IF(L15=0,"해당 없음",M15/L15)</x:f>
        <x:v>0.49002849002849</x:v>
      </x:c>
      <x:c r="O15" s="14" t="n">
        <x:f>SUMIFS('경기별지표'!$M$6:$M$2245,'경기별지표'!$E$6:$E$2245,B15,'경기별지표'!$F$6:$F$2245,C15)</x:f>
        <x:v>323</x:v>
      </x:c>
      <x:c r="P15" s="14" t="n">
        <x:f>SUMIFS('경기별지표'!$N$6:$N$2245,'경기별지표'!$E$6:$E$2245,B15,'경기별지표'!$F$6:$F$2245,C15)</x:f>
        <x:v>227</x:v>
      </x:c>
      <x:c r="Q15" s="15" t="n">
        <x:f>IF(O15=0,"해당 없음",P15/O15)</x:f>
        <x:v>0.7027863777089783</x:v>
      </x:c>
      <x:c r="R15" s="14" t="n">
        <x:f>SUMIFS('경기별지표'!$P$6:$P$2245,'경기별지표'!$E$6:$E$2245,B15,'경기별지표'!$F$6:$F$2245,C15)</x:f>
        <x:v>4131</x:v>
      </x:c>
    </x:row>
    <x:row r="16" ht="22" customHeight="1">
      <x:c r="A16" s="2" t="n">
        <x:v>6</x:v>
      </x:c>
      <x:c r="B16" s="2" t="str">
        <x:v>규칙형</x:v>
      </x:c>
      <x:c r="C16" s="2" t="str">
        <x:v>200만</x:v>
      </x:c>
      <x:c r="D16" s="14" t="n">
        <x:f>COUNTIFS('경기별지표'!$E$6:$E$2245,B16,'경기별지표'!$F$6:$F$2245,C16)</x:f>
        <x:v>40</x:v>
      </x:c>
      <x:c r="E16" s="14" t="n">
        <x:f>COUNTIFS('경기별지표'!$E$6:$E$2245,B16,'경기별지표'!$F$6:$F$2245,C16,'경기별지표'!$G$6:$G$2245,"승")</x:f>
        <x:v>9</x:v>
      </x:c>
      <x:c r="F16" s="14" t="n">
        <x:f>COUNTIFS('경기별지표'!$E$6:$E$2245,B16,'경기별지표'!$F$6:$F$2245,C16,'경기별지표'!$G$6:$G$2245,"무")</x:f>
        <x:v>9</x:v>
      </x:c>
      <x:c r="G16" s="14" t="n">
        <x:f>COUNTIFS('경기별지표'!$E$6:$E$2245,B16,'경기별지표'!$F$6:$F$2245,C16,'경기별지표'!$G$6:$G$2245,"패")</x:f>
        <x:v>22</x:v>
      </x:c>
      <x:c r="H16" s="14" t="n">
        <x:f>SUMIFS('경기별지표'!$H$6:$H$2245,'경기별지표'!$E$6:$E$2245,B16,'경기별지표'!$F$6:$F$2245,C16)</x:f>
        <x:v>96</x:v>
      </x:c>
      <x:c r="I16" s="14" t="n">
        <x:f>SUMIFS('경기별지표'!$I$6:$I$2245,'경기별지표'!$E$6:$E$2245,B16,'경기별지표'!$F$6:$F$2245,C16)</x:f>
        <x:v>143</x:v>
      </x:c>
      <x:c r="J16" s="14" t="n">
        <x:f>H16-I16</x:f>
        <x:v>-47</x:v>
      </x:c>
      <x:c r="K16" s="14" t="n">
        <x:f>3*E16+F16</x:f>
        <x:v>36</x:v>
      </x:c>
      <x:c r="L16" s="14" t="n">
        <x:f>SUMIFS('경기별지표'!$J$6:$J$2245,'경기별지표'!$E$6:$E$2245,B16,'경기별지표'!$F$6:$F$2245,C16)</x:f>
        <x:v>401</x:v>
      </x:c>
      <x:c r="M16" s="14" t="n">
        <x:f>SUMIFS('경기별지표'!$K$6:$K$2245,'경기별지표'!$E$6:$E$2245,B16,'경기별지표'!$F$6:$F$2245,C16)</x:f>
        <x:v>94</x:v>
      </x:c>
      <x:c r="N16" s="15" t="n">
        <x:f>IF(L16=0,"해당 없음",M16/L16)</x:f>
        <x:v>0.2344139650872818</x:v>
      </x:c>
      <x:c r="O16" s="14" t="n">
        <x:f>SUMIFS('경기별지표'!$M$6:$M$2245,'경기별지표'!$E$6:$E$2245,B16,'경기별지표'!$F$6:$F$2245,C16)</x:f>
        <x:v>520</x:v>
      </x:c>
      <x:c r="P16" s="14" t="n">
        <x:f>SUMIFS('경기별지표'!$N$6:$N$2245,'경기별지표'!$E$6:$E$2245,B16,'경기별지표'!$F$6:$F$2245,C16)</x:f>
        <x:v>417</x:v>
      </x:c>
      <x:c r="Q16" s="15" t="n">
        <x:f>IF(O16=0,"해당 없음",P16/O16)</x:f>
        <x:v>0.801923076923077</x:v>
      </x:c>
      <x:c r="R16" s="14" t="n">
        <x:f>SUMIFS('경기별지표'!$P$6:$P$2245,'경기별지표'!$E$6:$E$2245,B16,'경기별지표'!$F$6:$F$2245,C16)</x:f>
        <x:v>4144</x:v>
      </x:c>
    </x:row>
    <x:row r="17" ht="22" customHeight="1">
      <x:c r="A17" s="2" t="n">
        <x:v>6</x:v>
      </x:c>
      <x:c r="B17" s="2" t="str">
        <x:v>200만</x:v>
      </x:c>
      <x:c r="C17" s="2" t="str">
        <x:v>규칙형</x:v>
      </x:c>
      <x:c r="D17" s="14" t="n">
        <x:f>COUNTIFS('경기별지표'!$E$6:$E$2245,B17,'경기별지표'!$F$6:$F$2245,C17)</x:f>
        <x:v>40</x:v>
      </x:c>
      <x:c r="E17" s="14" t="n">
        <x:f>COUNTIFS('경기별지표'!$E$6:$E$2245,B17,'경기별지표'!$F$6:$F$2245,C17,'경기별지표'!$G$6:$G$2245,"승")</x:f>
        <x:v>22</x:v>
      </x:c>
      <x:c r="F17" s="14" t="n">
        <x:f>COUNTIFS('경기별지표'!$E$6:$E$2245,B17,'경기별지표'!$F$6:$F$2245,C17,'경기별지표'!$G$6:$G$2245,"무")</x:f>
        <x:v>9</x:v>
      </x:c>
      <x:c r="G17" s="14" t="n">
        <x:f>COUNTIFS('경기별지표'!$E$6:$E$2245,B17,'경기별지표'!$F$6:$F$2245,C17,'경기별지표'!$G$6:$G$2245,"패")</x:f>
        <x:v>9</x:v>
      </x:c>
      <x:c r="H17" s="14" t="n">
        <x:f>SUMIFS('경기별지표'!$H$6:$H$2245,'경기별지표'!$E$6:$E$2245,B17,'경기별지표'!$F$6:$F$2245,C17)</x:f>
        <x:v>143</x:v>
      </x:c>
      <x:c r="I17" s="14" t="n">
        <x:f>SUMIFS('경기별지표'!$I$6:$I$2245,'경기별지표'!$E$6:$E$2245,B17,'경기별지표'!$F$6:$F$2245,C17)</x:f>
        <x:v>96</x:v>
      </x:c>
      <x:c r="J17" s="14" t="n">
        <x:f>H17-I17</x:f>
        <x:v>47</x:v>
      </x:c>
      <x:c r="K17" s="14" t="n">
        <x:f>3*E17+F17</x:f>
        <x:v>75</x:v>
      </x:c>
      <x:c r="L17" s="14" t="n">
        <x:f>SUMIFS('경기별지표'!$J$6:$J$2245,'경기별지표'!$E$6:$E$2245,B17,'경기별지표'!$F$6:$F$2245,C17)</x:f>
        <x:v>308</x:v>
      </x:c>
      <x:c r="M17" s="14" t="n">
        <x:f>SUMIFS('경기별지표'!$K$6:$K$2245,'경기별지표'!$E$6:$E$2245,B17,'경기별지표'!$F$6:$F$2245,C17)</x:f>
        <x:v>142</x:v>
      </x:c>
      <x:c r="N17" s="15" t="n">
        <x:f>IF(L17=0,"해당 없음",M17/L17)</x:f>
        <x:v>0.461038961038961</x:v>
      </x:c>
      <x:c r="O17" s="14" t="n">
        <x:f>SUMIFS('경기별지표'!$M$6:$M$2245,'경기별지표'!$E$6:$E$2245,B17,'경기별지표'!$F$6:$F$2245,C17)</x:f>
        <x:v>296</x:v>
      </x:c>
      <x:c r="P17" s="14" t="n">
        <x:f>SUMIFS('경기별지표'!$N$6:$N$2245,'경기별지표'!$E$6:$E$2245,B17,'경기별지표'!$F$6:$F$2245,C17)</x:f>
        <x:v>209</x:v>
      </x:c>
      <x:c r="Q17" s="15" t="n">
        <x:f>IF(O17=0,"해당 없음",P17/O17)</x:f>
        <x:v>0.706081081081081</x:v>
      </x:c>
      <x:c r="R17" s="14" t="n">
        <x:f>SUMIFS('경기별지표'!$P$6:$P$2245,'경기별지표'!$E$6:$E$2245,B17,'경기별지표'!$F$6:$F$2245,C17)</x:f>
        <x:v>4139</x:v>
      </x:c>
    </x:row>
    <x:row r="18" ht="22" customHeight="1">
      <x:c r="A18" s="2" t="n">
        <x:v>7</x:v>
      </x:c>
      <x:c r="B18" s="2" t="str">
        <x:v>규칙형</x:v>
      </x:c>
      <x:c r="C18" s="2" t="str">
        <x:v>240만</x:v>
      </x:c>
      <x:c r="D18" s="14" t="n">
        <x:f>COUNTIFS('경기별지표'!$E$6:$E$2245,B18,'경기별지표'!$F$6:$F$2245,C18)</x:f>
        <x:v>40</x:v>
      </x:c>
      <x:c r="E18" s="14" t="n">
        <x:f>COUNTIFS('경기별지표'!$E$6:$E$2245,B18,'경기별지표'!$F$6:$F$2245,C18,'경기별지표'!$G$6:$G$2245,"승")</x:f>
        <x:v>7</x:v>
      </x:c>
      <x:c r="F18" s="14" t="n">
        <x:f>COUNTIFS('경기별지표'!$E$6:$E$2245,B18,'경기별지표'!$F$6:$F$2245,C18,'경기별지표'!$G$6:$G$2245,"무")</x:f>
        <x:v>7</x:v>
      </x:c>
      <x:c r="G18" s="14" t="n">
        <x:f>COUNTIFS('경기별지표'!$E$6:$E$2245,B18,'경기별지표'!$F$6:$F$2245,C18,'경기별지표'!$G$6:$G$2245,"패")</x:f>
        <x:v>26</x:v>
      </x:c>
      <x:c r="H18" s="14" t="n">
        <x:f>SUMIFS('경기별지표'!$H$6:$H$2245,'경기별지표'!$E$6:$E$2245,B18,'경기별지표'!$F$6:$F$2245,C18)</x:f>
        <x:v>94</x:v>
      </x:c>
      <x:c r="I18" s="14" t="n">
        <x:f>SUMIFS('경기별지표'!$I$6:$I$2245,'경기별지표'!$E$6:$E$2245,B18,'경기별지표'!$F$6:$F$2245,C18)</x:f>
        <x:v>174</x:v>
      </x:c>
      <x:c r="J18" s="14" t="n">
        <x:f>H18-I18</x:f>
        <x:v>-80</x:v>
      </x:c>
      <x:c r="K18" s="14" t="n">
        <x:f>3*E18+F18</x:f>
        <x:v>28</x:v>
      </x:c>
      <x:c r="L18" s="14" t="n">
        <x:f>SUMIFS('경기별지표'!$J$6:$J$2245,'경기별지표'!$E$6:$E$2245,B18,'경기별지표'!$F$6:$F$2245,C18)</x:f>
        <x:v>395</x:v>
      </x:c>
      <x:c r="M18" s="14" t="n">
        <x:f>SUMIFS('경기별지표'!$K$6:$K$2245,'경기별지표'!$E$6:$E$2245,B18,'경기별지표'!$F$6:$F$2245,C18)</x:f>
        <x:v>93</x:v>
      </x:c>
      <x:c r="N18" s="15" t="n">
        <x:f>IF(L18=0,"해당 없음",M18/L18)</x:f>
        <x:v>0.23544303797468355</x:v>
      </x:c>
      <x:c r="O18" s="14" t="n">
        <x:f>SUMIFS('경기별지표'!$M$6:$M$2245,'경기별지표'!$E$6:$E$2245,B18,'경기별지표'!$F$6:$F$2245,C18)</x:f>
        <x:v>480</x:v>
      </x:c>
      <x:c r="P18" s="14" t="n">
        <x:f>SUMIFS('경기별지표'!$N$6:$N$2245,'경기별지표'!$E$6:$E$2245,B18,'경기별지표'!$F$6:$F$2245,C18)</x:f>
        <x:v>395</x:v>
      </x:c>
      <x:c r="Q18" s="15" t="n">
        <x:f>IF(O18=0,"해당 없음",P18/O18)</x:f>
        <x:v>0.8229166666666666</x:v>
      </x:c>
      <x:c r="R18" s="14" t="n">
        <x:f>SUMIFS('경기별지표'!$P$6:$P$2245,'경기별지표'!$E$6:$E$2245,B18,'경기별지표'!$F$6:$F$2245,C18)</x:f>
        <x:v>4152</x:v>
      </x:c>
    </x:row>
    <x:row r="19" ht="22" customHeight="1">
      <x:c r="A19" s="2" t="n">
        <x:v>7</x:v>
      </x:c>
      <x:c r="B19" s="2" t="str">
        <x:v>240만</x:v>
      </x:c>
      <x:c r="C19" s="2" t="str">
        <x:v>규칙형</x:v>
      </x:c>
      <x:c r="D19" s="14" t="n">
        <x:f>COUNTIFS('경기별지표'!$E$6:$E$2245,B19,'경기별지표'!$F$6:$F$2245,C19)</x:f>
        <x:v>40</x:v>
      </x:c>
      <x:c r="E19" s="14" t="n">
        <x:f>COUNTIFS('경기별지표'!$E$6:$E$2245,B19,'경기별지표'!$F$6:$F$2245,C19,'경기별지표'!$G$6:$G$2245,"승")</x:f>
        <x:v>26</x:v>
      </x:c>
      <x:c r="F19" s="14" t="n">
        <x:f>COUNTIFS('경기별지표'!$E$6:$E$2245,B19,'경기별지표'!$F$6:$F$2245,C19,'경기별지표'!$G$6:$G$2245,"무")</x:f>
        <x:v>7</x:v>
      </x:c>
      <x:c r="G19" s="14" t="n">
        <x:f>COUNTIFS('경기별지표'!$E$6:$E$2245,B19,'경기별지표'!$F$6:$F$2245,C19,'경기별지표'!$G$6:$G$2245,"패")</x:f>
        <x:v>7</x:v>
      </x:c>
      <x:c r="H19" s="14" t="n">
        <x:f>SUMIFS('경기별지표'!$H$6:$H$2245,'경기별지표'!$E$6:$E$2245,B19,'경기별지표'!$F$6:$F$2245,C19)</x:f>
        <x:v>174</x:v>
      </x:c>
      <x:c r="I19" s="14" t="n">
        <x:f>SUMIFS('경기별지표'!$I$6:$I$2245,'경기별지표'!$E$6:$E$2245,B19,'경기별지표'!$F$6:$F$2245,C19)</x:f>
        <x:v>94</x:v>
      </x:c>
      <x:c r="J19" s="14" t="n">
        <x:f>H19-I19</x:f>
        <x:v>80</x:v>
      </x:c>
      <x:c r="K19" s="14" t="n">
        <x:f>3*E19+F19</x:f>
        <x:v>85</x:v>
      </x:c>
      <x:c r="L19" s="14" t="n">
        <x:f>SUMIFS('경기별지표'!$J$6:$J$2245,'경기별지표'!$E$6:$E$2245,B19,'경기별지표'!$F$6:$F$2245,C19)</x:f>
        <x:v>343</x:v>
      </x:c>
      <x:c r="M19" s="14" t="n">
        <x:f>SUMIFS('경기별지표'!$K$6:$K$2245,'경기별지표'!$E$6:$E$2245,B19,'경기별지표'!$F$6:$F$2245,C19)</x:f>
        <x:v>172</x:v>
      </x:c>
      <x:c r="N19" s="15" t="n">
        <x:f>IF(L19=0,"해당 없음",M19/L19)</x:f>
        <x:v>0.5014577259475219</x:v>
      </x:c>
      <x:c r="O19" s="14" t="n">
        <x:f>SUMIFS('경기별지표'!$M$6:$M$2245,'경기별지표'!$E$6:$E$2245,B19,'경기별지표'!$F$6:$F$2245,C19)</x:f>
        <x:v>302</x:v>
      </x:c>
      <x:c r="P19" s="14" t="n">
        <x:f>SUMIFS('경기별지표'!$N$6:$N$2245,'경기별지표'!$E$6:$E$2245,B19,'경기별지표'!$F$6:$F$2245,C19)</x:f>
        <x:v>209</x:v>
      </x:c>
      <x:c r="Q19" s="15" t="n">
        <x:f>IF(O19=0,"해당 없음",P19/O19)</x:f>
        <x:v>0.6920529801324503</x:v>
      </x:c>
      <x:c r="R19" s="14" t="n">
        <x:f>SUMIFS('경기별지표'!$P$6:$P$2245,'경기별지표'!$E$6:$E$2245,B19,'경기별지표'!$F$6:$F$2245,C19)</x:f>
        <x:v>4157</x:v>
      </x:c>
    </x:row>
    <x:row r="20" ht="22" customHeight="1">
      <x:c r="A20" s="2" t="n">
        <x:v>8</x:v>
      </x:c>
      <x:c r="B20" s="2" t="str">
        <x:v>0만</x:v>
      </x:c>
      <x:c r="C20" s="2" t="str">
        <x:v>40만</x:v>
      </x:c>
      <x:c r="D20" s="14" t="n">
        <x:f>COUNTIFS('경기별지표'!$E$6:$E$2245,B20,'경기별지표'!$F$6:$F$2245,C20)</x:f>
        <x:v>40</x:v>
      </x:c>
      <x:c r="E20" s="14" t="n">
        <x:f>COUNTIFS('경기별지표'!$E$6:$E$2245,B20,'경기별지표'!$F$6:$F$2245,C20,'경기별지표'!$G$6:$G$2245,"승")</x:f>
        <x:v>2</x:v>
      </x:c>
      <x:c r="F20" s="14" t="n">
        <x:f>COUNTIFS('경기별지표'!$E$6:$E$2245,B20,'경기별지표'!$F$6:$F$2245,C20,'경기별지표'!$G$6:$G$2245,"무")</x:f>
        <x:v>1</x:v>
      </x:c>
      <x:c r="G20" s="14" t="n">
        <x:f>COUNTIFS('경기별지표'!$E$6:$E$2245,B20,'경기별지표'!$F$6:$F$2245,C20,'경기별지표'!$G$6:$G$2245,"패")</x:f>
        <x:v>37</x:v>
      </x:c>
      <x:c r="H20" s="14" t="n">
        <x:f>SUMIFS('경기별지표'!$H$6:$H$2245,'경기별지표'!$E$6:$E$2245,B20,'경기별지표'!$F$6:$F$2245,C20)</x:f>
        <x:v>60</x:v>
      </x:c>
      <x:c r="I20" s="14" t="n">
        <x:f>SUMIFS('경기별지표'!$I$6:$I$2245,'경기별지표'!$E$6:$E$2245,B20,'경기별지표'!$F$6:$F$2245,C20)</x:f>
        <x:v>222</x:v>
      </x:c>
      <x:c r="J20" s="14" t="n">
        <x:f>H20-I20</x:f>
        <x:v>-162</x:v>
      </x:c>
      <x:c r="K20" s="14" t="n">
        <x:f>3*E20+F20</x:f>
        <x:v>7</x:v>
      </x:c>
      <x:c r="L20" s="14" t="n">
        <x:f>SUMIFS('경기별지표'!$J$6:$J$2245,'경기별지표'!$E$6:$E$2245,B20,'경기별지표'!$F$6:$F$2245,C20)</x:f>
        <x:v>174</x:v>
      </x:c>
      <x:c r="M20" s="14" t="n">
        <x:f>SUMIFS('경기별지표'!$K$6:$K$2245,'경기별지표'!$E$6:$E$2245,B20,'경기별지표'!$F$6:$F$2245,C20)</x:f>
        <x:v>60</x:v>
      </x:c>
      <x:c r="N20" s="15" t="n">
        <x:f>IF(L20=0,"해당 없음",M20/L20)</x:f>
        <x:v>0.3448275862068966</x:v>
      </x:c>
      <x:c r="O20" s="14" t="n">
        <x:f>SUMIFS('경기별지표'!$M$6:$M$2245,'경기별지표'!$E$6:$E$2245,B20,'경기별지표'!$F$6:$F$2245,C20)</x:f>
        <x:v>259</x:v>
      </x:c>
      <x:c r="P20" s="14" t="n">
        <x:f>SUMIFS('경기별지표'!$N$6:$N$2245,'경기별지표'!$E$6:$E$2245,B20,'경기별지표'!$F$6:$F$2245,C20)</x:f>
        <x:v>183</x:v>
      </x:c>
      <x:c r="Q20" s="15" t="n">
        <x:f>IF(O20=0,"해당 없음",P20/O20)</x:f>
        <x:v>0.7065637065637066</x:v>
      </x:c>
      <x:c r="R20" s="14" t="n">
        <x:f>SUMIFS('경기별지표'!$P$6:$P$2245,'경기별지표'!$E$6:$E$2245,B20,'경기별지표'!$F$6:$F$2245,C20)</x:f>
        <x:v>4167</x:v>
      </x:c>
    </x:row>
    <x:row r="21" ht="22" customHeight="1">
      <x:c r="A21" s="2" t="n">
        <x:v>8</x:v>
      </x:c>
      <x:c r="B21" s="2" t="str">
        <x:v>40만</x:v>
      </x:c>
      <x:c r="C21" s="2" t="str">
        <x:v>0만</x:v>
      </x:c>
      <x:c r="D21" s="14" t="n">
        <x:f>COUNTIFS('경기별지표'!$E$6:$E$2245,B21,'경기별지표'!$F$6:$F$2245,C21)</x:f>
        <x:v>40</x:v>
      </x:c>
      <x:c r="E21" s="14" t="n">
        <x:f>COUNTIFS('경기별지표'!$E$6:$E$2245,B21,'경기별지표'!$F$6:$F$2245,C21,'경기별지표'!$G$6:$G$2245,"승")</x:f>
        <x:v>37</x:v>
      </x:c>
      <x:c r="F21" s="14" t="n">
        <x:f>COUNTIFS('경기별지표'!$E$6:$E$2245,B21,'경기별지표'!$F$6:$F$2245,C21,'경기별지표'!$G$6:$G$2245,"무")</x:f>
        <x:v>1</x:v>
      </x:c>
      <x:c r="G21" s="14" t="n">
        <x:f>COUNTIFS('경기별지표'!$E$6:$E$2245,B21,'경기별지표'!$F$6:$F$2245,C21,'경기별지표'!$G$6:$G$2245,"패")</x:f>
        <x:v>2</x:v>
      </x:c>
      <x:c r="H21" s="14" t="n">
        <x:f>SUMIFS('경기별지표'!$H$6:$H$2245,'경기별지표'!$E$6:$E$2245,B21,'경기별지표'!$F$6:$F$2245,C21)</x:f>
        <x:v>222</x:v>
      </x:c>
      <x:c r="I21" s="14" t="n">
        <x:f>SUMIFS('경기별지표'!$I$6:$I$2245,'경기별지표'!$E$6:$E$2245,B21,'경기별지표'!$F$6:$F$2245,C21)</x:f>
        <x:v>60</x:v>
      </x:c>
      <x:c r="J21" s="14" t="n">
        <x:f>H21-I21</x:f>
        <x:v>162</x:v>
      </x:c>
      <x:c r="K21" s="14" t="n">
        <x:f>3*E21+F21</x:f>
        <x:v>112</x:v>
      </x:c>
      <x:c r="L21" s="14" t="n">
        <x:f>SUMIFS('경기별지표'!$J$6:$J$2245,'경기별지표'!$E$6:$E$2245,B21,'경기별지표'!$F$6:$F$2245,C21)</x:f>
        <x:v>509</x:v>
      </x:c>
      <x:c r="M21" s="14" t="n">
        <x:f>SUMIFS('경기별지표'!$K$6:$K$2245,'경기별지표'!$E$6:$E$2245,B21,'경기별지표'!$F$6:$F$2245,C21)</x:f>
        <x:v>222</x:v>
      </x:c>
      <x:c r="N21" s="15" t="n">
        <x:f>IF(L21=0,"해당 없음",M21/L21)</x:f>
        <x:v>0.4361493123772102</x:v>
      </x:c>
      <x:c r="O21" s="14" t="n">
        <x:f>SUMIFS('경기별지표'!$M$6:$M$2245,'경기별지표'!$E$6:$E$2245,B21,'경기별지표'!$F$6:$F$2245,C21)</x:f>
        <x:v>244</x:v>
      </x:c>
      <x:c r="P21" s="14" t="n">
        <x:f>SUMIFS('경기별지표'!$N$6:$N$2245,'경기별지표'!$E$6:$E$2245,B21,'경기별지표'!$F$6:$F$2245,C21)</x:f>
        <x:v>199</x:v>
      </x:c>
      <x:c r="Q21" s="15" t="n">
        <x:f>IF(O21=0,"해당 없음",P21/O21)</x:f>
        <x:v>0.8155737704918032</x:v>
      </x:c>
      <x:c r="R21" s="14" t="n">
        <x:f>SUMIFS('경기별지표'!$P$6:$P$2245,'경기별지표'!$E$6:$E$2245,B21,'경기별지표'!$F$6:$F$2245,C21)</x:f>
        <x:v>4163</x:v>
      </x:c>
    </x:row>
    <x:row r="22" ht="22" customHeight="1">
      <x:c r="A22" s="2" t="n">
        <x:v>9</x:v>
      </x:c>
      <x:c r="B22" s="2" t="str">
        <x:v>0만</x:v>
      </x:c>
      <x:c r="C22" s="2" t="str">
        <x:v>80만</x:v>
      </x:c>
      <x:c r="D22" s="14" t="n">
        <x:f>COUNTIFS('경기별지표'!$E$6:$E$2245,B22,'경기별지표'!$F$6:$F$2245,C22)</x:f>
        <x:v>40</x:v>
      </x:c>
      <x:c r="E22" s="14" t="n">
        <x:f>COUNTIFS('경기별지표'!$E$6:$E$2245,B22,'경기별지표'!$F$6:$F$2245,C22,'경기별지표'!$G$6:$G$2245,"승")</x:f>
        <x:v>2</x:v>
      </x:c>
      <x:c r="F22" s="14" t="n">
        <x:f>COUNTIFS('경기별지표'!$E$6:$E$2245,B22,'경기별지표'!$F$6:$F$2245,C22,'경기별지표'!$G$6:$G$2245,"무")</x:f>
        <x:v>2</x:v>
      </x:c>
      <x:c r="G22" s="14" t="n">
        <x:f>COUNTIFS('경기별지표'!$E$6:$E$2245,B22,'경기별지표'!$F$6:$F$2245,C22,'경기별지표'!$G$6:$G$2245,"패")</x:f>
        <x:v>36</x:v>
      </x:c>
      <x:c r="H22" s="14" t="n">
        <x:f>SUMIFS('경기별지표'!$H$6:$H$2245,'경기별지표'!$E$6:$E$2245,B22,'경기별지표'!$F$6:$F$2245,C22)</x:f>
        <x:v>65</x:v>
      </x:c>
      <x:c r="I22" s="14" t="n">
        <x:f>SUMIFS('경기별지표'!$I$6:$I$2245,'경기별지표'!$E$6:$E$2245,B22,'경기별지표'!$F$6:$F$2245,C22)</x:f>
        <x:v>244</x:v>
      </x:c>
      <x:c r="J22" s="14" t="n">
        <x:f>H22-I22</x:f>
        <x:v>-179</x:v>
      </x:c>
      <x:c r="K22" s="14" t="n">
        <x:f>3*E22+F22</x:f>
        <x:v>8</x:v>
      </x:c>
      <x:c r="L22" s="14" t="n">
        <x:f>SUMIFS('경기별지표'!$J$6:$J$2245,'경기별지표'!$E$6:$E$2245,B22,'경기별지표'!$F$6:$F$2245,C22)</x:f>
        <x:v>182</x:v>
      </x:c>
      <x:c r="M22" s="14" t="n">
        <x:f>SUMIFS('경기별지표'!$K$6:$K$2245,'경기별지표'!$E$6:$E$2245,B22,'경기별지표'!$F$6:$F$2245,C22)</x:f>
        <x:v>65</x:v>
      </x:c>
      <x:c r="N22" s="15" t="n">
        <x:f>IF(L22=0,"해당 없음",M22/L22)</x:f>
        <x:v>0.35714285714285715</x:v>
      </x:c>
      <x:c r="O22" s="14" t="n">
        <x:f>SUMIFS('경기별지표'!$M$6:$M$2245,'경기별지표'!$E$6:$E$2245,B22,'경기별지표'!$F$6:$F$2245,C22)</x:f>
        <x:v>270</x:v>
      </x:c>
      <x:c r="P22" s="14" t="n">
        <x:f>SUMIFS('경기별지표'!$N$6:$N$2245,'경기별지표'!$E$6:$E$2245,B22,'경기별지표'!$F$6:$F$2245,C22)</x:f>
        <x:v>212</x:v>
      </x:c>
      <x:c r="Q22" s="15" t="n">
        <x:f>IF(O22=0,"해당 없음",P22/O22)</x:f>
        <x:v>0.7851851851851852</x:v>
      </x:c>
      <x:c r="R22" s="14" t="n">
        <x:f>SUMIFS('경기별지표'!$P$6:$P$2245,'경기별지표'!$E$6:$E$2245,B22,'경기별지표'!$F$6:$F$2245,C22)</x:f>
        <x:v>4181</x:v>
      </x:c>
    </x:row>
    <x:row r="23" ht="22" customHeight="1">
      <x:c r="A23" s="2" t="n">
        <x:v>9</x:v>
      </x:c>
      <x:c r="B23" s="2" t="str">
        <x:v>80만</x:v>
      </x:c>
      <x:c r="C23" s="2" t="str">
        <x:v>0만</x:v>
      </x:c>
      <x:c r="D23" s="14" t="n">
        <x:f>COUNTIFS('경기별지표'!$E$6:$E$2245,B23,'경기별지표'!$F$6:$F$2245,C23)</x:f>
        <x:v>40</x:v>
      </x:c>
      <x:c r="E23" s="14" t="n">
        <x:f>COUNTIFS('경기별지표'!$E$6:$E$2245,B23,'경기별지표'!$F$6:$F$2245,C23,'경기별지표'!$G$6:$G$2245,"승")</x:f>
        <x:v>36</x:v>
      </x:c>
      <x:c r="F23" s="14" t="n">
        <x:f>COUNTIFS('경기별지표'!$E$6:$E$2245,B23,'경기별지표'!$F$6:$F$2245,C23,'경기별지표'!$G$6:$G$2245,"무")</x:f>
        <x:v>2</x:v>
      </x:c>
      <x:c r="G23" s="14" t="n">
        <x:f>COUNTIFS('경기별지표'!$E$6:$E$2245,B23,'경기별지표'!$F$6:$F$2245,C23,'경기별지표'!$G$6:$G$2245,"패")</x:f>
        <x:v>2</x:v>
      </x:c>
      <x:c r="H23" s="14" t="n">
        <x:f>SUMIFS('경기별지표'!$H$6:$H$2245,'경기별지표'!$E$6:$E$2245,B23,'경기별지표'!$F$6:$F$2245,C23)</x:f>
        <x:v>244</x:v>
      </x:c>
      <x:c r="I23" s="14" t="n">
        <x:f>SUMIFS('경기별지표'!$I$6:$I$2245,'경기별지표'!$E$6:$E$2245,B23,'경기별지표'!$F$6:$F$2245,C23)</x:f>
        <x:v>65</x:v>
      </x:c>
      <x:c r="J23" s="14" t="n">
        <x:f>H23-I23</x:f>
        <x:v>179</x:v>
      </x:c>
      <x:c r="K23" s="14" t="n">
        <x:f>3*E23+F23</x:f>
        <x:v>110</x:v>
      </x:c>
      <x:c r="L23" s="14" t="n">
        <x:f>SUMIFS('경기별지표'!$J$6:$J$2245,'경기별지표'!$E$6:$E$2245,B23,'경기별지표'!$F$6:$F$2245,C23)</x:f>
        <x:v>487</x:v>
      </x:c>
      <x:c r="M23" s="14" t="n">
        <x:f>SUMIFS('경기별지표'!$K$6:$K$2245,'경기별지표'!$E$6:$E$2245,B23,'경기별지표'!$F$6:$F$2245,C23)</x:f>
        <x:v>244</x:v>
      </x:c>
      <x:c r="N23" s="15" t="n">
        <x:f>IF(L23=0,"해당 없음",M23/L23)</x:f>
        <x:v>0.5010266940451745</x:v>
      </x:c>
      <x:c r="O23" s="14" t="n">
        <x:f>SUMIFS('경기별지표'!$M$6:$M$2245,'경기별지표'!$E$6:$E$2245,B23,'경기별지표'!$F$6:$F$2245,C23)</x:f>
        <x:v>266</x:v>
      </x:c>
      <x:c r="P23" s="14" t="n">
        <x:f>SUMIFS('경기별지표'!$N$6:$N$2245,'경기별지표'!$E$6:$E$2245,B23,'경기별지표'!$F$6:$F$2245,C23)</x:f>
        <x:v>213</x:v>
      </x:c>
      <x:c r="Q23" s="15" t="n">
        <x:f>IF(O23=0,"해당 없음",P23/O23)</x:f>
        <x:v>0.8007518796992481</x:v>
      </x:c>
      <x:c r="R23" s="14" t="n">
        <x:f>SUMIFS('경기별지표'!$P$6:$P$2245,'경기별지표'!$E$6:$E$2245,B23,'경기별지표'!$F$6:$F$2245,C23)</x:f>
        <x:v>4175</x:v>
      </x:c>
    </x:row>
    <x:row r="24" ht="22" customHeight="1">
      <x:c r="A24" s="2" t="n">
        <x:v>10</x:v>
      </x:c>
      <x:c r="B24" s="2" t="str">
        <x:v>0만</x:v>
      </x:c>
      <x:c r="C24" s="2" t="str">
        <x:v>120만</x:v>
      </x:c>
      <x:c r="D24" s="14" t="n">
        <x:f>COUNTIFS('경기별지표'!$E$6:$E$2245,B24,'경기별지표'!$F$6:$F$2245,C24)</x:f>
        <x:v>40</x:v>
      </x:c>
      <x:c r="E24" s="14" t="n">
        <x:f>COUNTIFS('경기별지표'!$E$6:$E$2245,B24,'경기별지표'!$F$6:$F$2245,C24,'경기별지표'!$G$6:$G$2245,"승")</x:f>
        <x:v>0</x:v>
      </x:c>
      <x:c r="F24" s="14" t="n">
        <x:f>COUNTIFS('경기별지표'!$E$6:$E$2245,B24,'경기별지표'!$F$6:$F$2245,C24,'경기별지표'!$G$6:$G$2245,"무")</x:f>
        <x:v>1</x:v>
      </x:c>
      <x:c r="G24" s="14" t="n">
        <x:f>COUNTIFS('경기별지표'!$E$6:$E$2245,B24,'경기별지표'!$F$6:$F$2245,C24,'경기별지표'!$G$6:$G$2245,"패")</x:f>
        <x:v>39</x:v>
      </x:c>
      <x:c r="H24" s="14" t="n">
        <x:f>SUMIFS('경기별지표'!$H$6:$H$2245,'경기별지표'!$E$6:$E$2245,B24,'경기별지표'!$F$6:$F$2245,C24)</x:f>
        <x:v>59</x:v>
      </x:c>
      <x:c r="I24" s="14" t="n">
        <x:f>SUMIFS('경기별지표'!$I$6:$I$2245,'경기별지표'!$E$6:$E$2245,B24,'경기별지표'!$F$6:$F$2245,C24)</x:f>
        <x:v>261</x:v>
      </x:c>
      <x:c r="J24" s="14" t="n">
        <x:f>H24-I24</x:f>
        <x:v>-202</x:v>
      </x:c>
      <x:c r="K24" s="14" t="n">
        <x:f>3*E24+F24</x:f>
        <x:v>1</x:v>
      </x:c>
      <x:c r="L24" s="14" t="n">
        <x:f>SUMIFS('경기별지표'!$J$6:$J$2245,'경기별지표'!$E$6:$E$2245,B24,'경기별지표'!$F$6:$F$2245,C24)</x:f>
        <x:v>183</x:v>
      </x:c>
      <x:c r="M24" s="14" t="n">
        <x:f>SUMIFS('경기별지표'!$K$6:$K$2245,'경기별지표'!$E$6:$E$2245,B24,'경기별지표'!$F$6:$F$2245,C24)</x:f>
        <x:v>59</x:v>
      </x:c>
      <x:c r="N24" s="15" t="n">
        <x:f>IF(L24=0,"해당 없음",M24/L24)</x:f>
        <x:v>0.3224043715846995</x:v>
      </x:c>
      <x:c r="O24" s="14" t="n">
        <x:f>SUMIFS('경기별지표'!$M$6:$M$2245,'경기별지표'!$E$6:$E$2245,B24,'경기별지표'!$F$6:$F$2245,C24)</x:f>
        <x:v>265</x:v>
      </x:c>
      <x:c r="P24" s="14" t="n">
        <x:f>SUMIFS('경기별지표'!$N$6:$N$2245,'경기별지표'!$E$6:$E$2245,B24,'경기별지표'!$F$6:$F$2245,C24)</x:f>
        <x:v>208</x:v>
      </x:c>
      <x:c r="Q24" s="15" t="n">
        <x:f>IF(O24=0,"해당 없음",P24/O24)</x:f>
        <x:v>0.7849056603773585</x:v>
      </x:c>
      <x:c r="R24" s="14" t="n">
        <x:f>SUMIFS('경기별지표'!$P$6:$P$2245,'경기별지표'!$E$6:$E$2245,B24,'경기별지표'!$F$6:$F$2245,C24)</x:f>
        <x:v>4186</x:v>
      </x:c>
    </x:row>
    <x:row r="25" ht="22" customHeight="1">
      <x:c r="A25" s="2" t="n">
        <x:v>10</x:v>
      </x:c>
      <x:c r="B25" s="2" t="str">
        <x:v>120만</x:v>
      </x:c>
      <x:c r="C25" s="2" t="str">
        <x:v>0만</x:v>
      </x:c>
      <x:c r="D25" s="14" t="n">
        <x:f>COUNTIFS('경기별지표'!$E$6:$E$2245,B25,'경기별지표'!$F$6:$F$2245,C25)</x:f>
        <x:v>40</x:v>
      </x:c>
      <x:c r="E25" s="14" t="n">
        <x:f>COUNTIFS('경기별지표'!$E$6:$E$2245,B25,'경기별지표'!$F$6:$F$2245,C25,'경기별지표'!$G$6:$G$2245,"승")</x:f>
        <x:v>39</x:v>
      </x:c>
      <x:c r="F25" s="14" t="n">
        <x:f>COUNTIFS('경기별지표'!$E$6:$E$2245,B25,'경기별지표'!$F$6:$F$2245,C25,'경기별지표'!$G$6:$G$2245,"무")</x:f>
        <x:v>1</x:v>
      </x:c>
      <x:c r="G25" s="14" t="n">
        <x:f>COUNTIFS('경기별지표'!$E$6:$E$2245,B25,'경기별지표'!$F$6:$F$2245,C25,'경기별지표'!$G$6:$G$2245,"패")</x:f>
        <x:v>0</x:v>
      </x:c>
      <x:c r="H25" s="14" t="n">
        <x:f>SUMIFS('경기별지표'!$H$6:$H$2245,'경기별지표'!$E$6:$E$2245,B25,'경기별지표'!$F$6:$F$2245,C25)</x:f>
        <x:v>261</x:v>
      </x:c>
      <x:c r="I25" s="14" t="n">
        <x:f>SUMIFS('경기별지표'!$I$6:$I$2245,'경기별지표'!$E$6:$E$2245,B25,'경기별지표'!$F$6:$F$2245,C25)</x:f>
        <x:v>59</x:v>
      </x:c>
      <x:c r="J25" s="14" t="n">
        <x:f>H25-I25</x:f>
        <x:v>202</x:v>
      </x:c>
      <x:c r="K25" s="14" t="n">
        <x:f>3*E25+F25</x:f>
        <x:v>118</x:v>
      </x:c>
      <x:c r="L25" s="14" t="n">
        <x:f>SUMIFS('경기별지표'!$J$6:$J$2245,'경기별지표'!$E$6:$E$2245,B25,'경기별지표'!$F$6:$F$2245,C25)</x:f>
        <x:v>508</x:v>
      </x:c>
      <x:c r="M25" s="14" t="n">
        <x:f>SUMIFS('경기별지표'!$K$6:$K$2245,'경기별지표'!$E$6:$E$2245,B25,'경기별지표'!$F$6:$F$2245,C25)</x:f>
        <x:v>260</x:v>
      </x:c>
      <x:c r="N25" s="15" t="n">
        <x:f>IF(L25=0,"해당 없음",M25/L25)</x:f>
        <x:v>0.5118110236220472</x:v>
      </x:c>
      <x:c r="O25" s="14" t="n">
        <x:f>SUMIFS('경기별지표'!$M$6:$M$2245,'경기별지표'!$E$6:$E$2245,B25,'경기별지표'!$F$6:$F$2245,C25)</x:f>
        <x:v>256</x:v>
      </x:c>
      <x:c r="P25" s="14" t="n">
        <x:f>SUMIFS('경기별지표'!$N$6:$N$2245,'경기별지표'!$E$6:$E$2245,B25,'경기별지표'!$F$6:$F$2245,C25)</x:f>
        <x:v>200</x:v>
      </x:c>
      <x:c r="Q25" s="15" t="n">
        <x:f>IF(O25=0,"해당 없음",P25/O25)</x:f>
        <x:v>0.78125</x:v>
      </x:c>
      <x:c r="R25" s="14" t="n">
        <x:f>SUMIFS('경기별지표'!$P$6:$P$2245,'경기별지표'!$E$6:$E$2245,B25,'경기별지표'!$F$6:$F$2245,C25)</x:f>
        <x:v>4182</x:v>
      </x:c>
    </x:row>
    <x:row r="26" ht="22" customHeight="1">
      <x:c r="A26" s="2" t="n">
        <x:v>11</x:v>
      </x:c>
      <x:c r="B26" s="2" t="str">
        <x:v>0만</x:v>
      </x:c>
      <x:c r="C26" s="2" t="str">
        <x:v>160만</x:v>
      </x:c>
      <x:c r="D26" s="14" t="n">
        <x:f>COUNTIFS('경기별지표'!$E$6:$E$2245,B26,'경기별지표'!$F$6:$F$2245,C26)</x:f>
        <x:v>40</x:v>
      </x:c>
      <x:c r="E26" s="14" t="n">
        <x:f>COUNTIFS('경기별지표'!$E$6:$E$2245,B26,'경기별지표'!$F$6:$F$2245,C26,'경기별지표'!$G$6:$G$2245,"승")</x:f>
        <x:v>0</x:v>
      </x:c>
      <x:c r="F26" s="14" t="n">
        <x:f>COUNTIFS('경기별지표'!$E$6:$E$2245,B26,'경기별지표'!$F$6:$F$2245,C26,'경기별지표'!$G$6:$G$2245,"무")</x:f>
        <x:v>2</x:v>
      </x:c>
      <x:c r="G26" s="14" t="n">
        <x:f>COUNTIFS('경기별지표'!$E$6:$E$2245,B26,'경기별지표'!$F$6:$F$2245,C26,'경기별지표'!$G$6:$G$2245,"패")</x:f>
        <x:v>38</x:v>
      </x:c>
      <x:c r="H26" s="14" t="n">
        <x:f>SUMIFS('경기별지표'!$H$6:$H$2245,'경기별지표'!$E$6:$E$2245,B26,'경기별지표'!$F$6:$F$2245,C26)</x:f>
        <x:v>53</x:v>
      </x:c>
      <x:c r="I26" s="14" t="n">
        <x:f>SUMIFS('경기별지표'!$I$6:$I$2245,'경기별지표'!$E$6:$E$2245,B26,'경기별지표'!$F$6:$F$2245,C26)</x:f>
        <x:v>251</x:v>
      </x:c>
      <x:c r="J26" s="14" t="n">
        <x:f>H26-I26</x:f>
        <x:v>-198</x:v>
      </x:c>
      <x:c r="K26" s="14" t="n">
        <x:f>3*E26+F26</x:f>
        <x:v>2</x:v>
      </x:c>
      <x:c r="L26" s="14" t="n">
        <x:f>SUMIFS('경기별지표'!$J$6:$J$2245,'경기별지표'!$E$6:$E$2245,B26,'경기별지표'!$F$6:$F$2245,C26)</x:f>
        <x:v>209</x:v>
      </x:c>
      <x:c r="M26" s="14" t="n">
        <x:f>SUMIFS('경기별지표'!$K$6:$K$2245,'경기별지표'!$E$6:$E$2245,B26,'경기별지표'!$F$6:$F$2245,C26)</x:f>
        <x:v>52</x:v>
      </x:c>
      <x:c r="N26" s="15" t="n">
        <x:f>IF(L26=0,"해당 없음",M26/L26)</x:f>
        <x:v>0.24880382775119617</x:v>
      </x:c>
      <x:c r="O26" s="14" t="n">
        <x:f>SUMIFS('경기별지표'!$M$6:$M$2245,'경기별지표'!$E$6:$E$2245,B26,'경기별지표'!$F$6:$F$2245,C26)</x:f>
        <x:v>300</x:v>
      </x:c>
      <x:c r="P26" s="14" t="n">
        <x:f>SUMIFS('경기별지표'!$N$6:$N$2245,'경기별지표'!$E$6:$E$2245,B26,'경기별지표'!$F$6:$F$2245,C26)</x:f>
        <x:v>240</x:v>
      </x:c>
      <x:c r="Q26" s="15" t="n">
        <x:f>IF(O26=0,"해당 없음",P26/O26)</x:f>
        <x:v>0.8</x:v>
      </x:c>
      <x:c r="R26" s="14" t="n">
        <x:f>SUMIFS('경기별지표'!$P$6:$P$2245,'경기별지표'!$E$6:$E$2245,B26,'경기별지표'!$F$6:$F$2245,C26)</x:f>
        <x:v>4170</x:v>
      </x:c>
    </x:row>
    <x:row r="27" ht="22" customHeight="1">
      <x:c r="A27" s="2" t="n">
        <x:v>11</x:v>
      </x:c>
      <x:c r="B27" s="2" t="str">
        <x:v>160만</x:v>
      </x:c>
      <x:c r="C27" s="2" t="str">
        <x:v>0만</x:v>
      </x:c>
      <x:c r="D27" s="14" t="n">
        <x:f>COUNTIFS('경기별지표'!$E$6:$E$2245,B27,'경기별지표'!$F$6:$F$2245,C27)</x:f>
        <x:v>40</x:v>
      </x:c>
      <x:c r="E27" s="14" t="n">
        <x:f>COUNTIFS('경기별지표'!$E$6:$E$2245,B27,'경기별지표'!$F$6:$F$2245,C27,'경기별지표'!$G$6:$G$2245,"승")</x:f>
        <x:v>38</x:v>
      </x:c>
      <x:c r="F27" s="14" t="n">
        <x:f>COUNTIFS('경기별지표'!$E$6:$E$2245,B27,'경기별지표'!$F$6:$F$2245,C27,'경기별지표'!$G$6:$G$2245,"무")</x:f>
        <x:v>2</x:v>
      </x:c>
      <x:c r="G27" s="14" t="n">
        <x:f>COUNTIFS('경기별지표'!$E$6:$E$2245,B27,'경기별지표'!$F$6:$F$2245,C27,'경기별지표'!$G$6:$G$2245,"패")</x:f>
        <x:v>0</x:v>
      </x:c>
      <x:c r="H27" s="14" t="n">
        <x:f>SUMIFS('경기별지표'!$H$6:$H$2245,'경기별지표'!$E$6:$E$2245,B27,'경기별지표'!$F$6:$F$2245,C27)</x:f>
        <x:v>251</x:v>
      </x:c>
      <x:c r="I27" s="14" t="n">
        <x:f>SUMIFS('경기별지표'!$I$6:$I$2245,'경기별지표'!$E$6:$E$2245,B27,'경기별지표'!$F$6:$F$2245,C27)</x:f>
        <x:v>53</x:v>
      </x:c>
      <x:c r="J27" s="14" t="n">
        <x:f>H27-I27</x:f>
        <x:v>198</x:v>
      </x:c>
      <x:c r="K27" s="14" t="n">
        <x:f>3*E27+F27</x:f>
        <x:v>116</x:v>
      </x:c>
      <x:c r="L27" s="14" t="n">
        <x:f>SUMIFS('경기별지표'!$J$6:$J$2245,'경기별지표'!$E$6:$E$2245,B27,'경기별지표'!$F$6:$F$2245,C27)</x:f>
        <x:v>498</x:v>
      </x:c>
      <x:c r="M27" s="14" t="n">
        <x:f>SUMIFS('경기별지표'!$K$6:$K$2245,'경기별지표'!$E$6:$E$2245,B27,'경기별지표'!$F$6:$F$2245,C27)</x:f>
        <x:v>250</x:v>
      </x:c>
      <x:c r="N27" s="15" t="n">
        <x:f>IF(L27=0,"해당 없음",M27/L27)</x:f>
        <x:v>0.5020080321285141</x:v>
      </x:c>
      <x:c r="O27" s="14" t="n">
        <x:f>SUMIFS('경기별지표'!$M$6:$M$2245,'경기별지표'!$E$6:$E$2245,B27,'경기별지표'!$F$6:$F$2245,C27)</x:f>
        <x:v>300</x:v>
      </x:c>
      <x:c r="P27" s="14" t="n">
        <x:f>SUMIFS('경기별지표'!$N$6:$N$2245,'경기별지표'!$E$6:$E$2245,B27,'경기별지표'!$F$6:$F$2245,C27)</x:f>
        <x:v>236</x:v>
      </x:c>
      <x:c r="Q27" s="15" t="n">
        <x:f>IF(O27=0,"해당 없음",P27/O27)</x:f>
        <x:v>0.7866666666666666</x:v>
      </x:c>
      <x:c r="R27" s="14" t="n">
        <x:f>SUMIFS('경기별지표'!$P$6:$P$2245,'경기별지표'!$E$6:$E$2245,B27,'경기별지표'!$F$6:$F$2245,C27)</x:f>
        <x:v>4160</x:v>
      </x:c>
    </x:row>
    <x:row r="28" ht="22" customHeight="1">
      <x:c r="A28" s="2" t="n">
        <x:v>12</x:v>
      </x:c>
      <x:c r="B28" s="2" t="str">
        <x:v>0만</x:v>
      </x:c>
      <x:c r="C28" s="2" t="str">
        <x:v>200만</x:v>
      </x:c>
      <x:c r="D28" s="14" t="n">
        <x:f>COUNTIFS('경기별지표'!$E$6:$E$2245,B28,'경기별지표'!$F$6:$F$2245,C28)</x:f>
        <x:v>40</x:v>
      </x:c>
      <x:c r="E28" s="14" t="n">
        <x:f>COUNTIFS('경기별지표'!$E$6:$E$2245,B28,'경기별지표'!$F$6:$F$2245,C28,'경기별지표'!$G$6:$G$2245,"승")</x:f>
        <x:v>3</x:v>
      </x:c>
      <x:c r="F28" s="14" t="n">
        <x:f>COUNTIFS('경기별지표'!$E$6:$E$2245,B28,'경기별지표'!$F$6:$F$2245,C28,'경기별지표'!$G$6:$G$2245,"무")</x:f>
        <x:v>1</x:v>
      </x:c>
      <x:c r="G28" s="14" t="n">
        <x:f>COUNTIFS('경기별지표'!$E$6:$E$2245,B28,'경기별지표'!$F$6:$F$2245,C28,'경기별지표'!$G$6:$G$2245,"패")</x:f>
        <x:v>36</x:v>
      </x:c>
      <x:c r="H28" s="14" t="n">
        <x:f>SUMIFS('경기별지표'!$H$6:$H$2245,'경기별지표'!$E$6:$E$2245,B28,'경기별지표'!$F$6:$F$2245,C28)</x:f>
        <x:v>65</x:v>
      </x:c>
      <x:c r="I28" s="14" t="n">
        <x:f>SUMIFS('경기별지표'!$I$6:$I$2245,'경기별지표'!$E$6:$E$2245,B28,'경기별지표'!$F$6:$F$2245,C28)</x:f>
        <x:v>222</x:v>
      </x:c>
      <x:c r="J28" s="14" t="n">
        <x:f>H28-I28</x:f>
        <x:v>-157</x:v>
      </x:c>
      <x:c r="K28" s="14" t="n">
        <x:f>3*E28+F28</x:f>
        <x:v>10</x:v>
      </x:c>
      <x:c r="L28" s="14" t="n">
        <x:f>SUMIFS('경기별지표'!$J$6:$J$2245,'경기별지표'!$E$6:$E$2245,B28,'경기별지표'!$F$6:$F$2245,C28)</x:f>
        <x:v>235</x:v>
      </x:c>
      <x:c r="M28" s="14" t="n">
        <x:f>SUMIFS('경기별지표'!$K$6:$K$2245,'경기별지표'!$E$6:$E$2245,B28,'경기별지표'!$F$6:$F$2245,C28)</x:f>
        <x:v>64</x:v>
      </x:c>
      <x:c r="N28" s="15" t="n">
        <x:f>IF(L28=0,"해당 없음",M28/L28)</x:f>
        <x:v>0.2723404255319149</x:v>
      </x:c>
      <x:c r="O28" s="14" t="n">
        <x:f>SUMIFS('경기별지표'!$M$6:$M$2245,'경기별지표'!$E$6:$E$2245,B28,'경기별지표'!$F$6:$F$2245,C28)</x:f>
        <x:v>316</x:v>
      </x:c>
      <x:c r="P28" s="14" t="n">
        <x:f>SUMIFS('경기별지표'!$N$6:$N$2245,'경기별지표'!$E$6:$E$2245,B28,'경기별지표'!$F$6:$F$2245,C28)</x:f>
        <x:v>255</x:v>
      </x:c>
      <x:c r="Q28" s="15" t="n">
        <x:f>IF(O28=0,"해당 없음",P28/O28)</x:f>
        <x:v>0.8069620253164557</x:v>
      </x:c>
      <x:c r="R28" s="14" t="n">
        <x:f>SUMIFS('경기별지표'!$P$6:$P$2245,'경기별지표'!$E$6:$E$2245,B28,'경기별지표'!$F$6:$F$2245,C28)</x:f>
        <x:v>4164</x:v>
      </x:c>
    </x:row>
    <x:row r="29" ht="22" customHeight="1">
      <x:c r="A29" s="2" t="n">
        <x:v>12</x:v>
      </x:c>
      <x:c r="B29" s="2" t="str">
        <x:v>200만</x:v>
      </x:c>
      <x:c r="C29" s="2" t="str">
        <x:v>0만</x:v>
      </x:c>
      <x:c r="D29" s="14" t="n">
        <x:f>COUNTIFS('경기별지표'!$E$6:$E$2245,B29,'경기별지표'!$F$6:$F$2245,C29)</x:f>
        <x:v>40</x:v>
      </x:c>
      <x:c r="E29" s="14" t="n">
        <x:f>COUNTIFS('경기별지표'!$E$6:$E$2245,B29,'경기별지표'!$F$6:$F$2245,C29,'경기별지표'!$G$6:$G$2245,"승")</x:f>
        <x:v>36</x:v>
      </x:c>
      <x:c r="F29" s="14" t="n">
        <x:f>COUNTIFS('경기별지표'!$E$6:$E$2245,B29,'경기별지표'!$F$6:$F$2245,C29,'경기별지표'!$G$6:$G$2245,"무")</x:f>
        <x:v>1</x:v>
      </x:c>
      <x:c r="G29" s="14" t="n">
        <x:f>COUNTIFS('경기별지표'!$E$6:$E$2245,B29,'경기별지표'!$F$6:$F$2245,C29,'경기별지표'!$G$6:$G$2245,"패")</x:f>
        <x:v>3</x:v>
      </x:c>
      <x:c r="H29" s="14" t="n">
        <x:f>SUMIFS('경기별지표'!$H$6:$H$2245,'경기별지표'!$E$6:$E$2245,B29,'경기별지표'!$F$6:$F$2245,C29)</x:f>
        <x:v>222</x:v>
      </x:c>
      <x:c r="I29" s="14" t="n">
        <x:f>SUMIFS('경기별지표'!$I$6:$I$2245,'경기별지표'!$E$6:$E$2245,B29,'경기별지표'!$F$6:$F$2245,C29)</x:f>
        <x:v>65</x:v>
      </x:c>
      <x:c r="J29" s="14" t="n">
        <x:f>H29-I29</x:f>
        <x:v>157</x:v>
      </x:c>
      <x:c r="K29" s="14" t="n">
        <x:f>3*E29+F29</x:f>
        <x:v>109</x:v>
      </x:c>
      <x:c r="L29" s="14" t="n">
        <x:f>SUMIFS('경기별지표'!$J$6:$J$2245,'경기별지표'!$E$6:$E$2245,B29,'경기별지표'!$F$6:$F$2245,C29)</x:f>
        <x:v>484</x:v>
      </x:c>
      <x:c r="M29" s="14" t="n">
        <x:f>SUMIFS('경기별지표'!$K$6:$K$2245,'경기별지표'!$E$6:$E$2245,B29,'경기별지표'!$F$6:$F$2245,C29)</x:f>
        <x:v>221</x:v>
      </x:c>
      <x:c r="N29" s="15" t="n">
        <x:f>IF(L29=0,"해당 없음",M29/L29)</x:f>
        <x:v>0.45661157024793386</x:v>
      </x:c>
      <x:c r="O29" s="14" t="n">
        <x:f>SUMIFS('경기별지표'!$M$6:$M$2245,'경기별지표'!$E$6:$E$2245,B29,'경기별지표'!$F$6:$F$2245,C29)</x:f>
        <x:v>281</x:v>
      </x:c>
      <x:c r="P29" s="14" t="n">
        <x:f>SUMIFS('경기별지표'!$N$6:$N$2245,'경기별지표'!$E$6:$E$2245,B29,'경기별지표'!$F$6:$F$2245,C29)</x:f>
        <x:v>208</x:v>
      </x:c>
      <x:c r="Q29" s="15" t="n">
        <x:f>IF(O29=0,"해당 없음",P29/O29)</x:f>
        <x:v>0.7402135231316725</x:v>
      </x:c>
      <x:c r="R29" s="14" t="n">
        <x:f>SUMIFS('경기별지표'!$P$6:$P$2245,'경기별지표'!$E$6:$E$2245,B29,'경기별지표'!$F$6:$F$2245,C29)</x:f>
        <x:v>4166</x:v>
      </x:c>
    </x:row>
    <x:row r="30" ht="22" customHeight="1">
      <x:c r="A30" s="2" t="n">
        <x:v>13</x:v>
      </x:c>
      <x:c r="B30" s="2" t="str">
        <x:v>0만</x:v>
      </x:c>
      <x:c r="C30" s="2" t="str">
        <x:v>240만</x:v>
      </x:c>
      <x:c r="D30" s="14" t="n">
        <x:f>COUNTIFS('경기별지표'!$E$6:$E$2245,B30,'경기별지표'!$F$6:$F$2245,C30)</x:f>
        <x:v>40</x:v>
      </x:c>
      <x:c r="E30" s="14" t="n">
        <x:f>COUNTIFS('경기별지표'!$E$6:$E$2245,B30,'경기별지표'!$F$6:$F$2245,C30,'경기별지표'!$G$6:$G$2245,"승")</x:f>
        <x:v>2</x:v>
      </x:c>
      <x:c r="F30" s="14" t="n">
        <x:f>COUNTIFS('경기별지표'!$E$6:$E$2245,B30,'경기별지표'!$F$6:$F$2245,C30,'경기별지표'!$G$6:$G$2245,"무")</x:f>
        <x:v>0</x:v>
      </x:c>
      <x:c r="G30" s="14" t="n">
        <x:f>COUNTIFS('경기별지표'!$E$6:$E$2245,B30,'경기별지표'!$F$6:$F$2245,C30,'경기별지표'!$G$6:$G$2245,"패")</x:f>
        <x:v>38</x:v>
      </x:c>
      <x:c r="H30" s="14" t="n">
        <x:f>SUMIFS('경기별지표'!$H$6:$H$2245,'경기별지표'!$E$6:$E$2245,B30,'경기별지표'!$F$6:$F$2245,C30)</x:f>
        <x:v>46</x:v>
      </x:c>
      <x:c r="I30" s="14" t="n">
        <x:f>SUMIFS('경기별지표'!$I$6:$I$2245,'경기별지표'!$E$6:$E$2245,B30,'경기별지표'!$F$6:$F$2245,C30)</x:f>
        <x:v>271</x:v>
      </x:c>
      <x:c r="J30" s="14" t="n">
        <x:f>H30-I30</x:f>
        <x:v>-225</x:v>
      </x:c>
      <x:c r="K30" s="14" t="n">
        <x:f>3*E30+F30</x:f>
        <x:v>6</x:v>
      </x:c>
      <x:c r="L30" s="14" t="n">
        <x:f>SUMIFS('경기별지표'!$J$6:$J$2245,'경기별지표'!$E$6:$E$2245,B30,'경기별지표'!$F$6:$F$2245,C30)</x:f>
        <x:v>241</x:v>
      </x:c>
      <x:c r="M30" s="14" t="n">
        <x:f>SUMIFS('경기별지표'!$K$6:$K$2245,'경기별지표'!$E$6:$E$2245,B30,'경기별지표'!$F$6:$F$2245,C30)</x:f>
        <x:v>44</x:v>
      </x:c>
      <x:c r="N30" s="15" t="n">
        <x:f>IF(L30=0,"해당 없음",M30/L30)</x:f>
        <x:v>0.1825726141078838</x:v>
      </x:c>
      <x:c r="O30" s="14" t="n">
        <x:f>SUMIFS('경기별지표'!$M$6:$M$2245,'경기별지표'!$E$6:$E$2245,B30,'경기별지표'!$F$6:$F$2245,C30)</x:f>
        <x:v>312</x:v>
      </x:c>
      <x:c r="P30" s="14" t="n">
        <x:f>SUMIFS('경기별지표'!$N$6:$N$2245,'경기별지표'!$E$6:$E$2245,B30,'경기별지표'!$F$6:$F$2245,C30)</x:f>
        <x:v>263</x:v>
      </x:c>
      <x:c r="Q30" s="15" t="n">
        <x:f>IF(O30=0,"해당 없음",P30/O30)</x:f>
        <x:v>0.842948717948718</x:v>
      </x:c>
      <x:c r="R30" s="14" t="n">
        <x:f>SUMIFS('경기별지표'!$P$6:$P$2245,'경기별지표'!$E$6:$E$2245,B30,'경기별지표'!$F$6:$F$2245,C30)</x:f>
        <x:v>4169</x:v>
      </x:c>
    </x:row>
    <x:row r="31" ht="22" customHeight="1">
      <x:c r="A31" s="2" t="n">
        <x:v>13</x:v>
      </x:c>
      <x:c r="B31" s="2" t="str">
        <x:v>240만</x:v>
      </x:c>
      <x:c r="C31" s="2" t="str">
        <x:v>0만</x:v>
      </x:c>
      <x:c r="D31" s="14" t="n">
        <x:f>COUNTIFS('경기별지표'!$E$6:$E$2245,B31,'경기별지표'!$F$6:$F$2245,C31)</x:f>
        <x:v>40</x:v>
      </x:c>
      <x:c r="E31" s="14" t="n">
        <x:f>COUNTIFS('경기별지표'!$E$6:$E$2245,B31,'경기별지표'!$F$6:$F$2245,C31,'경기별지표'!$G$6:$G$2245,"승")</x:f>
        <x:v>38</x:v>
      </x:c>
      <x:c r="F31" s="14" t="n">
        <x:f>COUNTIFS('경기별지표'!$E$6:$E$2245,B31,'경기별지표'!$F$6:$F$2245,C31,'경기별지표'!$G$6:$G$2245,"무")</x:f>
        <x:v>0</x:v>
      </x:c>
      <x:c r="G31" s="14" t="n">
        <x:f>COUNTIFS('경기별지표'!$E$6:$E$2245,B31,'경기별지표'!$F$6:$F$2245,C31,'경기별지표'!$G$6:$G$2245,"패")</x:f>
        <x:v>2</x:v>
      </x:c>
      <x:c r="H31" s="14" t="n">
        <x:f>SUMIFS('경기별지표'!$H$6:$H$2245,'경기별지표'!$E$6:$E$2245,B31,'경기별지표'!$F$6:$F$2245,C31)</x:f>
        <x:v>271</x:v>
      </x:c>
      <x:c r="I31" s="14" t="n">
        <x:f>SUMIFS('경기별지표'!$I$6:$I$2245,'경기별지표'!$E$6:$E$2245,B31,'경기별지표'!$F$6:$F$2245,C31)</x:f>
        <x:v>46</x:v>
      </x:c>
      <x:c r="J31" s="14" t="n">
        <x:f>H31-I31</x:f>
        <x:v>225</x:v>
      </x:c>
      <x:c r="K31" s="14" t="n">
        <x:f>3*E31+F31</x:f>
        <x:v>114</x:v>
      </x:c>
      <x:c r="L31" s="14" t="n">
        <x:f>SUMIFS('경기별지표'!$J$6:$J$2245,'경기별지표'!$E$6:$E$2245,B31,'경기별지표'!$F$6:$F$2245,C31)</x:f>
        <x:v>504</x:v>
      </x:c>
      <x:c r="M31" s="14" t="n">
        <x:f>SUMIFS('경기별지표'!$K$6:$K$2245,'경기별지표'!$E$6:$E$2245,B31,'경기별지표'!$F$6:$F$2245,C31)</x:f>
        <x:v>269</x:v>
      </x:c>
      <x:c r="N31" s="15" t="n">
        <x:f>IF(L31=0,"해당 없음",M31/L31)</x:f>
        <x:v>0.5337301587301587</x:v>
      </x:c>
      <x:c r="O31" s="14" t="n">
        <x:f>SUMIFS('경기별지표'!$M$6:$M$2245,'경기별지표'!$E$6:$E$2245,B31,'경기별지표'!$F$6:$F$2245,C31)</x:f>
        <x:v>292</x:v>
      </x:c>
      <x:c r="P31" s="14" t="n">
        <x:f>SUMIFS('경기별지표'!$N$6:$N$2245,'경기별지표'!$E$6:$E$2245,B31,'경기별지표'!$F$6:$F$2245,C31)</x:f>
        <x:v>217</x:v>
      </x:c>
      <x:c r="Q31" s="15" t="n">
        <x:f>IF(O31=0,"해당 없음",P31/O31)</x:f>
        <x:v>0.7431506849315068</x:v>
      </x:c>
      <x:c r="R31" s="14" t="n">
        <x:f>SUMIFS('경기별지표'!$P$6:$P$2245,'경기별지표'!$E$6:$E$2245,B31,'경기별지표'!$F$6:$F$2245,C31)</x:f>
        <x:v>4176</x:v>
      </x:c>
    </x:row>
    <x:row r="32" ht="22" customHeight="1">
      <x:c r="A32" s="2" t="n">
        <x:v>14</x:v>
      </x:c>
      <x:c r="B32" s="2" t="str">
        <x:v>40만</x:v>
      </x:c>
      <x:c r="C32" s="2" t="str">
        <x:v>80만</x:v>
      </x:c>
      <x:c r="D32" s="14" t="n">
        <x:f>COUNTIFS('경기별지표'!$E$6:$E$2245,B32,'경기별지표'!$F$6:$F$2245,C32)</x:f>
        <x:v>40</x:v>
      </x:c>
      <x:c r="E32" s="14" t="n">
        <x:f>COUNTIFS('경기별지표'!$E$6:$E$2245,B32,'경기별지표'!$F$6:$F$2245,C32,'경기별지표'!$G$6:$G$2245,"승")</x:f>
        <x:v>16</x:v>
      </x:c>
      <x:c r="F32" s="14" t="n">
        <x:f>COUNTIFS('경기별지표'!$E$6:$E$2245,B32,'경기별지표'!$F$6:$F$2245,C32,'경기별지표'!$G$6:$G$2245,"무")</x:f>
        <x:v>5</x:v>
      </x:c>
      <x:c r="G32" s="14" t="n">
        <x:f>COUNTIFS('경기별지표'!$E$6:$E$2245,B32,'경기별지표'!$F$6:$F$2245,C32,'경기별지표'!$G$6:$G$2245,"패")</x:f>
        <x:v>19</x:v>
      </x:c>
      <x:c r="H32" s="14" t="n">
        <x:f>SUMIFS('경기별지표'!$H$6:$H$2245,'경기별지표'!$E$6:$E$2245,B32,'경기별지표'!$F$6:$F$2245,C32)</x:f>
        <x:v>126</x:v>
      </x:c>
      <x:c r="I32" s="14" t="n">
        <x:f>SUMIFS('경기별지표'!$I$6:$I$2245,'경기별지표'!$E$6:$E$2245,B32,'경기별지표'!$F$6:$F$2245,C32)</x:f>
        <x:v>125</x:v>
      </x:c>
      <x:c r="J32" s="14" t="n">
        <x:f>H32-I32</x:f>
        <x:v>1</x:v>
      </x:c>
      <x:c r="K32" s="14" t="n">
        <x:f>3*E32+F32</x:f>
        <x:v>53</x:v>
      </x:c>
      <x:c r="L32" s="14" t="n">
        <x:f>SUMIFS('경기별지표'!$J$6:$J$2245,'경기별지표'!$E$6:$E$2245,B32,'경기별지표'!$F$6:$F$2245,C32)</x:f>
        <x:v>368</x:v>
      </x:c>
      <x:c r="M32" s="14" t="n">
        <x:f>SUMIFS('경기별지표'!$K$6:$K$2245,'경기별지표'!$E$6:$E$2245,B32,'경기별지표'!$F$6:$F$2245,C32)</x:f>
        <x:v>125</x:v>
      </x:c>
      <x:c r="N32" s="15" t="n">
        <x:f>IF(L32=0,"해당 없음",M32/L32)</x:f>
        <x:v>0.33967391304347827</x:v>
      </x:c>
      <x:c r="O32" s="14" t="n">
        <x:f>SUMIFS('경기별지표'!$M$6:$M$2245,'경기별지표'!$E$6:$E$2245,B32,'경기별지표'!$F$6:$F$2245,C32)</x:f>
        <x:v>303</x:v>
      </x:c>
      <x:c r="P32" s="14" t="n">
        <x:f>SUMIFS('경기별지표'!$N$6:$N$2245,'경기별지표'!$E$6:$E$2245,B32,'경기별지표'!$F$6:$F$2245,C32)</x:f>
        <x:v>239</x:v>
      </x:c>
      <x:c r="Q32" s="15" t="n">
        <x:f>IF(O32=0,"해당 없음",P32/O32)</x:f>
        <x:v>0.7887788778877888</x:v>
      </x:c>
      <x:c r="R32" s="14" t="n">
        <x:f>SUMIFS('경기별지표'!$P$6:$P$2245,'경기별지표'!$E$6:$E$2245,B32,'경기별지표'!$F$6:$F$2245,C32)</x:f>
        <x:v>4143</x:v>
      </x:c>
    </x:row>
    <x:row r="33" ht="22" customHeight="1">
      <x:c r="A33" s="2" t="n">
        <x:v>14</x:v>
      </x:c>
      <x:c r="B33" s="2" t="str">
        <x:v>80만</x:v>
      </x:c>
      <x:c r="C33" s="2" t="str">
        <x:v>40만</x:v>
      </x:c>
      <x:c r="D33" s="14" t="n">
        <x:f>COUNTIFS('경기별지표'!$E$6:$E$2245,B33,'경기별지표'!$F$6:$F$2245,C33)</x:f>
        <x:v>40</x:v>
      </x:c>
      <x:c r="E33" s="14" t="n">
        <x:f>COUNTIFS('경기별지표'!$E$6:$E$2245,B33,'경기별지표'!$F$6:$F$2245,C33,'경기별지표'!$G$6:$G$2245,"승")</x:f>
        <x:v>19</x:v>
      </x:c>
      <x:c r="F33" s="14" t="n">
        <x:f>COUNTIFS('경기별지표'!$E$6:$E$2245,B33,'경기별지표'!$F$6:$F$2245,C33,'경기별지표'!$G$6:$G$2245,"무")</x:f>
        <x:v>5</x:v>
      </x:c>
      <x:c r="G33" s="14" t="n">
        <x:f>COUNTIFS('경기별지표'!$E$6:$E$2245,B33,'경기별지표'!$F$6:$F$2245,C33,'경기별지표'!$G$6:$G$2245,"패")</x:f>
        <x:v>16</x:v>
      </x:c>
      <x:c r="H33" s="14" t="n">
        <x:f>SUMIFS('경기별지표'!$H$6:$H$2245,'경기별지표'!$E$6:$E$2245,B33,'경기별지표'!$F$6:$F$2245,C33)</x:f>
        <x:v>125</x:v>
      </x:c>
      <x:c r="I33" s="14" t="n">
        <x:f>SUMIFS('경기별지표'!$I$6:$I$2245,'경기별지표'!$E$6:$E$2245,B33,'경기별지표'!$F$6:$F$2245,C33)</x:f>
        <x:v>126</x:v>
      </x:c>
      <x:c r="J33" s="14" t="n">
        <x:f>H33-I33</x:f>
        <x:v>-1</x:v>
      </x:c>
      <x:c r="K33" s="14" t="n">
        <x:f>3*E33+F33</x:f>
        <x:v>62</x:v>
      </x:c>
      <x:c r="L33" s="14" t="n">
        <x:f>SUMIFS('경기별지표'!$J$6:$J$2245,'경기별지표'!$E$6:$E$2245,B33,'경기별지표'!$F$6:$F$2245,C33)</x:f>
        <x:v>305</x:v>
      </x:c>
      <x:c r="M33" s="14" t="n">
        <x:f>SUMIFS('경기별지표'!$K$6:$K$2245,'경기별지표'!$E$6:$E$2245,B33,'경기별지표'!$F$6:$F$2245,C33)</x:f>
        <x:v>125</x:v>
      </x:c>
      <x:c r="N33" s="15" t="n">
        <x:f>IF(L33=0,"해당 없음",M33/L33)</x:f>
        <x:v>0.4098360655737705</x:v>
      </x:c>
      <x:c r="O33" s="14" t="n">
        <x:f>SUMIFS('경기별지표'!$M$6:$M$2245,'경기별지표'!$E$6:$E$2245,B33,'경기별지표'!$F$6:$F$2245,C33)</x:f>
        <x:v>330</x:v>
      </x:c>
      <x:c r="P33" s="14" t="n">
        <x:f>SUMIFS('경기별지표'!$N$6:$N$2245,'경기별지표'!$E$6:$E$2245,B33,'경기별지표'!$F$6:$F$2245,C33)</x:f>
        <x:v>238</x:v>
      </x:c>
      <x:c r="Q33" s="15" t="n">
        <x:f>IF(O33=0,"해당 없음",P33/O33)</x:f>
        <x:v>0.7212121212121212</x:v>
      </x:c>
      <x:c r="R33" s="14" t="n">
        <x:f>SUMIFS('경기별지표'!$P$6:$P$2245,'경기별지표'!$E$6:$E$2245,B33,'경기별지표'!$F$6:$F$2245,C33)</x:f>
        <x:v>4141</x:v>
      </x:c>
    </x:row>
    <x:row r="34" ht="22" customHeight="1">
      <x:c r="A34" s="2" t="n">
        <x:v>15</x:v>
      </x:c>
      <x:c r="B34" s="2" t="str">
        <x:v>40만</x:v>
      </x:c>
      <x:c r="C34" s="2" t="str">
        <x:v>120만</x:v>
      </x:c>
      <x:c r="D34" s="14" t="n">
        <x:f>COUNTIFS('경기별지표'!$E$6:$E$2245,B34,'경기별지표'!$F$6:$F$2245,C34)</x:f>
        <x:v>40</x:v>
      </x:c>
      <x:c r="E34" s="14" t="n">
        <x:f>COUNTIFS('경기별지표'!$E$6:$E$2245,B34,'경기별지표'!$F$6:$F$2245,C34,'경기별지표'!$G$6:$G$2245,"승")</x:f>
        <x:v>7</x:v>
      </x:c>
      <x:c r="F34" s="14" t="n">
        <x:f>COUNTIFS('경기별지표'!$E$6:$E$2245,B34,'경기별지표'!$F$6:$F$2245,C34,'경기별지표'!$G$6:$G$2245,"무")</x:f>
        <x:v>8</x:v>
      </x:c>
      <x:c r="G34" s="14" t="n">
        <x:f>COUNTIFS('경기별지표'!$E$6:$E$2245,B34,'경기별지표'!$F$6:$F$2245,C34,'경기별지표'!$G$6:$G$2245,"패")</x:f>
        <x:v>25</x:v>
      </x:c>
      <x:c r="H34" s="14" t="n">
        <x:f>SUMIFS('경기별지표'!$H$6:$H$2245,'경기별지표'!$E$6:$E$2245,B34,'경기별지표'!$F$6:$F$2245,C34)</x:f>
        <x:v>98</x:v>
      </x:c>
      <x:c r="I34" s="14" t="n">
        <x:f>SUMIFS('경기별지표'!$I$6:$I$2245,'경기별지표'!$E$6:$E$2245,B34,'경기별지표'!$F$6:$F$2245,C34)</x:f>
        <x:v>146</x:v>
      </x:c>
      <x:c r="J34" s="14" t="n">
        <x:f>H34-I34</x:f>
        <x:v>-48</x:v>
      </x:c>
      <x:c r="K34" s="14" t="n">
        <x:f>3*E34+F34</x:f>
        <x:v>29</x:v>
      </x:c>
      <x:c r="L34" s="14" t="n">
        <x:f>SUMIFS('경기별지표'!$J$6:$J$2245,'경기별지표'!$E$6:$E$2245,B34,'경기별지표'!$F$6:$F$2245,C34)</x:f>
        <x:v>296</x:v>
      </x:c>
      <x:c r="M34" s="14" t="n">
        <x:f>SUMIFS('경기별지표'!$K$6:$K$2245,'경기별지표'!$E$6:$E$2245,B34,'경기별지표'!$F$6:$F$2245,C34)</x:f>
        <x:v>97</x:v>
      </x:c>
      <x:c r="N34" s="15" t="n">
        <x:f>IF(L34=0,"해당 없음",M34/L34)</x:f>
        <x:v>0.3277027027027027</x:v>
      </x:c>
      <x:c r="O34" s="14" t="n">
        <x:f>SUMIFS('경기별지표'!$M$6:$M$2245,'경기별지표'!$E$6:$E$2245,B34,'경기별지표'!$F$6:$F$2245,C34)</x:f>
        <x:v>280</x:v>
      </x:c>
      <x:c r="P34" s="14" t="n">
        <x:f>SUMIFS('경기별지표'!$N$6:$N$2245,'경기별지표'!$E$6:$E$2245,B34,'경기별지표'!$F$6:$F$2245,C34)</x:f>
        <x:v>195</x:v>
      </x:c>
      <x:c r="Q34" s="15" t="n">
        <x:f>IF(O34=0,"해당 없음",P34/O34)</x:f>
        <x:v>0.6964285714285714</x:v>
      </x:c>
      <x:c r="R34" s="14" t="n">
        <x:f>SUMIFS('경기별지표'!$P$6:$P$2245,'경기별지표'!$E$6:$E$2245,B34,'경기별지표'!$F$6:$F$2245,C34)</x:f>
        <x:v>4137</x:v>
      </x:c>
    </x:row>
    <x:row r="35" ht="22" customHeight="1">
      <x:c r="A35" s="2" t="n">
        <x:v>15</x:v>
      </x:c>
      <x:c r="B35" s="2" t="str">
        <x:v>120만</x:v>
      </x:c>
      <x:c r="C35" s="2" t="str">
        <x:v>40만</x:v>
      </x:c>
      <x:c r="D35" s="14" t="n">
        <x:f>COUNTIFS('경기별지표'!$E$6:$E$2245,B35,'경기별지표'!$F$6:$F$2245,C35)</x:f>
        <x:v>40</x:v>
      </x:c>
      <x:c r="E35" s="14" t="n">
        <x:f>COUNTIFS('경기별지표'!$E$6:$E$2245,B35,'경기별지표'!$F$6:$F$2245,C35,'경기별지표'!$G$6:$G$2245,"승")</x:f>
        <x:v>25</x:v>
      </x:c>
      <x:c r="F35" s="14" t="n">
        <x:f>COUNTIFS('경기별지표'!$E$6:$E$2245,B35,'경기별지표'!$F$6:$F$2245,C35,'경기별지표'!$G$6:$G$2245,"무")</x:f>
        <x:v>8</x:v>
      </x:c>
      <x:c r="G35" s="14" t="n">
        <x:f>COUNTIFS('경기별지표'!$E$6:$E$2245,B35,'경기별지표'!$F$6:$F$2245,C35,'경기별지표'!$G$6:$G$2245,"패")</x:f>
        <x:v>7</x:v>
      </x:c>
      <x:c r="H35" s="14" t="n">
        <x:f>SUMIFS('경기별지표'!$H$6:$H$2245,'경기별지표'!$E$6:$E$2245,B35,'경기별지표'!$F$6:$F$2245,C35)</x:f>
        <x:v>146</x:v>
      </x:c>
      <x:c r="I35" s="14" t="n">
        <x:f>SUMIFS('경기별지표'!$I$6:$I$2245,'경기별지표'!$E$6:$E$2245,B35,'경기별지표'!$F$6:$F$2245,C35)</x:f>
        <x:v>98</x:v>
      </x:c>
      <x:c r="J35" s="14" t="n">
        <x:f>H35-I35</x:f>
        <x:v>48</x:v>
      </x:c>
      <x:c r="K35" s="14" t="n">
        <x:f>3*E35+F35</x:f>
        <x:v>83</x:v>
      </x:c>
      <x:c r="L35" s="14" t="n">
        <x:f>SUMIFS('경기별지표'!$J$6:$J$2245,'경기별지표'!$E$6:$E$2245,B35,'경기별지표'!$F$6:$F$2245,C35)</x:f>
        <x:v>323</x:v>
      </x:c>
      <x:c r="M35" s="14" t="n">
        <x:f>SUMIFS('경기별지표'!$K$6:$K$2245,'경기별지표'!$E$6:$E$2245,B35,'경기별지표'!$F$6:$F$2245,C35)</x:f>
        <x:v>146</x:v>
      </x:c>
      <x:c r="N35" s="15" t="n">
        <x:f>IF(L35=0,"해당 없음",M35/L35)</x:f>
        <x:v>0.4520123839009288</x:v>
      </x:c>
      <x:c r="O35" s="14" t="n">
        <x:f>SUMIFS('경기별지표'!$M$6:$M$2245,'경기별지표'!$E$6:$E$2245,B35,'경기별지표'!$F$6:$F$2245,C35)</x:f>
        <x:v>291</x:v>
      </x:c>
      <x:c r="P35" s="14" t="n">
        <x:f>SUMIFS('경기별지표'!$N$6:$N$2245,'경기별지표'!$E$6:$E$2245,B35,'경기별지표'!$F$6:$F$2245,C35)</x:f>
        <x:v>220</x:v>
      </x:c>
      <x:c r="Q35" s="15" t="n">
        <x:f>IF(O35=0,"해당 없음",P35/O35)</x:f>
        <x:v>0.7560137457044673</x:v>
      </x:c>
      <x:c r="R35" s="14" t="n">
        <x:f>SUMIFS('경기별지표'!$P$6:$P$2245,'경기별지표'!$E$6:$E$2245,B35,'경기별지표'!$F$6:$F$2245,C35)</x:f>
        <x:v>4145</x:v>
      </x:c>
    </x:row>
    <x:row r="36" ht="22" customHeight="1">
      <x:c r="A36" s="2" t="n">
        <x:v>16</x:v>
      </x:c>
      <x:c r="B36" s="2" t="str">
        <x:v>40만</x:v>
      </x:c>
      <x:c r="C36" s="2" t="str">
        <x:v>160만</x:v>
      </x:c>
      <x:c r="D36" s="14" t="n">
        <x:f>COUNTIFS('경기별지표'!$E$6:$E$2245,B36,'경기별지표'!$F$6:$F$2245,C36)</x:f>
        <x:v>40</x:v>
      </x:c>
      <x:c r="E36" s="14" t="n">
        <x:f>COUNTIFS('경기별지표'!$E$6:$E$2245,B36,'경기별지표'!$F$6:$F$2245,C36,'경기별지표'!$G$6:$G$2245,"승")</x:f>
        <x:v>10</x:v>
      </x:c>
      <x:c r="F36" s="14" t="n">
        <x:f>COUNTIFS('경기별지표'!$E$6:$E$2245,B36,'경기별지표'!$F$6:$F$2245,C36,'경기별지표'!$G$6:$G$2245,"무")</x:f>
        <x:v>3</x:v>
      </x:c>
      <x:c r="G36" s="14" t="n">
        <x:f>COUNTIFS('경기별지표'!$E$6:$E$2245,B36,'경기별지표'!$F$6:$F$2245,C36,'경기별지표'!$G$6:$G$2245,"패")</x:f>
        <x:v>27</x:v>
      </x:c>
      <x:c r="H36" s="14" t="n">
        <x:f>SUMIFS('경기별지표'!$H$6:$H$2245,'경기별지표'!$E$6:$E$2245,B36,'경기별지표'!$F$6:$F$2245,C36)</x:f>
        <x:v>82</x:v>
      </x:c>
      <x:c r="I36" s="14" t="n">
        <x:f>SUMIFS('경기별지표'!$I$6:$I$2245,'경기별지표'!$E$6:$E$2245,B36,'경기별지표'!$F$6:$F$2245,C36)</x:f>
        <x:v>140</x:v>
      </x:c>
      <x:c r="J36" s="14" t="n">
        <x:f>H36-I36</x:f>
        <x:v>-58</x:v>
      </x:c>
      <x:c r="K36" s="14" t="n">
        <x:f>3*E36+F36</x:f>
        <x:v>33</x:v>
      </x:c>
      <x:c r="L36" s="14" t="n">
        <x:f>SUMIFS('경기별지표'!$J$6:$J$2245,'경기별지표'!$E$6:$E$2245,B36,'경기별지표'!$F$6:$F$2245,C36)</x:f>
        <x:v>340</x:v>
      </x:c>
      <x:c r="M36" s="14" t="n">
        <x:f>SUMIFS('경기별지표'!$K$6:$K$2245,'경기별지표'!$E$6:$E$2245,B36,'경기별지표'!$F$6:$F$2245,C36)</x:f>
        <x:v>81</x:v>
      </x:c>
      <x:c r="N36" s="15" t="n">
        <x:f>IF(L36=0,"해당 없음",M36/L36)</x:f>
        <x:v>0.23823529411764705</x:v>
      </x:c>
      <x:c r="O36" s="14" t="n">
        <x:f>SUMIFS('경기별지표'!$M$6:$M$2245,'경기별지표'!$E$6:$E$2245,B36,'경기별지표'!$F$6:$F$2245,C36)</x:f>
        <x:v>343</x:v>
      </x:c>
      <x:c r="P36" s="14" t="n">
        <x:f>SUMIFS('경기별지표'!$N$6:$N$2245,'경기별지표'!$E$6:$E$2245,B36,'경기별지표'!$F$6:$F$2245,C36)</x:f>
        <x:v>236</x:v>
      </x:c>
      <x:c r="Q36" s="15" t="n">
        <x:f>IF(O36=0,"해당 없음",P36/O36)</x:f>
        <x:v>0.6880466472303207</x:v>
      </x:c>
      <x:c r="R36" s="14" t="n">
        <x:f>SUMIFS('경기별지표'!$P$6:$P$2245,'경기별지표'!$E$6:$E$2245,B36,'경기별지표'!$F$6:$F$2245,C36)</x:f>
        <x:v>4125</x:v>
      </x:c>
    </x:row>
    <x:row r="37" ht="22" customHeight="1">
      <x:c r="A37" s="2" t="n">
        <x:v>16</x:v>
      </x:c>
      <x:c r="B37" s="2" t="str">
        <x:v>160만</x:v>
      </x:c>
      <x:c r="C37" s="2" t="str">
        <x:v>40만</x:v>
      </x:c>
      <x:c r="D37" s="14" t="n">
        <x:f>COUNTIFS('경기별지표'!$E$6:$E$2245,B37,'경기별지표'!$F$6:$F$2245,C37)</x:f>
        <x:v>40</x:v>
      </x:c>
      <x:c r="E37" s="14" t="n">
        <x:f>COUNTIFS('경기별지표'!$E$6:$E$2245,B37,'경기별지표'!$F$6:$F$2245,C37,'경기별지표'!$G$6:$G$2245,"승")</x:f>
        <x:v>27</x:v>
      </x:c>
      <x:c r="F37" s="14" t="n">
        <x:f>COUNTIFS('경기별지표'!$E$6:$E$2245,B37,'경기별지표'!$F$6:$F$2245,C37,'경기별지표'!$G$6:$G$2245,"무")</x:f>
        <x:v>3</x:v>
      </x:c>
      <x:c r="G37" s="14" t="n">
        <x:f>COUNTIFS('경기별지표'!$E$6:$E$2245,B37,'경기별지표'!$F$6:$F$2245,C37,'경기별지표'!$G$6:$G$2245,"패")</x:f>
        <x:v>10</x:v>
      </x:c>
      <x:c r="H37" s="14" t="n">
        <x:f>SUMIFS('경기별지표'!$H$6:$H$2245,'경기별지표'!$E$6:$E$2245,B37,'경기별지표'!$F$6:$F$2245,C37)</x:f>
        <x:v>140</x:v>
      </x:c>
      <x:c r="I37" s="14" t="n">
        <x:f>SUMIFS('경기별지표'!$I$6:$I$2245,'경기별지표'!$E$6:$E$2245,B37,'경기별지표'!$F$6:$F$2245,C37)</x:f>
        <x:v>82</x:v>
      </x:c>
      <x:c r="J37" s="14" t="n">
        <x:f>H37-I37</x:f>
        <x:v>58</x:v>
      </x:c>
      <x:c r="K37" s="14" t="n">
        <x:f>3*E37+F37</x:f>
        <x:v>84</x:v>
      </x:c>
      <x:c r="L37" s="14" t="n">
        <x:f>SUMIFS('경기별지표'!$J$6:$J$2245,'경기별지표'!$E$6:$E$2245,B37,'경기별지표'!$F$6:$F$2245,C37)</x:f>
        <x:v>325</x:v>
      </x:c>
      <x:c r="M37" s="14" t="n">
        <x:f>SUMIFS('경기별지표'!$K$6:$K$2245,'경기별지표'!$E$6:$E$2245,B37,'경기별지표'!$F$6:$F$2245,C37)</x:f>
        <x:v>139</x:v>
      </x:c>
      <x:c r="N37" s="15" t="n">
        <x:f>IF(L37=0,"해당 없음",M37/L37)</x:f>
        <x:v>0.4276923076923077</x:v>
      </x:c>
      <x:c r="O37" s="14" t="n">
        <x:f>SUMIFS('경기별지표'!$M$6:$M$2245,'경기별지표'!$E$6:$E$2245,B37,'경기별지표'!$F$6:$F$2245,C37)</x:f>
        <x:v>349</x:v>
      </x:c>
      <x:c r="P37" s="14" t="n">
        <x:f>SUMIFS('경기별지표'!$N$6:$N$2245,'경기별지표'!$E$6:$E$2245,B37,'경기별지표'!$F$6:$F$2245,C37)</x:f>
        <x:v>247</x:v>
      </x:c>
      <x:c r="Q37" s="15" t="n">
        <x:f>IF(O37=0,"해당 없음",P37/O37)</x:f>
        <x:v>0.7077363896848138</x:v>
      </x:c>
      <x:c r="R37" s="14" t="n">
        <x:f>SUMIFS('경기별지표'!$P$6:$P$2245,'경기별지표'!$E$6:$E$2245,B37,'경기별지표'!$F$6:$F$2245,C37)</x:f>
        <x:v>4121</x:v>
      </x:c>
    </x:row>
    <x:row r="38" ht="22" customHeight="1">
      <x:c r="A38" s="2" t="n">
        <x:v>17</x:v>
      </x:c>
      <x:c r="B38" s="2" t="str">
        <x:v>40만</x:v>
      </x:c>
      <x:c r="C38" s="2" t="str">
        <x:v>200만</x:v>
      </x:c>
      <x:c r="D38" s="14" t="n">
        <x:f>COUNTIFS('경기별지표'!$E$6:$E$2245,B38,'경기별지표'!$F$6:$F$2245,C38)</x:f>
        <x:v>40</x:v>
      </x:c>
      <x:c r="E38" s="14" t="n">
        <x:f>COUNTIFS('경기별지표'!$E$6:$E$2245,B38,'경기별지표'!$F$6:$F$2245,C38,'경기별지표'!$G$6:$G$2245,"승")</x:f>
        <x:v>13</x:v>
      </x:c>
      <x:c r="F38" s="14" t="n">
        <x:f>COUNTIFS('경기별지표'!$E$6:$E$2245,B38,'경기별지표'!$F$6:$F$2245,C38,'경기별지표'!$G$6:$G$2245,"무")</x:f>
        <x:v>4</x:v>
      </x:c>
      <x:c r="G38" s="14" t="n">
        <x:f>COUNTIFS('경기별지표'!$E$6:$E$2245,B38,'경기별지표'!$F$6:$F$2245,C38,'경기별지표'!$G$6:$G$2245,"패")</x:f>
        <x:v>23</x:v>
      </x:c>
      <x:c r="H38" s="14" t="n">
        <x:f>SUMIFS('경기별지표'!$H$6:$H$2245,'경기별지표'!$E$6:$E$2245,B38,'경기별지표'!$F$6:$F$2245,C38)</x:f>
        <x:v>98</x:v>
      </x:c>
      <x:c r="I38" s="14" t="n">
        <x:f>SUMIFS('경기별지표'!$I$6:$I$2245,'경기별지표'!$E$6:$E$2245,B38,'경기별지표'!$F$6:$F$2245,C38)</x:f>
        <x:v>128</x:v>
      </x:c>
      <x:c r="J38" s="14" t="n">
        <x:f>H38-I38</x:f>
        <x:v>-30</x:v>
      </x:c>
      <x:c r="K38" s="14" t="n">
        <x:f>3*E38+F38</x:f>
        <x:v>43</x:v>
      </x:c>
      <x:c r="L38" s="14" t="n">
        <x:f>SUMIFS('경기별지표'!$J$6:$J$2245,'경기별지표'!$E$6:$E$2245,B38,'경기별지표'!$F$6:$F$2245,C38)</x:f>
        <x:v>390</x:v>
      </x:c>
      <x:c r="M38" s="14" t="n">
        <x:f>SUMIFS('경기별지표'!$K$6:$K$2245,'경기별지표'!$E$6:$E$2245,B38,'경기별지표'!$F$6:$F$2245,C38)</x:f>
        <x:v>98</x:v>
      </x:c>
      <x:c r="N38" s="15" t="n">
        <x:f>IF(L38=0,"해당 없음",M38/L38)</x:f>
        <x:v>0.2512820512820513</x:v>
      </x:c>
      <x:c r="O38" s="14" t="n">
        <x:f>SUMIFS('경기별지표'!$M$6:$M$2245,'경기별지표'!$E$6:$E$2245,B38,'경기별지표'!$F$6:$F$2245,C38)</x:f>
        <x:v>359</x:v>
      </x:c>
      <x:c r="P38" s="14" t="n">
        <x:f>SUMIFS('경기별지표'!$N$6:$N$2245,'경기별지표'!$E$6:$E$2245,B38,'경기별지표'!$F$6:$F$2245,C38)</x:f>
        <x:v>261</x:v>
      </x:c>
      <x:c r="Q38" s="15" t="n">
        <x:f>IF(O38=0,"해당 없음",P38/O38)</x:f>
        <x:v>0.7270194986072424</x:v>
      </x:c>
      <x:c r="R38" s="14" t="n">
        <x:f>SUMIFS('경기별지표'!$P$6:$P$2245,'경기별지표'!$E$6:$E$2245,B38,'경기별지표'!$F$6:$F$2245,C38)</x:f>
        <x:v>4131</x:v>
      </x:c>
    </x:row>
    <x:row r="39" ht="22" customHeight="1">
      <x:c r="A39" s="2" t="n">
        <x:v>17</x:v>
      </x:c>
      <x:c r="B39" s="2" t="str">
        <x:v>200만</x:v>
      </x:c>
      <x:c r="C39" s="2" t="str">
        <x:v>40만</x:v>
      </x:c>
      <x:c r="D39" s="14" t="n">
        <x:f>COUNTIFS('경기별지표'!$E$6:$E$2245,B39,'경기별지표'!$F$6:$F$2245,C39)</x:f>
        <x:v>40</x:v>
      </x:c>
      <x:c r="E39" s="14" t="n">
        <x:f>COUNTIFS('경기별지표'!$E$6:$E$2245,B39,'경기별지표'!$F$6:$F$2245,C39,'경기별지표'!$G$6:$G$2245,"승")</x:f>
        <x:v>23</x:v>
      </x:c>
      <x:c r="F39" s="14" t="n">
        <x:f>COUNTIFS('경기별지표'!$E$6:$E$2245,B39,'경기별지표'!$F$6:$F$2245,C39,'경기별지표'!$G$6:$G$2245,"무")</x:f>
        <x:v>4</x:v>
      </x:c>
      <x:c r="G39" s="14" t="n">
        <x:f>COUNTIFS('경기별지표'!$E$6:$E$2245,B39,'경기별지표'!$F$6:$F$2245,C39,'경기별지표'!$G$6:$G$2245,"패")</x:f>
        <x:v>13</x:v>
      </x:c>
      <x:c r="H39" s="14" t="n">
        <x:f>SUMIFS('경기별지표'!$H$6:$H$2245,'경기별지표'!$E$6:$E$2245,B39,'경기별지표'!$F$6:$F$2245,C39)</x:f>
        <x:v>128</x:v>
      </x:c>
      <x:c r="I39" s="14" t="n">
        <x:f>SUMIFS('경기별지표'!$I$6:$I$2245,'경기별지표'!$E$6:$E$2245,B39,'경기별지표'!$F$6:$F$2245,C39)</x:f>
        <x:v>98</x:v>
      </x:c>
      <x:c r="J39" s="14" t="n">
        <x:f>H39-I39</x:f>
        <x:v>30</x:v>
      </x:c>
      <x:c r="K39" s="14" t="n">
        <x:f>3*E39+F39</x:f>
        <x:v>73</x:v>
      </x:c>
      <x:c r="L39" s="14" t="n">
        <x:f>SUMIFS('경기별지표'!$J$6:$J$2245,'경기별지표'!$E$6:$E$2245,B39,'경기별지표'!$F$6:$F$2245,C39)</x:f>
        <x:v>320</x:v>
      </x:c>
      <x:c r="M39" s="14" t="n">
        <x:f>SUMIFS('경기별지표'!$K$6:$K$2245,'경기별지표'!$E$6:$E$2245,B39,'경기별지표'!$F$6:$F$2245,C39)</x:f>
        <x:v>127</x:v>
      </x:c>
      <x:c r="N39" s="15" t="n">
        <x:f>IF(L39=0,"해당 없음",M39/L39)</x:f>
        <x:v>0.396875</x:v>
      </x:c>
      <x:c r="O39" s="14" t="n">
        <x:f>SUMIFS('경기별지표'!$M$6:$M$2245,'경기별지표'!$E$6:$E$2245,B39,'경기별지표'!$F$6:$F$2245,C39)</x:f>
        <x:v>308</x:v>
      </x:c>
      <x:c r="P39" s="14" t="n">
        <x:f>SUMIFS('경기별지표'!$N$6:$N$2245,'경기별지표'!$E$6:$E$2245,B39,'경기별지표'!$F$6:$F$2245,C39)</x:f>
        <x:v>217</x:v>
      </x:c>
      <x:c r="Q39" s="15" t="n">
        <x:f>IF(O39=0,"해당 없음",P39/O39)</x:f>
        <x:v>0.7045454545454546</x:v>
      </x:c>
      <x:c r="R39" s="14" t="n">
        <x:f>SUMIFS('경기별지표'!$P$6:$P$2245,'경기별지표'!$E$6:$E$2245,B39,'경기별지표'!$F$6:$F$2245,C39)</x:f>
        <x:v>4142</x:v>
      </x:c>
    </x:row>
    <x:row r="40" ht="22" customHeight="1">
      <x:c r="A40" s="2" t="n">
        <x:v>18</x:v>
      </x:c>
      <x:c r="B40" s="2" t="str">
        <x:v>40만</x:v>
      </x:c>
      <x:c r="C40" s="2" t="str">
        <x:v>240만</x:v>
      </x:c>
      <x:c r="D40" s="14" t="n">
        <x:f>COUNTIFS('경기별지표'!$E$6:$E$2245,B40,'경기별지표'!$F$6:$F$2245,C40)</x:f>
        <x:v>40</x:v>
      </x:c>
      <x:c r="E40" s="14" t="n">
        <x:f>COUNTIFS('경기별지표'!$E$6:$E$2245,B40,'경기별지표'!$F$6:$F$2245,C40,'경기별지표'!$G$6:$G$2245,"승")</x:f>
        <x:v>11</x:v>
      </x:c>
      <x:c r="F40" s="14" t="n">
        <x:f>COUNTIFS('경기별지표'!$E$6:$E$2245,B40,'경기별지표'!$F$6:$F$2245,C40,'경기별지표'!$G$6:$G$2245,"무")</x:f>
        <x:v>2</x:v>
      </x:c>
      <x:c r="G40" s="14" t="n">
        <x:f>COUNTIFS('경기별지표'!$E$6:$E$2245,B40,'경기별지표'!$F$6:$F$2245,C40,'경기별지표'!$G$6:$G$2245,"패")</x:f>
        <x:v>27</x:v>
      </x:c>
      <x:c r="H40" s="14" t="n">
        <x:f>SUMIFS('경기별지표'!$H$6:$H$2245,'경기별지표'!$E$6:$E$2245,B40,'경기별지표'!$F$6:$F$2245,C40)</x:f>
        <x:v>76</x:v>
      </x:c>
      <x:c r="I40" s="14" t="n">
        <x:f>SUMIFS('경기별지표'!$I$6:$I$2245,'경기별지표'!$E$6:$E$2245,B40,'경기별지표'!$F$6:$F$2245,C40)</x:f>
        <x:v>142</x:v>
      </x:c>
      <x:c r="J40" s="14" t="n">
        <x:f>H40-I40</x:f>
        <x:v>-66</x:v>
      </x:c>
      <x:c r="K40" s="14" t="n">
        <x:f>3*E40+F40</x:f>
        <x:v>35</x:v>
      </x:c>
      <x:c r="L40" s="14" t="n">
        <x:f>SUMIFS('경기별지표'!$J$6:$J$2245,'경기별지표'!$E$6:$E$2245,B40,'경기별지표'!$F$6:$F$2245,C40)</x:f>
        <x:v>354</x:v>
      </x:c>
      <x:c r="M40" s="14" t="n">
        <x:f>SUMIFS('경기별지표'!$K$6:$K$2245,'경기별지표'!$E$6:$E$2245,B40,'경기별지표'!$F$6:$F$2245,C40)</x:f>
        <x:v>75</x:v>
      </x:c>
      <x:c r="N40" s="15" t="n">
        <x:f>IF(L40=0,"해당 없음",M40/L40)</x:f>
        <x:v>0.211864406779661</x:v>
      </x:c>
      <x:c r="O40" s="14" t="n">
        <x:f>SUMIFS('경기별지표'!$M$6:$M$2245,'경기별지표'!$E$6:$E$2245,B40,'경기별지표'!$F$6:$F$2245,C40)</x:f>
        <x:v>355</x:v>
      </x:c>
      <x:c r="P40" s="14" t="n">
        <x:f>SUMIFS('경기별지표'!$N$6:$N$2245,'경기별지표'!$E$6:$E$2245,B40,'경기별지표'!$F$6:$F$2245,C40)</x:f>
        <x:v>257</x:v>
      </x:c>
      <x:c r="Q40" s="15" t="n">
        <x:f>IF(O40=0,"해당 없음",P40/O40)</x:f>
        <x:v>0.723943661971831</x:v>
      </x:c>
      <x:c r="R40" s="14" t="n">
        <x:f>SUMIFS('경기별지표'!$P$6:$P$2245,'경기별지표'!$E$6:$E$2245,B40,'경기별지표'!$F$6:$F$2245,C40)</x:f>
        <x:v>4125</x:v>
      </x:c>
    </x:row>
    <x:row r="41" ht="22" customHeight="1">
      <x:c r="A41" s="2" t="n">
        <x:v>18</x:v>
      </x:c>
      <x:c r="B41" s="2" t="str">
        <x:v>240만</x:v>
      </x:c>
      <x:c r="C41" s="2" t="str">
        <x:v>40만</x:v>
      </x:c>
      <x:c r="D41" s="14" t="n">
        <x:f>COUNTIFS('경기별지표'!$E$6:$E$2245,B41,'경기별지표'!$F$6:$F$2245,C41)</x:f>
        <x:v>40</x:v>
      </x:c>
      <x:c r="E41" s="14" t="n">
        <x:f>COUNTIFS('경기별지표'!$E$6:$E$2245,B41,'경기별지표'!$F$6:$F$2245,C41,'경기별지표'!$G$6:$G$2245,"승")</x:f>
        <x:v>27</x:v>
      </x:c>
      <x:c r="F41" s="14" t="n">
        <x:f>COUNTIFS('경기별지표'!$E$6:$E$2245,B41,'경기별지표'!$F$6:$F$2245,C41,'경기별지표'!$G$6:$G$2245,"무")</x:f>
        <x:v>2</x:v>
      </x:c>
      <x:c r="G41" s="14" t="n">
        <x:f>COUNTIFS('경기별지표'!$E$6:$E$2245,B41,'경기별지표'!$F$6:$F$2245,C41,'경기별지표'!$G$6:$G$2245,"패")</x:f>
        <x:v>11</x:v>
      </x:c>
      <x:c r="H41" s="14" t="n">
        <x:f>SUMIFS('경기별지표'!$H$6:$H$2245,'경기별지표'!$E$6:$E$2245,B41,'경기별지표'!$F$6:$F$2245,C41)</x:f>
        <x:v>142</x:v>
      </x:c>
      <x:c r="I41" s="14" t="n">
        <x:f>SUMIFS('경기별지표'!$I$6:$I$2245,'경기별지표'!$E$6:$E$2245,B41,'경기별지표'!$F$6:$F$2245,C41)</x:f>
        <x:v>76</x:v>
      </x:c>
      <x:c r="J41" s="14" t="n">
        <x:f>H41-I41</x:f>
        <x:v>66</x:v>
      </x:c>
      <x:c r="K41" s="14" t="n">
        <x:f>3*E41+F41</x:f>
        <x:v>83</x:v>
      </x:c>
      <x:c r="L41" s="14" t="n">
        <x:f>SUMIFS('경기별지표'!$J$6:$J$2245,'경기별지표'!$E$6:$E$2245,B41,'경기별지표'!$F$6:$F$2245,C41)</x:f>
        <x:v>351</x:v>
      </x:c>
      <x:c r="M41" s="14" t="n">
        <x:f>SUMIFS('경기별지표'!$K$6:$K$2245,'경기별지표'!$E$6:$E$2245,B41,'경기별지표'!$F$6:$F$2245,C41)</x:f>
        <x:v>141</x:v>
      </x:c>
      <x:c r="N41" s="15" t="n">
        <x:f>IF(L41=0,"해당 없음",M41/L41)</x:f>
        <x:v>0.4017094017094017</x:v>
      </x:c>
      <x:c r="O41" s="14" t="n">
        <x:f>SUMIFS('경기별지표'!$M$6:$M$2245,'경기별지표'!$E$6:$E$2245,B41,'경기별지표'!$F$6:$F$2245,C41)</x:f>
        <x:v>345</x:v>
      </x:c>
      <x:c r="P41" s="14" t="n">
        <x:f>SUMIFS('경기별지표'!$N$6:$N$2245,'경기별지표'!$E$6:$E$2245,B41,'경기별지표'!$F$6:$F$2245,C41)</x:f>
        <x:v>225</x:v>
      </x:c>
      <x:c r="Q41" s="15" t="n">
        <x:f>IF(O41=0,"해당 없음",P41/O41)</x:f>
        <x:v>0.6521739130434783</x:v>
      </x:c>
      <x:c r="R41" s="14" t="n">
        <x:f>SUMIFS('경기별지표'!$P$6:$P$2245,'경기별지표'!$E$6:$E$2245,B41,'경기별지표'!$F$6:$F$2245,C41)</x:f>
        <x:v>4134</x:v>
      </x:c>
    </x:row>
    <x:row r="42" ht="22" customHeight="1">
      <x:c r="A42" s="2" t="n">
        <x:v>19</x:v>
      </x:c>
      <x:c r="B42" s="2" t="str">
        <x:v>80만</x:v>
      </x:c>
      <x:c r="C42" s="2" t="str">
        <x:v>120만</x:v>
      </x:c>
      <x:c r="D42" s="14" t="n">
        <x:f>COUNTIFS('경기별지표'!$E$6:$E$2245,B42,'경기별지표'!$F$6:$F$2245,C42)</x:f>
        <x:v>40</x:v>
      </x:c>
      <x:c r="E42" s="14" t="n">
        <x:f>COUNTIFS('경기별지표'!$E$6:$E$2245,B42,'경기별지표'!$F$6:$F$2245,C42,'경기별지표'!$G$6:$G$2245,"승")</x:f>
        <x:v>15</x:v>
      </x:c>
      <x:c r="F42" s="14" t="n">
        <x:f>COUNTIFS('경기별지표'!$E$6:$E$2245,B42,'경기별지표'!$F$6:$F$2245,C42,'경기별지표'!$G$6:$G$2245,"무")</x:f>
        <x:v>4</x:v>
      </x:c>
      <x:c r="G42" s="14" t="n">
        <x:f>COUNTIFS('경기별지표'!$E$6:$E$2245,B42,'경기별지표'!$F$6:$F$2245,C42,'경기별지표'!$G$6:$G$2245,"패")</x:f>
        <x:v>21</x:v>
      </x:c>
      <x:c r="H42" s="14" t="n">
        <x:f>SUMIFS('경기별지표'!$H$6:$H$2245,'경기별지표'!$E$6:$E$2245,B42,'경기별지표'!$F$6:$F$2245,C42)</x:f>
        <x:v>91</x:v>
      </x:c>
      <x:c r="I42" s="14" t="n">
        <x:f>SUMIFS('경기별지표'!$I$6:$I$2245,'경기별지표'!$E$6:$E$2245,B42,'경기별지표'!$F$6:$F$2245,C42)</x:f>
        <x:v>109</x:v>
      </x:c>
      <x:c r="J42" s="14" t="n">
        <x:f>H42-I42</x:f>
        <x:v>-18</x:v>
      </x:c>
      <x:c r="K42" s="14" t="n">
        <x:f>3*E42+F42</x:f>
        <x:v>49</x:v>
      </x:c>
      <x:c r="L42" s="14" t="n">
        <x:f>SUMIFS('경기별지표'!$J$6:$J$2245,'경기별지표'!$E$6:$E$2245,B42,'경기별지표'!$F$6:$F$2245,C42)</x:f>
        <x:v>316</x:v>
      </x:c>
      <x:c r="M42" s="14" t="n">
        <x:f>SUMIFS('경기별지표'!$K$6:$K$2245,'경기별지표'!$E$6:$E$2245,B42,'경기별지표'!$F$6:$F$2245,C42)</x:f>
        <x:v>90</x:v>
      </x:c>
      <x:c r="N42" s="15" t="n">
        <x:f>IF(L42=0,"해당 없음",M42/L42)</x:f>
        <x:v>0.2848101265822785</x:v>
      </x:c>
      <x:c r="O42" s="14" t="n">
        <x:f>SUMIFS('경기별지표'!$M$6:$M$2245,'경기별지표'!$E$6:$E$2245,B42,'경기별지표'!$F$6:$F$2245,C42)</x:f>
        <x:v>346</x:v>
      </x:c>
      <x:c r="P42" s="14" t="n">
        <x:f>SUMIFS('경기별지표'!$N$6:$N$2245,'경기별지표'!$E$6:$E$2245,B42,'경기별지표'!$F$6:$F$2245,C42)</x:f>
        <x:v>259</x:v>
      </x:c>
      <x:c r="Q42" s="15" t="n">
        <x:f>IF(O42=0,"해당 없음",P42/O42)</x:f>
        <x:v>0.7485549132947977</x:v>
      </x:c>
      <x:c r="R42" s="14" t="n">
        <x:f>SUMIFS('경기별지표'!$P$6:$P$2245,'경기별지표'!$E$6:$E$2245,B42,'경기별지표'!$F$6:$F$2245,C42)</x:f>
        <x:v>4117</x:v>
      </x:c>
    </x:row>
    <x:row r="43" ht="22" customHeight="1">
      <x:c r="A43" s="2" t="n">
        <x:v>19</x:v>
      </x:c>
      <x:c r="B43" s="2" t="str">
        <x:v>120만</x:v>
      </x:c>
      <x:c r="C43" s="2" t="str">
        <x:v>80만</x:v>
      </x:c>
      <x:c r="D43" s="14" t="n">
        <x:f>COUNTIFS('경기별지표'!$E$6:$E$2245,B43,'경기별지표'!$F$6:$F$2245,C43)</x:f>
        <x:v>40</x:v>
      </x:c>
      <x:c r="E43" s="14" t="n">
        <x:f>COUNTIFS('경기별지표'!$E$6:$E$2245,B43,'경기별지표'!$F$6:$F$2245,C43,'경기별지표'!$G$6:$G$2245,"승")</x:f>
        <x:v>21</x:v>
      </x:c>
      <x:c r="F43" s="14" t="n">
        <x:f>COUNTIFS('경기별지표'!$E$6:$E$2245,B43,'경기별지표'!$F$6:$F$2245,C43,'경기별지표'!$G$6:$G$2245,"무")</x:f>
        <x:v>4</x:v>
      </x:c>
      <x:c r="G43" s="14" t="n">
        <x:f>COUNTIFS('경기별지표'!$E$6:$E$2245,B43,'경기별지표'!$F$6:$F$2245,C43,'경기별지표'!$G$6:$G$2245,"패")</x:f>
        <x:v>15</x:v>
      </x:c>
      <x:c r="H43" s="14" t="n">
        <x:f>SUMIFS('경기별지표'!$H$6:$H$2245,'경기별지표'!$E$6:$E$2245,B43,'경기별지표'!$F$6:$F$2245,C43)</x:f>
        <x:v>109</x:v>
      </x:c>
      <x:c r="I43" s="14" t="n">
        <x:f>SUMIFS('경기별지표'!$I$6:$I$2245,'경기별지표'!$E$6:$E$2245,B43,'경기별지표'!$F$6:$F$2245,C43)</x:f>
        <x:v>91</x:v>
      </x:c>
      <x:c r="J43" s="14" t="n">
        <x:f>H43-I43</x:f>
        <x:v>18</x:v>
      </x:c>
      <x:c r="K43" s="14" t="n">
        <x:f>3*E43+F43</x:f>
        <x:v>67</x:v>
      </x:c>
      <x:c r="L43" s="14" t="n">
        <x:f>SUMIFS('경기별지표'!$J$6:$J$2245,'경기별지표'!$E$6:$E$2245,B43,'경기별지표'!$F$6:$F$2245,C43)</x:f>
        <x:v>345</x:v>
      </x:c>
      <x:c r="M43" s="14" t="n">
        <x:f>SUMIFS('경기별지표'!$K$6:$K$2245,'경기별지표'!$E$6:$E$2245,B43,'경기별지표'!$F$6:$F$2245,C43)</x:f>
        <x:v>109</x:v>
      </x:c>
      <x:c r="N43" s="15" t="n">
        <x:f>IF(L43=0,"해당 없음",M43/L43)</x:f>
        <x:v>0.3159420289855073</x:v>
      </x:c>
      <x:c r="O43" s="14" t="n">
        <x:f>SUMIFS('경기별지표'!$M$6:$M$2245,'경기별지표'!$E$6:$E$2245,B43,'경기별지표'!$F$6:$F$2245,C43)</x:f>
        <x:v>327</x:v>
      </x:c>
      <x:c r="P43" s="14" t="n">
        <x:f>SUMIFS('경기별지표'!$N$6:$N$2245,'경기별지표'!$E$6:$E$2245,B43,'경기별지표'!$F$6:$F$2245,C43)</x:f>
        <x:v>235</x:v>
      </x:c>
      <x:c r="Q43" s="15" t="n">
        <x:f>IF(O43=0,"해당 없음",P43/O43)</x:f>
        <x:v>0.7186544342507645</x:v>
      </x:c>
      <x:c r="R43" s="14" t="n">
        <x:f>SUMIFS('경기별지표'!$P$6:$P$2245,'경기별지표'!$E$6:$E$2245,B43,'경기별지표'!$F$6:$F$2245,C43)</x:f>
        <x:v>4110</x:v>
      </x:c>
    </x:row>
    <x:row r="44" ht="22" customHeight="1">
      <x:c r="A44" s="2" t="n">
        <x:v>20</x:v>
      </x:c>
      <x:c r="B44" s="2" t="str">
        <x:v>80만</x:v>
      </x:c>
      <x:c r="C44" s="2" t="str">
        <x:v>160만</x:v>
      </x:c>
      <x:c r="D44" s="14" t="n">
        <x:f>COUNTIFS('경기별지표'!$E$6:$E$2245,B44,'경기별지표'!$F$6:$F$2245,C44)</x:f>
        <x:v>40</x:v>
      </x:c>
      <x:c r="E44" s="14" t="n">
        <x:f>COUNTIFS('경기별지표'!$E$6:$E$2245,B44,'경기별지표'!$F$6:$F$2245,C44,'경기별지표'!$G$6:$G$2245,"승")</x:f>
        <x:v>11</x:v>
      </x:c>
      <x:c r="F44" s="14" t="n">
        <x:f>COUNTIFS('경기별지표'!$E$6:$E$2245,B44,'경기별지표'!$F$6:$F$2245,C44,'경기별지표'!$G$6:$G$2245,"무")</x:f>
        <x:v>4</x:v>
      </x:c>
      <x:c r="G44" s="14" t="n">
        <x:f>COUNTIFS('경기별지표'!$E$6:$E$2245,B44,'경기별지표'!$F$6:$F$2245,C44,'경기별지표'!$G$6:$G$2245,"패")</x:f>
        <x:v>25</x:v>
      </x:c>
      <x:c r="H44" s="14" t="n">
        <x:f>SUMIFS('경기별지표'!$H$6:$H$2245,'경기별지표'!$E$6:$E$2245,B44,'경기별지표'!$F$6:$F$2245,C44)</x:f>
        <x:v>103</x:v>
      </x:c>
      <x:c r="I44" s="14" t="n">
        <x:f>SUMIFS('경기별지표'!$I$6:$I$2245,'경기별지표'!$E$6:$E$2245,B44,'경기별지표'!$F$6:$F$2245,C44)</x:f>
        <x:v>125</x:v>
      </x:c>
      <x:c r="J44" s="14" t="n">
        <x:f>H44-I44</x:f>
        <x:v>-22</x:v>
      </x:c>
      <x:c r="K44" s="14" t="n">
        <x:f>3*E44+F44</x:f>
        <x:v>37</x:v>
      </x:c>
      <x:c r="L44" s="14" t="n">
        <x:f>SUMIFS('경기별지표'!$J$6:$J$2245,'경기별지표'!$E$6:$E$2245,B44,'경기별지표'!$F$6:$F$2245,C44)</x:f>
        <x:v>355</x:v>
      </x:c>
      <x:c r="M44" s="14" t="n">
        <x:f>SUMIFS('경기별지표'!$K$6:$K$2245,'경기별지표'!$E$6:$E$2245,B44,'경기별지표'!$F$6:$F$2245,C44)</x:f>
        <x:v>101</x:v>
      </x:c>
      <x:c r="N44" s="15" t="n">
        <x:f>IF(L44=0,"해당 없음",M44/L44)</x:f>
        <x:v>0.28450704225352114</x:v>
      </x:c>
      <x:c r="O44" s="14" t="n">
        <x:f>SUMIFS('경기별지표'!$M$6:$M$2245,'경기별지표'!$E$6:$E$2245,B44,'경기별지표'!$F$6:$F$2245,C44)</x:f>
        <x:v>372</x:v>
      </x:c>
      <x:c r="P44" s="14" t="n">
        <x:f>SUMIFS('경기별지표'!$N$6:$N$2245,'경기별지표'!$E$6:$E$2245,B44,'경기별지표'!$F$6:$F$2245,C44)</x:f>
        <x:v>277</x:v>
      </x:c>
      <x:c r="Q44" s="15" t="n">
        <x:f>IF(O44=0,"해당 없음",P44/O44)</x:f>
        <x:v>0.7446236559139785</x:v>
      </x:c>
      <x:c r="R44" s="14" t="n">
        <x:f>SUMIFS('경기별지표'!$P$6:$P$2245,'경기별지표'!$E$6:$E$2245,B44,'경기별지표'!$F$6:$F$2245,C44)</x:f>
        <x:v>4122</x:v>
      </x:c>
    </x:row>
    <x:row r="45" ht="22" customHeight="1">
      <x:c r="A45" s="2" t="n">
        <x:v>20</x:v>
      </x:c>
      <x:c r="B45" s="2" t="str">
        <x:v>160만</x:v>
      </x:c>
      <x:c r="C45" s="2" t="str">
        <x:v>80만</x:v>
      </x:c>
      <x:c r="D45" s="14" t="n">
        <x:f>COUNTIFS('경기별지표'!$E$6:$E$2245,B45,'경기별지표'!$F$6:$F$2245,C45)</x:f>
        <x:v>40</x:v>
      </x:c>
      <x:c r="E45" s="14" t="n">
        <x:f>COUNTIFS('경기별지표'!$E$6:$E$2245,B45,'경기별지표'!$F$6:$F$2245,C45,'경기별지표'!$G$6:$G$2245,"승")</x:f>
        <x:v>25</x:v>
      </x:c>
      <x:c r="F45" s="14" t="n">
        <x:f>COUNTIFS('경기별지표'!$E$6:$E$2245,B45,'경기별지표'!$F$6:$F$2245,C45,'경기별지표'!$G$6:$G$2245,"무")</x:f>
        <x:v>4</x:v>
      </x:c>
      <x:c r="G45" s="14" t="n">
        <x:f>COUNTIFS('경기별지표'!$E$6:$E$2245,B45,'경기별지표'!$F$6:$F$2245,C45,'경기별지표'!$G$6:$G$2245,"패")</x:f>
        <x:v>11</x:v>
      </x:c>
      <x:c r="H45" s="14" t="n">
        <x:f>SUMIFS('경기별지표'!$H$6:$H$2245,'경기별지표'!$E$6:$E$2245,B45,'경기별지표'!$F$6:$F$2245,C45)</x:f>
        <x:v>125</x:v>
      </x:c>
      <x:c r="I45" s="14" t="n">
        <x:f>SUMIFS('경기별지표'!$I$6:$I$2245,'경기별지표'!$E$6:$E$2245,B45,'경기별지표'!$F$6:$F$2245,C45)</x:f>
        <x:v>103</x:v>
      </x:c>
      <x:c r="J45" s="14" t="n">
        <x:f>H45-I45</x:f>
        <x:v>22</x:v>
      </x:c>
      <x:c r="K45" s="14" t="n">
        <x:f>3*E45+F45</x:f>
        <x:v>79</x:v>
      </x:c>
      <x:c r="L45" s="14" t="n">
        <x:f>SUMIFS('경기별지표'!$J$6:$J$2245,'경기별지표'!$E$6:$E$2245,B45,'경기별지표'!$F$6:$F$2245,C45)</x:f>
        <x:v>332</x:v>
      </x:c>
      <x:c r="M45" s="14" t="n">
        <x:f>SUMIFS('경기별지표'!$K$6:$K$2245,'경기별지표'!$E$6:$E$2245,B45,'경기별지표'!$F$6:$F$2245,C45)</x:f>
        <x:v>124</x:v>
      </x:c>
      <x:c r="N45" s="15" t="n">
        <x:f>IF(L45=0,"해당 없음",M45/L45)</x:f>
        <x:v>0.37349397590361444</x:v>
      </x:c>
      <x:c r="O45" s="14" t="n">
        <x:f>SUMIFS('경기별지표'!$M$6:$M$2245,'경기별지표'!$E$6:$E$2245,B45,'경기별지표'!$F$6:$F$2245,C45)</x:f>
        <x:v>364</x:v>
      </x:c>
      <x:c r="P45" s="14" t="n">
        <x:f>SUMIFS('경기별지표'!$N$6:$N$2245,'경기별지표'!$E$6:$E$2245,B45,'경기별지표'!$F$6:$F$2245,C45)</x:f>
        <x:v>262</x:v>
      </x:c>
      <x:c r="Q45" s="15" t="n">
        <x:f>IF(O45=0,"해당 없음",P45/O45)</x:f>
        <x:v>0.7197802197802198</x:v>
      </x:c>
      <x:c r="R45" s="14" t="n">
        <x:f>SUMIFS('경기별지표'!$P$6:$P$2245,'경기별지표'!$E$6:$E$2245,B45,'경기별지표'!$F$6:$F$2245,C45)</x:f>
        <x:v>4133</x:v>
      </x:c>
    </x:row>
    <x:row r="46" ht="22" customHeight="1">
      <x:c r="A46" s="2" t="n">
        <x:v>21</x:v>
      </x:c>
      <x:c r="B46" s="2" t="str">
        <x:v>80만</x:v>
      </x:c>
      <x:c r="C46" s="2" t="str">
        <x:v>200만</x:v>
      </x:c>
      <x:c r="D46" s="14" t="n">
        <x:f>COUNTIFS('경기별지표'!$E$6:$E$2245,B46,'경기별지표'!$F$6:$F$2245,C46)</x:f>
        <x:v>40</x:v>
      </x:c>
      <x:c r="E46" s="14" t="n">
        <x:f>COUNTIFS('경기별지표'!$E$6:$E$2245,B46,'경기별지표'!$F$6:$F$2245,C46,'경기별지표'!$G$6:$G$2245,"승")</x:f>
        <x:v>19</x:v>
      </x:c>
      <x:c r="F46" s="14" t="n">
        <x:f>COUNTIFS('경기별지표'!$E$6:$E$2245,B46,'경기별지표'!$F$6:$F$2245,C46,'경기별지표'!$G$6:$G$2245,"무")</x:f>
        <x:v>4</x:v>
      </x:c>
      <x:c r="G46" s="14" t="n">
        <x:f>COUNTIFS('경기별지표'!$E$6:$E$2245,B46,'경기별지표'!$F$6:$F$2245,C46,'경기별지표'!$G$6:$G$2245,"패")</x:f>
        <x:v>17</x:v>
      </x:c>
      <x:c r="H46" s="14" t="n">
        <x:f>SUMIFS('경기별지표'!$H$6:$H$2245,'경기별지표'!$E$6:$E$2245,B46,'경기별지표'!$F$6:$F$2245,C46)</x:f>
        <x:v>120</x:v>
      </x:c>
      <x:c r="I46" s="14" t="n">
        <x:f>SUMIFS('경기별지표'!$I$6:$I$2245,'경기별지표'!$E$6:$E$2245,B46,'경기별지표'!$F$6:$F$2245,C46)</x:f>
        <x:v>114</x:v>
      </x:c>
      <x:c r="J46" s="14" t="n">
        <x:f>H46-I46</x:f>
        <x:v>6</x:v>
      </x:c>
      <x:c r="K46" s="14" t="n">
        <x:f>3*E46+F46</x:f>
        <x:v>61</x:v>
      </x:c>
      <x:c r="L46" s="14" t="n">
        <x:f>SUMIFS('경기별지표'!$J$6:$J$2245,'경기별지표'!$E$6:$E$2245,B46,'경기별지표'!$F$6:$F$2245,C46)</x:f>
        <x:v>359</x:v>
      </x:c>
      <x:c r="M46" s="14" t="n">
        <x:f>SUMIFS('경기별지표'!$K$6:$K$2245,'경기별지표'!$E$6:$E$2245,B46,'경기별지표'!$F$6:$F$2245,C46)</x:f>
        <x:v>114</x:v>
      </x:c>
      <x:c r="N46" s="15" t="n">
        <x:f>IF(L46=0,"해당 없음",M46/L46)</x:f>
        <x:v>0.31754874651810583</x:v>
      </x:c>
      <x:c r="O46" s="14" t="n">
        <x:f>SUMIFS('경기별지표'!$M$6:$M$2245,'경기별지표'!$E$6:$E$2245,B46,'경기별지표'!$F$6:$F$2245,C46)</x:f>
        <x:v>428</x:v>
      </x:c>
      <x:c r="P46" s="14" t="n">
        <x:f>SUMIFS('경기별지표'!$N$6:$N$2245,'경기별지표'!$E$6:$E$2245,B46,'경기별지표'!$F$6:$F$2245,C46)</x:f>
        <x:v>321</x:v>
      </x:c>
      <x:c r="Q46" s="15" t="n">
        <x:f>IF(O46=0,"해당 없음",P46/O46)</x:f>
        <x:v>0.75</x:v>
      </x:c>
      <x:c r="R46" s="14" t="n">
        <x:f>SUMIFS('경기별지표'!$P$6:$P$2245,'경기별지표'!$E$6:$E$2245,B46,'경기별지표'!$F$6:$F$2245,C46)</x:f>
        <x:v>4137</x:v>
      </x:c>
    </x:row>
    <x:row r="47" ht="22" customHeight="1">
      <x:c r="A47" s="2" t="n">
        <x:v>21</x:v>
      </x:c>
      <x:c r="B47" s="2" t="str">
        <x:v>200만</x:v>
      </x:c>
      <x:c r="C47" s="2" t="str">
        <x:v>80만</x:v>
      </x:c>
      <x:c r="D47" s="14" t="n">
        <x:f>COUNTIFS('경기별지표'!$E$6:$E$2245,B47,'경기별지표'!$F$6:$F$2245,C47)</x:f>
        <x:v>40</x:v>
      </x:c>
      <x:c r="E47" s="14" t="n">
        <x:f>COUNTIFS('경기별지표'!$E$6:$E$2245,B47,'경기별지표'!$F$6:$F$2245,C47,'경기별지표'!$G$6:$G$2245,"승")</x:f>
        <x:v>17</x:v>
      </x:c>
      <x:c r="F47" s="14" t="n">
        <x:f>COUNTIFS('경기별지표'!$E$6:$E$2245,B47,'경기별지표'!$F$6:$F$2245,C47,'경기별지표'!$G$6:$G$2245,"무")</x:f>
        <x:v>4</x:v>
      </x:c>
      <x:c r="G47" s="14" t="n">
        <x:f>COUNTIFS('경기별지표'!$E$6:$E$2245,B47,'경기별지표'!$F$6:$F$2245,C47,'경기별지표'!$G$6:$G$2245,"패")</x:f>
        <x:v>19</x:v>
      </x:c>
      <x:c r="H47" s="14" t="n">
        <x:f>SUMIFS('경기별지표'!$H$6:$H$2245,'경기별지표'!$E$6:$E$2245,B47,'경기별지표'!$F$6:$F$2245,C47)</x:f>
        <x:v>114</x:v>
      </x:c>
      <x:c r="I47" s="14" t="n">
        <x:f>SUMIFS('경기별지표'!$I$6:$I$2245,'경기별지표'!$E$6:$E$2245,B47,'경기별지표'!$F$6:$F$2245,C47)</x:f>
        <x:v>120</x:v>
      </x:c>
      <x:c r="J47" s="14" t="n">
        <x:f>H47-I47</x:f>
        <x:v>-6</x:v>
      </x:c>
      <x:c r="K47" s="14" t="n">
        <x:f>3*E47+F47</x:f>
        <x:v>55</x:v>
      </x:c>
      <x:c r="L47" s="14" t="n">
        <x:f>SUMIFS('경기별지표'!$J$6:$J$2245,'경기별지표'!$E$6:$E$2245,B47,'경기별지표'!$F$6:$F$2245,C47)</x:f>
        <x:v>333</x:v>
      </x:c>
      <x:c r="M47" s="14" t="n">
        <x:f>SUMIFS('경기별지표'!$K$6:$K$2245,'경기별지표'!$E$6:$E$2245,B47,'경기별지표'!$F$6:$F$2245,C47)</x:f>
        <x:v>113</x:v>
      </x:c>
      <x:c r="N47" s="15" t="n">
        <x:f>IF(L47=0,"해당 없음",M47/L47)</x:f>
        <x:v>0.33933933933933935</x:v>
      </x:c>
      <x:c r="O47" s="14" t="n">
        <x:f>SUMIFS('경기별지표'!$M$6:$M$2245,'경기별지표'!$E$6:$E$2245,B47,'경기별지표'!$F$6:$F$2245,C47)</x:f>
        <x:v>333</x:v>
      </x:c>
      <x:c r="P47" s="14" t="n">
        <x:f>SUMIFS('경기별지표'!$N$6:$N$2245,'경기별지표'!$E$6:$E$2245,B47,'경기별지표'!$F$6:$F$2245,C47)</x:f>
        <x:v>240</x:v>
      </x:c>
      <x:c r="Q47" s="15" t="n">
        <x:f>IF(O47=0,"해당 없음",P47/O47)</x:f>
        <x:v>0.7207207207207207</x:v>
      </x:c>
      <x:c r="R47" s="14" t="n">
        <x:f>SUMIFS('경기별지표'!$P$6:$P$2245,'경기별지표'!$E$6:$E$2245,B47,'경기별지표'!$F$6:$F$2245,C47)</x:f>
        <x:v>4139</x:v>
      </x:c>
    </x:row>
    <x:row r="48" ht="22" customHeight="1">
      <x:c r="A48" s="2" t="n">
        <x:v>22</x:v>
      </x:c>
      <x:c r="B48" s="2" t="str">
        <x:v>80만</x:v>
      </x:c>
      <x:c r="C48" s="2" t="str">
        <x:v>240만</x:v>
      </x:c>
      <x:c r="D48" s="14" t="n">
        <x:f>COUNTIFS('경기별지표'!$E$6:$E$2245,B48,'경기별지표'!$F$6:$F$2245,C48)</x:f>
        <x:v>40</x:v>
      </x:c>
      <x:c r="E48" s="14" t="n">
        <x:f>COUNTIFS('경기별지표'!$E$6:$E$2245,B48,'경기별지표'!$F$6:$F$2245,C48,'경기별지표'!$G$6:$G$2245,"승")</x:f>
        <x:v>15</x:v>
      </x:c>
      <x:c r="F48" s="14" t="n">
        <x:f>COUNTIFS('경기별지표'!$E$6:$E$2245,B48,'경기별지표'!$F$6:$F$2245,C48,'경기별지표'!$G$6:$G$2245,"무")</x:f>
        <x:v>7</x:v>
      </x:c>
      <x:c r="G48" s="14" t="n">
        <x:f>COUNTIFS('경기별지표'!$E$6:$E$2245,B48,'경기별지표'!$F$6:$F$2245,C48,'경기별지표'!$G$6:$G$2245,"패")</x:f>
        <x:v>18</x:v>
      </x:c>
      <x:c r="H48" s="14" t="n">
        <x:f>SUMIFS('경기별지표'!$H$6:$H$2245,'경기별지표'!$E$6:$E$2245,B48,'경기별지표'!$F$6:$F$2245,C48)</x:f>
        <x:v>93</x:v>
      </x:c>
      <x:c r="I48" s="14" t="n">
        <x:f>SUMIFS('경기별지표'!$I$6:$I$2245,'경기별지표'!$E$6:$E$2245,B48,'경기별지표'!$F$6:$F$2245,C48)</x:f>
        <x:v>103</x:v>
      </x:c>
      <x:c r="J48" s="14" t="n">
        <x:f>H48-I48</x:f>
        <x:v>-10</x:v>
      </x:c>
      <x:c r="K48" s="14" t="n">
        <x:f>3*E48+F48</x:f>
        <x:v>52</x:v>
      </x:c>
      <x:c r="L48" s="14" t="n">
        <x:f>SUMIFS('경기별지표'!$J$6:$J$2245,'경기별지표'!$E$6:$E$2245,B48,'경기별지표'!$F$6:$F$2245,C48)</x:f>
        <x:v>405</x:v>
      </x:c>
      <x:c r="M48" s="14" t="n">
        <x:f>SUMIFS('경기별지표'!$K$6:$K$2245,'경기별지표'!$E$6:$E$2245,B48,'경기별지표'!$F$6:$F$2245,C48)</x:f>
        <x:v>90</x:v>
      </x:c>
      <x:c r="N48" s="15" t="n">
        <x:f>IF(L48=0,"해당 없음",M48/L48)</x:f>
        <x:v>0.2222222222222222</x:v>
      </x:c>
      <x:c r="O48" s="14" t="n">
        <x:f>SUMIFS('경기별지표'!$M$6:$M$2245,'경기별지표'!$E$6:$E$2245,B48,'경기별지표'!$F$6:$F$2245,C48)</x:f>
        <x:v>389</x:v>
      </x:c>
      <x:c r="P48" s="14" t="n">
        <x:f>SUMIFS('경기별지표'!$N$6:$N$2245,'경기별지표'!$E$6:$E$2245,B48,'경기별지표'!$F$6:$F$2245,C48)</x:f>
        <x:v>306</x:v>
      </x:c>
      <x:c r="Q48" s="15" t="n">
        <x:f>IF(O48=0,"해당 없음",P48/O48)</x:f>
        <x:v>0.7866323907455013</x:v>
      </x:c>
      <x:c r="R48" s="14" t="n">
        <x:f>SUMIFS('경기별지표'!$P$6:$P$2245,'경기별지표'!$E$6:$E$2245,B48,'경기별지표'!$F$6:$F$2245,C48)</x:f>
        <x:v>4116</x:v>
      </x:c>
    </x:row>
    <x:row r="49" ht="22" customHeight="1">
      <x:c r="A49" s="2" t="n">
        <x:v>22</x:v>
      </x:c>
      <x:c r="B49" s="2" t="str">
        <x:v>240만</x:v>
      </x:c>
      <x:c r="C49" s="2" t="str">
        <x:v>80만</x:v>
      </x:c>
      <x:c r="D49" s="14" t="n">
        <x:f>COUNTIFS('경기별지표'!$E$6:$E$2245,B49,'경기별지표'!$F$6:$F$2245,C49)</x:f>
        <x:v>40</x:v>
      </x:c>
      <x:c r="E49" s="14" t="n">
        <x:f>COUNTIFS('경기별지표'!$E$6:$E$2245,B49,'경기별지표'!$F$6:$F$2245,C49,'경기별지표'!$G$6:$G$2245,"승")</x:f>
        <x:v>18</x:v>
      </x:c>
      <x:c r="F49" s="14" t="n">
        <x:f>COUNTIFS('경기별지표'!$E$6:$E$2245,B49,'경기별지표'!$F$6:$F$2245,C49,'경기별지표'!$G$6:$G$2245,"무")</x:f>
        <x:v>7</x:v>
      </x:c>
      <x:c r="G49" s="14" t="n">
        <x:f>COUNTIFS('경기별지표'!$E$6:$E$2245,B49,'경기별지표'!$F$6:$F$2245,C49,'경기별지표'!$G$6:$G$2245,"패")</x:f>
        <x:v>15</x:v>
      </x:c>
      <x:c r="H49" s="14" t="n">
        <x:f>SUMIFS('경기별지표'!$H$6:$H$2245,'경기별지표'!$E$6:$E$2245,B49,'경기별지표'!$F$6:$F$2245,C49)</x:f>
        <x:v>103</x:v>
      </x:c>
      <x:c r="I49" s="14" t="n">
        <x:f>SUMIFS('경기별지표'!$I$6:$I$2245,'경기별지표'!$E$6:$E$2245,B49,'경기별지표'!$F$6:$F$2245,C49)</x:f>
        <x:v>93</x:v>
      </x:c>
      <x:c r="J49" s="14" t="n">
        <x:f>H49-I49</x:f>
        <x:v>10</x:v>
      </x:c>
      <x:c r="K49" s="14" t="n">
        <x:f>3*E49+F49</x:f>
        <x:v>61</x:v>
      </x:c>
      <x:c r="L49" s="14" t="n">
        <x:f>SUMIFS('경기별지표'!$J$6:$J$2245,'경기별지표'!$E$6:$E$2245,B49,'경기별지표'!$F$6:$F$2245,C49)</x:f>
        <x:v>317</x:v>
      </x:c>
      <x:c r="M49" s="14" t="n">
        <x:f>SUMIFS('경기별지표'!$K$6:$K$2245,'경기별지표'!$E$6:$E$2245,B49,'경기별지표'!$F$6:$F$2245,C49)</x:f>
        <x:v>103</x:v>
      </x:c>
      <x:c r="N49" s="15" t="n">
        <x:f>IF(L49=0,"해당 없음",M49/L49)</x:f>
        <x:v>0.3249211356466877</x:v>
      </x:c>
      <x:c r="O49" s="14" t="n">
        <x:f>SUMIFS('경기별지표'!$M$6:$M$2245,'경기별지표'!$E$6:$E$2245,B49,'경기별지표'!$F$6:$F$2245,C49)</x:f>
        <x:v>393</x:v>
      </x:c>
      <x:c r="P49" s="14" t="n">
        <x:f>SUMIFS('경기별지표'!$N$6:$N$2245,'경기별지표'!$E$6:$E$2245,B49,'경기별지표'!$F$6:$F$2245,C49)</x:f>
        <x:v>278</x:v>
      </x:c>
      <x:c r="Q49" s="15" t="n">
        <x:f>IF(O49=0,"해당 없음",P49/O49)</x:f>
        <x:v>0.7073791348600509</x:v>
      </x:c>
      <x:c r="R49" s="14" t="n">
        <x:f>SUMIFS('경기별지표'!$P$6:$P$2245,'경기별지표'!$E$6:$E$2245,B49,'경기별지표'!$F$6:$F$2245,C49)</x:f>
        <x:v>4104</x:v>
      </x:c>
    </x:row>
    <x:row r="50" ht="22" customHeight="1">
      <x:c r="A50" s="2" t="n">
        <x:v>23</x:v>
      </x:c>
      <x:c r="B50" s="2" t="str">
        <x:v>120만</x:v>
      </x:c>
      <x:c r="C50" s="2" t="str">
        <x:v>160만</x:v>
      </x:c>
      <x:c r="D50" s="14" t="n">
        <x:f>COUNTIFS('경기별지표'!$E$6:$E$2245,B50,'경기별지표'!$F$6:$F$2245,C50)</x:f>
        <x:v>40</x:v>
      </x:c>
      <x:c r="E50" s="14" t="n">
        <x:f>COUNTIFS('경기별지표'!$E$6:$E$2245,B50,'경기별지표'!$F$6:$F$2245,C50,'경기별지표'!$G$6:$G$2245,"승")</x:f>
        <x:v>14</x:v>
      </x:c>
      <x:c r="F50" s="14" t="n">
        <x:f>COUNTIFS('경기별지표'!$E$6:$E$2245,B50,'경기별지표'!$F$6:$F$2245,C50,'경기별지표'!$G$6:$G$2245,"무")</x:f>
        <x:v>13</x:v>
      </x:c>
      <x:c r="G50" s="14" t="n">
        <x:f>COUNTIFS('경기별지표'!$E$6:$E$2245,B50,'경기별지표'!$F$6:$F$2245,C50,'경기별지표'!$G$6:$G$2245,"패")</x:f>
        <x:v>13</x:v>
      </x:c>
      <x:c r="H50" s="14" t="n">
        <x:f>SUMIFS('경기별지표'!$H$6:$H$2245,'경기별지표'!$E$6:$E$2245,B50,'경기별지표'!$F$6:$F$2245,C50)</x:f>
        <x:v>91</x:v>
      </x:c>
      <x:c r="I50" s="14" t="n">
        <x:f>SUMIFS('경기별지표'!$I$6:$I$2245,'경기별지표'!$E$6:$E$2245,B50,'경기별지표'!$F$6:$F$2245,C50)</x:f>
        <x:v>87</x:v>
      </x:c>
      <x:c r="J50" s="14" t="n">
        <x:f>H50-I50</x:f>
        <x:v>4</x:v>
      </x:c>
      <x:c r="K50" s="14" t="n">
        <x:f>3*E50+F50</x:f>
        <x:v>55</x:v>
      </x:c>
      <x:c r="L50" s="14" t="n">
        <x:f>SUMIFS('경기별지표'!$J$6:$J$2245,'경기별지표'!$E$6:$E$2245,B50,'경기별지표'!$F$6:$F$2245,C50)</x:f>
        <x:v>352</x:v>
      </x:c>
      <x:c r="M50" s="14" t="n">
        <x:f>SUMIFS('경기별지표'!$K$6:$K$2245,'경기별지표'!$E$6:$E$2245,B50,'경기별지표'!$F$6:$F$2245,C50)</x:f>
        <x:v>91</x:v>
      </x:c>
      <x:c r="N50" s="15" t="n">
        <x:f>IF(L50=0,"해당 없음",M50/L50)</x:f>
        <x:v>0.2585227272727273</x:v>
      </x:c>
      <x:c r="O50" s="14" t="n">
        <x:f>SUMIFS('경기별지표'!$M$6:$M$2245,'경기별지표'!$E$6:$E$2245,B50,'경기별지표'!$F$6:$F$2245,C50)</x:f>
        <x:v>374</x:v>
      </x:c>
      <x:c r="P50" s="14" t="n">
        <x:f>SUMIFS('경기별지표'!$N$6:$N$2245,'경기별지표'!$E$6:$E$2245,B50,'경기별지표'!$F$6:$F$2245,C50)</x:f>
        <x:v>280</x:v>
      </x:c>
      <x:c r="Q50" s="15" t="n">
        <x:f>IF(O50=0,"해당 없음",P50/O50)</x:f>
        <x:v>0.7486631016042781</x:v>
      </x:c>
      <x:c r="R50" s="14" t="n">
        <x:f>SUMIFS('경기별지표'!$P$6:$P$2245,'경기별지표'!$E$6:$E$2245,B50,'경기별지표'!$F$6:$F$2245,C50)</x:f>
        <x:v>4114</x:v>
      </x:c>
    </x:row>
    <x:row r="51" ht="22" customHeight="1">
      <x:c r="A51" s="2" t="n">
        <x:v>23</x:v>
      </x:c>
      <x:c r="B51" s="2" t="str">
        <x:v>160만</x:v>
      </x:c>
      <x:c r="C51" s="2" t="str">
        <x:v>120만</x:v>
      </x:c>
      <x:c r="D51" s="14" t="n">
        <x:f>COUNTIFS('경기별지표'!$E$6:$E$2245,B51,'경기별지표'!$F$6:$F$2245,C51)</x:f>
        <x:v>40</x:v>
      </x:c>
      <x:c r="E51" s="14" t="n">
        <x:f>COUNTIFS('경기별지표'!$E$6:$E$2245,B51,'경기별지표'!$F$6:$F$2245,C51,'경기별지표'!$G$6:$G$2245,"승")</x:f>
        <x:v>13</x:v>
      </x:c>
      <x:c r="F51" s="14" t="n">
        <x:f>COUNTIFS('경기별지표'!$E$6:$E$2245,B51,'경기별지표'!$F$6:$F$2245,C51,'경기별지표'!$G$6:$G$2245,"무")</x:f>
        <x:v>13</x:v>
      </x:c>
      <x:c r="G51" s="14" t="n">
        <x:f>COUNTIFS('경기별지표'!$E$6:$E$2245,B51,'경기별지표'!$F$6:$F$2245,C51,'경기별지표'!$G$6:$G$2245,"패")</x:f>
        <x:v>14</x:v>
      </x:c>
      <x:c r="H51" s="14" t="n">
        <x:f>SUMIFS('경기별지표'!$H$6:$H$2245,'경기별지표'!$E$6:$E$2245,B51,'경기별지표'!$F$6:$F$2245,C51)</x:f>
        <x:v>87</x:v>
      </x:c>
      <x:c r="I51" s="14" t="n">
        <x:f>SUMIFS('경기별지표'!$I$6:$I$2245,'경기별지표'!$E$6:$E$2245,B51,'경기별지표'!$F$6:$F$2245,C51)</x:f>
        <x:v>91</x:v>
      </x:c>
      <x:c r="J51" s="14" t="n">
        <x:f>H51-I51</x:f>
        <x:v>-4</x:v>
      </x:c>
      <x:c r="K51" s="14" t="n">
        <x:f>3*E51+F51</x:f>
        <x:v>52</x:v>
      </x:c>
      <x:c r="L51" s="14" t="n">
        <x:f>SUMIFS('경기별지표'!$J$6:$J$2245,'경기별지표'!$E$6:$E$2245,B51,'경기별지표'!$F$6:$F$2245,C51)</x:f>
        <x:v>316</x:v>
      </x:c>
      <x:c r="M51" s="14" t="n">
        <x:f>SUMIFS('경기별지표'!$K$6:$K$2245,'경기별지표'!$E$6:$E$2245,B51,'경기별지표'!$F$6:$F$2245,C51)</x:f>
        <x:v>85</x:v>
      </x:c>
      <x:c r="N51" s="15" t="n">
        <x:f>IF(L51=0,"해당 없음",M51/L51)</x:f>
        <x:v>0.2689873417721519</x:v>
      </x:c>
      <x:c r="O51" s="14" t="n">
        <x:f>SUMIFS('경기별지표'!$M$6:$M$2245,'경기별지표'!$E$6:$E$2245,B51,'경기별지표'!$F$6:$F$2245,C51)</x:f>
        <x:v>374</x:v>
      </x:c>
      <x:c r="P51" s="14" t="n">
        <x:f>SUMIFS('경기별지표'!$N$6:$N$2245,'경기별지표'!$E$6:$E$2245,B51,'경기별지표'!$F$6:$F$2245,C51)</x:f>
        <x:v>282</x:v>
      </x:c>
      <x:c r="Q51" s="15" t="n">
        <x:f>IF(O51=0,"해당 없음",P51/O51)</x:f>
        <x:v>0.7540106951871658</x:v>
      </x:c>
      <x:c r="R51" s="14" t="n">
        <x:f>SUMIFS('경기별지표'!$P$6:$P$2245,'경기별지표'!$E$6:$E$2245,B51,'경기별지표'!$F$6:$F$2245,C51)</x:f>
        <x:v>4110</x:v>
      </x:c>
    </x:row>
    <x:row r="52" ht="22" customHeight="1">
      <x:c r="A52" s="2" t="n">
        <x:v>24</x:v>
      </x:c>
      <x:c r="B52" s="2" t="str">
        <x:v>120만</x:v>
      </x:c>
      <x:c r="C52" s="2" t="str">
        <x:v>200만</x:v>
      </x:c>
      <x:c r="D52" s="14" t="n">
        <x:f>COUNTIFS('경기별지표'!$E$6:$E$2245,B52,'경기별지표'!$F$6:$F$2245,C52)</x:f>
        <x:v>40</x:v>
      </x:c>
      <x:c r="E52" s="14" t="n">
        <x:f>COUNTIFS('경기별지표'!$E$6:$E$2245,B52,'경기별지표'!$F$6:$F$2245,C52,'경기별지표'!$G$6:$G$2245,"승")</x:f>
        <x:v>18</x:v>
      </x:c>
      <x:c r="F52" s="14" t="n">
        <x:f>COUNTIFS('경기별지표'!$E$6:$E$2245,B52,'경기별지표'!$F$6:$F$2245,C52,'경기별지표'!$G$6:$G$2245,"무")</x:f>
        <x:v>11</x:v>
      </x:c>
      <x:c r="G52" s="14" t="n">
        <x:f>COUNTIFS('경기별지표'!$E$6:$E$2245,B52,'경기별지표'!$F$6:$F$2245,C52,'경기별지표'!$G$6:$G$2245,"패")</x:f>
        <x:v>11</x:v>
      </x:c>
      <x:c r="H52" s="14" t="n">
        <x:f>SUMIFS('경기별지표'!$H$6:$H$2245,'경기별지표'!$E$6:$E$2245,B52,'경기별지표'!$F$6:$F$2245,C52)</x:f>
        <x:v>113</x:v>
      </x:c>
      <x:c r="I52" s="14" t="n">
        <x:f>SUMIFS('경기별지표'!$I$6:$I$2245,'경기별지표'!$E$6:$E$2245,B52,'경기별지표'!$F$6:$F$2245,C52)</x:f>
        <x:v>93</x:v>
      </x:c>
      <x:c r="J52" s="14" t="n">
        <x:f>H52-I52</x:f>
        <x:v>20</x:v>
      </x:c>
      <x:c r="K52" s="14" t="n">
        <x:f>3*E52+F52</x:f>
        <x:v>65</x:v>
      </x:c>
      <x:c r="L52" s="14" t="n">
        <x:f>SUMIFS('경기별지표'!$J$6:$J$2245,'경기별지표'!$E$6:$E$2245,B52,'경기별지표'!$F$6:$F$2245,C52)</x:f>
        <x:v>356</x:v>
      </x:c>
      <x:c r="M52" s="14" t="n">
        <x:f>SUMIFS('경기별지표'!$K$6:$K$2245,'경기별지표'!$E$6:$E$2245,B52,'경기별지표'!$F$6:$F$2245,C52)</x:f>
        <x:v>112</x:v>
      </x:c>
      <x:c r="N52" s="15" t="n">
        <x:f>IF(L52=0,"해당 없음",M52/L52)</x:f>
        <x:v>0.3146067415730337</x:v>
      </x:c>
      <x:c r="O52" s="14" t="n">
        <x:f>SUMIFS('경기별지표'!$M$6:$M$2245,'경기별지표'!$E$6:$E$2245,B52,'경기별지표'!$F$6:$F$2245,C52)</x:f>
        <x:v>375</x:v>
      </x:c>
      <x:c r="P52" s="14" t="n">
        <x:f>SUMIFS('경기별지표'!$N$6:$N$2245,'경기별지표'!$E$6:$E$2245,B52,'경기별지표'!$F$6:$F$2245,C52)</x:f>
        <x:v>272</x:v>
      </x:c>
      <x:c r="Q52" s="15" t="n">
        <x:f>IF(O52=0,"해당 없음",P52/O52)</x:f>
        <x:v>0.7253333333333334</x:v>
      </x:c>
      <x:c r="R52" s="14" t="n">
        <x:f>SUMIFS('경기별지표'!$P$6:$P$2245,'경기별지표'!$E$6:$E$2245,B52,'경기별지표'!$F$6:$F$2245,C52)</x:f>
        <x:v>4116</x:v>
      </x:c>
    </x:row>
    <x:row r="53" ht="22" customHeight="1">
      <x:c r="A53" s="2" t="n">
        <x:v>24</x:v>
      </x:c>
      <x:c r="B53" s="2" t="str">
        <x:v>200만</x:v>
      </x:c>
      <x:c r="C53" s="2" t="str">
        <x:v>120만</x:v>
      </x:c>
      <x:c r="D53" s="14" t="n">
        <x:f>COUNTIFS('경기별지표'!$E$6:$E$2245,B53,'경기별지표'!$F$6:$F$2245,C53)</x:f>
        <x:v>40</x:v>
      </x:c>
      <x:c r="E53" s="14" t="n">
        <x:f>COUNTIFS('경기별지표'!$E$6:$E$2245,B53,'경기별지표'!$F$6:$F$2245,C53,'경기별지표'!$G$6:$G$2245,"승")</x:f>
        <x:v>11</x:v>
      </x:c>
      <x:c r="F53" s="14" t="n">
        <x:f>COUNTIFS('경기별지표'!$E$6:$E$2245,B53,'경기별지표'!$F$6:$F$2245,C53,'경기별지표'!$G$6:$G$2245,"무")</x:f>
        <x:v>11</x:v>
      </x:c>
      <x:c r="G53" s="14" t="n">
        <x:f>COUNTIFS('경기별지표'!$E$6:$E$2245,B53,'경기별지표'!$F$6:$F$2245,C53,'경기별지표'!$G$6:$G$2245,"패")</x:f>
        <x:v>18</x:v>
      </x:c>
      <x:c r="H53" s="14" t="n">
        <x:f>SUMIFS('경기별지표'!$H$6:$H$2245,'경기별지표'!$E$6:$E$2245,B53,'경기별지표'!$F$6:$F$2245,C53)</x:f>
        <x:v>93</x:v>
      </x:c>
      <x:c r="I53" s="14" t="n">
        <x:f>SUMIFS('경기별지표'!$I$6:$I$2245,'경기별지표'!$E$6:$E$2245,B53,'경기별지표'!$F$6:$F$2245,C53)</x:f>
        <x:v>113</x:v>
      </x:c>
      <x:c r="J53" s="14" t="n">
        <x:f>H53-I53</x:f>
        <x:v>-20</x:v>
      </x:c>
      <x:c r="K53" s="14" t="n">
        <x:f>3*E53+F53</x:f>
        <x:v>44</x:v>
      </x:c>
      <x:c r="L53" s="14" t="n">
        <x:f>SUMIFS('경기별지표'!$J$6:$J$2245,'경기별지표'!$E$6:$E$2245,B53,'경기별지표'!$F$6:$F$2245,C53)</x:f>
        <x:v>321</x:v>
      </x:c>
      <x:c r="M53" s="14" t="n">
        <x:f>SUMIFS('경기별지표'!$K$6:$K$2245,'경기별지표'!$E$6:$E$2245,B53,'경기별지표'!$F$6:$F$2245,C53)</x:f>
        <x:v>93</x:v>
      </x:c>
      <x:c r="N53" s="15" t="n">
        <x:f>IF(L53=0,"해당 없음",M53/L53)</x:f>
        <x:v>0.2897196261682243</x:v>
      </x:c>
      <x:c r="O53" s="14" t="n">
        <x:f>SUMIFS('경기별지표'!$M$6:$M$2245,'경기별지표'!$E$6:$E$2245,B53,'경기별지표'!$F$6:$F$2245,C53)</x:f>
        <x:v>351</x:v>
      </x:c>
      <x:c r="P53" s="14" t="n">
        <x:f>SUMIFS('경기별지표'!$N$6:$N$2245,'경기별지표'!$E$6:$E$2245,B53,'경기별지표'!$F$6:$F$2245,C53)</x:f>
        <x:v>261</x:v>
      </x:c>
      <x:c r="Q53" s="15" t="n">
        <x:f>IF(O53=0,"해당 없음",P53/O53)</x:f>
        <x:v>0.7435897435897436</x:v>
      </x:c>
      <x:c r="R53" s="14" t="n">
        <x:f>SUMIFS('경기별지표'!$P$6:$P$2245,'경기별지표'!$E$6:$E$2245,B53,'경기별지표'!$F$6:$F$2245,C53)</x:f>
        <x:v>4125</x:v>
      </x:c>
    </x:row>
    <x:row r="54" ht="22" customHeight="1">
      <x:c r="A54" s="2" t="n">
        <x:v>25</x:v>
      </x:c>
      <x:c r="B54" s="2" t="str">
        <x:v>120만</x:v>
      </x:c>
      <x:c r="C54" s="2" t="str">
        <x:v>240만</x:v>
      </x:c>
      <x:c r="D54" s="14" t="n">
        <x:f>COUNTIFS('경기별지표'!$E$6:$E$2245,B54,'경기별지표'!$F$6:$F$2245,C54)</x:f>
        <x:v>40</x:v>
      </x:c>
      <x:c r="E54" s="14" t="n">
        <x:f>COUNTIFS('경기별지표'!$E$6:$E$2245,B54,'경기별지표'!$F$6:$F$2245,C54,'경기별지표'!$G$6:$G$2245,"승")</x:f>
        <x:v>11</x:v>
      </x:c>
      <x:c r="F54" s="14" t="n">
        <x:f>COUNTIFS('경기별지표'!$E$6:$E$2245,B54,'경기별지표'!$F$6:$F$2245,C54,'경기별지표'!$G$6:$G$2245,"무")</x:f>
        <x:v>6</x:v>
      </x:c>
      <x:c r="G54" s="14" t="n">
        <x:f>COUNTIFS('경기별지표'!$E$6:$E$2245,B54,'경기별지표'!$F$6:$F$2245,C54,'경기별지표'!$G$6:$G$2245,"패")</x:f>
        <x:v>23</x:v>
      </x:c>
      <x:c r="H54" s="14" t="n">
        <x:f>SUMIFS('경기별지표'!$H$6:$H$2245,'경기별지표'!$E$6:$E$2245,B54,'경기별지표'!$F$6:$F$2245,C54)</x:f>
        <x:v>75</x:v>
      </x:c>
      <x:c r="I54" s="14" t="n">
        <x:f>SUMIFS('경기별지표'!$I$6:$I$2245,'경기별지표'!$E$6:$E$2245,B54,'경기별지표'!$F$6:$F$2245,C54)</x:f>
        <x:v>109</x:v>
      </x:c>
      <x:c r="J54" s="14" t="n">
        <x:f>H54-I54</x:f>
        <x:v>-34</x:v>
      </x:c>
      <x:c r="K54" s="14" t="n">
        <x:f>3*E54+F54</x:f>
        <x:v>39</x:v>
      </x:c>
      <x:c r="L54" s="14" t="n">
        <x:f>SUMIFS('경기별지표'!$J$6:$J$2245,'경기별지표'!$E$6:$E$2245,B54,'경기별지표'!$F$6:$F$2245,C54)</x:f>
        <x:v>351</x:v>
      </x:c>
      <x:c r="M54" s="14" t="n">
        <x:f>SUMIFS('경기별지표'!$K$6:$K$2245,'경기별지표'!$E$6:$E$2245,B54,'경기별지표'!$F$6:$F$2245,C54)</x:f>
        <x:v>74</x:v>
      </x:c>
      <x:c r="N54" s="15" t="n">
        <x:f>IF(L54=0,"해당 없음",M54/L54)</x:f>
        <x:v>0.21082621082621084</x:v>
      </x:c>
      <x:c r="O54" s="14" t="n">
        <x:f>SUMIFS('경기별지표'!$M$6:$M$2245,'경기별지표'!$E$6:$E$2245,B54,'경기별지표'!$F$6:$F$2245,C54)</x:f>
        <x:v>349</x:v>
      </x:c>
      <x:c r="P54" s="14" t="n">
        <x:f>SUMIFS('경기별지표'!$N$6:$N$2245,'경기별지표'!$E$6:$E$2245,B54,'경기별지표'!$F$6:$F$2245,C54)</x:f>
        <x:v>282</x:v>
      </x:c>
      <x:c r="Q54" s="15" t="n">
        <x:f>IF(O54=0,"해당 없음",P54/O54)</x:f>
        <x:v>0.8080229226361032</x:v>
      </x:c>
      <x:c r="R54" s="14" t="n">
        <x:f>SUMIFS('경기별지표'!$P$6:$P$2245,'경기별지표'!$E$6:$E$2245,B54,'경기별지표'!$F$6:$F$2245,C54)</x:f>
        <x:v>4112</x:v>
      </x:c>
    </x:row>
    <x:row r="55" ht="22" customHeight="1">
      <x:c r="A55" s="2" t="n">
        <x:v>25</x:v>
      </x:c>
      <x:c r="B55" s="2" t="str">
        <x:v>240만</x:v>
      </x:c>
      <x:c r="C55" s="2" t="str">
        <x:v>120만</x:v>
      </x:c>
      <x:c r="D55" s="14" t="n">
        <x:f>COUNTIFS('경기별지표'!$E$6:$E$2245,B55,'경기별지표'!$F$6:$F$2245,C55)</x:f>
        <x:v>40</x:v>
      </x:c>
      <x:c r="E55" s="14" t="n">
        <x:f>COUNTIFS('경기별지표'!$E$6:$E$2245,B55,'경기별지표'!$F$6:$F$2245,C55,'경기별지표'!$G$6:$G$2245,"승")</x:f>
        <x:v>23</x:v>
      </x:c>
      <x:c r="F55" s="14" t="n">
        <x:f>COUNTIFS('경기별지표'!$E$6:$E$2245,B55,'경기별지표'!$F$6:$F$2245,C55,'경기별지표'!$G$6:$G$2245,"무")</x:f>
        <x:v>6</x:v>
      </x:c>
      <x:c r="G55" s="14" t="n">
        <x:f>COUNTIFS('경기별지표'!$E$6:$E$2245,B55,'경기별지표'!$F$6:$F$2245,C55,'경기별지표'!$G$6:$G$2245,"패")</x:f>
        <x:v>11</x:v>
      </x:c>
      <x:c r="H55" s="14" t="n">
        <x:f>SUMIFS('경기별지표'!$H$6:$H$2245,'경기별지표'!$E$6:$E$2245,B55,'경기별지표'!$F$6:$F$2245,C55)</x:f>
        <x:v>109</x:v>
      </x:c>
      <x:c r="I55" s="14" t="n">
        <x:f>SUMIFS('경기별지표'!$I$6:$I$2245,'경기별지표'!$E$6:$E$2245,B55,'경기별지표'!$F$6:$F$2245,C55)</x:f>
        <x:v>75</x:v>
      </x:c>
      <x:c r="J55" s="14" t="n">
        <x:f>H55-I55</x:f>
        <x:v>34</x:v>
      </x:c>
      <x:c r="K55" s="14" t="n">
        <x:f>3*E55+F55</x:f>
        <x:v>75</x:v>
      </x:c>
      <x:c r="L55" s="14" t="n">
        <x:f>SUMIFS('경기별지표'!$J$6:$J$2245,'경기별지표'!$E$6:$E$2245,B55,'경기별지표'!$F$6:$F$2245,C55)</x:f>
        <x:v>313</x:v>
      </x:c>
      <x:c r="M55" s="14" t="n">
        <x:f>SUMIFS('경기별지표'!$K$6:$K$2245,'경기별지표'!$E$6:$E$2245,B55,'경기별지표'!$F$6:$F$2245,C55)</x:f>
        <x:v>108</x:v>
      </x:c>
      <x:c r="N55" s="15" t="n">
        <x:f>IF(L55=0,"해당 없음",M55/L55)</x:f>
        <x:v>0.3450479233226837</x:v>
      </x:c>
      <x:c r="O55" s="14" t="n">
        <x:f>SUMIFS('경기별지표'!$M$6:$M$2245,'경기별지표'!$E$6:$E$2245,B55,'경기별지표'!$F$6:$F$2245,C55)</x:f>
        <x:v>361</x:v>
      </x:c>
      <x:c r="P55" s="14" t="n">
        <x:f>SUMIFS('경기별지표'!$N$6:$N$2245,'경기별지표'!$E$6:$E$2245,B55,'경기별지표'!$F$6:$F$2245,C55)</x:f>
        <x:v>247</x:v>
      </x:c>
      <x:c r="Q55" s="15" t="n">
        <x:f>IF(O55=0,"해당 없음",P55/O55)</x:f>
        <x:v>0.6842105263157895</x:v>
      </x:c>
      <x:c r="R55" s="14" t="n">
        <x:f>SUMIFS('경기별지표'!$P$6:$P$2245,'경기별지표'!$E$6:$E$2245,B55,'경기별지표'!$F$6:$F$2245,C55)</x:f>
        <x:v>4104</x:v>
      </x:c>
    </x:row>
    <x:row r="56" ht="22" customHeight="1">
      <x:c r="A56" s="2" t="n">
        <x:v>26</x:v>
      </x:c>
      <x:c r="B56" s="2" t="str">
        <x:v>160만</x:v>
      </x:c>
      <x:c r="C56" s="2" t="str">
        <x:v>200만</x:v>
      </x:c>
      <x:c r="D56" s="14" t="n">
        <x:f>COUNTIFS('경기별지표'!$E$6:$E$2245,B56,'경기별지표'!$F$6:$F$2245,C56)</x:f>
        <x:v>40</x:v>
      </x:c>
      <x:c r="E56" s="14" t="n">
        <x:f>COUNTIFS('경기별지표'!$E$6:$E$2245,B56,'경기별지표'!$F$6:$F$2245,C56,'경기별지표'!$G$6:$G$2245,"승")</x:f>
        <x:v>16</x:v>
      </x:c>
      <x:c r="F56" s="14" t="n">
        <x:f>COUNTIFS('경기별지표'!$E$6:$E$2245,B56,'경기별지표'!$F$6:$F$2245,C56,'경기별지표'!$G$6:$G$2245,"무")</x:f>
        <x:v>7</x:v>
      </x:c>
      <x:c r="G56" s="14" t="n">
        <x:f>COUNTIFS('경기별지표'!$E$6:$E$2245,B56,'경기별지표'!$F$6:$F$2245,C56,'경기별지표'!$G$6:$G$2245,"패")</x:f>
        <x:v>17</x:v>
      </x:c>
      <x:c r="H56" s="14" t="n">
        <x:f>SUMIFS('경기별지표'!$H$6:$H$2245,'경기별지표'!$E$6:$E$2245,B56,'경기별지표'!$F$6:$F$2245,C56)</x:f>
        <x:v>91</x:v>
      </x:c>
      <x:c r="I56" s="14" t="n">
        <x:f>SUMIFS('경기별지표'!$I$6:$I$2245,'경기별지표'!$E$6:$E$2245,B56,'경기별지표'!$F$6:$F$2245,C56)</x:f>
        <x:v>97</x:v>
      </x:c>
      <x:c r="J56" s="14" t="n">
        <x:f>H56-I56</x:f>
        <x:v>-6</x:v>
      </x:c>
      <x:c r="K56" s="14" t="n">
        <x:f>3*E56+F56</x:f>
        <x:v>55</x:v>
      </x:c>
      <x:c r="L56" s="14" t="n">
        <x:f>SUMIFS('경기별지표'!$J$6:$J$2245,'경기별지표'!$E$6:$E$2245,B56,'경기별지표'!$F$6:$F$2245,C56)</x:f>
        <x:v>359</x:v>
      </x:c>
      <x:c r="M56" s="14" t="n">
        <x:f>SUMIFS('경기별지표'!$K$6:$K$2245,'경기별지표'!$E$6:$E$2245,B56,'경기별지표'!$F$6:$F$2245,C56)</x:f>
        <x:v>89</x:v>
      </x:c>
      <x:c r="N56" s="15" t="n">
        <x:f>IF(L56=0,"해당 없음",M56/L56)</x:f>
        <x:v>0.2479108635097493</x:v>
      </x:c>
      <x:c r="O56" s="14" t="n">
        <x:f>SUMIFS('경기별지표'!$M$6:$M$2245,'경기별지표'!$E$6:$E$2245,B56,'경기별지표'!$F$6:$F$2245,C56)</x:f>
        <x:v>425</x:v>
      </x:c>
      <x:c r="P56" s="14" t="n">
        <x:f>SUMIFS('경기별지표'!$N$6:$N$2245,'경기별지표'!$E$6:$E$2245,B56,'경기별지표'!$F$6:$F$2245,C56)</x:f>
        <x:v>312</x:v>
      </x:c>
      <x:c r="Q56" s="15" t="n">
        <x:f>IF(O56=0,"해당 없음",P56/O56)</x:f>
        <x:v>0.7341176470588235</x:v>
      </x:c>
      <x:c r="R56" s="14" t="n">
        <x:f>SUMIFS('경기별지표'!$P$6:$P$2245,'경기별지표'!$E$6:$E$2245,B56,'경기별지표'!$F$6:$F$2245,C56)</x:f>
        <x:v>4111</x:v>
      </x:c>
    </x:row>
    <x:row r="57" ht="22" customHeight="1">
      <x:c r="A57" s="2" t="n">
        <x:v>26</x:v>
      </x:c>
      <x:c r="B57" s="2" t="str">
        <x:v>200만</x:v>
      </x:c>
      <x:c r="C57" s="2" t="str">
        <x:v>160만</x:v>
      </x:c>
      <x:c r="D57" s="14" t="n">
        <x:f>COUNTIFS('경기별지표'!$E$6:$E$2245,B57,'경기별지표'!$F$6:$F$2245,C57)</x:f>
        <x:v>40</x:v>
      </x:c>
      <x:c r="E57" s="14" t="n">
        <x:f>COUNTIFS('경기별지표'!$E$6:$E$2245,B57,'경기별지표'!$F$6:$F$2245,C57,'경기별지표'!$G$6:$G$2245,"승")</x:f>
        <x:v>17</x:v>
      </x:c>
      <x:c r="F57" s="14" t="n">
        <x:f>COUNTIFS('경기별지표'!$E$6:$E$2245,B57,'경기별지표'!$F$6:$F$2245,C57,'경기별지표'!$G$6:$G$2245,"무")</x:f>
        <x:v>7</x:v>
      </x:c>
      <x:c r="G57" s="14" t="n">
        <x:f>COUNTIFS('경기별지표'!$E$6:$E$2245,B57,'경기별지표'!$F$6:$F$2245,C57,'경기별지표'!$G$6:$G$2245,"패")</x:f>
        <x:v>16</x:v>
      </x:c>
      <x:c r="H57" s="14" t="n">
        <x:f>SUMIFS('경기별지표'!$H$6:$H$2245,'경기별지표'!$E$6:$E$2245,B57,'경기별지표'!$F$6:$F$2245,C57)</x:f>
        <x:v>97</x:v>
      </x:c>
      <x:c r="I57" s="14" t="n">
        <x:f>SUMIFS('경기별지표'!$I$6:$I$2245,'경기별지표'!$E$6:$E$2245,B57,'경기별지표'!$F$6:$F$2245,C57)</x:f>
        <x:v>91</x:v>
      </x:c>
      <x:c r="J57" s="14" t="n">
        <x:f>H57-I57</x:f>
        <x:v>6</x:v>
      </x:c>
      <x:c r="K57" s="14" t="n">
        <x:f>3*E57+F57</x:f>
        <x:v>58</x:v>
      </x:c>
      <x:c r="L57" s="14" t="n">
        <x:f>SUMIFS('경기별지표'!$J$6:$J$2245,'경기별지표'!$E$6:$E$2245,B57,'경기별지표'!$F$6:$F$2245,C57)</x:f>
        <x:v>371</x:v>
      </x:c>
      <x:c r="M57" s="14" t="n">
        <x:f>SUMIFS('경기별지표'!$K$6:$K$2245,'경기별지표'!$E$6:$E$2245,B57,'경기별지표'!$F$6:$F$2245,C57)</x:f>
        <x:v>97</x:v>
      </x:c>
      <x:c r="N57" s="15" t="n">
        <x:f>IF(L57=0,"해당 없음",M57/L57)</x:f>
        <x:v>0.261455525606469</x:v>
      </x:c>
      <x:c r="O57" s="14" t="n">
        <x:f>SUMIFS('경기별지표'!$M$6:$M$2245,'경기별지표'!$E$6:$E$2245,B57,'경기별지표'!$F$6:$F$2245,C57)</x:f>
        <x:v>373</x:v>
      </x:c>
      <x:c r="P57" s="14" t="n">
        <x:f>SUMIFS('경기별지표'!$N$6:$N$2245,'경기별지표'!$E$6:$E$2245,B57,'경기별지표'!$F$6:$F$2245,C57)</x:f>
        <x:v>269</x:v>
      </x:c>
      <x:c r="Q57" s="15" t="n">
        <x:f>IF(O57=0,"해당 없음",P57/O57)</x:f>
        <x:v>0.7211796246648794</x:v>
      </x:c>
      <x:c r="R57" s="14" t="n">
        <x:f>SUMIFS('경기별지표'!$P$6:$P$2245,'경기별지표'!$E$6:$E$2245,B57,'경기별지표'!$F$6:$F$2245,C57)</x:f>
        <x:v>4114</x:v>
      </x:c>
    </x:row>
    <x:row r="58" ht="22" customHeight="1">
      <x:c r="A58" s="2" t="n">
        <x:v>27</x:v>
      </x:c>
      <x:c r="B58" s="2" t="str">
        <x:v>160만</x:v>
      </x:c>
      <x:c r="C58" s="2" t="str">
        <x:v>240만</x:v>
      </x:c>
      <x:c r="D58" s="14" t="n">
        <x:f>COUNTIFS('경기별지표'!$E$6:$E$2245,B58,'경기별지표'!$F$6:$F$2245,C58)</x:f>
        <x:v>40</x:v>
      </x:c>
      <x:c r="E58" s="14" t="n">
        <x:f>COUNTIFS('경기별지표'!$E$6:$E$2245,B58,'경기별지표'!$F$6:$F$2245,C58,'경기별지표'!$G$6:$G$2245,"승")</x:f>
        <x:v>14</x:v>
      </x:c>
      <x:c r="F58" s="14" t="n">
        <x:f>COUNTIFS('경기별지표'!$E$6:$E$2245,B58,'경기별지표'!$F$6:$F$2245,C58,'경기별지표'!$G$6:$G$2245,"무")</x:f>
        <x:v>8</x:v>
      </x:c>
      <x:c r="G58" s="14" t="n">
        <x:f>COUNTIFS('경기별지표'!$E$6:$E$2245,B58,'경기별지표'!$F$6:$F$2245,C58,'경기별지표'!$G$6:$G$2245,"패")</x:f>
        <x:v>18</x:v>
      </x:c>
      <x:c r="H58" s="14" t="n">
        <x:f>SUMIFS('경기별지표'!$H$6:$H$2245,'경기별지표'!$E$6:$E$2245,B58,'경기별지표'!$F$6:$F$2245,C58)</x:f>
        <x:v>91</x:v>
      </x:c>
      <x:c r="I58" s="14" t="n">
        <x:f>SUMIFS('경기별지표'!$I$6:$I$2245,'경기별지표'!$E$6:$E$2245,B58,'경기별지표'!$F$6:$F$2245,C58)</x:f>
        <x:v>111</x:v>
      </x:c>
      <x:c r="J58" s="14" t="n">
        <x:f>H58-I58</x:f>
        <x:v>-20</x:v>
      </x:c>
      <x:c r="K58" s="14" t="n">
        <x:f>3*E58+F58</x:f>
        <x:v>50</x:v>
      </x:c>
      <x:c r="L58" s="14" t="n">
        <x:f>SUMIFS('경기별지표'!$J$6:$J$2245,'경기별지표'!$E$6:$E$2245,B58,'경기별지표'!$F$6:$F$2245,C58)</x:f>
        <x:v>370</x:v>
      </x:c>
      <x:c r="M58" s="14" t="n">
        <x:f>SUMIFS('경기별지표'!$K$6:$K$2245,'경기별지표'!$E$6:$E$2245,B58,'경기별지표'!$F$6:$F$2245,C58)</x:f>
        <x:v>91</x:v>
      </x:c>
      <x:c r="N58" s="15" t="n">
        <x:f>IF(L58=0,"해당 없음",M58/L58)</x:f>
        <x:v>0.24594594594594596</x:v>
      </x:c>
      <x:c r="O58" s="14" t="n">
        <x:f>SUMIFS('경기별지표'!$M$6:$M$2245,'경기별지표'!$E$6:$E$2245,B58,'경기별지표'!$F$6:$F$2245,C58)</x:f>
        <x:v>420</x:v>
      </x:c>
      <x:c r="P58" s="14" t="n">
        <x:f>SUMIFS('경기별지표'!$N$6:$N$2245,'경기별지표'!$E$6:$E$2245,B58,'경기별지표'!$F$6:$F$2245,C58)</x:f>
        <x:v>322</x:v>
      </x:c>
      <x:c r="Q58" s="15" t="n">
        <x:f>IF(O58=0,"해당 없음",P58/O58)</x:f>
        <x:v>0.7666666666666667</x:v>
      </x:c>
      <x:c r="R58" s="14" t="n">
        <x:f>SUMIFS('경기별지표'!$P$6:$P$2245,'경기별지표'!$E$6:$E$2245,B58,'경기별지표'!$F$6:$F$2245,C58)</x:f>
        <x:v>4118</x:v>
      </x:c>
    </x:row>
    <x:row r="59" ht="22" customHeight="1">
      <x:c r="A59" s="2" t="n">
        <x:v>27</x:v>
      </x:c>
      <x:c r="B59" s="2" t="str">
        <x:v>240만</x:v>
      </x:c>
      <x:c r="C59" s="2" t="str">
        <x:v>160만</x:v>
      </x:c>
      <x:c r="D59" s="14" t="n">
        <x:f>COUNTIFS('경기별지표'!$E$6:$E$2245,B59,'경기별지표'!$F$6:$F$2245,C59)</x:f>
        <x:v>40</x:v>
      </x:c>
      <x:c r="E59" s="14" t="n">
        <x:f>COUNTIFS('경기별지표'!$E$6:$E$2245,B59,'경기별지표'!$F$6:$F$2245,C59,'경기별지표'!$G$6:$G$2245,"승")</x:f>
        <x:v>18</x:v>
      </x:c>
      <x:c r="F59" s="14" t="n">
        <x:f>COUNTIFS('경기별지표'!$E$6:$E$2245,B59,'경기별지표'!$F$6:$F$2245,C59,'경기별지표'!$G$6:$G$2245,"무")</x:f>
        <x:v>8</x:v>
      </x:c>
      <x:c r="G59" s="14" t="n">
        <x:f>COUNTIFS('경기별지표'!$E$6:$E$2245,B59,'경기별지표'!$F$6:$F$2245,C59,'경기별지표'!$G$6:$G$2245,"패")</x:f>
        <x:v>14</x:v>
      </x:c>
      <x:c r="H59" s="14" t="n">
        <x:f>SUMIFS('경기별지표'!$H$6:$H$2245,'경기별지표'!$E$6:$E$2245,B59,'경기별지표'!$F$6:$F$2245,C59)</x:f>
        <x:v>111</x:v>
      </x:c>
      <x:c r="I59" s="14" t="n">
        <x:f>SUMIFS('경기별지표'!$I$6:$I$2245,'경기별지표'!$E$6:$E$2245,B59,'경기별지표'!$F$6:$F$2245,C59)</x:f>
        <x:v>91</x:v>
      </x:c>
      <x:c r="J59" s="14" t="n">
        <x:f>H59-I59</x:f>
        <x:v>20</x:v>
      </x:c>
      <x:c r="K59" s="14" t="n">
        <x:f>3*E59+F59</x:f>
        <x:v>62</x:v>
      </x:c>
      <x:c r="L59" s="14" t="n">
        <x:f>SUMIFS('경기별지표'!$J$6:$J$2245,'경기별지표'!$E$6:$E$2245,B59,'경기별지표'!$F$6:$F$2245,C59)</x:f>
        <x:v>357</x:v>
      </x:c>
      <x:c r="M59" s="14" t="n">
        <x:f>SUMIFS('경기별지표'!$K$6:$K$2245,'경기별지표'!$E$6:$E$2245,B59,'경기별지표'!$F$6:$F$2245,C59)</x:f>
        <x:v>108</x:v>
      </x:c>
      <x:c r="N59" s="15" t="n">
        <x:f>IF(L59=0,"해당 없음",M59/L59)</x:f>
        <x:v>0.3025210084033613</x:v>
      </x:c>
      <x:c r="O59" s="14" t="n">
        <x:f>SUMIFS('경기별지표'!$M$6:$M$2245,'경기별지표'!$E$6:$E$2245,B59,'경기별지표'!$F$6:$F$2245,C59)</x:f>
        <x:v>389</x:v>
      </x:c>
      <x:c r="P59" s="14" t="n">
        <x:f>SUMIFS('경기별지표'!$N$6:$N$2245,'경기별지표'!$E$6:$E$2245,B59,'경기별지표'!$F$6:$F$2245,C59)</x:f>
        <x:v>288</x:v>
      </x:c>
      <x:c r="Q59" s="15" t="n">
        <x:f>IF(O59=0,"해당 없음",P59/O59)</x:f>
        <x:v>0.7403598971722365</x:v>
      </x:c>
      <x:c r="R59" s="14" t="n">
        <x:f>SUMIFS('경기별지표'!$P$6:$P$2245,'경기별지표'!$E$6:$E$2245,B59,'경기별지표'!$F$6:$F$2245,C59)</x:f>
        <x:v>4134</x:v>
      </x:c>
    </x:row>
    <x:row r="60" ht="22" customHeight="1">
      <x:c r="A60" s="2" t="n">
        <x:v>28</x:v>
      </x:c>
      <x:c r="B60" s="2" t="str">
        <x:v>200만</x:v>
      </x:c>
      <x:c r="C60" s="2" t="str">
        <x:v>240만</x:v>
      </x:c>
      <x:c r="D60" s="14" t="n">
        <x:f>COUNTIFS('경기별지표'!$E$6:$E$2245,B60,'경기별지표'!$F$6:$F$2245,C60)</x:f>
        <x:v>40</x:v>
      </x:c>
      <x:c r="E60" s="14" t="n">
        <x:f>COUNTIFS('경기별지표'!$E$6:$E$2245,B60,'경기별지표'!$F$6:$F$2245,C60,'경기별지표'!$G$6:$G$2245,"승")</x:f>
        <x:v>13</x:v>
      </x:c>
      <x:c r="F60" s="14" t="n">
        <x:f>COUNTIFS('경기별지표'!$E$6:$E$2245,B60,'경기별지표'!$F$6:$F$2245,C60,'경기별지표'!$G$6:$G$2245,"무")</x:f>
        <x:v>10</x:v>
      </x:c>
      <x:c r="G60" s="14" t="n">
        <x:f>COUNTIFS('경기별지표'!$E$6:$E$2245,B60,'경기별지표'!$F$6:$F$2245,C60,'경기별지표'!$G$6:$G$2245,"패")</x:f>
        <x:v>17</x:v>
      </x:c>
      <x:c r="H60" s="14" t="n">
        <x:f>SUMIFS('경기별지표'!$H$6:$H$2245,'경기별지표'!$E$6:$E$2245,B60,'경기별지표'!$F$6:$F$2245,C60)</x:f>
        <x:v>94</x:v>
      </x:c>
      <x:c r="I60" s="14" t="n">
        <x:f>SUMIFS('경기별지표'!$I$6:$I$2245,'경기별지표'!$E$6:$E$2245,B60,'경기별지표'!$F$6:$F$2245,C60)</x:f>
        <x:v>97</x:v>
      </x:c>
      <x:c r="J60" s="14" t="n">
        <x:f>H60-I60</x:f>
        <x:v>-3</x:v>
      </x:c>
      <x:c r="K60" s="14" t="n">
        <x:f>3*E60+F60</x:f>
        <x:v>49</x:v>
      </x:c>
      <x:c r="L60" s="14" t="n">
        <x:f>SUMIFS('경기별지표'!$J$6:$J$2245,'경기별지표'!$E$6:$E$2245,B60,'경기별지표'!$F$6:$F$2245,C60)</x:f>
        <x:v>374</x:v>
      </x:c>
      <x:c r="M60" s="14" t="n">
        <x:f>SUMIFS('경기별지표'!$K$6:$K$2245,'경기별지표'!$E$6:$E$2245,B60,'경기별지표'!$F$6:$F$2245,C60)</x:f>
        <x:v>93</x:v>
      </x:c>
      <x:c r="N60" s="15" t="n">
        <x:f>IF(L60=0,"해당 없음",M60/L60)</x:f>
        <x:v>0.24866310160427807</x:v>
      </x:c>
      <x:c r="O60" s="14" t="n">
        <x:f>SUMIFS('경기별지표'!$M$6:$M$2245,'경기별지표'!$E$6:$E$2245,B60,'경기별지표'!$F$6:$F$2245,C60)</x:f>
        <x:v>414</x:v>
      </x:c>
      <x:c r="P60" s="14" t="n">
        <x:f>SUMIFS('경기별지표'!$N$6:$N$2245,'경기별지표'!$E$6:$E$2245,B60,'경기별지표'!$F$6:$F$2245,C60)</x:f>
        <x:v>318</x:v>
      </x:c>
      <x:c r="Q60" s="15" t="n">
        <x:f>IF(O60=0,"해당 없음",P60/O60)</x:f>
        <x:v>0.7681159420289855</x:v>
      </x:c>
      <x:c r="R60" s="14" t="n">
        <x:f>SUMIFS('경기별지표'!$P$6:$P$2245,'경기별지표'!$E$6:$E$2245,B60,'경기별지표'!$F$6:$F$2245,C60)</x:f>
        <x:v>4129</x:v>
      </x:c>
    </x:row>
    <x:row r="61" ht="22" customHeight="1">
      <x:c r="A61" s="2" t="n">
        <x:v>28</x:v>
      </x:c>
      <x:c r="B61" s="2" t="str">
        <x:v>240만</x:v>
      </x:c>
      <x:c r="C61" s="2" t="str">
        <x:v>200만</x:v>
      </x:c>
      <x:c r="D61" s="14" t="n">
        <x:f>COUNTIFS('경기별지표'!$E$6:$E$2245,B61,'경기별지표'!$F$6:$F$2245,C61)</x:f>
        <x:v>40</x:v>
      </x:c>
      <x:c r="E61" s="14" t="n">
        <x:f>COUNTIFS('경기별지표'!$E$6:$E$2245,B61,'경기별지표'!$F$6:$F$2245,C61,'경기별지표'!$G$6:$G$2245,"승")</x:f>
        <x:v>17</x:v>
      </x:c>
      <x:c r="F61" s="14" t="n">
        <x:f>COUNTIFS('경기별지표'!$E$6:$E$2245,B61,'경기별지표'!$F$6:$F$2245,C61,'경기별지표'!$G$6:$G$2245,"무")</x:f>
        <x:v>10</x:v>
      </x:c>
      <x:c r="G61" s="14" t="n">
        <x:f>COUNTIFS('경기별지표'!$E$6:$E$2245,B61,'경기별지표'!$F$6:$F$2245,C61,'경기별지표'!$G$6:$G$2245,"패")</x:f>
        <x:v>13</x:v>
      </x:c>
      <x:c r="H61" s="14" t="n">
        <x:f>SUMIFS('경기별지표'!$H$6:$H$2245,'경기별지표'!$E$6:$E$2245,B61,'경기별지표'!$F$6:$F$2245,C61)</x:f>
        <x:v>97</x:v>
      </x:c>
      <x:c r="I61" s="14" t="n">
        <x:f>SUMIFS('경기별지표'!$I$6:$I$2245,'경기별지표'!$E$6:$E$2245,B61,'경기별지표'!$F$6:$F$2245,C61)</x:f>
        <x:v>94</x:v>
      </x:c>
      <x:c r="J61" s="14" t="n">
        <x:f>H61-I61</x:f>
        <x:v>3</x:v>
      </x:c>
      <x:c r="K61" s="14" t="n">
        <x:f>3*E61+F61</x:f>
        <x:v>61</x:v>
      </x:c>
      <x:c r="L61" s="14" t="n">
        <x:f>SUMIFS('경기별지표'!$J$6:$J$2245,'경기별지표'!$E$6:$E$2245,B61,'경기별지표'!$F$6:$F$2245,C61)</x:f>
        <x:v>359</x:v>
      </x:c>
      <x:c r="M61" s="14" t="n">
        <x:f>SUMIFS('경기별지표'!$K$6:$K$2245,'경기별지표'!$E$6:$E$2245,B61,'경기별지표'!$F$6:$F$2245,C61)</x:f>
        <x:v>97</x:v>
      </x:c>
      <x:c r="N61" s="15" t="n">
        <x:f>IF(L61=0,"해당 없음",M61/L61)</x:f>
        <x:v>0.27019498607242337</x:v>
      </x:c>
      <x:c r="O61" s="14" t="n">
        <x:f>SUMIFS('경기별지표'!$M$6:$M$2245,'경기별지표'!$E$6:$E$2245,B61,'경기별지표'!$F$6:$F$2245,C61)</x:f>
        <x:v>377</x:v>
      </x:c>
      <x:c r="P61" s="14" t="n">
        <x:f>SUMIFS('경기별지표'!$N$6:$N$2245,'경기별지표'!$E$6:$E$2245,B61,'경기별지표'!$F$6:$F$2245,C61)</x:f>
        <x:v>269</x:v>
      </x:c>
      <x:c r="Q61" s="15" t="n">
        <x:f>IF(O61=0,"해당 없음",P61/O61)</x:f>
        <x:v>0.713527851458886</x:v>
      </x:c>
      <x:c r="R61" s="14" t="n">
        <x:f>SUMIFS('경기별지표'!$P$6:$P$2245,'경기별지표'!$E$6:$E$2245,B61,'경기별지표'!$F$6:$F$2245,C61)</x:f>
        <x:v>4132</x:v>
      </x:c>
    </x:row>
  </x:sheetData>
  <x:pageMargins left="0.7" right="0.7" top="0.75" bottom="0.75" header="0.3" footer="0.3"/>
  <x:tableParts count="1">
    <x:tablePart xmlns:r="http://schemas.openxmlformats.org/officeDocument/2006/relationships" r:id="Rf213c249b39d40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3" hidden="0" customWidth="1"/>
    <x:col min="6" max="6" width="13" hidden="0" customWidth="1"/>
    <x:col min="7" max="7" width="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9" customHeight="1">
      <x:c r="A2" s="3" t="str">
        <x:v>경기별 지표 — 1,120경기 / 양 팀 2,240행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5" t="str">
        <x:v>출처: evaluation-data.json / 원본 result.json·trace, 종료된 300초 경기만 집계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8" customHeight="1">
      <x:c r="A5" s="10" t="str">
        <x:v>경기 ID</x:v>
      </x:c>
      <x:c r="B5" s="11" t="str">
        <x:v>대진 ID</x:v>
      </x:c>
      <x:c r="C5" s="11" t="str">
        <x:v>시드</x:v>
      </x:c>
      <x:c r="D5" s="11" t="str">
        <x:v>진영</x:v>
      </x:c>
      <x:c r="E5" s="11" t="str">
        <x:v>모델</x:v>
      </x:c>
      <x:c r="F5" s="11" t="str">
        <x:v>상대 모델</x:v>
      </x:c>
      <x:c r="G5" s="11" t="str">
        <x:v>승무패</x:v>
      </x:c>
      <x:c r="H5" s="11" t="str">
        <x:v>득점</x:v>
      </x:c>
      <x:c r="I5" s="11" t="str">
        <x:v>실점</x:v>
      </x:c>
      <x:c r="J5" s="11" t="str">
        <x:v>슈팅 수</x:v>
      </x:c>
      <x:c r="K5" s="11" t="str">
        <x:v>슛 득점</x:v>
      </x:c>
      <x:c r="L5" s="11" t="str">
        <x:v>슈팅 성공률</x:v>
      </x:c>
      <x:c r="M5" s="11" t="str">
        <x:v>패스 수</x:v>
      </x:c>
      <x:c r="N5" s="11" t="str">
        <x:v>성공 패스</x:v>
      </x:c>
      <x:c r="O5" s="11" t="str">
        <x:v>패스 성공률</x:v>
      </x:c>
      <x:c r="P5" s="12" t="str">
        <x:v>감독 명령 수</x:v>
      </x:c>
    </x:row>
    <x:row r="6" ht="22" customHeight="1">
      <x:c r="A6" s="14" t="n">
        <x:v>1</x:v>
      </x:c>
      <x:c r="B6" s="14" t="n">
        <x:v>1</x:v>
      </x:c>
      <x:c r="C6" s="14" t="n">
        <x:v>76000</x:v>
      </x:c>
      <x:c r="D6" s="2" t="str">
        <x:v>RED</x:v>
      </x:c>
      <x:c r="E6" s="2" t="str">
        <x:v>0만</x:v>
      </x:c>
      <x:c r="F6" s="2" t="str">
        <x:v>규칙형</x:v>
      </x:c>
      <x:c r="G6" s="2" t="str">
        <x:v>패</x:v>
      </x:c>
      <x:c r="H6" s="14" t="n">
        <x:v>0</x:v>
      </x:c>
      <x:c r="I6" s="14" t="n">
        <x:v>5</x:v>
      </x:c>
      <x:c r="J6" s="14" t="n">
        <x:v>4</x:v>
      </x:c>
      <x:c r="K6" s="14" t="n">
        <x:v>0</x:v>
      </x:c>
      <x:c r="L6" s="15" t="n">
        <x:f>IF(J6=0,"해당 없음",K6/J6)</x:f>
        <x:v>0</x:v>
      </x:c>
      <x:c r="M6" s="14" t="n">
        <x:v>5</x:v>
      </x:c>
      <x:c r="N6" s="14" t="n">
        <x:v>4</x:v>
      </x:c>
      <x:c r="O6" s="15" t="n">
        <x:f>IF(M6=0,"해당 없음",N6/M6)</x:f>
        <x:v>0.8</x:v>
      </x:c>
      <x:c r="P6" s="14" t="n">
        <x:v>104</x:v>
      </x:c>
    </x:row>
    <x:row r="7" ht="22" customHeight="1">
      <x:c r="A7" s="14" t="n">
        <x:v>1</x:v>
      </x:c>
      <x:c r="B7" s="14" t="n">
        <x:v>1</x:v>
      </x:c>
      <x:c r="C7" s="14" t="n">
        <x:v>76000</x:v>
      </x:c>
      <x:c r="D7" s="2" t="str">
        <x:v>NAVY</x:v>
      </x:c>
      <x:c r="E7" s="2" t="str">
        <x:v>규칙형</x:v>
      </x:c>
      <x:c r="F7" s="2" t="str">
        <x:v>0만</x:v>
      </x:c>
      <x:c r="G7" s="2" t="str">
        <x:v>승</x:v>
      </x:c>
      <x:c r="H7" s="14" t="n">
        <x:v>5</x:v>
      </x:c>
      <x:c r="I7" s="14" t="n">
        <x:v>0</x:v>
      </x:c>
      <x:c r="J7" s="14" t="n">
        <x:v>10</x:v>
      </x:c>
      <x:c r="K7" s="14" t="n">
        <x:v>5</x:v>
      </x:c>
      <x:c r="L7" s="15" t="n">
        <x:f>IF(J7=0,"해당 없음",K7/J7)</x:f>
        <x:v>0.5</x:v>
      </x:c>
      <x:c r="M7" s="14" t="n">
        <x:v>16</x:v>
      </x:c>
      <x:c r="N7" s="14" t="n">
        <x:v>12</x:v>
      </x:c>
      <x:c r="O7" s="15" t="n">
        <x:f>IF(M7=0,"해당 없음",N7/M7)</x:f>
        <x:v>0.75</x:v>
      </x:c>
      <x:c r="P7" s="14" t="n">
        <x:v>102</x:v>
      </x:c>
    </x:row>
    <x:row r="8" ht="22" customHeight="1">
      <x:c r="A8" s="14" t="n">
        <x:v>2</x:v>
      </x:c>
      <x:c r="B8" s="14" t="n">
        <x:v>1</x:v>
      </x:c>
      <x:c r="C8" s="14" t="n">
        <x:v>76000</x:v>
      </x:c>
      <x:c r="D8" s="2" t="str">
        <x:v>RED</x:v>
      </x:c>
      <x:c r="E8" s="2" t="str">
        <x:v>규칙형</x:v>
      </x:c>
      <x:c r="F8" s="2" t="str">
        <x:v>0만</x:v>
      </x:c>
      <x:c r="G8" s="2" t="str">
        <x:v>승</x:v>
      </x:c>
      <x:c r="H8" s="14" t="n">
        <x:v>5</x:v>
      </x:c>
      <x:c r="I8" s="14" t="n">
        <x:v>2</x:v>
      </x:c>
      <x:c r="J8" s="14" t="n">
        <x:v>9</x:v>
      </x:c>
      <x:c r="K8" s="14" t="n">
        <x:v>4</x:v>
      </x:c>
      <x:c r="L8" s="15" t="n">
        <x:f>IF(J8=0,"해당 없음",K8/J8)</x:f>
        <x:v>0.4444444444444444</x:v>
      </x:c>
      <x:c r="M8" s="14" t="n">
        <x:v>9</x:v>
      </x:c>
      <x:c r="N8" s="14" t="n">
        <x:v>7</x:v>
      </x:c>
      <x:c r="O8" s="15" t="n">
        <x:f>IF(M8=0,"해당 없음",N8/M8)</x:f>
        <x:v>0.7777777777777778</x:v>
      </x:c>
      <x:c r="P8" s="14" t="n">
        <x:v>104</x:v>
      </x:c>
    </x:row>
    <x:row r="9" ht="22" customHeight="1">
      <x:c r="A9" s="14" t="n">
        <x:v>2</x:v>
      </x:c>
      <x:c r="B9" s="14" t="n">
        <x:v>1</x:v>
      </x:c>
      <x:c r="C9" s="14" t="n">
        <x:v>76000</x:v>
      </x:c>
      <x:c r="D9" s="2" t="str">
        <x:v>NAVY</x:v>
      </x:c>
      <x:c r="E9" s="2" t="str">
        <x:v>0만</x:v>
      </x:c>
      <x:c r="F9" s="2" t="str">
        <x:v>규칙형</x:v>
      </x:c>
      <x:c r="G9" s="2" t="str">
        <x:v>패</x:v>
      </x:c>
      <x:c r="H9" s="14" t="n">
        <x:v>2</x:v>
      </x:c>
      <x:c r="I9" s="14" t="n">
        <x:v>5</x:v>
      </x:c>
      <x:c r="J9" s="14" t="n">
        <x:v>7</x:v>
      </x:c>
      <x:c r="K9" s="14" t="n">
        <x:v>2</x:v>
      </x:c>
      <x:c r="L9" s="15" t="n">
        <x:f>IF(J9=0,"해당 없음",K9/J9)</x:f>
        <x:v>0.2857142857142857</x:v>
      </x:c>
      <x:c r="M9" s="14" t="n">
        <x:v>5</x:v>
      </x:c>
      <x:c r="N9" s="14" t="n">
        <x:v>4</x:v>
      </x:c>
      <x:c r="O9" s="15" t="n">
        <x:f>IF(M9=0,"해당 없음",N9/M9)</x:f>
        <x:v>0.8</x:v>
      </x:c>
      <x:c r="P9" s="14" t="n">
        <x:v>104</x:v>
      </x:c>
    </x:row>
    <x:row r="10" ht="22" customHeight="1">
      <x:c r="A10" s="14" t="n">
        <x:v>3</x:v>
      </x:c>
      <x:c r="B10" s="14" t="n">
        <x:v>1</x:v>
      </x:c>
      <x:c r="C10" s="14" t="n">
        <x:v>76001</x:v>
      </x:c>
      <x:c r="D10" s="2" t="str">
        <x:v>RED</x:v>
      </x:c>
      <x:c r="E10" s="2" t="str">
        <x:v>0만</x:v>
      </x:c>
      <x:c r="F10" s="2" t="str">
        <x:v>규칙형</x:v>
      </x:c>
      <x:c r="G10" s="2" t="str">
        <x:v>패</x:v>
      </x:c>
      <x:c r="H10" s="14" t="n">
        <x:v>1</x:v>
      </x:c>
      <x:c r="I10" s="14" t="n">
        <x:v>7</x:v>
      </x:c>
      <x:c r="J10" s="14" t="n">
        <x:v>3</x:v>
      </x:c>
      <x:c r="K10" s="14" t="n">
        <x:v>1</x:v>
      </x:c>
      <x:c r="L10" s="15" t="n">
        <x:f>IF(J10=0,"해당 없음",K10/J10)</x:f>
        <x:v>0.3333333333333333</x:v>
      </x:c>
      <x:c r="M10" s="14" t="n">
        <x:v>2</x:v>
      </x:c>
      <x:c r="N10" s="14" t="n">
        <x:v>0</x:v>
      </x:c>
      <x:c r="O10" s="15" t="n">
        <x:f>IF(M10=0,"해당 없음",N10/M10)</x:f>
        <x:v>0</x:v>
      </x:c>
      <x:c r="P10" s="14" t="n">
        <x:v>105</x:v>
      </x:c>
    </x:row>
    <x:row r="11" ht="22" customHeight="1">
      <x:c r="A11" s="14" t="n">
        <x:v>3</x:v>
      </x:c>
      <x:c r="B11" s="14" t="n">
        <x:v>1</x:v>
      </x:c>
      <x:c r="C11" s="14" t="n">
        <x:v>76001</x:v>
      </x:c>
      <x:c r="D11" s="2" t="str">
        <x:v>NAVY</x:v>
      </x:c>
      <x:c r="E11" s="2" t="str">
        <x:v>규칙형</x:v>
      </x:c>
      <x:c r="F11" s="2" t="str">
        <x:v>0만</x:v>
      </x:c>
      <x:c r="G11" s="2" t="str">
        <x:v>승</x:v>
      </x:c>
      <x:c r="H11" s="14" t="n">
        <x:v>7</x:v>
      </x:c>
      <x:c r="I11" s="14" t="n">
        <x:v>1</x:v>
      </x:c>
      <x:c r="J11" s="14" t="n">
        <x:v>11</x:v>
      </x:c>
      <x:c r="K11" s="14" t="n">
        <x:v>7</x:v>
      </x:c>
      <x:c r="L11" s="15" t="n">
        <x:f>IF(J11=0,"해당 없음",K11/J11)</x:f>
        <x:v>0.6363636363636364</x:v>
      </x:c>
      <x:c r="M11" s="14" t="n">
        <x:v>9</x:v>
      </x:c>
      <x:c r="N11" s="14" t="n">
        <x:v>6</x:v>
      </x:c>
      <x:c r="O11" s="15" t="n">
        <x:f>IF(M11=0,"해당 없음",N11/M11)</x:f>
        <x:v>0.6666666666666666</x:v>
      </x:c>
      <x:c r="P11" s="14" t="n">
        <x:v>104</x:v>
      </x:c>
    </x:row>
    <x:row r="12" ht="22" customHeight="1">
      <x:c r="A12" s="14" t="n">
        <x:v>4</x:v>
      </x:c>
      <x:c r="B12" s="14" t="n">
        <x:v>1</x:v>
      </x:c>
      <x:c r="C12" s="14" t="n">
        <x:v>76001</x:v>
      </x:c>
      <x:c r="D12" s="2" t="str">
        <x:v>RED</x:v>
      </x:c>
      <x:c r="E12" s="2" t="str">
        <x:v>규칙형</x:v>
      </x:c>
      <x:c r="F12" s="2" t="str">
        <x:v>0만</x:v>
      </x:c>
      <x:c r="G12" s="2" t="str">
        <x:v>승</x:v>
      </x:c>
      <x:c r="H12" s="14" t="n">
        <x:v>4</x:v>
      </x:c>
      <x:c r="I12" s="14" t="n">
        <x:v>1</x:v>
      </x:c>
      <x:c r="J12" s="14" t="n">
        <x:v>15</x:v>
      </x:c>
      <x:c r="K12" s="14" t="n">
        <x:v>4</x:v>
      </x:c>
      <x:c r="L12" s="15" t="n">
        <x:f>IF(J12=0,"해당 없음",K12/J12)</x:f>
        <x:v>0.26666666666666666</x:v>
      </x:c>
      <x:c r="M12" s="14" t="n">
        <x:v>6</x:v>
      </x:c>
      <x:c r="N12" s="14" t="n">
        <x:v>5</x:v>
      </x:c>
      <x:c r="O12" s="15" t="n">
        <x:f>IF(M12=0,"해당 없음",N12/M12)</x:f>
        <x:v>0.8333333333333334</x:v>
      </x:c>
      <x:c r="P12" s="14" t="n">
        <x:v>102</x:v>
      </x:c>
    </x:row>
    <x:row r="13" ht="22" customHeight="1">
      <x:c r="A13" s="14" t="n">
        <x:v>4</x:v>
      </x:c>
      <x:c r="B13" s="14" t="n">
        <x:v>1</x:v>
      </x:c>
      <x:c r="C13" s="14" t="n">
        <x:v>76001</x:v>
      </x:c>
      <x:c r="D13" s="2" t="str">
        <x:v>NAVY</x:v>
      </x:c>
      <x:c r="E13" s="2" t="str">
        <x:v>0만</x:v>
      </x:c>
      <x:c r="F13" s="2" t="str">
        <x:v>규칙형</x:v>
      </x:c>
      <x:c r="G13" s="2" t="str">
        <x:v>패</x:v>
      </x:c>
      <x:c r="H13" s="14" t="n">
        <x:v>1</x:v>
      </x:c>
      <x:c r="I13" s="14" t="n">
        <x:v>4</x:v>
      </x:c>
      <x:c r="J13" s="14" t="n">
        <x:v>4</x:v>
      </x:c>
      <x:c r="K13" s="14" t="n">
        <x:v>1</x:v>
      </x:c>
      <x:c r="L13" s="15" t="n">
        <x:f>IF(J13=0,"해당 없음",K13/J13)</x:f>
        <x:v>0.25</x:v>
      </x:c>
      <x:c r="M13" s="14" t="n">
        <x:v>9</x:v>
      </x:c>
      <x:c r="N13" s="14" t="n">
        <x:v>5</x:v>
      </x:c>
      <x:c r="O13" s="15" t="n">
        <x:f>IF(M13=0,"해당 없음",N13/M13)</x:f>
        <x:v>0.5555555555555556</x:v>
      </x:c>
      <x:c r="P13" s="14" t="n">
        <x:v>103</x:v>
      </x:c>
    </x:row>
    <x:row r="14" ht="22" customHeight="1">
      <x:c r="A14" s="14" t="n">
        <x:v>5</x:v>
      </x:c>
      <x:c r="B14" s="14" t="n">
        <x:v>1</x:v>
      </x:c>
      <x:c r="C14" s="14" t="n">
        <x:v>76002</x:v>
      </x:c>
      <x:c r="D14" s="2" t="str">
        <x:v>RED</x:v>
      </x:c>
      <x:c r="E14" s="2" t="str">
        <x:v>0만</x:v>
      </x:c>
      <x:c r="F14" s="2" t="str">
        <x:v>규칙형</x:v>
      </x:c>
      <x:c r="G14" s="2" t="str">
        <x:v>패</x:v>
      </x:c>
      <x:c r="H14" s="14" t="n">
        <x:v>2</x:v>
      </x:c>
      <x:c r="I14" s="14" t="n">
        <x:v>4</x:v>
      </x:c>
      <x:c r="J14" s="14" t="n">
        <x:v>6</x:v>
      </x:c>
      <x:c r="K14" s="14" t="n">
        <x:v>2</x:v>
      </x:c>
      <x:c r="L14" s="15" t="n">
        <x:f>IF(J14=0,"해당 없음",K14/J14)</x:f>
        <x:v>0.3333333333333333</x:v>
      </x:c>
      <x:c r="M14" s="14" t="n">
        <x:v>4</x:v>
      </x:c>
      <x:c r="N14" s="14" t="n">
        <x:v>3</x:v>
      </x:c>
      <x:c r="O14" s="15" t="n">
        <x:f>IF(M14=0,"해당 없음",N14/M14)</x:f>
        <x:v>0.75</x:v>
      </x:c>
      <x:c r="P14" s="14" t="n">
        <x:v>104</x:v>
      </x:c>
    </x:row>
    <x:row r="15" ht="22" customHeight="1">
      <x:c r="A15" s="14" t="n">
        <x:v>5</x:v>
      </x:c>
      <x:c r="B15" s="14" t="n">
        <x:v>1</x:v>
      </x:c>
      <x:c r="C15" s="14" t="n">
        <x:v>76002</x:v>
      </x:c>
      <x:c r="D15" s="2" t="str">
        <x:v>NAVY</x:v>
      </x:c>
      <x:c r="E15" s="2" t="str">
        <x:v>규칙형</x:v>
      </x:c>
      <x:c r="F15" s="2" t="str">
        <x:v>0만</x:v>
      </x:c>
      <x:c r="G15" s="2" t="str">
        <x:v>승</x:v>
      </x:c>
      <x:c r="H15" s="14" t="n">
        <x:v>4</x:v>
      </x:c>
      <x:c r="I15" s="14" t="n">
        <x:v>2</x:v>
      </x:c>
      <x:c r="J15" s="14" t="n">
        <x:v>8</x:v>
      </x:c>
      <x:c r="K15" s="14" t="n">
        <x:v>4</x:v>
      </x:c>
      <x:c r="L15" s="15" t="n">
        <x:f>IF(J15=0,"해당 없음",K15/J15)</x:f>
        <x:v>0.5</x:v>
      </x:c>
      <x:c r="M15" s="14" t="n">
        <x:v>7</x:v>
      </x:c>
      <x:c r="N15" s="14" t="n">
        <x:v>5</x:v>
      </x:c>
      <x:c r="O15" s="15" t="n">
        <x:f>IF(M15=0,"해당 없음",N15/M15)</x:f>
        <x:v>0.7142857142857143</x:v>
      </x:c>
      <x:c r="P15" s="14" t="n">
        <x:v>102</x:v>
      </x:c>
    </x:row>
    <x:row r="16" ht="22" customHeight="1">
      <x:c r="A16" s="14" t="n">
        <x:v>6</x:v>
      </x:c>
      <x:c r="B16" s="14" t="n">
        <x:v>1</x:v>
      </x:c>
      <x:c r="C16" s="14" t="n">
        <x:v>76002</x:v>
      </x:c>
      <x:c r="D16" s="2" t="str">
        <x:v>RED</x:v>
      </x:c>
      <x:c r="E16" s="2" t="str">
        <x:v>규칙형</x:v>
      </x:c>
      <x:c r="F16" s="2" t="str">
        <x:v>0만</x:v>
      </x:c>
      <x:c r="G16" s="2" t="str">
        <x:v>승</x:v>
      </x:c>
      <x:c r="H16" s="14" t="n">
        <x:v>5</x:v>
      </x:c>
      <x:c r="I16" s="14" t="n">
        <x:v>1</x:v>
      </x:c>
      <x:c r="J16" s="14" t="n">
        <x:v>14</x:v>
      </x:c>
      <x:c r="K16" s="14" t="n">
        <x:v>5</x:v>
      </x:c>
      <x:c r="L16" s="15" t="n">
        <x:f>IF(J16=0,"해당 없음",K16/J16)</x:f>
        <x:v>0.35714285714285715</x:v>
      </x:c>
      <x:c r="M16" s="14" t="n">
        <x:v>8</x:v>
      </x:c>
      <x:c r="N16" s="14" t="n">
        <x:v>6</x:v>
      </x:c>
      <x:c r="O16" s="15" t="n">
        <x:f>IF(M16=0,"해당 없음",N16/M16)</x:f>
        <x:v>0.75</x:v>
      </x:c>
      <x:c r="P16" s="14" t="n">
        <x:v>104</x:v>
      </x:c>
    </x:row>
    <x:row r="17" ht="22" customHeight="1">
      <x:c r="A17" s="14" t="n">
        <x:v>6</x:v>
      </x:c>
      <x:c r="B17" s="14" t="n">
        <x:v>1</x:v>
      </x:c>
      <x:c r="C17" s="14" t="n">
        <x:v>76002</x:v>
      </x:c>
      <x:c r="D17" s="2" t="str">
        <x:v>NAVY</x:v>
      </x:c>
      <x:c r="E17" s="2" t="str">
        <x:v>0만</x:v>
      </x:c>
      <x:c r="F17" s="2" t="str">
        <x:v>규칙형</x:v>
      </x:c>
      <x:c r="G17" s="2" t="str">
        <x:v>패</x:v>
      </x:c>
      <x:c r="H17" s="14" t="n">
        <x:v>1</x:v>
      </x:c>
      <x:c r="I17" s="14" t="n">
        <x:v>5</x:v>
      </x:c>
      <x:c r="J17" s="14" t="n">
        <x:v>3</x:v>
      </x:c>
      <x:c r="K17" s="14" t="n">
        <x:v>1</x:v>
      </x:c>
      <x:c r="L17" s="15" t="n">
        <x:f>IF(J17=0,"해당 없음",K17/J17)</x:f>
        <x:v>0.3333333333333333</x:v>
      </x:c>
      <x:c r="M17" s="14" t="n">
        <x:v>6</x:v>
      </x:c>
      <x:c r="N17" s="14" t="n">
        <x:v>3</x:v>
      </x:c>
      <x:c r="O17" s="15" t="n">
        <x:f>IF(M17=0,"해당 없음",N17/M17)</x:f>
        <x:v>0.5</x:v>
      </x:c>
      <x:c r="P17" s="14" t="n">
        <x:v>102</x:v>
      </x:c>
    </x:row>
    <x:row r="18" ht="22" customHeight="1">
      <x:c r="A18" s="14" t="n">
        <x:v>7</x:v>
      </x:c>
      <x:c r="B18" s="14" t="n">
        <x:v>1</x:v>
      </x:c>
      <x:c r="C18" s="14" t="n">
        <x:v>76003</x:v>
      </x:c>
      <x:c r="D18" s="2" t="str">
        <x:v>RED</x:v>
      </x:c>
      <x:c r="E18" s="2" t="str">
        <x:v>0만</x:v>
      </x:c>
      <x:c r="F18" s="2" t="str">
        <x:v>규칙형</x:v>
      </x:c>
      <x:c r="G18" s="2" t="str">
        <x:v>승</x:v>
      </x:c>
      <x:c r="H18" s="14" t="n">
        <x:v>3</x:v>
      </x:c>
      <x:c r="I18" s="14" t="n">
        <x:v>2</x:v>
      </x:c>
      <x:c r="J18" s="14" t="n">
        <x:v>4</x:v>
      </x:c>
      <x:c r="K18" s="14" t="n">
        <x:v>3</x:v>
      </x:c>
      <x:c r="L18" s="15" t="n">
        <x:f>IF(J18=0,"해당 없음",K18/J18)</x:f>
        <x:v>0.75</x:v>
      </x:c>
      <x:c r="M18" s="14" t="n">
        <x:v>6</x:v>
      </x:c>
      <x:c r="N18" s="14" t="n">
        <x:v>5</x:v>
      </x:c>
      <x:c r="O18" s="15" t="n">
        <x:f>IF(M18=0,"해당 없음",N18/M18)</x:f>
        <x:v>0.8333333333333334</x:v>
      </x:c>
      <x:c r="P18" s="14" t="n">
        <x:v>103</x:v>
      </x:c>
    </x:row>
    <x:row r="19" ht="22" customHeight="1">
      <x:c r="A19" s="14" t="n">
        <x:v>7</x:v>
      </x:c>
      <x:c r="B19" s="14" t="n">
        <x:v>1</x:v>
      </x:c>
      <x:c r="C19" s="14" t="n">
        <x:v>76003</x:v>
      </x:c>
      <x:c r="D19" s="2" t="str">
        <x:v>NAVY</x:v>
      </x:c>
      <x:c r="E19" s="2" t="str">
        <x:v>규칙형</x:v>
      </x:c>
      <x:c r="F19" s="2" t="str">
        <x:v>0만</x:v>
      </x:c>
      <x:c r="G19" s="2" t="str">
        <x:v>패</x:v>
      </x:c>
      <x:c r="H19" s="14" t="n">
        <x:v>2</x:v>
      </x:c>
      <x:c r="I19" s="14" t="n">
        <x:v>3</x:v>
      </x:c>
      <x:c r="J19" s="14" t="n">
        <x:v>8</x:v>
      </x:c>
      <x:c r="K19" s="14" t="n">
        <x:v>2</x:v>
      </x:c>
      <x:c r="L19" s="15" t="n">
        <x:f>IF(J19=0,"해당 없음",K19/J19)</x:f>
        <x:v>0.25</x:v>
      </x:c>
      <x:c r="M19" s="14" t="n">
        <x:v>4</x:v>
      </x:c>
      <x:c r="N19" s="14" t="n">
        <x:v>3</x:v>
      </x:c>
      <x:c r="O19" s="15" t="n">
        <x:f>IF(M19=0,"해당 없음",N19/M19)</x:f>
        <x:v>0.75</x:v>
      </x:c>
      <x:c r="P19" s="14" t="n">
        <x:v>102</x:v>
      </x:c>
    </x:row>
    <x:row r="20" ht="22" customHeight="1">
      <x:c r="A20" s="14" t="n">
        <x:v>8</x:v>
      </x:c>
      <x:c r="B20" s="14" t="n">
        <x:v>1</x:v>
      </x:c>
      <x:c r="C20" s="14" t="n">
        <x:v>76003</x:v>
      </x:c>
      <x:c r="D20" s="2" t="str">
        <x:v>RED</x:v>
      </x:c>
      <x:c r="E20" s="2" t="str">
        <x:v>규칙형</x:v>
      </x:c>
      <x:c r="F20" s="2" t="str">
        <x:v>0만</x:v>
      </x:c>
      <x:c r="G20" s="2" t="str">
        <x:v>승</x:v>
      </x:c>
      <x:c r="H20" s="14" t="n">
        <x:v>4</x:v>
      </x:c>
      <x:c r="I20" s="14" t="n">
        <x:v>1</x:v>
      </x:c>
      <x:c r="J20" s="14" t="n">
        <x:v>12</x:v>
      </x:c>
      <x:c r="K20" s="14" t="n">
        <x:v>4</x:v>
      </x:c>
      <x:c r="L20" s="15" t="n">
        <x:f>IF(J20=0,"해당 없음",K20/J20)</x:f>
        <x:v>0.3333333333333333</x:v>
      </x:c>
      <x:c r="M20" s="14" t="n">
        <x:v>6</x:v>
      </x:c>
      <x:c r="N20" s="14" t="n">
        <x:v>5</x:v>
      </x:c>
      <x:c r="O20" s="15" t="n">
        <x:f>IF(M20=0,"해당 없음",N20/M20)</x:f>
        <x:v>0.8333333333333334</x:v>
      </x:c>
      <x:c r="P20" s="14" t="n">
        <x:v>103</x:v>
      </x:c>
    </x:row>
    <x:row r="21" ht="22" customHeight="1">
      <x:c r="A21" s="14" t="n">
        <x:v>8</x:v>
      </x:c>
      <x:c r="B21" s="14" t="n">
        <x:v>1</x:v>
      </x:c>
      <x:c r="C21" s="14" t="n">
        <x:v>76003</x:v>
      </x:c>
      <x:c r="D21" s="2" t="str">
        <x:v>NAVY</x:v>
      </x:c>
      <x:c r="E21" s="2" t="str">
        <x:v>0만</x:v>
      </x:c>
      <x:c r="F21" s="2" t="str">
        <x:v>규칙형</x:v>
      </x:c>
      <x:c r="G21" s="2" t="str">
        <x:v>패</x:v>
      </x:c>
      <x:c r="H21" s="14" t="n">
        <x:v>1</x:v>
      </x:c>
      <x:c r="I21" s="14" t="n">
        <x:v>4</x:v>
      </x:c>
      <x:c r="J21" s="14" t="n">
        <x:v>3</x:v>
      </x:c>
      <x:c r="K21" s="14" t="n">
        <x:v>1</x:v>
      </x:c>
      <x:c r="L21" s="15" t="n">
        <x:f>IF(J21=0,"해당 없음",K21/J21)</x:f>
        <x:v>0.3333333333333333</x:v>
      </x:c>
      <x:c r="M21" s="14" t="n">
        <x:v>7</x:v>
      </x:c>
      <x:c r="N21" s="14" t="n">
        <x:v>7</x:v>
      </x:c>
      <x:c r="O21" s="15" t="n">
        <x:f>IF(M21=0,"해당 없음",N21/M21)</x:f>
        <x:v>1</x:v>
      </x:c>
      <x:c r="P21" s="14" t="n">
        <x:v>102</x:v>
      </x:c>
    </x:row>
    <x:row r="22" ht="22" customHeight="1">
      <x:c r="A22" s="14" t="n">
        <x:v>9</x:v>
      </x:c>
      <x:c r="B22" s="14" t="n">
        <x:v>1</x:v>
      </x:c>
      <x:c r="C22" s="14" t="n">
        <x:v>76004</x:v>
      </x:c>
      <x:c r="D22" s="2" t="str">
        <x:v>RED</x:v>
      </x:c>
      <x:c r="E22" s="2" t="str">
        <x:v>0만</x:v>
      </x:c>
      <x:c r="F22" s="2" t="str">
        <x:v>규칙형</x:v>
      </x:c>
      <x:c r="G22" s="2" t="str">
        <x:v>패</x:v>
      </x:c>
      <x:c r="H22" s="14" t="n">
        <x:v>1</x:v>
      </x:c>
      <x:c r="I22" s="14" t="n">
        <x:v>2</x:v>
      </x:c>
      <x:c r="J22" s="14" t="n">
        <x:v>3</x:v>
      </x:c>
      <x:c r="K22" s="14" t="n">
        <x:v>1</x:v>
      </x:c>
      <x:c r="L22" s="15" t="n">
        <x:f>IF(J22=0,"해당 없음",K22/J22)</x:f>
        <x:v>0.3333333333333333</x:v>
      </x:c>
      <x:c r="M22" s="14" t="n">
        <x:v>8</x:v>
      </x:c>
      <x:c r="N22" s="14" t="n">
        <x:v>6</x:v>
      </x:c>
      <x:c r="O22" s="15" t="n">
        <x:f>IF(M22=0,"해당 없음",N22/M22)</x:f>
        <x:v>0.75</x:v>
      </x:c>
      <x:c r="P22" s="14" t="n">
        <x:v>102</x:v>
      </x:c>
    </x:row>
    <x:row r="23" ht="22" customHeight="1">
      <x:c r="A23" s="14" t="n">
        <x:v>9</x:v>
      </x:c>
      <x:c r="B23" s="14" t="n">
        <x:v>1</x:v>
      </x:c>
      <x:c r="C23" s="14" t="n">
        <x:v>76004</x:v>
      </x:c>
      <x:c r="D23" s="2" t="str">
        <x:v>NAVY</x:v>
      </x:c>
      <x:c r="E23" s="2" t="str">
        <x:v>규칙형</x:v>
      </x:c>
      <x:c r="F23" s="2" t="str">
        <x:v>0만</x:v>
      </x:c>
      <x:c r="G23" s="2" t="str">
        <x:v>승</x:v>
      </x:c>
      <x:c r="H23" s="14" t="n">
        <x:v>2</x:v>
      </x:c>
      <x:c r="I23" s="14" t="n">
        <x:v>1</x:v>
      </x:c>
      <x:c r="J23" s="14" t="n">
        <x:v>7</x:v>
      </x:c>
      <x:c r="K23" s="14" t="n">
        <x:v>2</x:v>
      </x:c>
      <x:c r="L23" s="15" t="n">
        <x:f>IF(J23=0,"해당 없음",K23/J23)</x:f>
        <x:v>0.2857142857142857</x:v>
      </x:c>
      <x:c r="M23" s="14" t="n">
        <x:v>10</x:v>
      </x:c>
      <x:c r="N23" s="14" t="n">
        <x:v>8</x:v>
      </x:c>
      <x:c r="O23" s="15" t="n">
        <x:f>IF(M23=0,"해당 없음",N23/M23)</x:f>
        <x:v>0.8</x:v>
      </x:c>
      <x:c r="P23" s="14" t="n">
        <x:v>103</x:v>
      </x:c>
    </x:row>
    <x:row r="24" ht="22" customHeight="1">
      <x:c r="A24" s="14" t="n">
        <x:v>10</x:v>
      </x:c>
      <x:c r="B24" s="14" t="n">
        <x:v>1</x:v>
      </x:c>
      <x:c r="C24" s="14" t="n">
        <x:v>76004</x:v>
      </x:c>
      <x:c r="D24" s="2" t="str">
        <x:v>RED</x:v>
      </x:c>
      <x:c r="E24" s="2" t="str">
        <x:v>규칙형</x:v>
      </x:c>
      <x:c r="F24" s="2" t="str">
        <x:v>0만</x:v>
      </x:c>
      <x:c r="G24" s="2" t="str">
        <x:v>승</x:v>
      </x:c>
      <x:c r="H24" s="14" t="n">
        <x:v>3</x:v>
      </x:c>
      <x:c r="I24" s="14" t="n">
        <x:v>2</x:v>
      </x:c>
      <x:c r="J24" s="14" t="n">
        <x:v>11</x:v>
      </x:c>
      <x:c r="K24" s="14" t="n">
        <x:v>3</x:v>
      </x:c>
      <x:c r="L24" s="15" t="n">
        <x:f>IF(J24=0,"해당 없음",K24/J24)</x:f>
        <x:v>0.2727272727272727</x:v>
      </x:c>
      <x:c r="M24" s="14" t="n">
        <x:v>7</x:v>
      </x:c>
      <x:c r="N24" s="14" t="n">
        <x:v>5</x:v>
      </x:c>
      <x:c r="O24" s="15" t="n">
        <x:f>IF(M24=0,"해당 없음",N24/M24)</x:f>
        <x:v>0.7142857142857143</x:v>
      </x:c>
      <x:c r="P24" s="14" t="n">
        <x:v>102</x:v>
      </x:c>
    </x:row>
    <x:row r="25" ht="22" customHeight="1">
      <x:c r="A25" s="14" t="n">
        <x:v>10</x:v>
      </x:c>
      <x:c r="B25" s="14" t="n">
        <x:v>1</x:v>
      </x:c>
      <x:c r="C25" s="14" t="n">
        <x:v>76004</x:v>
      </x:c>
      <x:c r="D25" s="2" t="str">
        <x:v>NAVY</x:v>
      </x:c>
      <x:c r="E25" s="2" t="str">
        <x:v>0만</x:v>
      </x:c>
      <x:c r="F25" s="2" t="str">
        <x:v>규칙형</x:v>
      </x:c>
      <x:c r="G25" s="2" t="str">
        <x:v>패</x:v>
      </x:c>
      <x:c r="H25" s="14" t="n">
        <x:v>2</x:v>
      </x:c>
      <x:c r="I25" s="14" t="n">
        <x:v>3</x:v>
      </x:c>
      <x:c r="J25" s="14" t="n">
        <x:v>2</x:v>
      </x:c>
      <x:c r="K25" s="14" t="n">
        <x:v>2</x:v>
      </x:c>
      <x:c r="L25" s="15" t="n">
        <x:f>IF(J25=0,"해당 없음",K25/J25)</x:f>
        <x:v>1</x:v>
      </x:c>
      <x:c r="M25" s="14" t="n">
        <x:v>5</x:v>
      </x:c>
      <x:c r="N25" s="14" t="n">
        <x:v>3</x:v>
      </x:c>
      <x:c r="O25" s="15" t="n">
        <x:f>IF(M25=0,"해당 없음",N25/M25)</x:f>
        <x:v>0.6</x:v>
      </x:c>
      <x:c r="P25" s="14" t="n">
        <x:v>102</x:v>
      </x:c>
    </x:row>
    <x:row r="26" ht="22" customHeight="1">
      <x:c r="A26" s="14" t="n">
        <x:v>11</x:v>
      </x:c>
      <x:c r="B26" s="14" t="n">
        <x:v>1</x:v>
      </x:c>
      <x:c r="C26" s="14" t="n">
        <x:v>76005</x:v>
      </x:c>
      <x:c r="D26" s="2" t="str">
        <x:v>RED</x:v>
      </x:c>
      <x:c r="E26" s="2" t="str">
        <x:v>0만</x:v>
      </x:c>
      <x:c r="F26" s="2" t="str">
        <x:v>규칙형</x:v>
      </x:c>
      <x:c r="G26" s="2" t="str">
        <x:v>패</x:v>
      </x:c>
      <x:c r="H26" s="14" t="n">
        <x:v>0</x:v>
      </x:c>
      <x:c r="I26" s="14" t="n">
        <x:v>3</x:v>
      </x:c>
      <x:c r="J26" s="14" t="n">
        <x:v>2</x:v>
      </x:c>
      <x:c r="K26" s="14" t="n">
        <x:v>0</x:v>
      </x:c>
      <x:c r="L26" s="15" t="n">
        <x:f>IF(J26=0,"해당 없음",K26/J26)</x:f>
        <x:v>0</x:v>
      </x:c>
      <x:c r="M26" s="14" t="n">
        <x:v>6</x:v>
      </x:c>
      <x:c r="N26" s="14" t="n">
        <x:v>5</x:v>
      </x:c>
      <x:c r="O26" s="15" t="n">
        <x:f>IF(M26=0,"해당 없음",N26/M26)</x:f>
        <x:v>0.8333333333333334</x:v>
      </x:c>
      <x:c r="P26" s="14" t="n">
        <x:v>101</x:v>
      </x:c>
    </x:row>
    <x:row r="27" ht="22" customHeight="1">
      <x:c r="A27" s="14" t="n">
        <x:v>11</x:v>
      </x:c>
      <x:c r="B27" s="14" t="n">
        <x:v>1</x:v>
      </x:c>
      <x:c r="C27" s="14" t="n">
        <x:v>76005</x:v>
      </x:c>
      <x:c r="D27" s="2" t="str">
        <x:v>NAVY</x:v>
      </x:c>
      <x:c r="E27" s="2" t="str">
        <x:v>규칙형</x:v>
      </x:c>
      <x:c r="F27" s="2" t="str">
        <x:v>0만</x:v>
      </x:c>
      <x:c r="G27" s="2" t="str">
        <x:v>승</x:v>
      </x:c>
      <x:c r="H27" s="14" t="n">
        <x:v>3</x:v>
      </x:c>
      <x:c r="I27" s="14" t="n">
        <x:v>0</x:v>
      </x:c>
      <x:c r="J27" s="14" t="n">
        <x:v>10</x:v>
      </x:c>
      <x:c r="K27" s="14" t="n">
        <x:v>3</x:v>
      </x:c>
      <x:c r="L27" s="15" t="n">
        <x:f>IF(J27=0,"해당 없음",K27/J27)</x:f>
        <x:v>0.3</x:v>
      </x:c>
      <x:c r="M27" s="14" t="n">
        <x:v>11</x:v>
      </x:c>
      <x:c r="N27" s="14" t="n">
        <x:v>7</x:v>
      </x:c>
      <x:c r="O27" s="15" t="n">
        <x:f>IF(M27=0,"해당 없음",N27/M27)</x:f>
        <x:v>0.6363636363636364</x:v>
      </x:c>
      <x:c r="P27" s="14" t="n">
        <x:v>100</x:v>
      </x:c>
    </x:row>
    <x:row r="28" ht="22" customHeight="1">
      <x:c r="A28" s="14" t="n">
        <x:v>12</x:v>
      </x:c>
      <x:c r="B28" s="14" t="n">
        <x:v>1</x:v>
      </x:c>
      <x:c r="C28" s="14" t="n">
        <x:v>76005</x:v>
      </x:c>
      <x:c r="D28" s="2" t="str">
        <x:v>RED</x:v>
      </x:c>
      <x:c r="E28" s="2" t="str">
        <x:v>규칙형</x:v>
      </x:c>
      <x:c r="F28" s="2" t="str">
        <x:v>0만</x:v>
      </x:c>
      <x:c r="G28" s="2" t="str">
        <x:v>승</x:v>
      </x:c>
      <x:c r="H28" s="14" t="n">
        <x:v>4</x:v>
      </x:c>
      <x:c r="I28" s="14" t="n">
        <x:v>3</x:v>
      </x:c>
      <x:c r="J28" s="14" t="n">
        <x:v>10</x:v>
      </x:c>
      <x:c r="K28" s="14" t="n">
        <x:v>4</x:v>
      </x:c>
      <x:c r="L28" s="15" t="n">
        <x:f>IF(J28=0,"해당 없음",K28/J28)</x:f>
        <x:v>0.4</x:v>
      </x:c>
      <x:c r="M28" s="14" t="n">
        <x:v>11</x:v>
      </x:c>
      <x:c r="N28" s="14" t="n">
        <x:v>10</x:v>
      </x:c>
      <x:c r="O28" s="15" t="n">
        <x:f>IF(M28=0,"해당 없음",N28/M28)</x:f>
        <x:v>0.9090909090909091</x:v>
      </x:c>
      <x:c r="P28" s="14" t="n">
        <x:v>105</x:v>
      </x:c>
    </x:row>
    <x:row r="29" ht="22" customHeight="1">
      <x:c r="A29" s="14" t="n">
        <x:v>12</x:v>
      </x:c>
      <x:c r="B29" s="14" t="n">
        <x:v>1</x:v>
      </x:c>
      <x:c r="C29" s="14" t="n">
        <x:v>76005</x:v>
      </x:c>
      <x:c r="D29" s="2" t="str">
        <x:v>NAVY</x:v>
      </x:c>
      <x:c r="E29" s="2" t="str">
        <x:v>0만</x:v>
      </x:c>
      <x:c r="F29" s="2" t="str">
        <x:v>규칙형</x:v>
      </x:c>
      <x:c r="G29" s="2" t="str">
        <x:v>패</x:v>
      </x:c>
      <x:c r="H29" s="14" t="n">
        <x:v>3</x:v>
      </x:c>
      <x:c r="I29" s="14" t="n">
        <x:v>4</x:v>
      </x:c>
      <x:c r="J29" s="14" t="n">
        <x:v>6</x:v>
      </x:c>
      <x:c r="K29" s="14" t="n">
        <x:v>3</x:v>
      </x:c>
      <x:c r="L29" s="15" t="n">
        <x:f>IF(J29=0,"해당 없음",K29/J29)</x:f>
        <x:v>0.5</x:v>
      </x:c>
      <x:c r="M29" s="14" t="n">
        <x:v>6</x:v>
      </x:c>
      <x:c r="N29" s="14" t="n">
        <x:v>6</x:v>
      </x:c>
      <x:c r="O29" s="15" t="n">
        <x:f>IF(M29=0,"해당 없음",N29/M29)</x:f>
        <x:v>1</x:v>
      </x:c>
      <x:c r="P29" s="14" t="n">
        <x:v>105</x:v>
      </x:c>
    </x:row>
    <x:row r="30" ht="22" customHeight="1">
      <x:c r="A30" s="14" t="n">
        <x:v>13</x:v>
      </x:c>
      <x:c r="B30" s="14" t="n">
        <x:v>1</x:v>
      </x:c>
      <x:c r="C30" s="14" t="n">
        <x:v>76006</x:v>
      </x:c>
      <x:c r="D30" s="2" t="str">
        <x:v>RED</x:v>
      </x:c>
      <x:c r="E30" s="2" t="str">
        <x:v>0만</x:v>
      </x:c>
      <x:c r="F30" s="2" t="str">
        <x:v>규칙형</x:v>
      </x:c>
      <x:c r="G30" s="2" t="str">
        <x:v>패</x:v>
      </x:c>
      <x:c r="H30" s="14" t="n">
        <x:v>1</x:v>
      </x:c>
      <x:c r="I30" s="14" t="n">
        <x:v>7</x:v>
      </x:c>
      <x:c r="J30" s="14" t="n">
        <x:v>4</x:v>
      </x:c>
      <x:c r="K30" s="14" t="n">
        <x:v>1</x:v>
      </x:c>
      <x:c r="L30" s="15" t="n">
        <x:f>IF(J30=0,"해당 없음",K30/J30)</x:f>
        <x:v>0.25</x:v>
      </x:c>
      <x:c r="M30" s="14" t="n">
        <x:v>4</x:v>
      </x:c>
      <x:c r="N30" s="14" t="n">
        <x:v>3</x:v>
      </x:c>
      <x:c r="O30" s="15" t="n">
        <x:f>IF(M30=0,"해당 없음",N30/M30)</x:f>
        <x:v>0.75</x:v>
      </x:c>
      <x:c r="P30" s="14" t="n">
        <x:v>104</x:v>
      </x:c>
    </x:row>
    <x:row r="31" ht="22" customHeight="1">
      <x:c r="A31" s="14" t="n">
        <x:v>13</x:v>
      </x:c>
      <x:c r="B31" s="14" t="n">
        <x:v>1</x:v>
      </x:c>
      <x:c r="C31" s="14" t="n">
        <x:v>76006</x:v>
      </x:c>
      <x:c r="D31" s="2" t="str">
        <x:v>NAVY</x:v>
      </x:c>
      <x:c r="E31" s="2" t="str">
        <x:v>규칙형</x:v>
      </x:c>
      <x:c r="F31" s="2" t="str">
        <x:v>0만</x:v>
      </x:c>
      <x:c r="G31" s="2" t="str">
        <x:v>승</x:v>
      </x:c>
      <x:c r="H31" s="14" t="n">
        <x:v>7</x:v>
      </x:c>
      <x:c r="I31" s="14" t="n">
        <x:v>1</x:v>
      </x:c>
      <x:c r="J31" s="14" t="n">
        <x:v>15</x:v>
      </x:c>
      <x:c r="K31" s="14" t="n">
        <x:v>7</x:v>
      </x:c>
      <x:c r="L31" s="15" t="n">
        <x:f>IF(J31=0,"해당 없음",K31/J31)</x:f>
        <x:v>0.4666666666666667</x:v>
      </x:c>
      <x:c r="M31" s="14" t="n">
        <x:v>9</x:v>
      </x:c>
      <x:c r="N31" s="14" t="n">
        <x:v>9</x:v>
      </x:c>
      <x:c r="O31" s="15" t="n">
        <x:f>IF(M31=0,"해당 없음",N31/M31)</x:f>
        <x:v>1</x:v>
      </x:c>
      <x:c r="P31" s="14" t="n">
        <x:v>103</x:v>
      </x:c>
    </x:row>
    <x:row r="32" ht="22" customHeight="1">
      <x:c r="A32" s="14" t="n">
        <x:v>14</x:v>
      </x:c>
      <x:c r="B32" s="14" t="n">
        <x:v>1</x:v>
      </x:c>
      <x:c r="C32" s="14" t="n">
        <x:v>76006</x:v>
      </x:c>
      <x:c r="D32" s="2" t="str">
        <x:v>RED</x:v>
      </x:c>
      <x:c r="E32" s="2" t="str">
        <x:v>규칙형</x:v>
      </x:c>
      <x:c r="F32" s="2" t="str">
        <x:v>0만</x:v>
      </x:c>
      <x:c r="G32" s="2" t="str">
        <x:v>승</x:v>
      </x:c>
      <x:c r="H32" s="14" t="n">
        <x:v>7</x:v>
      </x:c>
      <x:c r="I32" s="14" t="n">
        <x:v>2</x:v>
      </x:c>
      <x:c r="J32" s="14" t="n">
        <x:v>12</x:v>
      </x:c>
      <x:c r="K32" s="14" t="n">
        <x:v>7</x:v>
      </x:c>
      <x:c r="L32" s="15" t="n">
        <x:f>IF(J32=0,"해당 없음",K32/J32)</x:f>
        <x:v>0.5833333333333334</x:v>
      </x:c>
      <x:c r="M32" s="14" t="n">
        <x:v>11</x:v>
      </x:c>
      <x:c r="N32" s="14" t="n">
        <x:v>9</x:v>
      </x:c>
      <x:c r="O32" s="15" t="n">
        <x:f>IF(M32=0,"해당 없음",N32/M32)</x:f>
        <x:v>0.8181818181818182</x:v>
      </x:c>
      <x:c r="P32" s="14" t="n">
        <x:v>105</x:v>
      </x:c>
    </x:row>
    <x:row r="33" ht="22" customHeight="1">
      <x:c r="A33" s="14" t="n">
        <x:v>14</x:v>
      </x:c>
      <x:c r="B33" s="14" t="n">
        <x:v>1</x:v>
      </x:c>
      <x:c r="C33" s="14" t="n">
        <x:v>76006</x:v>
      </x:c>
      <x:c r="D33" s="2" t="str">
        <x:v>NAVY</x:v>
      </x:c>
      <x:c r="E33" s="2" t="str">
        <x:v>0만</x:v>
      </x:c>
      <x:c r="F33" s="2" t="str">
        <x:v>규칙형</x:v>
      </x:c>
      <x:c r="G33" s="2" t="str">
        <x:v>패</x:v>
      </x:c>
      <x:c r="H33" s="14" t="n">
        <x:v>2</x:v>
      </x:c>
      <x:c r="I33" s="14" t="n">
        <x:v>7</x:v>
      </x:c>
      <x:c r="J33" s="14" t="n">
        <x:v>6</x:v>
      </x:c>
      <x:c r="K33" s="14" t="n">
        <x:v>2</x:v>
      </x:c>
      <x:c r="L33" s="15" t="n">
        <x:f>IF(J33=0,"해당 없음",K33/J33)</x:f>
        <x:v>0.3333333333333333</x:v>
      </x:c>
      <x:c r="M33" s="14" t="n">
        <x:v>7</x:v>
      </x:c>
      <x:c r="N33" s="14" t="n">
        <x:v>4</x:v>
      </x:c>
      <x:c r="O33" s="15" t="n">
        <x:f>IF(M33=0,"해당 없음",N33/M33)</x:f>
        <x:v>0.5714285714285714</x:v>
      </x:c>
      <x:c r="P33" s="14" t="n">
        <x:v>106</x:v>
      </x:c>
    </x:row>
    <x:row r="34" ht="22" customHeight="1">
      <x:c r="A34" s="14" t="n">
        <x:v>15</x:v>
      </x:c>
      <x:c r="B34" s="14" t="n">
        <x:v>1</x:v>
      </x:c>
      <x:c r="C34" s="14" t="n">
        <x:v>76007</x:v>
      </x:c>
      <x:c r="D34" s="2" t="str">
        <x:v>RED</x:v>
      </x:c>
      <x:c r="E34" s="2" t="str">
        <x:v>0만</x:v>
      </x:c>
      <x:c r="F34" s="2" t="str">
        <x:v>규칙형</x:v>
      </x:c>
      <x:c r="G34" s="2" t="str">
        <x:v>패</x:v>
      </x:c>
      <x:c r="H34" s="14" t="n">
        <x:v>0</x:v>
      </x:c>
      <x:c r="I34" s="14" t="n">
        <x:v>10</x:v>
      </x:c>
      <x:c r="J34" s="14" t="n">
        <x:v>1</x:v>
      </x:c>
      <x:c r="K34" s="14" t="n">
        <x:v>0</x:v>
      </x:c>
      <x:c r="L34" s="15" t="n">
        <x:f>IF(J34=0,"해당 없음",K34/J34)</x:f>
        <x:v>0</x:v>
      </x:c>
      <x:c r="M34" s="14" t="n">
        <x:v>3</x:v>
      </x:c>
      <x:c r="N34" s="14" t="n">
        <x:v>3</x:v>
      </x:c>
      <x:c r="O34" s="15" t="n">
        <x:f>IF(M34=0,"해당 없음",N34/M34)</x:f>
        <x:v>1</x:v>
      </x:c>
      <x:c r="P34" s="14" t="n">
        <x:v>104</x:v>
      </x:c>
    </x:row>
    <x:row r="35" ht="22" customHeight="1">
      <x:c r="A35" s="14" t="n">
        <x:v>15</x:v>
      </x:c>
      <x:c r="B35" s="14" t="n">
        <x:v>1</x:v>
      </x:c>
      <x:c r="C35" s="14" t="n">
        <x:v>76007</x:v>
      </x:c>
      <x:c r="D35" s="2" t="str">
        <x:v>NAVY</x:v>
      </x:c>
      <x:c r="E35" s="2" t="str">
        <x:v>규칙형</x:v>
      </x:c>
      <x:c r="F35" s="2" t="str">
        <x:v>0만</x:v>
      </x:c>
      <x:c r="G35" s="2" t="str">
        <x:v>승</x:v>
      </x:c>
      <x:c r="H35" s="14" t="n">
        <x:v>10</x:v>
      </x:c>
      <x:c r="I35" s="14" t="n">
        <x:v>0</x:v>
      </x:c>
      <x:c r="J35" s="14" t="n">
        <x:v>16</x:v>
      </x:c>
      <x:c r="K35" s="14" t="n">
        <x:v>10</x:v>
      </x:c>
      <x:c r="L35" s="15" t="n">
        <x:f>IF(J35=0,"해당 없음",K35/J35)</x:f>
        <x:v>0.625</x:v>
      </x:c>
      <x:c r="M35" s="14" t="n">
        <x:v>7</x:v>
      </x:c>
      <x:c r="N35" s="14" t="n">
        <x:v>4</x:v>
      </x:c>
      <x:c r="O35" s="15" t="n">
        <x:f>IF(M35=0,"해당 없음",N35/M35)</x:f>
        <x:v>0.5714285714285714</x:v>
      </x:c>
      <x:c r="P35" s="14" t="n">
        <x:v>105</x:v>
      </x:c>
    </x:row>
    <x:row r="36" ht="22" customHeight="1">
      <x:c r="A36" s="14" t="n">
        <x:v>16</x:v>
      </x:c>
      <x:c r="B36" s="14" t="n">
        <x:v>1</x:v>
      </x:c>
      <x:c r="C36" s="14" t="n">
        <x:v>76007</x:v>
      </x:c>
      <x:c r="D36" s="2" t="str">
        <x:v>RED</x:v>
      </x:c>
      <x:c r="E36" s="2" t="str">
        <x:v>규칙형</x:v>
      </x:c>
      <x:c r="F36" s="2" t="str">
        <x:v>0만</x:v>
      </x:c>
      <x:c r="G36" s="2" t="str">
        <x:v>승</x:v>
      </x:c>
      <x:c r="H36" s="14" t="n">
        <x:v>5</x:v>
      </x:c>
      <x:c r="I36" s="14" t="n">
        <x:v>0</x:v>
      </x:c>
      <x:c r="J36" s="14" t="n">
        <x:v>15</x:v>
      </x:c>
      <x:c r="K36" s="14" t="n">
        <x:v>5</x:v>
      </x:c>
      <x:c r="L36" s="15" t="n">
        <x:f>IF(J36=0,"해당 없음",K36/J36)</x:f>
        <x:v>0.3333333333333333</x:v>
      </x:c>
      <x:c r="M36" s="14" t="n">
        <x:v>9</x:v>
      </x:c>
      <x:c r="N36" s="14" t="n">
        <x:v>9</x:v>
      </x:c>
      <x:c r="O36" s="15" t="n">
        <x:f>IF(M36=0,"해당 없음",N36/M36)</x:f>
        <x:v>1</x:v>
      </x:c>
      <x:c r="P36" s="14" t="n">
        <x:v>101</x:v>
      </x:c>
    </x:row>
    <x:row r="37" ht="22" customHeight="1">
      <x:c r="A37" s="14" t="n">
        <x:v>16</x:v>
      </x:c>
      <x:c r="B37" s="14" t="n">
        <x:v>1</x:v>
      </x:c>
      <x:c r="C37" s="14" t="n">
        <x:v>76007</x:v>
      </x:c>
      <x:c r="D37" s="2" t="str">
        <x:v>NAVY</x:v>
      </x:c>
      <x:c r="E37" s="2" t="str">
        <x:v>0만</x:v>
      </x:c>
      <x:c r="F37" s="2" t="str">
        <x:v>규칙형</x:v>
      </x:c>
      <x:c r="G37" s="2" t="str">
        <x:v>패</x:v>
      </x:c>
      <x:c r="H37" s="14" t="n">
        <x:v>0</x:v>
      </x:c>
      <x:c r="I37" s="14" t="n">
        <x:v>5</x:v>
      </x:c>
      <x:c r="J37" s="14" t="n">
        <x:v>1</x:v>
      </x:c>
      <x:c r="K37" s="14" t="n">
        <x:v>0</x:v>
      </x:c>
      <x:c r="L37" s="15" t="n">
        <x:f>IF(J37=0,"해당 없음",K37/J37)</x:f>
        <x:v>0</x:v>
      </x:c>
      <x:c r="M37" s="14" t="n">
        <x:v>10</x:v>
      </x:c>
      <x:c r="N37" s="14" t="n">
        <x:v>8</x:v>
      </x:c>
      <x:c r="O37" s="15" t="n">
        <x:f>IF(M37=0,"해당 없음",N37/M37)</x:f>
        <x:v>0.8</x:v>
      </x:c>
      <x:c r="P37" s="14" t="n">
        <x:v>103</x:v>
      </x:c>
    </x:row>
    <x:row r="38" ht="22" customHeight="1">
      <x:c r="A38" s="14" t="n">
        <x:v>17</x:v>
      </x:c>
      <x:c r="B38" s="14" t="n">
        <x:v>1</x:v>
      </x:c>
      <x:c r="C38" s="14" t="n">
        <x:v>76008</x:v>
      </x:c>
      <x:c r="D38" s="2" t="str">
        <x:v>RED</x:v>
      </x:c>
      <x:c r="E38" s="2" t="str">
        <x:v>0만</x:v>
      </x:c>
      <x:c r="F38" s="2" t="str">
        <x:v>규칙형</x:v>
      </x:c>
      <x:c r="G38" s="2" t="str">
        <x:v>패</x:v>
      </x:c>
      <x:c r="H38" s="14" t="n">
        <x:v>1</x:v>
      </x:c>
      <x:c r="I38" s="14" t="n">
        <x:v>3</x:v>
      </x:c>
      <x:c r="J38" s="14" t="n">
        <x:v>2</x:v>
      </x:c>
      <x:c r="K38" s="14" t="n">
        <x:v>0</x:v>
      </x:c>
      <x:c r="L38" s="15" t="n">
        <x:f>IF(J38=0,"해당 없음",K38/J38)</x:f>
        <x:v>0</x:v>
      </x:c>
      <x:c r="M38" s="14" t="n">
        <x:v>5</x:v>
      </x:c>
      <x:c r="N38" s="14" t="n">
        <x:v>4</x:v>
      </x:c>
      <x:c r="O38" s="15" t="n">
        <x:f>IF(M38=0,"해당 없음",N38/M38)</x:f>
        <x:v>0.8</x:v>
      </x:c>
      <x:c r="P38" s="14" t="n">
        <x:v>102</x:v>
      </x:c>
    </x:row>
    <x:row r="39" ht="22" customHeight="1">
      <x:c r="A39" s="14" t="n">
        <x:v>17</x:v>
      </x:c>
      <x:c r="B39" s="14" t="n">
        <x:v>1</x:v>
      </x:c>
      <x:c r="C39" s="14" t="n">
        <x:v>76008</x:v>
      </x:c>
      <x:c r="D39" s="2" t="str">
        <x:v>NAVY</x:v>
      </x:c>
      <x:c r="E39" s="2" t="str">
        <x:v>규칙형</x:v>
      </x:c>
      <x:c r="F39" s="2" t="str">
        <x:v>0만</x:v>
      </x:c>
      <x:c r="G39" s="2" t="str">
        <x:v>승</x:v>
      </x:c>
      <x:c r="H39" s="14" t="n">
        <x:v>3</x:v>
      </x:c>
      <x:c r="I39" s="14" t="n">
        <x:v>1</x:v>
      </x:c>
      <x:c r="J39" s="14" t="n">
        <x:v>15</x:v>
      </x:c>
      <x:c r="K39" s="14" t="n">
        <x:v>3</x:v>
      </x:c>
      <x:c r="L39" s="15" t="n">
        <x:f>IF(J39=0,"해당 없음",K39/J39)</x:f>
        <x:v>0.2</x:v>
      </x:c>
      <x:c r="M39" s="14" t="n">
        <x:v>5</x:v>
      </x:c>
      <x:c r="N39" s="14" t="n">
        <x:v>3</x:v>
      </x:c>
      <x:c r="O39" s="15" t="n">
        <x:f>IF(M39=0,"해당 없음",N39/M39)</x:f>
        <x:v>0.6</x:v>
      </x:c>
      <x:c r="P39" s="14" t="n">
        <x:v>106</x:v>
      </x:c>
    </x:row>
    <x:row r="40" ht="22" customHeight="1">
      <x:c r="A40" s="14" t="n">
        <x:v>18</x:v>
      </x:c>
      <x:c r="B40" s="14" t="n">
        <x:v>1</x:v>
      </x:c>
      <x:c r="C40" s="14" t="n">
        <x:v>76008</x:v>
      </x:c>
      <x:c r="D40" s="2" t="str">
        <x:v>RED</x:v>
      </x:c>
      <x:c r="E40" s="2" t="str">
        <x:v>규칙형</x:v>
      </x:c>
      <x:c r="F40" s="2" t="str">
        <x:v>0만</x:v>
      </x:c>
      <x:c r="G40" s="2" t="str">
        <x:v>승</x:v>
      </x:c>
      <x:c r="H40" s="14" t="n">
        <x:v>5</x:v>
      </x:c>
      <x:c r="I40" s="14" t="n">
        <x:v>3</x:v>
      </x:c>
      <x:c r="J40" s="14" t="n">
        <x:v>14</x:v>
      </x:c>
      <x:c r="K40" s="14" t="n">
        <x:v>5</x:v>
      </x:c>
      <x:c r="L40" s="15" t="n">
        <x:f>IF(J40=0,"해당 없음",K40/J40)</x:f>
        <x:v>0.35714285714285715</x:v>
      </x:c>
      <x:c r="M40" s="14" t="n">
        <x:v>14</x:v>
      </x:c>
      <x:c r="N40" s="14" t="n">
        <x:v>8</x:v>
      </x:c>
      <x:c r="O40" s="15" t="n">
        <x:f>IF(M40=0,"해당 없음",N40/M40)</x:f>
        <x:v>0.5714285714285714</x:v>
      </x:c>
      <x:c r="P40" s="14" t="n">
        <x:v>105</x:v>
      </x:c>
    </x:row>
    <x:row r="41" ht="22" customHeight="1">
      <x:c r="A41" s="14" t="n">
        <x:v>18</x:v>
      </x:c>
      <x:c r="B41" s="14" t="n">
        <x:v>1</x:v>
      </x:c>
      <x:c r="C41" s="14" t="n">
        <x:v>76008</x:v>
      </x:c>
      <x:c r="D41" s="2" t="str">
        <x:v>NAVY</x:v>
      </x:c>
      <x:c r="E41" s="2" t="str">
        <x:v>0만</x:v>
      </x:c>
      <x:c r="F41" s="2" t="str">
        <x:v>규칙형</x:v>
      </x:c>
      <x:c r="G41" s="2" t="str">
        <x:v>패</x:v>
      </x:c>
      <x:c r="H41" s="14" t="n">
        <x:v>3</x:v>
      </x:c>
      <x:c r="I41" s="14" t="n">
        <x:v>5</x:v>
      </x:c>
      <x:c r="J41" s="14" t="n">
        <x:v>7</x:v>
      </x:c>
      <x:c r="K41" s="14" t="n">
        <x:v>3</x:v>
      </x:c>
      <x:c r="L41" s="15" t="n">
        <x:f>IF(J41=0,"해당 없음",K41/J41)</x:f>
        <x:v>0.42857142857142855</x:v>
      </x:c>
      <x:c r="M41" s="14" t="n">
        <x:v>7</x:v>
      </x:c>
      <x:c r="N41" s="14" t="n">
        <x:v>6</x:v>
      </x:c>
      <x:c r="O41" s="15" t="n">
        <x:f>IF(M41=0,"해당 없음",N41/M41)</x:f>
        <x:v>0.8571428571428571</x:v>
      </x:c>
      <x:c r="P41" s="14" t="n">
        <x:v>104</x:v>
      </x:c>
    </x:row>
    <x:row r="42" ht="22" customHeight="1">
      <x:c r="A42" s="14" t="n">
        <x:v>19</x:v>
      </x:c>
      <x:c r="B42" s="14" t="n">
        <x:v>1</x:v>
      </x:c>
      <x:c r="C42" s="14" t="n">
        <x:v>76009</x:v>
      </x:c>
      <x:c r="D42" s="2" t="str">
        <x:v>RED</x:v>
      </x:c>
      <x:c r="E42" s="2" t="str">
        <x:v>0만</x:v>
      </x:c>
      <x:c r="F42" s="2" t="str">
        <x:v>규칙형</x:v>
      </x:c>
      <x:c r="G42" s="2" t="str">
        <x:v>패</x:v>
      </x:c>
      <x:c r="H42" s="14" t="n">
        <x:v>1</x:v>
      </x:c>
      <x:c r="I42" s="14" t="n">
        <x:v>8</x:v>
      </x:c>
      <x:c r="J42" s="14" t="n">
        <x:v>4</x:v>
      </x:c>
      <x:c r="K42" s="14" t="n">
        <x:v>1</x:v>
      </x:c>
      <x:c r="L42" s="15" t="n">
        <x:f>IF(J42=0,"해당 없음",K42/J42)</x:f>
        <x:v>0.25</x:v>
      </x:c>
      <x:c r="M42" s="14" t="n">
        <x:v>1</x:v>
      </x:c>
      <x:c r="N42" s="14" t="n">
        <x:v>1</x:v>
      </x:c>
      <x:c r="O42" s="15" t="n">
        <x:f>IF(M42=0,"해당 없음",N42/M42)</x:f>
        <x:v>1</x:v>
      </x:c>
      <x:c r="P42" s="14" t="n">
        <x:v>106</x:v>
      </x:c>
    </x:row>
    <x:row r="43" ht="22" customHeight="1">
      <x:c r="A43" s="14" t="n">
        <x:v>19</x:v>
      </x:c>
      <x:c r="B43" s="14" t="n">
        <x:v>1</x:v>
      </x:c>
      <x:c r="C43" s="14" t="n">
        <x:v>76009</x:v>
      </x:c>
      <x:c r="D43" s="2" t="str">
        <x:v>NAVY</x:v>
      </x:c>
      <x:c r="E43" s="2" t="str">
        <x:v>규칙형</x:v>
      </x:c>
      <x:c r="F43" s="2" t="str">
        <x:v>0만</x:v>
      </x:c>
      <x:c r="G43" s="2" t="str">
        <x:v>승</x:v>
      </x:c>
      <x:c r="H43" s="14" t="n">
        <x:v>8</x:v>
      </x:c>
      <x:c r="I43" s="14" t="n">
        <x:v>1</x:v>
      </x:c>
      <x:c r="J43" s="14" t="n">
        <x:v>14</x:v>
      </x:c>
      <x:c r="K43" s="14" t="n">
        <x:v>8</x:v>
      </x:c>
      <x:c r="L43" s="15" t="n">
        <x:f>IF(J43=0,"해당 없음",K43/J43)</x:f>
        <x:v>0.5714285714285714</x:v>
      </x:c>
      <x:c r="M43" s="14" t="n">
        <x:v>9</x:v>
      </x:c>
      <x:c r="N43" s="14" t="n">
        <x:v>8</x:v>
      </x:c>
      <x:c r="O43" s="15" t="n">
        <x:f>IF(M43=0,"해당 없음",N43/M43)</x:f>
        <x:v>0.8888888888888888</x:v>
      </x:c>
      <x:c r="P43" s="14" t="n">
        <x:v>105</x:v>
      </x:c>
    </x:row>
    <x:row r="44" ht="22" customHeight="1">
      <x:c r="A44" s="14" t="n">
        <x:v>20</x:v>
      </x:c>
      <x:c r="B44" s="14" t="n">
        <x:v>1</x:v>
      </x:c>
      <x:c r="C44" s="14" t="n">
        <x:v>76009</x:v>
      </x:c>
      <x:c r="D44" s="2" t="str">
        <x:v>RED</x:v>
      </x:c>
      <x:c r="E44" s="2" t="str">
        <x:v>규칙형</x:v>
      </x:c>
      <x:c r="F44" s="2" t="str">
        <x:v>0만</x:v>
      </x:c>
      <x:c r="G44" s="2" t="str">
        <x:v>승</x:v>
      </x:c>
      <x:c r="H44" s="14" t="n">
        <x:v>6</x:v>
      </x:c>
      <x:c r="I44" s="14" t="n">
        <x:v>2</x:v>
      </x:c>
      <x:c r="J44" s="14" t="n">
        <x:v>14</x:v>
      </x:c>
      <x:c r="K44" s="14" t="n">
        <x:v>6</x:v>
      </x:c>
      <x:c r="L44" s="15" t="n">
        <x:f>IF(J44=0,"해당 없음",K44/J44)</x:f>
        <x:v>0.42857142857142855</x:v>
      </x:c>
      <x:c r="M44" s="14" t="n">
        <x:v>4</x:v>
      </x:c>
      <x:c r="N44" s="14" t="n">
        <x:v>3</x:v>
      </x:c>
      <x:c r="O44" s="15" t="n">
        <x:f>IF(M44=0,"해당 없음",N44/M44)</x:f>
        <x:v>0.75</x:v>
      </x:c>
      <x:c r="P44" s="14" t="n">
        <x:v>103</x:v>
      </x:c>
    </x:row>
    <x:row r="45" ht="22" customHeight="1">
      <x:c r="A45" s="14" t="n">
        <x:v>20</x:v>
      </x:c>
      <x:c r="B45" s="14" t="n">
        <x:v>1</x:v>
      </x:c>
      <x:c r="C45" s="14" t="n">
        <x:v>76009</x:v>
      </x:c>
      <x:c r="D45" s="2" t="str">
        <x:v>NAVY</x:v>
      </x:c>
      <x:c r="E45" s="2" t="str">
        <x:v>0만</x:v>
      </x:c>
      <x:c r="F45" s="2" t="str">
        <x:v>규칙형</x:v>
      </x:c>
      <x:c r="G45" s="2" t="str">
        <x:v>패</x:v>
      </x:c>
      <x:c r="H45" s="14" t="n">
        <x:v>2</x:v>
      </x:c>
      <x:c r="I45" s="14" t="n">
        <x:v>6</x:v>
      </x:c>
      <x:c r="J45" s="14" t="n">
        <x:v>4</x:v>
      </x:c>
      <x:c r="K45" s="14" t="n">
        <x:v>2</x:v>
      </x:c>
      <x:c r="L45" s="15" t="n">
        <x:f>IF(J45=0,"해당 없음",K45/J45)</x:f>
        <x:v>0.5</x:v>
      </x:c>
      <x:c r="M45" s="14" t="n">
        <x:v>10</x:v>
      </x:c>
      <x:c r="N45" s="14" t="n">
        <x:v>8</x:v>
      </x:c>
      <x:c r="O45" s="15" t="n">
        <x:f>IF(M45=0,"해당 없음",N45/M45)</x:f>
        <x:v>0.8</x:v>
      </x:c>
      <x:c r="P45" s="14" t="n">
        <x:v>102</x:v>
      </x:c>
    </x:row>
    <x:row r="46" ht="22" customHeight="1">
      <x:c r="A46" s="14" t="n">
        <x:v>21</x:v>
      </x:c>
      <x:c r="B46" s="14" t="n">
        <x:v>1</x:v>
      </x:c>
      <x:c r="C46" s="14" t="n">
        <x:v>76010</x:v>
      </x:c>
      <x:c r="D46" s="2" t="str">
        <x:v>RED</x:v>
      </x:c>
      <x:c r="E46" s="2" t="str">
        <x:v>0만</x:v>
      </x:c>
      <x:c r="F46" s="2" t="str">
        <x:v>규칙형</x:v>
      </x:c>
      <x:c r="G46" s="2" t="str">
        <x:v>패</x:v>
      </x:c>
      <x:c r="H46" s="14" t="n">
        <x:v>0</x:v>
      </x:c>
      <x:c r="I46" s="14" t="n">
        <x:v>7</x:v>
      </x:c>
      <x:c r="J46" s="14" t="n">
        <x:v>0</x:v>
      </x:c>
      <x:c r="K46" s="14" t="n">
        <x:v>0</x:v>
      </x:c>
      <x:c r="L46" s="15" t="str">
        <x:f>IF(J46=0,"해당 없음",K46/J46)</x:f>
        <x:v>해당 없음</x:v>
      </x:c>
      <x:c r="M46" s="14" t="n">
        <x:v>6</x:v>
      </x:c>
      <x:c r="N46" s="14" t="n">
        <x:v>4</x:v>
      </x:c>
      <x:c r="O46" s="15" t="n">
        <x:f>IF(M46=0,"해당 없음",N46/M46)</x:f>
        <x:v>0.6666666666666666</x:v>
      </x:c>
      <x:c r="P46" s="14" t="n">
        <x:v>104</x:v>
      </x:c>
    </x:row>
    <x:row r="47" ht="22" customHeight="1">
      <x:c r="A47" s="14" t="n">
        <x:v>21</x:v>
      </x:c>
      <x:c r="B47" s="14" t="n">
        <x:v>1</x:v>
      </x:c>
      <x:c r="C47" s="14" t="n">
        <x:v>76010</x:v>
      </x:c>
      <x:c r="D47" s="2" t="str">
        <x:v>NAVY</x:v>
      </x:c>
      <x:c r="E47" s="2" t="str">
        <x:v>규칙형</x:v>
      </x:c>
      <x:c r="F47" s="2" t="str">
        <x:v>0만</x:v>
      </x:c>
      <x:c r="G47" s="2" t="str">
        <x:v>승</x:v>
      </x:c>
      <x:c r="H47" s="14" t="n">
        <x:v>7</x:v>
      </x:c>
      <x:c r="I47" s="14" t="n">
        <x:v>0</x:v>
      </x:c>
      <x:c r="J47" s="14" t="n">
        <x:v>15</x:v>
      </x:c>
      <x:c r="K47" s="14" t="n">
        <x:v>7</x:v>
      </x:c>
      <x:c r="L47" s="15" t="n">
        <x:f>IF(J47=0,"해당 없음",K47/J47)</x:f>
        <x:v>0.4666666666666667</x:v>
      </x:c>
      <x:c r="M47" s="14" t="n">
        <x:v>6</x:v>
      </x:c>
      <x:c r="N47" s="14" t="n">
        <x:v>6</x:v>
      </x:c>
      <x:c r="O47" s="15" t="n">
        <x:f>IF(M47=0,"해당 없음",N47/M47)</x:f>
        <x:v>1</x:v>
      </x:c>
      <x:c r="P47" s="14" t="n">
        <x:v>104</x:v>
      </x:c>
    </x:row>
    <x:row r="48" ht="22" customHeight="1">
      <x:c r="A48" s="14" t="n">
        <x:v>22</x:v>
      </x:c>
      <x:c r="B48" s="14" t="n">
        <x:v>1</x:v>
      </x:c>
      <x:c r="C48" s="14" t="n">
        <x:v>76010</x:v>
      </x:c>
      <x:c r="D48" s="2" t="str">
        <x:v>RED</x:v>
      </x:c>
      <x:c r="E48" s="2" t="str">
        <x:v>규칙형</x:v>
      </x:c>
      <x:c r="F48" s="2" t="str">
        <x:v>0만</x:v>
      </x:c>
      <x:c r="G48" s="2" t="str">
        <x:v>승</x:v>
      </x:c>
      <x:c r="H48" s="14" t="n">
        <x:v>5</x:v>
      </x:c>
      <x:c r="I48" s="14" t="n">
        <x:v>2</x:v>
      </x:c>
      <x:c r="J48" s="14" t="n">
        <x:v>8</x:v>
      </x:c>
      <x:c r="K48" s="14" t="n">
        <x:v>5</x:v>
      </x:c>
      <x:c r="L48" s="15" t="n">
        <x:f>IF(J48=0,"해당 없음",K48/J48)</x:f>
        <x:v>0.625</x:v>
      </x:c>
      <x:c r="M48" s="14" t="n">
        <x:v>4</x:v>
      </x:c>
      <x:c r="N48" s="14" t="n">
        <x:v>2</x:v>
      </x:c>
      <x:c r="O48" s="15" t="n">
        <x:f>IF(M48=0,"해당 없음",N48/M48)</x:f>
        <x:v>0.5</x:v>
      </x:c>
      <x:c r="P48" s="14" t="n">
        <x:v>104</x:v>
      </x:c>
    </x:row>
    <x:row r="49" ht="22" customHeight="1">
      <x:c r="A49" s="14" t="n">
        <x:v>22</x:v>
      </x:c>
      <x:c r="B49" s="14" t="n">
        <x:v>1</x:v>
      </x:c>
      <x:c r="C49" s="14" t="n">
        <x:v>76010</x:v>
      </x:c>
      <x:c r="D49" s="2" t="str">
        <x:v>NAVY</x:v>
      </x:c>
      <x:c r="E49" s="2" t="str">
        <x:v>0만</x:v>
      </x:c>
      <x:c r="F49" s="2" t="str">
        <x:v>규칙형</x:v>
      </x:c>
      <x:c r="G49" s="2" t="str">
        <x:v>패</x:v>
      </x:c>
      <x:c r="H49" s="14" t="n">
        <x:v>2</x:v>
      </x:c>
      <x:c r="I49" s="14" t="n">
        <x:v>5</x:v>
      </x:c>
      <x:c r="J49" s="14" t="n">
        <x:v>5</x:v>
      </x:c>
      <x:c r="K49" s="14" t="n">
        <x:v>2</x:v>
      </x:c>
      <x:c r="L49" s="15" t="n">
        <x:f>IF(J49=0,"해당 없음",K49/J49)</x:f>
        <x:v>0.4</x:v>
      </x:c>
      <x:c r="M49" s="14" t="n">
        <x:v>2</x:v>
      </x:c>
      <x:c r="N49" s="14" t="n">
        <x:v>2</x:v>
      </x:c>
      <x:c r="O49" s="15" t="n">
        <x:f>IF(M49=0,"해당 없음",N49/M49)</x:f>
        <x:v>1</x:v>
      </x:c>
      <x:c r="P49" s="14" t="n">
        <x:v>103</x:v>
      </x:c>
    </x:row>
    <x:row r="50" ht="22" customHeight="1">
      <x:c r="A50" s="14" t="n">
        <x:v>23</x:v>
      </x:c>
      <x:c r="B50" s="14" t="n">
        <x:v>1</x:v>
      </x:c>
      <x:c r="C50" s="14" t="n">
        <x:v>76011</x:v>
      </x:c>
      <x:c r="D50" s="2" t="str">
        <x:v>RED</x:v>
      </x:c>
      <x:c r="E50" s="2" t="str">
        <x:v>0만</x:v>
      </x:c>
      <x:c r="F50" s="2" t="str">
        <x:v>규칙형</x:v>
      </x:c>
      <x:c r="G50" s="2" t="str">
        <x:v>패</x:v>
      </x:c>
      <x:c r="H50" s="14" t="n">
        <x:v>1</x:v>
      </x:c>
      <x:c r="I50" s="14" t="n">
        <x:v>10</x:v>
      </x:c>
      <x:c r="J50" s="14" t="n">
        <x:v>3</x:v>
      </x:c>
      <x:c r="K50" s="14" t="n">
        <x:v>1</x:v>
      </x:c>
      <x:c r="L50" s="15" t="n">
        <x:f>IF(J50=0,"해당 없음",K50/J50)</x:f>
        <x:v>0.3333333333333333</x:v>
      </x:c>
      <x:c r="M50" s="14" t="n">
        <x:v>5</x:v>
      </x:c>
      <x:c r="N50" s="14" t="n">
        <x:v>2</x:v>
      </x:c>
      <x:c r="O50" s="15" t="n">
        <x:f>IF(M50=0,"해당 없음",N50/M50)</x:f>
        <x:v>0.4</x:v>
      </x:c>
      <x:c r="P50" s="14" t="n">
        <x:v>106</x:v>
      </x:c>
    </x:row>
    <x:row r="51" ht="22" customHeight="1">
      <x:c r="A51" s="14" t="n">
        <x:v>23</x:v>
      </x:c>
      <x:c r="B51" s="14" t="n">
        <x:v>1</x:v>
      </x:c>
      <x:c r="C51" s="14" t="n">
        <x:v>76011</x:v>
      </x:c>
      <x:c r="D51" s="2" t="str">
        <x:v>NAVY</x:v>
      </x:c>
      <x:c r="E51" s="2" t="str">
        <x:v>규칙형</x:v>
      </x:c>
      <x:c r="F51" s="2" t="str">
        <x:v>0만</x:v>
      </x:c>
      <x:c r="G51" s="2" t="str">
        <x:v>승</x:v>
      </x:c>
      <x:c r="H51" s="14" t="n">
        <x:v>10</x:v>
      </x:c>
      <x:c r="I51" s="14" t="n">
        <x:v>1</x:v>
      </x:c>
      <x:c r="J51" s="14" t="n">
        <x:v>18</x:v>
      </x:c>
      <x:c r="K51" s="14" t="n">
        <x:v>10</x:v>
      </x:c>
      <x:c r="L51" s="15" t="n">
        <x:f>IF(J51=0,"해당 없음",K51/J51)</x:f>
        <x:v>0.5555555555555556</x:v>
      </x:c>
      <x:c r="M51" s="14" t="n">
        <x:v>8</x:v>
      </x:c>
      <x:c r="N51" s="14" t="n">
        <x:v>8</x:v>
      </x:c>
      <x:c r="O51" s="15" t="n">
        <x:f>IF(M51=0,"해당 없음",N51/M51)</x:f>
        <x:v>1</x:v>
      </x:c>
      <x:c r="P51" s="14" t="n">
        <x:v>107</x:v>
      </x:c>
    </x:row>
    <x:row r="52" ht="22" customHeight="1">
      <x:c r="A52" s="14" t="n">
        <x:v>24</x:v>
      </x:c>
      <x:c r="B52" s="14" t="n">
        <x:v>1</x:v>
      </x:c>
      <x:c r="C52" s="14" t="n">
        <x:v>76011</x:v>
      </x:c>
      <x:c r="D52" s="2" t="str">
        <x:v>RED</x:v>
      </x:c>
      <x:c r="E52" s="2" t="str">
        <x:v>규칙형</x:v>
      </x:c>
      <x:c r="F52" s="2" t="str">
        <x:v>0만</x:v>
      </x:c>
      <x:c r="G52" s="2" t="str">
        <x:v>승</x:v>
      </x:c>
      <x:c r="H52" s="14" t="n">
        <x:v>6</x:v>
      </x:c>
      <x:c r="I52" s="14" t="n">
        <x:v>0</x:v>
      </x:c>
      <x:c r="J52" s="14" t="n">
        <x:v>9</x:v>
      </x:c>
      <x:c r="K52" s="14" t="n">
        <x:v>6</x:v>
      </x:c>
      <x:c r="L52" s="15" t="n">
        <x:f>IF(J52=0,"해당 없음",K52/J52)</x:f>
        <x:v>0.6666666666666666</x:v>
      </x:c>
      <x:c r="M52" s="14" t="n">
        <x:v>9</x:v>
      </x:c>
      <x:c r="N52" s="14" t="n">
        <x:v>9</x:v>
      </x:c>
      <x:c r="O52" s="15" t="n">
        <x:f>IF(M52=0,"해당 없음",N52/M52)</x:f>
        <x:v>1</x:v>
      </x:c>
      <x:c r="P52" s="14" t="n">
        <x:v>102</x:v>
      </x:c>
    </x:row>
    <x:row r="53" ht="22" customHeight="1">
      <x:c r="A53" s="14" t="n">
        <x:v>24</x:v>
      </x:c>
      <x:c r="B53" s="14" t="n">
        <x:v>1</x:v>
      </x:c>
      <x:c r="C53" s="14" t="n">
        <x:v>76011</x:v>
      </x:c>
      <x:c r="D53" s="2" t="str">
        <x:v>NAVY</x:v>
      </x:c>
      <x:c r="E53" s="2" t="str">
        <x:v>0만</x:v>
      </x:c>
      <x:c r="F53" s="2" t="str">
        <x:v>규칙형</x:v>
      </x:c>
      <x:c r="G53" s="2" t="str">
        <x:v>패</x:v>
      </x:c>
      <x:c r="H53" s="14" t="n">
        <x:v>0</x:v>
      </x:c>
      <x:c r="I53" s="14" t="n">
        <x:v>6</x:v>
      </x:c>
      <x:c r="J53" s="14" t="n">
        <x:v>2</x:v>
      </x:c>
      <x:c r="K53" s="14" t="n">
        <x:v>0</x:v>
      </x:c>
      <x:c r="L53" s="15" t="n">
        <x:f>IF(J53=0,"해당 없음",K53/J53)</x:f>
        <x:v>0</x:v>
      </x:c>
      <x:c r="M53" s="14" t="n">
        <x:v>4</x:v>
      </x:c>
      <x:c r="N53" s="14" t="n">
        <x:v>4</x:v>
      </x:c>
      <x:c r="O53" s="15" t="n">
        <x:f>IF(M53=0,"해당 없음",N53/M53)</x:f>
        <x:v>1</x:v>
      </x:c>
      <x:c r="P53" s="14" t="n">
        <x:v>103</x:v>
      </x:c>
    </x:row>
    <x:row r="54" ht="22" customHeight="1">
      <x:c r="A54" s="14" t="n">
        <x:v>25</x:v>
      </x:c>
      <x:c r="B54" s="14" t="n">
        <x:v>1</x:v>
      </x:c>
      <x:c r="C54" s="14" t="n">
        <x:v>76012</x:v>
      </x:c>
      <x:c r="D54" s="2" t="str">
        <x:v>RED</x:v>
      </x:c>
      <x:c r="E54" s="2" t="str">
        <x:v>0만</x:v>
      </x:c>
      <x:c r="F54" s="2" t="str">
        <x:v>규칙형</x:v>
      </x:c>
      <x:c r="G54" s="2" t="str">
        <x:v>승</x:v>
      </x:c>
      <x:c r="H54" s="14" t="n">
        <x:v>3</x:v>
      </x:c>
      <x:c r="I54" s="14" t="n">
        <x:v>1</x:v>
      </x:c>
      <x:c r="J54" s="14" t="n">
        <x:v>9</x:v>
      </x:c>
      <x:c r="K54" s="14" t="n">
        <x:v>3</x:v>
      </x:c>
      <x:c r="L54" s="15" t="n">
        <x:f>IF(J54=0,"해당 없음",K54/J54)</x:f>
        <x:v>0.3333333333333333</x:v>
      </x:c>
      <x:c r="M54" s="14" t="n">
        <x:v>5</x:v>
      </x:c>
      <x:c r="N54" s="14" t="n">
        <x:v>3</x:v>
      </x:c>
      <x:c r="O54" s="15" t="n">
        <x:f>IF(M54=0,"해당 없음",N54/M54)</x:f>
        <x:v>0.6</x:v>
      </x:c>
      <x:c r="P54" s="14" t="n">
        <x:v>101</x:v>
      </x:c>
    </x:row>
    <x:row r="55" ht="22" customHeight="1">
      <x:c r="A55" s="14" t="n">
        <x:v>25</x:v>
      </x:c>
      <x:c r="B55" s="14" t="n">
        <x:v>1</x:v>
      </x:c>
      <x:c r="C55" s="14" t="n">
        <x:v>76012</x:v>
      </x:c>
      <x:c r="D55" s="2" t="str">
        <x:v>NAVY</x:v>
      </x:c>
      <x:c r="E55" s="2" t="str">
        <x:v>규칙형</x:v>
      </x:c>
      <x:c r="F55" s="2" t="str">
        <x:v>0만</x:v>
      </x:c>
      <x:c r="G55" s="2" t="str">
        <x:v>패</x:v>
      </x:c>
      <x:c r="H55" s="14" t="n">
        <x:v>1</x:v>
      </x:c>
      <x:c r="I55" s="14" t="n">
        <x:v>3</x:v>
      </x:c>
      <x:c r="J55" s="14" t="n">
        <x:v>4</x:v>
      </x:c>
      <x:c r="K55" s="14" t="n">
        <x:v>1</x:v>
      </x:c>
      <x:c r="L55" s="15" t="n">
        <x:f>IF(J55=0,"해당 없음",K55/J55)</x:f>
        <x:v>0.25</x:v>
      </x:c>
      <x:c r="M55" s="14" t="n">
        <x:v>8</x:v>
      </x:c>
      <x:c r="N55" s="14" t="n">
        <x:v>7</x:v>
      </x:c>
      <x:c r="O55" s="15" t="n">
        <x:f>IF(M55=0,"해당 없음",N55/M55)</x:f>
        <x:v>0.875</x:v>
      </x:c>
      <x:c r="P55" s="14" t="n">
        <x:v>102</x:v>
      </x:c>
    </x:row>
    <x:row r="56" ht="22" customHeight="1">
      <x:c r="A56" s="14" t="n">
        <x:v>26</x:v>
      </x:c>
      <x:c r="B56" s="14" t="n">
        <x:v>1</x:v>
      </x:c>
      <x:c r="C56" s="14" t="n">
        <x:v>76012</x:v>
      </x:c>
      <x:c r="D56" s="2" t="str">
        <x:v>RED</x:v>
      </x:c>
      <x:c r="E56" s="2" t="str">
        <x:v>규칙형</x:v>
      </x:c>
      <x:c r="F56" s="2" t="str">
        <x:v>0만</x:v>
      </x:c>
      <x:c r="G56" s="2" t="str">
        <x:v>승</x:v>
      </x:c>
      <x:c r="H56" s="14" t="n">
        <x:v>4</x:v>
      </x:c>
      <x:c r="I56" s="14" t="n">
        <x:v>2</x:v>
      </x:c>
      <x:c r="J56" s="14" t="n">
        <x:v>13</x:v>
      </x:c>
      <x:c r="K56" s="14" t="n">
        <x:v>4</x:v>
      </x:c>
      <x:c r="L56" s="15" t="n">
        <x:f>IF(J56=0,"해당 없음",K56/J56)</x:f>
        <x:v>0.3076923076923077</x:v>
      </x:c>
      <x:c r="M56" s="14" t="n">
        <x:v>5</x:v>
      </x:c>
      <x:c r="N56" s="14" t="n">
        <x:v>5</x:v>
      </x:c>
      <x:c r="O56" s="15" t="n">
        <x:f>IF(M56=0,"해당 없음",N56/M56)</x:f>
        <x:v>1</x:v>
      </x:c>
      <x:c r="P56" s="14" t="n">
        <x:v>100</x:v>
      </x:c>
    </x:row>
    <x:row r="57" ht="22" customHeight="1">
      <x:c r="A57" s="14" t="n">
        <x:v>26</x:v>
      </x:c>
      <x:c r="B57" s="14" t="n">
        <x:v>1</x:v>
      </x:c>
      <x:c r="C57" s="14" t="n">
        <x:v>76012</x:v>
      </x:c>
      <x:c r="D57" s="2" t="str">
        <x:v>NAVY</x:v>
      </x:c>
      <x:c r="E57" s="2" t="str">
        <x:v>0만</x:v>
      </x:c>
      <x:c r="F57" s="2" t="str">
        <x:v>규칙형</x:v>
      </x:c>
      <x:c r="G57" s="2" t="str">
        <x:v>패</x:v>
      </x:c>
      <x:c r="H57" s="14" t="n">
        <x:v>2</x:v>
      </x:c>
      <x:c r="I57" s="14" t="n">
        <x:v>4</x:v>
      </x:c>
      <x:c r="J57" s="14" t="n">
        <x:v>4</x:v>
      </x:c>
      <x:c r="K57" s="14" t="n">
        <x:v>2</x:v>
      </x:c>
      <x:c r="L57" s="15" t="n">
        <x:f>IF(J57=0,"해당 없음",K57/J57)</x:f>
        <x:v>0.5</x:v>
      </x:c>
      <x:c r="M57" s="14" t="n">
        <x:v>9</x:v>
      </x:c>
      <x:c r="N57" s="14" t="n">
        <x:v>6</x:v>
      </x:c>
      <x:c r="O57" s="15" t="n">
        <x:f>IF(M57=0,"해당 없음",N57/M57)</x:f>
        <x:v>0.6666666666666666</x:v>
      </x:c>
      <x:c r="P57" s="14" t="n">
        <x:v>103</x:v>
      </x:c>
    </x:row>
    <x:row r="58" ht="22" customHeight="1">
      <x:c r="A58" s="14" t="n">
        <x:v>27</x:v>
      </x:c>
      <x:c r="B58" s="14" t="n">
        <x:v>1</x:v>
      </x:c>
      <x:c r="C58" s="14" t="n">
        <x:v>76013</x:v>
      </x:c>
      <x:c r="D58" s="2" t="str">
        <x:v>RED</x:v>
      </x:c>
      <x:c r="E58" s="2" t="str">
        <x:v>0만</x:v>
      </x:c>
      <x:c r="F58" s="2" t="str">
        <x:v>규칙형</x:v>
      </x:c>
      <x:c r="G58" s="2" t="str">
        <x:v>패</x:v>
      </x:c>
      <x:c r="H58" s="14" t="n">
        <x:v>1</x:v>
      </x:c>
      <x:c r="I58" s="14" t="n">
        <x:v>4</x:v>
      </x:c>
      <x:c r="J58" s="14" t="n">
        <x:v>5</x:v>
      </x:c>
      <x:c r="K58" s="14" t="n">
        <x:v>1</x:v>
      </x:c>
      <x:c r="L58" s="15" t="n">
        <x:f>IF(J58=0,"해당 없음",K58/J58)</x:f>
        <x:v>0.2</x:v>
      </x:c>
      <x:c r="M58" s="14" t="n">
        <x:v>5</x:v>
      </x:c>
      <x:c r="N58" s="14" t="n">
        <x:v>5</x:v>
      </x:c>
      <x:c r="O58" s="15" t="n">
        <x:f>IF(M58=0,"해당 없음",N58/M58)</x:f>
        <x:v>1</x:v>
      </x:c>
      <x:c r="P58" s="14" t="n">
        <x:v>103</x:v>
      </x:c>
    </x:row>
    <x:row r="59" ht="22" customHeight="1">
      <x:c r="A59" s="14" t="n">
        <x:v>27</x:v>
      </x:c>
      <x:c r="B59" s="14" t="n">
        <x:v>1</x:v>
      </x:c>
      <x:c r="C59" s="14" t="n">
        <x:v>76013</x:v>
      </x:c>
      <x:c r="D59" s="2" t="str">
        <x:v>NAVY</x:v>
      </x:c>
      <x:c r="E59" s="2" t="str">
        <x:v>규칙형</x:v>
      </x:c>
      <x:c r="F59" s="2" t="str">
        <x:v>0만</x:v>
      </x:c>
      <x:c r="G59" s="2" t="str">
        <x:v>승</x:v>
      </x:c>
      <x:c r="H59" s="14" t="n">
        <x:v>4</x:v>
      </x:c>
      <x:c r="I59" s="14" t="n">
        <x:v>1</x:v>
      </x:c>
      <x:c r="J59" s="14" t="n">
        <x:v>11</x:v>
      </x:c>
      <x:c r="K59" s="14" t="n">
        <x:v>4</x:v>
      </x:c>
      <x:c r="L59" s="15" t="n">
        <x:f>IF(J59=0,"해당 없음",K59/J59)</x:f>
        <x:v>0.36363636363636365</x:v>
      </x:c>
      <x:c r="M59" s="14" t="n">
        <x:v>8</x:v>
      </x:c>
      <x:c r="N59" s="14" t="n">
        <x:v>4</x:v>
      </x:c>
      <x:c r="O59" s="15" t="n">
        <x:f>IF(M59=0,"해당 없음",N59/M59)</x:f>
        <x:v>0.5</x:v>
      </x:c>
      <x:c r="P59" s="14" t="n">
        <x:v>103</x:v>
      </x:c>
    </x:row>
    <x:row r="60" ht="22" customHeight="1">
      <x:c r="A60" s="14" t="n">
        <x:v>28</x:v>
      </x:c>
      <x:c r="B60" s="14" t="n">
        <x:v>1</x:v>
      </x:c>
      <x:c r="C60" s="14" t="n">
        <x:v>76013</x:v>
      </x:c>
      <x:c r="D60" s="2" t="str">
        <x:v>RED</x:v>
      </x:c>
      <x:c r="E60" s="2" t="str">
        <x:v>규칙형</x:v>
      </x:c>
      <x:c r="F60" s="2" t="str">
        <x:v>0만</x:v>
      </x:c>
      <x:c r="G60" s="2" t="str">
        <x:v>승</x:v>
      </x:c>
      <x:c r="H60" s="14" t="n">
        <x:v>2</x:v>
      </x:c>
      <x:c r="I60" s="14" t="n">
        <x:v>0</x:v>
      </x:c>
      <x:c r="J60" s="14" t="n">
        <x:v>9</x:v>
      </x:c>
      <x:c r="K60" s="14" t="n">
        <x:v>2</x:v>
      </x:c>
      <x:c r="L60" s="15" t="n">
        <x:f>IF(J60=0,"해당 없음",K60/J60)</x:f>
        <x:v>0.2222222222222222</x:v>
      </x:c>
      <x:c r="M60" s="14" t="n">
        <x:v>10</x:v>
      </x:c>
      <x:c r="N60" s="14" t="n">
        <x:v>8</x:v>
      </x:c>
      <x:c r="O60" s="15" t="n">
        <x:f>IF(M60=0,"해당 없음",N60/M60)</x:f>
        <x:v>0.8</x:v>
      </x:c>
      <x:c r="P60" s="14" t="n">
        <x:v>102</x:v>
      </x:c>
    </x:row>
    <x:row r="61" ht="22" customHeight="1">
      <x:c r="A61" s="14" t="n">
        <x:v>28</x:v>
      </x:c>
      <x:c r="B61" s="14" t="n">
        <x:v>1</x:v>
      </x:c>
      <x:c r="C61" s="14" t="n">
        <x:v>76013</x:v>
      </x:c>
      <x:c r="D61" s="2" t="str">
        <x:v>NAVY</x:v>
      </x:c>
      <x:c r="E61" s="2" t="str">
        <x:v>0만</x:v>
      </x:c>
      <x:c r="F61" s="2" t="str">
        <x:v>규칙형</x:v>
      </x:c>
      <x:c r="G61" s="2" t="str">
        <x:v>패</x:v>
      </x:c>
      <x:c r="H61" s="14" t="n">
        <x:v>0</x:v>
      </x:c>
      <x:c r="I61" s="14" t="n">
        <x:v>2</x:v>
      </x:c>
      <x:c r="J61" s="14" t="n">
        <x:v>3</x:v>
      </x:c>
      <x:c r="K61" s="14" t="n">
        <x:v>0</x:v>
      </x:c>
      <x:c r="L61" s="15" t="n">
        <x:f>IF(J61=0,"해당 없음",K61/J61)</x:f>
        <x:v>0</x:v>
      </x:c>
      <x:c r="M61" s="14" t="n">
        <x:v>10</x:v>
      </x:c>
      <x:c r="N61" s="14" t="n">
        <x:v>6</x:v>
      </x:c>
      <x:c r="O61" s="15" t="n">
        <x:f>IF(M61=0,"해당 없음",N61/M61)</x:f>
        <x:v>0.6</x:v>
      </x:c>
      <x:c r="P61" s="14" t="n">
        <x:v>101</x:v>
      </x:c>
    </x:row>
    <x:row r="62" ht="22" customHeight="1">
      <x:c r="A62" s="14" t="n">
        <x:v>29</x:v>
      </x:c>
      <x:c r="B62" s="14" t="n">
        <x:v>1</x:v>
      </x:c>
      <x:c r="C62" s="14" t="n">
        <x:v>76014</x:v>
      </x:c>
      <x:c r="D62" s="2" t="str">
        <x:v>RED</x:v>
      </x:c>
      <x:c r="E62" s="2" t="str">
        <x:v>0만</x:v>
      </x:c>
      <x:c r="F62" s="2" t="str">
        <x:v>규칙형</x:v>
      </x:c>
      <x:c r="G62" s="2" t="str">
        <x:v>패</x:v>
      </x:c>
      <x:c r="H62" s="14" t="n">
        <x:v>1</x:v>
      </x:c>
      <x:c r="I62" s="14" t="n">
        <x:v>3</x:v>
      </x:c>
      <x:c r="J62" s="14" t="n">
        <x:v>3</x:v>
      </x:c>
      <x:c r="K62" s="14" t="n">
        <x:v>1</x:v>
      </x:c>
      <x:c r="L62" s="15" t="n">
        <x:f>IF(J62=0,"해당 없음",K62/J62)</x:f>
        <x:v>0.3333333333333333</x:v>
      </x:c>
      <x:c r="M62" s="14" t="n">
        <x:v>5</x:v>
      </x:c>
      <x:c r="N62" s="14" t="n">
        <x:v>2</x:v>
      </x:c>
      <x:c r="O62" s="15" t="n">
        <x:f>IF(M62=0,"해당 없음",N62/M62)</x:f>
        <x:v>0.4</x:v>
      </x:c>
      <x:c r="P62" s="14" t="n">
        <x:v>104</x:v>
      </x:c>
    </x:row>
    <x:row r="63" ht="22" customHeight="1">
      <x:c r="A63" s="14" t="n">
        <x:v>29</x:v>
      </x:c>
      <x:c r="B63" s="14" t="n">
        <x:v>1</x:v>
      </x:c>
      <x:c r="C63" s="14" t="n">
        <x:v>76014</x:v>
      </x:c>
      <x:c r="D63" s="2" t="str">
        <x:v>NAVY</x:v>
      </x:c>
      <x:c r="E63" s="2" t="str">
        <x:v>규칙형</x:v>
      </x:c>
      <x:c r="F63" s="2" t="str">
        <x:v>0만</x:v>
      </x:c>
      <x:c r="G63" s="2" t="str">
        <x:v>승</x:v>
      </x:c>
      <x:c r="H63" s="14" t="n">
        <x:v>3</x:v>
      </x:c>
      <x:c r="I63" s="14" t="n">
        <x:v>1</x:v>
      </x:c>
      <x:c r="J63" s="14" t="n">
        <x:v>12</x:v>
      </x:c>
      <x:c r="K63" s="14" t="n">
        <x:v>3</x:v>
      </x:c>
      <x:c r="L63" s="15" t="n">
        <x:f>IF(J63=0,"해당 없음",K63/J63)</x:f>
        <x:v>0.25</x:v>
      </x:c>
      <x:c r="M63" s="14" t="n">
        <x:v>8</x:v>
      </x:c>
      <x:c r="N63" s="14" t="n">
        <x:v>4</x:v>
      </x:c>
      <x:c r="O63" s="15" t="n">
        <x:f>IF(M63=0,"해당 없음",N63/M63)</x:f>
        <x:v>0.5</x:v>
      </x:c>
      <x:c r="P63" s="14" t="n">
        <x:v>104</x:v>
      </x:c>
    </x:row>
    <x:row r="64" ht="22" customHeight="1">
      <x:c r="A64" s="14" t="n">
        <x:v>30</x:v>
      </x:c>
      <x:c r="B64" s="14" t="n">
        <x:v>1</x:v>
      </x:c>
      <x:c r="C64" s="14" t="n">
        <x:v>76014</x:v>
      </x:c>
      <x:c r="D64" s="2" t="str">
        <x:v>RED</x:v>
      </x:c>
      <x:c r="E64" s="2" t="str">
        <x:v>규칙형</x:v>
      </x:c>
      <x:c r="F64" s="2" t="str">
        <x:v>0만</x:v>
      </x:c>
      <x:c r="G64" s="2" t="str">
        <x:v>승</x:v>
      </x:c>
      <x:c r="H64" s="14" t="n">
        <x:v>2</x:v>
      </x:c>
      <x:c r="I64" s="14" t="n">
        <x:v>1</x:v>
      </x:c>
      <x:c r="J64" s="14" t="n">
        <x:v>10</x:v>
      </x:c>
      <x:c r="K64" s="14" t="n">
        <x:v>2</x:v>
      </x:c>
      <x:c r="L64" s="15" t="n">
        <x:f>IF(J64=0,"해당 없음",K64/J64)</x:f>
        <x:v>0.2</x:v>
      </x:c>
      <x:c r="M64" s="14" t="n">
        <x:v>7</x:v>
      </x:c>
      <x:c r="N64" s="14" t="n">
        <x:v>5</x:v>
      </x:c>
      <x:c r="O64" s="15" t="n">
        <x:f>IF(M64=0,"해당 없음",N64/M64)</x:f>
        <x:v>0.7142857142857143</x:v>
      </x:c>
      <x:c r="P64" s="14" t="n">
        <x:v>101</x:v>
      </x:c>
    </x:row>
    <x:row r="65" ht="22" customHeight="1">
      <x:c r="A65" s="14" t="n">
        <x:v>30</x:v>
      </x:c>
      <x:c r="B65" s="14" t="n">
        <x:v>1</x:v>
      </x:c>
      <x:c r="C65" s="14" t="n">
        <x:v>76014</x:v>
      </x:c>
      <x:c r="D65" s="2" t="str">
        <x:v>NAVY</x:v>
      </x:c>
      <x:c r="E65" s="2" t="str">
        <x:v>0만</x:v>
      </x:c>
      <x:c r="F65" s="2" t="str">
        <x:v>규칙형</x:v>
      </x:c>
      <x:c r="G65" s="2" t="str">
        <x:v>패</x:v>
      </x:c>
      <x:c r="H65" s="14" t="n">
        <x:v>1</x:v>
      </x:c>
      <x:c r="I65" s="14" t="n">
        <x:v>2</x:v>
      </x:c>
      <x:c r="J65" s="14" t="n">
        <x:v>4</x:v>
      </x:c>
      <x:c r="K65" s="14" t="n">
        <x:v>1</x:v>
      </x:c>
      <x:c r="L65" s="15" t="n">
        <x:f>IF(J65=0,"해당 없음",K65/J65)</x:f>
        <x:v>0.25</x:v>
      </x:c>
      <x:c r="M65" s="14" t="n">
        <x:v>4</x:v>
      </x:c>
      <x:c r="N65" s="14" t="n">
        <x:v>3</x:v>
      </x:c>
      <x:c r="O65" s="15" t="n">
        <x:f>IF(M65=0,"해당 없음",N65/M65)</x:f>
        <x:v>0.75</x:v>
      </x:c>
      <x:c r="P65" s="14" t="n">
        <x:v>100</x:v>
      </x:c>
    </x:row>
    <x:row r="66" ht="22" customHeight="1">
      <x:c r="A66" s="14" t="n">
        <x:v>31</x:v>
      </x:c>
      <x:c r="B66" s="14" t="n">
        <x:v>1</x:v>
      </x:c>
      <x:c r="C66" s="14" t="n">
        <x:v>76015</x:v>
      </x:c>
      <x:c r="D66" s="2" t="str">
        <x:v>RED</x:v>
      </x:c>
      <x:c r="E66" s="2" t="str">
        <x:v>0만</x:v>
      </x:c>
      <x:c r="F66" s="2" t="str">
        <x:v>규칙형</x:v>
      </x:c>
      <x:c r="G66" s="2" t="str">
        <x:v>패</x:v>
      </x:c>
      <x:c r="H66" s="14" t="n">
        <x:v>2</x:v>
      </x:c>
      <x:c r="I66" s="14" t="n">
        <x:v>6</x:v>
      </x:c>
      <x:c r="J66" s="14" t="n">
        <x:v>3</x:v>
      </x:c>
      <x:c r="K66" s="14" t="n">
        <x:v>2</x:v>
      </x:c>
      <x:c r="L66" s="15" t="n">
        <x:f>IF(J66=0,"해당 없음",K66/J66)</x:f>
        <x:v>0.6666666666666666</x:v>
      </x:c>
      <x:c r="M66" s="14" t="n">
        <x:v>4</x:v>
      </x:c>
      <x:c r="N66" s="14" t="n">
        <x:v>1</x:v>
      </x:c>
      <x:c r="O66" s="15" t="n">
        <x:f>IF(M66=0,"해당 없음",N66/M66)</x:f>
        <x:v>0.25</x:v>
      </x:c>
      <x:c r="P66" s="14" t="n">
        <x:v>105</x:v>
      </x:c>
    </x:row>
    <x:row r="67" ht="22" customHeight="1">
      <x:c r="A67" s="14" t="n">
        <x:v>31</x:v>
      </x:c>
      <x:c r="B67" s="14" t="n">
        <x:v>1</x:v>
      </x:c>
      <x:c r="C67" s="14" t="n">
        <x:v>76015</x:v>
      </x:c>
      <x:c r="D67" s="2" t="str">
        <x:v>NAVY</x:v>
      </x:c>
      <x:c r="E67" s="2" t="str">
        <x:v>규칙형</x:v>
      </x:c>
      <x:c r="F67" s="2" t="str">
        <x:v>0만</x:v>
      </x:c>
      <x:c r="G67" s="2" t="str">
        <x:v>승</x:v>
      </x:c>
      <x:c r="H67" s="14" t="n">
        <x:v>6</x:v>
      </x:c>
      <x:c r="I67" s="14" t="n">
        <x:v>2</x:v>
      </x:c>
      <x:c r="J67" s="14" t="n">
        <x:v>14</x:v>
      </x:c>
      <x:c r="K67" s="14" t="n">
        <x:v>6</x:v>
      </x:c>
      <x:c r="L67" s="15" t="n">
        <x:f>IF(J67=0,"해당 없음",K67/J67)</x:f>
        <x:v>0.42857142857142855</x:v>
      </x:c>
      <x:c r="M67" s="14" t="n">
        <x:v>9</x:v>
      </x:c>
      <x:c r="N67" s="14" t="n">
        <x:v>8</x:v>
      </x:c>
      <x:c r="O67" s="15" t="n">
        <x:f>IF(M67=0,"해당 없음",N67/M67)</x:f>
        <x:v>0.8888888888888888</x:v>
      </x:c>
      <x:c r="P67" s="14" t="n">
        <x:v>105</x:v>
      </x:c>
    </x:row>
    <x:row r="68" ht="22" customHeight="1">
      <x:c r="A68" s="14" t="n">
        <x:v>32</x:v>
      </x:c>
      <x:c r="B68" s="14" t="n">
        <x:v>1</x:v>
      </x:c>
      <x:c r="C68" s="14" t="n">
        <x:v>76015</x:v>
      </x:c>
      <x:c r="D68" s="2" t="str">
        <x:v>RED</x:v>
      </x:c>
      <x:c r="E68" s="2" t="str">
        <x:v>규칙형</x:v>
      </x:c>
      <x:c r="F68" s="2" t="str">
        <x:v>0만</x:v>
      </x:c>
      <x:c r="G68" s="2" t="str">
        <x:v>승</x:v>
      </x:c>
      <x:c r="H68" s="14" t="n">
        <x:v>4</x:v>
      </x:c>
      <x:c r="I68" s="14" t="n">
        <x:v>2</x:v>
      </x:c>
      <x:c r="J68" s="14" t="n">
        <x:v>9</x:v>
      </x:c>
      <x:c r="K68" s="14" t="n">
        <x:v>4</x:v>
      </x:c>
      <x:c r="L68" s="15" t="n">
        <x:f>IF(J68=0,"해당 없음",K68/J68)</x:f>
        <x:v>0.4444444444444444</x:v>
      </x:c>
      <x:c r="M68" s="14" t="n">
        <x:v>4</x:v>
      </x:c>
      <x:c r="N68" s="14" t="n">
        <x:v>4</x:v>
      </x:c>
      <x:c r="O68" s="15" t="n">
        <x:f>IF(M68=0,"해당 없음",N68/M68)</x:f>
        <x:v>1</x:v>
      </x:c>
      <x:c r="P68" s="14" t="n">
        <x:v>104</x:v>
      </x:c>
    </x:row>
    <x:row r="69" ht="22" customHeight="1">
      <x:c r="A69" s="14" t="n">
        <x:v>32</x:v>
      </x:c>
      <x:c r="B69" s="14" t="n">
        <x:v>1</x:v>
      </x:c>
      <x:c r="C69" s="14" t="n">
        <x:v>76015</x:v>
      </x:c>
      <x:c r="D69" s="2" t="str">
        <x:v>NAVY</x:v>
      </x:c>
      <x:c r="E69" s="2" t="str">
        <x:v>0만</x:v>
      </x:c>
      <x:c r="F69" s="2" t="str">
        <x:v>규칙형</x:v>
      </x:c>
      <x:c r="G69" s="2" t="str">
        <x:v>패</x:v>
      </x:c>
      <x:c r="H69" s="14" t="n">
        <x:v>2</x:v>
      </x:c>
      <x:c r="I69" s="14" t="n">
        <x:v>4</x:v>
      </x:c>
      <x:c r="J69" s="14" t="n">
        <x:v>5</x:v>
      </x:c>
      <x:c r="K69" s="14" t="n">
        <x:v>2</x:v>
      </x:c>
      <x:c r="L69" s="15" t="n">
        <x:f>IF(J69=0,"해당 없음",K69/J69)</x:f>
        <x:v>0.4</x:v>
      </x:c>
      <x:c r="M69" s="14" t="n">
        <x:v>4</x:v>
      </x:c>
      <x:c r="N69" s="14" t="n">
        <x:v>4</x:v>
      </x:c>
      <x:c r="O69" s="15" t="n">
        <x:f>IF(M69=0,"해당 없음",N69/M69)</x:f>
        <x:v>1</x:v>
      </x:c>
      <x:c r="P69" s="14" t="n">
        <x:v>103</x:v>
      </x:c>
    </x:row>
    <x:row r="70" ht="22" customHeight="1">
      <x:c r="A70" s="14" t="n">
        <x:v>33</x:v>
      </x:c>
      <x:c r="B70" s="14" t="n">
        <x:v>1</x:v>
      </x:c>
      <x:c r="C70" s="14" t="n">
        <x:v>76016</x:v>
      </x:c>
      <x:c r="D70" s="2" t="str">
        <x:v>RED</x:v>
      </x:c>
      <x:c r="E70" s="2" t="str">
        <x:v>0만</x:v>
      </x:c>
      <x:c r="F70" s="2" t="str">
        <x:v>규칙형</x:v>
      </x:c>
      <x:c r="G70" s="2" t="str">
        <x:v>패</x:v>
      </x:c>
      <x:c r="H70" s="14" t="n">
        <x:v>1</x:v>
      </x:c>
      <x:c r="I70" s="14" t="n">
        <x:v>4</x:v>
      </x:c>
      <x:c r="J70" s="14" t="n">
        <x:v>3</x:v>
      </x:c>
      <x:c r="K70" s="14" t="n">
        <x:v>1</x:v>
      </x:c>
      <x:c r="L70" s="15" t="n">
        <x:f>IF(J70=0,"해당 없음",K70/J70)</x:f>
        <x:v>0.3333333333333333</x:v>
      </x:c>
      <x:c r="M70" s="14" t="n">
        <x:v>3</x:v>
      </x:c>
      <x:c r="N70" s="14" t="n">
        <x:v>2</x:v>
      </x:c>
      <x:c r="O70" s="15" t="n">
        <x:f>IF(M70=0,"해당 없음",N70/M70)</x:f>
        <x:v>0.6666666666666666</x:v>
      </x:c>
      <x:c r="P70" s="14" t="n">
        <x:v>103</x:v>
      </x:c>
    </x:row>
    <x:row r="71" ht="22" customHeight="1">
      <x:c r="A71" s="14" t="n">
        <x:v>33</x:v>
      </x:c>
      <x:c r="B71" s="14" t="n">
        <x:v>1</x:v>
      </x:c>
      <x:c r="C71" s="14" t="n">
        <x:v>76016</x:v>
      </x:c>
      <x:c r="D71" s="2" t="str">
        <x:v>NAVY</x:v>
      </x:c>
      <x:c r="E71" s="2" t="str">
        <x:v>규칙형</x:v>
      </x:c>
      <x:c r="F71" s="2" t="str">
        <x:v>0만</x:v>
      </x:c>
      <x:c r="G71" s="2" t="str">
        <x:v>승</x:v>
      </x:c>
      <x:c r="H71" s="14" t="n">
        <x:v>4</x:v>
      </x:c>
      <x:c r="I71" s="14" t="n">
        <x:v>1</x:v>
      </x:c>
      <x:c r="J71" s="14" t="n">
        <x:v>11</x:v>
      </x:c>
      <x:c r="K71" s="14" t="n">
        <x:v>4</x:v>
      </x:c>
      <x:c r="L71" s="15" t="n">
        <x:f>IF(J71=0,"해당 없음",K71/J71)</x:f>
        <x:v>0.36363636363636365</x:v>
      </x:c>
      <x:c r="M71" s="14" t="n">
        <x:v>6</x:v>
      </x:c>
      <x:c r="N71" s="14" t="n">
        <x:v>4</x:v>
      </x:c>
      <x:c r="O71" s="15" t="n">
        <x:f>IF(M71=0,"해당 없음",N71/M71)</x:f>
        <x:v>0.6666666666666666</x:v>
      </x:c>
      <x:c r="P71" s="14" t="n">
        <x:v>103</x:v>
      </x:c>
    </x:row>
    <x:row r="72" ht="22" customHeight="1">
      <x:c r="A72" s="14" t="n">
        <x:v>34</x:v>
      </x:c>
      <x:c r="B72" s="14" t="n">
        <x:v>1</x:v>
      </x:c>
      <x:c r="C72" s="14" t="n">
        <x:v>76016</x:v>
      </x:c>
      <x:c r="D72" s="2" t="str">
        <x:v>RED</x:v>
      </x:c>
      <x:c r="E72" s="2" t="str">
        <x:v>규칙형</x:v>
      </x:c>
      <x:c r="F72" s="2" t="str">
        <x:v>0만</x:v>
      </x:c>
      <x:c r="G72" s="2" t="str">
        <x:v>패</x:v>
      </x:c>
      <x:c r="H72" s="14" t="n">
        <x:v>0</x:v>
      </x:c>
      <x:c r="I72" s="14" t="n">
        <x:v>1</x:v>
      </x:c>
      <x:c r="J72" s="14" t="n">
        <x:v>12</x:v>
      </x:c>
      <x:c r="K72" s="14" t="n">
        <x:v>0</x:v>
      </x:c>
      <x:c r="L72" s="15" t="n">
        <x:f>IF(J72=0,"해당 없음",K72/J72)</x:f>
        <x:v>0</x:v>
      </x:c>
      <x:c r="M72" s="14" t="n">
        <x:v>9</x:v>
      </x:c>
      <x:c r="N72" s="14" t="n">
        <x:v>8</x:v>
      </x:c>
      <x:c r="O72" s="15" t="n">
        <x:f>IF(M72=0,"해당 없음",N72/M72)</x:f>
        <x:v>0.8888888888888888</x:v>
      </x:c>
      <x:c r="P72" s="14" t="n">
        <x:v>100</x:v>
      </x:c>
    </x:row>
    <x:row r="73" ht="22" customHeight="1">
      <x:c r="A73" s="14" t="n">
        <x:v>34</x:v>
      </x:c>
      <x:c r="B73" s="14" t="n">
        <x:v>1</x:v>
      </x:c>
      <x:c r="C73" s="14" t="n">
        <x:v>76016</x:v>
      </x:c>
      <x:c r="D73" s="2" t="str">
        <x:v>NAVY</x:v>
      </x:c>
      <x:c r="E73" s="2" t="str">
        <x:v>0만</x:v>
      </x:c>
      <x:c r="F73" s="2" t="str">
        <x:v>규칙형</x:v>
      </x:c>
      <x:c r="G73" s="2" t="str">
        <x:v>승</x:v>
      </x:c>
      <x:c r="H73" s="14" t="n">
        <x:v>1</x:v>
      </x:c>
      <x:c r="I73" s="14" t="n">
        <x:v>0</x:v>
      </x:c>
      <x:c r="J73" s="14" t="n">
        <x:v>6</x:v>
      </x:c>
      <x:c r="K73" s="14" t="n">
        <x:v>1</x:v>
      </x:c>
      <x:c r="L73" s="15" t="n">
        <x:f>IF(J73=0,"해당 없음",K73/J73)</x:f>
        <x:v>0.16666666666666666</x:v>
      </x:c>
      <x:c r="M73" s="14" t="n">
        <x:v>16</x:v>
      </x:c>
      <x:c r="N73" s="14" t="n">
        <x:v>12</x:v>
      </x:c>
      <x:c r="O73" s="15" t="n">
        <x:f>IF(M73=0,"해당 없음",N73/M73)</x:f>
        <x:v>0.75</x:v>
      </x:c>
      <x:c r="P73" s="14" t="n">
        <x:v>100</x:v>
      </x:c>
    </x:row>
    <x:row r="74" ht="22" customHeight="1">
      <x:c r="A74" s="14" t="n">
        <x:v>35</x:v>
      </x:c>
      <x:c r="B74" s="14" t="n">
        <x:v>1</x:v>
      </x:c>
      <x:c r="C74" s="14" t="n">
        <x:v>76017</x:v>
      </x:c>
      <x:c r="D74" s="2" t="str">
        <x:v>RED</x:v>
      </x:c>
      <x:c r="E74" s="2" t="str">
        <x:v>0만</x:v>
      </x:c>
      <x:c r="F74" s="2" t="str">
        <x:v>규칙형</x:v>
      </x:c>
      <x:c r="G74" s="2" t="str">
        <x:v>패</x:v>
      </x:c>
      <x:c r="H74" s="14" t="n">
        <x:v>2</x:v>
      </x:c>
      <x:c r="I74" s="14" t="n">
        <x:v>6</x:v>
      </x:c>
      <x:c r="J74" s="14" t="n">
        <x:v>3</x:v>
      </x:c>
      <x:c r="K74" s="14" t="n">
        <x:v>2</x:v>
      </x:c>
      <x:c r="L74" s="15" t="n">
        <x:f>IF(J74=0,"해당 없음",K74/J74)</x:f>
        <x:v>0.6666666666666666</x:v>
      </x:c>
      <x:c r="M74" s="14" t="n">
        <x:v>9</x:v>
      </x:c>
      <x:c r="N74" s="14" t="n">
        <x:v>7</x:v>
      </x:c>
      <x:c r="O74" s="15" t="n">
        <x:f>IF(M74=0,"해당 없음",N74/M74)</x:f>
        <x:v>0.7777777777777778</x:v>
      </x:c>
      <x:c r="P74" s="14" t="n">
        <x:v>105</x:v>
      </x:c>
    </x:row>
    <x:row r="75" ht="22" customHeight="1">
      <x:c r="A75" s="14" t="n">
        <x:v>35</x:v>
      </x:c>
      <x:c r="B75" s="14" t="n">
        <x:v>1</x:v>
      </x:c>
      <x:c r="C75" s="14" t="n">
        <x:v>76017</x:v>
      </x:c>
      <x:c r="D75" s="2" t="str">
        <x:v>NAVY</x:v>
      </x:c>
      <x:c r="E75" s="2" t="str">
        <x:v>규칙형</x:v>
      </x:c>
      <x:c r="F75" s="2" t="str">
        <x:v>0만</x:v>
      </x:c>
      <x:c r="G75" s="2" t="str">
        <x:v>승</x:v>
      </x:c>
      <x:c r="H75" s="14" t="n">
        <x:v>6</x:v>
      </x:c>
      <x:c r="I75" s="14" t="n">
        <x:v>2</x:v>
      </x:c>
      <x:c r="J75" s="14" t="n">
        <x:v>13</x:v>
      </x:c>
      <x:c r="K75" s="14" t="n">
        <x:v>6</x:v>
      </x:c>
      <x:c r="L75" s="15" t="n">
        <x:f>IF(J75=0,"해당 없음",K75/J75)</x:f>
        <x:v>0.46153846153846156</x:v>
      </x:c>
      <x:c r="M75" s="14" t="n">
        <x:v>9</x:v>
      </x:c>
      <x:c r="N75" s="14" t="n">
        <x:v>8</x:v>
      </x:c>
      <x:c r="O75" s="15" t="n">
        <x:f>IF(M75=0,"해당 없음",N75/M75)</x:f>
        <x:v>0.8888888888888888</x:v>
      </x:c>
      <x:c r="P75" s="14" t="n">
        <x:v>105</x:v>
      </x:c>
    </x:row>
    <x:row r="76" ht="22" customHeight="1">
      <x:c r="A76" s="14" t="n">
        <x:v>36</x:v>
      </x:c>
      <x:c r="B76" s="14" t="n">
        <x:v>1</x:v>
      </x:c>
      <x:c r="C76" s="14" t="n">
        <x:v>76017</x:v>
      </x:c>
      <x:c r="D76" s="2" t="str">
        <x:v>RED</x:v>
      </x:c>
      <x:c r="E76" s="2" t="str">
        <x:v>규칙형</x:v>
      </x:c>
      <x:c r="F76" s="2" t="str">
        <x:v>0만</x:v>
      </x:c>
      <x:c r="G76" s="2" t="str">
        <x:v>승</x:v>
      </x:c>
      <x:c r="H76" s="14" t="n">
        <x:v>9</x:v>
      </x:c>
      <x:c r="I76" s="14" t="n">
        <x:v>1</x:v>
      </x:c>
      <x:c r="J76" s="14" t="n">
        <x:v>15</x:v>
      </x:c>
      <x:c r="K76" s="14" t="n">
        <x:v>9</x:v>
      </x:c>
      <x:c r="L76" s="15" t="n">
        <x:f>IF(J76=0,"해당 없음",K76/J76)</x:f>
        <x:v>0.6</x:v>
      </x:c>
      <x:c r="M76" s="14" t="n">
        <x:v>11</x:v>
      </x:c>
      <x:c r="N76" s="14" t="n">
        <x:v>8</x:v>
      </x:c>
      <x:c r="O76" s="15" t="n">
        <x:f>IF(M76=0,"해당 없음",N76/M76)</x:f>
        <x:v>0.7272727272727273</x:v>
      </x:c>
      <x:c r="P76" s="14" t="n">
        <x:v>104</x:v>
      </x:c>
    </x:row>
    <x:row r="77" ht="22" customHeight="1">
      <x:c r="A77" s="14" t="n">
        <x:v>36</x:v>
      </x:c>
      <x:c r="B77" s="14" t="n">
        <x:v>1</x:v>
      </x:c>
      <x:c r="C77" s="14" t="n">
        <x:v>76017</x:v>
      </x:c>
      <x:c r="D77" s="2" t="str">
        <x:v>NAVY</x:v>
      </x:c>
      <x:c r="E77" s="2" t="str">
        <x:v>0만</x:v>
      </x:c>
      <x:c r="F77" s="2" t="str">
        <x:v>규칙형</x:v>
      </x:c>
      <x:c r="G77" s="2" t="str">
        <x:v>패</x:v>
      </x:c>
      <x:c r="H77" s="14" t="n">
        <x:v>1</x:v>
      </x:c>
      <x:c r="I77" s="14" t="n">
        <x:v>9</x:v>
      </x:c>
      <x:c r="J77" s="14" t="n">
        <x:v>2</x:v>
      </x:c>
      <x:c r="K77" s="14" t="n">
        <x:v>1</x:v>
      </x:c>
      <x:c r="L77" s="15" t="n">
        <x:f>IF(J77=0,"해당 없음",K77/J77)</x:f>
        <x:v>0.5</x:v>
      </x:c>
      <x:c r="M77" s="14" t="n">
        <x:v>6</x:v>
      </x:c>
      <x:c r="N77" s="14" t="n">
        <x:v>4</x:v>
      </x:c>
      <x:c r="O77" s="15" t="n">
        <x:f>IF(M77=0,"해당 없음",N77/M77)</x:f>
        <x:v>0.6666666666666666</x:v>
      </x:c>
      <x:c r="P77" s="14" t="n">
        <x:v>104</x:v>
      </x:c>
    </x:row>
    <x:row r="78" ht="22" customHeight="1">
      <x:c r="A78" s="14" t="n">
        <x:v>37</x:v>
      </x:c>
      <x:c r="B78" s="14" t="n">
        <x:v>1</x:v>
      </x:c>
      <x:c r="C78" s="14" t="n">
        <x:v>76018</x:v>
      </x:c>
      <x:c r="D78" s="2" t="str">
        <x:v>RED</x:v>
      </x:c>
      <x:c r="E78" s="2" t="str">
        <x:v>0만</x:v>
      </x:c>
      <x:c r="F78" s="2" t="str">
        <x:v>규칙형</x:v>
      </x:c>
      <x:c r="G78" s="2" t="str">
        <x:v>패</x:v>
      </x:c>
      <x:c r="H78" s="14" t="n">
        <x:v>1</x:v>
      </x:c>
      <x:c r="I78" s="14" t="n">
        <x:v>6</x:v>
      </x:c>
      <x:c r="J78" s="14" t="n">
        <x:v>3</x:v>
      </x:c>
      <x:c r="K78" s="14" t="n">
        <x:v>1</x:v>
      </x:c>
      <x:c r="L78" s="15" t="n">
        <x:f>IF(J78=0,"해당 없음",K78/J78)</x:f>
        <x:v>0.3333333333333333</x:v>
      </x:c>
      <x:c r="M78" s="14" t="n">
        <x:v>5</x:v>
      </x:c>
      <x:c r="N78" s="14" t="n">
        <x:v>4</x:v>
      </x:c>
      <x:c r="O78" s="15" t="n">
        <x:f>IF(M78=0,"해당 없음",N78/M78)</x:f>
        <x:v>0.8</x:v>
      </x:c>
      <x:c r="P78" s="14" t="n">
        <x:v>102</x:v>
      </x:c>
    </x:row>
    <x:row r="79" ht="22" customHeight="1">
      <x:c r="A79" s="14" t="n">
        <x:v>37</x:v>
      </x:c>
      <x:c r="B79" s="14" t="n">
        <x:v>1</x:v>
      </x:c>
      <x:c r="C79" s="14" t="n">
        <x:v>76018</x:v>
      </x:c>
      <x:c r="D79" s="2" t="str">
        <x:v>NAVY</x:v>
      </x:c>
      <x:c r="E79" s="2" t="str">
        <x:v>규칙형</x:v>
      </x:c>
      <x:c r="F79" s="2" t="str">
        <x:v>0만</x:v>
      </x:c>
      <x:c r="G79" s="2" t="str">
        <x:v>승</x:v>
      </x:c>
      <x:c r="H79" s="14" t="n">
        <x:v>6</x:v>
      </x:c>
      <x:c r="I79" s="14" t="n">
        <x:v>1</x:v>
      </x:c>
      <x:c r="J79" s="14" t="n">
        <x:v>17</x:v>
      </x:c>
      <x:c r="K79" s="14" t="n">
        <x:v>6</x:v>
      </x:c>
      <x:c r="L79" s="15" t="n">
        <x:f>IF(J79=0,"해당 없음",K79/J79)</x:f>
        <x:v>0.35294117647058826</x:v>
      </x:c>
      <x:c r="M79" s="14" t="n">
        <x:v>13</x:v>
      </x:c>
      <x:c r="N79" s="14" t="n">
        <x:v>10</x:v>
      </x:c>
      <x:c r="O79" s="15" t="n">
        <x:f>IF(M79=0,"해당 없음",N79/M79)</x:f>
        <x:v>0.7692307692307693</x:v>
      </x:c>
      <x:c r="P79" s="14" t="n">
        <x:v>103</x:v>
      </x:c>
    </x:row>
    <x:row r="80" ht="22" customHeight="1">
      <x:c r="A80" s="14" t="n">
        <x:v>38</x:v>
      </x:c>
      <x:c r="B80" s="14" t="n">
        <x:v>1</x:v>
      </x:c>
      <x:c r="C80" s="14" t="n">
        <x:v>76018</x:v>
      </x:c>
      <x:c r="D80" s="2" t="str">
        <x:v>RED</x:v>
      </x:c>
      <x:c r="E80" s="2" t="str">
        <x:v>규칙형</x:v>
      </x:c>
      <x:c r="F80" s="2" t="str">
        <x:v>0만</x:v>
      </x:c>
      <x:c r="G80" s="2" t="str">
        <x:v>패</x:v>
      </x:c>
      <x:c r="H80" s="14" t="n">
        <x:v>2</x:v>
      </x:c>
      <x:c r="I80" s="14" t="n">
        <x:v>3</x:v>
      </x:c>
      <x:c r="J80" s="14" t="n">
        <x:v>7</x:v>
      </x:c>
      <x:c r="K80" s="14" t="n">
        <x:v>2</x:v>
      </x:c>
      <x:c r="L80" s="15" t="n">
        <x:f>IF(J80=0,"해당 없음",K80/J80)</x:f>
        <x:v>0.2857142857142857</x:v>
      </x:c>
      <x:c r="M80" s="14" t="n">
        <x:v>5</x:v>
      </x:c>
      <x:c r="N80" s="14" t="n">
        <x:v>5</x:v>
      </x:c>
      <x:c r="O80" s="15" t="n">
        <x:f>IF(M80=0,"해당 없음",N80/M80)</x:f>
        <x:v>1</x:v>
      </x:c>
      <x:c r="P80" s="14" t="n">
        <x:v>104</x:v>
      </x:c>
    </x:row>
    <x:row r="81" ht="22" customHeight="1">
      <x:c r="A81" s="14" t="n">
        <x:v>38</x:v>
      </x:c>
      <x:c r="B81" s="14" t="n">
        <x:v>1</x:v>
      </x:c>
      <x:c r="C81" s="14" t="n">
        <x:v>76018</x:v>
      </x:c>
      <x:c r="D81" s="2" t="str">
        <x:v>NAVY</x:v>
      </x:c>
      <x:c r="E81" s="2" t="str">
        <x:v>0만</x:v>
      </x:c>
      <x:c r="F81" s="2" t="str">
        <x:v>규칙형</x:v>
      </x:c>
      <x:c r="G81" s="2" t="str">
        <x:v>승</x:v>
      </x:c>
      <x:c r="H81" s="14" t="n">
        <x:v>3</x:v>
      </x:c>
      <x:c r="I81" s="14" t="n">
        <x:v>2</x:v>
      </x:c>
      <x:c r="J81" s="14" t="n">
        <x:v>5</x:v>
      </x:c>
      <x:c r="K81" s="14" t="n">
        <x:v>3</x:v>
      </x:c>
      <x:c r="L81" s="15" t="n">
        <x:f>IF(J81=0,"해당 없음",K81/J81)</x:f>
        <x:v>0.6</x:v>
      </x:c>
      <x:c r="M81" s="14" t="n">
        <x:v>10</x:v>
      </x:c>
      <x:c r="N81" s="14" t="n">
        <x:v>9</x:v>
      </x:c>
      <x:c r="O81" s="15" t="n">
        <x:f>IF(M81=0,"해당 없음",N81/M81)</x:f>
        <x:v>0.9</x:v>
      </x:c>
      <x:c r="P81" s="14" t="n">
        <x:v>103</x:v>
      </x:c>
    </x:row>
    <x:row r="82" ht="22" customHeight="1">
      <x:c r="A82" s="14" t="n">
        <x:v>39</x:v>
      </x:c>
      <x:c r="B82" s="14" t="n">
        <x:v>1</x:v>
      </x:c>
      <x:c r="C82" s="14" t="n">
        <x:v>76019</x:v>
      </x:c>
      <x:c r="D82" s="2" t="str">
        <x:v>RED</x:v>
      </x:c>
      <x:c r="E82" s="2" t="str">
        <x:v>0만</x:v>
      </x:c>
      <x:c r="F82" s="2" t="str">
        <x:v>규칙형</x:v>
      </x:c>
      <x:c r="G82" s="2" t="str">
        <x:v>패</x:v>
      </x:c>
      <x:c r="H82" s="14" t="n">
        <x:v>0</x:v>
      </x:c>
      <x:c r="I82" s="14" t="n">
        <x:v>4</x:v>
      </x:c>
      <x:c r="J82" s="14" t="n">
        <x:v>5</x:v>
      </x:c>
      <x:c r="K82" s="14" t="n">
        <x:v>0</x:v>
      </x:c>
      <x:c r="L82" s="15" t="n">
        <x:f>IF(J82=0,"해당 없음",K82/J82)</x:f>
        <x:v>0</x:v>
      </x:c>
      <x:c r="M82" s="14" t="n">
        <x:v>9</x:v>
      </x:c>
      <x:c r="N82" s="14" t="n">
        <x:v>7</x:v>
      </x:c>
      <x:c r="O82" s="15" t="n">
        <x:f>IF(M82=0,"해당 없음",N82/M82)</x:f>
        <x:v>0.7777777777777778</x:v>
      </x:c>
      <x:c r="P82" s="14" t="n">
        <x:v>103</x:v>
      </x:c>
    </x:row>
    <x:row r="83" ht="22" customHeight="1">
      <x:c r="A83" s="14" t="n">
        <x:v>39</x:v>
      </x:c>
      <x:c r="B83" s="14" t="n">
        <x:v>1</x:v>
      </x:c>
      <x:c r="C83" s="14" t="n">
        <x:v>76019</x:v>
      </x:c>
      <x:c r="D83" s="2" t="str">
        <x:v>NAVY</x:v>
      </x:c>
      <x:c r="E83" s="2" t="str">
        <x:v>규칙형</x:v>
      </x:c>
      <x:c r="F83" s="2" t="str">
        <x:v>0만</x:v>
      </x:c>
      <x:c r="G83" s="2" t="str">
        <x:v>승</x:v>
      </x:c>
      <x:c r="H83" s="14" t="n">
        <x:v>4</x:v>
      </x:c>
      <x:c r="I83" s="14" t="n">
        <x:v>0</x:v>
      </x:c>
      <x:c r="J83" s="14" t="n">
        <x:v>9</x:v>
      </x:c>
      <x:c r="K83" s="14" t="n">
        <x:v>4</x:v>
      </x:c>
      <x:c r="L83" s="15" t="n">
        <x:f>IF(J83=0,"해당 없음",K83/J83)</x:f>
        <x:v>0.4444444444444444</x:v>
      </x:c>
      <x:c r="M83" s="14" t="n">
        <x:v>9</x:v>
      </x:c>
      <x:c r="N83" s="14" t="n">
        <x:v>7</x:v>
      </x:c>
      <x:c r="O83" s="15" t="n">
        <x:f>IF(M83=0,"해당 없음",N83/M83)</x:f>
        <x:v>0.7777777777777778</x:v>
      </x:c>
      <x:c r="P83" s="14" t="n">
        <x:v>103</x:v>
      </x:c>
    </x:row>
    <x:row r="84" ht="22" customHeight="1">
      <x:c r="A84" s="14" t="n">
        <x:v>40</x:v>
      </x:c>
      <x:c r="B84" s="14" t="n">
        <x:v>1</x:v>
      </x:c>
      <x:c r="C84" s="14" t="n">
        <x:v>76019</x:v>
      </x:c>
      <x:c r="D84" s="2" t="str">
        <x:v>RED</x:v>
      </x:c>
      <x:c r="E84" s="2" t="str">
        <x:v>규칙형</x:v>
      </x:c>
      <x:c r="F84" s="2" t="str">
        <x:v>0만</x:v>
      </x:c>
      <x:c r="G84" s="2" t="str">
        <x:v>승</x:v>
      </x:c>
      <x:c r="H84" s="14" t="n">
        <x:v>4</x:v>
      </x:c>
      <x:c r="I84" s="14" t="n">
        <x:v>3</x:v>
      </x:c>
      <x:c r="J84" s="14" t="n">
        <x:v>9</x:v>
      </x:c>
      <x:c r="K84" s="14" t="n">
        <x:v>4</x:v>
      </x:c>
      <x:c r="L84" s="15" t="n">
        <x:f>IF(J84=0,"해당 없음",K84/J84)</x:f>
        <x:v>0.4444444444444444</x:v>
      </x:c>
      <x:c r="M84" s="14" t="n">
        <x:v>7</x:v>
      </x:c>
      <x:c r="N84" s="14" t="n">
        <x:v>6</x:v>
      </x:c>
      <x:c r="O84" s="15" t="n">
        <x:f>IF(M84=0,"해당 없음",N84/M84)</x:f>
        <x:v>0.8571428571428571</x:v>
      </x:c>
      <x:c r="P84" s="14" t="n">
        <x:v>103</x:v>
      </x:c>
    </x:row>
    <x:row r="85" ht="22" customHeight="1">
      <x:c r="A85" s="14" t="n">
        <x:v>40</x:v>
      </x:c>
      <x:c r="B85" s="14" t="n">
        <x:v>1</x:v>
      </x:c>
      <x:c r="C85" s="14" t="n">
        <x:v>76019</x:v>
      </x:c>
      <x:c r="D85" s="2" t="str">
        <x:v>NAVY</x:v>
      </x:c>
      <x:c r="E85" s="2" t="str">
        <x:v>0만</x:v>
      </x:c>
      <x:c r="F85" s="2" t="str">
        <x:v>규칙형</x:v>
      </x:c>
      <x:c r="G85" s="2" t="str">
        <x:v>패</x:v>
      </x:c>
      <x:c r="H85" s="14" t="n">
        <x:v>3</x:v>
      </x:c>
      <x:c r="I85" s="14" t="n">
        <x:v>4</x:v>
      </x:c>
      <x:c r="J85" s="14" t="n">
        <x:v>8</x:v>
      </x:c>
      <x:c r="K85" s="14" t="n">
        <x:v>3</x:v>
      </x:c>
      <x:c r="L85" s="15" t="n">
        <x:f>IF(J85=0,"해당 없음",K85/J85)</x:f>
        <x:v>0.375</x:v>
      </x:c>
      <x:c r="M85" s="14" t="n">
        <x:v>2</x:v>
      </x:c>
      <x:c r="N85" s="14" t="n">
        <x:v>2</x:v>
      </x:c>
      <x:c r="O85" s="15" t="n">
        <x:f>IF(M85=0,"해당 없음",N85/M85)</x:f>
        <x:v>1</x:v>
      </x:c>
      <x:c r="P85" s="14" t="n">
        <x:v>103</x:v>
      </x:c>
    </x:row>
    <x:row r="86" ht="22" customHeight="1">
      <x:c r="A86" s="14" t="n">
        <x:v>41</x:v>
      </x:c>
      <x:c r="B86" s="14" t="n">
        <x:v>2</x:v>
      </x:c>
      <x:c r="C86" s="14" t="n">
        <x:v>76000</x:v>
      </x:c>
      <x:c r="D86" s="2" t="str">
        <x:v>RED</x:v>
      </x:c>
      <x:c r="E86" s="2" t="str">
        <x:v>40만</x:v>
      </x:c>
      <x:c r="F86" s="2" t="str">
        <x:v>규칙형</x:v>
      </x:c>
      <x:c r="G86" s="2" t="str">
        <x:v>패</x:v>
      </x:c>
      <x:c r="H86" s="14" t="n">
        <x:v>2</x:v>
      </x:c>
      <x:c r="I86" s="14" t="n">
        <x:v>3</x:v>
      </x:c>
      <x:c r="J86" s="14" t="n">
        <x:v>5</x:v>
      </x:c>
      <x:c r="K86" s="14" t="n">
        <x:v>2</x:v>
      </x:c>
      <x:c r="L86" s="15" t="n">
        <x:f>IF(J86=0,"해당 없음",K86/J86)</x:f>
        <x:v>0.4</x:v>
      </x:c>
      <x:c r="M86" s="14" t="n">
        <x:v>9</x:v>
      </x:c>
      <x:c r="N86" s="14" t="n">
        <x:v>6</x:v>
      </x:c>
      <x:c r="O86" s="15" t="n">
        <x:f>IF(M86=0,"해당 없음",N86/M86)</x:f>
        <x:v>0.6666666666666666</x:v>
      </x:c>
      <x:c r="P86" s="14" t="n">
        <x:v>102</x:v>
      </x:c>
    </x:row>
    <x:row r="87" ht="22" customHeight="1">
      <x:c r="A87" s="14" t="n">
        <x:v>41</x:v>
      </x:c>
      <x:c r="B87" s="14" t="n">
        <x:v>2</x:v>
      </x:c>
      <x:c r="C87" s="14" t="n">
        <x:v>76000</x:v>
      </x:c>
      <x:c r="D87" s="2" t="str">
        <x:v>NAVY</x:v>
      </x:c>
      <x:c r="E87" s="2" t="str">
        <x:v>규칙형</x:v>
      </x:c>
      <x:c r="F87" s="2" t="str">
        <x:v>40만</x:v>
      </x:c>
      <x:c r="G87" s="2" t="str">
        <x:v>승</x:v>
      </x:c>
      <x:c r="H87" s="14" t="n">
        <x:v>3</x:v>
      </x:c>
      <x:c r="I87" s="14" t="n">
        <x:v>2</x:v>
      </x:c>
      <x:c r="J87" s="14" t="n">
        <x:v>8</x:v>
      </x:c>
      <x:c r="K87" s="14" t="n">
        <x:v>3</x:v>
      </x:c>
      <x:c r="L87" s="15" t="n">
        <x:f>IF(J87=0,"해당 없음",K87/J87)</x:f>
        <x:v>0.375</x:v>
      </x:c>
      <x:c r="M87" s="14" t="n">
        <x:v>3</x:v>
      </x:c>
      <x:c r="N87" s="14" t="n">
        <x:v>3</x:v>
      </x:c>
      <x:c r="O87" s="15" t="n">
        <x:f>IF(M87=0,"해당 없음",N87/M87)</x:f>
        <x:v>1</x:v>
      </x:c>
      <x:c r="P87" s="14" t="n">
        <x:v>103</x:v>
      </x:c>
    </x:row>
    <x:row r="88" ht="22" customHeight="1">
      <x:c r="A88" s="14" t="n">
        <x:v>42</x:v>
      </x:c>
      <x:c r="B88" s="14" t="n">
        <x:v>2</x:v>
      </x:c>
      <x:c r="C88" s="14" t="n">
        <x:v>76000</x:v>
      </x:c>
      <x:c r="D88" s="2" t="str">
        <x:v>RED</x:v>
      </x:c>
      <x:c r="E88" s="2" t="str">
        <x:v>규칙형</x:v>
      </x:c>
      <x:c r="F88" s="2" t="str">
        <x:v>40만</x:v>
      </x:c>
      <x:c r="G88" s="2" t="str">
        <x:v>승</x:v>
      </x:c>
      <x:c r="H88" s="14" t="n">
        <x:v>4</x:v>
      </x:c>
      <x:c r="I88" s="14" t="n">
        <x:v>3</x:v>
      </x:c>
      <x:c r="J88" s="14" t="n">
        <x:v>8</x:v>
      </x:c>
      <x:c r="K88" s="14" t="n">
        <x:v>4</x:v>
      </x:c>
      <x:c r="L88" s="15" t="n">
        <x:f>IF(J88=0,"해당 없음",K88/J88)</x:f>
        <x:v>0.5</x:v>
      </x:c>
      <x:c r="M88" s="14" t="n">
        <x:v>6</x:v>
      </x:c>
      <x:c r="N88" s="14" t="n">
        <x:v>5</x:v>
      </x:c>
      <x:c r="O88" s="15" t="n">
        <x:f>IF(M88=0,"해당 없음",N88/M88)</x:f>
        <x:v>0.8333333333333334</x:v>
      </x:c>
      <x:c r="P88" s="14" t="n">
        <x:v>102</x:v>
      </x:c>
    </x:row>
    <x:row r="89" ht="22" customHeight="1">
      <x:c r="A89" s="14" t="n">
        <x:v>42</x:v>
      </x:c>
      <x:c r="B89" s="14" t="n">
        <x:v>2</x:v>
      </x:c>
      <x:c r="C89" s="14" t="n">
        <x:v>76000</x:v>
      </x:c>
      <x:c r="D89" s="2" t="str">
        <x:v>NAVY</x:v>
      </x:c>
      <x:c r="E89" s="2" t="str">
        <x:v>40만</x:v>
      </x:c>
      <x:c r="F89" s="2" t="str">
        <x:v>규칙형</x:v>
      </x:c>
      <x:c r="G89" s="2" t="str">
        <x:v>패</x:v>
      </x:c>
      <x:c r="H89" s="14" t="n">
        <x:v>3</x:v>
      </x:c>
      <x:c r="I89" s="14" t="n">
        <x:v>4</x:v>
      </x:c>
      <x:c r="J89" s="14" t="n">
        <x:v>6</x:v>
      </x:c>
      <x:c r="K89" s="14" t="n">
        <x:v>3</x:v>
      </x:c>
      <x:c r="L89" s="15" t="n">
        <x:f>IF(J89=0,"해당 없음",K89/J89)</x:f>
        <x:v>0.5</x:v>
      </x:c>
      <x:c r="M89" s="14" t="n">
        <x:v>6</x:v>
      </x:c>
      <x:c r="N89" s="14" t="n">
        <x:v>3</x:v>
      </x:c>
      <x:c r="O89" s="15" t="n">
        <x:f>IF(M89=0,"해당 없음",N89/M89)</x:f>
        <x:v>0.5</x:v>
      </x:c>
      <x:c r="P89" s="14" t="n">
        <x:v>103</x:v>
      </x:c>
    </x:row>
    <x:row r="90" ht="22" customHeight="1">
      <x:c r="A90" s="14" t="n">
        <x:v>43</x:v>
      </x:c>
      <x:c r="B90" s="14" t="n">
        <x:v>2</x:v>
      </x:c>
      <x:c r="C90" s="14" t="n">
        <x:v>76001</x:v>
      </x:c>
      <x:c r="D90" s="2" t="str">
        <x:v>RED</x:v>
      </x:c>
      <x:c r="E90" s="2" t="str">
        <x:v>40만</x:v>
      </x:c>
      <x:c r="F90" s="2" t="str">
        <x:v>규칙형</x:v>
      </x:c>
      <x:c r="G90" s="2" t="str">
        <x:v>패</x:v>
      </x:c>
      <x:c r="H90" s="14" t="n">
        <x:v>3</x:v>
      </x:c>
      <x:c r="I90" s="14" t="n">
        <x:v>4</x:v>
      </x:c>
      <x:c r="J90" s="14" t="n">
        <x:v>10</x:v>
      </x:c>
      <x:c r="K90" s="14" t="n">
        <x:v>3</x:v>
      </x:c>
      <x:c r="L90" s="15" t="n">
        <x:f>IF(J90=0,"해당 없음",K90/J90)</x:f>
        <x:v>0.3</x:v>
      </x:c>
      <x:c r="M90" s="14" t="n">
        <x:v>5</x:v>
      </x:c>
      <x:c r="N90" s="14" t="n">
        <x:v>5</x:v>
      </x:c>
      <x:c r="O90" s="15" t="n">
        <x:f>IF(M90=0,"해당 없음",N90/M90)</x:f>
        <x:v>1</x:v>
      </x:c>
      <x:c r="P90" s="14" t="n">
        <x:v>104</x:v>
      </x:c>
    </x:row>
    <x:row r="91" ht="22" customHeight="1">
      <x:c r="A91" s="14" t="n">
        <x:v>43</x:v>
      </x:c>
      <x:c r="B91" s="14" t="n">
        <x:v>2</x:v>
      </x:c>
      <x:c r="C91" s="14" t="n">
        <x:v>76001</x:v>
      </x:c>
      <x:c r="D91" s="2" t="str">
        <x:v>NAVY</x:v>
      </x:c>
      <x:c r="E91" s="2" t="str">
        <x:v>규칙형</x:v>
      </x:c>
      <x:c r="F91" s="2" t="str">
        <x:v>40만</x:v>
      </x:c>
      <x:c r="G91" s="2" t="str">
        <x:v>승</x:v>
      </x:c>
      <x:c r="H91" s="14" t="n">
        <x:v>4</x:v>
      </x:c>
      <x:c r="I91" s="14" t="n">
        <x:v>3</x:v>
      </x:c>
      <x:c r="J91" s="14" t="n">
        <x:v>8</x:v>
      </x:c>
      <x:c r="K91" s="14" t="n">
        <x:v>4</x:v>
      </x:c>
      <x:c r="L91" s="15" t="n">
        <x:f>IF(J91=0,"해당 없음",K91/J91)</x:f>
        <x:v>0.5</x:v>
      </x:c>
      <x:c r="M91" s="14" t="n">
        <x:v>8</x:v>
      </x:c>
      <x:c r="N91" s="14" t="n">
        <x:v>3</x:v>
      </x:c>
      <x:c r="O91" s="15" t="n">
        <x:f>IF(M91=0,"해당 없음",N91/M91)</x:f>
        <x:v>0.375</x:v>
      </x:c>
      <x:c r="P91" s="14" t="n">
        <x:v>104</x:v>
      </x:c>
    </x:row>
    <x:row r="92" ht="22" customHeight="1">
      <x:c r="A92" s="14" t="n">
        <x:v>44</x:v>
      </x:c>
      <x:c r="B92" s="14" t="n">
        <x:v>2</x:v>
      </x:c>
      <x:c r="C92" s="14" t="n">
        <x:v>76001</x:v>
      </x:c>
      <x:c r="D92" s="2" t="str">
        <x:v>RED</x:v>
      </x:c>
      <x:c r="E92" s="2" t="str">
        <x:v>규칙형</x:v>
      </x:c>
      <x:c r="F92" s="2" t="str">
        <x:v>40만</x:v>
      </x:c>
      <x:c r="G92" s="2" t="str">
        <x:v>무</x:v>
      </x:c>
      <x:c r="H92" s="14" t="n">
        <x:v>2</x:v>
      </x:c>
      <x:c r="I92" s="14" t="n">
        <x:v>2</x:v>
      </x:c>
      <x:c r="J92" s="14" t="n">
        <x:v>7</x:v>
      </x:c>
      <x:c r="K92" s="14" t="n">
        <x:v>2</x:v>
      </x:c>
      <x:c r="L92" s="15" t="n">
        <x:f>IF(J92=0,"해당 없음",K92/J92)</x:f>
        <x:v>0.2857142857142857</x:v>
      </x:c>
      <x:c r="M92" s="14" t="n">
        <x:v>11</x:v>
      </x:c>
      <x:c r="N92" s="14" t="n">
        <x:v>11</x:v>
      </x:c>
      <x:c r="O92" s="15" t="n">
        <x:f>IF(M92=0,"해당 없음",N92/M92)</x:f>
        <x:v>1</x:v>
      </x:c>
      <x:c r="P92" s="14" t="n">
        <x:v>102</x:v>
      </x:c>
    </x:row>
    <x:row r="93" ht="22" customHeight="1">
      <x:c r="A93" s="14" t="n">
        <x:v>44</x:v>
      </x:c>
      <x:c r="B93" s="14" t="n">
        <x:v>2</x:v>
      </x:c>
      <x:c r="C93" s="14" t="n">
        <x:v>76001</x:v>
      </x:c>
      <x:c r="D93" s="2" t="str">
        <x:v>NAVY</x:v>
      </x:c>
      <x:c r="E93" s="2" t="str">
        <x:v>40만</x:v>
      </x:c>
      <x:c r="F93" s="2" t="str">
        <x:v>규칙형</x:v>
      </x:c>
      <x:c r="G93" s="2" t="str">
        <x:v>무</x:v>
      </x:c>
      <x:c r="H93" s="14" t="n">
        <x:v>2</x:v>
      </x:c>
      <x:c r="I93" s="14" t="n">
        <x:v>2</x:v>
      </x:c>
      <x:c r="J93" s="14" t="n">
        <x:v>8</x:v>
      </x:c>
      <x:c r="K93" s="14" t="n">
        <x:v>2</x:v>
      </x:c>
      <x:c r="L93" s="15" t="n">
        <x:f>IF(J93=0,"해당 없음",K93/J93)</x:f>
        <x:v>0.25</x:v>
      </x:c>
      <x:c r="M93" s="14" t="n">
        <x:v>7</x:v>
      </x:c>
      <x:c r="N93" s="14" t="n">
        <x:v>5</x:v>
      </x:c>
      <x:c r="O93" s="15" t="n">
        <x:f>IF(M93=0,"해당 없음",N93/M93)</x:f>
        <x:v>0.7142857142857143</x:v>
      </x:c>
      <x:c r="P93" s="14" t="n">
        <x:v>103</x:v>
      </x:c>
    </x:row>
    <x:row r="94" ht="22" customHeight="1">
      <x:c r="A94" s="14" t="n">
        <x:v>45</x:v>
      </x:c>
      <x:c r="B94" s="14" t="n">
        <x:v>2</x:v>
      </x:c>
      <x:c r="C94" s="14" t="n">
        <x:v>76002</x:v>
      </x:c>
      <x:c r="D94" s="2" t="str">
        <x:v>RED</x:v>
      </x:c>
      <x:c r="E94" s="2" t="str">
        <x:v>40만</x:v>
      </x:c>
      <x:c r="F94" s="2" t="str">
        <x:v>규칙형</x:v>
      </x:c>
      <x:c r="G94" s="2" t="str">
        <x:v>승</x:v>
      </x:c>
      <x:c r="H94" s="14" t="n">
        <x:v>3</x:v>
      </x:c>
      <x:c r="I94" s="14" t="n">
        <x:v>2</x:v>
      </x:c>
      <x:c r="J94" s="14" t="n">
        <x:v>10</x:v>
      </x:c>
      <x:c r="K94" s="14" t="n">
        <x:v>3</x:v>
      </x:c>
      <x:c r="L94" s="15" t="n">
        <x:f>IF(J94=0,"해당 없음",K94/J94)</x:f>
        <x:v>0.3</x:v>
      </x:c>
      <x:c r="M94" s="14" t="n">
        <x:v>4</x:v>
      </x:c>
      <x:c r="N94" s="14" t="n">
        <x:v>4</x:v>
      </x:c>
      <x:c r="O94" s="15" t="n">
        <x:f>IF(M94=0,"해당 없음",N94/M94)</x:f>
        <x:v>1</x:v>
      </x:c>
      <x:c r="P94" s="14" t="n">
        <x:v>101</x:v>
      </x:c>
    </x:row>
    <x:row r="95" ht="22" customHeight="1">
      <x:c r="A95" s="14" t="n">
        <x:v>45</x:v>
      </x:c>
      <x:c r="B95" s="14" t="n">
        <x:v>2</x:v>
      </x:c>
      <x:c r="C95" s="14" t="n">
        <x:v>76002</x:v>
      </x:c>
      <x:c r="D95" s="2" t="str">
        <x:v>NAVY</x:v>
      </x:c>
      <x:c r="E95" s="2" t="str">
        <x:v>규칙형</x:v>
      </x:c>
      <x:c r="F95" s="2" t="str">
        <x:v>40만</x:v>
      </x:c>
      <x:c r="G95" s="2" t="str">
        <x:v>패</x:v>
      </x:c>
      <x:c r="H95" s="14" t="n">
        <x:v>2</x:v>
      </x:c>
      <x:c r="I95" s="14" t="n">
        <x:v>3</x:v>
      </x:c>
      <x:c r="J95" s="14" t="n">
        <x:v>6</x:v>
      </x:c>
      <x:c r="K95" s="14" t="n">
        <x:v>2</x:v>
      </x:c>
      <x:c r="L95" s="15" t="n">
        <x:f>IF(J95=0,"해당 없음",K95/J95)</x:f>
        <x:v>0.3333333333333333</x:v>
      </x:c>
      <x:c r="M95" s="14" t="n">
        <x:v>8</x:v>
      </x:c>
      <x:c r="N95" s="14" t="n">
        <x:v>7</x:v>
      </x:c>
      <x:c r="O95" s="15" t="n">
        <x:f>IF(M95=0,"해당 없음",N95/M95)</x:f>
        <x:v>0.875</x:v>
      </x:c>
      <x:c r="P95" s="14" t="n">
        <x:v>101</x:v>
      </x:c>
    </x:row>
    <x:row r="96" ht="22" customHeight="1">
      <x:c r="A96" s="14" t="n">
        <x:v>46</x:v>
      </x:c>
      <x:c r="B96" s="14" t="n">
        <x:v>2</x:v>
      </x:c>
      <x:c r="C96" s="14" t="n">
        <x:v>76002</x:v>
      </x:c>
      <x:c r="D96" s="2" t="str">
        <x:v>RED</x:v>
      </x:c>
      <x:c r="E96" s="2" t="str">
        <x:v>규칙형</x:v>
      </x:c>
      <x:c r="F96" s="2" t="str">
        <x:v>40만</x:v>
      </x:c>
      <x:c r="G96" s="2" t="str">
        <x:v>패</x:v>
      </x:c>
      <x:c r="H96" s="14" t="n">
        <x:v>4</x:v>
      </x:c>
      <x:c r="I96" s="14" t="n">
        <x:v>5</x:v>
      </x:c>
      <x:c r="J96" s="14" t="n">
        <x:v>9</x:v>
      </x:c>
      <x:c r="K96" s="14" t="n">
        <x:v>4</x:v>
      </x:c>
      <x:c r="L96" s="15" t="n">
        <x:f>IF(J96=0,"해당 없음",K96/J96)</x:f>
        <x:v>0.4444444444444444</x:v>
      </x:c>
      <x:c r="M96" s="14" t="n">
        <x:v>6</x:v>
      </x:c>
      <x:c r="N96" s="14" t="n">
        <x:v>5</x:v>
      </x:c>
      <x:c r="O96" s="15" t="n">
        <x:f>IF(M96=0,"해당 없음",N96/M96)</x:f>
        <x:v>0.8333333333333334</x:v>
      </x:c>
      <x:c r="P96" s="14" t="n">
        <x:v>105</x:v>
      </x:c>
    </x:row>
    <x:row r="97" ht="22" customHeight="1">
      <x:c r="A97" s="14" t="n">
        <x:v>46</x:v>
      </x:c>
      <x:c r="B97" s="14" t="n">
        <x:v>2</x:v>
      </x:c>
      <x:c r="C97" s="14" t="n">
        <x:v>76002</x:v>
      </x:c>
      <x:c r="D97" s="2" t="str">
        <x:v>NAVY</x:v>
      </x:c>
      <x:c r="E97" s="2" t="str">
        <x:v>40만</x:v>
      </x:c>
      <x:c r="F97" s="2" t="str">
        <x:v>규칙형</x:v>
      </x:c>
      <x:c r="G97" s="2" t="str">
        <x:v>승</x:v>
      </x:c>
      <x:c r="H97" s="14" t="n">
        <x:v>5</x:v>
      </x:c>
      <x:c r="I97" s="14" t="n">
        <x:v>4</x:v>
      </x:c>
      <x:c r="J97" s="14" t="n">
        <x:v>8</x:v>
      </x:c>
      <x:c r="K97" s="14" t="n">
        <x:v>5</x:v>
      </x:c>
      <x:c r="L97" s="15" t="n">
        <x:f>IF(J97=0,"해당 없음",K97/J97)</x:f>
        <x:v>0.625</x:v>
      </x:c>
      <x:c r="M97" s="14" t="n">
        <x:v>11</x:v>
      </x:c>
      <x:c r="N97" s="14" t="n">
        <x:v>7</x:v>
      </x:c>
      <x:c r="O97" s="15" t="n">
        <x:f>IF(M97=0,"해당 없음",N97/M97)</x:f>
        <x:v>0.6363636363636364</x:v>
      </x:c>
      <x:c r="P97" s="14" t="n">
        <x:v>103</x:v>
      </x:c>
    </x:row>
    <x:row r="98" ht="22" customHeight="1">
      <x:c r="A98" s="14" t="n">
        <x:v>47</x:v>
      </x:c>
      <x:c r="B98" s="14" t="n">
        <x:v>2</x:v>
      </x:c>
      <x:c r="C98" s="14" t="n">
        <x:v>76003</x:v>
      </x:c>
      <x:c r="D98" s="2" t="str">
        <x:v>RED</x:v>
      </x:c>
      <x:c r="E98" s="2" t="str">
        <x:v>40만</x:v>
      </x:c>
      <x:c r="F98" s="2" t="str">
        <x:v>규칙형</x:v>
      </x:c>
      <x:c r="G98" s="2" t="str">
        <x:v>승</x:v>
      </x:c>
      <x:c r="H98" s="14" t="n">
        <x:v>4</x:v>
      </x:c>
      <x:c r="I98" s="14" t="n">
        <x:v>3</x:v>
      </x:c>
      <x:c r="J98" s="14" t="n">
        <x:v>8</x:v>
      </x:c>
      <x:c r="K98" s="14" t="n">
        <x:v>4</x:v>
      </x:c>
      <x:c r="L98" s="15" t="n">
        <x:f>IF(J98=0,"해당 없음",K98/J98)</x:f>
        <x:v>0.5</x:v>
      </x:c>
      <x:c r="M98" s="14" t="n">
        <x:v>7</x:v>
      </x:c>
      <x:c r="N98" s="14" t="n">
        <x:v>6</x:v>
      </x:c>
      <x:c r="O98" s="15" t="n">
        <x:f>IF(M98=0,"해당 없음",N98/M98)</x:f>
        <x:v>0.8571428571428571</x:v>
      </x:c>
      <x:c r="P98" s="14" t="n">
        <x:v>104</x:v>
      </x:c>
    </x:row>
    <x:row r="99" ht="22" customHeight="1">
      <x:c r="A99" s="14" t="n">
        <x:v>47</x:v>
      </x:c>
      <x:c r="B99" s="14" t="n">
        <x:v>2</x:v>
      </x:c>
      <x:c r="C99" s="14" t="n">
        <x:v>76003</x:v>
      </x:c>
      <x:c r="D99" s="2" t="str">
        <x:v>NAVY</x:v>
      </x:c>
      <x:c r="E99" s="2" t="str">
        <x:v>규칙형</x:v>
      </x:c>
      <x:c r="F99" s="2" t="str">
        <x:v>40만</x:v>
      </x:c>
      <x:c r="G99" s="2" t="str">
        <x:v>패</x:v>
      </x:c>
      <x:c r="H99" s="14" t="n">
        <x:v>3</x:v>
      </x:c>
      <x:c r="I99" s="14" t="n">
        <x:v>4</x:v>
      </x:c>
      <x:c r="J99" s="14" t="n">
        <x:v>8</x:v>
      </x:c>
      <x:c r="K99" s="14" t="n">
        <x:v>3</x:v>
      </x:c>
      <x:c r="L99" s="15" t="n">
        <x:f>IF(J99=0,"해당 없음",K99/J99)</x:f>
        <x:v>0.375</x:v>
      </x:c>
      <x:c r="M99" s="14" t="n">
        <x:v>7</x:v>
      </x:c>
      <x:c r="N99" s="14" t="n">
        <x:v>5</x:v>
      </x:c>
      <x:c r="O99" s="15" t="n">
        <x:f>IF(M99=0,"해당 없음",N99/M99)</x:f>
        <x:v>0.7142857142857143</x:v>
      </x:c>
      <x:c r="P99" s="14" t="n">
        <x:v>104</x:v>
      </x:c>
    </x:row>
    <x:row r="100" ht="22" customHeight="1">
      <x:c r="A100" s="14" t="n">
        <x:v>48</x:v>
      </x:c>
      <x:c r="B100" s="14" t="n">
        <x:v>2</x:v>
      </x:c>
      <x:c r="C100" s="14" t="n">
        <x:v>76003</x:v>
      </x:c>
      <x:c r="D100" s="2" t="str">
        <x:v>RED</x:v>
      </x:c>
      <x:c r="E100" s="2" t="str">
        <x:v>규칙형</x:v>
      </x:c>
      <x:c r="F100" s="2" t="str">
        <x:v>40만</x:v>
      </x:c>
      <x:c r="G100" s="2" t="str">
        <x:v>패</x:v>
      </x:c>
      <x:c r="H100" s="14" t="n">
        <x:v>3</x:v>
      </x:c>
      <x:c r="I100" s="14" t="n">
        <x:v>5</x:v>
      </x:c>
      <x:c r="J100" s="14" t="n">
        <x:v>8</x:v>
      </x:c>
      <x:c r="K100" s="14" t="n">
        <x:v>3</x:v>
      </x:c>
      <x:c r="L100" s="15" t="n">
        <x:f>IF(J100=0,"해당 없음",K100/J100)</x:f>
        <x:v>0.375</x:v>
      </x:c>
      <x:c r="M100" s="14" t="n">
        <x:v>3</x:v>
      </x:c>
      <x:c r="N100" s="14" t="n">
        <x:v>3</x:v>
      </x:c>
      <x:c r="O100" s="15" t="n">
        <x:f>IF(M100=0,"해당 없음",N100/M100)</x:f>
        <x:v>1</x:v>
      </x:c>
      <x:c r="P100" s="14" t="n">
        <x:v>105</x:v>
      </x:c>
    </x:row>
    <x:row r="101" ht="22" customHeight="1">
      <x:c r="A101" s="14" t="n">
        <x:v>48</x:v>
      </x:c>
      <x:c r="B101" s="14" t="n">
        <x:v>2</x:v>
      </x:c>
      <x:c r="C101" s="14" t="n">
        <x:v>76003</x:v>
      </x:c>
      <x:c r="D101" s="2" t="str">
        <x:v>NAVY</x:v>
      </x:c>
      <x:c r="E101" s="2" t="str">
        <x:v>40만</x:v>
      </x:c>
      <x:c r="F101" s="2" t="str">
        <x:v>규칙형</x:v>
      </x:c>
      <x:c r="G101" s="2" t="str">
        <x:v>승</x:v>
      </x:c>
      <x:c r="H101" s="14" t="n">
        <x:v>5</x:v>
      </x:c>
      <x:c r="I101" s="14" t="n">
        <x:v>3</x:v>
      </x:c>
      <x:c r="J101" s="14" t="n">
        <x:v>7</x:v>
      </x:c>
      <x:c r="K101" s="14" t="n">
        <x:v>5</x:v>
      </x:c>
      <x:c r="L101" s="15" t="n">
        <x:f>IF(J101=0,"해당 없음",K101/J101)</x:f>
        <x:v>0.7142857142857143</x:v>
      </x:c>
      <x:c r="M101" s="14" t="n">
        <x:v>4</x:v>
      </x:c>
      <x:c r="N101" s="14" t="n">
        <x:v>4</x:v>
      </x:c>
      <x:c r="O101" s="15" t="n">
        <x:f>IF(M101=0,"해당 없음",N101/M101)</x:f>
        <x:v>1</x:v>
      </x:c>
      <x:c r="P101" s="14" t="n">
        <x:v>104</x:v>
      </x:c>
    </x:row>
    <x:row r="102" ht="22" customHeight="1">
      <x:c r="A102" s="14" t="n">
        <x:v>49</x:v>
      </x:c>
      <x:c r="B102" s="14" t="n">
        <x:v>2</x:v>
      </x:c>
      <x:c r="C102" s="14" t="n">
        <x:v>76004</x:v>
      </x:c>
      <x:c r="D102" s="2" t="str">
        <x:v>RED</x:v>
      </x:c>
      <x:c r="E102" s="2" t="str">
        <x:v>40만</x:v>
      </x:c>
      <x:c r="F102" s="2" t="str">
        <x:v>규칙형</x:v>
      </x:c>
      <x:c r="G102" s="2" t="str">
        <x:v>패</x:v>
      </x:c>
      <x:c r="H102" s="14" t="n">
        <x:v>1</x:v>
      </x:c>
      <x:c r="I102" s="14" t="n">
        <x:v>6</x:v>
      </x:c>
      <x:c r="J102" s="14" t="n">
        <x:v>7</x:v>
      </x:c>
      <x:c r="K102" s="14" t="n">
        <x:v>1</x:v>
      </x:c>
      <x:c r="L102" s="15" t="n">
        <x:f>IF(J102=0,"해당 없음",K102/J102)</x:f>
        <x:v>0.14285714285714285</x:v>
      </x:c>
      <x:c r="M102" s="14" t="n">
        <x:v>3</x:v>
      </x:c>
      <x:c r="N102" s="14" t="n">
        <x:v>2</x:v>
      </x:c>
      <x:c r="O102" s="15" t="n">
        <x:f>IF(M102=0,"해당 없음",N102/M102)</x:f>
        <x:v>0.6666666666666666</x:v>
      </x:c>
      <x:c r="P102" s="14" t="n">
        <x:v>104</x:v>
      </x:c>
    </x:row>
    <x:row r="103" ht="22" customHeight="1">
      <x:c r="A103" s="14" t="n">
        <x:v>49</x:v>
      </x:c>
      <x:c r="B103" s="14" t="n">
        <x:v>2</x:v>
      </x:c>
      <x:c r="C103" s="14" t="n">
        <x:v>76004</x:v>
      </x:c>
      <x:c r="D103" s="2" t="str">
        <x:v>NAVY</x:v>
      </x:c>
      <x:c r="E103" s="2" t="str">
        <x:v>규칙형</x:v>
      </x:c>
      <x:c r="F103" s="2" t="str">
        <x:v>40만</x:v>
      </x:c>
      <x:c r="G103" s="2" t="str">
        <x:v>승</x:v>
      </x:c>
      <x:c r="H103" s="14" t="n">
        <x:v>6</x:v>
      </x:c>
      <x:c r="I103" s="14" t="n">
        <x:v>1</x:v>
      </x:c>
      <x:c r="J103" s="14" t="n">
        <x:v>7</x:v>
      </x:c>
      <x:c r="K103" s="14" t="n">
        <x:v>6</x:v>
      </x:c>
      <x:c r="L103" s="15" t="n">
        <x:f>IF(J103=0,"해당 없음",K103/J103)</x:f>
        <x:v>0.8571428571428571</x:v>
      </x:c>
      <x:c r="M103" s="14" t="n">
        <x:v>12</x:v>
      </x:c>
      <x:c r="N103" s="14" t="n">
        <x:v>10</x:v>
      </x:c>
      <x:c r="O103" s="15" t="n">
        <x:f>IF(M103=0,"해당 없음",N103/M103)</x:f>
        <x:v>0.8333333333333334</x:v>
      </x:c>
      <x:c r="P103" s="14" t="n">
        <x:v>103</x:v>
      </x:c>
    </x:row>
    <x:row r="104" ht="22" customHeight="1">
      <x:c r="A104" s="14" t="n">
        <x:v>50</x:v>
      </x:c>
      <x:c r="B104" s="14" t="n">
        <x:v>2</x:v>
      </x:c>
      <x:c r="C104" s="14" t="n">
        <x:v>76004</x:v>
      </x:c>
      <x:c r="D104" s="2" t="str">
        <x:v>RED</x:v>
      </x:c>
      <x:c r="E104" s="2" t="str">
        <x:v>규칙형</x:v>
      </x:c>
      <x:c r="F104" s="2" t="str">
        <x:v>40만</x:v>
      </x:c>
      <x:c r="G104" s="2" t="str">
        <x:v>승</x:v>
      </x:c>
      <x:c r="H104" s="14" t="n">
        <x:v>5</x:v>
      </x:c>
      <x:c r="I104" s="14" t="n">
        <x:v>4</x:v>
      </x:c>
      <x:c r="J104" s="14" t="n">
        <x:v>8</x:v>
      </x:c>
      <x:c r="K104" s="14" t="n">
        <x:v>5</x:v>
      </x:c>
      <x:c r="L104" s="15" t="n">
        <x:f>IF(J104=0,"해당 없음",K104/J104)</x:f>
        <x:v>0.625</x:v>
      </x:c>
      <x:c r="M104" s="14" t="n">
        <x:v>9</x:v>
      </x:c>
      <x:c r="N104" s="14" t="n">
        <x:v>6</x:v>
      </x:c>
      <x:c r="O104" s="15" t="n">
        <x:f>IF(M104=0,"해당 없음",N104/M104)</x:f>
        <x:v>0.6666666666666666</x:v>
      </x:c>
      <x:c r="P104" s="14" t="n">
        <x:v>104</x:v>
      </x:c>
    </x:row>
    <x:row r="105" ht="22" customHeight="1">
      <x:c r="A105" s="14" t="n">
        <x:v>50</x:v>
      </x:c>
      <x:c r="B105" s="14" t="n">
        <x:v>2</x:v>
      </x:c>
      <x:c r="C105" s="14" t="n">
        <x:v>76004</x:v>
      </x:c>
      <x:c r="D105" s="2" t="str">
        <x:v>NAVY</x:v>
      </x:c>
      <x:c r="E105" s="2" t="str">
        <x:v>40만</x:v>
      </x:c>
      <x:c r="F105" s="2" t="str">
        <x:v>규칙형</x:v>
      </x:c>
      <x:c r="G105" s="2" t="str">
        <x:v>패</x:v>
      </x:c>
      <x:c r="H105" s="14" t="n">
        <x:v>4</x:v>
      </x:c>
      <x:c r="I105" s="14" t="n">
        <x:v>5</x:v>
      </x:c>
      <x:c r="J105" s="14" t="n">
        <x:v>9</x:v>
      </x:c>
      <x:c r="K105" s="14" t="n">
        <x:v>4</x:v>
      </x:c>
      <x:c r="L105" s="15" t="n">
        <x:f>IF(J105=0,"해당 없음",K105/J105)</x:f>
        <x:v>0.4444444444444444</x:v>
      </x:c>
      <x:c r="M105" s="14" t="n">
        <x:v>3</x:v>
      </x:c>
      <x:c r="N105" s="14" t="n">
        <x:v>3</x:v>
      </x:c>
      <x:c r="O105" s="15" t="n">
        <x:f>IF(M105=0,"해당 없음",N105/M105)</x:f>
        <x:v>1</x:v>
      </x:c>
      <x:c r="P105" s="14" t="n">
        <x:v>105</x:v>
      </x:c>
    </x:row>
    <x:row r="106" ht="22" customHeight="1">
      <x:c r="A106" s="14" t="n">
        <x:v>51</x:v>
      </x:c>
      <x:c r="B106" s="14" t="n">
        <x:v>2</x:v>
      </x:c>
      <x:c r="C106" s="14" t="n">
        <x:v>76005</x:v>
      </x:c>
      <x:c r="D106" s="2" t="str">
        <x:v>RED</x:v>
      </x:c>
      <x:c r="E106" s="2" t="str">
        <x:v>40만</x:v>
      </x:c>
      <x:c r="F106" s="2" t="str">
        <x:v>규칙형</x:v>
      </x:c>
      <x:c r="G106" s="2" t="str">
        <x:v>패</x:v>
      </x:c>
      <x:c r="H106" s="14" t="n">
        <x:v>2</x:v>
      </x:c>
      <x:c r="I106" s="14" t="n">
        <x:v>3</x:v>
      </x:c>
      <x:c r="J106" s="14" t="n">
        <x:v>8</x:v>
      </x:c>
      <x:c r="K106" s="14" t="n">
        <x:v>2</x:v>
      </x:c>
      <x:c r="L106" s="15" t="n">
        <x:f>IF(J106=0,"해당 없음",K106/J106)</x:f>
        <x:v>0.25</x:v>
      </x:c>
      <x:c r="M106" s="14" t="n">
        <x:v>5</x:v>
      </x:c>
      <x:c r="N106" s="14" t="n">
        <x:v>3</x:v>
      </x:c>
      <x:c r="O106" s="15" t="n">
        <x:f>IF(M106=0,"해당 없음",N106/M106)</x:f>
        <x:v>0.6</x:v>
      </x:c>
      <x:c r="P106" s="14" t="n">
        <x:v>103</x:v>
      </x:c>
    </x:row>
    <x:row r="107" ht="22" customHeight="1">
      <x:c r="A107" s="14" t="n">
        <x:v>51</x:v>
      </x:c>
      <x:c r="B107" s="14" t="n">
        <x:v>2</x:v>
      </x:c>
      <x:c r="C107" s="14" t="n">
        <x:v>76005</x:v>
      </x:c>
      <x:c r="D107" s="2" t="str">
        <x:v>NAVY</x:v>
      </x:c>
      <x:c r="E107" s="2" t="str">
        <x:v>규칙형</x:v>
      </x:c>
      <x:c r="F107" s="2" t="str">
        <x:v>40만</x:v>
      </x:c>
      <x:c r="G107" s="2" t="str">
        <x:v>승</x:v>
      </x:c>
      <x:c r="H107" s="14" t="n">
        <x:v>3</x:v>
      </x:c>
      <x:c r="I107" s="14" t="n">
        <x:v>2</x:v>
      </x:c>
      <x:c r="J107" s="14" t="n">
        <x:v>9</x:v>
      </x:c>
      <x:c r="K107" s="14" t="n">
        <x:v>3</x:v>
      </x:c>
      <x:c r="L107" s="15" t="n">
        <x:f>IF(J107=0,"해당 없음",K107/J107)</x:f>
        <x:v>0.3333333333333333</x:v>
      </x:c>
      <x:c r="M107" s="14" t="n">
        <x:v>5</x:v>
      </x:c>
      <x:c r="N107" s="14" t="n">
        <x:v>5</x:v>
      </x:c>
      <x:c r="O107" s="15" t="n">
        <x:f>IF(M107=0,"해당 없음",N107/M107)</x:f>
        <x:v>1</x:v>
      </x:c>
      <x:c r="P107" s="14" t="n">
        <x:v>103</x:v>
      </x:c>
    </x:row>
    <x:row r="108" ht="22" customHeight="1">
      <x:c r="A108" s="14" t="n">
        <x:v>52</x:v>
      </x:c>
      <x:c r="B108" s="14" t="n">
        <x:v>2</x:v>
      </x:c>
      <x:c r="C108" s="14" t="n">
        <x:v>76005</x:v>
      </x:c>
      <x:c r="D108" s="2" t="str">
        <x:v>RED</x:v>
      </x:c>
      <x:c r="E108" s="2" t="str">
        <x:v>규칙형</x:v>
      </x:c>
      <x:c r="F108" s="2" t="str">
        <x:v>40만</x:v>
      </x:c>
      <x:c r="G108" s="2" t="str">
        <x:v>무</x:v>
      </x:c>
      <x:c r="H108" s="14" t="n">
        <x:v>4</x:v>
      </x:c>
      <x:c r="I108" s="14" t="n">
        <x:v>4</x:v>
      </x:c>
      <x:c r="J108" s="14" t="n">
        <x:v>6</x:v>
      </x:c>
      <x:c r="K108" s="14" t="n">
        <x:v>4</x:v>
      </x:c>
      <x:c r="L108" s="15" t="n">
        <x:f>IF(J108=0,"해당 없음",K108/J108)</x:f>
        <x:v>0.6666666666666666</x:v>
      </x:c>
      <x:c r="M108" s="14" t="n">
        <x:v>7</x:v>
      </x:c>
      <x:c r="N108" s="14" t="n">
        <x:v>5</x:v>
      </x:c>
      <x:c r="O108" s="15" t="n">
        <x:f>IF(M108=0,"해당 없음",N108/M108)</x:f>
        <x:v>0.7142857142857143</x:v>
      </x:c>
      <x:c r="P108" s="14" t="n">
        <x:v>104</x:v>
      </x:c>
    </x:row>
    <x:row r="109" ht="22" customHeight="1">
      <x:c r="A109" s="14" t="n">
        <x:v>52</x:v>
      </x:c>
      <x:c r="B109" s="14" t="n">
        <x:v>2</x:v>
      </x:c>
      <x:c r="C109" s="14" t="n">
        <x:v>76005</x:v>
      </x:c>
      <x:c r="D109" s="2" t="str">
        <x:v>NAVY</x:v>
      </x:c>
      <x:c r="E109" s="2" t="str">
        <x:v>40만</x:v>
      </x:c>
      <x:c r="F109" s="2" t="str">
        <x:v>규칙형</x:v>
      </x:c>
      <x:c r="G109" s="2" t="str">
        <x:v>무</x:v>
      </x:c>
      <x:c r="H109" s="14" t="n">
        <x:v>4</x:v>
      </x:c>
      <x:c r="I109" s="14" t="n">
        <x:v>4</x:v>
      </x:c>
      <x:c r="J109" s="14" t="n">
        <x:v>8</x:v>
      </x:c>
      <x:c r="K109" s="14" t="n">
        <x:v>4</x:v>
      </x:c>
      <x:c r="L109" s="15" t="n">
        <x:f>IF(J109=0,"해당 없음",K109/J109)</x:f>
        <x:v>0.5</x:v>
      </x:c>
      <x:c r="M109" s="14" t="n">
        <x:v>3</x:v>
      </x:c>
      <x:c r="N109" s="14" t="n">
        <x:v>3</x:v>
      </x:c>
      <x:c r="O109" s="15" t="n">
        <x:f>IF(M109=0,"해당 없음",N109/M109)</x:f>
        <x:v>1</x:v>
      </x:c>
      <x:c r="P109" s="14" t="n">
        <x:v>104</x:v>
      </x:c>
    </x:row>
    <x:row r="110" ht="22" customHeight="1">
      <x:c r="A110" s="14" t="n">
        <x:v>53</x:v>
      </x:c>
      <x:c r="B110" s="14" t="n">
        <x:v>2</x:v>
      </x:c>
      <x:c r="C110" s="14" t="n">
        <x:v>76006</x:v>
      </x:c>
      <x:c r="D110" s="2" t="str">
        <x:v>RED</x:v>
      </x:c>
      <x:c r="E110" s="2" t="str">
        <x:v>40만</x:v>
      </x:c>
      <x:c r="F110" s="2" t="str">
        <x:v>규칙형</x:v>
      </x:c>
      <x:c r="G110" s="2" t="str">
        <x:v>승</x:v>
      </x:c>
      <x:c r="H110" s="14" t="n">
        <x:v>5</x:v>
      </x:c>
      <x:c r="I110" s="14" t="n">
        <x:v>2</x:v>
      </x:c>
      <x:c r="J110" s="14" t="n">
        <x:v>11</x:v>
      </x:c>
      <x:c r="K110" s="14" t="n">
        <x:v>4</x:v>
      </x:c>
      <x:c r="L110" s="15" t="n">
        <x:f>IF(J110=0,"해당 없음",K110/J110)</x:f>
        <x:v>0.36363636363636365</x:v>
      </x:c>
      <x:c r="M110" s="14" t="n">
        <x:v>7</x:v>
      </x:c>
      <x:c r="N110" s="14" t="n">
        <x:v>5</x:v>
      </x:c>
      <x:c r="O110" s="15" t="n">
        <x:f>IF(M110=0,"해당 없음",N110/M110)</x:f>
        <x:v>0.7142857142857143</x:v>
      </x:c>
      <x:c r="P110" s="14" t="n">
        <x:v>103</x:v>
      </x:c>
    </x:row>
    <x:row r="111" ht="22" customHeight="1">
      <x:c r="A111" s="14" t="n">
        <x:v>53</x:v>
      </x:c>
      <x:c r="B111" s="14" t="n">
        <x:v>2</x:v>
      </x:c>
      <x:c r="C111" s="14" t="n">
        <x:v>76006</x:v>
      </x:c>
      <x:c r="D111" s="2" t="str">
        <x:v>NAVY</x:v>
      </x:c>
      <x:c r="E111" s="2" t="str">
        <x:v>규칙형</x:v>
      </x:c>
      <x:c r="F111" s="2" t="str">
        <x:v>40만</x:v>
      </x:c>
      <x:c r="G111" s="2" t="str">
        <x:v>패</x:v>
      </x:c>
      <x:c r="H111" s="14" t="n">
        <x:v>2</x:v>
      </x:c>
      <x:c r="I111" s="14" t="n">
        <x:v>5</x:v>
      </x:c>
      <x:c r="J111" s="14" t="n">
        <x:v>3</x:v>
      </x:c>
      <x:c r="K111" s="14" t="n">
        <x:v>2</x:v>
      </x:c>
      <x:c r="L111" s="15" t="n">
        <x:f>IF(J111=0,"해당 없음",K111/J111)</x:f>
        <x:v>0.6666666666666666</x:v>
      </x:c>
      <x:c r="M111" s="14" t="n">
        <x:v>8</x:v>
      </x:c>
      <x:c r="N111" s="14" t="n">
        <x:v>6</x:v>
      </x:c>
      <x:c r="O111" s="15" t="n">
        <x:f>IF(M111=0,"해당 없음",N111/M111)</x:f>
        <x:v>0.75</x:v>
      </x:c>
      <x:c r="P111" s="14" t="n">
        <x:v>104</x:v>
      </x:c>
    </x:row>
    <x:row r="112" ht="22" customHeight="1">
      <x:c r="A112" s="14" t="n">
        <x:v>54</x:v>
      </x:c>
      <x:c r="B112" s="14" t="n">
        <x:v>2</x:v>
      </x:c>
      <x:c r="C112" s="14" t="n">
        <x:v>76006</x:v>
      </x:c>
      <x:c r="D112" s="2" t="str">
        <x:v>RED</x:v>
      </x:c>
      <x:c r="E112" s="2" t="str">
        <x:v>규칙형</x:v>
      </x:c>
      <x:c r="F112" s="2" t="str">
        <x:v>40만</x:v>
      </x:c>
      <x:c r="G112" s="2" t="str">
        <x:v>패</x:v>
      </x:c>
      <x:c r="H112" s="14" t="n">
        <x:v>3</x:v>
      </x:c>
      <x:c r="I112" s="14" t="n">
        <x:v>4</x:v>
      </x:c>
      <x:c r="J112" s="14" t="n">
        <x:v>5</x:v>
      </x:c>
      <x:c r="K112" s="14" t="n">
        <x:v>3</x:v>
      </x:c>
      <x:c r="L112" s="15" t="n">
        <x:f>IF(J112=0,"해당 없음",K112/J112)</x:f>
        <x:v>0.6</x:v>
      </x:c>
      <x:c r="M112" s="14" t="n">
        <x:v>10</x:v>
      </x:c>
      <x:c r="N112" s="14" t="n">
        <x:v>10</x:v>
      </x:c>
      <x:c r="O112" s="15" t="n">
        <x:f>IF(M112=0,"해당 없음",N112/M112)</x:f>
        <x:v>1</x:v>
      </x:c>
      <x:c r="P112" s="14" t="n">
        <x:v>104</x:v>
      </x:c>
    </x:row>
    <x:row r="113" ht="22" customHeight="1">
      <x:c r="A113" s="14" t="n">
        <x:v>54</x:v>
      </x:c>
      <x:c r="B113" s="14" t="n">
        <x:v>2</x:v>
      </x:c>
      <x:c r="C113" s="14" t="n">
        <x:v>76006</x:v>
      </x:c>
      <x:c r="D113" s="2" t="str">
        <x:v>NAVY</x:v>
      </x:c>
      <x:c r="E113" s="2" t="str">
        <x:v>40만</x:v>
      </x:c>
      <x:c r="F113" s="2" t="str">
        <x:v>규칙형</x:v>
      </x:c>
      <x:c r="G113" s="2" t="str">
        <x:v>승</x:v>
      </x:c>
      <x:c r="H113" s="14" t="n">
        <x:v>4</x:v>
      </x:c>
      <x:c r="I113" s="14" t="n">
        <x:v>3</x:v>
      </x:c>
      <x:c r="J113" s="14" t="n">
        <x:v>9</x:v>
      </x:c>
      <x:c r="K113" s="14" t="n">
        <x:v>4</x:v>
      </x:c>
      <x:c r="L113" s="15" t="n">
        <x:f>IF(J113=0,"해당 없음",K113/J113)</x:f>
        <x:v>0.4444444444444444</x:v>
      </x:c>
      <x:c r="M113" s="14" t="n">
        <x:v>10</x:v>
      </x:c>
      <x:c r="N113" s="14" t="n">
        <x:v>7</x:v>
      </x:c>
      <x:c r="O113" s="15" t="n">
        <x:f>IF(M113=0,"해당 없음",N113/M113)</x:f>
        <x:v>0.7</x:v>
      </x:c>
      <x:c r="P113" s="14" t="n">
        <x:v>104</x:v>
      </x:c>
    </x:row>
    <x:row r="114" ht="22" customHeight="1">
      <x:c r="A114" s="14" t="n">
        <x:v>55</x:v>
      </x:c>
      <x:c r="B114" s="14" t="n">
        <x:v>2</x:v>
      </x:c>
      <x:c r="C114" s="14" t="n">
        <x:v>76007</x:v>
      </x:c>
      <x:c r="D114" s="2" t="str">
        <x:v>RED</x:v>
      </x:c>
      <x:c r="E114" s="2" t="str">
        <x:v>40만</x:v>
      </x:c>
      <x:c r="F114" s="2" t="str">
        <x:v>규칙형</x:v>
      </x:c>
      <x:c r="G114" s="2" t="str">
        <x:v>무</x:v>
      </x:c>
      <x:c r="H114" s="14" t="n">
        <x:v>3</x:v>
      </x:c>
      <x:c r="I114" s="14" t="n">
        <x:v>3</x:v>
      </x:c>
      <x:c r="J114" s="14" t="n">
        <x:v>6</x:v>
      </x:c>
      <x:c r="K114" s="14" t="n">
        <x:v>3</x:v>
      </x:c>
      <x:c r="L114" s="15" t="n">
        <x:f>IF(J114=0,"해당 없음",K114/J114)</x:f>
        <x:v>0.5</x:v>
      </x:c>
      <x:c r="M114" s="14" t="n">
        <x:v>6</x:v>
      </x:c>
      <x:c r="N114" s="14" t="n">
        <x:v>4</x:v>
      </x:c>
      <x:c r="O114" s="15" t="n">
        <x:f>IF(M114=0,"해당 없음",N114/M114)</x:f>
        <x:v>0.6666666666666666</x:v>
      </x:c>
      <x:c r="P114" s="14" t="n">
        <x:v>103</x:v>
      </x:c>
    </x:row>
    <x:row r="115" ht="22" customHeight="1">
      <x:c r="A115" s="14" t="n">
        <x:v>55</x:v>
      </x:c>
      <x:c r="B115" s="14" t="n">
        <x:v>2</x:v>
      </x:c>
      <x:c r="C115" s="14" t="n">
        <x:v>76007</x:v>
      </x:c>
      <x:c r="D115" s="2" t="str">
        <x:v>NAVY</x:v>
      </x:c>
      <x:c r="E115" s="2" t="str">
        <x:v>규칙형</x:v>
      </x:c>
      <x:c r="F115" s="2" t="str">
        <x:v>40만</x:v>
      </x:c>
      <x:c r="G115" s="2" t="str">
        <x:v>무</x:v>
      </x:c>
      <x:c r="H115" s="14" t="n">
        <x:v>3</x:v>
      </x:c>
      <x:c r="I115" s="14" t="n">
        <x:v>3</x:v>
      </x:c>
      <x:c r="J115" s="14" t="n">
        <x:v>10</x:v>
      </x:c>
      <x:c r="K115" s="14" t="n">
        <x:v>3</x:v>
      </x:c>
      <x:c r="L115" s="15" t="n">
        <x:f>IF(J115=0,"해당 없음",K115/J115)</x:f>
        <x:v>0.3</x:v>
      </x:c>
      <x:c r="M115" s="14" t="n">
        <x:v>6</x:v>
      </x:c>
      <x:c r="N115" s="14" t="n">
        <x:v>5</x:v>
      </x:c>
      <x:c r="O115" s="15" t="n">
        <x:f>IF(M115=0,"해당 없음",N115/M115)</x:f>
        <x:v>0.8333333333333334</x:v>
      </x:c>
      <x:c r="P115" s="14" t="n">
        <x:v>104</x:v>
      </x:c>
    </x:row>
    <x:row r="116" ht="22" customHeight="1">
      <x:c r="A116" s="14" t="n">
        <x:v>56</x:v>
      </x:c>
      <x:c r="B116" s="14" t="n">
        <x:v>2</x:v>
      </x:c>
      <x:c r="C116" s="14" t="n">
        <x:v>76007</x:v>
      </x:c>
      <x:c r="D116" s="2" t="str">
        <x:v>RED</x:v>
      </x:c>
      <x:c r="E116" s="2" t="str">
        <x:v>규칙형</x:v>
      </x:c>
      <x:c r="F116" s="2" t="str">
        <x:v>40만</x:v>
      </x:c>
      <x:c r="G116" s="2" t="str">
        <x:v>승</x:v>
      </x:c>
      <x:c r="H116" s="14" t="n">
        <x:v>4</x:v>
      </x:c>
      <x:c r="I116" s="14" t="n">
        <x:v>1</x:v>
      </x:c>
      <x:c r="J116" s="14" t="n">
        <x:v>7</x:v>
      </x:c>
      <x:c r="K116" s="14" t="n">
        <x:v>4</x:v>
      </x:c>
      <x:c r="L116" s="15" t="n">
        <x:f>IF(J116=0,"해당 없음",K116/J116)</x:f>
        <x:v>0.5714285714285714</x:v>
      </x:c>
      <x:c r="M116" s="14" t="n">
        <x:v>13</x:v>
      </x:c>
      <x:c r="N116" s="14" t="n">
        <x:v>11</x:v>
      </x:c>
      <x:c r="O116" s="15" t="n">
        <x:f>IF(M116=0,"해당 없음",N116/M116)</x:f>
        <x:v>0.8461538461538461</x:v>
      </x:c>
      <x:c r="P116" s="14" t="n">
        <x:v>102</x:v>
      </x:c>
    </x:row>
    <x:row r="117" ht="22" customHeight="1">
      <x:c r="A117" s="14" t="n">
        <x:v>56</x:v>
      </x:c>
      <x:c r="B117" s="14" t="n">
        <x:v>2</x:v>
      </x:c>
      <x:c r="C117" s="14" t="n">
        <x:v>76007</x:v>
      </x:c>
      <x:c r="D117" s="2" t="str">
        <x:v>NAVY</x:v>
      </x:c>
      <x:c r="E117" s="2" t="str">
        <x:v>40만</x:v>
      </x:c>
      <x:c r="F117" s="2" t="str">
        <x:v>규칙형</x:v>
      </x:c>
      <x:c r="G117" s="2" t="str">
        <x:v>패</x:v>
      </x:c>
      <x:c r="H117" s="14" t="n">
        <x:v>1</x:v>
      </x:c>
      <x:c r="I117" s="14" t="n">
        <x:v>4</x:v>
      </x:c>
      <x:c r="J117" s="14" t="n">
        <x:v>7</x:v>
      </x:c>
      <x:c r="K117" s="14" t="n">
        <x:v>1</x:v>
      </x:c>
      <x:c r="L117" s="15" t="n">
        <x:f>IF(J117=0,"해당 없음",K117/J117)</x:f>
        <x:v>0.14285714285714285</x:v>
      </x:c>
      <x:c r="M117" s="14" t="n">
        <x:v>6</x:v>
      </x:c>
      <x:c r="N117" s="14" t="n">
        <x:v>6</x:v>
      </x:c>
      <x:c r="O117" s="15" t="n">
        <x:f>IF(M117=0,"해당 없음",N117/M117)</x:f>
        <x:v>1</x:v>
      </x:c>
      <x:c r="P117" s="14" t="n">
        <x:v>103</x:v>
      </x:c>
    </x:row>
    <x:row r="118" ht="22" customHeight="1">
      <x:c r="A118" s="14" t="n">
        <x:v>57</x:v>
      </x:c>
      <x:c r="B118" s="14" t="n">
        <x:v>2</x:v>
      </x:c>
      <x:c r="C118" s="14" t="n">
        <x:v>76008</x:v>
      </x:c>
      <x:c r="D118" s="2" t="str">
        <x:v>RED</x:v>
      </x:c>
      <x:c r="E118" s="2" t="str">
        <x:v>40만</x:v>
      </x:c>
      <x:c r="F118" s="2" t="str">
        <x:v>규칙형</x:v>
      </x:c>
      <x:c r="G118" s="2" t="str">
        <x:v>승</x:v>
      </x:c>
      <x:c r="H118" s="14" t="n">
        <x:v>3</x:v>
      </x:c>
      <x:c r="I118" s="14" t="n">
        <x:v>1</x:v>
      </x:c>
      <x:c r="J118" s="14" t="n">
        <x:v>6</x:v>
      </x:c>
      <x:c r="K118" s="14" t="n">
        <x:v>3</x:v>
      </x:c>
      <x:c r="L118" s="15" t="n">
        <x:f>IF(J118=0,"해당 없음",K118/J118)</x:f>
        <x:v>0.5</x:v>
      </x:c>
      <x:c r="M118" s="14" t="n">
        <x:v>4</x:v>
      </x:c>
      <x:c r="N118" s="14" t="n">
        <x:v>3</x:v>
      </x:c>
      <x:c r="O118" s="15" t="n">
        <x:f>IF(M118=0,"해당 없음",N118/M118)</x:f>
        <x:v>0.75</x:v>
      </x:c>
      <x:c r="P118" s="14" t="n">
        <x:v>102</x:v>
      </x:c>
    </x:row>
    <x:row r="119" ht="22" customHeight="1">
      <x:c r="A119" s="14" t="n">
        <x:v>57</x:v>
      </x:c>
      <x:c r="B119" s="14" t="n">
        <x:v>2</x:v>
      </x:c>
      <x:c r="C119" s="14" t="n">
        <x:v>76008</x:v>
      </x:c>
      <x:c r="D119" s="2" t="str">
        <x:v>NAVY</x:v>
      </x:c>
      <x:c r="E119" s="2" t="str">
        <x:v>규칙형</x:v>
      </x:c>
      <x:c r="F119" s="2" t="str">
        <x:v>40만</x:v>
      </x:c>
      <x:c r="G119" s="2" t="str">
        <x:v>패</x:v>
      </x:c>
      <x:c r="H119" s="14" t="n">
        <x:v>1</x:v>
      </x:c>
      <x:c r="I119" s="14" t="n">
        <x:v>3</x:v>
      </x:c>
      <x:c r="J119" s="14" t="n">
        <x:v>5</x:v>
      </x:c>
      <x:c r="K119" s="14" t="n">
        <x:v>1</x:v>
      </x:c>
      <x:c r="L119" s="15" t="n">
        <x:f>IF(J119=0,"해당 없음",K119/J119)</x:f>
        <x:v>0.2</x:v>
      </x:c>
      <x:c r="M119" s="14" t="n">
        <x:v>6</x:v>
      </x:c>
      <x:c r="N119" s="14" t="n">
        <x:v>6</x:v>
      </x:c>
      <x:c r="O119" s="15" t="n">
        <x:f>IF(M119=0,"해당 없음",N119/M119)</x:f>
        <x:v>1</x:v>
      </x:c>
      <x:c r="P119" s="14" t="n">
        <x:v>101</x:v>
      </x:c>
    </x:row>
    <x:row r="120" ht="22" customHeight="1">
      <x:c r="A120" s="14" t="n">
        <x:v>58</x:v>
      </x:c>
      <x:c r="B120" s="14" t="n">
        <x:v>2</x:v>
      </x:c>
      <x:c r="C120" s="14" t="n">
        <x:v>76008</x:v>
      </x:c>
      <x:c r="D120" s="2" t="str">
        <x:v>RED</x:v>
      </x:c>
      <x:c r="E120" s="2" t="str">
        <x:v>규칙형</x:v>
      </x:c>
      <x:c r="F120" s="2" t="str">
        <x:v>40만</x:v>
      </x:c>
      <x:c r="G120" s="2" t="str">
        <x:v>패</x:v>
      </x:c>
      <x:c r="H120" s="14" t="n">
        <x:v>2</x:v>
      </x:c>
      <x:c r="I120" s="14" t="n">
        <x:v>3</x:v>
      </x:c>
      <x:c r="J120" s="14" t="n">
        <x:v>6</x:v>
      </x:c>
      <x:c r="K120" s="14" t="n">
        <x:v>2</x:v>
      </x:c>
      <x:c r="L120" s="15" t="n">
        <x:f>IF(J120=0,"해당 없음",K120/J120)</x:f>
        <x:v>0.3333333333333333</x:v>
      </x:c>
      <x:c r="M120" s="14" t="n">
        <x:v>7</x:v>
      </x:c>
      <x:c r="N120" s="14" t="n">
        <x:v>6</x:v>
      </x:c>
      <x:c r="O120" s="15" t="n">
        <x:f>IF(M120=0,"해당 없음",N120/M120)</x:f>
        <x:v>0.8571428571428571</x:v>
      </x:c>
      <x:c r="P120" s="14" t="n">
        <x:v>103</x:v>
      </x:c>
    </x:row>
    <x:row r="121" ht="22" customHeight="1">
      <x:c r="A121" s="14" t="n">
        <x:v>58</x:v>
      </x:c>
      <x:c r="B121" s="14" t="n">
        <x:v>2</x:v>
      </x:c>
      <x:c r="C121" s="14" t="n">
        <x:v>76008</x:v>
      </x:c>
      <x:c r="D121" s="2" t="str">
        <x:v>NAVY</x:v>
      </x:c>
      <x:c r="E121" s="2" t="str">
        <x:v>40만</x:v>
      </x:c>
      <x:c r="F121" s="2" t="str">
        <x:v>규칙형</x:v>
      </x:c>
      <x:c r="G121" s="2" t="str">
        <x:v>승</x:v>
      </x:c>
      <x:c r="H121" s="14" t="n">
        <x:v>3</x:v>
      </x:c>
      <x:c r="I121" s="14" t="n">
        <x:v>2</x:v>
      </x:c>
      <x:c r="J121" s="14" t="n">
        <x:v>9</x:v>
      </x:c>
      <x:c r="K121" s="14" t="n">
        <x:v>3</x:v>
      </x:c>
      <x:c r="L121" s="15" t="n">
        <x:f>IF(J121=0,"해당 없음",K121/J121)</x:f>
        <x:v>0.3333333333333333</x:v>
      </x:c>
      <x:c r="M121" s="14" t="n">
        <x:v>3</x:v>
      </x:c>
      <x:c r="N121" s="14" t="n">
        <x:v>3</x:v>
      </x:c>
      <x:c r="O121" s="15" t="n">
        <x:f>IF(M121=0,"해당 없음",N121/M121)</x:f>
        <x:v>1</x:v>
      </x:c>
      <x:c r="P121" s="14" t="n">
        <x:v>103</x:v>
      </x:c>
    </x:row>
    <x:row r="122" ht="22" customHeight="1">
      <x:c r="A122" s="14" t="n">
        <x:v>59</x:v>
      </x:c>
      <x:c r="B122" s="14" t="n">
        <x:v>2</x:v>
      </x:c>
      <x:c r="C122" s="14" t="n">
        <x:v>76009</x:v>
      </x:c>
      <x:c r="D122" s="2" t="str">
        <x:v>RED</x:v>
      </x:c>
      <x:c r="E122" s="2" t="str">
        <x:v>40만</x:v>
      </x:c>
      <x:c r="F122" s="2" t="str">
        <x:v>규칙형</x:v>
      </x:c>
      <x:c r="G122" s="2" t="str">
        <x:v>승</x:v>
      </x:c>
      <x:c r="H122" s="14" t="n">
        <x:v>4</x:v>
      </x:c>
      <x:c r="I122" s="14" t="n">
        <x:v>2</x:v>
      </x:c>
      <x:c r="J122" s="14" t="n">
        <x:v>5</x:v>
      </x:c>
      <x:c r="K122" s="14" t="n">
        <x:v>4</x:v>
      </x:c>
      <x:c r="L122" s="15" t="n">
        <x:f>IF(J122=0,"해당 없음",K122/J122)</x:f>
        <x:v>0.8</x:v>
      </x:c>
      <x:c r="M122" s="14" t="n">
        <x:v>12</x:v>
      </x:c>
      <x:c r="N122" s="14" t="n">
        <x:v>8</x:v>
      </x:c>
      <x:c r="O122" s="15" t="n">
        <x:f>IF(M122=0,"해당 없음",N122/M122)</x:f>
        <x:v>0.6666666666666666</x:v>
      </x:c>
      <x:c r="P122" s="14" t="n">
        <x:v>103</x:v>
      </x:c>
    </x:row>
    <x:row r="123" ht="22" customHeight="1">
      <x:c r="A123" s="14" t="n">
        <x:v>59</x:v>
      </x:c>
      <x:c r="B123" s="14" t="n">
        <x:v>2</x:v>
      </x:c>
      <x:c r="C123" s="14" t="n">
        <x:v>76009</x:v>
      </x:c>
      <x:c r="D123" s="2" t="str">
        <x:v>NAVY</x:v>
      </x:c>
      <x:c r="E123" s="2" t="str">
        <x:v>규칙형</x:v>
      </x:c>
      <x:c r="F123" s="2" t="str">
        <x:v>40만</x:v>
      </x:c>
      <x:c r="G123" s="2" t="str">
        <x:v>패</x:v>
      </x:c>
      <x:c r="H123" s="14" t="n">
        <x:v>2</x:v>
      </x:c>
      <x:c r="I123" s="14" t="n">
        <x:v>4</x:v>
      </x:c>
      <x:c r="J123" s="14" t="n">
        <x:v>9</x:v>
      </x:c>
      <x:c r="K123" s="14" t="n">
        <x:v>2</x:v>
      </x:c>
      <x:c r="L123" s="15" t="n">
        <x:f>IF(J123=0,"해당 없음",K123/J123)</x:f>
        <x:v>0.2222222222222222</x:v>
      </x:c>
      <x:c r="M123" s="14" t="n">
        <x:v>6</x:v>
      </x:c>
      <x:c r="N123" s="14" t="n">
        <x:v>4</x:v>
      </x:c>
      <x:c r="O123" s="15" t="n">
        <x:f>IF(M123=0,"해당 없음",N123/M123)</x:f>
        <x:v>0.6666666666666666</x:v>
      </x:c>
      <x:c r="P123" s="14" t="n">
        <x:v>103</x:v>
      </x:c>
    </x:row>
    <x:row r="124" ht="22" customHeight="1">
      <x:c r="A124" s="14" t="n">
        <x:v>60</x:v>
      </x:c>
      <x:c r="B124" s="14" t="n">
        <x:v>2</x:v>
      </x:c>
      <x:c r="C124" s="14" t="n">
        <x:v>76009</x:v>
      </x:c>
      <x:c r="D124" s="2" t="str">
        <x:v>RED</x:v>
      </x:c>
      <x:c r="E124" s="2" t="str">
        <x:v>규칙형</x:v>
      </x:c>
      <x:c r="F124" s="2" t="str">
        <x:v>40만</x:v>
      </x:c>
      <x:c r="G124" s="2" t="str">
        <x:v>패</x:v>
      </x:c>
      <x:c r="H124" s="14" t="n">
        <x:v>1</x:v>
      </x:c>
      <x:c r="I124" s="14" t="n">
        <x:v>3</x:v>
      </x:c>
      <x:c r="J124" s="14" t="n">
        <x:v>13</x:v>
      </x:c>
      <x:c r="K124" s="14" t="n">
        <x:v>1</x:v>
      </x:c>
      <x:c r="L124" s="15" t="n">
        <x:f>IF(J124=0,"해당 없음",K124/J124)</x:f>
        <x:v>0.07692307692307693</x:v>
      </x:c>
      <x:c r="M124" s="14" t="n">
        <x:v>5</x:v>
      </x:c>
      <x:c r="N124" s="14" t="n">
        <x:v>5</x:v>
      </x:c>
      <x:c r="O124" s="15" t="n">
        <x:f>IF(M124=0,"해당 없음",N124/M124)</x:f>
        <x:v>1</x:v>
      </x:c>
      <x:c r="P124" s="14" t="n">
        <x:v>103</x:v>
      </x:c>
    </x:row>
    <x:row r="125" ht="22" customHeight="1">
      <x:c r="A125" s="14" t="n">
        <x:v>60</x:v>
      </x:c>
      <x:c r="B125" s="14" t="n">
        <x:v>2</x:v>
      </x:c>
      <x:c r="C125" s="14" t="n">
        <x:v>76009</x:v>
      </x:c>
      <x:c r="D125" s="2" t="str">
        <x:v>NAVY</x:v>
      </x:c>
      <x:c r="E125" s="2" t="str">
        <x:v>40만</x:v>
      </x:c>
      <x:c r="F125" s="2" t="str">
        <x:v>규칙형</x:v>
      </x:c>
      <x:c r="G125" s="2" t="str">
        <x:v>승</x:v>
      </x:c>
      <x:c r="H125" s="14" t="n">
        <x:v>3</x:v>
      </x:c>
      <x:c r="I125" s="14" t="n">
        <x:v>1</x:v>
      </x:c>
      <x:c r="J125" s="14" t="n">
        <x:v>8</x:v>
      </x:c>
      <x:c r="K125" s="14" t="n">
        <x:v>3</x:v>
      </x:c>
      <x:c r="L125" s="15" t="n">
        <x:f>IF(J125=0,"해당 없음",K125/J125)</x:f>
        <x:v>0.375</x:v>
      </x:c>
      <x:c r="M125" s="14" t="n">
        <x:v>5</x:v>
      </x:c>
      <x:c r="N125" s="14" t="n">
        <x:v>4</x:v>
      </x:c>
      <x:c r="O125" s="15" t="n">
        <x:f>IF(M125=0,"해당 없음",N125/M125)</x:f>
        <x:v>0.8</x:v>
      </x:c>
      <x:c r="P125" s="14" t="n">
        <x:v>103</x:v>
      </x:c>
    </x:row>
    <x:row r="126" ht="22" customHeight="1">
      <x:c r="A126" s="14" t="n">
        <x:v>61</x:v>
      </x:c>
      <x:c r="B126" s="14" t="n">
        <x:v>2</x:v>
      </x:c>
      <x:c r="C126" s="14" t="n">
        <x:v>76010</x:v>
      </x:c>
      <x:c r="D126" s="2" t="str">
        <x:v>RED</x:v>
      </x:c>
      <x:c r="E126" s="2" t="str">
        <x:v>40만</x:v>
      </x:c>
      <x:c r="F126" s="2" t="str">
        <x:v>규칙형</x:v>
      </x:c>
      <x:c r="G126" s="2" t="str">
        <x:v>승</x:v>
      </x:c>
      <x:c r="H126" s="14" t="n">
        <x:v>4</x:v>
      </x:c>
      <x:c r="I126" s="14" t="n">
        <x:v>2</x:v>
      </x:c>
      <x:c r="J126" s="14" t="n">
        <x:v>7</x:v>
      </x:c>
      <x:c r="K126" s="14" t="n">
        <x:v>4</x:v>
      </x:c>
      <x:c r="L126" s="15" t="n">
        <x:f>IF(J126=0,"해당 없음",K126/J126)</x:f>
        <x:v>0.5714285714285714</x:v>
      </x:c>
      <x:c r="M126" s="14" t="n">
        <x:v>6</x:v>
      </x:c>
      <x:c r="N126" s="14" t="n">
        <x:v>5</x:v>
      </x:c>
      <x:c r="O126" s="15" t="n">
        <x:f>IF(M126=0,"해당 없음",N126/M126)</x:f>
        <x:v>0.8333333333333334</x:v>
      </x:c>
      <x:c r="P126" s="14" t="n">
        <x:v>105</x:v>
      </x:c>
    </x:row>
    <x:row r="127" ht="22" customHeight="1">
      <x:c r="A127" s="14" t="n">
        <x:v>61</x:v>
      </x:c>
      <x:c r="B127" s="14" t="n">
        <x:v>2</x:v>
      </x:c>
      <x:c r="C127" s="14" t="n">
        <x:v>76010</x:v>
      </x:c>
      <x:c r="D127" s="2" t="str">
        <x:v>NAVY</x:v>
      </x:c>
      <x:c r="E127" s="2" t="str">
        <x:v>규칙형</x:v>
      </x:c>
      <x:c r="F127" s="2" t="str">
        <x:v>40만</x:v>
      </x:c>
      <x:c r="G127" s="2" t="str">
        <x:v>패</x:v>
      </x:c>
      <x:c r="H127" s="14" t="n">
        <x:v>2</x:v>
      </x:c>
      <x:c r="I127" s="14" t="n">
        <x:v>4</x:v>
      </x:c>
      <x:c r="J127" s="14" t="n">
        <x:v>6</x:v>
      </x:c>
      <x:c r="K127" s="14" t="n">
        <x:v>2</x:v>
      </x:c>
      <x:c r="L127" s="15" t="n">
        <x:f>IF(J127=0,"해당 없음",K127/J127)</x:f>
        <x:v>0.3333333333333333</x:v>
      </x:c>
      <x:c r="M127" s="14" t="n">
        <x:v>10</x:v>
      </x:c>
      <x:c r="N127" s="14" t="n">
        <x:v>8</x:v>
      </x:c>
      <x:c r="O127" s="15" t="n">
        <x:f>IF(M127=0,"해당 없음",N127/M127)</x:f>
        <x:v>0.8</x:v>
      </x:c>
      <x:c r="P127" s="14" t="n">
        <x:v>104</x:v>
      </x:c>
    </x:row>
    <x:row r="128" ht="22" customHeight="1">
      <x:c r="A128" s="14" t="n">
        <x:v>62</x:v>
      </x:c>
      <x:c r="B128" s="14" t="n">
        <x:v>2</x:v>
      </x:c>
      <x:c r="C128" s="14" t="n">
        <x:v>76010</x:v>
      </x:c>
      <x:c r="D128" s="2" t="str">
        <x:v>RED</x:v>
      </x:c>
      <x:c r="E128" s="2" t="str">
        <x:v>규칙형</x:v>
      </x:c>
      <x:c r="F128" s="2" t="str">
        <x:v>40만</x:v>
      </x:c>
      <x:c r="G128" s="2" t="str">
        <x:v>패</x:v>
      </x:c>
      <x:c r="H128" s="14" t="n">
        <x:v>4</x:v>
      </x:c>
      <x:c r="I128" s="14" t="n">
        <x:v>5</x:v>
      </x:c>
      <x:c r="J128" s="14" t="n">
        <x:v>5</x:v>
      </x:c>
      <x:c r="K128" s="14" t="n">
        <x:v>4</x:v>
      </x:c>
      <x:c r="L128" s="15" t="n">
        <x:f>IF(J128=0,"해당 없음",K128/J128)</x:f>
        <x:v>0.8</x:v>
      </x:c>
      <x:c r="M128" s="14" t="n">
        <x:v>7</x:v>
      </x:c>
      <x:c r="N128" s="14" t="n">
        <x:v>4</x:v>
      </x:c>
      <x:c r="O128" s="15" t="n">
        <x:f>IF(M128=0,"해당 없음",N128/M128)</x:f>
        <x:v>0.5714285714285714</x:v>
      </x:c>
      <x:c r="P128" s="14" t="n">
        <x:v>105</x:v>
      </x:c>
    </x:row>
    <x:row r="129" ht="22" customHeight="1">
      <x:c r="A129" s="14" t="n">
        <x:v>62</x:v>
      </x:c>
      <x:c r="B129" s="14" t="n">
        <x:v>2</x:v>
      </x:c>
      <x:c r="C129" s="14" t="n">
        <x:v>76010</x:v>
      </x:c>
      <x:c r="D129" s="2" t="str">
        <x:v>NAVY</x:v>
      </x:c>
      <x:c r="E129" s="2" t="str">
        <x:v>40만</x:v>
      </x:c>
      <x:c r="F129" s="2" t="str">
        <x:v>규칙형</x:v>
      </x:c>
      <x:c r="G129" s="2" t="str">
        <x:v>승</x:v>
      </x:c>
      <x:c r="H129" s="14" t="n">
        <x:v>5</x:v>
      </x:c>
      <x:c r="I129" s="14" t="n">
        <x:v>4</x:v>
      </x:c>
      <x:c r="J129" s="14" t="n">
        <x:v>7</x:v>
      </x:c>
      <x:c r="K129" s="14" t="n">
        <x:v>5</x:v>
      </x:c>
      <x:c r="L129" s="15" t="n">
        <x:f>IF(J129=0,"해당 없음",K129/J129)</x:f>
        <x:v>0.7142857142857143</x:v>
      </x:c>
      <x:c r="M129" s="14" t="n">
        <x:v>6</x:v>
      </x:c>
      <x:c r="N129" s="14" t="n">
        <x:v>4</x:v>
      </x:c>
      <x:c r="O129" s="15" t="n">
        <x:f>IF(M129=0,"해당 없음",N129/M129)</x:f>
        <x:v>0.6666666666666666</x:v>
      </x:c>
      <x:c r="P129" s="14" t="n">
        <x:v>106</x:v>
      </x:c>
    </x:row>
    <x:row r="130" ht="22" customHeight="1">
      <x:c r="A130" s="14" t="n">
        <x:v>63</x:v>
      </x:c>
      <x:c r="B130" s="14" t="n">
        <x:v>2</x:v>
      </x:c>
      <x:c r="C130" s="14" t="n">
        <x:v>76011</x:v>
      </x:c>
      <x:c r="D130" s="2" t="str">
        <x:v>RED</x:v>
      </x:c>
      <x:c r="E130" s="2" t="str">
        <x:v>40만</x:v>
      </x:c>
      <x:c r="F130" s="2" t="str">
        <x:v>규칙형</x:v>
      </x:c>
      <x:c r="G130" s="2" t="str">
        <x:v>승</x:v>
      </x:c>
      <x:c r="H130" s="14" t="n">
        <x:v>3</x:v>
      </x:c>
      <x:c r="I130" s="14" t="n">
        <x:v>0</x:v>
      </x:c>
      <x:c r="J130" s="14" t="n">
        <x:v>11</x:v>
      </x:c>
      <x:c r="K130" s="14" t="n">
        <x:v>3</x:v>
      </x:c>
      <x:c r="L130" s="15" t="n">
        <x:f>IF(J130=0,"해당 없음",K130/J130)</x:f>
        <x:v>0.2727272727272727</x:v>
      </x:c>
      <x:c r="M130" s="14" t="n">
        <x:v>7</x:v>
      </x:c>
      <x:c r="N130" s="14" t="n">
        <x:v>4</x:v>
      </x:c>
      <x:c r="O130" s="15" t="n">
        <x:f>IF(M130=0,"해당 없음",N130/M130)</x:f>
        <x:v>0.5714285714285714</x:v>
      </x:c>
      <x:c r="P130" s="14" t="n">
        <x:v>101</x:v>
      </x:c>
    </x:row>
    <x:row r="131" ht="22" customHeight="1">
      <x:c r="A131" s="14" t="n">
        <x:v>63</x:v>
      </x:c>
      <x:c r="B131" s="14" t="n">
        <x:v>2</x:v>
      </x:c>
      <x:c r="C131" s="14" t="n">
        <x:v>76011</x:v>
      </x:c>
      <x:c r="D131" s="2" t="str">
        <x:v>NAVY</x:v>
      </x:c>
      <x:c r="E131" s="2" t="str">
        <x:v>규칙형</x:v>
      </x:c>
      <x:c r="F131" s="2" t="str">
        <x:v>40만</x:v>
      </x:c>
      <x:c r="G131" s="2" t="str">
        <x:v>패</x:v>
      </x:c>
      <x:c r="H131" s="14" t="n">
        <x:v>0</x:v>
      </x:c>
      <x:c r="I131" s="14" t="n">
        <x:v>3</x:v>
      </x:c>
      <x:c r="J131" s="14" t="n">
        <x:v>3</x:v>
      </x:c>
      <x:c r="K131" s="14" t="n">
        <x:v>0</x:v>
      </x:c>
      <x:c r="L131" s="15" t="n">
        <x:f>IF(J131=0,"해당 없음",K131/J131)</x:f>
        <x:v>0</x:v>
      </x:c>
      <x:c r="M131" s="14" t="n">
        <x:v>9</x:v>
      </x:c>
      <x:c r="N131" s="14" t="n">
        <x:v>8</x:v>
      </x:c>
      <x:c r="O131" s="15" t="n">
        <x:f>IF(M131=0,"해당 없음",N131/M131)</x:f>
        <x:v>0.8888888888888888</x:v>
      </x:c>
      <x:c r="P131" s="14" t="n">
        <x:v>102</x:v>
      </x:c>
    </x:row>
    <x:row r="132" ht="22" customHeight="1">
      <x:c r="A132" s="14" t="n">
        <x:v>64</x:v>
      </x:c>
      <x:c r="B132" s="14" t="n">
        <x:v>2</x:v>
      </x:c>
      <x:c r="C132" s="14" t="n">
        <x:v>76011</x:v>
      </x:c>
      <x:c r="D132" s="2" t="str">
        <x:v>RED</x:v>
      </x:c>
      <x:c r="E132" s="2" t="str">
        <x:v>규칙형</x:v>
      </x:c>
      <x:c r="F132" s="2" t="str">
        <x:v>40만</x:v>
      </x:c>
      <x:c r="G132" s="2" t="str">
        <x:v>패</x:v>
      </x:c>
      <x:c r="H132" s="14" t="n">
        <x:v>3</x:v>
      </x:c>
      <x:c r="I132" s="14" t="n">
        <x:v>5</x:v>
      </x:c>
      <x:c r="J132" s="14" t="n">
        <x:v>9</x:v>
      </x:c>
      <x:c r="K132" s="14" t="n">
        <x:v>3</x:v>
      </x:c>
      <x:c r="L132" s="15" t="n">
        <x:f>IF(J132=0,"해당 없음",K132/J132)</x:f>
        <x:v>0.3333333333333333</x:v>
      </x:c>
      <x:c r="M132" s="14" t="n">
        <x:v>7</x:v>
      </x:c>
      <x:c r="N132" s="14" t="n">
        <x:v>6</x:v>
      </x:c>
      <x:c r="O132" s="15" t="n">
        <x:f>IF(M132=0,"해당 없음",N132/M132)</x:f>
        <x:v>0.8571428571428571</x:v>
      </x:c>
      <x:c r="P132" s="14" t="n">
        <x:v>105</x:v>
      </x:c>
    </x:row>
    <x:row r="133" ht="22" customHeight="1">
      <x:c r="A133" s="14" t="n">
        <x:v>64</x:v>
      </x:c>
      <x:c r="B133" s="14" t="n">
        <x:v>2</x:v>
      </x:c>
      <x:c r="C133" s="14" t="n">
        <x:v>76011</x:v>
      </x:c>
      <x:c r="D133" s="2" t="str">
        <x:v>NAVY</x:v>
      </x:c>
      <x:c r="E133" s="2" t="str">
        <x:v>40만</x:v>
      </x:c>
      <x:c r="F133" s="2" t="str">
        <x:v>규칙형</x:v>
      </x:c>
      <x:c r="G133" s="2" t="str">
        <x:v>승</x:v>
      </x:c>
      <x:c r="H133" s="14" t="n">
        <x:v>5</x:v>
      </x:c>
      <x:c r="I133" s="14" t="n">
        <x:v>3</x:v>
      </x:c>
      <x:c r="J133" s="14" t="n">
        <x:v>8</x:v>
      </x:c>
      <x:c r="K133" s="14" t="n">
        <x:v>5</x:v>
      </x:c>
      <x:c r="L133" s="15" t="n">
        <x:f>IF(J133=0,"해당 없음",K133/J133)</x:f>
        <x:v>0.625</x:v>
      </x:c>
      <x:c r="M133" s="14" t="n">
        <x:v>9</x:v>
      </x:c>
      <x:c r="N133" s="14" t="n">
        <x:v>8</x:v>
      </x:c>
      <x:c r="O133" s="15" t="n">
        <x:f>IF(M133=0,"해당 없음",N133/M133)</x:f>
        <x:v>0.8888888888888888</x:v>
      </x:c>
      <x:c r="P133" s="14" t="n">
        <x:v>105</x:v>
      </x:c>
    </x:row>
    <x:row r="134" ht="22" customHeight="1">
      <x:c r="A134" s="14" t="n">
        <x:v>65</x:v>
      </x:c>
      <x:c r="B134" s="14" t="n">
        <x:v>2</x:v>
      </x:c>
      <x:c r="C134" s="14" t="n">
        <x:v>76012</x:v>
      </x:c>
      <x:c r="D134" s="2" t="str">
        <x:v>RED</x:v>
      </x:c>
      <x:c r="E134" s="2" t="str">
        <x:v>40만</x:v>
      </x:c>
      <x:c r="F134" s="2" t="str">
        <x:v>규칙형</x:v>
      </x:c>
      <x:c r="G134" s="2" t="str">
        <x:v>승</x:v>
      </x:c>
      <x:c r="H134" s="14" t="n">
        <x:v>7</x:v>
      </x:c>
      <x:c r="I134" s="14" t="n">
        <x:v>2</x:v>
      </x:c>
      <x:c r="J134" s="14" t="n">
        <x:v>12</x:v>
      </x:c>
      <x:c r="K134" s="14" t="n">
        <x:v>7</x:v>
      </x:c>
      <x:c r="L134" s="15" t="n">
        <x:f>IF(J134=0,"해당 없음",K134/J134)</x:f>
        <x:v>0.5833333333333334</x:v>
      </x:c>
      <x:c r="M134" s="14" t="n">
        <x:v>6</x:v>
      </x:c>
      <x:c r="N134" s="14" t="n">
        <x:v>6</x:v>
      </x:c>
      <x:c r="O134" s="15" t="n">
        <x:f>IF(M134=0,"해당 없음",N134/M134)</x:f>
        <x:v>1</x:v>
      </x:c>
      <x:c r="P134" s="14" t="n">
        <x:v>103</x:v>
      </x:c>
    </x:row>
    <x:row r="135" ht="22" customHeight="1">
      <x:c r="A135" s="14" t="n">
        <x:v>65</x:v>
      </x:c>
      <x:c r="B135" s="14" t="n">
        <x:v>2</x:v>
      </x:c>
      <x:c r="C135" s="14" t="n">
        <x:v>76012</x:v>
      </x:c>
      <x:c r="D135" s="2" t="str">
        <x:v>NAVY</x:v>
      </x:c>
      <x:c r="E135" s="2" t="str">
        <x:v>규칙형</x:v>
      </x:c>
      <x:c r="F135" s="2" t="str">
        <x:v>40만</x:v>
      </x:c>
      <x:c r="G135" s="2" t="str">
        <x:v>패</x:v>
      </x:c>
      <x:c r="H135" s="14" t="n">
        <x:v>2</x:v>
      </x:c>
      <x:c r="I135" s="14" t="n">
        <x:v>7</x:v>
      </x:c>
      <x:c r="J135" s="14" t="n">
        <x:v>5</x:v>
      </x:c>
      <x:c r="K135" s="14" t="n">
        <x:v>2</x:v>
      </x:c>
      <x:c r="L135" s="15" t="n">
        <x:f>IF(J135=0,"해당 없음",K135/J135)</x:f>
        <x:v>0.4</x:v>
      </x:c>
      <x:c r="M135" s="14" t="n">
        <x:v>10</x:v>
      </x:c>
      <x:c r="N135" s="14" t="n">
        <x:v>6</x:v>
      </x:c>
      <x:c r="O135" s="15" t="n">
        <x:f>IF(M135=0,"해당 없음",N135/M135)</x:f>
        <x:v>0.6</x:v>
      </x:c>
      <x:c r="P135" s="14" t="n">
        <x:v>104</x:v>
      </x:c>
    </x:row>
    <x:row r="136" ht="22" customHeight="1">
      <x:c r="A136" s="14" t="n">
        <x:v>66</x:v>
      </x:c>
      <x:c r="B136" s="14" t="n">
        <x:v>2</x:v>
      </x:c>
      <x:c r="C136" s="14" t="n">
        <x:v>76012</x:v>
      </x:c>
      <x:c r="D136" s="2" t="str">
        <x:v>RED</x:v>
      </x:c>
      <x:c r="E136" s="2" t="str">
        <x:v>규칙형</x:v>
      </x:c>
      <x:c r="F136" s="2" t="str">
        <x:v>40만</x:v>
      </x:c>
      <x:c r="G136" s="2" t="str">
        <x:v>패</x:v>
      </x:c>
      <x:c r="H136" s="14" t="n">
        <x:v>3</x:v>
      </x:c>
      <x:c r="I136" s="14" t="n">
        <x:v>6</x:v>
      </x:c>
      <x:c r="J136" s="14" t="n">
        <x:v>8</x:v>
      </x:c>
      <x:c r="K136" s="14" t="n">
        <x:v>3</x:v>
      </x:c>
      <x:c r="L136" s="15" t="n">
        <x:f>IF(J136=0,"해당 없음",K136/J136)</x:f>
        <x:v>0.375</x:v>
      </x:c>
      <x:c r="M136" s="14" t="n">
        <x:v>7</x:v>
      </x:c>
      <x:c r="N136" s="14" t="n">
        <x:v>7</x:v>
      </x:c>
      <x:c r="O136" s="15" t="n">
        <x:f>IF(M136=0,"해당 없음",N136/M136)</x:f>
        <x:v>1</x:v>
      </x:c>
      <x:c r="P136" s="14" t="n">
        <x:v>105</x:v>
      </x:c>
    </x:row>
    <x:row r="137" ht="22" customHeight="1">
      <x:c r="A137" s="14" t="n">
        <x:v>66</x:v>
      </x:c>
      <x:c r="B137" s="14" t="n">
        <x:v>2</x:v>
      </x:c>
      <x:c r="C137" s="14" t="n">
        <x:v>76012</x:v>
      </x:c>
      <x:c r="D137" s="2" t="str">
        <x:v>NAVY</x:v>
      </x:c>
      <x:c r="E137" s="2" t="str">
        <x:v>40만</x:v>
      </x:c>
      <x:c r="F137" s="2" t="str">
        <x:v>규칙형</x:v>
      </x:c>
      <x:c r="G137" s="2" t="str">
        <x:v>승</x:v>
      </x:c>
      <x:c r="H137" s="14" t="n">
        <x:v>6</x:v>
      </x:c>
      <x:c r="I137" s="14" t="n">
        <x:v>3</x:v>
      </x:c>
      <x:c r="J137" s="14" t="n">
        <x:v>8</x:v>
      </x:c>
      <x:c r="K137" s="14" t="n">
        <x:v>6</x:v>
      </x:c>
      <x:c r="L137" s="15" t="n">
        <x:f>IF(J137=0,"해당 없음",K137/J137)</x:f>
        <x:v>0.75</x:v>
      </x:c>
      <x:c r="M137" s="14" t="n">
        <x:v>10</x:v>
      </x:c>
      <x:c r="N137" s="14" t="n">
        <x:v>8</x:v>
      </x:c>
      <x:c r="O137" s="15" t="n">
        <x:f>IF(M137=0,"해당 없음",N137/M137)</x:f>
        <x:v>0.8</x:v>
      </x:c>
      <x:c r="P137" s="14" t="n">
        <x:v>106</x:v>
      </x:c>
    </x:row>
    <x:row r="138" ht="22" customHeight="1">
      <x:c r="A138" s="14" t="n">
        <x:v>67</x:v>
      </x:c>
      <x:c r="B138" s="14" t="n">
        <x:v>2</x:v>
      </x:c>
      <x:c r="C138" s="14" t="n">
        <x:v>76013</x:v>
      </x:c>
      <x:c r="D138" s="2" t="str">
        <x:v>RED</x:v>
      </x:c>
      <x:c r="E138" s="2" t="str">
        <x:v>40만</x:v>
      </x:c>
      <x:c r="F138" s="2" t="str">
        <x:v>규칙형</x:v>
      </x:c>
      <x:c r="G138" s="2" t="str">
        <x:v>승</x:v>
      </x:c>
      <x:c r="H138" s="14" t="n">
        <x:v>5</x:v>
      </x:c>
      <x:c r="I138" s="14" t="n">
        <x:v>1</x:v>
      </x:c>
      <x:c r="J138" s="14" t="n">
        <x:v>10</x:v>
      </x:c>
      <x:c r="K138" s="14" t="n">
        <x:v>5</x:v>
      </x:c>
      <x:c r="L138" s="15" t="n">
        <x:f>IF(J138=0,"해당 없음",K138/J138)</x:f>
        <x:v>0.5</x:v>
      </x:c>
      <x:c r="M138" s="14" t="n">
        <x:v>9</x:v>
      </x:c>
      <x:c r="N138" s="14" t="n">
        <x:v>8</x:v>
      </x:c>
      <x:c r="O138" s="15" t="n">
        <x:f>IF(M138=0,"해당 없음",N138/M138)</x:f>
        <x:v>0.8888888888888888</x:v>
      </x:c>
      <x:c r="P138" s="14" t="n">
        <x:v>102</x:v>
      </x:c>
    </x:row>
    <x:row r="139" ht="22" customHeight="1">
      <x:c r="A139" s="14" t="n">
        <x:v>67</x:v>
      </x:c>
      <x:c r="B139" s="14" t="n">
        <x:v>2</x:v>
      </x:c>
      <x:c r="C139" s="14" t="n">
        <x:v>76013</x:v>
      </x:c>
      <x:c r="D139" s="2" t="str">
        <x:v>NAVY</x:v>
      </x:c>
      <x:c r="E139" s="2" t="str">
        <x:v>규칙형</x:v>
      </x:c>
      <x:c r="F139" s="2" t="str">
        <x:v>40만</x:v>
      </x:c>
      <x:c r="G139" s="2" t="str">
        <x:v>패</x:v>
      </x:c>
      <x:c r="H139" s="14" t="n">
        <x:v>1</x:v>
      </x:c>
      <x:c r="I139" s="14" t="n">
        <x:v>5</x:v>
      </x:c>
      <x:c r="J139" s="14" t="n">
        <x:v>5</x:v>
      </x:c>
      <x:c r="K139" s="14" t="n">
        <x:v>1</x:v>
      </x:c>
      <x:c r="L139" s="15" t="n">
        <x:f>IF(J139=0,"해당 없음",K139/J139)</x:f>
        <x:v>0.2</x:v>
      </x:c>
      <x:c r="M139" s="14" t="n">
        <x:v>6</x:v>
      </x:c>
      <x:c r="N139" s="14" t="n">
        <x:v>5</x:v>
      </x:c>
      <x:c r="O139" s="15" t="n">
        <x:f>IF(M139=0,"해당 없음",N139/M139)</x:f>
        <x:v>0.8333333333333334</x:v>
      </x:c>
      <x:c r="P139" s="14" t="n">
        <x:v>103</x:v>
      </x:c>
    </x:row>
    <x:row r="140" ht="22" customHeight="1">
      <x:c r="A140" s="14" t="n">
        <x:v>68</x:v>
      </x:c>
      <x:c r="B140" s="14" t="n">
        <x:v>2</x:v>
      </x:c>
      <x:c r="C140" s="14" t="n">
        <x:v>76013</x:v>
      </x:c>
      <x:c r="D140" s="2" t="str">
        <x:v>RED</x:v>
      </x:c>
      <x:c r="E140" s="2" t="str">
        <x:v>규칙형</x:v>
      </x:c>
      <x:c r="F140" s="2" t="str">
        <x:v>40만</x:v>
      </x:c>
      <x:c r="G140" s="2" t="str">
        <x:v>승</x:v>
      </x:c>
      <x:c r="H140" s="14" t="n">
        <x:v>4</x:v>
      </x:c>
      <x:c r="I140" s="14" t="n">
        <x:v>3</x:v>
      </x:c>
      <x:c r="J140" s="14" t="n">
        <x:v>9</x:v>
      </x:c>
      <x:c r="K140" s="14" t="n">
        <x:v>4</x:v>
      </x:c>
      <x:c r="L140" s="15" t="n">
        <x:f>IF(J140=0,"해당 없음",K140/J140)</x:f>
        <x:v>0.4444444444444444</x:v>
      </x:c>
      <x:c r="M140" s="14" t="n">
        <x:v>11</x:v>
      </x:c>
      <x:c r="N140" s="14" t="n">
        <x:v>9</x:v>
      </x:c>
      <x:c r="O140" s="15" t="n">
        <x:f>IF(M140=0,"해당 없음",N140/M140)</x:f>
        <x:v>0.8181818181818182</x:v>
      </x:c>
      <x:c r="P140" s="14" t="n">
        <x:v>104</x:v>
      </x:c>
    </x:row>
    <x:row r="141" ht="22" customHeight="1">
      <x:c r="A141" s="14" t="n">
        <x:v>68</x:v>
      </x:c>
      <x:c r="B141" s="14" t="n">
        <x:v>2</x:v>
      </x:c>
      <x:c r="C141" s="14" t="n">
        <x:v>76013</x:v>
      </x:c>
      <x:c r="D141" s="2" t="str">
        <x:v>NAVY</x:v>
      </x:c>
      <x:c r="E141" s="2" t="str">
        <x:v>40만</x:v>
      </x:c>
      <x:c r="F141" s="2" t="str">
        <x:v>규칙형</x:v>
      </x:c>
      <x:c r="G141" s="2" t="str">
        <x:v>패</x:v>
      </x:c>
      <x:c r="H141" s="14" t="n">
        <x:v>3</x:v>
      </x:c>
      <x:c r="I141" s="14" t="n">
        <x:v>4</x:v>
      </x:c>
      <x:c r="J141" s="14" t="n">
        <x:v>6</x:v>
      </x:c>
      <x:c r="K141" s="14" t="n">
        <x:v>3</x:v>
      </x:c>
      <x:c r="L141" s="15" t="n">
        <x:f>IF(J141=0,"해당 없음",K141/J141)</x:f>
        <x:v>0.5</x:v>
      </x:c>
      <x:c r="M141" s="14" t="n">
        <x:v>5</x:v>
      </x:c>
      <x:c r="N141" s="14" t="n">
        <x:v>4</x:v>
      </x:c>
      <x:c r="O141" s="15" t="n">
        <x:f>IF(M141=0,"해당 없음",N141/M141)</x:f>
        <x:v>0.8</x:v>
      </x:c>
      <x:c r="P141" s="14" t="n">
        <x:v>103</x:v>
      </x:c>
    </x:row>
    <x:row r="142" ht="22" customHeight="1">
      <x:c r="A142" s="14" t="n">
        <x:v>69</x:v>
      </x:c>
      <x:c r="B142" s="14" t="n">
        <x:v>2</x:v>
      </x:c>
      <x:c r="C142" s="14" t="n">
        <x:v>76014</x:v>
      </x:c>
      <x:c r="D142" s="2" t="str">
        <x:v>RED</x:v>
      </x:c>
      <x:c r="E142" s="2" t="str">
        <x:v>40만</x:v>
      </x:c>
      <x:c r="F142" s="2" t="str">
        <x:v>규칙형</x:v>
      </x:c>
      <x:c r="G142" s="2" t="str">
        <x:v>승</x:v>
      </x:c>
      <x:c r="H142" s="14" t="n">
        <x:v>6</x:v>
      </x:c>
      <x:c r="I142" s="14" t="n">
        <x:v>4</x:v>
      </x:c>
      <x:c r="J142" s="14" t="n">
        <x:v>8</x:v>
      </x:c>
      <x:c r="K142" s="14" t="n">
        <x:v>6</x:v>
      </x:c>
      <x:c r="L142" s="15" t="n">
        <x:f>IF(J142=0,"해당 없음",K142/J142)</x:f>
        <x:v>0.75</x:v>
      </x:c>
      <x:c r="M142" s="14" t="n">
        <x:v>9</x:v>
      </x:c>
      <x:c r="N142" s="14" t="n">
        <x:v>5</x:v>
      </x:c>
      <x:c r="O142" s="15" t="n">
        <x:f>IF(M142=0,"해당 없음",N142/M142)</x:f>
        <x:v>0.5555555555555556</x:v>
      </x:c>
      <x:c r="P142" s="14" t="n">
        <x:v>105</x:v>
      </x:c>
    </x:row>
    <x:row r="143" ht="22" customHeight="1">
      <x:c r="A143" s="14" t="n">
        <x:v>69</x:v>
      </x:c>
      <x:c r="B143" s="14" t="n">
        <x:v>2</x:v>
      </x:c>
      <x:c r="C143" s="14" t="n">
        <x:v>76014</x:v>
      </x:c>
      <x:c r="D143" s="2" t="str">
        <x:v>NAVY</x:v>
      </x:c>
      <x:c r="E143" s="2" t="str">
        <x:v>규칙형</x:v>
      </x:c>
      <x:c r="F143" s="2" t="str">
        <x:v>40만</x:v>
      </x:c>
      <x:c r="G143" s="2" t="str">
        <x:v>패</x:v>
      </x:c>
      <x:c r="H143" s="14" t="n">
        <x:v>4</x:v>
      </x:c>
      <x:c r="I143" s="14" t="n">
        <x:v>6</x:v>
      </x:c>
      <x:c r="J143" s="14" t="n">
        <x:v>11</x:v>
      </x:c>
      <x:c r="K143" s="14" t="n">
        <x:v>4</x:v>
      </x:c>
      <x:c r="L143" s="15" t="n">
        <x:f>IF(J143=0,"해당 없음",K143/J143)</x:f>
        <x:v>0.36363636363636365</x:v>
      </x:c>
      <x:c r="M143" s="14" t="n">
        <x:v>6</x:v>
      </x:c>
      <x:c r="N143" s="14" t="n">
        <x:v>5</x:v>
      </x:c>
      <x:c r="O143" s="15" t="n">
        <x:f>IF(M143=0,"해당 없음",N143/M143)</x:f>
        <x:v>0.8333333333333334</x:v>
      </x:c>
      <x:c r="P143" s="14" t="n">
        <x:v>106</x:v>
      </x:c>
    </x:row>
    <x:row r="144" ht="22" customHeight="1">
      <x:c r="A144" s="14" t="n">
        <x:v>70</x:v>
      </x:c>
      <x:c r="B144" s="14" t="n">
        <x:v>2</x:v>
      </x:c>
      <x:c r="C144" s="14" t="n">
        <x:v>76014</x:v>
      </x:c>
      <x:c r="D144" s="2" t="str">
        <x:v>RED</x:v>
      </x:c>
      <x:c r="E144" s="2" t="str">
        <x:v>규칙형</x:v>
      </x:c>
      <x:c r="F144" s="2" t="str">
        <x:v>40만</x:v>
      </x:c>
      <x:c r="G144" s="2" t="str">
        <x:v>무</x:v>
      </x:c>
      <x:c r="H144" s="14" t="n">
        <x:v>3</x:v>
      </x:c>
      <x:c r="I144" s="14" t="n">
        <x:v>3</x:v>
      </x:c>
      <x:c r="J144" s="14" t="n">
        <x:v>6</x:v>
      </x:c>
      <x:c r="K144" s="14" t="n">
        <x:v>3</x:v>
      </x:c>
      <x:c r="L144" s="15" t="n">
        <x:f>IF(J144=0,"해당 없음",K144/J144)</x:f>
        <x:v>0.5</x:v>
      </x:c>
      <x:c r="M144" s="14" t="n">
        <x:v>9</x:v>
      </x:c>
      <x:c r="N144" s="14" t="n">
        <x:v>7</x:v>
      </x:c>
      <x:c r="O144" s="15" t="n">
        <x:f>IF(M144=0,"해당 없음",N144/M144)</x:f>
        <x:v>0.7777777777777778</x:v>
      </x:c>
      <x:c r="P144" s="14" t="n">
        <x:v>104</x:v>
      </x:c>
    </x:row>
    <x:row r="145" ht="22" customHeight="1">
      <x:c r="A145" s="14" t="n">
        <x:v>70</x:v>
      </x:c>
      <x:c r="B145" s="14" t="n">
        <x:v>2</x:v>
      </x:c>
      <x:c r="C145" s="14" t="n">
        <x:v>76014</x:v>
      </x:c>
      <x:c r="D145" s="2" t="str">
        <x:v>NAVY</x:v>
      </x:c>
      <x:c r="E145" s="2" t="str">
        <x:v>40만</x:v>
      </x:c>
      <x:c r="F145" s="2" t="str">
        <x:v>규칙형</x:v>
      </x:c>
      <x:c r="G145" s="2" t="str">
        <x:v>무</x:v>
      </x:c>
      <x:c r="H145" s="14" t="n">
        <x:v>3</x:v>
      </x:c>
      <x:c r="I145" s="14" t="n">
        <x:v>3</x:v>
      </x:c>
      <x:c r="J145" s="14" t="n">
        <x:v>9</x:v>
      </x:c>
      <x:c r="K145" s="14" t="n">
        <x:v>3</x:v>
      </x:c>
      <x:c r="L145" s="15" t="n">
        <x:f>IF(J145=0,"해당 없음",K145/J145)</x:f>
        <x:v>0.3333333333333333</x:v>
      </x:c>
      <x:c r="M145" s="14" t="n">
        <x:v>6</x:v>
      </x:c>
      <x:c r="N145" s="14" t="n">
        <x:v>4</x:v>
      </x:c>
      <x:c r="O145" s="15" t="n">
        <x:f>IF(M145=0,"해당 없음",N145/M145)</x:f>
        <x:v>0.6666666666666666</x:v>
      </x:c>
      <x:c r="P145" s="14" t="n">
        <x:v>103</x:v>
      </x:c>
    </x:row>
    <x:row r="146" ht="22" customHeight="1">
      <x:c r="A146" s="14" t="n">
        <x:v>71</x:v>
      </x:c>
      <x:c r="B146" s="14" t="n">
        <x:v>2</x:v>
      </x:c>
      <x:c r="C146" s="14" t="n">
        <x:v>76015</x:v>
      </x:c>
      <x:c r="D146" s="2" t="str">
        <x:v>RED</x:v>
      </x:c>
      <x:c r="E146" s="2" t="str">
        <x:v>40만</x:v>
      </x:c>
      <x:c r="F146" s="2" t="str">
        <x:v>규칙형</x:v>
      </x:c>
      <x:c r="G146" s="2" t="str">
        <x:v>승</x:v>
      </x:c>
      <x:c r="H146" s="14" t="n">
        <x:v>5</x:v>
      </x:c>
      <x:c r="I146" s="14" t="n">
        <x:v>3</x:v>
      </x:c>
      <x:c r="J146" s="14" t="n">
        <x:v>11</x:v>
      </x:c>
      <x:c r="K146" s="14" t="n">
        <x:v>5</x:v>
      </x:c>
      <x:c r="L146" s="15" t="n">
        <x:f>IF(J146=0,"해당 없음",K146/J146)</x:f>
        <x:v>0.45454545454545453</x:v>
      </x:c>
      <x:c r="M146" s="14" t="n">
        <x:v>6</x:v>
      </x:c>
      <x:c r="N146" s="14" t="n">
        <x:v>5</x:v>
      </x:c>
      <x:c r="O146" s="15" t="n">
        <x:f>IF(M146=0,"해당 없음",N146/M146)</x:f>
        <x:v>0.8333333333333334</x:v>
      </x:c>
      <x:c r="P146" s="14" t="n">
        <x:v>104</x:v>
      </x:c>
    </x:row>
    <x:row r="147" ht="22" customHeight="1">
      <x:c r="A147" s="14" t="n">
        <x:v>71</x:v>
      </x:c>
      <x:c r="B147" s="14" t="n">
        <x:v>2</x:v>
      </x:c>
      <x:c r="C147" s="14" t="n">
        <x:v>76015</x:v>
      </x:c>
      <x:c r="D147" s="2" t="str">
        <x:v>NAVY</x:v>
      </x:c>
      <x:c r="E147" s="2" t="str">
        <x:v>규칙형</x:v>
      </x:c>
      <x:c r="F147" s="2" t="str">
        <x:v>40만</x:v>
      </x:c>
      <x:c r="G147" s="2" t="str">
        <x:v>패</x:v>
      </x:c>
      <x:c r="H147" s="14" t="n">
        <x:v>3</x:v>
      </x:c>
      <x:c r="I147" s="14" t="n">
        <x:v>5</x:v>
      </x:c>
      <x:c r="J147" s="14" t="n">
        <x:v>5</x:v>
      </x:c>
      <x:c r="K147" s="14" t="n">
        <x:v>3</x:v>
      </x:c>
      <x:c r="L147" s="15" t="n">
        <x:f>IF(J147=0,"해당 없음",K147/J147)</x:f>
        <x:v>0.6</x:v>
      </x:c>
      <x:c r="M147" s="14" t="n">
        <x:v>8</x:v>
      </x:c>
      <x:c r="N147" s="14" t="n">
        <x:v>5</x:v>
      </x:c>
      <x:c r="O147" s="15" t="n">
        <x:f>IF(M147=0,"해당 없음",N147/M147)</x:f>
        <x:v>0.625</x:v>
      </x:c>
      <x:c r="P147" s="14" t="n">
        <x:v>105</x:v>
      </x:c>
    </x:row>
    <x:row r="148" ht="22" customHeight="1">
      <x:c r="A148" s="14" t="n">
        <x:v>72</x:v>
      </x:c>
      <x:c r="B148" s="14" t="n">
        <x:v>2</x:v>
      </x:c>
      <x:c r="C148" s="14" t="n">
        <x:v>76015</x:v>
      </x:c>
      <x:c r="D148" s="2" t="str">
        <x:v>RED</x:v>
      </x:c>
      <x:c r="E148" s="2" t="str">
        <x:v>규칙형</x:v>
      </x:c>
      <x:c r="F148" s="2" t="str">
        <x:v>40만</x:v>
      </x:c>
      <x:c r="G148" s="2" t="str">
        <x:v>패</x:v>
      </x:c>
      <x:c r="H148" s="14" t="n">
        <x:v>1</x:v>
      </x:c>
      <x:c r="I148" s="14" t="n">
        <x:v>6</x:v>
      </x:c>
      <x:c r="J148" s="14" t="n">
        <x:v>4</x:v>
      </x:c>
      <x:c r="K148" s="14" t="n">
        <x:v>1</x:v>
      </x:c>
      <x:c r="L148" s="15" t="n">
        <x:f>IF(J148=0,"해당 없음",K148/J148)</x:f>
        <x:v>0.25</x:v>
      </x:c>
      <x:c r="M148" s="14" t="n">
        <x:v>6</x:v>
      </x:c>
      <x:c r="N148" s="14" t="n">
        <x:v>6</x:v>
      </x:c>
      <x:c r="O148" s="15" t="n">
        <x:f>IF(M148=0,"해당 없음",N148/M148)</x:f>
        <x:v>1</x:v>
      </x:c>
      <x:c r="P148" s="14" t="n">
        <x:v>106</x:v>
      </x:c>
    </x:row>
    <x:row r="149" ht="22" customHeight="1">
      <x:c r="A149" s="14" t="n">
        <x:v>72</x:v>
      </x:c>
      <x:c r="B149" s="14" t="n">
        <x:v>2</x:v>
      </x:c>
      <x:c r="C149" s="14" t="n">
        <x:v>76015</x:v>
      </x:c>
      <x:c r="D149" s="2" t="str">
        <x:v>NAVY</x:v>
      </x:c>
      <x:c r="E149" s="2" t="str">
        <x:v>40만</x:v>
      </x:c>
      <x:c r="F149" s="2" t="str">
        <x:v>규칙형</x:v>
      </x:c>
      <x:c r="G149" s="2" t="str">
        <x:v>승</x:v>
      </x:c>
      <x:c r="H149" s="14" t="n">
        <x:v>6</x:v>
      </x:c>
      <x:c r="I149" s="14" t="n">
        <x:v>1</x:v>
      </x:c>
      <x:c r="J149" s="14" t="n">
        <x:v>10</x:v>
      </x:c>
      <x:c r="K149" s="14" t="n">
        <x:v>6</x:v>
      </x:c>
      <x:c r="L149" s="15" t="n">
        <x:f>IF(J149=0,"해당 없음",K149/J149)</x:f>
        <x:v>0.6</x:v>
      </x:c>
      <x:c r="M149" s="14" t="n">
        <x:v>10</x:v>
      </x:c>
      <x:c r="N149" s="14" t="n">
        <x:v>9</x:v>
      </x:c>
      <x:c r="O149" s="15" t="n">
        <x:f>IF(M149=0,"해당 없음",N149/M149)</x:f>
        <x:v>0.9</x:v>
      </x:c>
      <x:c r="P149" s="14" t="n">
        <x:v>104</x:v>
      </x:c>
    </x:row>
    <x:row r="150" ht="22" customHeight="1">
      <x:c r="A150" s="14" t="n">
        <x:v>73</x:v>
      </x:c>
      <x:c r="B150" s="14" t="n">
        <x:v>2</x:v>
      </x:c>
      <x:c r="C150" s="14" t="n">
        <x:v>76016</x:v>
      </x:c>
      <x:c r="D150" s="2" t="str">
        <x:v>RED</x:v>
      </x:c>
      <x:c r="E150" s="2" t="str">
        <x:v>40만</x:v>
      </x:c>
      <x:c r="F150" s="2" t="str">
        <x:v>규칙형</x:v>
      </x:c>
      <x:c r="G150" s="2" t="str">
        <x:v>패</x:v>
      </x:c>
      <x:c r="H150" s="14" t="n">
        <x:v>1</x:v>
      </x:c>
      <x:c r="I150" s="14" t="n">
        <x:v>6</x:v>
      </x:c>
      <x:c r="J150" s="14" t="n">
        <x:v>4</x:v>
      </x:c>
      <x:c r="K150" s="14" t="n">
        <x:v>1</x:v>
      </x:c>
      <x:c r="L150" s="15" t="n">
        <x:f>IF(J150=0,"해당 없음",K150/J150)</x:f>
        <x:v>0.25</x:v>
      </x:c>
      <x:c r="M150" s="14" t="n">
        <x:v>8</x:v>
      </x:c>
      <x:c r="N150" s="14" t="n">
        <x:v>8</x:v>
      </x:c>
      <x:c r="O150" s="15" t="n">
        <x:f>IF(M150=0,"해당 없음",N150/M150)</x:f>
        <x:v>1</x:v>
      </x:c>
      <x:c r="P150" s="14" t="n">
        <x:v>104</x:v>
      </x:c>
    </x:row>
    <x:row r="151" ht="22" customHeight="1">
      <x:c r="A151" s="14" t="n">
        <x:v>73</x:v>
      </x:c>
      <x:c r="B151" s="14" t="n">
        <x:v>2</x:v>
      </x:c>
      <x:c r="C151" s="14" t="n">
        <x:v>76016</x:v>
      </x:c>
      <x:c r="D151" s="2" t="str">
        <x:v>NAVY</x:v>
      </x:c>
      <x:c r="E151" s="2" t="str">
        <x:v>규칙형</x:v>
      </x:c>
      <x:c r="F151" s="2" t="str">
        <x:v>40만</x:v>
      </x:c>
      <x:c r="G151" s="2" t="str">
        <x:v>승</x:v>
      </x:c>
      <x:c r="H151" s="14" t="n">
        <x:v>6</x:v>
      </x:c>
      <x:c r="I151" s="14" t="n">
        <x:v>1</x:v>
      </x:c>
      <x:c r="J151" s="14" t="n">
        <x:v>15</x:v>
      </x:c>
      <x:c r="K151" s="14" t="n">
        <x:v>6</x:v>
      </x:c>
      <x:c r="L151" s="15" t="n">
        <x:f>IF(J151=0,"해당 없음",K151/J151)</x:f>
        <x:v>0.4</x:v>
      </x:c>
      <x:c r="M151" s="14" t="n">
        <x:v>10</x:v>
      </x:c>
      <x:c r="N151" s="14" t="n">
        <x:v>9</x:v>
      </x:c>
      <x:c r="O151" s="15" t="n">
        <x:f>IF(M151=0,"해당 없음",N151/M151)</x:f>
        <x:v>0.9</x:v>
      </x:c>
      <x:c r="P151" s="14" t="n">
        <x:v>104</x:v>
      </x:c>
    </x:row>
    <x:row r="152" ht="22" customHeight="1">
      <x:c r="A152" s="14" t="n">
        <x:v>74</x:v>
      </x:c>
      <x:c r="B152" s="14" t="n">
        <x:v>2</x:v>
      </x:c>
      <x:c r="C152" s="14" t="n">
        <x:v>76016</x:v>
      </x:c>
      <x:c r="D152" s="2" t="str">
        <x:v>RED</x:v>
      </x:c>
      <x:c r="E152" s="2" t="str">
        <x:v>규칙형</x:v>
      </x:c>
      <x:c r="F152" s="2" t="str">
        <x:v>40만</x:v>
      </x:c>
      <x:c r="G152" s="2" t="str">
        <x:v>패</x:v>
      </x:c>
      <x:c r="H152" s="14" t="n">
        <x:v>1</x:v>
      </x:c>
      <x:c r="I152" s="14" t="n">
        <x:v>3</x:v>
      </x:c>
      <x:c r="J152" s="14" t="n">
        <x:v>5</x:v>
      </x:c>
      <x:c r="K152" s="14" t="n">
        <x:v>1</x:v>
      </x:c>
      <x:c r="L152" s="15" t="n">
        <x:f>IF(J152=0,"해당 없음",K152/J152)</x:f>
        <x:v>0.2</x:v>
      </x:c>
      <x:c r="M152" s="14" t="n">
        <x:v>12</x:v>
      </x:c>
      <x:c r="N152" s="14" t="n">
        <x:v>7</x:v>
      </x:c>
      <x:c r="O152" s="15" t="n">
        <x:f>IF(M152=0,"해당 없음",N152/M152)</x:f>
        <x:v>0.5833333333333334</x:v>
      </x:c>
      <x:c r="P152" s="14" t="n">
        <x:v>102</x:v>
      </x:c>
    </x:row>
    <x:row r="153" ht="22" customHeight="1">
      <x:c r="A153" s="14" t="n">
        <x:v>74</x:v>
      </x:c>
      <x:c r="B153" s="14" t="n">
        <x:v>2</x:v>
      </x:c>
      <x:c r="C153" s="14" t="n">
        <x:v>76016</x:v>
      </x:c>
      <x:c r="D153" s="2" t="str">
        <x:v>NAVY</x:v>
      </x:c>
      <x:c r="E153" s="2" t="str">
        <x:v>40만</x:v>
      </x:c>
      <x:c r="F153" s="2" t="str">
        <x:v>규칙형</x:v>
      </x:c>
      <x:c r="G153" s="2" t="str">
        <x:v>승</x:v>
      </x:c>
      <x:c r="H153" s="14" t="n">
        <x:v>3</x:v>
      </x:c>
      <x:c r="I153" s="14" t="n">
        <x:v>1</x:v>
      </x:c>
      <x:c r="J153" s="14" t="n">
        <x:v>12</x:v>
      </x:c>
      <x:c r="K153" s="14" t="n">
        <x:v>3</x:v>
      </x:c>
      <x:c r="L153" s="15" t="n">
        <x:f>IF(J153=0,"해당 없음",K153/J153)</x:f>
        <x:v>0.25</x:v>
      </x:c>
      <x:c r="M153" s="14" t="n">
        <x:v>7</x:v>
      </x:c>
      <x:c r="N153" s="14" t="n">
        <x:v>3</x:v>
      </x:c>
      <x:c r="O153" s="15" t="n">
        <x:f>IF(M153=0,"해당 없음",N153/M153)</x:f>
        <x:v>0.42857142857142855</x:v>
      </x:c>
      <x:c r="P153" s="14" t="n">
        <x:v>102</x:v>
      </x:c>
    </x:row>
    <x:row r="154" ht="22" customHeight="1">
      <x:c r="A154" s="14" t="n">
        <x:v>75</x:v>
      </x:c>
      <x:c r="B154" s="14" t="n">
        <x:v>2</x:v>
      </x:c>
      <x:c r="C154" s="14" t="n">
        <x:v>76017</x:v>
      </x:c>
      <x:c r="D154" s="2" t="str">
        <x:v>RED</x:v>
      </x:c>
      <x:c r="E154" s="2" t="str">
        <x:v>40만</x:v>
      </x:c>
      <x:c r="F154" s="2" t="str">
        <x:v>규칙형</x:v>
      </x:c>
      <x:c r="G154" s="2" t="str">
        <x:v>무</x:v>
      </x:c>
      <x:c r="H154" s="14" t="n">
        <x:v>3</x:v>
      </x:c>
      <x:c r="I154" s="14" t="n">
        <x:v>3</x:v>
      </x:c>
      <x:c r="J154" s="14" t="n">
        <x:v>11</x:v>
      </x:c>
      <x:c r="K154" s="14" t="n">
        <x:v>3</x:v>
      </x:c>
      <x:c r="L154" s="15" t="n">
        <x:f>IF(J154=0,"해당 없음",K154/J154)</x:f>
        <x:v>0.2727272727272727</x:v>
      </x:c>
      <x:c r="M154" s="14" t="n">
        <x:v>6</x:v>
      </x:c>
      <x:c r="N154" s="14" t="n">
        <x:v>4</x:v>
      </x:c>
      <x:c r="O154" s="15" t="n">
        <x:f>IF(M154=0,"해당 없음",N154/M154)</x:f>
        <x:v>0.6666666666666666</x:v>
      </x:c>
      <x:c r="P154" s="14" t="n">
        <x:v>103</x:v>
      </x:c>
    </x:row>
    <x:row r="155" ht="22" customHeight="1">
      <x:c r="A155" s="14" t="n">
        <x:v>75</x:v>
      </x:c>
      <x:c r="B155" s="14" t="n">
        <x:v>2</x:v>
      </x:c>
      <x:c r="C155" s="14" t="n">
        <x:v>76017</x:v>
      </x:c>
      <x:c r="D155" s="2" t="str">
        <x:v>NAVY</x:v>
      </x:c>
      <x:c r="E155" s="2" t="str">
        <x:v>규칙형</x:v>
      </x:c>
      <x:c r="F155" s="2" t="str">
        <x:v>40만</x:v>
      </x:c>
      <x:c r="G155" s="2" t="str">
        <x:v>무</x:v>
      </x:c>
      <x:c r="H155" s="14" t="n">
        <x:v>3</x:v>
      </x:c>
      <x:c r="I155" s="14" t="n">
        <x:v>3</x:v>
      </x:c>
      <x:c r="J155" s="14" t="n">
        <x:v>7</x:v>
      </x:c>
      <x:c r="K155" s="14" t="n">
        <x:v>3</x:v>
      </x:c>
      <x:c r="L155" s="15" t="n">
        <x:f>IF(J155=0,"해당 없음",K155/J155)</x:f>
        <x:v>0.42857142857142855</x:v>
      </x:c>
      <x:c r="M155" s="14" t="n">
        <x:v>13</x:v>
      </x:c>
      <x:c r="N155" s="14" t="n">
        <x:v>9</x:v>
      </x:c>
      <x:c r="O155" s="15" t="n">
        <x:f>IF(M155=0,"해당 없음",N155/M155)</x:f>
        <x:v>0.6923076923076923</x:v>
      </x:c>
      <x:c r="P155" s="14" t="n">
        <x:v>104</x:v>
      </x:c>
    </x:row>
    <x:row r="156" ht="22" customHeight="1">
      <x:c r="A156" s="14" t="n">
        <x:v>76</x:v>
      </x:c>
      <x:c r="B156" s="14" t="n">
        <x:v>2</x:v>
      </x:c>
      <x:c r="C156" s="14" t="n">
        <x:v>76017</x:v>
      </x:c>
      <x:c r="D156" s="2" t="str">
        <x:v>RED</x:v>
      </x:c>
      <x:c r="E156" s="2" t="str">
        <x:v>규칙형</x:v>
      </x:c>
      <x:c r="F156" s="2" t="str">
        <x:v>40만</x:v>
      </x:c>
      <x:c r="G156" s="2" t="str">
        <x:v>승</x:v>
      </x:c>
      <x:c r="H156" s="14" t="n">
        <x:v>4</x:v>
      </x:c>
      <x:c r="I156" s="14" t="n">
        <x:v>2</x:v>
      </x:c>
      <x:c r="J156" s="14" t="n">
        <x:v>8</x:v>
      </x:c>
      <x:c r="K156" s="14" t="n">
        <x:v>4</x:v>
      </x:c>
      <x:c r="L156" s="15" t="n">
        <x:f>IF(J156=0,"해당 없음",K156/J156)</x:f>
        <x:v>0.5</x:v>
      </x:c>
      <x:c r="M156" s="14" t="n">
        <x:v>10</x:v>
      </x:c>
      <x:c r="N156" s="14" t="n">
        <x:v>9</x:v>
      </x:c>
      <x:c r="O156" s="15" t="n">
        <x:f>IF(M156=0,"해당 없음",N156/M156)</x:f>
        <x:v>0.9</x:v>
      </x:c>
      <x:c r="P156" s="14" t="n">
        <x:v>103</x:v>
      </x:c>
    </x:row>
    <x:row r="157" ht="22" customHeight="1">
      <x:c r="A157" s="14" t="n">
        <x:v>76</x:v>
      </x:c>
      <x:c r="B157" s="14" t="n">
        <x:v>2</x:v>
      </x:c>
      <x:c r="C157" s="14" t="n">
        <x:v>76017</x:v>
      </x:c>
      <x:c r="D157" s="2" t="str">
        <x:v>NAVY</x:v>
      </x:c>
      <x:c r="E157" s="2" t="str">
        <x:v>40만</x:v>
      </x:c>
      <x:c r="F157" s="2" t="str">
        <x:v>규칙형</x:v>
      </x:c>
      <x:c r="G157" s="2" t="str">
        <x:v>패</x:v>
      </x:c>
      <x:c r="H157" s="14" t="n">
        <x:v>2</x:v>
      </x:c>
      <x:c r="I157" s="14" t="n">
        <x:v>4</x:v>
      </x:c>
      <x:c r="J157" s="14" t="n">
        <x:v>5</x:v>
      </x:c>
      <x:c r="K157" s="14" t="n">
        <x:v>2</x:v>
      </x:c>
      <x:c r="L157" s="15" t="n">
        <x:f>IF(J157=0,"해당 없음",K157/J157)</x:f>
        <x:v>0.4</x:v>
      </x:c>
      <x:c r="M157" s="14" t="n">
        <x:v>7</x:v>
      </x:c>
      <x:c r="N157" s="14" t="n">
        <x:v>4</x:v>
      </x:c>
      <x:c r="O157" s="15" t="n">
        <x:f>IF(M157=0,"해당 없음",N157/M157)</x:f>
        <x:v>0.5714285714285714</x:v>
      </x:c>
      <x:c r="P157" s="14" t="n">
        <x:v>103</x:v>
      </x:c>
    </x:row>
    <x:row r="158" ht="22" customHeight="1">
      <x:c r="A158" s="14" t="n">
        <x:v>77</x:v>
      </x:c>
      <x:c r="B158" s="14" t="n">
        <x:v>2</x:v>
      </x:c>
      <x:c r="C158" s="14" t="n">
        <x:v>76018</x:v>
      </x:c>
      <x:c r="D158" s="2" t="str">
        <x:v>RED</x:v>
      </x:c>
      <x:c r="E158" s="2" t="str">
        <x:v>40만</x:v>
      </x:c>
      <x:c r="F158" s="2" t="str">
        <x:v>규칙형</x:v>
      </x:c>
      <x:c r="G158" s="2" t="str">
        <x:v>승</x:v>
      </x:c>
      <x:c r="H158" s="14" t="n">
        <x:v>6</x:v>
      </x:c>
      <x:c r="I158" s="14" t="n">
        <x:v>2</x:v>
      </x:c>
      <x:c r="J158" s="14" t="n">
        <x:v>9</x:v>
      </x:c>
      <x:c r="K158" s="14" t="n">
        <x:v>6</x:v>
      </x:c>
      <x:c r="L158" s="15" t="n">
        <x:f>IF(J158=0,"해당 없음",K158/J158)</x:f>
        <x:v>0.6666666666666666</x:v>
      </x:c>
      <x:c r="M158" s="14" t="n">
        <x:v>7</x:v>
      </x:c>
      <x:c r="N158" s="14" t="n">
        <x:v>5</x:v>
      </x:c>
      <x:c r="O158" s="15" t="n">
        <x:f>IF(M158=0,"해당 없음",N158/M158)</x:f>
        <x:v>0.7142857142857143</x:v>
      </x:c>
      <x:c r="P158" s="14" t="n">
        <x:v>104</x:v>
      </x:c>
    </x:row>
    <x:row r="159" ht="22" customHeight="1">
      <x:c r="A159" s="14" t="n">
        <x:v>77</x:v>
      </x:c>
      <x:c r="B159" s="14" t="n">
        <x:v>2</x:v>
      </x:c>
      <x:c r="C159" s="14" t="n">
        <x:v>76018</x:v>
      </x:c>
      <x:c r="D159" s="2" t="str">
        <x:v>NAVY</x:v>
      </x:c>
      <x:c r="E159" s="2" t="str">
        <x:v>규칙형</x:v>
      </x:c>
      <x:c r="F159" s="2" t="str">
        <x:v>40만</x:v>
      </x:c>
      <x:c r="G159" s="2" t="str">
        <x:v>패</x:v>
      </x:c>
      <x:c r="H159" s="14" t="n">
        <x:v>2</x:v>
      </x:c>
      <x:c r="I159" s="14" t="n">
        <x:v>6</x:v>
      </x:c>
      <x:c r="J159" s="14" t="n">
        <x:v>7</x:v>
      </x:c>
      <x:c r="K159" s="14" t="n">
        <x:v>2</x:v>
      </x:c>
      <x:c r="L159" s="15" t="n">
        <x:f>IF(J159=0,"해당 없음",K159/J159)</x:f>
        <x:v>0.2857142857142857</x:v>
      </x:c>
      <x:c r="M159" s="14" t="n">
        <x:v>7</x:v>
      </x:c>
      <x:c r="N159" s="14" t="n">
        <x:v>7</x:v>
      </x:c>
      <x:c r="O159" s="15" t="n">
        <x:f>IF(M159=0,"해당 없음",N159/M159)</x:f>
        <x:v>1</x:v>
      </x:c>
      <x:c r="P159" s="14" t="n">
        <x:v>104</x:v>
      </x:c>
    </x:row>
    <x:row r="160" ht="22" customHeight="1">
      <x:c r="A160" s="14" t="n">
        <x:v>78</x:v>
      </x:c>
      <x:c r="B160" s="14" t="n">
        <x:v>2</x:v>
      </x:c>
      <x:c r="C160" s="14" t="n">
        <x:v>76018</x:v>
      </x:c>
      <x:c r="D160" s="2" t="str">
        <x:v>RED</x:v>
      </x:c>
      <x:c r="E160" s="2" t="str">
        <x:v>규칙형</x:v>
      </x:c>
      <x:c r="F160" s="2" t="str">
        <x:v>40만</x:v>
      </x:c>
      <x:c r="G160" s="2" t="str">
        <x:v>패</x:v>
      </x:c>
      <x:c r="H160" s="14" t="n">
        <x:v>2</x:v>
      </x:c>
      <x:c r="I160" s="14" t="n">
        <x:v>5</x:v>
      </x:c>
      <x:c r="J160" s="14" t="n">
        <x:v>9</x:v>
      </x:c>
      <x:c r="K160" s="14" t="n">
        <x:v>2</x:v>
      </x:c>
      <x:c r="L160" s="15" t="n">
        <x:f>IF(J160=0,"해당 없음",K160/J160)</x:f>
        <x:v>0.2222222222222222</x:v>
      </x:c>
      <x:c r="M160" s="14" t="n">
        <x:v>4</x:v>
      </x:c>
      <x:c r="N160" s="14" t="n">
        <x:v>4</x:v>
      </x:c>
      <x:c r="O160" s="15" t="n">
        <x:f>IF(M160=0,"해당 없음",N160/M160)</x:f>
        <x:v>1</x:v>
      </x:c>
      <x:c r="P160" s="14" t="n">
        <x:v>105</x:v>
      </x:c>
    </x:row>
    <x:row r="161" ht="22" customHeight="1">
      <x:c r="A161" s="14" t="n">
        <x:v>78</x:v>
      </x:c>
      <x:c r="B161" s="14" t="n">
        <x:v>2</x:v>
      </x:c>
      <x:c r="C161" s="14" t="n">
        <x:v>76018</x:v>
      </x:c>
      <x:c r="D161" s="2" t="str">
        <x:v>NAVY</x:v>
      </x:c>
      <x:c r="E161" s="2" t="str">
        <x:v>40만</x:v>
      </x:c>
      <x:c r="F161" s="2" t="str">
        <x:v>규칙형</x:v>
      </x:c>
      <x:c r="G161" s="2" t="str">
        <x:v>승</x:v>
      </x:c>
      <x:c r="H161" s="14" t="n">
        <x:v>5</x:v>
      </x:c>
      <x:c r="I161" s="14" t="n">
        <x:v>2</x:v>
      </x:c>
      <x:c r="J161" s="14" t="n">
        <x:v>8</x:v>
      </x:c>
      <x:c r="K161" s="14" t="n">
        <x:v>5</x:v>
      </x:c>
      <x:c r="L161" s="15" t="n">
        <x:f>IF(J161=0,"해당 없음",K161/J161)</x:f>
        <x:v>0.625</x:v>
      </x:c>
      <x:c r="M161" s="14" t="n">
        <x:v>7</x:v>
      </x:c>
      <x:c r="N161" s="14" t="n">
        <x:v>6</x:v>
      </x:c>
      <x:c r="O161" s="15" t="n">
        <x:f>IF(M161=0,"해당 없음",N161/M161)</x:f>
        <x:v>0.8571428571428571</x:v>
      </x:c>
      <x:c r="P161" s="14" t="n">
        <x:v>105</x:v>
      </x:c>
    </x:row>
    <x:row r="162" ht="22" customHeight="1">
      <x:c r="A162" s="14" t="n">
        <x:v>79</x:v>
      </x:c>
      <x:c r="B162" s="14" t="n">
        <x:v>2</x:v>
      </x:c>
      <x:c r="C162" s="14" t="n">
        <x:v>76019</x:v>
      </x:c>
      <x:c r="D162" s="2" t="str">
        <x:v>RED</x:v>
      </x:c>
      <x:c r="E162" s="2" t="str">
        <x:v>40만</x:v>
      </x:c>
      <x:c r="F162" s="2" t="str">
        <x:v>규칙형</x:v>
      </x:c>
      <x:c r="G162" s="2" t="str">
        <x:v>승</x:v>
      </x:c>
      <x:c r="H162" s="14" t="n">
        <x:v>6</x:v>
      </x:c>
      <x:c r="I162" s="14" t="n">
        <x:v>1</x:v>
      </x:c>
      <x:c r="J162" s="14" t="n">
        <x:v>9</x:v>
      </x:c>
      <x:c r="K162" s="14" t="n">
        <x:v>6</x:v>
      </x:c>
      <x:c r="L162" s="15" t="n">
        <x:f>IF(J162=0,"해당 없음",K162/J162)</x:f>
        <x:v>0.6666666666666666</x:v>
      </x:c>
      <x:c r="M162" s="14" t="n">
        <x:v>9</x:v>
      </x:c>
      <x:c r="N162" s="14" t="n">
        <x:v>8</x:v>
      </x:c>
      <x:c r="O162" s="15" t="n">
        <x:f>IF(M162=0,"해당 없음",N162/M162)</x:f>
        <x:v>0.8888888888888888</x:v>
      </x:c>
      <x:c r="P162" s="14" t="n">
        <x:v>103</x:v>
      </x:c>
    </x:row>
    <x:row r="163" ht="22" customHeight="1">
      <x:c r="A163" s="14" t="n">
        <x:v>79</x:v>
      </x:c>
      <x:c r="B163" s="14" t="n">
        <x:v>2</x:v>
      </x:c>
      <x:c r="C163" s="14" t="n">
        <x:v>76019</x:v>
      </x:c>
      <x:c r="D163" s="2" t="str">
        <x:v>NAVY</x:v>
      </x:c>
      <x:c r="E163" s="2" t="str">
        <x:v>규칙형</x:v>
      </x:c>
      <x:c r="F163" s="2" t="str">
        <x:v>40만</x:v>
      </x:c>
      <x:c r="G163" s="2" t="str">
        <x:v>패</x:v>
      </x:c>
      <x:c r="H163" s="14" t="n">
        <x:v>1</x:v>
      </x:c>
      <x:c r="I163" s="14" t="n">
        <x:v>6</x:v>
      </x:c>
      <x:c r="J163" s="14" t="n">
        <x:v>3</x:v>
      </x:c>
      <x:c r="K163" s="14" t="n">
        <x:v>1</x:v>
      </x:c>
      <x:c r="L163" s="15" t="n">
        <x:f>IF(J163=0,"해당 없음",K163/J163)</x:f>
        <x:v>0.3333333333333333</x:v>
      </x:c>
      <x:c r="M163" s="14" t="n">
        <x:v>6</x:v>
      </x:c>
      <x:c r="N163" s="14" t="n">
        <x:v>6</x:v>
      </x:c>
      <x:c r="O163" s="15" t="n">
        <x:f>IF(M163=0,"해당 없음",N163/M163)</x:f>
        <x:v>1</x:v>
      </x:c>
      <x:c r="P163" s="14" t="n">
        <x:v>105</x:v>
      </x:c>
    </x:row>
    <x:row r="164" ht="22" customHeight="1">
      <x:c r="A164" s="14" t="n">
        <x:v>80</x:v>
      </x:c>
      <x:c r="B164" s="14" t="n">
        <x:v>2</x:v>
      </x:c>
      <x:c r="C164" s="14" t="n">
        <x:v>76019</x:v>
      </x:c>
      <x:c r="D164" s="2" t="str">
        <x:v>RED</x:v>
      </x:c>
      <x:c r="E164" s="2" t="str">
        <x:v>규칙형</x:v>
      </x:c>
      <x:c r="F164" s="2" t="str">
        <x:v>40만</x:v>
      </x:c>
      <x:c r="G164" s="2" t="str">
        <x:v>승</x:v>
      </x:c>
      <x:c r="H164" s="14" t="n">
        <x:v>3</x:v>
      </x:c>
      <x:c r="I164" s="14" t="n">
        <x:v>2</x:v>
      </x:c>
      <x:c r="J164" s="14" t="n">
        <x:v>10</x:v>
      </x:c>
      <x:c r="K164" s="14" t="n">
        <x:v>3</x:v>
      </x:c>
      <x:c r="L164" s="15" t="n">
        <x:f>IF(J164=0,"해당 없음",K164/J164)</x:f>
        <x:v>0.3</x:v>
      </x:c>
      <x:c r="M164" s="14" t="n">
        <x:v>5</x:v>
      </x:c>
      <x:c r="N164" s="14" t="n">
        <x:v>5</x:v>
      </x:c>
      <x:c r="O164" s="15" t="n">
        <x:f>IF(M164=0,"해당 없음",N164/M164)</x:f>
        <x:v>1</x:v>
      </x:c>
      <x:c r="P164" s="14" t="n">
        <x:v>103</x:v>
      </x:c>
    </x:row>
    <x:row r="165" ht="22" customHeight="1">
      <x:c r="A165" s="14" t="n">
        <x:v>80</x:v>
      </x:c>
      <x:c r="B165" s="14" t="n">
        <x:v>2</x:v>
      </x:c>
      <x:c r="C165" s="14" t="n">
        <x:v>76019</x:v>
      </x:c>
      <x:c r="D165" s="2" t="str">
        <x:v>NAVY</x:v>
      </x:c>
      <x:c r="E165" s="2" t="str">
        <x:v>40만</x:v>
      </x:c>
      <x:c r="F165" s="2" t="str">
        <x:v>규칙형</x:v>
      </x:c>
      <x:c r="G165" s="2" t="str">
        <x:v>패</x:v>
      </x:c>
      <x:c r="H165" s="14" t="n">
        <x:v>2</x:v>
      </x:c>
      <x:c r="I165" s="14" t="n">
        <x:v>3</x:v>
      </x:c>
      <x:c r="J165" s="14" t="n">
        <x:v>6</x:v>
      </x:c>
      <x:c r="K165" s="14" t="n">
        <x:v>2</x:v>
      </x:c>
      <x:c r="L165" s="15" t="n">
        <x:f>IF(J165=0,"해당 없음",K165/J165)</x:f>
        <x:v>0.3333333333333333</x:v>
      </x:c>
      <x:c r="M165" s="14" t="n">
        <x:v>7</x:v>
      </x:c>
      <x:c r="N165" s="14" t="n">
        <x:v>5</x:v>
      </x:c>
      <x:c r="O165" s="15" t="n">
        <x:f>IF(M165=0,"해당 없음",N165/M165)</x:f>
        <x:v>0.7142857142857143</x:v>
      </x:c>
      <x:c r="P165" s="14" t="n">
        <x:v>103</x:v>
      </x:c>
    </x:row>
    <x:row r="166" ht="22" customHeight="1">
      <x:c r="A166" s="14" t="n">
        <x:v>81</x:v>
      </x:c>
      <x:c r="B166" s="14" t="n">
        <x:v>3</x:v>
      </x:c>
      <x:c r="C166" s="14" t="n">
        <x:v>76000</x:v>
      </x:c>
      <x:c r="D166" s="2" t="str">
        <x:v>RED</x:v>
      </x:c>
      <x:c r="E166" s="2" t="str">
        <x:v>80만</x:v>
      </x:c>
      <x:c r="F166" s="2" t="str">
        <x:v>규칙형</x:v>
      </x:c>
      <x:c r="G166" s="2" t="str">
        <x:v>승</x:v>
      </x:c>
      <x:c r="H166" s="14" t="n">
        <x:v>3</x:v>
      </x:c>
      <x:c r="I166" s="14" t="n">
        <x:v>2</x:v>
      </x:c>
      <x:c r="J166" s="14" t="n">
        <x:v>7</x:v>
      </x:c>
      <x:c r="K166" s="14" t="n">
        <x:v>3</x:v>
      </x:c>
      <x:c r="L166" s="15" t="n">
        <x:f>IF(J166=0,"해당 없음",K166/J166)</x:f>
        <x:v>0.42857142857142855</x:v>
      </x:c>
      <x:c r="M166" s="14" t="n">
        <x:v>9</x:v>
      </x:c>
      <x:c r="N166" s="14" t="n">
        <x:v>8</x:v>
      </x:c>
      <x:c r="O166" s="15" t="n">
        <x:f>IF(M166=0,"해당 없음",N166/M166)</x:f>
        <x:v>0.8888888888888888</x:v>
      </x:c>
      <x:c r="P166" s="14" t="n">
        <x:v>101</x:v>
      </x:c>
    </x:row>
    <x:row r="167" ht="22" customHeight="1">
      <x:c r="A167" s="14" t="n">
        <x:v>81</x:v>
      </x:c>
      <x:c r="B167" s="14" t="n">
        <x:v>3</x:v>
      </x:c>
      <x:c r="C167" s="14" t="n">
        <x:v>76000</x:v>
      </x:c>
      <x:c r="D167" s="2" t="str">
        <x:v>NAVY</x:v>
      </x:c>
      <x:c r="E167" s="2" t="str">
        <x:v>규칙형</x:v>
      </x:c>
      <x:c r="F167" s="2" t="str">
        <x:v>80만</x:v>
      </x:c>
      <x:c r="G167" s="2" t="str">
        <x:v>패</x:v>
      </x:c>
      <x:c r="H167" s="14" t="n">
        <x:v>2</x:v>
      </x:c>
      <x:c r="I167" s="14" t="n">
        <x:v>3</x:v>
      </x:c>
      <x:c r="J167" s="14" t="n">
        <x:v>7</x:v>
      </x:c>
      <x:c r="K167" s="14" t="n">
        <x:v>2</x:v>
      </x:c>
      <x:c r="L167" s="15" t="n">
        <x:f>IF(J167=0,"해당 없음",K167/J167)</x:f>
        <x:v>0.2857142857142857</x:v>
      </x:c>
      <x:c r="M167" s="14" t="n">
        <x:v>6</x:v>
      </x:c>
      <x:c r="N167" s="14" t="n">
        <x:v>4</x:v>
      </x:c>
      <x:c r="O167" s="15" t="n">
        <x:f>IF(M167=0,"해당 없음",N167/M167)</x:f>
        <x:v>0.6666666666666666</x:v>
      </x:c>
      <x:c r="P167" s="14" t="n">
        <x:v>101</x:v>
      </x:c>
    </x:row>
    <x:row r="168" ht="22" customHeight="1">
      <x:c r="A168" s="14" t="n">
        <x:v>82</x:v>
      </x:c>
      <x:c r="B168" s="14" t="n">
        <x:v>3</x:v>
      </x:c>
      <x:c r="C168" s="14" t="n">
        <x:v>76000</x:v>
      </x:c>
      <x:c r="D168" s="2" t="str">
        <x:v>RED</x:v>
      </x:c>
      <x:c r="E168" s="2" t="str">
        <x:v>규칙형</x:v>
      </x:c>
      <x:c r="F168" s="2" t="str">
        <x:v>80만</x:v>
      </x:c>
      <x:c r="G168" s="2" t="str">
        <x:v>승</x:v>
      </x:c>
      <x:c r="H168" s="14" t="n">
        <x:v>5</x:v>
      </x:c>
      <x:c r="I168" s="14" t="n">
        <x:v>2</x:v>
      </x:c>
      <x:c r="J168" s="14" t="n">
        <x:v>9</x:v>
      </x:c>
      <x:c r="K168" s="14" t="n">
        <x:v>5</x:v>
      </x:c>
      <x:c r="L168" s="15" t="n">
        <x:f>IF(J168=0,"해당 없음",K168/J168)</x:f>
        <x:v>0.5555555555555556</x:v>
      </x:c>
      <x:c r="M168" s="14" t="n">
        <x:v>13</x:v>
      </x:c>
      <x:c r="N168" s="14" t="n">
        <x:v>9</x:v>
      </x:c>
      <x:c r="O168" s="15" t="n">
        <x:f>IF(M168=0,"해당 없음",N168/M168)</x:f>
        <x:v>0.6923076923076923</x:v>
      </x:c>
      <x:c r="P168" s="14" t="n">
        <x:v>104</x:v>
      </x:c>
    </x:row>
    <x:row r="169" ht="22" customHeight="1">
      <x:c r="A169" s="14" t="n">
        <x:v>82</x:v>
      </x:c>
      <x:c r="B169" s="14" t="n">
        <x:v>3</x:v>
      </x:c>
      <x:c r="C169" s="14" t="n">
        <x:v>76000</x:v>
      </x:c>
      <x:c r="D169" s="2" t="str">
        <x:v>NAVY</x:v>
      </x:c>
      <x:c r="E169" s="2" t="str">
        <x:v>80만</x:v>
      </x:c>
      <x:c r="F169" s="2" t="str">
        <x:v>규칙형</x:v>
      </x:c>
      <x:c r="G169" s="2" t="str">
        <x:v>패</x:v>
      </x:c>
      <x:c r="H169" s="14" t="n">
        <x:v>2</x:v>
      </x:c>
      <x:c r="I169" s="14" t="n">
        <x:v>5</x:v>
      </x:c>
      <x:c r="J169" s="14" t="n">
        <x:v>5</x:v>
      </x:c>
      <x:c r="K169" s="14" t="n">
        <x:v>2</x:v>
      </x:c>
      <x:c r="L169" s="15" t="n">
        <x:f>IF(J169=0,"해당 없음",K169/J169)</x:f>
        <x:v>0.4</x:v>
      </x:c>
      <x:c r="M169" s="14" t="n">
        <x:v>1</x:v>
      </x:c>
      <x:c r="N169" s="14" t="n">
        <x:v>0</x:v>
      </x:c>
      <x:c r="O169" s="15" t="n">
        <x:f>IF(M169=0,"해당 없음",N169/M169)</x:f>
        <x:v>0</x:v>
      </x:c>
      <x:c r="P169" s="14" t="n">
        <x:v>104</x:v>
      </x:c>
    </x:row>
    <x:row r="170" ht="22" customHeight="1">
      <x:c r="A170" s="14" t="n">
        <x:v>83</x:v>
      </x:c>
      <x:c r="B170" s="14" t="n">
        <x:v>3</x:v>
      </x:c>
      <x:c r="C170" s="14" t="n">
        <x:v>76001</x:v>
      </x:c>
      <x:c r="D170" s="2" t="str">
        <x:v>RED</x:v>
      </x:c>
      <x:c r="E170" s="2" t="str">
        <x:v>80만</x:v>
      </x:c>
      <x:c r="F170" s="2" t="str">
        <x:v>규칙형</x:v>
      </x:c>
      <x:c r="G170" s="2" t="str">
        <x:v>승</x:v>
      </x:c>
      <x:c r="H170" s="14" t="n">
        <x:v>5</x:v>
      </x:c>
      <x:c r="I170" s="14" t="n">
        <x:v>0</x:v>
      </x:c>
      <x:c r="J170" s="14" t="n">
        <x:v>8</x:v>
      </x:c>
      <x:c r="K170" s="14" t="n">
        <x:v>5</x:v>
      </x:c>
      <x:c r="L170" s="15" t="n">
        <x:f>IF(J170=0,"해당 없음",K170/J170)</x:f>
        <x:v>0.625</x:v>
      </x:c>
      <x:c r="M170" s="14" t="n">
        <x:v>6</x:v>
      </x:c>
      <x:c r="N170" s="14" t="n">
        <x:v>5</x:v>
      </x:c>
      <x:c r="O170" s="15" t="n">
        <x:f>IF(M170=0,"해당 없음",N170/M170)</x:f>
        <x:v>0.8333333333333334</x:v>
      </x:c>
      <x:c r="P170" s="14" t="n">
        <x:v>104</x:v>
      </x:c>
    </x:row>
    <x:row r="171" ht="22" customHeight="1">
      <x:c r="A171" s="14" t="n">
        <x:v>83</x:v>
      </x:c>
      <x:c r="B171" s="14" t="n">
        <x:v>3</x:v>
      </x:c>
      <x:c r="C171" s="14" t="n">
        <x:v>76001</x:v>
      </x:c>
      <x:c r="D171" s="2" t="str">
        <x:v>NAVY</x:v>
      </x:c>
      <x:c r="E171" s="2" t="str">
        <x:v>규칙형</x:v>
      </x:c>
      <x:c r="F171" s="2" t="str">
        <x:v>80만</x:v>
      </x:c>
      <x:c r="G171" s="2" t="str">
        <x:v>패</x:v>
      </x:c>
      <x:c r="H171" s="14" t="n">
        <x:v>0</x:v>
      </x:c>
      <x:c r="I171" s="14" t="n">
        <x:v>5</x:v>
      </x:c>
      <x:c r="J171" s="14" t="n">
        <x:v>7</x:v>
      </x:c>
      <x:c r="K171" s="14" t="n">
        <x:v>0</x:v>
      </x:c>
      <x:c r="L171" s="15" t="n">
        <x:f>IF(J171=0,"해당 없음",K171/J171)</x:f>
        <x:v>0</x:v>
      </x:c>
      <x:c r="M171" s="14" t="n">
        <x:v>11</x:v>
      </x:c>
      <x:c r="N171" s="14" t="n">
        <x:v>8</x:v>
      </x:c>
      <x:c r="O171" s="15" t="n">
        <x:f>IF(M171=0,"해당 없음",N171/M171)</x:f>
        <x:v>0.7272727272727273</x:v>
      </x:c>
      <x:c r="P171" s="14" t="n">
        <x:v>103</x:v>
      </x:c>
    </x:row>
    <x:row r="172" ht="22" customHeight="1">
      <x:c r="A172" s="14" t="n">
        <x:v>84</x:v>
      </x:c>
      <x:c r="B172" s="14" t="n">
        <x:v>3</x:v>
      </x:c>
      <x:c r="C172" s="14" t="n">
        <x:v>76001</x:v>
      </x:c>
      <x:c r="D172" s="2" t="str">
        <x:v>RED</x:v>
      </x:c>
      <x:c r="E172" s="2" t="str">
        <x:v>규칙형</x:v>
      </x:c>
      <x:c r="F172" s="2" t="str">
        <x:v>80만</x:v>
      </x:c>
      <x:c r="G172" s="2" t="str">
        <x:v>승</x:v>
      </x:c>
      <x:c r="H172" s="14" t="n">
        <x:v>5</x:v>
      </x:c>
      <x:c r="I172" s="14" t="n">
        <x:v>2</x:v>
      </x:c>
      <x:c r="J172" s="14" t="n">
        <x:v>7</x:v>
      </x:c>
      <x:c r="K172" s="14" t="n">
        <x:v>5</x:v>
      </x:c>
      <x:c r="L172" s="15" t="n">
        <x:f>IF(J172=0,"해당 없음",K172/J172)</x:f>
        <x:v>0.7142857142857143</x:v>
      </x:c>
      <x:c r="M172" s="14" t="n">
        <x:v>8</x:v>
      </x:c>
      <x:c r="N172" s="14" t="n">
        <x:v>7</x:v>
      </x:c>
      <x:c r="O172" s="15" t="n">
        <x:f>IF(M172=0,"해당 없음",N172/M172)</x:f>
        <x:v>0.875</x:v>
      </x:c>
      <x:c r="P172" s="14" t="n">
        <x:v>104</x:v>
      </x:c>
    </x:row>
    <x:row r="173" ht="22" customHeight="1">
      <x:c r="A173" s="14" t="n">
        <x:v>84</x:v>
      </x:c>
      <x:c r="B173" s="14" t="n">
        <x:v>3</x:v>
      </x:c>
      <x:c r="C173" s="14" t="n">
        <x:v>76001</x:v>
      </x:c>
      <x:c r="D173" s="2" t="str">
        <x:v>NAVY</x:v>
      </x:c>
      <x:c r="E173" s="2" t="str">
        <x:v>80만</x:v>
      </x:c>
      <x:c r="F173" s="2" t="str">
        <x:v>규칙형</x:v>
      </x:c>
      <x:c r="G173" s="2" t="str">
        <x:v>패</x:v>
      </x:c>
      <x:c r="H173" s="14" t="n">
        <x:v>2</x:v>
      </x:c>
      <x:c r="I173" s="14" t="n">
        <x:v>5</x:v>
      </x:c>
      <x:c r="J173" s="14" t="n">
        <x:v>7</x:v>
      </x:c>
      <x:c r="K173" s="14" t="n">
        <x:v>2</x:v>
      </x:c>
      <x:c r="L173" s="15" t="n">
        <x:f>IF(J173=0,"해당 없음",K173/J173)</x:f>
        <x:v>0.2857142857142857</x:v>
      </x:c>
      <x:c r="M173" s="14" t="n">
        <x:v>3</x:v>
      </x:c>
      <x:c r="N173" s="14" t="n">
        <x:v>2</x:v>
      </x:c>
      <x:c r="O173" s="15" t="n">
        <x:f>IF(M173=0,"해당 없음",N173/M173)</x:f>
        <x:v>0.6666666666666666</x:v>
      </x:c>
      <x:c r="P173" s="14" t="n">
        <x:v>103</x:v>
      </x:c>
    </x:row>
    <x:row r="174" ht="22" customHeight="1">
      <x:c r="A174" s="14" t="n">
        <x:v>85</x:v>
      </x:c>
      <x:c r="B174" s="14" t="n">
        <x:v>3</x:v>
      </x:c>
      <x:c r="C174" s="14" t="n">
        <x:v>76002</x:v>
      </x:c>
      <x:c r="D174" s="2" t="str">
        <x:v>RED</x:v>
      </x:c>
      <x:c r="E174" s="2" t="str">
        <x:v>80만</x:v>
      </x:c>
      <x:c r="F174" s="2" t="str">
        <x:v>규칙형</x:v>
      </x:c>
      <x:c r="G174" s="2" t="str">
        <x:v>승</x:v>
      </x:c>
      <x:c r="H174" s="14" t="n">
        <x:v>4</x:v>
      </x:c>
      <x:c r="I174" s="14" t="n">
        <x:v>1</x:v>
      </x:c>
      <x:c r="J174" s="14" t="n">
        <x:v>8</x:v>
      </x:c>
      <x:c r="K174" s="14" t="n">
        <x:v>4</x:v>
      </x:c>
      <x:c r="L174" s="15" t="n">
        <x:f>IF(J174=0,"해당 없음",K174/J174)</x:f>
        <x:v>0.5</x:v>
      </x:c>
      <x:c r="M174" s="14" t="n">
        <x:v>11</x:v>
      </x:c>
      <x:c r="N174" s="14" t="n">
        <x:v>6</x:v>
      </x:c>
      <x:c r="O174" s="15" t="n">
        <x:f>IF(M174=0,"해당 없음",N174/M174)</x:f>
        <x:v>0.5454545454545454</x:v>
      </x:c>
      <x:c r="P174" s="14" t="n">
        <x:v>102</x:v>
      </x:c>
    </x:row>
    <x:row r="175" ht="22" customHeight="1">
      <x:c r="A175" s="14" t="n">
        <x:v>85</x:v>
      </x:c>
      <x:c r="B175" s="14" t="n">
        <x:v>3</x:v>
      </x:c>
      <x:c r="C175" s="14" t="n">
        <x:v>76002</x:v>
      </x:c>
      <x:c r="D175" s="2" t="str">
        <x:v>NAVY</x:v>
      </x:c>
      <x:c r="E175" s="2" t="str">
        <x:v>규칙형</x:v>
      </x:c>
      <x:c r="F175" s="2" t="str">
        <x:v>80만</x:v>
      </x:c>
      <x:c r="G175" s="2" t="str">
        <x:v>패</x:v>
      </x:c>
      <x:c r="H175" s="14" t="n">
        <x:v>1</x:v>
      </x:c>
      <x:c r="I175" s="14" t="n">
        <x:v>4</x:v>
      </x:c>
      <x:c r="J175" s="14" t="n">
        <x:v>8</x:v>
      </x:c>
      <x:c r="K175" s="14" t="n">
        <x:v>1</x:v>
      </x:c>
      <x:c r="L175" s="15" t="n">
        <x:f>IF(J175=0,"해당 없음",K175/J175)</x:f>
        <x:v>0.125</x:v>
      </x:c>
      <x:c r="M175" s="14" t="n">
        <x:v>10</x:v>
      </x:c>
      <x:c r="N175" s="14" t="n">
        <x:v>7</x:v>
      </x:c>
      <x:c r="O175" s="15" t="n">
        <x:f>IF(M175=0,"해당 없음",N175/M175)</x:f>
        <x:v>0.7</x:v>
      </x:c>
      <x:c r="P175" s="14" t="n">
        <x:v>101</x:v>
      </x:c>
    </x:row>
    <x:row r="176" ht="22" customHeight="1">
      <x:c r="A176" s="14" t="n">
        <x:v>86</x:v>
      </x:c>
      <x:c r="B176" s="14" t="n">
        <x:v>3</x:v>
      </x:c>
      <x:c r="C176" s="14" t="n">
        <x:v>76002</x:v>
      </x:c>
      <x:c r="D176" s="2" t="str">
        <x:v>RED</x:v>
      </x:c>
      <x:c r="E176" s="2" t="str">
        <x:v>규칙형</x:v>
      </x:c>
      <x:c r="F176" s="2" t="str">
        <x:v>80만</x:v>
      </x:c>
      <x:c r="G176" s="2" t="str">
        <x:v>패</x:v>
      </x:c>
      <x:c r="H176" s="14" t="n">
        <x:v>1</x:v>
      </x:c>
      <x:c r="I176" s="14" t="n">
        <x:v>4</x:v>
      </x:c>
      <x:c r="J176" s="14" t="n">
        <x:v>9</x:v>
      </x:c>
      <x:c r="K176" s="14" t="n">
        <x:v>1</x:v>
      </x:c>
      <x:c r="L176" s="15" t="n">
        <x:f>IF(J176=0,"해당 없음",K176/J176)</x:f>
        <x:v>0.1111111111111111</x:v>
      </x:c>
      <x:c r="M176" s="14" t="n">
        <x:v>6</x:v>
      </x:c>
      <x:c r="N176" s="14" t="n">
        <x:v>3</x:v>
      </x:c>
      <x:c r="O176" s="15" t="n">
        <x:f>IF(M176=0,"해당 없음",N176/M176)</x:f>
        <x:v>0.5</x:v>
      </x:c>
      <x:c r="P176" s="14" t="n">
        <x:v>103</x:v>
      </x:c>
    </x:row>
    <x:row r="177" ht="22" customHeight="1">
      <x:c r="A177" s="14" t="n">
        <x:v>86</x:v>
      </x:c>
      <x:c r="B177" s="14" t="n">
        <x:v>3</x:v>
      </x:c>
      <x:c r="C177" s="14" t="n">
        <x:v>76002</x:v>
      </x:c>
      <x:c r="D177" s="2" t="str">
        <x:v>NAVY</x:v>
      </x:c>
      <x:c r="E177" s="2" t="str">
        <x:v>80만</x:v>
      </x:c>
      <x:c r="F177" s="2" t="str">
        <x:v>규칙형</x:v>
      </x:c>
      <x:c r="G177" s="2" t="str">
        <x:v>승</x:v>
      </x:c>
      <x:c r="H177" s="14" t="n">
        <x:v>4</x:v>
      </x:c>
      <x:c r="I177" s="14" t="n">
        <x:v>1</x:v>
      </x:c>
      <x:c r="J177" s="14" t="n">
        <x:v>7</x:v>
      </x:c>
      <x:c r="K177" s="14" t="n">
        <x:v>4</x:v>
      </x:c>
      <x:c r="L177" s="15" t="n">
        <x:f>IF(J177=0,"해당 없음",K177/J177)</x:f>
        <x:v>0.5714285714285714</x:v>
      </x:c>
      <x:c r="M177" s="14" t="n">
        <x:v>9</x:v>
      </x:c>
      <x:c r="N177" s="14" t="n">
        <x:v>7</x:v>
      </x:c>
      <x:c r="O177" s="15" t="n">
        <x:f>IF(M177=0,"해당 없음",N177/M177)</x:f>
        <x:v>0.7777777777777778</x:v>
      </x:c>
      <x:c r="P177" s="14" t="n">
        <x:v>102</x:v>
      </x:c>
    </x:row>
    <x:row r="178" ht="22" customHeight="1">
      <x:c r="A178" s="14" t="n">
        <x:v>87</x:v>
      </x:c>
      <x:c r="B178" s="14" t="n">
        <x:v>3</x:v>
      </x:c>
      <x:c r="C178" s="14" t="n">
        <x:v>76003</x:v>
      </x:c>
      <x:c r="D178" s="2" t="str">
        <x:v>RED</x:v>
      </x:c>
      <x:c r="E178" s="2" t="str">
        <x:v>80만</x:v>
      </x:c>
      <x:c r="F178" s="2" t="str">
        <x:v>규칙형</x:v>
      </x:c>
      <x:c r="G178" s="2" t="str">
        <x:v>패</x:v>
      </x:c>
      <x:c r="H178" s="14" t="n">
        <x:v>1</x:v>
      </x:c>
      <x:c r="I178" s="14" t="n">
        <x:v>6</x:v>
      </x:c>
      <x:c r="J178" s="14" t="n">
        <x:v>6</x:v>
      </x:c>
      <x:c r="K178" s="14" t="n">
        <x:v>1</x:v>
      </x:c>
      <x:c r="L178" s="15" t="n">
        <x:f>IF(J178=0,"해당 없음",K178/J178)</x:f>
        <x:v>0.16666666666666666</x:v>
      </x:c>
      <x:c r="M178" s="14" t="n">
        <x:v>5</x:v>
      </x:c>
      <x:c r="N178" s="14" t="n">
        <x:v>4</x:v>
      </x:c>
      <x:c r="O178" s="15" t="n">
        <x:f>IF(M178=0,"해당 없음",N178/M178)</x:f>
        <x:v>0.8</x:v>
      </x:c>
      <x:c r="P178" s="14" t="n">
        <x:v>104</x:v>
      </x:c>
    </x:row>
    <x:row r="179" ht="22" customHeight="1">
      <x:c r="A179" s="14" t="n">
        <x:v>87</x:v>
      </x:c>
      <x:c r="B179" s="14" t="n">
        <x:v>3</x:v>
      </x:c>
      <x:c r="C179" s="14" t="n">
        <x:v>76003</x:v>
      </x:c>
      <x:c r="D179" s="2" t="str">
        <x:v>NAVY</x:v>
      </x:c>
      <x:c r="E179" s="2" t="str">
        <x:v>규칙형</x:v>
      </x:c>
      <x:c r="F179" s="2" t="str">
        <x:v>80만</x:v>
      </x:c>
      <x:c r="G179" s="2" t="str">
        <x:v>승</x:v>
      </x:c>
      <x:c r="H179" s="14" t="n">
        <x:v>6</x:v>
      </x:c>
      <x:c r="I179" s="14" t="n">
        <x:v>1</x:v>
      </x:c>
      <x:c r="J179" s="14" t="n">
        <x:v>10</x:v>
      </x:c>
      <x:c r="K179" s="14" t="n">
        <x:v>6</x:v>
      </x:c>
      <x:c r="L179" s="15" t="n">
        <x:f>IF(J179=0,"해당 없음",K179/J179)</x:f>
        <x:v>0.6</x:v>
      </x:c>
      <x:c r="M179" s="14" t="n">
        <x:v>17</x:v>
      </x:c>
      <x:c r="N179" s="14" t="n">
        <x:v>12</x:v>
      </x:c>
      <x:c r="O179" s="15" t="n">
        <x:f>IF(M179=0,"해당 없음",N179/M179)</x:f>
        <x:v>0.7058823529411765</x:v>
      </x:c>
      <x:c r="P179" s="14" t="n">
        <x:v>104</x:v>
      </x:c>
    </x:row>
    <x:row r="180" ht="22" customHeight="1">
      <x:c r="A180" s="14" t="n">
        <x:v>88</x:v>
      </x:c>
      <x:c r="B180" s="14" t="n">
        <x:v>3</x:v>
      </x:c>
      <x:c r="C180" s="14" t="n">
        <x:v>76003</x:v>
      </x:c>
      <x:c r="D180" s="2" t="str">
        <x:v>RED</x:v>
      </x:c>
      <x:c r="E180" s="2" t="str">
        <x:v>규칙형</x:v>
      </x:c>
      <x:c r="F180" s="2" t="str">
        <x:v>80만</x:v>
      </x:c>
      <x:c r="G180" s="2" t="str">
        <x:v>무</x:v>
      </x:c>
      <x:c r="H180" s="14" t="n">
        <x:v>3</x:v>
      </x:c>
      <x:c r="I180" s="14" t="n">
        <x:v>3</x:v>
      </x:c>
      <x:c r="J180" s="14" t="n">
        <x:v>7</x:v>
      </x:c>
      <x:c r="K180" s="14" t="n">
        <x:v>3</x:v>
      </x:c>
      <x:c r="L180" s="15" t="n">
        <x:f>IF(J180=0,"해당 없음",K180/J180)</x:f>
        <x:v>0.42857142857142855</x:v>
      </x:c>
      <x:c r="M180" s="14" t="n">
        <x:v>16</x:v>
      </x:c>
      <x:c r="N180" s="14" t="n">
        <x:v>15</x:v>
      </x:c>
      <x:c r="O180" s="15" t="n">
        <x:f>IF(M180=0,"해당 없음",N180/M180)</x:f>
        <x:v>0.9375</x:v>
      </x:c>
      <x:c r="P180" s="14" t="n">
        <x:v>105</x:v>
      </x:c>
    </x:row>
    <x:row r="181" ht="22" customHeight="1">
      <x:c r="A181" s="14" t="n">
        <x:v>88</x:v>
      </x:c>
      <x:c r="B181" s="14" t="n">
        <x:v>3</x:v>
      </x:c>
      <x:c r="C181" s="14" t="n">
        <x:v>76003</x:v>
      </x:c>
      <x:c r="D181" s="2" t="str">
        <x:v>NAVY</x:v>
      </x:c>
      <x:c r="E181" s="2" t="str">
        <x:v>80만</x:v>
      </x:c>
      <x:c r="F181" s="2" t="str">
        <x:v>규칙형</x:v>
      </x:c>
      <x:c r="G181" s="2" t="str">
        <x:v>무</x:v>
      </x:c>
      <x:c r="H181" s="14" t="n">
        <x:v>3</x:v>
      </x:c>
      <x:c r="I181" s="14" t="n">
        <x:v>3</x:v>
      </x:c>
      <x:c r="J181" s="14" t="n">
        <x:v>9</x:v>
      </x:c>
      <x:c r="K181" s="14" t="n">
        <x:v>3</x:v>
      </x:c>
      <x:c r="L181" s="15" t="n">
        <x:f>IF(J181=0,"해당 없음",K181/J181)</x:f>
        <x:v>0.3333333333333333</x:v>
      </x:c>
      <x:c r="M181" s="14" t="n">
        <x:v>8</x:v>
      </x:c>
      <x:c r="N181" s="14" t="n">
        <x:v>6</x:v>
      </x:c>
      <x:c r="O181" s="15" t="n">
        <x:f>IF(M181=0,"해당 없음",N181/M181)</x:f>
        <x:v>0.75</x:v>
      </x:c>
      <x:c r="P181" s="14" t="n">
        <x:v>104</x:v>
      </x:c>
    </x:row>
    <x:row r="182" ht="22" customHeight="1">
      <x:c r="A182" s="14" t="n">
        <x:v>89</x:v>
      </x:c>
      <x:c r="B182" s="14" t="n">
        <x:v>3</x:v>
      </x:c>
      <x:c r="C182" s="14" t="n">
        <x:v>76004</x:v>
      </x:c>
      <x:c r="D182" s="2" t="str">
        <x:v>RED</x:v>
      </x:c>
      <x:c r="E182" s="2" t="str">
        <x:v>80만</x:v>
      </x:c>
      <x:c r="F182" s="2" t="str">
        <x:v>규칙형</x:v>
      </x:c>
      <x:c r="G182" s="2" t="str">
        <x:v>승</x:v>
      </x:c>
      <x:c r="H182" s="14" t="n">
        <x:v>5</x:v>
      </x:c>
      <x:c r="I182" s="14" t="n">
        <x:v>4</x:v>
      </x:c>
      <x:c r="J182" s="14" t="n">
        <x:v>10</x:v>
      </x:c>
      <x:c r="K182" s="14" t="n">
        <x:v>5</x:v>
      </x:c>
      <x:c r="L182" s="15" t="n">
        <x:f>IF(J182=0,"해당 없음",K182/J182)</x:f>
        <x:v>0.5</x:v>
      </x:c>
      <x:c r="M182" s="14" t="n">
        <x:v>4</x:v>
      </x:c>
      <x:c r="N182" s="14" t="n">
        <x:v>3</x:v>
      </x:c>
      <x:c r="O182" s="15" t="n">
        <x:f>IF(M182=0,"해당 없음",N182/M182)</x:f>
        <x:v>0.75</x:v>
      </x:c>
      <x:c r="P182" s="14" t="n">
        <x:v>107</x:v>
      </x:c>
    </x:row>
    <x:row r="183" ht="22" customHeight="1">
      <x:c r="A183" s="14" t="n">
        <x:v>89</x:v>
      </x:c>
      <x:c r="B183" s="14" t="n">
        <x:v>3</x:v>
      </x:c>
      <x:c r="C183" s="14" t="n">
        <x:v>76004</x:v>
      </x:c>
      <x:c r="D183" s="2" t="str">
        <x:v>NAVY</x:v>
      </x:c>
      <x:c r="E183" s="2" t="str">
        <x:v>규칙형</x:v>
      </x:c>
      <x:c r="F183" s="2" t="str">
        <x:v>80만</x:v>
      </x:c>
      <x:c r="G183" s="2" t="str">
        <x:v>패</x:v>
      </x:c>
      <x:c r="H183" s="14" t="n">
        <x:v>4</x:v>
      </x:c>
      <x:c r="I183" s="14" t="n">
        <x:v>5</x:v>
      </x:c>
      <x:c r="J183" s="14" t="n">
        <x:v>7</x:v>
      </x:c>
      <x:c r="K183" s="14" t="n">
        <x:v>4</x:v>
      </x:c>
      <x:c r="L183" s="15" t="n">
        <x:f>IF(J183=0,"해당 없음",K183/J183)</x:f>
        <x:v>0.5714285714285714</x:v>
      </x:c>
      <x:c r="M183" s="14" t="n">
        <x:v>8</x:v>
      </x:c>
      <x:c r="N183" s="14" t="n">
        <x:v>7</x:v>
      </x:c>
      <x:c r="O183" s="15" t="n">
        <x:f>IF(M183=0,"해당 없음",N183/M183)</x:f>
        <x:v>0.875</x:v>
      </x:c>
      <x:c r="P183" s="14" t="n">
        <x:v>106</x:v>
      </x:c>
    </x:row>
    <x:row r="184" ht="22" customHeight="1">
      <x:c r="A184" s="14" t="n">
        <x:v>90</x:v>
      </x:c>
      <x:c r="B184" s="14" t="n">
        <x:v>3</x:v>
      </x:c>
      <x:c r="C184" s="14" t="n">
        <x:v>76004</x:v>
      </x:c>
      <x:c r="D184" s="2" t="str">
        <x:v>RED</x:v>
      </x:c>
      <x:c r="E184" s="2" t="str">
        <x:v>규칙형</x:v>
      </x:c>
      <x:c r="F184" s="2" t="str">
        <x:v>80만</x:v>
      </x:c>
      <x:c r="G184" s="2" t="str">
        <x:v>승</x:v>
      </x:c>
      <x:c r="H184" s="14" t="n">
        <x:v>5</x:v>
      </x:c>
      <x:c r="I184" s="14" t="n">
        <x:v>3</x:v>
      </x:c>
      <x:c r="J184" s="14" t="n">
        <x:v>8</x:v>
      </x:c>
      <x:c r="K184" s="14" t="n">
        <x:v>5</x:v>
      </x:c>
      <x:c r="L184" s="15" t="n">
        <x:f>IF(J184=0,"해당 없음",K184/J184)</x:f>
        <x:v>0.625</x:v>
      </x:c>
      <x:c r="M184" s="14" t="n">
        <x:v>11</x:v>
      </x:c>
      <x:c r="N184" s="14" t="n">
        <x:v>10</x:v>
      </x:c>
      <x:c r="O184" s="15" t="n">
        <x:f>IF(M184=0,"해당 없음",N184/M184)</x:f>
        <x:v>0.9090909090909091</x:v>
      </x:c>
      <x:c r="P184" s="14" t="n">
        <x:v>105</x:v>
      </x:c>
    </x:row>
    <x:row r="185" ht="22" customHeight="1">
      <x:c r="A185" s="14" t="n">
        <x:v>90</x:v>
      </x:c>
      <x:c r="B185" s="14" t="n">
        <x:v>3</x:v>
      </x:c>
      <x:c r="C185" s="14" t="n">
        <x:v>76004</x:v>
      </x:c>
      <x:c r="D185" s="2" t="str">
        <x:v>NAVY</x:v>
      </x:c>
      <x:c r="E185" s="2" t="str">
        <x:v>80만</x:v>
      </x:c>
      <x:c r="F185" s="2" t="str">
        <x:v>규칙형</x:v>
      </x:c>
      <x:c r="G185" s="2" t="str">
        <x:v>패</x:v>
      </x:c>
      <x:c r="H185" s="14" t="n">
        <x:v>3</x:v>
      </x:c>
      <x:c r="I185" s="14" t="n">
        <x:v>5</x:v>
      </x:c>
      <x:c r="J185" s="14" t="n">
        <x:v>7</x:v>
      </x:c>
      <x:c r="K185" s="14" t="n">
        <x:v>3</x:v>
      </x:c>
      <x:c r="L185" s="15" t="n">
        <x:f>IF(J185=0,"해당 없음",K185/J185)</x:f>
        <x:v>0.42857142857142855</x:v>
      </x:c>
      <x:c r="M185" s="14" t="n">
        <x:v>3</x:v>
      </x:c>
      <x:c r="N185" s="14" t="n">
        <x:v>2</x:v>
      </x:c>
      <x:c r="O185" s="15" t="n">
        <x:f>IF(M185=0,"해당 없음",N185/M185)</x:f>
        <x:v>0.6666666666666666</x:v>
      </x:c>
      <x:c r="P185" s="14" t="n">
        <x:v>105</x:v>
      </x:c>
    </x:row>
    <x:row r="186" ht="22" customHeight="1">
      <x:c r="A186" s="14" t="n">
        <x:v>91</x:v>
      </x:c>
      <x:c r="B186" s="14" t="n">
        <x:v>3</x:v>
      </x:c>
      <x:c r="C186" s="14" t="n">
        <x:v>76005</x:v>
      </x:c>
      <x:c r="D186" s="2" t="str">
        <x:v>RED</x:v>
      </x:c>
      <x:c r="E186" s="2" t="str">
        <x:v>80만</x:v>
      </x:c>
      <x:c r="F186" s="2" t="str">
        <x:v>규칙형</x:v>
      </x:c>
      <x:c r="G186" s="2" t="str">
        <x:v>승</x:v>
      </x:c>
      <x:c r="H186" s="14" t="n">
        <x:v>4</x:v>
      </x:c>
      <x:c r="I186" s="14" t="n">
        <x:v>2</x:v>
      </x:c>
      <x:c r="J186" s="14" t="n">
        <x:v>8</x:v>
      </x:c>
      <x:c r="K186" s="14" t="n">
        <x:v>4</x:v>
      </x:c>
      <x:c r="L186" s="15" t="n">
        <x:f>IF(J186=0,"해당 없음",K186/J186)</x:f>
        <x:v>0.5</x:v>
      </x:c>
      <x:c r="M186" s="14" t="n">
        <x:v>5</x:v>
      </x:c>
      <x:c r="N186" s="14" t="n">
        <x:v>5</x:v>
      </x:c>
      <x:c r="O186" s="15" t="n">
        <x:f>IF(M186=0,"해당 없음",N186/M186)</x:f>
        <x:v>1</x:v>
      </x:c>
      <x:c r="P186" s="14" t="n">
        <x:v>103</x:v>
      </x:c>
    </x:row>
    <x:row r="187" ht="22" customHeight="1">
      <x:c r="A187" s="14" t="n">
        <x:v>91</x:v>
      </x:c>
      <x:c r="B187" s="14" t="n">
        <x:v>3</x:v>
      </x:c>
      <x:c r="C187" s="14" t="n">
        <x:v>76005</x:v>
      </x:c>
      <x:c r="D187" s="2" t="str">
        <x:v>NAVY</x:v>
      </x:c>
      <x:c r="E187" s="2" t="str">
        <x:v>규칙형</x:v>
      </x:c>
      <x:c r="F187" s="2" t="str">
        <x:v>80만</x:v>
      </x:c>
      <x:c r="G187" s="2" t="str">
        <x:v>패</x:v>
      </x:c>
      <x:c r="H187" s="14" t="n">
        <x:v>2</x:v>
      </x:c>
      <x:c r="I187" s="14" t="n">
        <x:v>4</x:v>
      </x:c>
      <x:c r="J187" s="14" t="n">
        <x:v>3</x:v>
      </x:c>
      <x:c r="K187" s="14" t="n">
        <x:v>2</x:v>
      </x:c>
      <x:c r="L187" s="15" t="n">
        <x:f>IF(J187=0,"해당 없음",K187/J187)</x:f>
        <x:v>0.6666666666666666</x:v>
      </x:c>
      <x:c r="M187" s="14" t="n">
        <x:v>7</x:v>
      </x:c>
      <x:c r="N187" s="14" t="n">
        <x:v>6</x:v>
      </x:c>
      <x:c r="O187" s="15" t="n">
        <x:f>IF(M187=0,"해당 없음",N187/M187)</x:f>
        <x:v>0.8571428571428571</x:v>
      </x:c>
      <x:c r="P187" s="14" t="n">
        <x:v>104</x:v>
      </x:c>
    </x:row>
    <x:row r="188" ht="22" customHeight="1">
      <x:c r="A188" s="14" t="n">
        <x:v>92</x:v>
      </x:c>
      <x:c r="B188" s="14" t="n">
        <x:v>3</x:v>
      </x:c>
      <x:c r="C188" s="14" t="n">
        <x:v>76005</x:v>
      </x:c>
      <x:c r="D188" s="2" t="str">
        <x:v>RED</x:v>
      </x:c>
      <x:c r="E188" s="2" t="str">
        <x:v>규칙형</x:v>
      </x:c>
      <x:c r="F188" s="2" t="str">
        <x:v>80만</x:v>
      </x:c>
      <x:c r="G188" s="2" t="str">
        <x:v>승</x:v>
      </x:c>
      <x:c r="H188" s="14" t="n">
        <x:v>5</x:v>
      </x:c>
      <x:c r="I188" s="14" t="n">
        <x:v>1</x:v>
      </x:c>
      <x:c r="J188" s="14" t="n">
        <x:v>10</x:v>
      </x:c>
      <x:c r="K188" s="14" t="n">
        <x:v>5</x:v>
      </x:c>
      <x:c r="L188" s="15" t="n">
        <x:f>IF(J188=0,"해당 없음",K188/J188)</x:f>
        <x:v>0.5</x:v>
      </x:c>
      <x:c r="M188" s="14" t="n">
        <x:v>11</x:v>
      </x:c>
      <x:c r="N188" s="14" t="n">
        <x:v>8</x:v>
      </x:c>
      <x:c r="O188" s="15" t="n">
        <x:f>IF(M188=0,"해당 없음",N188/M188)</x:f>
        <x:v>0.7272727272727273</x:v>
      </x:c>
      <x:c r="P188" s="14" t="n">
        <x:v>105</x:v>
      </x:c>
    </x:row>
    <x:row r="189" ht="22" customHeight="1">
      <x:c r="A189" s="14" t="n">
        <x:v>92</x:v>
      </x:c>
      <x:c r="B189" s="14" t="n">
        <x:v>3</x:v>
      </x:c>
      <x:c r="C189" s="14" t="n">
        <x:v>76005</x:v>
      </x:c>
      <x:c r="D189" s="2" t="str">
        <x:v>NAVY</x:v>
      </x:c>
      <x:c r="E189" s="2" t="str">
        <x:v>80만</x:v>
      </x:c>
      <x:c r="F189" s="2" t="str">
        <x:v>규칙형</x:v>
      </x:c>
      <x:c r="G189" s="2" t="str">
        <x:v>패</x:v>
      </x:c>
      <x:c r="H189" s="14" t="n">
        <x:v>1</x:v>
      </x:c>
      <x:c r="I189" s="14" t="n">
        <x:v>5</x:v>
      </x:c>
      <x:c r="J189" s="14" t="n">
        <x:v>5</x:v>
      </x:c>
      <x:c r="K189" s="14" t="n">
        <x:v>1</x:v>
      </x:c>
      <x:c r="L189" s="15" t="n">
        <x:f>IF(J189=0,"해당 없음",K189/J189)</x:f>
        <x:v>0.2</x:v>
      </x:c>
      <x:c r="M189" s="14" t="n">
        <x:v>7</x:v>
      </x:c>
      <x:c r="N189" s="14" t="n">
        <x:v>4</x:v>
      </x:c>
      <x:c r="O189" s="15" t="n">
        <x:f>IF(M189=0,"해당 없음",N189/M189)</x:f>
        <x:v>0.5714285714285714</x:v>
      </x:c>
      <x:c r="P189" s="14" t="n">
        <x:v>104</x:v>
      </x:c>
    </x:row>
    <x:row r="190" ht="22" customHeight="1">
      <x:c r="A190" s="14" t="n">
        <x:v>93</x:v>
      </x:c>
      <x:c r="B190" s="14" t="n">
        <x:v>3</x:v>
      </x:c>
      <x:c r="C190" s="14" t="n">
        <x:v>76006</x:v>
      </x:c>
      <x:c r="D190" s="2" t="str">
        <x:v>RED</x:v>
      </x:c>
      <x:c r="E190" s="2" t="str">
        <x:v>80만</x:v>
      </x:c>
      <x:c r="F190" s="2" t="str">
        <x:v>규칙형</x:v>
      </x:c>
      <x:c r="G190" s="2" t="str">
        <x:v>승</x:v>
      </x:c>
      <x:c r="H190" s="14" t="n">
        <x:v>5</x:v>
      </x:c>
      <x:c r="I190" s="14" t="n">
        <x:v>1</x:v>
      </x:c>
      <x:c r="J190" s="14" t="n">
        <x:v>12</x:v>
      </x:c>
      <x:c r="K190" s="14" t="n">
        <x:v>5</x:v>
      </x:c>
      <x:c r="L190" s="15" t="n">
        <x:f>IF(J190=0,"해당 없음",K190/J190)</x:f>
        <x:v>0.4166666666666667</x:v>
      </x:c>
      <x:c r="M190" s="14" t="n">
        <x:v>7</x:v>
      </x:c>
      <x:c r="N190" s="14" t="n">
        <x:v>6</x:v>
      </x:c>
      <x:c r="O190" s="15" t="n">
        <x:f>IF(M190=0,"해당 없음",N190/M190)</x:f>
        <x:v>0.8571428571428571</x:v>
      </x:c>
      <x:c r="P190" s="14" t="n">
        <x:v>104</x:v>
      </x:c>
    </x:row>
    <x:row r="191" ht="22" customHeight="1">
      <x:c r="A191" s="14" t="n">
        <x:v>93</x:v>
      </x:c>
      <x:c r="B191" s="14" t="n">
        <x:v>3</x:v>
      </x:c>
      <x:c r="C191" s="14" t="n">
        <x:v>76006</x:v>
      </x:c>
      <x:c r="D191" s="2" t="str">
        <x:v>NAVY</x:v>
      </x:c>
      <x:c r="E191" s="2" t="str">
        <x:v>규칙형</x:v>
      </x:c>
      <x:c r="F191" s="2" t="str">
        <x:v>80만</x:v>
      </x:c>
      <x:c r="G191" s="2" t="str">
        <x:v>패</x:v>
      </x:c>
      <x:c r="H191" s="14" t="n">
        <x:v>1</x:v>
      </x:c>
      <x:c r="I191" s="14" t="n">
        <x:v>5</x:v>
      </x:c>
      <x:c r="J191" s="14" t="n">
        <x:v>4</x:v>
      </x:c>
      <x:c r="K191" s="14" t="n">
        <x:v>1</x:v>
      </x:c>
      <x:c r="L191" s="15" t="n">
        <x:f>IF(J191=0,"해당 없음",K191/J191)</x:f>
        <x:v>0.25</x:v>
      </x:c>
      <x:c r="M191" s="14" t="n">
        <x:v>8</x:v>
      </x:c>
      <x:c r="N191" s="14" t="n">
        <x:v>7</x:v>
      </x:c>
      <x:c r="O191" s="15" t="n">
        <x:f>IF(M191=0,"해당 없음",N191/M191)</x:f>
        <x:v>0.875</x:v>
      </x:c>
      <x:c r="P191" s="14" t="n">
        <x:v>101</x:v>
      </x:c>
    </x:row>
    <x:row r="192" ht="22" customHeight="1">
      <x:c r="A192" s="14" t="n">
        <x:v>94</x:v>
      </x:c>
      <x:c r="B192" s="14" t="n">
        <x:v>3</x:v>
      </x:c>
      <x:c r="C192" s="14" t="n">
        <x:v>76006</x:v>
      </x:c>
      <x:c r="D192" s="2" t="str">
        <x:v>RED</x:v>
      </x:c>
      <x:c r="E192" s="2" t="str">
        <x:v>규칙형</x:v>
      </x:c>
      <x:c r="F192" s="2" t="str">
        <x:v>80만</x:v>
      </x:c>
      <x:c r="G192" s="2" t="str">
        <x:v>패</x:v>
      </x:c>
      <x:c r="H192" s="14" t="n">
        <x:v>2</x:v>
      </x:c>
      <x:c r="I192" s="14" t="n">
        <x:v>4</x:v>
      </x:c>
      <x:c r="J192" s="14" t="n">
        <x:v>4</x:v>
      </x:c>
      <x:c r="K192" s="14" t="n">
        <x:v>2</x:v>
      </x:c>
      <x:c r="L192" s="15" t="n">
        <x:f>IF(J192=0,"해당 없음",K192/J192)</x:f>
        <x:v>0.5</x:v>
      </x:c>
      <x:c r="M192" s="14" t="n">
        <x:v>6</x:v>
      </x:c>
      <x:c r="N192" s="14" t="n">
        <x:v>6</x:v>
      </x:c>
      <x:c r="O192" s="15" t="n">
        <x:f>IF(M192=0,"해당 없음",N192/M192)</x:f>
        <x:v>1</x:v>
      </x:c>
      <x:c r="P192" s="14" t="n">
        <x:v>104</x:v>
      </x:c>
    </x:row>
    <x:row r="193" ht="22" customHeight="1">
      <x:c r="A193" s="14" t="n">
        <x:v>94</x:v>
      </x:c>
      <x:c r="B193" s="14" t="n">
        <x:v>3</x:v>
      </x:c>
      <x:c r="C193" s="14" t="n">
        <x:v>76006</x:v>
      </x:c>
      <x:c r="D193" s="2" t="str">
        <x:v>NAVY</x:v>
      </x:c>
      <x:c r="E193" s="2" t="str">
        <x:v>80만</x:v>
      </x:c>
      <x:c r="F193" s="2" t="str">
        <x:v>규칙형</x:v>
      </x:c>
      <x:c r="G193" s="2" t="str">
        <x:v>승</x:v>
      </x:c>
      <x:c r="H193" s="14" t="n">
        <x:v>4</x:v>
      </x:c>
      <x:c r="I193" s="14" t="n">
        <x:v>2</x:v>
      </x:c>
      <x:c r="J193" s="14" t="n">
        <x:v>11</x:v>
      </x:c>
      <x:c r="K193" s="14" t="n">
        <x:v>4</x:v>
      </x:c>
      <x:c r="L193" s="15" t="n">
        <x:f>IF(J193=0,"해당 없음",K193/J193)</x:f>
        <x:v>0.36363636363636365</x:v>
      </x:c>
      <x:c r="M193" s="14" t="n">
        <x:v>10</x:v>
      </x:c>
      <x:c r="N193" s="14" t="n">
        <x:v>6</x:v>
      </x:c>
      <x:c r="O193" s="15" t="n">
        <x:f>IF(M193=0,"해당 없음",N193/M193)</x:f>
        <x:v>0.6</x:v>
      </x:c>
      <x:c r="P193" s="14" t="n">
        <x:v>103</x:v>
      </x:c>
    </x:row>
    <x:row r="194" ht="22" customHeight="1">
      <x:c r="A194" s="14" t="n">
        <x:v>95</x:v>
      </x:c>
      <x:c r="B194" s="14" t="n">
        <x:v>3</x:v>
      </x:c>
      <x:c r="C194" s="14" t="n">
        <x:v>76007</x:v>
      </x:c>
      <x:c r="D194" s="2" t="str">
        <x:v>RED</x:v>
      </x:c>
      <x:c r="E194" s="2" t="str">
        <x:v>80만</x:v>
      </x:c>
      <x:c r="F194" s="2" t="str">
        <x:v>규칙형</x:v>
      </x:c>
      <x:c r="G194" s="2" t="str">
        <x:v>승</x:v>
      </x:c>
      <x:c r="H194" s="14" t="n">
        <x:v>5</x:v>
      </x:c>
      <x:c r="I194" s="14" t="n">
        <x:v>3</x:v>
      </x:c>
      <x:c r="J194" s="14" t="n">
        <x:v>7</x:v>
      </x:c>
      <x:c r="K194" s="14" t="n">
        <x:v>5</x:v>
      </x:c>
      <x:c r="L194" s="15" t="n">
        <x:f>IF(J194=0,"해당 없음",K194/J194)</x:f>
        <x:v>0.7142857142857143</x:v>
      </x:c>
      <x:c r="M194" s="14" t="n">
        <x:v>10</x:v>
      </x:c>
      <x:c r="N194" s="14" t="n">
        <x:v>6</x:v>
      </x:c>
      <x:c r="O194" s="15" t="n">
        <x:f>IF(M194=0,"해당 없음",N194/M194)</x:f>
        <x:v>0.6</x:v>
      </x:c>
      <x:c r="P194" s="14" t="n">
        <x:v>105</x:v>
      </x:c>
    </x:row>
    <x:row r="195" ht="22" customHeight="1">
      <x:c r="A195" s="14" t="n">
        <x:v>95</x:v>
      </x:c>
      <x:c r="B195" s="14" t="n">
        <x:v>3</x:v>
      </x:c>
      <x:c r="C195" s="14" t="n">
        <x:v>76007</x:v>
      </x:c>
      <x:c r="D195" s="2" t="str">
        <x:v>NAVY</x:v>
      </x:c>
      <x:c r="E195" s="2" t="str">
        <x:v>규칙형</x:v>
      </x:c>
      <x:c r="F195" s="2" t="str">
        <x:v>80만</x:v>
      </x:c>
      <x:c r="G195" s="2" t="str">
        <x:v>패</x:v>
      </x:c>
      <x:c r="H195" s="14" t="n">
        <x:v>3</x:v>
      </x:c>
      <x:c r="I195" s="14" t="n">
        <x:v>5</x:v>
      </x:c>
      <x:c r="J195" s="14" t="n">
        <x:v>9</x:v>
      </x:c>
      <x:c r="K195" s="14" t="n">
        <x:v>3</x:v>
      </x:c>
      <x:c r="L195" s="15" t="n">
        <x:f>IF(J195=0,"해당 없음",K195/J195)</x:f>
        <x:v>0.3333333333333333</x:v>
      </x:c>
      <x:c r="M195" s="14" t="n">
        <x:v>11</x:v>
      </x:c>
      <x:c r="N195" s="14" t="n">
        <x:v>8</x:v>
      </x:c>
      <x:c r="O195" s="15" t="n">
        <x:f>IF(M195=0,"해당 없음",N195/M195)</x:f>
        <x:v>0.7272727272727273</x:v>
      </x:c>
      <x:c r="P195" s="14" t="n">
        <x:v>106</x:v>
      </x:c>
    </x:row>
    <x:row r="196" ht="22" customHeight="1">
      <x:c r="A196" s="14" t="n">
        <x:v>96</x:v>
      </x:c>
      <x:c r="B196" s="14" t="n">
        <x:v>3</x:v>
      </x:c>
      <x:c r="C196" s="14" t="n">
        <x:v>76007</x:v>
      </x:c>
      <x:c r="D196" s="2" t="str">
        <x:v>RED</x:v>
      </x:c>
      <x:c r="E196" s="2" t="str">
        <x:v>규칙형</x:v>
      </x:c>
      <x:c r="F196" s="2" t="str">
        <x:v>80만</x:v>
      </x:c>
      <x:c r="G196" s="2" t="str">
        <x:v>패</x:v>
      </x:c>
      <x:c r="H196" s="14" t="n">
        <x:v>2</x:v>
      </x:c>
      <x:c r="I196" s="14" t="n">
        <x:v>4</x:v>
      </x:c>
      <x:c r="J196" s="14" t="n">
        <x:v>8</x:v>
      </x:c>
      <x:c r="K196" s="14" t="n">
        <x:v>2</x:v>
      </x:c>
      <x:c r="L196" s="15" t="n">
        <x:f>IF(J196=0,"해당 없음",K196/J196)</x:f>
        <x:v>0.25</x:v>
      </x:c>
      <x:c r="M196" s="14" t="n">
        <x:v>6</x:v>
      </x:c>
      <x:c r="N196" s="14" t="n">
        <x:v>1</x:v>
      </x:c>
      <x:c r="O196" s="15" t="n">
        <x:f>IF(M196=0,"해당 없음",N196/M196)</x:f>
        <x:v>0.16666666666666666</x:v>
      </x:c>
      <x:c r="P196" s="14" t="n">
        <x:v>102</x:v>
      </x:c>
    </x:row>
    <x:row r="197" ht="22" customHeight="1">
      <x:c r="A197" s="14" t="n">
        <x:v>96</x:v>
      </x:c>
      <x:c r="B197" s="14" t="n">
        <x:v>3</x:v>
      </x:c>
      <x:c r="C197" s="14" t="n">
        <x:v>76007</x:v>
      </x:c>
      <x:c r="D197" s="2" t="str">
        <x:v>NAVY</x:v>
      </x:c>
      <x:c r="E197" s="2" t="str">
        <x:v>80만</x:v>
      </x:c>
      <x:c r="F197" s="2" t="str">
        <x:v>규칙형</x:v>
      </x:c>
      <x:c r="G197" s="2" t="str">
        <x:v>승</x:v>
      </x:c>
      <x:c r="H197" s="14" t="n">
        <x:v>4</x:v>
      </x:c>
      <x:c r="I197" s="14" t="n">
        <x:v>2</x:v>
      </x:c>
      <x:c r="J197" s="14" t="n">
        <x:v>7</x:v>
      </x:c>
      <x:c r="K197" s="14" t="n">
        <x:v>4</x:v>
      </x:c>
      <x:c r="L197" s="15" t="n">
        <x:f>IF(J197=0,"해당 없음",K197/J197)</x:f>
        <x:v>0.5714285714285714</x:v>
      </x:c>
      <x:c r="M197" s="14" t="n">
        <x:v>14</x:v>
      </x:c>
      <x:c r="N197" s="14" t="n">
        <x:v>8</x:v>
      </x:c>
      <x:c r="O197" s="15" t="n">
        <x:f>IF(M197=0,"해당 없음",N197/M197)</x:f>
        <x:v>0.5714285714285714</x:v>
      </x:c>
      <x:c r="P197" s="14" t="n">
        <x:v>104</x:v>
      </x:c>
    </x:row>
    <x:row r="198" ht="22" customHeight="1">
      <x:c r="A198" s="14" t="n">
        <x:v>97</x:v>
      </x:c>
      <x:c r="B198" s="14" t="n">
        <x:v>3</x:v>
      </x:c>
      <x:c r="C198" s="14" t="n">
        <x:v>76008</x:v>
      </x:c>
      <x:c r="D198" s="2" t="str">
        <x:v>RED</x:v>
      </x:c>
      <x:c r="E198" s="2" t="str">
        <x:v>80만</x:v>
      </x:c>
      <x:c r="F198" s="2" t="str">
        <x:v>규칙형</x:v>
      </x:c>
      <x:c r="G198" s="2" t="str">
        <x:v>패</x:v>
      </x:c>
      <x:c r="H198" s="14" t="n">
        <x:v>1</x:v>
      </x:c>
      <x:c r="I198" s="14" t="n">
        <x:v>2</x:v>
      </x:c>
      <x:c r="J198" s="14" t="n">
        <x:v>4</x:v>
      </x:c>
      <x:c r="K198" s="14" t="n">
        <x:v>1</x:v>
      </x:c>
      <x:c r="L198" s="15" t="n">
        <x:f>IF(J198=0,"해당 없음",K198/J198)</x:f>
        <x:v>0.25</x:v>
      </x:c>
      <x:c r="M198" s="14" t="n">
        <x:v>9</x:v>
      </x:c>
      <x:c r="N198" s="14" t="n">
        <x:v>8</x:v>
      </x:c>
      <x:c r="O198" s="15" t="n">
        <x:f>IF(M198=0,"해당 없음",N198/M198)</x:f>
        <x:v>0.8888888888888888</x:v>
      </x:c>
      <x:c r="P198" s="14" t="n">
        <x:v>102</x:v>
      </x:c>
    </x:row>
    <x:row r="199" ht="22" customHeight="1">
      <x:c r="A199" s="14" t="n">
        <x:v>97</x:v>
      </x:c>
      <x:c r="B199" s="14" t="n">
        <x:v>3</x:v>
      </x:c>
      <x:c r="C199" s="14" t="n">
        <x:v>76008</x:v>
      </x:c>
      <x:c r="D199" s="2" t="str">
        <x:v>NAVY</x:v>
      </x:c>
      <x:c r="E199" s="2" t="str">
        <x:v>규칙형</x:v>
      </x:c>
      <x:c r="F199" s="2" t="str">
        <x:v>80만</x:v>
      </x:c>
      <x:c r="G199" s="2" t="str">
        <x:v>승</x:v>
      </x:c>
      <x:c r="H199" s="14" t="n">
        <x:v>2</x:v>
      </x:c>
      <x:c r="I199" s="14" t="n">
        <x:v>1</x:v>
      </x:c>
      <x:c r="J199" s="14" t="n">
        <x:v>13</x:v>
      </x:c>
      <x:c r="K199" s="14" t="n">
        <x:v>2</x:v>
      </x:c>
      <x:c r="L199" s="15" t="n">
        <x:f>IF(J199=0,"해당 없음",K199/J199)</x:f>
        <x:v>0.15384615384615385</x:v>
      </x:c>
      <x:c r="M199" s="14" t="n">
        <x:v>12</x:v>
      </x:c>
      <x:c r="N199" s="14" t="n">
        <x:v>9</x:v>
      </x:c>
      <x:c r="O199" s="15" t="n">
        <x:f>IF(M199=0,"해당 없음",N199/M199)</x:f>
        <x:v>0.75</x:v>
      </x:c>
      <x:c r="P199" s="14" t="n">
        <x:v>103</x:v>
      </x:c>
    </x:row>
    <x:row r="200" ht="22" customHeight="1">
      <x:c r="A200" s="14" t="n">
        <x:v>98</x:v>
      </x:c>
      <x:c r="B200" s="14" t="n">
        <x:v>3</x:v>
      </x:c>
      <x:c r="C200" s="14" t="n">
        <x:v>76008</x:v>
      </x:c>
      <x:c r="D200" s="2" t="str">
        <x:v>RED</x:v>
      </x:c>
      <x:c r="E200" s="2" t="str">
        <x:v>규칙형</x:v>
      </x:c>
      <x:c r="F200" s="2" t="str">
        <x:v>80만</x:v>
      </x:c>
      <x:c r="G200" s="2" t="str">
        <x:v>패</x:v>
      </x:c>
      <x:c r="H200" s="14" t="n">
        <x:v>2</x:v>
      </x:c>
      <x:c r="I200" s="14" t="n">
        <x:v>4</x:v>
      </x:c>
      <x:c r="J200" s="14" t="n">
        <x:v>9</x:v>
      </x:c>
      <x:c r="K200" s="14" t="n">
        <x:v>2</x:v>
      </x:c>
      <x:c r="L200" s="15" t="n">
        <x:f>IF(J200=0,"해당 없음",K200/J200)</x:f>
        <x:v>0.2222222222222222</x:v>
      </x:c>
      <x:c r="M200" s="14" t="n">
        <x:v>8</x:v>
      </x:c>
      <x:c r="N200" s="14" t="n">
        <x:v>6</x:v>
      </x:c>
      <x:c r="O200" s="15" t="n">
        <x:f>IF(M200=0,"해당 없음",N200/M200)</x:f>
        <x:v>0.75</x:v>
      </x:c>
      <x:c r="P200" s="14" t="n">
        <x:v>104</x:v>
      </x:c>
    </x:row>
    <x:row r="201" ht="22" customHeight="1">
      <x:c r="A201" s="14" t="n">
        <x:v>98</x:v>
      </x:c>
      <x:c r="B201" s="14" t="n">
        <x:v>3</x:v>
      </x:c>
      <x:c r="C201" s="14" t="n">
        <x:v>76008</x:v>
      </x:c>
      <x:c r="D201" s="2" t="str">
        <x:v>NAVY</x:v>
      </x:c>
      <x:c r="E201" s="2" t="str">
        <x:v>80만</x:v>
      </x:c>
      <x:c r="F201" s="2" t="str">
        <x:v>규칙형</x:v>
      </x:c>
      <x:c r="G201" s="2" t="str">
        <x:v>승</x:v>
      </x:c>
      <x:c r="H201" s="14" t="n">
        <x:v>4</x:v>
      </x:c>
      <x:c r="I201" s="14" t="n">
        <x:v>2</x:v>
      </x:c>
      <x:c r="J201" s="14" t="n">
        <x:v>9</x:v>
      </x:c>
      <x:c r="K201" s="14" t="n">
        <x:v>4</x:v>
      </x:c>
      <x:c r="L201" s="15" t="n">
        <x:f>IF(J201=0,"해당 없음",K201/J201)</x:f>
        <x:v>0.4444444444444444</x:v>
      </x:c>
      <x:c r="M201" s="14" t="n">
        <x:v>10</x:v>
      </x:c>
      <x:c r="N201" s="14" t="n">
        <x:v>6</x:v>
      </x:c>
      <x:c r="O201" s="15" t="n">
        <x:f>IF(M201=0,"해당 없음",N201/M201)</x:f>
        <x:v>0.6</x:v>
      </x:c>
      <x:c r="P201" s="14" t="n">
        <x:v>103</x:v>
      </x:c>
    </x:row>
    <x:row r="202" ht="22" customHeight="1">
      <x:c r="A202" s="14" t="n">
        <x:v>99</x:v>
      </x:c>
      <x:c r="B202" s="14" t="n">
        <x:v>3</x:v>
      </x:c>
      <x:c r="C202" s="14" t="n">
        <x:v>76009</x:v>
      </x:c>
      <x:c r="D202" s="2" t="str">
        <x:v>RED</x:v>
      </x:c>
      <x:c r="E202" s="2" t="str">
        <x:v>80만</x:v>
      </x:c>
      <x:c r="F202" s="2" t="str">
        <x:v>규칙형</x:v>
      </x:c>
      <x:c r="G202" s="2" t="str">
        <x:v>승</x:v>
      </x:c>
      <x:c r="H202" s="14" t="n">
        <x:v>7</x:v>
      </x:c>
      <x:c r="I202" s="14" t="n">
        <x:v>3</x:v>
      </x:c>
      <x:c r="J202" s="14" t="n">
        <x:v>12</x:v>
      </x:c>
      <x:c r="K202" s="14" t="n">
        <x:v>7</x:v>
      </x:c>
      <x:c r="L202" s="15" t="n">
        <x:f>IF(J202=0,"해당 없음",K202/J202)</x:f>
        <x:v>0.5833333333333334</x:v>
      </x:c>
      <x:c r="M202" s="14" t="n">
        <x:v>6</x:v>
      </x:c>
      <x:c r="N202" s="14" t="n">
        <x:v>6</x:v>
      </x:c>
      <x:c r="O202" s="15" t="n">
        <x:f>IF(M202=0,"해당 없음",N202/M202)</x:f>
        <x:v>1</x:v>
      </x:c>
      <x:c r="P202" s="14" t="n">
        <x:v>106</x:v>
      </x:c>
    </x:row>
    <x:row r="203" ht="22" customHeight="1">
      <x:c r="A203" s="14" t="n">
        <x:v>99</x:v>
      </x:c>
      <x:c r="B203" s="14" t="n">
        <x:v>3</x:v>
      </x:c>
      <x:c r="C203" s="14" t="n">
        <x:v>76009</x:v>
      </x:c>
      <x:c r="D203" s="2" t="str">
        <x:v>NAVY</x:v>
      </x:c>
      <x:c r="E203" s="2" t="str">
        <x:v>규칙형</x:v>
      </x:c>
      <x:c r="F203" s="2" t="str">
        <x:v>80만</x:v>
      </x:c>
      <x:c r="G203" s="2" t="str">
        <x:v>패</x:v>
      </x:c>
      <x:c r="H203" s="14" t="n">
        <x:v>3</x:v>
      </x:c>
      <x:c r="I203" s="14" t="n">
        <x:v>7</x:v>
      </x:c>
      <x:c r="J203" s="14" t="n">
        <x:v>8</x:v>
      </x:c>
      <x:c r="K203" s="14" t="n">
        <x:v>3</x:v>
      </x:c>
      <x:c r="L203" s="15" t="n">
        <x:f>IF(J203=0,"해당 없음",K203/J203)</x:f>
        <x:v>0.375</x:v>
      </x:c>
      <x:c r="M203" s="14" t="n">
        <x:v>7</x:v>
      </x:c>
      <x:c r="N203" s="14" t="n">
        <x:v>7</x:v>
      </x:c>
      <x:c r="O203" s="15" t="n">
        <x:f>IF(M203=0,"해당 없음",N203/M203)</x:f>
        <x:v>1</x:v>
      </x:c>
      <x:c r="P203" s="14" t="n">
        <x:v>105</x:v>
      </x:c>
    </x:row>
    <x:row r="204" ht="22" customHeight="1">
      <x:c r="A204" s="14" t="n">
        <x:v>100</x:v>
      </x:c>
      <x:c r="B204" s="14" t="n">
        <x:v>3</x:v>
      </x:c>
      <x:c r="C204" s="14" t="n">
        <x:v>76009</x:v>
      </x:c>
      <x:c r="D204" s="2" t="str">
        <x:v>RED</x:v>
      </x:c>
      <x:c r="E204" s="2" t="str">
        <x:v>규칙형</x:v>
      </x:c>
      <x:c r="F204" s="2" t="str">
        <x:v>80만</x:v>
      </x:c>
      <x:c r="G204" s="2" t="str">
        <x:v>무</x:v>
      </x:c>
      <x:c r="H204" s="14" t="n">
        <x:v>5</x:v>
      </x:c>
      <x:c r="I204" s="14" t="n">
        <x:v>5</x:v>
      </x:c>
      <x:c r="J204" s="14" t="n">
        <x:v>7</x:v>
      </x:c>
      <x:c r="K204" s="14" t="n">
        <x:v>5</x:v>
      </x:c>
      <x:c r="L204" s="15" t="n">
        <x:f>IF(J204=0,"해당 없음",K204/J204)</x:f>
        <x:v>0.7142857142857143</x:v>
      </x:c>
      <x:c r="M204" s="14" t="n">
        <x:v>6</x:v>
      </x:c>
      <x:c r="N204" s="14" t="n">
        <x:v>3</x:v>
      </x:c>
      <x:c r="O204" s="15" t="n">
        <x:f>IF(M204=0,"해당 없음",N204/M204)</x:f>
        <x:v>0.5</x:v>
      </x:c>
      <x:c r="P204" s="14" t="n">
        <x:v>108</x:v>
      </x:c>
    </x:row>
    <x:row r="205" ht="22" customHeight="1">
      <x:c r="A205" s="14" t="n">
        <x:v>100</x:v>
      </x:c>
      <x:c r="B205" s="14" t="n">
        <x:v>3</x:v>
      </x:c>
      <x:c r="C205" s="14" t="n">
        <x:v>76009</x:v>
      </x:c>
      <x:c r="D205" s="2" t="str">
        <x:v>NAVY</x:v>
      </x:c>
      <x:c r="E205" s="2" t="str">
        <x:v>80만</x:v>
      </x:c>
      <x:c r="F205" s="2" t="str">
        <x:v>규칙형</x:v>
      </x:c>
      <x:c r="G205" s="2" t="str">
        <x:v>무</x:v>
      </x:c>
      <x:c r="H205" s="14" t="n">
        <x:v>5</x:v>
      </x:c>
      <x:c r="I205" s="14" t="n">
        <x:v>5</x:v>
      </x:c>
      <x:c r="J205" s="14" t="n">
        <x:v>10</x:v>
      </x:c>
      <x:c r="K205" s="14" t="n">
        <x:v>5</x:v>
      </x:c>
      <x:c r="L205" s="15" t="n">
        <x:f>IF(J205=0,"해당 없음",K205/J205)</x:f>
        <x:v>0.5</x:v>
      </x:c>
      <x:c r="M205" s="14" t="n">
        <x:v>5</x:v>
      </x:c>
      <x:c r="N205" s="14" t="n">
        <x:v>4</x:v>
      </x:c>
      <x:c r="O205" s="15" t="n">
        <x:f>IF(M205=0,"해당 없음",N205/M205)</x:f>
        <x:v>0.8</x:v>
      </x:c>
      <x:c r="P205" s="14" t="n">
        <x:v>107</x:v>
      </x:c>
    </x:row>
    <x:row r="206" ht="22" customHeight="1">
      <x:c r="A206" s="14" t="n">
        <x:v>101</x:v>
      </x:c>
      <x:c r="B206" s="14" t="n">
        <x:v>3</x:v>
      </x:c>
      <x:c r="C206" s="14" t="n">
        <x:v>76010</x:v>
      </x:c>
      <x:c r="D206" s="2" t="str">
        <x:v>RED</x:v>
      </x:c>
      <x:c r="E206" s="2" t="str">
        <x:v>80만</x:v>
      </x:c>
      <x:c r="F206" s="2" t="str">
        <x:v>규칙형</x:v>
      </x:c>
      <x:c r="G206" s="2" t="str">
        <x:v>승</x:v>
      </x:c>
      <x:c r="H206" s="14" t="n">
        <x:v>5</x:v>
      </x:c>
      <x:c r="I206" s="14" t="n">
        <x:v>2</x:v>
      </x:c>
      <x:c r="J206" s="14" t="n">
        <x:v>8</x:v>
      </x:c>
      <x:c r="K206" s="14" t="n">
        <x:v>5</x:v>
      </x:c>
      <x:c r="L206" s="15" t="n">
        <x:f>IF(J206=0,"해당 없음",K206/J206)</x:f>
        <x:v>0.625</x:v>
      </x:c>
      <x:c r="M206" s="14" t="n">
        <x:v>4</x:v>
      </x:c>
      <x:c r="N206" s="14" t="n">
        <x:v>4</x:v>
      </x:c>
      <x:c r="O206" s="15" t="n">
        <x:f>IF(M206=0,"해당 없음",N206/M206)</x:f>
        <x:v>1</x:v>
      </x:c>
      <x:c r="P206" s="14" t="n">
        <x:v>105</x:v>
      </x:c>
    </x:row>
    <x:row r="207" ht="22" customHeight="1">
      <x:c r="A207" s="14" t="n">
        <x:v>101</x:v>
      </x:c>
      <x:c r="B207" s="14" t="n">
        <x:v>3</x:v>
      </x:c>
      <x:c r="C207" s="14" t="n">
        <x:v>76010</x:v>
      </x:c>
      <x:c r="D207" s="2" t="str">
        <x:v>NAVY</x:v>
      </x:c>
      <x:c r="E207" s="2" t="str">
        <x:v>규칙형</x:v>
      </x:c>
      <x:c r="F207" s="2" t="str">
        <x:v>80만</x:v>
      </x:c>
      <x:c r="G207" s="2" t="str">
        <x:v>패</x:v>
      </x:c>
      <x:c r="H207" s="14" t="n">
        <x:v>2</x:v>
      </x:c>
      <x:c r="I207" s="14" t="n">
        <x:v>5</x:v>
      </x:c>
      <x:c r="J207" s="14" t="n">
        <x:v>7</x:v>
      </x:c>
      <x:c r="K207" s="14" t="n">
        <x:v>2</x:v>
      </x:c>
      <x:c r="L207" s="15" t="n">
        <x:f>IF(J207=0,"해당 없음",K207/J207)</x:f>
        <x:v>0.2857142857142857</x:v>
      </x:c>
      <x:c r="M207" s="14" t="n">
        <x:v>5</x:v>
      </x:c>
      <x:c r="N207" s="14" t="n">
        <x:v>3</x:v>
      </x:c>
      <x:c r="O207" s="15" t="n">
        <x:f>IF(M207=0,"해당 없음",N207/M207)</x:f>
        <x:v>0.6</x:v>
      </x:c>
      <x:c r="P207" s="14" t="n">
        <x:v>103</x:v>
      </x:c>
    </x:row>
    <x:row r="208" ht="22" customHeight="1">
      <x:c r="A208" s="14" t="n">
        <x:v>102</x:v>
      </x:c>
      <x:c r="B208" s="14" t="n">
        <x:v>3</x:v>
      </x:c>
      <x:c r="C208" s="14" t="n">
        <x:v>76010</x:v>
      </x:c>
      <x:c r="D208" s="2" t="str">
        <x:v>RED</x:v>
      </x:c>
      <x:c r="E208" s="2" t="str">
        <x:v>규칙형</x:v>
      </x:c>
      <x:c r="F208" s="2" t="str">
        <x:v>80만</x:v>
      </x:c>
      <x:c r="G208" s="2" t="str">
        <x:v>패</x:v>
      </x:c>
      <x:c r="H208" s="14" t="n">
        <x:v>2</x:v>
      </x:c>
      <x:c r="I208" s="14" t="n">
        <x:v>3</x:v>
      </x:c>
      <x:c r="J208" s="14" t="n">
        <x:v>6</x:v>
      </x:c>
      <x:c r="K208" s="14" t="n">
        <x:v>2</x:v>
      </x:c>
      <x:c r="L208" s="15" t="n">
        <x:f>IF(J208=0,"해당 없음",K208/J208)</x:f>
        <x:v>0.3333333333333333</x:v>
      </x:c>
      <x:c r="M208" s="14" t="n">
        <x:v>8</x:v>
      </x:c>
      <x:c r="N208" s="14" t="n">
        <x:v>6</x:v>
      </x:c>
      <x:c r="O208" s="15" t="n">
        <x:f>IF(M208=0,"해당 없음",N208/M208)</x:f>
        <x:v>0.75</x:v>
      </x:c>
      <x:c r="P208" s="14" t="n">
        <x:v>102</x:v>
      </x:c>
    </x:row>
    <x:row r="209" ht="22" customHeight="1">
      <x:c r="A209" s="14" t="n">
        <x:v>102</x:v>
      </x:c>
      <x:c r="B209" s="14" t="n">
        <x:v>3</x:v>
      </x:c>
      <x:c r="C209" s="14" t="n">
        <x:v>76010</x:v>
      </x:c>
      <x:c r="D209" s="2" t="str">
        <x:v>NAVY</x:v>
      </x:c>
      <x:c r="E209" s="2" t="str">
        <x:v>80만</x:v>
      </x:c>
      <x:c r="F209" s="2" t="str">
        <x:v>규칙형</x:v>
      </x:c>
      <x:c r="G209" s="2" t="str">
        <x:v>승</x:v>
      </x:c>
      <x:c r="H209" s="14" t="n">
        <x:v>3</x:v>
      </x:c>
      <x:c r="I209" s="14" t="n">
        <x:v>2</x:v>
      </x:c>
      <x:c r="J209" s="14" t="n">
        <x:v>9</x:v>
      </x:c>
      <x:c r="K209" s="14" t="n">
        <x:v>3</x:v>
      </x:c>
      <x:c r="L209" s="15" t="n">
        <x:f>IF(J209=0,"해당 없음",K209/J209)</x:f>
        <x:v>0.3333333333333333</x:v>
      </x:c>
      <x:c r="M209" s="14" t="n">
        <x:v>6</x:v>
      </x:c>
      <x:c r="N209" s="14" t="n">
        <x:v>6</x:v>
      </x:c>
      <x:c r="O209" s="15" t="n">
        <x:f>IF(M209=0,"해당 없음",N209/M209)</x:f>
        <x:v>1</x:v>
      </x:c>
      <x:c r="P209" s="14" t="n">
        <x:v>102</x:v>
      </x:c>
    </x:row>
    <x:row r="210" ht="22" customHeight="1">
      <x:c r="A210" s="14" t="n">
        <x:v>103</x:v>
      </x:c>
      <x:c r="B210" s="14" t="n">
        <x:v>3</x:v>
      </x:c>
      <x:c r="C210" s="14" t="n">
        <x:v>76011</x:v>
      </x:c>
      <x:c r="D210" s="2" t="str">
        <x:v>RED</x:v>
      </x:c>
      <x:c r="E210" s="2" t="str">
        <x:v>80만</x:v>
      </x:c>
      <x:c r="F210" s="2" t="str">
        <x:v>규칙형</x:v>
      </x:c>
      <x:c r="G210" s="2" t="str">
        <x:v>승</x:v>
      </x:c>
      <x:c r="H210" s="14" t="n">
        <x:v>5</x:v>
      </x:c>
      <x:c r="I210" s="14" t="n">
        <x:v>3</x:v>
      </x:c>
      <x:c r="J210" s="14" t="n">
        <x:v>5</x:v>
      </x:c>
      <x:c r="K210" s="14" t="n">
        <x:v>5</x:v>
      </x:c>
      <x:c r="L210" s="15" t="n">
        <x:f>IF(J210=0,"해당 없음",K210/J210)</x:f>
        <x:v>1</x:v>
      </x:c>
      <x:c r="M210" s="14" t="n">
        <x:v>6</x:v>
      </x:c>
      <x:c r="N210" s="14" t="n">
        <x:v>5</x:v>
      </x:c>
      <x:c r="O210" s="15" t="n">
        <x:f>IF(M210=0,"해당 없음",N210/M210)</x:f>
        <x:v>0.8333333333333334</x:v>
      </x:c>
      <x:c r="P210" s="14" t="n">
        <x:v>104</x:v>
      </x:c>
    </x:row>
    <x:row r="211" ht="22" customHeight="1">
      <x:c r="A211" s="14" t="n">
        <x:v>103</x:v>
      </x:c>
      <x:c r="B211" s="14" t="n">
        <x:v>3</x:v>
      </x:c>
      <x:c r="C211" s="14" t="n">
        <x:v>76011</x:v>
      </x:c>
      <x:c r="D211" s="2" t="str">
        <x:v>NAVY</x:v>
      </x:c>
      <x:c r="E211" s="2" t="str">
        <x:v>규칙형</x:v>
      </x:c>
      <x:c r="F211" s="2" t="str">
        <x:v>80만</x:v>
      </x:c>
      <x:c r="G211" s="2" t="str">
        <x:v>패</x:v>
      </x:c>
      <x:c r="H211" s="14" t="n">
        <x:v>3</x:v>
      </x:c>
      <x:c r="I211" s="14" t="n">
        <x:v>5</x:v>
      </x:c>
      <x:c r="J211" s="14" t="n">
        <x:v>9</x:v>
      </x:c>
      <x:c r="K211" s="14" t="n">
        <x:v>3</x:v>
      </x:c>
      <x:c r="L211" s="15" t="n">
        <x:f>IF(J211=0,"해당 없음",K211/J211)</x:f>
        <x:v>0.3333333333333333</x:v>
      </x:c>
      <x:c r="M211" s="14" t="n">
        <x:v>4</x:v>
      </x:c>
      <x:c r="N211" s="14" t="n">
        <x:v>4</x:v>
      </x:c>
      <x:c r="O211" s="15" t="n">
        <x:f>IF(M211=0,"해당 없음",N211/M211)</x:f>
        <x:v>1</x:v>
      </x:c>
      <x:c r="P211" s="14" t="n">
        <x:v>104</x:v>
      </x:c>
    </x:row>
    <x:row r="212" ht="22" customHeight="1">
      <x:c r="A212" s="14" t="n">
        <x:v>104</x:v>
      </x:c>
      <x:c r="B212" s="14" t="n">
        <x:v>3</x:v>
      </x:c>
      <x:c r="C212" s="14" t="n">
        <x:v>76011</x:v>
      </x:c>
      <x:c r="D212" s="2" t="str">
        <x:v>RED</x:v>
      </x:c>
      <x:c r="E212" s="2" t="str">
        <x:v>규칙형</x:v>
      </x:c>
      <x:c r="F212" s="2" t="str">
        <x:v>80만</x:v>
      </x:c>
      <x:c r="G212" s="2" t="str">
        <x:v>승</x:v>
      </x:c>
      <x:c r="H212" s="14" t="n">
        <x:v>4</x:v>
      </x:c>
      <x:c r="I212" s="14" t="n">
        <x:v>1</x:v>
      </x:c>
      <x:c r="J212" s="14" t="n">
        <x:v>10</x:v>
      </x:c>
      <x:c r="K212" s="14" t="n">
        <x:v>4</x:v>
      </x:c>
      <x:c r="L212" s="15" t="n">
        <x:f>IF(J212=0,"해당 없음",K212/J212)</x:f>
        <x:v>0.4</x:v>
      </x:c>
      <x:c r="M212" s="14" t="n">
        <x:v>8</x:v>
      </x:c>
      <x:c r="N212" s="14" t="n">
        <x:v>6</x:v>
      </x:c>
      <x:c r="O212" s="15" t="n">
        <x:f>IF(M212=0,"해당 없음",N212/M212)</x:f>
        <x:v>0.75</x:v>
      </x:c>
      <x:c r="P212" s="14" t="n">
        <x:v>100</x:v>
      </x:c>
    </x:row>
    <x:row r="213" ht="22" customHeight="1">
      <x:c r="A213" s="14" t="n">
        <x:v>104</x:v>
      </x:c>
      <x:c r="B213" s="14" t="n">
        <x:v>3</x:v>
      </x:c>
      <x:c r="C213" s="14" t="n">
        <x:v>76011</x:v>
      </x:c>
      <x:c r="D213" s="2" t="str">
        <x:v>NAVY</x:v>
      </x:c>
      <x:c r="E213" s="2" t="str">
        <x:v>80만</x:v>
      </x:c>
      <x:c r="F213" s="2" t="str">
        <x:v>규칙형</x:v>
      </x:c>
      <x:c r="G213" s="2" t="str">
        <x:v>패</x:v>
      </x:c>
      <x:c r="H213" s="14" t="n">
        <x:v>1</x:v>
      </x:c>
      <x:c r="I213" s="14" t="n">
        <x:v>4</x:v>
      </x:c>
      <x:c r="J213" s="14" t="n">
        <x:v>4</x:v>
      </x:c>
      <x:c r="K213" s="14" t="n">
        <x:v>1</x:v>
      </x:c>
      <x:c r="L213" s="15" t="n">
        <x:f>IF(J213=0,"해당 없음",K213/J213)</x:f>
        <x:v>0.25</x:v>
      </x:c>
      <x:c r="M213" s="14" t="n">
        <x:v>7</x:v>
      </x:c>
      <x:c r="N213" s="14" t="n">
        <x:v>3</x:v>
      </x:c>
      <x:c r="O213" s="15" t="n">
        <x:f>IF(M213=0,"해당 없음",N213/M213)</x:f>
        <x:v>0.42857142857142855</x:v>
      </x:c>
      <x:c r="P213" s="14" t="n">
        <x:v>102</x:v>
      </x:c>
    </x:row>
    <x:row r="214" ht="22" customHeight="1">
      <x:c r="A214" s="14" t="n">
        <x:v>105</x:v>
      </x:c>
      <x:c r="B214" s="14" t="n">
        <x:v>3</x:v>
      </x:c>
      <x:c r="C214" s="14" t="n">
        <x:v>76012</x:v>
      </x:c>
      <x:c r="D214" s="2" t="str">
        <x:v>RED</x:v>
      </x:c>
      <x:c r="E214" s="2" t="str">
        <x:v>80만</x:v>
      </x:c>
      <x:c r="F214" s="2" t="str">
        <x:v>규칙형</x:v>
      </x:c>
      <x:c r="G214" s="2" t="str">
        <x:v>승</x:v>
      </x:c>
      <x:c r="H214" s="14" t="n">
        <x:v>6</x:v>
      </x:c>
      <x:c r="I214" s="14" t="n">
        <x:v>0</x:v>
      </x:c>
      <x:c r="J214" s="14" t="n">
        <x:v>13</x:v>
      </x:c>
      <x:c r="K214" s="14" t="n">
        <x:v>6</x:v>
      </x:c>
      <x:c r="L214" s="15" t="n">
        <x:f>IF(J214=0,"해당 없음",K214/J214)</x:f>
        <x:v>0.46153846153846156</x:v>
      </x:c>
      <x:c r="M214" s="14" t="n">
        <x:v>7</x:v>
      </x:c>
      <x:c r="N214" s="14" t="n">
        <x:v>7</x:v>
      </x:c>
      <x:c r="O214" s="15" t="n">
        <x:f>IF(M214=0,"해당 없음",N214/M214)</x:f>
        <x:v>1</x:v>
      </x:c>
      <x:c r="P214" s="14" t="n">
        <x:v>103</x:v>
      </x:c>
    </x:row>
    <x:row r="215" ht="22" customHeight="1">
      <x:c r="A215" s="14" t="n">
        <x:v>105</x:v>
      </x:c>
      <x:c r="B215" s="14" t="n">
        <x:v>3</x:v>
      </x:c>
      <x:c r="C215" s="14" t="n">
        <x:v>76012</x:v>
      </x:c>
      <x:c r="D215" s="2" t="str">
        <x:v>NAVY</x:v>
      </x:c>
      <x:c r="E215" s="2" t="str">
        <x:v>규칙형</x:v>
      </x:c>
      <x:c r="F215" s="2" t="str">
        <x:v>80만</x:v>
      </x:c>
      <x:c r="G215" s="2" t="str">
        <x:v>패</x:v>
      </x:c>
      <x:c r="H215" s="14" t="n">
        <x:v>0</x:v>
      </x:c>
      <x:c r="I215" s="14" t="n">
        <x:v>6</x:v>
      </x:c>
      <x:c r="J215" s="14" t="n">
        <x:v>3</x:v>
      </x:c>
      <x:c r="K215" s="14" t="n">
        <x:v>0</x:v>
      </x:c>
      <x:c r="L215" s="15" t="n">
        <x:f>IF(J215=0,"해당 없음",K215/J215)</x:f>
        <x:v>0</x:v>
      </x:c>
      <x:c r="M215" s="14" t="n">
        <x:v>8</x:v>
      </x:c>
      <x:c r="N215" s="14" t="n">
        <x:v>6</x:v>
      </x:c>
      <x:c r="O215" s="15" t="n">
        <x:f>IF(M215=0,"해당 없음",N215/M215)</x:f>
        <x:v>0.75</x:v>
      </x:c>
      <x:c r="P215" s="14" t="n">
        <x:v>103</x:v>
      </x:c>
    </x:row>
    <x:row r="216" ht="22" customHeight="1">
      <x:c r="A216" s="14" t="n">
        <x:v>106</x:v>
      </x:c>
      <x:c r="B216" s="14" t="n">
        <x:v>3</x:v>
      </x:c>
      <x:c r="C216" s="14" t="n">
        <x:v>76012</x:v>
      </x:c>
      <x:c r="D216" s="2" t="str">
        <x:v>RED</x:v>
      </x:c>
      <x:c r="E216" s="2" t="str">
        <x:v>규칙형</x:v>
      </x:c>
      <x:c r="F216" s="2" t="str">
        <x:v>80만</x:v>
      </x:c>
      <x:c r="G216" s="2" t="str">
        <x:v>패</x:v>
      </x:c>
      <x:c r="H216" s="14" t="n">
        <x:v>4</x:v>
      </x:c>
      <x:c r="I216" s="14" t="n">
        <x:v>6</x:v>
      </x:c>
      <x:c r="J216" s="14" t="n">
        <x:v>5</x:v>
      </x:c>
      <x:c r="K216" s="14" t="n">
        <x:v>4</x:v>
      </x:c>
      <x:c r="L216" s="15" t="n">
        <x:f>IF(J216=0,"해당 없음",K216/J216)</x:f>
        <x:v>0.8</x:v>
      </x:c>
      <x:c r="M216" s="14" t="n">
        <x:v>8</x:v>
      </x:c>
      <x:c r="N216" s="14" t="n">
        <x:v>7</x:v>
      </x:c>
      <x:c r="O216" s="15" t="n">
        <x:f>IF(M216=0,"해당 없음",N216/M216)</x:f>
        <x:v>0.875</x:v>
      </x:c>
      <x:c r="P216" s="14" t="n">
        <x:v>105</x:v>
      </x:c>
    </x:row>
    <x:row r="217" ht="22" customHeight="1">
      <x:c r="A217" s="14" t="n">
        <x:v>106</x:v>
      </x:c>
      <x:c r="B217" s="14" t="n">
        <x:v>3</x:v>
      </x:c>
      <x:c r="C217" s="14" t="n">
        <x:v>76012</x:v>
      </x:c>
      <x:c r="D217" s="2" t="str">
        <x:v>NAVY</x:v>
      </x:c>
      <x:c r="E217" s="2" t="str">
        <x:v>80만</x:v>
      </x:c>
      <x:c r="F217" s="2" t="str">
        <x:v>규칙형</x:v>
      </x:c>
      <x:c r="G217" s="2" t="str">
        <x:v>승</x:v>
      </x:c>
      <x:c r="H217" s="14" t="n">
        <x:v>6</x:v>
      </x:c>
      <x:c r="I217" s="14" t="n">
        <x:v>4</x:v>
      </x:c>
      <x:c r="J217" s="14" t="n">
        <x:v>12</x:v>
      </x:c>
      <x:c r="K217" s="14" t="n">
        <x:v>6</x:v>
      </x:c>
      <x:c r="L217" s="15" t="n">
        <x:f>IF(J217=0,"해당 없음",K217/J217)</x:f>
        <x:v>0.5</x:v>
      </x:c>
      <x:c r="M217" s="14" t="n">
        <x:v>3</x:v>
      </x:c>
      <x:c r="N217" s="14" t="n">
        <x:v>2</x:v>
      </x:c>
      <x:c r="O217" s="15" t="n">
        <x:f>IF(M217=0,"해당 없음",N217/M217)</x:f>
        <x:v>0.6666666666666666</x:v>
      </x:c>
      <x:c r="P217" s="14" t="n">
        <x:v>106</x:v>
      </x:c>
    </x:row>
    <x:row r="218" ht="22" customHeight="1">
      <x:c r="A218" s="14" t="n">
        <x:v>107</x:v>
      </x:c>
      <x:c r="B218" s="14" t="n">
        <x:v>3</x:v>
      </x:c>
      <x:c r="C218" s="14" t="n">
        <x:v>76013</x:v>
      </x:c>
      <x:c r="D218" s="2" t="str">
        <x:v>RED</x:v>
      </x:c>
      <x:c r="E218" s="2" t="str">
        <x:v>80만</x:v>
      </x:c>
      <x:c r="F218" s="2" t="str">
        <x:v>규칙형</x:v>
      </x:c>
      <x:c r="G218" s="2" t="str">
        <x:v>패</x:v>
      </x:c>
      <x:c r="H218" s="14" t="n">
        <x:v>2</x:v>
      </x:c>
      <x:c r="I218" s="14" t="n">
        <x:v>6</x:v>
      </x:c>
      <x:c r="J218" s="14" t="n">
        <x:v>6</x:v>
      </x:c>
      <x:c r="K218" s="14" t="n">
        <x:v>2</x:v>
      </x:c>
      <x:c r="L218" s="15" t="n">
        <x:f>IF(J218=0,"해당 없음",K218/J218)</x:f>
        <x:v>0.3333333333333333</x:v>
      </x:c>
      <x:c r="M218" s="14" t="n">
        <x:v>6</x:v>
      </x:c>
      <x:c r="N218" s="14" t="n">
        <x:v>4</x:v>
      </x:c>
      <x:c r="O218" s="15" t="n">
        <x:f>IF(M218=0,"해당 없음",N218/M218)</x:f>
        <x:v>0.6666666666666666</x:v>
      </x:c>
      <x:c r="P218" s="14" t="n">
        <x:v>105</x:v>
      </x:c>
    </x:row>
    <x:row r="219" ht="22" customHeight="1">
      <x:c r="A219" s="14" t="n">
        <x:v>107</x:v>
      </x:c>
      <x:c r="B219" s="14" t="n">
        <x:v>3</x:v>
      </x:c>
      <x:c r="C219" s="14" t="n">
        <x:v>76013</x:v>
      </x:c>
      <x:c r="D219" s="2" t="str">
        <x:v>NAVY</x:v>
      </x:c>
      <x:c r="E219" s="2" t="str">
        <x:v>규칙형</x:v>
      </x:c>
      <x:c r="F219" s="2" t="str">
        <x:v>80만</x:v>
      </x:c>
      <x:c r="G219" s="2" t="str">
        <x:v>승</x:v>
      </x:c>
      <x:c r="H219" s="14" t="n">
        <x:v>6</x:v>
      </x:c>
      <x:c r="I219" s="14" t="n">
        <x:v>2</x:v>
      </x:c>
      <x:c r="J219" s="14" t="n">
        <x:v>15</x:v>
      </x:c>
      <x:c r="K219" s="14" t="n">
        <x:v>6</x:v>
      </x:c>
      <x:c r="L219" s="15" t="n">
        <x:f>IF(J219=0,"해당 없음",K219/J219)</x:f>
        <x:v>0.4</x:v>
      </x:c>
      <x:c r="M219" s="14" t="n">
        <x:v>6</x:v>
      </x:c>
      <x:c r="N219" s="14" t="n">
        <x:v>6</x:v>
      </x:c>
      <x:c r="O219" s="15" t="n">
        <x:f>IF(M219=0,"해당 없음",N219/M219)</x:f>
        <x:v>1</x:v>
      </x:c>
      <x:c r="P219" s="14" t="n">
        <x:v>107</x:v>
      </x:c>
    </x:row>
    <x:row r="220" ht="22" customHeight="1">
      <x:c r="A220" s="14" t="n">
        <x:v>108</x:v>
      </x:c>
      <x:c r="B220" s="14" t="n">
        <x:v>3</x:v>
      </x:c>
      <x:c r="C220" s="14" t="n">
        <x:v>76013</x:v>
      </x:c>
      <x:c r="D220" s="2" t="str">
        <x:v>RED</x:v>
      </x:c>
      <x:c r="E220" s="2" t="str">
        <x:v>규칙형</x:v>
      </x:c>
      <x:c r="F220" s="2" t="str">
        <x:v>80만</x:v>
      </x:c>
      <x:c r="G220" s="2" t="str">
        <x:v>패</x:v>
      </x:c>
      <x:c r="H220" s="14" t="n">
        <x:v>3</x:v>
      </x:c>
      <x:c r="I220" s="14" t="n">
        <x:v>5</x:v>
      </x:c>
      <x:c r="J220" s="14" t="n">
        <x:v>6</x:v>
      </x:c>
      <x:c r="K220" s="14" t="n">
        <x:v>3</x:v>
      </x:c>
      <x:c r="L220" s="15" t="n">
        <x:f>IF(J220=0,"해당 없음",K220/J220)</x:f>
        <x:v>0.5</x:v>
      </x:c>
      <x:c r="M220" s="14" t="n">
        <x:v>9</x:v>
      </x:c>
      <x:c r="N220" s="14" t="n">
        <x:v>7</x:v>
      </x:c>
      <x:c r="O220" s="15" t="n">
        <x:f>IF(M220=0,"해당 없음",N220/M220)</x:f>
        <x:v>0.7777777777777778</x:v>
      </x:c>
      <x:c r="P220" s="14" t="n">
        <x:v>103</x:v>
      </x:c>
    </x:row>
    <x:row r="221" ht="22" customHeight="1">
      <x:c r="A221" s="14" t="n">
        <x:v>108</x:v>
      </x:c>
      <x:c r="B221" s="14" t="n">
        <x:v>3</x:v>
      </x:c>
      <x:c r="C221" s="14" t="n">
        <x:v>76013</x:v>
      </x:c>
      <x:c r="D221" s="2" t="str">
        <x:v>NAVY</x:v>
      </x:c>
      <x:c r="E221" s="2" t="str">
        <x:v>80만</x:v>
      </x:c>
      <x:c r="F221" s="2" t="str">
        <x:v>규칙형</x:v>
      </x:c>
      <x:c r="G221" s="2" t="str">
        <x:v>승</x:v>
      </x:c>
      <x:c r="H221" s="14" t="n">
        <x:v>5</x:v>
      </x:c>
      <x:c r="I221" s="14" t="n">
        <x:v>3</x:v>
      </x:c>
      <x:c r="J221" s="14" t="n">
        <x:v>10</x:v>
      </x:c>
      <x:c r="K221" s="14" t="n">
        <x:v>5</x:v>
      </x:c>
      <x:c r="L221" s="15" t="n">
        <x:f>IF(J221=0,"해당 없음",K221/J221)</x:f>
        <x:v>0.5</x:v>
      </x:c>
      <x:c r="M221" s="14" t="n">
        <x:v>6</x:v>
      </x:c>
      <x:c r="N221" s="14" t="n">
        <x:v>6</x:v>
      </x:c>
      <x:c r="O221" s="15" t="n">
        <x:f>IF(M221=0,"해당 없음",N221/M221)</x:f>
        <x:v>1</x:v>
      </x:c>
      <x:c r="P221" s="14" t="n">
        <x:v>103</x:v>
      </x:c>
    </x:row>
    <x:row r="222" ht="22" customHeight="1">
      <x:c r="A222" s="14" t="n">
        <x:v>109</x:v>
      </x:c>
      <x:c r="B222" s="14" t="n">
        <x:v>3</x:v>
      </x:c>
      <x:c r="C222" s="14" t="n">
        <x:v>76014</x:v>
      </x:c>
      <x:c r="D222" s="2" t="str">
        <x:v>RED</x:v>
      </x:c>
      <x:c r="E222" s="2" t="str">
        <x:v>80만</x:v>
      </x:c>
      <x:c r="F222" s="2" t="str">
        <x:v>규칙형</x:v>
      </x:c>
      <x:c r="G222" s="2" t="str">
        <x:v>승</x:v>
      </x:c>
      <x:c r="H222" s="14" t="n">
        <x:v>6</x:v>
      </x:c>
      <x:c r="I222" s="14" t="n">
        <x:v>1</x:v>
      </x:c>
      <x:c r="J222" s="14" t="n">
        <x:v>12</x:v>
      </x:c>
      <x:c r="K222" s="14" t="n">
        <x:v>6</x:v>
      </x:c>
      <x:c r="L222" s="15" t="n">
        <x:f>IF(J222=0,"해당 없음",K222/J222)</x:f>
        <x:v>0.5</x:v>
      </x:c>
      <x:c r="M222" s="14" t="n">
        <x:v>4</x:v>
      </x:c>
      <x:c r="N222" s="14" t="n">
        <x:v>3</x:v>
      </x:c>
      <x:c r="O222" s="15" t="n">
        <x:f>IF(M222=0,"해당 없음",N222/M222)</x:f>
        <x:v>0.75</x:v>
      </x:c>
      <x:c r="P222" s="14" t="n">
        <x:v>104</x:v>
      </x:c>
    </x:row>
    <x:row r="223" ht="22" customHeight="1">
      <x:c r="A223" s="14" t="n">
        <x:v>109</x:v>
      </x:c>
      <x:c r="B223" s="14" t="n">
        <x:v>3</x:v>
      </x:c>
      <x:c r="C223" s="14" t="n">
        <x:v>76014</x:v>
      </x:c>
      <x:c r="D223" s="2" t="str">
        <x:v>NAVY</x:v>
      </x:c>
      <x:c r="E223" s="2" t="str">
        <x:v>규칙형</x:v>
      </x:c>
      <x:c r="F223" s="2" t="str">
        <x:v>80만</x:v>
      </x:c>
      <x:c r="G223" s="2" t="str">
        <x:v>패</x:v>
      </x:c>
      <x:c r="H223" s="14" t="n">
        <x:v>1</x:v>
      </x:c>
      <x:c r="I223" s="14" t="n">
        <x:v>6</x:v>
      </x:c>
      <x:c r="J223" s="14" t="n">
        <x:v>4</x:v>
      </x:c>
      <x:c r="K223" s="14" t="n">
        <x:v>1</x:v>
      </x:c>
      <x:c r="L223" s="15" t="n">
        <x:f>IF(J223=0,"해당 없음",K223/J223)</x:f>
        <x:v>0.25</x:v>
      </x:c>
      <x:c r="M223" s="14" t="n">
        <x:v>9</x:v>
      </x:c>
      <x:c r="N223" s="14" t="n">
        <x:v>6</x:v>
      </x:c>
      <x:c r="O223" s="15" t="n">
        <x:f>IF(M223=0,"해당 없음",N223/M223)</x:f>
        <x:v>0.6666666666666666</x:v>
      </x:c>
      <x:c r="P223" s="14" t="n">
        <x:v>104</x:v>
      </x:c>
    </x:row>
    <x:row r="224" ht="22" customHeight="1">
      <x:c r="A224" s="14" t="n">
        <x:v>110</x:v>
      </x:c>
      <x:c r="B224" s="14" t="n">
        <x:v>3</x:v>
      </x:c>
      <x:c r="C224" s="14" t="n">
        <x:v>76014</x:v>
      </x:c>
      <x:c r="D224" s="2" t="str">
        <x:v>RED</x:v>
      </x:c>
      <x:c r="E224" s="2" t="str">
        <x:v>규칙형</x:v>
      </x:c>
      <x:c r="F224" s="2" t="str">
        <x:v>80만</x:v>
      </x:c>
      <x:c r="G224" s="2" t="str">
        <x:v>패</x:v>
      </x:c>
      <x:c r="H224" s="14" t="n">
        <x:v>3</x:v>
      </x:c>
      <x:c r="I224" s="14" t="n">
        <x:v>4</x:v>
      </x:c>
      <x:c r="J224" s="14" t="n">
        <x:v>8</x:v>
      </x:c>
      <x:c r="K224" s="14" t="n">
        <x:v>3</x:v>
      </x:c>
      <x:c r="L224" s="15" t="n">
        <x:f>IF(J224=0,"해당 없음",K224/J224)</x:f>
        <x:v>0.375</x:v>
      </x:c>
      <x:c r="M224" s="14" t="n">
        <x:v>9</x:v>
      </x:c>
      <x:c r="N224" s="14" t="n">
        <x:v>8</x:v>
      </x:c>
      <x:c r="O224" s="15" t="n">
        <x:f>IF(M224=0,"해당 없음",N224/M224)</x:f>
        <x:v>0.8888888888888888</x:v>
      </x:c>
      <x:c r="P224" s="14" t="n">
        <x:v>104</x:v>
      </x:c>
    </x:row>
    <x:row r="225" ht="22" customHeight="1">
      <x:c r="A225" s="14" t="n">
        <x:v>110</x:v>
      </x:c>
      <x:c r="B225" s="14" t="n">
        <x:v>3</x:v>
      </x:c>
      <x:c r="C225" s="14" t="n">
        <x:v>76014</x:v>
      </x:c>
      <x:c r="D225" s="2" t="str">
        <x:v>NAVY</x:v>
      </x:c>
      <x:c r="E225" s="2" t="str">
        <x:v>80만</x:v>
      </x:c>
      <x:c r="F225" s="2" t="str">
        <x:v>규칙형</x:v>
      </x:c>
      <x:c r="G225" s="2" t="str">
        <x:v>승</x:v>
      </x:c>
      <x:c r="H225" s="14" t="n">
        <x:v>4</x:v>
      </x:c>
      <x:c r="I225" s="14" t="n">
        <x:v>3</x:v>
      </x:c>
      <x:c r="J225" s="14" t="n">
        <x:v>9</x:v>
      </x:c>
      <x:c r="K225" s="14" t="n">
        <x:v>4</x:v>
      </x:c>
      <x:c r="L225" s="15" t="n">
        <x:f>IF(J225=0,"해당 없음",K225/J225)</x:f>
        <x:v>0.4444444444444444</x:v>
      </x:c>
      <x:c r="M225" s="14" t="n">
        <x:v>8</x:v>
      </x:c>
      <x:c r="N225" s="14" t="n">
        <x:v>8</x:v>
      </x:c>
      <x:c r="O225" s="15" t="n">
        <x:f>IF(M225=0,"해당 없음",N225/M225)</x:f>
        <x:v>1</x:v>
      </x:c>
      <x:c r="P225" s="14" t="n">
        <x:v>104</x:v>
      </x:c>
    </x:row>
    <x:row r="226" ht="22" customHeight="1">
      <x:c r="A226" s="14" t="n">
        <x:v>111</x:v>
      </x:c>
      <x:c r="B226" s="14" t="n">
        <x:v>3</x:v>
      </x:c>
      <x:c r="C226" s="14" t="n">
        <x:v>76015</x:v>
      </x:c>
      <x:c r="D226" s="2" t="str">
        <x:v>RED</x:v>
      </x:c>
      <x:c r="E226" s="2" t="str">
        <x:v>80만</x:v>
      </x:c>
      <x:c r="F226" s="2" t="str">
        <x:v>규칙형</x:v>
      </x:c>
      <x:c r="G226" s="2" t="str">
        <x:v>승</x:v>
      </x:c>
      <x:c r="H226" s="14" t="n">
        <x:v>7</x:v>
      </x:c>
      <x:c r="I226" s="14" t="n">
        <x:v>3</x:v>
      </x:c>
      <x:c r="J226" s="14" t="n">
        <x:v>10</x:v>
      </x:c>
      <x:c r="K226" s="14" t="n">
        <x:v>7</x:v>
      </x:c>
      <x:c r="L226" s="15" t="n">
        <x:f>IF(J226=0,"해당 없음",K226/J226)</x:f>
        <x:v>0.7</x:v>
      </x:c>
      <x:c r="M226" s="14" t="n">
        <x:v>7</x:v>
      </x:c>
      <x:c r="N226" s="14" t="n">
        <x:v>6</x:v>
      </x:c>
      <x:c r="O226" s="15" t="n">
        <x:f>IF(M226=0,"해당 없음",N226/M226)</x:f>
        <x:v>0.8571428571428571</x:v>
      </x:c>
      <x:c r="P226" s="14" t="n">
        <x:v>106</x:v>
      </x:c>
    </x:row>
    <x:row r="227" ht="22" customHeight="1">
      <x:c r="A227" s="14" t="n">
        <x:v>111</x:v>
      </x:c>
      <x:c r="B227" s="14" t="n">
        <x:v>3</x:v>
      </x:c>
      <x:c r="C227" s="14" t="n">
        <x:v>76015</x:v>
      </x:c>
      <x:c r="D227" s="2" t="str">
        <x:v>NAVY</x:v>
      </x:c>
      <x:c r="E227" s="2" t="str">
        <x:v>규칙형</x:v>
      </x:c>
      <x:c r="F227" s="2" t="str">
        <x:v>80만</x:v>
      </x:c>
      <x:c r="G227" s="2" t="str">
        <x:v>패</x:v>
      </x:c>
      <x:c r="H227" s="14" t="n">
        <x:v>3</x:v>
      </x:c>
      <x:c r="I227" s="14" t="n">
        <x:v>7</x:v>
      </x:c>
      <x:c r="J227" s="14" t="n">
        <x:v>8</x:v>
      </x:c>
      <x:c r="K227" s="14" t="n">
        <x:v>3</x:v>
      </x:c>
      <x:c r="L227" s="15" t="n">
        <x:f>IF(J227=0,"해당 없음",K227/J227)</x:f>
        <x:v>0.375</x:v>
      </x:c>
      <x:c r="M227" s="14" t="n">
        <x:v>8</x:v>
      </x:c>
      <x:c r="N227" s="14" t="n">
        <x:v>5</x:v>
      </x:c>
      <x:c r="O227" s="15" t="n">
        <x:f>IF(M227=0,"해당 없음",N227/M227)</x:f>
        <x:v>0.625</x:v>
      </x:c>
      <x:c r="P227" s="14" t="n">
        <x:v>105</x:v>
      </x:c>
    </x:row>
    <x:row r="228" ht="22" customHeight="1">
      <x:c r="A228" s="14" t="n">
        <x:v>112</x:v>
      </x:c>
      <x:c r="B228" s="14" t="n">
        <x:v>3</x:v>
      </x:c>
      <x:c r="C228" s="14" t="n">
        <x:v>76015</x:v>
      </x:c>
      <x:c r="D228" s="2" t="str">
        <x:v>RED</x:v>
      </x:c>
      <x:c r="E228" s="2" t="str">
        <x:v>규칙형</x:v>
      </x:c>
      <x:c r="F228" s="2" t="str">
        <x:v>80만</x:v>
      </x:c>
      <x:c r="G228" s="2" t="str">
        <x:v>무</x:v>
      </x:c>
      <x:c r="H228" s="14" t="n">
        <x:v>4</x:v>
      </x:c>
      <x:c r="I228" s="14" t="n">
        <x:v>4</x:v>
      </x:c>
      <x:c r="J228" s="14" t="n">
        <x:v>6</x:v>
      </x:c>
      <x:c r="K228" s="14" t="n">
        <x:v>4</x:v>
      </x:c>
      <x:c r="L228" s="15" t="n">
        <x:f>IF(J228=0,"해당 없음",K228/J228)</x:f>
        <x:v>0.6666666666666666</x:v>
      </x:c>
      <x:c r="M228" s="14" t="n">
        <x:v>6</x:v>
      </x:c>
      <x:c r="N228" s="14" t="n">
        <x:v>3</x:v>
      </x:c>
      <x:c r="O228" s="15" t="n">
        <x:f>IF(M228=0,"해당 없음",N228/M228)</x:f>
        <x:v>0.5</x:v>
      </x:c>
      <x:c r="P228" s="14" t="n">
        <x:v>105</x:v>
      </x:c>
    </x:row>
    <x:row r="229" ht="22" customHeight="1">
      <x:c r="A229" s="14" t="n">
        <x:v>112</x:v>
      </x:c>
      <x:c r="B229" s="14" t="n">
        <x:v>3</x:v>
      </x:c>
      <x:c r="C229" s="14" t="n">
        <x:v>76015</x:v>
      </x:c>
      <x:c r="D229" s="2" t="str">
        <x:v>NAVY</x:v>
      </x:c>
      <x:c r="E229" s="2" t="str">
        <x:v>80만</x:v>
      </x:c>
      <x:c r="F229" s="2" t="str">
        <x:v>규칙형</x:v>
      </x:c>
      <x:c r="G229" s="2" t="str">
        <x:v>무</x:v>
      </x:c>
      <x:c r="H229" s="14" t="n">
        <x:v>4</x:v>
      </x:c>
      <x:c r="I229" s="14" t="n">
        <x:v>4</x:v>
      </x:c>
      <x:c r="J229" s="14" t="n">
        <x:v>10</x:v>
      </x:c>
      <x:c r="K229" s="14" t="n">
        <x:v>4</x:v>
      </x:c>
      <x:c r="L229" s="15" t="n">
        <x:f>IF(J229=0,"해당 없음",K229/J229)</x:f>
        <x:v>0.4</x:v>
      </x:c>
      <x:c r="M229" s="14" t="n">
        <x:v>6</x:v>
      </x:c>
      <x:c r="N229" s="14" t="n">
        <x:v>5</x:v>
      </x:c>
      <x:c r="O229" s="15" t="n">
        <x:f>IF(M229=0,"해당 없음",N229/M229)</x:f>
        <x:v>0.8333333333333334</x:v>
      </x:c>
      <x:c r="P229" s="14" t="n">
        <x:v>106</x:v>
      </x:c>
    </x:row>
    <x:row r="230" ht="22" customHeight="1">
      <x:c r="A230" s="14" t="n">
        <x:v>113</x:v>
      </x:c>
      <x:c r="B230" s="14" t="n">
        <x:v>3</x:v>
      </x:c>
      <x:c r="C230" s="14" t="n">
        <x:v>76016</x:v>
      </x:c>
      <x:c r="D230" s="2" t="str">
        <x:v>RED</x:v>
      </x:c>
      <x:c r="E230" s="2" t="str">
        <x:v>80만</x:v>
      </x:c>
      <x:c r="F230" s="2" t="str">
        <x:v>규칙형</x:v>
      </x:c>
      <x:c r="G230" s="2" t="str">
        <x:v>승</x:v>
      </x:c>
      <x:c r="H230" s="14" t="n">
        <x:v>5</x:v>
      </x:c>
      <x:c r="I230" s="14" t="n">
        <x:v>2</x:v>
      </x:c>
      <x:c r="J230" s="14" t="n">
        <x:v>10</x:v>
      </x:c>
      <x:c r="K230" s="14" t="n">
        <x:v>5</x:v>
      </x:c>
      <x:c r="L230" s="15" t="n">
        <x:f>IF(J230=0,"해당 없음",K230/J230)</x:f>
        <x:v>0.5</x:v>
      </x:c>
      <x:c r="M230" s="14" t="n">
        <x:v>8</x:v>
      </x:c>
      <x:c r="N230" s="14" t="n">
        <x:v>7</x:v>
      </x:c>
      <x:c r="O230" s="15" t="n">
        <x:f>IF(M230=0,"해당 없음",N230/M230)</x:f>
        <x:v>0.875</x:v>
      </x:c>
      <x:c r="P230" s="14" t="n">
        <x:v>104</x:v>
      </x:c>
    </x:row>
    <x:row r="231" ht="22" customHeight="1">
      <x:c r="A231" s="14" t="n">
        <x:v>113</x:v>
      </x:c>
      <x:c r="B231" s="14" t="n">
        <x:v>3</x:v>
      </x:c>
      <x:c r="C231" s="14" t="n">
        <x:v>76016</x:v>
      </x:c>
      <x:c r="D231" s="2" t="str">
        <x:v>NAVY</x:v>
      </x:c>
      <x:c r="E231" s="2" t="str">
        <x:v>규칙형</x:v>
      </x:c>
      <x:c r="F231" s="2" t="str">
        <x:v>80만</x:v>
      </x:c>
      <x:c r="G231" s="2" t="str">
        <x:v>패</x:v>
      </x:c>
      <x:c r="H231" s="14" t="n">
        <x:v>2</x:v>
      </x:c>
      <x:c r="I231" s="14" t="n">
        <x:v>5</x:v>
      </x:c>
      <x:c r="J231" s="14" t="n">
        <x:v>6</x:v>
      </x:c>
      <x:c r="K231" s="14" t="n">
        <x:v>2</x:v>
      </x:c>
      <x:c r="L231" s="15" t="n">
        <x:f>IF(J231=0,"해당 없음",K231/J231)</x:f>
        <x:v>0.3333333333333333</x:v>
      </x:c>
      <x:c r="M231" s="14" t="n">
        <x:v>9</x:v>
      </x:c>
      <x:c r="N231" s="14" t="n">
        <x:v>7</x:v>
      </x:c>
      <x:c r="O231" s="15" t="n">
        <x:f>IF(M231=0,"해당 없음",N231/M231)</x:f>
        <x:v>0.7777777777777778</x:v>
      </x:c>
      <x:c r="P231" s="14" t="n">
        <x:v>104</x:v>
      </x:c>
    </x:row>
    <x:row r="232" ht="22" customHeight="1">
      <x:c r="A232" s="14" t="n">
        <x:v>114</x:v>
      </x:c>
      <x:c r="B232" s="14" t="n">
        <x:v>3</x:v>
      </x:c>
      <x:c r="C232" s="14" t="n">
        <x:v>76016</x:v>
      </x:c>
      <x:c r="D232" s="2" t="str">
        <x:v>RED</x:v>
      </x:c>
      <x:c r="E232" s="2" t="str">
        <x:v>규칙형</x:v>
      </x:c>
      <x:c r="F232" s="2" t="str">
        <x:v>80만</x:v>
      </x:c>
      <x:c r="G232" s="2" t="str">
        <x:v>무</x:v>
      </x:c>
      <x:c r="H232" s="14" t="n">
        <x:v>3</x:v>
      </x:c>
      <x:c r="I232" s="14" t="n">
        <x:v>3</x:v>
      </x:c>
      <x:c r="J232" s="14" t="n">
        <x:v>10</x:v>
      </x:c>
      <x:c r="K232" s="14" t="n">
        <x:v>3</x:v>
      </x:c>
      <x:c r="L232" s="15" t="n">
        <x:f>IF(J232=0,"해당 없음",K232/J232)</x:f>
        <x:v>0.3</x:v>
      </x:c>
      <x:c r="M232" s="14" t="n">
        <x:v>8</x:v>
      </x:c>
      <x:c r="N232" s="14" t="n">
        <x:v>6</x:v>
      </x:c>
      <x:c r="O232" s="15" t="n">
        <x:f>IF(M232=0,"해당 없음",N232/M232)</x:f>
        <x:v>0.75</x:v>
      </x:c>
      <x:c r="P232" s="14" t="n">
        <x:v>103</x:v>
      </x:c>
    </x:row>
    <x:row r="233" ht="22" customHeight="1">
      <x:c r="A233" s="14" t="n">
        <x:v>114</x:v>
      </x:c>
      <x:c r="B233" s="14" t="n">
        <x:v>3</x:v>
      </x:c>
      <x:c r="C233" s="14" t="n">
        <x:v>76016</x:v>
      </x:c>
      <x:c r="D233" s="2" t="str">
        <x:v>NAVY</x:v>
      </x:c>
      <x:c r="E233" s="2" t="str">
        <x:v>80만</x:v>
      </x:c>
      <x:c r="F233" s="2" t="str">
        <x:v>규칙형</x:v>
      </x:c>
      <x:c r="G233" s="2" t="str">
        <x:v>무</x:v>
      </x:c>
      <x:c r="H233" s="14" t="n">
        <x:v>3</x:v>
      </x:c>
      <x:c r="I233" s="14" t="n">
        <x:v>3</x:v>
      </x:c>
      <x:c r="J233" s="14" t="n">
        <x:v>6</x:v>
      </x:c>
      <x:c r="K233" s="14" t="n">
        <x:v>3</x:v>
      </x:c>
      <x:c r="L233" s="15" t="n">
        <x:f>IF(J233=0,"해당 없음",K233/J233)</x:f>
        <x:v>0.5</x:v>
      </x:c>
      <x:c r="M233" s="14" t="n">
        <x:v>11</x:v>
      </x:c>
      <x:c r="N233" s="14" t="n">
        <x:v>9</x:v>
      </x:c>
      <x:c r="O233" s="15" t="n">
        <x:f>IF(M233=0,"해당 없음",N233/M233)</x:f>
        <x:v>0.8181818181818182</x:v>
      </x:c>
      <x:c r="P233" s="14" t="n">
        <x:v>105</x:v>
      </x:c>
    </x:row>
    <x:row r="234" ht="22" customHeight="1">
      <x:c r="A234" s="14" t="n">
        <x:v>115</x:v>
      </x:c>
      <x:c r="B234" s="14" t="n">
        <x:v>3</x:v>
      </x:c>
      <x:c r="C234" s="14" t="n">
        <x:v>76017</x:v>
      </x:c>
      <x:c r="D234" s="2" t="str">
        <x:v>RED</x:v>
      </x:c>
      <x:c r="E234" s="2" t="str">
        <x:v>80만</x:v>
      </x:c>
      <x:c r="F234" s="2" t="str">
        <x:v>규칙형</x:v>
      </x:c>
      <x:c r="G234" s="2" t="str">
        <x:v>패</x:v>
      </x:c>
      <x:c r="H234" s="14" t="n">
        <x:v>4</x:v>
      </x:c>
      <x:c r="I234" s="14" t="n">
        <x:v>5</x:v>
      </x:c>
      <x:c r="J234" s="14" t="n">
        <x:v>8</x:v>
      </x:c>
      <x:c r="K234" s="14" t="n">
        <x:v>4</x:v>
      </x:c>
      <x:c r="L234" s="15" t="n">
        <x:f>IF(J234=0,"해당 없음",K234/J234)</x:f>
        <x:v>0.5</x:v>
      </x:c>
      <x:c r="M234" s="14" t="n">
        <x:v>6</x:v>
      </x:c>
      <x:c r="N234" s="14" t="n">
        <x:v>5</x:v>
      </x:c>
      <x:c r="O234" s="15" t="n">
        <x:f>IF(M234=0,"해당 없음",N234/M234)</x:f>
        <x:v>0.8333333333333334</x:v>
      </x:c>
      <x:c r="P234" s="14" t="n">
        <x:v>104</x:v>
      </x:c>
    </x:row>
    <x:row r="235" ht="22" customHeight="1">
      <x:c r="A235" s="14" t="n">
        <x:v>115</x:v>
      </x:c>
      <x:c r="B235" s="14" t="n">
        <x:v>3</x:v>
      </x:c>
      <x:c r="C235" s="14" t="n">
        <x:v>76017</x:v>
      </x:c>
      <x:c r="D235" s="2" t="str">
        <x:v>NAVY</x:v>
      </x:c>
      <x:c r="E235" s="2" t="str">
        <x:v>규칙형</x:v>
      </x:c>
      <x:c r="F235" s="2" t="str">
        <x:v>80만</x:v>
      </x:c>
      <x:c r="G235" s="2" t="str">
        <x:v>승</x:v>
      </x:c>
      <x:c r="H235" s="14" t="n">
        <x:v>5</x:v>
      </x:c>
      <x:c r="I235" s="14" t="n">
        <x:v>4</x:v>
      </x:c>
      <x:c r="J235" s="14" t="n">
        <x:v>16</x:v>
      </x:c>
      <x:c r="K235" s="14" t="n">
        <x:v>5</x:v>
      </x:c>
      <x:c r="L235" s="15" t="n">
        <x:f>IF(J235=0,"해당 없음",K235/J235)</x:f>
        <x:v>0.3125</x:v>
      </x:c>
      <x:c r="M235" s="14" t="n">
        <x:v>8</x:v>
      </x:c>
      <x:c r="N235" s="14" t="n">
        <x:v>7</x:v>
      </x:c>
      <x:c r="O235" s="15" t="n">
        <x:f>IF(M235=0,"해당 없음",N235/M235)</x:f>
        <x:v>0.875</x:v>
      </x:c>
      <x:c r="P235" s="14" t="n">
        <x:v>103</x:v>
      </x:c>
    </x:row>
    <x:row r="236" ht="22" customHeight="1">
      <x:c r="A236" s="14" t="n">
        <x:v>116</x:v>
      </x:c>
      <x:c r="B236" s="14" t="n">
        <x:v>3</x:v>
      </x:c>
      <x:c r="C236" s="14" t="n">
        <x:v>76017</x:v>
      </x:c>
      <x:c r="D236" s="2" t="str">
        <x:v>RED</x:v>
      </x:c>
      <x:c r="E236" s="2" t="str">
        <x:v>규칙형</x:v>
      </x:c>
      <x:c r="F236" s="2" t="str">
        <x:v>80만</x:v>
      </x:c>
      <x:c r="G236" s="2" t="str">
        <x:v>패</x:v>
      </x:c>
      <x:c r="H236" s="14" t="n">
        <x:v>0</x:v>
      </x:c>
      <x:c r="I236" s="14" t="n">
        <x:v>5</x:v>
      </x:c>
      <x:c r="J236" s="14" t="n">
        <x:v>5</x:v>
      </x:c>
      <x:c r="K236" s="14" t="n">
        <x:v>0</x:v>
      </x:c>
      <x:c r="L236" s="15" t="n">
        <x:f>IF(J236=0,"해당 없음",K236/J236)</x:f>
        <x:v>0</x:v>
      </x:c>
      <x:c r="M236" s="14" t="n">
        <x:v>7</x:v>
      </x:c>
      <x:c r="N236" s="14" t="n">
        <x:v>6</x:v>
      </x:c>
      <x:c r="O236" s="15" t="n">
        <x:f>IF(M236=0,"해당 없음",N236/M236)</x:f>
        <x:v>0.8571428571428571</x:v>
      </x:c>
      <x:c r="P236" s="14" t="n">
        <x:v>102</x:v>
      </x:c>
    </x:row>
    <x:row r="237" ht="22" customHeight="1">
      <x:c r="A237" s="14" t="n">
        <x:v>116</x:v>
      </x:c>
      <x:c r="B237" s="14" t="n">
        <x:v>3</x:v>
      </x:c>
      <x:c r="C237" s="14" t="n">
        <x:v>76017</x:v>
      </x:c>
      <x:c r="D237" s="2" t="str">
        <x:v>NAVY</x:v>
      </x:c>
      <x:c r="E237" s="2" t="str">
        <x:v>80만</x:v>
      </x:c>
      <x:c r="F237" s="2" t="str">
        <x:v>규칙형</x:v>
      </x:c>
      <x:c r="G237" s="2" t="str">
        <x:v>승</x:v>
      </x:c>
      <x:c r="H237" s="14" t="n">
        <x:v>5</x:v>
      </x:c>
      <x:c r="I237" s="14" t="n">
        <x:v>0</x:v>
      </x:c>
      <x:c r="J237" s="14" t="n">
        <x:v>11</x:v>
      </x:c>
      <x:c r="K237" s="14" t="n">
        <x:v>5</x:v>
      </x:c>
      <x:c r="L237" s="15" t="n">
        <x:f>IF(J237=0,"해당 없음",K237/J237)</x:f>
        <x:v>0.45454545454545453</x:v>
      </x:c>
      <x:c r="M237" s="14" t="n">
        <x:v>11</x:v>
      </x:c>
      <x:c r="N237" s="14" t="n">
        <x:v>8</x:v>
      </x:c>
      <x:c r="O237" s="15" t="n">
        <x:f>IF(M237=0,"해당 없음",N237/M237)</x:f>
        <x:v>0.7272727272727273</x:v>
      </x:c>
      <x:c r="P237" s="14" t="n">
        <x:v>102</x:v>
      </x:c>
    </x:row>
    <x:row r="238" ht="22" customHeight="1">
      <x:c r="A238" s="14" t="n">
        <x:v>117</x:v>
      </x:c>
      <x:c r="B238" s="14" t="n">
        <x:v>3</x:v>
      </x:c>
      <x:c r="C238" s="14" t="n">
        <x:v>76018</x:v>
      </x:c>
      <x:c r="D238" s="2" t="str">
        <x:v>RED</x:v>
      </x:c>
      <x:c r="E238" s="2" t="str">
        <x:v>80만</x:v>
      </x:c>
      <x:c r="F238" s="2" t="str">
        <x:v>규칙형</x:v>
      </x:c>
      <x:c r="G238" s="2" t="str">
        <x:v>패</x:v>
      </x:c>
      <x:c r="H238" s="14" t="n">
        <x:v>3</x:v>
      </x:c>
      <x:c r="I238" s="14" t="n">
        <x:v>5</x:v>
      </x:c>
      <x:c r="J238" s="14" t="n">
        <x:v>7</x:v>
      </x:c>
      <x:c r="K238" s="14" t="n">
        <x:v>3</x:v>
      </x:c>
      <x:c r="L238" s="15" t="n">
        <x:f>IF(J238=0,"해당 없음",K238/J238)</x:f>
        <x:v>0.42857142857142855</x:v>
      </x:c>
      <x:c r="M238" s="14" t="n">
        <x:v>2</x:v>
      </x:c>
      <x:c r="N238" s="14" t="n">
        <x:v>1</x:v>
      </x:c>
      <x:c r="O238" s="15" t="n">
        <x:f>IF(M238=0,"해당 없음",N238/M238)</x:f>
        <x:v>0.5</x:v>
      </x:c>
      <x:c r="P238" s="14" t="n">
        <x:v>103</x:v>
      </x:c>
    </x:row>
    <x:row r="239" ht="22" customHeight="1">
      <x:c r="A239" s="14" t="n">
        <x:v>117</x:v>
      </x:c>
      <x:c r="B239" s="14" t="n">
        <x:v>3</x:v>
      </x:c>
      <x:c r="C239" s="14" t="n">
        <x:v>76018</x:v>
      </x:c>
      <x:c r="D239" s="2" t="str">
        <x:v>NAVY</x:v>
      </x:c>
      <x:c r="E239" s="2" t="str">
        <x:v>규칙형</x:v>
      </x:c>
      <x:c r="F239" s="2" t="str">
        <x:v>80만</x:v>
      </x:c>
      <x:c r="G239" s="2" t="str">
        <x:v>승</x:v>
      </x:c>
      <x:c r="H239" s="14" t="n">
        <x:v>5</x:v>
      </x:c>
      <x:c r="I239" s="14" t="n">
        <x:v>3</x:v>
      </x:c>
      <x:c r="J239" s="14" t="n">
        <x:v>11</x:v>
      </x:c>
      <x:c r="K239" s="14" t="n">
        <x:v>5</x:v>
      </x:c>
      <x:c r="L239" s="15" t="n">
        <x:f>IF(J239=0,"해당 없음",K239/J239)</x:f>
        <x:v>0.45454545454545453</x:v>
      </x:c>
      <x:c r="M239" s="14" t="n">
        <x:v>11</x:v>
      </x:c>
      <x:c r="N239" s="14" t="n">
        <x:v>6</x:v>
      </x:c>
      <x:c r="O239" s="15" t="n">
        <x:f>IF(M239=0,"해당 없음",N239/M239)</x:f>
        <x:v>0.5454545454545454</x:v>
      </x:c>
      <x:c r="P239" s="14" t="n">
        <x:v>105</x:v>
      </x:c>
    </x:row>
    <x:row r="240" ht="22" customHeight="1">
      <x:c r="A240" s="14" t="n">
        <x:v>118</x:v>
      </x:c>
      <x:c r="B240" s="14" t="n">
        <x:v>3</x:v>
      </x:c>
      <x:c r="C240" s="14" t="n">
        <x:v>76018</x:v>
      </x:c>
      <x:c r="D240" s="2" t="str">
        <x:v>RED</x:v>
      </x:c>
      <x:c r="E240" s="2" t="str">
        <x:v>규칙형</x:v>
      </x:c>
      <x:c r="F240" s="2" t="str">
        <x:v>80만</x:v>
      </x:c>
      <x:c r="G240" s="2" t="str">
        <x:v>승</x:v>
      </x:c>
      <x:c r="H240" s="14" t="n">
        <x:v>5</x:v>
      </x:c>
      <x:c r="I240" s="14" t="n">
        <x:v>4</x:v>
      </x:c>
      <x:c r="J240" s="14" t="n">
        <x:v>8</x:v>
      </x:c>
      <x:c r="K240" s="14" t="n">
        <x:v>5</x:v>
      </x:c>
      <x:c r="L240" s="15" t="n">
        <x:f>IF(J240=0,"해당 없음",K240/J240)</x:f>
        <x:v>0.625</x:v>
      </x:c>
      <x:c r="M240" s="14" t="n">
        <x:v>4</x:v>
      </x:c>
      <x:c r="N240" s="14" t="n">
        <x:v>4</x:v>
      </x:c>
      <x:c r="O240" s="15" t="n">
        <x:f>IF(M240=0,"해당 없음",N240/M240)</x:f>
        <x:v>1</x:v>
      </x:c>
      <x:c r="P240" s="14" t="n">
        <x:v>105</x:v>
      </x:c>
    </x:row>
    <x:row r="241" ht="22" customHeight="1">
      <x:c r="A241" s="14" t="n">
        <x:v>118</x:v>
      </x:c>
      <x:c r="B241" s="14" t="n">
        <x:v>3</x:v>
      </x:c>
      <x:c r="C241" s="14" t="n">
        <x:v>76018</x:v>
      </x:c>
      <x:c r="D241" s="2" t="str">
        <x:v>NAVY</x:v>
      </x:c>
      <x:c r="E241" s="2" t="str">
        <x:v>80만</x:v>
      </x:c>
      <x:c r="F241" s="2" t="str">
        <x:v>규칙형</x:v>
      </x:c>
      <x:c r="G241" s="2" t="str">
        <x:v>패</x:v>
      </x:c>
      <x:c r="H241" s="14" t="n">
        <x:v>4</x:v>
      </x:c>
      <x:c r="I241" s="14" t="n">
        <x:v>5</x:v>
      </x:c>
      <x:c r="J241" s="14" t="n">
        <x:v>5</x:v>
      </x:c>
      <x:c r="K241" s="14" t="n">
        <x:v>4</x:v>
      </x:c>
      <x:c r="L241" s="15" t="n">
        <x:f>IF(J241=0,"해당 없음",K241/J241)</x:f>
        <x:v>0.8</x:v>
      </x:c>
      <x:c r="M241" s="14" t="n">
        <x:v>7</x:v>
      </x:c>
      <x:c r="N241" s="14" t="n">
        <x:v>7</x:v>
      </x:c>
      <x:c r="O241" s="15" t="n">
        <x:f>IF(M241=0,"해당 없음",N241/M241)</x:f>
        <x:v>1</x:v>
      </x:c>
      <x:c r="P241" s="14" t="n">
        <x:v>105</x:v>
      </x:c>
    </x:row>
    <x:row r="242" ht="22" customHeight="1">
      <x:c r="A242" s="14" t="n">
        <x:v>119</x:v>
      </x:c>
      <x:c r="B242" s="14" t="n">
        <x:v>3</x:v>
      </x:c>
      <x:c r="C242" s="14" t="n">
        <x:v>76019</x:v>
      </x:c>
      <x:c r="D242" s="2" t="str">
        <x:v>RED</x:v>
      </x:c>
      <x:c r="E242" s="2" t="str">
        <x:v>80만</x:v>
      </x:c>
      <x:c r="F242" s="2" t="str">
        <x:v>규칙형</x:v>
      </x:c>
      <x:c r="G242" s="2" t="str">
        <x:v>패</x:v>
      </x:c>
      <x:c r="H242" s="14" t="n">
        <x:v>2</x:v>
      </x:c>
      <x:c r="I242" s="14" t="n">
        <x:v>5</x:v>
      </x:c>
      <x:c r="J242" s="14" t="n">
        <x:v>5</x:v>
      </x:c>
      <x:c r="K242" s="14" t="n">
        <x:v>2</x:v>
      </x:c>
      <x:c r="L242" s="15" t="n">
        <x:f>IF(J242=0,"해당 없음",K242/J242)</x:f>
        <x:v>0.4</x:v>
      </x:c>
      <x:c r="M242" s="14" t="n">
        <x:v>5</x:v>
      </x:c>
      <x:c r="N242" s="14" t="n">
        <x:v>4</x:v>
      </x:c>
      <x:c r="O242" s="15" t="n">
        <x:f>IF(M242=0,"해당 없음",N242/M242)</x:f>
        <x:v>0.8</x:v>
      </x:c>
      <x:c r="P242" s="14" t="n">
        <x:v>103</x:v>
      </x:c>
    </x:row>
    <x:row r="243" ht="22" customHeight="1">
      <x:c r="A243" s="14" t="n">
        <x:v>119</x:v>
      </x:c>
      <x:c r="B243" s="14" t="n">
        <x:v>3</x:v>
      </x:c>
      <x:c r="C243" s="14" t="n">
        <x:v>76019</x:v>
      </x:c>
      <x:c r="D243" s="2" t="str">
        <x:v>NAVY</x:v>
      </x:c>
      <x:c r="E243" s="2" t="str">
        <x:v>규칙형</x:v>
      </x:c>
      <x:c r="F243" s="2" t="str">
        <x:v>80만</x:v>
      </x:c>
      <x:c r="G243" s="2" t="str">
        <x:v>승</x:v>
      </x:c>
      <x:c r="H243" s="14" t="n">
        <x:v>5</x:v>
      </x:c>
      <x:c r="I243" s="14" t="n">
        <x:v>2</x:v>
      </x:c>
      <x:c r="J243" s="14" t="n">
        <x:v>9</x:v>
      </x:c>
      <x:c r="K243" s="14" t="n">
        <x:v>5</x:v>
      </x:c>
      <x:c r="L243" s="15" t="n">
        <x:f>IF(J243=0,"해당 없음",K243/J243)</x:f>
        <x:v>0.5555555555555556</x:v>
      </x:c>
      <x:c r="M243" s="14" t="n">
        <x:v>12</x:v>
      </x:c>
      <x:c r="N243" s="14" t="n">
        <x:v>10</x:v>
      </x:c>
      <x:c r="O243" s="15" t="n">
        <x:f>IF(M243=0,"해당 없음",N243/M243)</x:f>
        <x:v>0.8333333333333334</x:v>
      </x:c>
      <x:c r="P243" s="14" t="n">
        <x:v>105</x:v>
      </x:c>
    </x:row>
    <x:row r="244" ht="22" customHeight="1">
      <x:c r="A244" s="14" t="n">
        <x:v>120</x:v>
      </x:c>
      <x:c r="B244" s="14" t="n">
        <x:v>3</x:v>
      </x:c>
      <x:c r="C244" s="14" t="n">
        <x:v>76019</x:v>
      </x:c>
      <x:c r="D244" s="2" t="str">
        <x:v>RED</x:v>
      </x:c>
      <x:c r="E244" s="2" t="str">
        <x:v>규칙형</x:v>
      </x:c>
      <x:c r="F244" s="2" t="str">
        <x:v>80만</x:v>
      </x:c>
      <x:c r="G244" s="2" t="str">
        <x:v>패</x:v>
      </x:c>
      <x:c r="H244" s="14" t="n">
        <x:v>2</x:v>
      </x:c>
      <x:c r="I244" s="14" t="n">
        <x:v>5</x:v>
      </x:c>
      <x:c r="J244" s="14" t="n">
        <x:v>3</x:v>
      </x:c>
      <x:c r="K244" s="14" t="n">
        <x:v>2</x:v>
      </x:c>
      <x:c r="L244" s="15" t="n">
        <x:f>IF(J244=0,"해당 없음",K244/J244)</x:f>
        <x:v>0.6666666666666666</x:v>
      </x:c>
      <x:c r="M244" s="14" t="n">
        <x:v>8</x:v>
      </x:c>
      <x:c r="N244" s="14" t="n">
        <x:v>4</x:v>
      </x:c>
      <x:c r="O244" s="15" t="n">
        <x:f>IF(M244=0,"해당 없음",N244/M244)</x:f>
        <x:v>0.5</x:v>
      </x:c>
      <x:c r="P244" s="14" t="n">
        <x:v>103</x:v>
      </x:c>
    </x:row>
    <x:row r="245" ht="22" customHeight="1">
      <x:c r="A245" s="14" t="n">
        <x:v>120</x:v>
      </x:c>
      <x:c r="B245" s="14" t="n">
        <x:v>3</x:v>
      </x:c>
      <x:c r="C245" s="14" t="n">
        <x:v>76019</x:v>
      </x:c>
      <x:c r="D245" s="2" t="str">
        <x:v>NAVY</x:v>
      </x:c>
      <x:c r="E245" s="2" t="str">
        <x:v>80만</x:v>
      </x:c>
      <x:c r="F245" s="2" t="str">
        <x:v>규칙형</x:v>
      </x:c>
      <x:c r="G245" s="2" t="str">
        <x:v>승</x:v>
      </x:c>
      <x:c r="H245" s="14" t="n">
        <x:v>5</x:v>
      </x:c>
      <x:c r="I245" s="14" t="n">
        <x:v>2</x:v>
      </x:c>
      <x:c r="J245" s="14" t="n">
        <x:v>10</x:v>
      </x:c>
      <x:c r="K245" s="14" t="n">
        <x:v>5</x:v>
      </x:c>
      <x:c r="L245" s="15" t="n">
        <x:f>IF(J245=0,"해당 없음",K245/J245)</x:f>
        <x:v>0.5</x:v>
      </x:c>
      <x:c r="M245" s="14" t="n">
        <x:v>6</x:v>
      </x:c>
      <x:c r="N245" s="14" t="n">
        <x:v>6</x:v>
      </x:c>
      <x:c r="O245" s="15" t="n">
        <x:f>IF(M245=0,"해당 없음",N245/M245)</x:f>
        <x:v>1</x:v>
      </x:c>
      <x:c r="P245" s="14" t="n">
        <x:v>103</x:v>
      </x:c>
    </x:row>
    <x:row r="246" ht="22" customHeight="1">
      <x:c r="A246" s="14" t="n">
        <x:v>121</x:v>
      </x:c>
      <x:c r="B246" s="14" t="n">
        <x:v>4</x:v>
      </x:c>
      <x:c r="C246" s="14" t="n">
        <x:v>76000</x:v>
      </x:c>
      <x:c r="D246" s="2" t="str">
        <x:v>RED</x:v>
      </x:c>
      <x:c r="E246" s="2" t="str">
        <x:v>120만</x:v>
      </x:c>
      <x:c r="F246" s="2" t="str">
        <x:v>규칙형</x:v>
      </x:c>
      <x:c r="G246" s="2" t="str">
        <x:v>승</x:v>
      </x:c>
      <x:c r="H246" s="14" t="n">
        <x:v>4</x:v>
      </x:c>
      <x:c r="I246" s="14" t="n">
        <x:v>3</x:v>
      </x:c>
      <x:c r="J246" s="14" t="n">
        <x:v>12</x:v>
      </x:c>
      <x:c r="K246" s="14" t="n">
        <x:v>4</x:v>
      </x:c>
      <x:c r="L246" s="15" t="n">
        <x:f>IF(J246=0,"해당 없음",K246/J246)</x:f>
        <x:v>0.3333333333333333</x:v>
      </x:c>
      <x:c r="M246" s="14" t="n">
        <x:v>4</x:v>
      </x:c>
      <x:c r="N246" s="14" t="n">
        <x:v>4</x:v>
      </x:c>
      <x:c r="O246" s="15" t="n">
        <x:f>IF(M246=0,"해당 없음",N246/M246)</x:f>
        <x:v>1</x:v>
      </x:c>
      <x:c r="P246" s="14" t="n">
        <x:v>103</x:v>
      </x:c>
    </x:row>
    <x:row r="247" ht="22" customHeight="1">
      <x:c r="A247" s="14" t="n">
        <x:v>121</x:v>
      </x:c>
      <x:c r="B247" s="14" t="n">
        <x:v>4</x:v>
      </x:c>
      <x:c r="C247" s="14" t="n">
        <x:v>76000</x:v>
      </x:c>
      <x:c r="D247" s="2" t="str">
        <x:v>NAVY</x:v>
      </x:c>
      <x:c r="E247" s="2" t="str">
        <x:v>규칙형</x:v>
      </x:c>
      <x:c r="F247" s="2" t="str">
        <x:v>120만</x:v>
      </x:c>
      <x:c r="G247" s="2" t="str">
        <x:v>패</x:v>
      </x:c>
      <x:c r="H247" s="14" t="n">
        <x:v>3</x:v>
      </x:c>
      <x:c r="I247" s="14" t="n">
        <x:v>4</x:v>
      </x:c>
      <x:c r="J247" s="14" t="n">
        <x:v>4</x:v>
      </x:c>
      <x:c r="K247" s="14" t="n">
        <x:v>3</x:v>
      </x:c>
      <x:c r="L247" s="15" t="n">
        <x:f>IF(J247=0,"해당 없음",K247/J247)</x:f>
        <x:v>0.75</x:v>
      </x:c>
      <x:c r="M247" s="14" t="n">
        <x:v>13</x:v>
      </x:c>
      <x:c r="N247" s="14" t="n">
        <x:v>12</x:v>
      </x:c>
      <x:c r="O247" s="15" t="n">
        <x:f>IF(M247=0,"해당 없음",N247/M247)</x:f>
        <x:v>0.9230769230769231</x:v>
      </x:c>
      <x:c r="P247" s="14" t="n">
        <x:v>103</x:v>
      </x:c>
    </x:row>
    <x:row r="248" ht="22" customHeight="1">
      <x:c r="A248" s="14" t="n">
        <x:v>122</x:v>
      </x:c>
      <x:c r="B248" s="14" t="n">
        <x:v>4</x:v>
      </x:c>
      <x:c r="C248" s="14" t="n">
        <x:v>76000</x:v>
      </x:c>
      <x:c r="D248" s="2" t="str">
        <x:v>RED</x:v>
      </x:c>
      <x:c r="E248" s="2" t="str">
        <x:v>규칙형</x:v>
      </x:c>
      <x:c r="F248" s="2" t="str">
        <x:v>120만</x:v>
      </x:c>
      <x:c r="G248" s="2" t="str">
        <x:v>패</x:v>
      </x:c>
      <x:c r="H248" s="14" t="n">
        <x:v>2</x:v>
      </x:c>
      <x:c r="I248" s="14" t="n">
        <x:v>5</x:v>
      </x:c>
      <x:c r="J248" s="14" t="n">
        <x:v>6</x:v>
      </x:c>
      <x:c r="K248" s="14" t="n">
        <x:v>2</x:v>
      </x:c>
      <x:c r="L248" s="15" t="n">
        <x:f>IF(J248=0,"해당 없음",K248/J248)</x:f>
        <x:v>0.3333333333333333</x:v>
      </x:c>
      <x:c r="M248" s="14" t="n">
        <x:v>9</x:v>
      </x:c>
      <x:c r="N248" s="14" t="n">
        <x:v>7</x:v>
      </x:c>
      <x:c r="O248" s="15" t="n">
        <x:f>IF(M248=0,"해당 없음",N248/M248)</x:f>
        <x:v>0.7777777777777778</x:v>
      </x:c>
      <x:c r="P248" s="14" t="n">
        <x:v>106</x:v>
      </x:c>
    </x:row>
    <x:row r="249" ht="22" customHeight="1">
      <x:c r="A249" s="14" t="n">
        <x:v>122</x:v>
      </x:c>
      <x:c r="B249" s="14" t="n">
        <x:v>4</x:v>
      </x:c>
      <x:c r="C249" s="14" t="n">
        <x:v>76000</x:v>
      </x:c>
      <x:c r="D249" s="2" t="str">
        <x:v>NAVY</x:v>
      </x:c>
      <x:c r="E249" s="2" t="str">
        <x:v>120만</x:v>
      </x:c>
      <x:c r="F249" s="2" t="str">
        <x:v>규칙형</x:v>
      </x:c>
      <x:c r="G249" s="2" t="str">
        <x:v>승</x:v>
      </x:c>
      <x:c r="H249" s="14" t="n">
        <x:v>5</x:v>
      </x:c>
      <x:c r="I249" s="14" t="n">
        <x:v>2</x:v>
      </x:c>
      <x:c r="J249" s="14" t="n">
        <x:v>7</x:v>
      </x:c>
      <x:c r="K249" s="14" t="n">
        <x:v>5</x:v>
      </x:c>
      <x:c r="L249" s="15" t="n">
        <x:f>IF(J249=0,"해당 없음",K249/J249)</x:f>
        <x:v>0.7142857142857143</x:v>
      </x:c>
      <x:c r="M249" s="14" t="n">
        <x:v>7</x:v>
      </x:c>
      <x:c r="N249" s="14" t="n">
        <x:v>5</x:v>
      </x:c>
      <x:c r="O249" s="15" t="n">
        <x:f>IF(M249=0,"해당 없음",N249/M249)</x:f>
        <x:v>0.7142857142857143</x:v>
      </x:c>
      <x:c r="P249" s="14" t="n">
        <x:v>105</x:v>
      </x:c>
    </x:row>
    <x:row r="250" ht="22" customHeight="1">
      <x:c r="A250" s="14" t="n">
        <x:v>123</x:v>
      </x:c>
      <x:c r="B250" s="14" t="n">
        <x:v>4</x:v>
      </x:c>
      <x:c r="C250" s="14" t="n">
        <x:v>76001</x:v>
      </x:c>
      <x:c r="D250" s="2" t="str">
        <x:v>RED</x:v>
      </x:c>
      <x:c r="E250" s="2" t="str">
        <x:v>120만</x:v>
      </x:c>
      <x:c r="F250" s="2" t="str">
        <x:v>규칙형</x:v>
      </x:c>
      <x:c r="G250" s="2" t="str">
        <x:v>승</x:v>
      </x:c>
      <x:c r="H250" s="14" t="n">
        <x:v>4</x:v>
      </x:c>
      <x:c r="I250" s="14" t="n">
        <x:v>2</x:v>
      </x:c>
      <x:c r="J250" s="14" t="n">
        <x:v>10</x:v>
      </x:c>
      <x:c r="K250" s="14" t="n">
        <x:v>4</x:v>
      </x:c>
      <x:c r="L250" s="15" t="n">
        <x:f>IF(J250=0,"해당 없음",K250/J250)</x:f>
        <x:v>0.4</x:v>
      </x:c>
      <x:c r="M250" s="14" t="n">
        <x:v>5</x:v>
      </x:c>
      <x:c r="N250" s="14" t="n">
        <x:v>5</x:v>
      </x:c>
      <x:c r="O250" s="15" t="n">
        <x:f>IF(M250=0,"해당 없음",N250/M250)</x:f>
        <x:v>1</x:v>
      </x:c>
      <x:c r="P250" s="14" t="n">
        <x:v>105</x:v>
      </x:c>
    </x:row>
    <x:row r="251" ht="22" customHeight="1">
      <x:c r="A251" s="14" t="n">
        <x:v>123</x:v>
      </x:c>
      <x:c r="B251" s="14" t="n">
        <x:v>4</x:v>
      </x:c>
      <x:c r="C251" s="14" t="n">
        <x:v>76001</x:v>
      </x:c>
      <x:c r="D251" s="2" t="str">
        <x:v>NAVY</x:v>
      </x:c>
      <x:c r="E251" s="2" t="str">
        <x:v>규칙형</x:v>
      </x:c>
      <x:c r="F251" s="2" t="str">
        <x:v>120만</x:v>
      </x:c>
      <x:c r="G251" s="2" t="str">
        <x:v>패</x:v>
      </x:c>
      <x:c r="H251" s="14" t="n">
        <x:v>2</x:v>
      </x:c>
      <x:c r="I251" s="14" t="n">
        <x:v>4</x:v>
      </x:c>
      <x:c r="J251" s="14" t="n">
        <x:v>8</x:v>
      </x:c>
      <x:c r="K251" s="14" t="n">
        <x:v>2</x:v>
      </x:c>
      <x:c r="L251" s="15" t="n">
        <x:f>IF(J251=0,"해당 없음",K251/J251)</x:f>
        <x:v>0.25</x:v>
      </x:c>
      <x:c r="M251" s="14" t="n">
        <x:v>14</x:v>
      </x:c>
      <x:c r="N251" s="14" t="n">
        <x:v>10</x:v>
      </x:c>
      <x:c r="O251" s="15" t="n">
        <x:f>IF(M251=0,"해당 없음",N251/M251)</x:f>
        <x:v>0.7142857142857143</x:v>
      </x:c>
      <x:c r="P251" s="14" t="n">
        <x:v>104</x:v>
      </x:c>
    </x:row>
    <x:row r="252" ht="22" customHeight="1">
      <x:c r="A252" s="14" t="n">
        <x:v>124</x:v>
      </x:c>
      <x:c r="B252" s="14" t="n">
        <x:v>4</x:v>
      </x:c>
      <x:c r="C252" s="14" t="n">
        <x:v>76001</x:v>
      </x:c>
      <x:c r="D252" s="2" t="str">
        <x:v>RED</x:v>
      </x:c>
      <x:c r="E252" s="2" t="str">
        <x:v>규칙형</x:v>
      </x:c>
      <x:c r="F252" s="2" t="str">
        <x:v>120만</x:v>
      </x:c>
      <x:c r="G252" s="2" t="str">
        <x:v>패</x:v>
      </x:c>
      <x:c r="H252" s="14" t="n">
        <x:v>2</x:v>
      </x:c>
      <x:c r="I252" s="14" t="n">
        <x:v>7</x:v>
      </x:c>
      <x:c r="J252" s="14" t="n">
        <x:v>3</x:v>
      </x:c>
      <x:c r="K252" s="14" t="n">
        <x:v>2</x:v>
      </x:c>
      <x:c r="L252" s="15" t="n">
        <x:f>IF(J252=0,"해당 없음",K252/J252)</x:f>
        <x:v>0.6666666666666666</x:v>
      </x:c>
      <x:c r="M252" s="14" t="n">
        <x:v>13</x:v>
      </x:c>
      <x:c r="N252" s="14" t="n">
        <x:v>9</x:v>
      </x:c>
      <x:c r="O252" s="15" t="n">
        <x:f>IF(M252=0,"해당 없음",N252/M252)</x:f>
        <x:v>0.6923076923076923</x:v>
      </x:c>
      <x:c r="P252" s="14" t="n">
        <x:v>105</x:v>
      </x:c>
    </x:row>
    <x:row r="253" ht="22" customHeight="1">
      <x:c r="A253" s="14" t="n">
        <x:v>124</x:v>
      </x:c>
      <x:c r="B253" s="14" t="n">
        <x:v>4</x:v>
      </x:c>
      <x:c r="C253" s="14" t="n">
        <x:v>76001</x:v>
      </x:c>
      <x:c r="D253" s="2" t="str">
        <x:v>NAVY</x:v>
      </x:c>
      <x:c r="E253" s="2" t="str">
        <x:v>120만</x:v>
      </x:c>
      <x:c r="F253" s="2" t="str">
        <x:v>규칙형</x:v>
      </x:c>
      <x:c r="G253" s="2" t="str">
        <x:v>승</x:v>
      </x:c>
      <x:c r="H253" s="14" t="n">
        <x:v>7</x:v>
      </x:c>
      <x:c r="I253" s="14" t="n">
        <x:v>2</x:v>
      </x:c>
      <x:c r="J253" s="14" t="n">
        <x:v>11</x:v>
      </x:c>
      <x:c r="K253" s="14" t="n">
        <x:v>7</x:v>
      </x:c>
      <x:c r="L253" s="15" t="n">
        <x:f>IF(J253=0,"해당 없음",K253/J253)</x:f>
        <x:v>0.6363636363636364</x:v>
      </x:c>
      <x:c r="M253" s="14" t="n">
        <x:v>10</x:v>
      </x:c>
      <x:c r="N253" s="14" t="n">
        <x:v>10</x:v>
      </x:c>
      <x:c r="O253" s="15" t="n">
        <x:f>IF(M253=0,"해당 없음",N253/M253)</x:f>
        <x:v>1</x:v>
      </x:c>
      <x:c r="P253" s="14" t="n">
        <x:v>105</x:v>
      </x:c>
    </x:row>
    <x:row r="254" ht="22" customHeight="1">
      <x:c r="A254" s="14" t="n">
        <x:v>125</x:v>
      </x:c>
      <x:c r="B254" s="14" t="n">
        <x:v>4</x:v>
      </x:c>
      <x:c r="C254" s="14" t="n">
        <x:v>76002</x:v>
      </x:c>
      <x:c r="D254" s="2" t="str">
        <x:v>RED</x:v>
      </x:c>
      <x:c r="E254" s="2" t="str">
        <x:v>120만</x:v>
      </x:c>
      <x:c r="F254" s="2" t="str">
        <x:v>규칙형</x:v>
      </x:c>
      <x:c r="G254" s="2" t="str">
        <x:v>무</x:v>
      </x:c>
      <x:c r="H254" s="14" t="n">
        <x:v>4</x:v>
      </x:c>
      <x:c r="I254" s="14" t="n">
        <x:v>4</x:v>
      </x:c>
      <x:c r="J254" s="14" t="n">
        <x:v>9</x:v>
      </x:c>
      <x:c r="K254" s="14" t="n">
        <x:v>4</x:v>
      </x:c>
      <x:c r="L254" s="15" t="n">
        <x:f>IF(J254=0,"해당 없음",K254/J254)</x:f>
        <x:v>0.4444444444444444</x:v>
      </x:c>
      <x:c r="M254" s="14" t="n">
        <x:v>6</x:v>
      </x:c>
      <x:c r="N254" s="14" t="n">
        <x:v>1</x:v>
      </x:c>
      <x:c r="O254" s="15" t="n">
        <x:f>IF(M254=0,"해당 없음",N254/M254)</x:f>
        <x:v>0.16666666666666666</x:v>
      </x:c>
      <x:c r="P254" s="14" t="n">
        <x:v>105</x:v>
      </x:c>
    </x:row>
    <x:row r="255" ht="22" customHeight="1">
      <x:c r="A255" s="14" t="n">
        <x:v>125</x:v>
      </x:c>
      <x:c r="B255" s="14" t="n">
        <x:v>4</x:v>
      </x:c>
      <x:c r="C255" s="14" t="n">
        <x:v>76002</x:v>
      </x:c>
      <x:c r="D255" s="2" t="str">
        <x:v>NAVY</x:v>
      </x:c>
      <x:c r="E255" s="2" t="str">
        <x:v>규칙형</x:v>
      </x:c>
      <x:c r="F255" s="2" t="str">
        <x:v>120만</x:v>
      </x:c>
      <x:c r="G255" s="2" t="str">
        <x:v>무</x:v>
      </x:c>
      <x:c r="H255" s="14" t="n">
        <x:v>4</x:v>
      </x:c>
      <x:c r="I255" s="14" t="n">
        <x:v>4</x:v>
      </x:c>
      <x:c r="J255" s="14" t="n">
        <x:v>11</x:v>
      </x:c>
      <x:c r="K255" s="14" t="n">
        <x:v>4</x:v>
      </x:c>
      <x:c r="L255" s="15" t="n">
        <x:f>IF(J255=0,"해당 없음",K255/J255)</x:f>
        <x:v>0.36363636363636365</x:v>
      </x:c>
      <x:c r="M255" s="14" t="n">
        <x:v>10</x:v>
      </x:c>
      <x:c r="N255" s="14" t="n">
        <x:v>8</x:v>
      </x:c>
      <x:c r="O255" s="15" t="n">
        <x:f>IF(M255=0,"해당 없음",N255/M255)</x:f>
        <x:v>0.8</x:v>
      </x:c>
      <x:c r="P255" s="14" t="n">
        <x:v>105</x:v>
      </x:c>
    </x:row>
    <x:row r="256" ht="22" customHeight="1">
      <x:c r="A256" s="14" t="n">
        <x:v>126</x:v>
      </x:c>
      <x:c r="B256" s="14" t="n">
        <x:v>4</x:v>
      </x:c>
      <x:c r="C256" s="14" t="n">
        <x:v>76002</x:v>
      </x:c>
      <x:c r="D256" s="2" t="str">
        <x:v>RED</x:v>
      </x:c>
      <x:c r="E256" s="2" t="str">
        <x:v>규칙형</x:v>
      </x:c>
      <x:c r="F256" s="2" t="str">
        <x:v>120만</x:v>
      </x:c>
      <x:c r="G256" s="2" t="str">
        <x:v>패</x:v>
      </x:c>
      <x:c r="H256" s="14" t="n">
        <x:v>3</x:v>
      </x:c>
      <x:c r="I256" s="14" t="n">
        <x:v>5</x:v>
      </x:c>
      <x:c r="J256" s="14" t="n">
        <x:v>10</x:v>
      </x:c>
      <x:c r="K256" s="14" t="n">
        <x:v>3</x:v>
      </x:c>
      <x:c r="L256" s="15" t="n">
        <x:f>IF(J256=0,"해당 없음",K256/J256)</x:f>
        <x:v>0.3</x:v>
      </x:c>
      <x:c r="M256" s="14" t="n">
        <x:v>5</x:v>
      </x:c>
      <x:c r="N256" s="14" t="n">
        <x:v>4</x:v>
      </x:c>
      <x:c r="O256" s="15" t="n">
        <x:f>IF(M256=0,"해당 없음",N256/M256)</x:f>
        <x:v>0.8</x:v>
      </x:c>
      <x:c r="P256" s="14" t="n">
        <x:v>103</x:v>
      </x:c>
    </x:row>
    <x:row r="257" ht="22" customHeight="1">
      <x:c r="A257" s="14" t="n">
        <x:v>126</x:v>
      </x:c>
      <x:c r="B257" s="14" t="n">
        <x:v>4</x:v>
      </x:c>
      <x:c r="C257" s="14" t="n">
        <x:v>76002</x:v>
      </x:c>
      <x:c r="D257" s="2" t="str">
        <x:v>NAVY</x:v>
      </x:c>
      <x:c r="E257" s="2" t="str">
        <x:v>120만</x:v>
      </x:c>
      <x:c r="F257" s="2" t="str">
        <x:v>규칙형</x:v>
      </x:c>
      <x:c r="G257" s="2" t="str">
        <x:v>승</x:v>
      </x:c>
      <x:c r="H257" s="14" t="n">
        <x:v>5</x:v>
      </x:c>
      <x:c r="I257" s="14" t="n">
        <x:v>3</x:v>
      </x:c>
      <x:c r="J257" s="14" t="n">
        <x:v>9</x:v>
      </x:c>
      <x:c r="K257" s="14" t="n">
        <x:v>5</x:v>
      </x:c>
      <x:c r="L257" s="15" t="n">
        <x:f>IF(J257=0,"해당 없음",K257/J257)</x:f>
        <x:v>0.5555555555555556</x:v>
      </x:c>
      <x:c r="M257" s="14" t="n">
        <x:v>8</x:v>
      </x:c>
      <x:c r="N257" s="14" t="n">
        <x:v>8</x:v>
      </x:c>
      <x:c r="O257" s="15" t="n">
        <x:f>IF(M257=0,"해당 없음",N257/M257)</x:f>
        <x:v>1</x:v>
      </x:c>
      <x:c r="P257" s="14" t="n">
        <x:v>104</x:v>
      </x:c>
    </x:row>
    <x:row r="258" ht="22" customHeight="1">
      <x:c r="A258" s="14" t="n">
        <x:v>127</x:v>
      </x:c>
      <x:c r="B258" s="14" t="n">
        <x:v>4</x:v>
      </x:c>
      <x:c r="C258" s="14" t="n">
        <x:v>76003</x:v>
      </x:c>
      <x:c r="D258" s="2" t="str">
        <x:v>RED</x:v>
      </x:c>
      <x:c r="E258" s="2" t="str">
        <x:v>120만</x:v>
      </x:c>
      <x:c r="F258" s="2" t="str">
        <x:v>규칙형</x:v>
      </x:c>
      <x:c r="G258" s="2" t="str">
        <x:v>승</x:v>
      </x:c>
      <x:c r="H258" s="14" t="n">
        <x:v>5</x:v>
      </x:c>
      <x:c r="I258" s="14" t="n">
        <x:v>1</x:v>
      </x:c>
      <x:c r="J258" s="14" t="n">
        <x:v>8</x:v>
      </x:c>
      <x:c r="K258" s="14" t="n">
        <x:v>5</x:v>
      </x:c>
      <x:c r="L258" s="15" t="n">
        <x:f>IF(J258=0,"해당 없음",K258/J258)</x:f>
        <x:v>0.625</x:v>
      </x:c>
      <x:c r="M258" s="14" t="n">
        <x:v>5</x:v>
      </x:c>
      <x:c r="N258" s="14" t="n">
        <x:v>4</x:v>
      </x:c>
      <x:c r="O258" s="15" t="n">
        <x:f>IF(M258=0,"해당 없음",N258/M258)</x:f>
        <x:v>0.8</x:v>
      </x:c>
      <x:c r="P258" s="14" t="n">
        <x:v>103</x:v>
      </x:c>
    </x:row>
    <x:row r="259" ht="22" customHeight="1">
      <x:c r="A259" s="14" t="n">
        <x:v>127</x:v>
      </x:c>
      <x:c r="B259" s="14" t="n">
        <x:v>4</x:v>
      </x:c>
      <x:c r="C259" s="14" t="n">
        <x:v>76003</x:v>
      </x:c>
      <x:c r="D259" s="2" t="str">
        <x:v>NAVY</x:v>
      </x:c>
      <x:c r="E259" s="2" t="str">
        <x:v>규칙형</x:v>
      </x:c>
      <x:c r="F259" s="2" t="str">
        <x:v>120만</x:v>
      </x:c>
      <x:c r="G259" s="2" t="str">
        <x:v>패</x:v>
      </x:c>
      <x:c r="H259" s="14" t="n">
        <x:v>1</x:v>
      </x:c>
      <x:c r="I259" s="14" t="n">
        <x:v>5</x:v>
      </x:c>
      <x:c r="J259" s="14" t="n">
        <x:v>4</x:v>
      </x:c>
      <x:c r="K259" s="14" t="n">
        <x:v>0</x:v>
      </x:c>
      <x:c r="L259" s="15" t="n">
        <x:f>IF(J259=0,"해당 없음",K259/J259)</x:f>
        <x:v>0</x:v>
      </x:c>
      <x:c r="M259" s="14" t="n">
        <x:v>11</x:v>
      </x:c>
      <x:c r="N259" s="14" t="n">
        <x:v>10</x:v>
      </x:c>
      <x:c r="O259" s="15" t="n">
        <x:f>IF(M259=0,"해당 없음",N259/M259)</x:f>
        <x:v>0.9090909090909091</x:v>
      </x:c>
      <x:c r="P259" s="14" t="n">
        <x:v>103</x:v>
      </x:c>
    </x:row>
    <x:row r="260" ht="22" customHeight="1">
      <x:c r="A260" s="14" t="n">
        <x:v>128</x:v>
      </x:c>
      <x:c r="B260" s="14" t="n">
        <x:v>4</x:v>
      </x:c>
      <x:c r="C260" s="14" t="n">
        <x:v>76003</x:v>
      </x:c>
      <x:c r="D260" s="2" t="str">
        <x:v>RED</x:v>
      </x:c>
      <x:c r="E260" s="2" t="str">
        <x:v>규칙형</x:v>
      </x:c>
      <x:c r="F260" s="2" t="str">
        <x:v>120만</x:v>
      </x:c>
      <x:c r="G260" s="2" t="str">
        <x:v>패</x:v>
      </x:c>
      <x:c r="H260" s="14" t="n">
        <x:v>3</x:v>
      </x:c>
      <x:c r="I260" s="14" t="n">
        <x:v>4</x:v>
      </x:c>
      <x:c r="J260" s="14" t="n">
        <x:v>9</x:v>
      </x:c>
      <x:c r="K260" s="14" t="n">
        <x:v>3</x:v>
      </x:c>
      <x:c r="L260" s="15" t="n">
        <x:f>IF(J260=0,"해당 없음",K260/J260)</x:f>
        <x:v>0.3333333333333333</x:v>
      </x:c>
      <x:c r="M260" s="14" t="n">
        <x:v>12</x:v>
      </x:c>
      <x:c r="N260" s="14" t="n">
        <x:v>10</x:v>
      </x:c>
      <x:c r="O260" s="15" t="n">
        <x:f>IF(M260=0,"해당 없음",N260/M260)</x:f>
        <x:v>0.8333333333333334</x:v>
      </x:c>
      <x:c r="P260" s="14" t="n">
        <x:v>103</x:v>
      </x:c>
    </x:row>
    <x:row r="261" ht="22" customHeight="1">
      <x:c r="A261" s="14" t="n">
        <x:v>128</x:v>
      </x:c>
      <x:c r="B261" s="14" t="n">
        <x:v>4</x:v>
      </x:c>
      <x:c r="C261" s="14" t="n">
        <x:v>76003</x:v>
      </x:c>
      <x:c r="D261" s="2" t="str">
        <x:v>NAVY</x:v>
      </x:c>
      <x:c r="E261" s="2" t="str">
        <x:v>120만</x:v>
      </x:c>
      <x:c r="F261" s="2" t="str">
        <x:v>규칙형</x:v>
      </x:c>
      <x:c r="G261" s="2" t="str">
        <x:v>승</x:v>
      </x:c>
      <x:c r="H261" s="14" t="n">
        <x:v>4</x:v>
      </x:c>
      <x:c r="I261" s="14" t="n">
        <x:v>3</x:v>
      </x:c>
      <x:c r="J261" s="14" t="n">
        <x:v>9</x:v>
      </x:c>
      <x:c r="K261" s="14" t="n">
        <x:v>4</x:v>
      </x:c>
      <x:c r="L261" s="15" t="n">
        <x:f>IF(J261=0,"해당 없음",K261/J261)</x:f>
        <x:v>0.4444444444444444</x:v>
      </x:c>
      <x:c r="M261" s="14" t="n">
        <x:v>5</x:v>
      </x:c>
      <x:c r="N261" s="14" t="n">
        <x:v>4</x:v>
      </x:c>
      <x:c r="O261" s="15" t="n">
        <x:f>IF(M261=0,"해당 없음",N261/M261)</x:f>
        <x:v>0.8</x:v>
      </x:c>
      <x:c r="P261" s="14" t="n">
        <x:v>103</x:v>
      </x:c>
    </x:row>
    <x:row r="262" ht="22" customHeight="1">
      <x:c r="A262" s="14" t="n">
        <x:v>129</x:v>
      </x:c>
      <x:c r="B262" s="14" t="n">
        <x:v>4</x:v>
      </x:c>
      <x:c r="C262" s="14" t="n">
        <x:v>76004</x:v>
      </x:c>
      <x:c r="D262" s="2" t="str">
        <x:v>RED</x:v>
      </x:c>
      <x:c r="E262" s="2" t="str">
        <x:v>120만</x:v>
      </x:c>
      <x:c r="F262" s="2" t="str">
        <x:v>규칙형</x:v>
      </x:c>
      <x:c r="G262" s="2" t="str">
        <x:v>패</x:v>
      </x:c>
      <x:c r="H262" s="14" t="n">
        <x:v>2</x:v>
      </x:c>
      <x:c r="I262" s="14" t="n">
        <x:v>4</x:v>
      </x:c>
      <x:c r="J262" s="14" t="n">
        <x:v>5</x:v>
      </x:c>
      <x:c r="K262" s="14" t="n">
        <x:v>2</x:v>
      </x:c>
      <x:c r="L262" s="15" t="n">
        <x:f>IF(J262=0,"해당 없음",K262/J262)</x:f>
        <x:v>0.4</x:v>
      </x:c>
      <x:c r="M262" s="14" t="n">
        <x:v>5</x:v>
      </x:c>
      <x:c r="N262" s="14" t="n">
        <x:v>4</x:v>
      </x:c>
      <x:c r="O262" s="15" t="n">
        <x:f>IF(M262=0,"해당 없음",N262/M262)</x:f>
        <x:v>0.8</x:v>
      </x:c>
      <x:c r="P262" s="14" t="n">
        <x:v>103</x:v>
      </x:c>
    </x:row>
    <x:row r="263" ht="22" customHeight="1">
      <x:c r="A263" s="14" t="n">
        <x:v>129</x:v>
      </x:c>
      <x:c r="B263" s="14" t="n">
        <x:v>4</x:v>
      </x:c>
      <x:c r="C263" s="14" t="n">
        <x:v>76004</x:v>
      </x:c>
      <x:c r="D263" s="2" t="str">
        <x:v>NAVY</x:v>
      </x:c>
      <x:c r="E263" s="2" t="str">
        <x:v>규칙형</x:v>
      </x:c>
      <x:c r="F263" s="2" t="str">
        <x:v>120만</x:v>
      </x:c>
      <x:c r="G263" s="2" t="str">
        <x:v>승</x:v>
      </x:c>
      <x:c r="H263" s="14" t="n">
        <x:v>4</x:v>
      </x:c>
      <x:c r="I263" s="14" t="n">
        <x:v>2</x:v>
      </x:c>
      <x:c r="J263" s="14" t="n">
        <x:v>9</x:v>
      </x:c>
      <x:c r="K263" s="14" t="n">
        <x:v>4</x:v>
      </x:c>
      <x:c r="L263" s="15" t="n">
        <x:f>IF(J263=0,"해당 없음",K263/J263)</x:f>
        <x:v>0.4444444444444444</x:v>
      </x:c>
      <x:c r="M263" s="14" t="n">
        <x:v>11</x:v>
      </x:c>
      <x:c r="N263" s="14" t="n">
        <x:v>10</x:v>
      </x:c>
      <x:c r="O263" s="15" t="n">
        <x:f>IF(M263=0,"해당 없음",N263/M263)</x:f>
        <x:v>0.9090909090909091</x:v>
      </x:c>
      <x:c r="P263" s="14" t="n">
        <x:v>103</x:v>
      </x:c>
    </x:row>
    <x:row r="264" ht="22" customHeight="1">
      <x:c r="A264" s="14" t="n">
        <x:v>130</x:v>
      </x:c>
      <x:c r="B264" s="14" t="n">
        <x:v>4</x:v>
      </x:c>
      <x:c r="C264" s="14" t="n">
        <x:v>76004</x:v>
      </x:c>
      <x:c r="D264" s="2" t="str">
        <x:v>RED</x:v>
      </x:c>
      <x:c r="E264" s="2" t="str">
        <x:v>규칙형</x:v>
      </x:c>
      <x:c r="F264" s="2" t="str">
        <x:v>120만</x:v>
      </x:c>
      <x:c r="G264" s="2" t="str">
        <x:v>패</x:v>
      </x:c>
      <x:c r="H264" s="14" t="n">
        <x:v>1</x:v>
      </x:c>
      <x:c r="I264" s="14" t="n">
        <x:v>5</x:v>
      </x:c>
      <x:c r="J264" s="14" t="n">
        <x:v>10</x:v>
      </x:c>
      <x:c r="K264" s="14" t="n">
        <x:v>1</x:v>
      </x:c>
      <x:c r="L264" s="15" t="n">
        <x:f>IF(J264=0,"해당 없음",K264/J264)</x:f>
        <x:v>0.1</x:v>
      </x:c>
      <x:c r="M264" s="14" t="n">
        <x:v>8</x:v>
      </x:c>
      <x:c r="N264" s="14" t="n">
        <x:v>7</x:v>
      </x:c>
      <x:c r="O264" s="15" t="n">
        <x:f>IF(M264=0,"해당 없음",N264/M264)</x:f>
        <x:v>0.875</x:v>
      </x:c>
      <x:c r="P264" s="14" t="n">
        <x:v>104</x:v>
      </x:c>
    </x:row>
    <x:row r="265" ht="22" customHeight="1">
      <x:c r="A265" s="14" t="n">
        <x:v>130</x:v>
      </x:c>
      <x:c r="B265" s="14" t="n">
        <x:v>4</x:v>
      </x:c>
      <x:c r="C265" s="14" t="n">
        <x:v>76004</x:v>
      </x:c>
      <x:c r="D265" s="2" t="str">
        <x:v>NAVY</x:v>
      </x:c>
      <x:c r="E265" s="2" t="str">
        <x:v>120만</x:v>
      </x:c>
      <x:c r="F265" s="2" t="str">
        <x:v>규칙형</x:v>
      </x:c>
      <x:c r="G265" s="2" t="str">
        <x:v>승</x:v>
      </x:c>
      <x:c r="H265" s="14" t="n">
        <x:v>5</x:v>
      </x:c>
      <x:c r="I265" s="14" t="n">
        <x:v>1</x:v>
      </x:c>
      <x:c r="J265" s="14" t="n">
        <x:v>10</x:v>
      </x:c>
      <x:c r="K265" s="14" t="n">
        <x:v>5</x:v>
      </x:c>
      <x:c r="L265" s="15" t="n">
        <x:f>IF(J265=0,"해당 없음",K265/J265)</x:f>
        <x:v>0.5</x:v>
      </x:c>
      <x:c r="M265" s="14" t="n">
        <x:v>5</x:v>
      </x:c>
      <x:c r="N265" s="14" t="n">
        <x:v>5</x:v>
      </x:c>
      <x:c r="O265" s="15" t="n">
        <x:f>IF(M265=0,"해당 없음",N265/M265)</x:f>
        <x:v>1</x:v>
      </x:c>
      <x:c r="P265" s="14" t="n">
        <x:v>104</x:v>
      </x:c>
    </x:row>
    <x:row r="266" ht="22" customHeight="1">
      <x:c r="A266" s="14" t="n">
        <x:v>131</x:v>
      </x:c>
      <x:c r="B266" s="14" t="n">
        <x:v>4</x:v>
      </x:c>
      <x:c r="C266" s="14" t="n">
        <x:v>76005</x:v>
      </x:c>
      <x:c r="D266" s="2" t="str">
        <x:v>RED</x:v>
      </x:c>
      <x:c r="E266" s="2" t="str">
        <x:v>120만</x:v>
      </x:c>
      <x:c r="F266" s="2" t="str">
        <x:v>규칙형</x:v>
      </x:c>
      <x:c r="G266" s="2" t="str">
        <x:v>무</x:v>
      </x:c>
      <x:c r="H266" s="14" t="n">
        <x:v>3</x:v>
      </x:c>
      <x:c r="I266" s="14" t="n">
        <x:v>3</x:v>
      </x:c>
      <x:c r="J266" s="14" t="n">
        <x:v>8</x:v>
      </x:c>
      <x:c r="K266" s="14" t="n">
        <x:v>3</x:v>
      </x:c>
      <x:c r="L266" s="15" t="n">
        <x:f>IF(J266=0,"해당 없음",K266/J266)</x:f>
        <x:v>0.375</x:v>
      </x:c>
      <x:c r="M266" s="14" t="n">
        <x:v>4</x:v>
      </x:c>
      <x:c r="N266" s="14" t="n">
        <x:v>4</x:v>
      </x:c>
      <x:c r="O266" s="15" t="n">
        <x:f>IF(M266=0,"해당 없음",N266/M266)</x:f>
        <x:v>1</x:v>
      </x:c>
      <x:c r="P266" s="14" t="n">
        <x:v>104</x:v>
      </x:c>
    </x:row>
    <x:row r="267" ht="22" customHeight="1">
      <x:c r="A267" s="14" t="n">
        <x:v>131</x:v>
      </x:c>
      <x:c r="B267" s="14" t="n">
        <x:v>4</x:v>
      </x:c>
      <x:c r="C267" s="14" t="n">
        <x:v>76005</x:v>
      </x:c>
      <x:c r="D267" s="2" t="str">
        <x:v>NAVY</x:v>
      </x:c>
      <x:c r="E267" s="2" t="str">
        <x:v>규칙형</x:v>
      </x:c>
      <x:c r="F267" s="2" t="str">
        <x:v>120만</x:v>
      </x:c>
      <x:c r="G267" s="2" t="str">
        <x:v>무</x:v>
      </x:c>
      <x:c r="H267" s="14" t="n">
        <x:v>3</x:v>
      </x:c>
      <x:c r="I267" s="14" t="n">
        <x:v>3</x:v>
      </x:c>
      <x:c r="J267" s="14" t="n">
        <x:v>10</x:v>
      </x:c>
      <x:c r="K267" s="14" t="n">
        <x:v>3</x:v>
      </x:c>
      <x:c r="L267" s="15" t="n">
        <x:f>IF(J267=0,"해당 없음",K267/J267)</x:f>
        <x:v>0.3</x:v>
      </x:c>
      <x:c r="M267" s="14" t="n">
        <x:v>16</x:v>
      </x:c>
      <x:c r="N267" s="14" t="n">
        <x:v>13</x:v>
      </x:c>
      <x:c r="O267" s="15" t="n">
        <x:f>IF(M267=0,"해당 없음",N267/M267)</x:f>
        <x:v>0.8125</x:v>
      </x:c>
      <x:c r="P267" s="14" t="n">
        <x:v>103</x:v>
      </x:c>
    </x:row>
    <x:row r="268" ht="22" customHeight="1">
      <x:c r="A268" s="14" t="n">
        <x:v>132</x:v>
      </x:c>
      <x:c r="B268" s="14" t="n">
        <x:v>4</x:v>
      </x:c>
      <x:c r="C268" s="14" t="n">
        <x:v>76005</x:v>
      </x:c>
      <x:c r="D268" s="2" t="str">
        <x:v>RED</x:v>
      </x:c>
      <x:c r="E268" s="2" t="str">
        <x:v>규칙형</x:v>
      </x:c>
      <x:c r="F268" s="2" t="str">
        <x:v>120만</x:v>
      </x:c>
      <x:c r="G268" s="2" t="str">
        <x:v>승</x:v>
      </x:c>
      <x:c r="H268" s="14" t="n">
        <x:v>3</x:v>
      </x:c>
      <x:c r="I268" s="14" t="n">
        <x:v>2</x:v>
      </x:c>
      <x:c r="J268" s="14" t="n">
        <x:v>8</x:v>
      </x:c>
      <x:c r="K268" s="14" t="n">
        <x:v>3</x:v>
      </x:c>
      <x:c r="L268" s="15" t="n">
        <x:f>IF(J268=0,"해당 없음",K268/J268)</x:f>
        <x:v>0.375</x:v>
      </x:c>
      <x:c r="M268" s="14" t="n">
        <x:v>11</x:v>
      </x:c>
      <x:c r="N268" s="14" t="n">
        <x:v>10</x:v>
      </x:c>
      <x:c r="O268" s="15" t="n">
        <x:f>IF(M268=0,"해당 없음",N268/M268)</x:f>
        <x:v>0.9090909090909091</x:v>
      </x:c>
      <x:c r="P268" s="14" t="n">
        <x:v>103</x:v>
      </x:c>
    </x:row>
    <x:row r="269" ht="22" customHeight="1">
      <x:c r="A269" s="14" t="n">
        <x:v>132</x:v>
      </x:c>
      <x:c r="B269" s="14" t="n">
        <x:v>4</x:v>
      </x:c>
      <x:c r="C269" s="14" t="n">
        <x:v>76005</x:v>
      </x:c>
      <x:c r="D269" s="2" t="str">
        <x:v>NAVY</x:v>
      </x:c>
      <x:c r="E269" s="2" t="str">
        <x:v>120만</x:v>
      </x:c>
      <x:c r="F269" s="2" t="str">
        <x:v>규칙형</x:v>
      </x:c>
      <x:c r="G269" s="2" t="str">
        <x:v>패</x:v>
      </x:c>
      <x:c r="H269" s="14" t="n">
        <x:v>2</x:v>
      </x:c>
      <x:c r="I269" s="14" t="n">
        <x:v>3</x:v>
      </x:c>
      <x:c r="J269" s="14" t="n">
        <x:v>6</x:v>
      </x:c>
      <x:c r="K269" s="14" t="n">
        <x:v>2</x:v>
      </x:c>
      <x:c r="L269" s="15" t="n">
        <x:f>IF(J269=0,"해당 없음",K269/J269)</x:f>
        <x:v>0.3333333333333333</x:v>
      </x:c>
      <x:c r="M269" s="14" t="n">
        <x:v>9</x:v>
      </x:c>
      <x:c r="N269" s="14" t="n">
        <x:v>8</x:v>
      </x:c>
      <x:c r="O269" s="15" t="n">
        <x:f>IF(M269=0,"해당 없음",N269/M269)</x:f>
        <x:v>0.8888888888888888</x:v>
      </x:c>
      <x:c r="P269" s="14" t="n">
        <x:v>103</x:v>
      </x:c>
    </x:row>
    <x:row r="270" ht="22" customHeight="1">
      <x:c r="A270" s="14" t="n">
        <x:v>133</x:v>
      </x:c>
      <x:c r="B270" s="14" t="n">
        <x:v>4</x:v>
      </x:c>
      <x:c r="C270" s="14" t="n">
        <x:v>76006</x:v>
      </x:c>
      <x:c r="D270" s="2" t="str">
        <x:v>RED</x:v>
      </x:c>
      <x:c r="E270" s="2" t="str">
        <x:v>120만</x:v>
      </x:c>
      <x:c r="F270" s="2" t="str">
        <x:v>규칙형</x:v>
      </x:c>
      <x:c r="G270" s="2" t="str">
        <x:v>패</x:v>
      </x:c>
      <x:c r="H270" s="14" t="n">
        <x:v>1</x:v>
      </x:c>
      <x:c r="I270" s="14" t="n">
        <x:v>3</x:v>
      </x:c>
      <x:c r="J270" s="14" t="n">
        <x:v>4</x:v>
      </x:c>
      <x:c r="K270" s="14" t="n">
        <x:v>1</x:v>
      </x:c>
      <x:c r="L270" s="15" t="n">
        <x:f>IF(J270=0,"해당 없음",K270/J270)</x:f>
        <x:v>0.25</x:v>
      </x:c>
      <x:c r="M270" s="14" t="n">
        <x:v>12</x:v>
      </x:c>
      <x:c r="N270" s="14" t="n">
        <x:v>10</x:v>
      </x:c>
      <x:c r="O270" s="15" t="n">
        <x:f>IF(M270=0,"해당 없음",N270/M270)</x:f>
        <x:v>0.8333333333333334</x:v>
      </x:c>
      <x:c r="P270" s="14" t="n">
        <x:v>103</x:v>
      </x:c>
    </x:row>
    <x:row r="271" ht="22" customHeight="1">
      <x:c r="A271" s="14" t="n">
        <x:v>133</x:v>
      </x:c>
      <x:c r="B271" s="14" t="n">
        <x:v>4</x:v>
      </x:c>
      <x:c r="C271" s="14" t="n">
        <x:v>76006</x:v>
      </x:c>
      <x:c r="D271" s="2" t="str">
        <x:v>NAVY</x:v>
      </x:c>
      <x:c r="E271" s="2" t="str">
        <x:v>규칙형</x:v>
      </x:c>
      <x:c r="F271" s="2" t="str">
        <x:v>120만</x:v>
      </x:c>
      <x:c r="G271" s="2" t="str">
        <x:v>승</x:v>
      </x:c>
      <x:c r="H271" s="14" t="n">
        <x:v>3</x:v>
      </x:c>
      <x:c r="I271" s="14" t="n">
        <x:v>1</x:v>
      </x:c>
      <x:c r="J271" s="14" t="n">
        <x:v>15</x:v>
      </x:c>
      <x:c r="K271" s="14" t="n">
        <x:v>3</x:v>
      </x:c>
      <x:c r="L271" s="15" t="n">
        <x:f>IF(J271=0,"해당 없음",K271/J271)</x:f>
        <x:v>0.2</x:v>
      </x:c>
      <x:c r="M271" s="14" t="n">
        <x:v>8</x:v>
      </x:c>
      <x:c r="N271" s="14" t="n">
        <x:v>8</x:v>
      </x:c>
      <x:c r="O271" s="15" t="n">
        <x:f>IF(M271=0,"해당 없음",N271/M271)</x:f>
        <x:v>1</x:v>
      </x:c>
      <x:c r="P271" s="14" t="n">
        <x:v>103</x:v>
      </x:c>
    </x:row>
    <x:row r="272" ht="22" customHeight="1">
      <x:c r="A272" s="14" t="n">
        <x:v>134</x:v>
      </x:c>
      <x:c r="B272" s="14" t="n">
        <x:v>4</x:v>
      </x:c>
      <x:c r="C272" s="14" t="n">
        <x:v>76006</x:v>
      </x:c>
      <x:c r="D272" s="2" t="str">
        <x:v>RED</x:v>
      </x:c>
      <x:c r="E272" s="2" t="str">
        <x:v>규칙형</x:v>
      </x:c>
      <x:c r="F272" s="2" t="str">
        <x:v>120만</x:v>
      </x:c>
      <x:c r="G272" s="2" t="str">
        <x:v>승</x:v>
      </x:c>
      <x:c r="H272" s="14" t="n">
        <x:v>10</x:v>
      </x:c>
      <x:c r="I272" s="14" t="n">
        <x:v>1</x:v>
      </x:c>
      <x:c r="J272" s="14" t="n">
        <x:v>10</x:v>
      </x:c>
      <x:c r="K272" s="14" t="n">
        <x:v>10</x:v>
      </x:c>
      <x:c r="L272" s="15" t="n">
        <x:f>IF(J272=0,"해당 없음",K272/J272)</x:f>
        <x:v>1</x:v>
      </x:c>
      <x:c r="M272" s="14" t="n">
        <x:v>13</x:v>
      </x:c>
      <x:c r="N272" s="14" t="n">
        <x:v>10</x:v>
      </x:c>
      <x:c r="O272" s="15" t="n">
        <x:f>IF(M272=0,"해당 없음",N272/M272)</x:f>
        <x:v>0.7692307692307693</x:v>
      </x:c>
      <x:c r="P272" s="14" t="n">
        <x:v>107</x:v>
      </x:c>
    </x:row>
    <x:row r="273" ht="22" customHeight="1">
      <x:c r="A273" s="14" t="n">
        <x:v>134</x:v>
      </x:c>
      <x:c r="B273" s="14" t="n">
        <x:v>4</x:v>
      </x:c>
      <x:c r="C273" s="14" t="n">
        <x:v>76006</x:v>
      </x:c>
      <x:c r="D273" s="2" t="str">
        <x:v>NAVY</x:v>
      </x:c>
      <x:c r="E273" s="2" t="str">
        <x:v>120만</x:v>
      </x:c>
      <x:c r="F273" s="2" t="str">
        <x:v>규칙형</x:v>
      </x:c>
      <x:c r="G273" s="2" t="str">
        <x:v>패</x:v>
      </x:c>
      <x:c r="H273" s="14" t="n">
        <x:v>1</x:v>
      </x:c>
      <x:c r="I273" s="14" t="n">
        <x:v>10</x:v>
      </x:c>
      <x:c r="J273" s="14" t="n">
        <x:v>6</x:v>
      </x:c>
      <x:c r="K273" s="14" t="n">
        <x:v>1</x:v>
      </x:c>
      <x:c r="L273" s="15" t="n">
        <x:f>IF(J273=0,"해당 없음",K273/J273)</x:f>
        <x:v>0.16666666666666666</x:v>
      </x:c>
      <x:c r="M273" s="14" t="n">
        <x:v>3</x:v>
      </x:c>
      <x:c r="N273" s="14" t="n">
        <x:v>2</x:v>
      </x:c>
      <x:c r="O273" s="15" t="n">
        <x:f>IF(M273=0,"해당 없음",N273/M273)</x:f>
        <x:v>0.6666666666666666</x:v>
      </x:c>
      <x:c r="P273" s="14" t="n">
        <x:v>107</x:v>
      </x:c>
    </x:row>
    <x:row r="274" ht="22" customHeight="1">
      <x:c r="A274" s="14" t="n">
        <x:v>135</x:v>
      </x:c>
      <x:c r="B274" s="14" t="n">
        <x:v>4</x:v>
      </x:c>
      <x:c r="C274" s="14" t="n">
        <x:v>76007</x:v>
      </x:c>
      <x:c r="D274" s="2" t="str">
        <x:v>RED</x:v>
      </x:c>
      <x:c r="E274" s="2" t="str">
        <x:v>120만</x:v>
      </x:c>
      <x:c r="F274" s="2" t="str">
        <x:v>규칙형</x:v>
      </x:c>
      <x:c r="G274" s="2" t="str">
        <x:v>무</x:v>
      </x:c>
      <x:c r="H274" s="14" t="n">
        <x:v>4</x:v>
      </x:c>
      <x:c r="I274" s="14" t="n">
        <x:v>4</x:v>
      </x:c>
      <x:c r="J274" s="14" t="n">
        <x:v>6</x:v>
      </x:c>
      <x:c r="K274" s="14" t="n">
        <x:v>4</x:v>
      </x:c>
      <x:c r="L274" s="15" t="n">
        <x:f>IF(J274=0,"해당 없음",K274/J274)</x:f>
        <x:v>0.6666666666666666</x:v>
      </x:c>
      <x:c r="M274" s="14" t="n">
        <x:v>9</x:v>
      </x:c>
      <x:c r="N274" s="14" t="n">
        <x:v>6</x:v>
      </x:c>
      <x:c r="O274" s="15" t="n">
        <x:f>IF(M274=0,"해당 없음",N274/M274)</x:f>
        <x:v>0.6666666666666666</x:v>
      </x:c>
      <x:c r="P274" s="14" t="n">
        <x:v>103</x:v>
      </x:c>
    </x:row>
    <x:row r="275" ht="22" customHeight="1">
      <x:c r="A275" s="14" t="n">
        <x:v>135</x:v>
      </x:c>
      <x:c r="B275" s="14" t="n">
        <x:v>4</x:v>
      </x:c>
      <x:c r="C275" s="14" t="n">
        <x:v>76007</x:v>
      </x:c>
      <x:c r="D275" s="2" t="str">
        <x:v>NAVY</x:v>
      </x:c>
      <x:c r="E275" s="2" t="str">
        <x:v>규칙형</x:v>
      </x:c>
      <x:c r="F275" s="2" t="str">
        <x:v>120만</x:v>
      </x:c>
      <x:c r="G275" s="2" t="str">
        <x:v>무</x:v>
      </x:c>
      <x:c r="H275" s="14" t="n">
        <x:v>4</x:v>
      </x:c>
      <x:c r="I275" s="14" t="n">
        <x:v>4</x:v>
      </x:c>
      <x:c r="J275" s="14" t="n">
        <x:v>8</x:v>
      </x:c>
      <x:c r="K275" s="14" t="n">
        <x:v>3</x:v>
      </x:c>
      <x:c r="L275" s="15" t="n">
        <x:f>IF(J275=0,"해당 없음",K275/J275)</x:f>
        <x:v>0.375</x:v>
      </x:c>
      <x:c r="M275" s="14" t="n">
        <x:v>12</x:v>
      </x:c>
      <x:c r="N275" s="14" t="n">
        <x:v>9</x:v>
      </x:c>
      <x:c r="O275" s="15" t="n">
        <x:f>IF(M275=0,"해당 없음",N275/M275)</x:f>
        <x:v>0.75</x:v>
      </x:c>
      <x:c r="P275" s="14" t="n">
        <x:v>104</x:v>
      </x:c>
    </x:row>
    <x:row r="276" ht="22" customHeight="1">
      <x:c r="A276" s="14" t="n">
        <x:v>136</x:v>
      </x:c>
      <x:c r="B276" s="14" t="n">
        <x:v>4</x:v>
      </x:c>
      <x:c r="C276" s="14" t="n">
        <x:v>76007</x:v>
      </x:c>
      <x:c r="D276" s="2" t="str">
        <x:v>RED</x:v>
      </x:c>
      <x:c r="E276" s="2" t="str">
        <x:v>규칙형</x:v>
      </x:c>
      <x:c r="F276" s="2" t="str">
        <x:v>120만</x:v>
      </x:c>
      <x:c r="G276" s="2" t="str">
        <x:v>패</x:v>
      </x:c>
      <x:c r="H276" s="14" t="n">
        <x:v>2</x:v>
      </x:c>
      <x:c r="I276" s="14" t="n">
        <x:v>3</x:v>
      </x:c>
      <x:c r="J276" s="14" t="n">
        <x:v>8</x:v>
      </x:c>
      <x:c r="K276" s="14" t="n">
        <x:v>2</x:v>
      </x:c>
      <x:c r="L276" s="15" t="n">
        <x:f>IF(J276=0,"해당 없음",K276/J276)</x:f>
        <x:v>0.25</x:v>
      </x:c>
      <x:c r="M276" s="14" t="n">
        <x:v>11</x:v>
      </x:c>
      <x:c r="N276" s="14" t="n">
        <x:v>8</x:v>
      </x:c>
      <x:c r="O276" s="15" t="n">
        <x:f>IF(M276=0,"해당 없음",N276/M276)</x:f>
        <x:v>0.7272727272727273</x:v>
      </x:c>
      <x:c r="P276" s="14" t="n">
        <x:v>104</x:v>
      </x:c>
    </x:row>
    <x:row r="277" ht="22" customHeight="1">
      <x:c r="A277" s="14" t="n">
        <x:v>136</x:v>
      </x:c>
      <x:c r="B277" s="14" t="n">
        <x:v>4</x:v>
      </x:c>
      <x:c r="C277" s="14" t="n">
        <x:v>76007</x:v>
      </x:c>
      <x:c r="D277" s="2" t="str">
        <x:v>NAVY</x:v>
      </x:c>
      <x:c r="E277" s="2" t="str">
        <x:v>120만</x:v>
      </x:c>
      <x:c r="F277" s="2" t="str">
        <x:v>규칙형</x:v>
      </x:c>
      <x:c r="G277" s="2" t="str">
        <x:v>승</x:v>
      </x:c>
      <x:c r="H277" s="14" t="n">
        <x:v>3</x:v>
      </x:c>
      <x:c r="I277" s="14" t="n">
        <x:v>2</x:v>
      </x:c>
      <x:c r="J277" s="14" t="n">
        <x:v>6</x:v>
      </x:c>
      <x:c r="K277" s="14" t="n">
        <x:v>3</x:v>
      </x:c>
      <x:c r="L277" s="15" t="n">
        <x:f>IF(J277=0,"해당 없음",K277/J277)</x:f>
        <x:v>0.5</x:v>
      </x:c>
      <x:c r="M277" s="14" t="n">
        <x:v>8</x:v>
      </x:c>
      <x:c r="N277" s="14" t="n">
        <x:v>6</x:v>
      </x:c>
      <x:c r="O277" s="15" t="n">
        <x:f>IF(M277=0,"해당 없음",N277/M277)</x:f>
        <x:v>0.75</x:v>
      </x:c>
      <x:c r="P277" s="14" t="n">
        <x:v>101</x:v>
      </x:c>
    </x:row>
    <x:row r="278" ht="22" customHeight="1">
      <x:c r="A278" s="14" t="n">
        <x:v>137</x:v>
      </x:c>
      <x:c r="B278" s="14" t="n">
        <x:v>4</x:v>
      </x:c>
      <x:c r="C278" s="14" t="n">
        <x:v>76008</x:v>
      </x:c>
      <x:c r="D278" s="2" t="str">
        <x:v>RED</x:v>
      </x:c>
      <x:c r="E278" s="2" t="str">
        <x:v>120만</x:v>
      </x:c>
      <x:c r="F278" s="2" t="str">
        <x:v>규칙형</x:v>
      </x:c>
      <x:c r="G278" s="2" t="str">
        <x:v>승</x:v>
      </x:c>
      <x:c r="H278" s="14" t="n">
        <x:v>5</x:v>
      </x:c>
      <x:c r="I278" s="14" t="n">
        <x:v>2</x:v>
      </x:c>
      <x:c r="J278" s="14" t="n">
        <x:v>8</x:v>
      </x:c>
      <x:c r="K278" s="14" t="n">
        <x:v>5</x:v>
      </x:c>
      <x:c r="L278" s="15" t="n">
        <x:f>IF(J278=0,"해당 없음",K278/J278)</x:f>
        <x:v>0.625</x:v>
      </x:c>
      <x:c r="M278" s="14" t="n">
        <x:v>9</x:v>
      </x:c>
      <x:c r="N278" s="14" t="n">
        <x:v>7</x:v>
      </x:c>
      <x:c r="O278" s="15" t="n">
        <x:f>IF(M278=0,"해당 없음",N278/M278)</x:f>
        <x:v>0.7777777777777778</x:v>
      </x:c>
      <x:c r="P278" s="14" t="n">
        <x:v>103</x:v>
      </x:c>
    </x:row>
    <x:row r="279" ht="22" customHeight="1">
      <x:c r="A279" s="14" t="n">
        <x:v>137</x:v>
      </x:c>
      <x:c r="B279" s="14" t="n">
        <x:v>4</x:v>
      </x:c>
      <x:c r="C279" s="14" t="n">
        <x:v>76008</x:v>
      </x:c>
      <x:c r="D279" s="2" t="str">
        <x:v>NAVY</x:v>
      </x:c>
      <x:c r="E279" s="2" t="str">
        <x:v>규칙형</x:v>
      </x:c>
      <x:c r="F279" s="2" t="str">
        <x:v>120만</x:v>
      </x:c>
      <x:c r="G279" s="2" t="str">
        <x:v>패</x:v>
      </x:c>
      <x:c r="H279" s="14" t="n">
        <x:v>2</x:v>
      </x:c>
      <x:c r="I279" s="14" t="n">
        <x:v>5</x:v>
      </x:c>
      <x:c r="J279" s="14" t="n">
        <x:v>9</x:v>
      </x:c>
      <x:c r="K279" s="14" t="n">
        <x:v>2</x:v>
      </x:c>
      <x:c r="L279" s="15" t="n">
        <x:f>IF(J279=0,"해당 없음",K279/J279)</x:f>
        <x:v>0.2222222222222222</x:v>
      </x:c>
      <x:c r="M279" s="14" t="n">
        <x:v>6</x:v>
      </x:c>
      <x:c r="N279" s="14" t="n">
        <x:v>4</x:v>
      </x:c>
      <x:c r="O279" s="15" t="n">
        <x:f>IF(M279=0,"해당 없음",N279/M279)</x:f>
        <x:v>0.6666666666666666</x:v>
      </x:c>
      <x:c r="P279" s="14" t="n">
        <x:v>102</x:v>
      </x:c>
    </x:row>
    <x:row r="280" ht="22" customHeight="1">
      <x:c r="A280" s="14" t="n">
        <x:v>138</x:v>
      </x:c>
      <x:c r="B280" s="14" t="n">
        <x:v>4</x:v>
      </x:c>
      <x:c r="C280" s="14" t="n">
        <x:v>76008</x:v>
      </x:c>
      <x:c r="D280" s="2" t="str">
        <x:v>RED</x:v>
      </x:c>
      <x:c r="E280" s="2" t="str">
        <x:v>규칙형</x:v>
      </x:c>
      <x:c r="F280" s="2" t="str">
        <x:v>120만</x:v>
      </x:c>
      <x:c r="G280" s="2" t="str">
        <x:v>승</x:v>
      </x:c>
      <x:c r="H280" s="14" t="n">
        <x:v>4</x:v>
      </x:c>
      <x:c r="I280" s="14" t="n">
        <x:v>3</x:v>
      </x:c>
      <x:c r="J280" s="14" t="n">
        <x:v>11</x:v>
      </x:c>
      <x:c r="K280" s="14" t="n">
        <x:v>4</x:v>
      </x:c>
      <x:c r="L280" s="15" t="n">
        <x:f>IF(J280=0,"해당 없음",K280/J280)</x:f>
        <x:v>0.36363636363636365</x:v>
      </x:c>
      <x:c r="M280" s="14" t="n">
        <x:v>13</x:v>
      </x:c>
      <x:c r="N280" s="14" t="n">
        <x:v>12</x:v>
      </x:c>
      <x:c r="O280" s="15" t="n">
        <x:f>IF(M280=0,"해당 없음",N280/M280)</x:f>
        <x:v>0.9230769230769231</x:v>
      </x:c>
      <x:c r="P280" s="14" t="n">
        <x:v>103</x:v>
      </x:c>
    </x:row>
    <x:row r="281" ht="22" customHeight="1">
      <x:c r="A281" s="14" t="n">
        <x:v>138</x:v>
      </x:c>
      <x:c r="B281" s="14" t="n">
        <x:v>4</x:v>
      </x:c>
      <x:c r="C281" s="14" t="n">
        <x:v>76008</x:v>
      </x:c>
      <x:c r="D281" s="2" t="str">
        <x:v>NAVY</x:v>
      </x:c>
      <x:c r="E281" s="2" t="str">
        <x:v>120만</x:v>
      </x:c>
      <x:c r="F281" s="2" t="str">
        <x:v>규칙형</x:v>
      </x:c>
      <x:c r="G281" s="2" t="str">
        <x:v>패</x:v>
      </x:c>
      <x:c r="H281" s="14" t="n">
        <x:v>3</x:v>
      </x:c>
      <x:c r="I281" s="14" t="n">
        <x:v>4</x:v>
      </x:c>
      <x:c r="J281" s="14" t="n">
        <x:v>6</x:v>
      </x:c>
      <x:c r="K281" s="14" t="n">
        <x:v>3</x:v>
      </x:c>
      <x:c r="L281" s="15" t="n">
        <x:f>IF(J281=0,"해당 없음",K281/J281)</x:f>
        <x:v>0.5</x:v>
      </x:c>
      <x:c r="M281" s="14" t="n">
        <x:v>5</x:v>
      </x:c>
      <x:c r="N281" s="14" t="n">
        <x:v>4</x:v>
      </x:c>
      <x:c r="O281" s="15" t="n">
        <x:f>IF(M281=0,"해당 없음",N281/M281)</x:f>
        <x:v>0.8</x:v>
      </x:c>
      <x:c r="P281" s="14" t="n">
        <x:v>104</x:v>
      </x:c>
    </x:row>
    <x:row r="282" ht="22" customHeight="1">
      <x:c r="A282" s="14" t="n">
        <x:v>139</x:v>
      </x:c>
      <x:c r="B282" s="14" t="n">
        <x:v>4</x:v>
      </x:c>
      <x:c r="C282" s="14" t="n">
        <x:v>76009</x:v>
      </x:c>
      <x:c r="D282" s="2" t="str">
        <x:v>RED</x:v>
      </x:c>
      <x:c r="E282" s="2" t="str">
        <x:v>120만</x:v>
      </x:c>
      <x:c r="F282" s="2" t="str">
        <x:v>규칙형</x:v>
      </x:c>
      <x:c r="G282" s="2" t="str">
        <x:v>승</x:v>
      </x:c>
      <x:c r="H282" s="14" t="n">
        <x:v>7</x:v>
      </x:c>
      <x:c r="I282" s="14" t="n">
        <x:v>3</x:v>
      </x:c>
      <x:c r="J282" s="14" t="n">
        <x:v>11</x:v>
      </x:c>
      <x:c r="K282" s="14" t="n">
        <x:v>7</x:v>
      </x:c>
      <x:c r="L282" s="15" t="n">
        <x:f>IF(J282=0,"해당 없음",K282/J282)</x:f>
        <x:v>0.6363636363636364</x:v>
      </x:c>
      <x:c r="M282" s="14" t="n">
        <x:v>5</x:v>
      </x:c>
      <x:c r="N282" s="14" t="n">
        <x:v>4</x:v>
      </x:c>
      <x:c r="O282" s="15" t="n">
        <x:f>IF(M282=0,"해당 없음",N282/M282)</x:f>
        <x:v>0.8</x:v>
      </x:c>
      <x:c r="P282" s="14" t="n">
        <x:v>107</x:v>
      </x:c>
    </x:row>
    <x:row r="283" ht="22" customHeight="1">
      <x:c r="A283" s="14" t="n">
        <x:v>139</x:v>
      </x:c>
      <x:c r="B283" s="14" t="n">
        <x:v>4</x:v>
      </x:c>
      <x:c r="C283" s="14" t="n">
        <x:v>76009</x:v>
      </x:c>
      <x:c r="D283" s="2" t="str">
        <x:v>NAVY</x:v>
      </x:c>
      <x:c r="E283" s="2" t="str">
        <x:v>규칙형</x:v>
      </x:c>
      <x:c r="F283" s="2" t="str">
        <x:v>120만</x:v>
      </x:c>
      <x:c r="G283" s="2" t="str">
        <x:v>패</x:v>
      </x:c>
      <x:c r="H283" s="14" t="n">
        <x:v>3</x:v>
      </x:c>
      <x:c r="I283" s="14" t="n">
        <x:v>7</x:v>
      </x:c>
      <x:c r="J283" s="14" t="n">
        <x:v>5</x:v>
      </x:c>
      <x:c r="K283" s="14" t="n">
        <x:v>3</x:v>
      </x:c>
      <x:c r="L283" s="15" t="n">
        <x:f>IF(J283=0,"해당 없음",K283/J283)</x:f>
        <x:v>0.6</x:v>
      </x:c>
      <x:c r="M283" s="14" t="n">
        <x:v>14</x:v>
      </x:c>
      <x:c r="N283" s="14" t="n">
        <x:v>10</x:v>
      </x:c>
      <x:c r="O283" s="15" t="n">
        <x:f>IF(M283=0,"해당 없음",N283/M283)</x:f>
        <x:v>0.7142857142857143</x:v>
      </x:c>
      <x:c r="P283" s="14" t="n">
        <x:v>104</x:v>
      </x:c>
    </x:row>
    <x:row r="284" ht="22" customHeight="1">
      <x:c r="A284" s="14" t="n">
        <x:v>140</x:v>
      </x:c>
      <x:c r="B284" s="14" t="n">
        <x:v>4</x:v>
      </x:c>
      <x:c r="C284" s="14" t="n">
        <x:v>76009</x:v>
      </x:c>
      <x:c r="D284" s="2" t="str">
        <x:v>RED</x:v>
      </x:c>
      <x:c r="E284" s="2" t="str">
        <x:v>규칙형</x:v>
      </x:c>
      <x:c r="F284" s="2" t="str">
        <x:v>120만</x:v>
      </x:c>
      <x:c r="G284" s="2" t="str">
        <x:v>패</x:v>
      </x:c>
      <x:c r="H284" s="14" t="n">
        <x:v>2</x:v>
      </x:c>
      <x:c r="I284" s="14" t="n">
        <x:v>4</x:v>
      </x:c>
      <x:c r="J284" s="14" t="n">
        <x:v>11</x:v>
      </x:c>
      <x:c r="K284" s="14" t="n">
        <x:v>2</x:v>
      </x:c>
      <x:c r="L284" s="15" t="n">
        <x:f>IF(J284=0,"해당 없음",K284/J284)</x:f>
        <x:v>0.18181818181818182</x:v>
      </x:c>
      <x:c r="M284" s="14" t="n">
        <x:v>10</x:v>
      </x:c>
      <x:c r="N284" s="14" t="n">
        <x:v>7</x:v>
      </x:c>
      <x:c r="O284" s="15" t="n">
        <x:f>IF(M284=0,"해당 없음",N284/M284)</x:f>
        <x:v>0.7</x:v>
      </x:c>
      <x:c r="P284" s="14" t="n">
        <x:v>104</x:v>
      </x:c>
    </x:row>
    <x:row r="285" ht="22" customHeight="1">
      <x:c r="A285" s="14" t="n">
        <x:v>140</x:v>
      </x:c>
      <x:c r="B285" s="14" t="n">
        <x:v>4</x:v>
      </x:c>
      <x:c r="C285" s="14" t="n">
        <x:v>76009</x:v>
      </x:c>
      <x:c r="D285" s="2" t="str">
        <x:v>NAVY</x:v>
      </x:c>
      <x:c r="E285" s="2" t="str">
        <x:v>120만</x:v>
      </x:c>
      <x:c r="F285" s="2" t="str">
        <x:v>규칙형</x:v>
      </x:c>
      <x:c r="G285" s="2" t="str">
        <x:v>승</x:v>
      </x:c>
      <x:c r="H285" s="14" t="n">
        <x:v>4</x:v>
      </x:c>
      <x:c r="I285" s="14" t="n">
        <x:v>2</x:v>
      </x:c>
      <x:c r="J285" s="14" t="n">
        <x:v>8</x:v>
      </x:c>
      <x:c r="K285" s="14" t="n">
        <x:v>4</x:v>
      </x:c>
      <x:c r="L285" s="15" t="n">
        <x:f>IF(J285=0,"해당 없음",K285/J285)</x:f>
        <x:v>0.5</x:v>
      </x:c>
      <x:c r="M285" s="14" t="n">
        <x:v>5</x:v>
      </x:c>
      <x:c r="N285" s="14" t="n">
        <x:v>5</x:v>
      </x:c>
      <x:c r="O285" s="15" t="n">
        <x:f>IF(M285=0,"해당 없음",N285/M285)</x:f>
        <x:v>1</x:v>
      </x:c>
      <x:c r="P285" s="14" t="n">
        <x:v>104</x:v>
      </x:c>
    </x:row>
    <x:row r="286" ht="22" customHeight="1">
      <x:c r="A286" s="14" t="n">
        <x:v>141</x:v>
      </x:c>
      <x:c r="B286" s="14" t="n">
        <x:v>4</x:v>
      </x:c>
      <x:c r="C286" s="14" t="n">
        <x:v>76010</x:v>
      </x:c>
      <x:c r="D286" s="2" t="str">
        <x:v>RED</x:v>
      </x:c>
      <x:c r="E286" s="2" t="str">
        <x:v>120만</x:v>
      </x:c>
      <x:c r="F286" s="2" t="str">
        <x:v>규칙형</x:v>
      </x:c>
      <x:c r="G286" s="2" t="str">
        <x:v>승</x:v>
      </x:c>
      <x:c r="H286" s="14" t="n">
        <x:v>5</x:v>
      </x:c>
      <x:c r="I286" s="14" t="n">
        <x:v>2</x:v>
      </x:c>
      <x:c r="J286" s="14" t="n">
        <x:v>8</x:v>
      </x:c>
      <x:c r="K286" s="14" t="n">
        <x:v>5</x:v>
      </x:c>
      <x:c r="L286" s="15" t="n">
        <x:f>IF(J286=0,"해당 없음",K286/J286)</x:f>
        <x:v>0.625</x:v>
      </x:c>
      <x:c r="M286" s="14" t="n">
        <x:v>10</x:v>
      </x:c>
      <x:c r="N286" s="14" t="n">
        <x:v>7</x:v>
      </x:c>
      <x:c r="O286" s="15" t="n">
        <x:f>IF(M286=0,"해당 없음",N286/M286)</x:f>
        <x:v>0.7</x:v>
      </x:c>
      <x:c r="P286" s="14" t="n">
        <x:v>104</x:v>
      </x:c>
    </x:row>
    <x:row r="287" ht="22" customHeight="1">
      <x:c r="A287" s="14" t="n">
        <x:v>141</x:v>
      </x:c>
      <x:c r="B287" s="14" t="n">
        <x:v>4</x:v>
      </x:c>
      <x:c r="C287" s="14" t="n">
        <x:v>76010</x:v>
      </x:c>
      <x:c r="D287" s="2" t="str">
        <x:v>NAVY</x:v>
      </x:c>
      <x:c r="E287" s="2" t="str">
        <x:v>규칙형</x:v>
      </x:c>
      <x:c r="F287" s="2" t="str">
        <x:v>120만</x:v>
      </x:c>
      <x:c r="G287" s="2" t="str">
        <x:v>패</x:v>
      </x:c>
      <x:c r="H287" s="14" t="n">
        <x:v>2</x:v>
      </x:c>
      <x:c r="I287" s="14" t="n">
        <x:v>5</x:v>
      </x:c>
      <x:c r="J287" s="14" t="n">
        <x:v>5</x:v>
      </x:c>
      <x:c r="K287" s="14" t="n">
        <x:v>1</x:v>
      </x:c>
      <x:c r="L287" s="15" t="n">
        <x:f>IF(J287=0,"해당 없음",K287/J287)</x:f>
        <x:v>0.2</x:v>
      </x:c>
      <x:c r="M287" s="14" t="n">
        <x:v>14</x:v>
      </x:c>
      <x:c r="N287" s="14" t="n">
        <x:v>11</x:v>
      </x:c>
      <x:c r="O287" s="15" t="n">
        <x:f>IF(M287=0,"해당 없음",N287/M287)</x:f>
        <x:v>0.7857142857142857</x:v>
      </x:c>
      <x:c r="P287" s="14" t="n">
        <x:v>102</x:v>
      </x:c>
    </x:row>
    <x:row r="288" ht="22" customHeight="1">
      <x:c r="A288" s="14" t="n">
        <x:v>142</x:v>
      </x:c>
      <x:c r="B288" s="14" t="n">
        <x:v>4</x:v>
      </x:c>
      <x:c r="C288" s="14" t="n">
        <x:v>76010</x:v>
      </x:c>
      <x:c r="D288" s="2" t="str">
        <x:v>RED</x:v>
      </x:c>
      <x:c r="E288" s="2" t="str">
        <x:v>규칙형</x:v>
      </x:c>
      <x:c r="F288" s="2" t="str">
        <x:v>120만</x:v>
      </x:c>
      <x:c r="G288" s="2" t="str">
        <x:v>승</x:v>
      </x:c>
      <x:c r="H288" s="14" t="n">
        <x:v>3</x:v>
      </x:c>
      <x:c r="I288" s="14" t="n">
        <x:v>2</x:v>
      </x:c>
      <x:c r="J288" s="14" t="n">
        <x:v>7</x:v>
      </x:c>
      <x:c r="K288" s="14" t="n">
        <x:v>3</x:v>
      </x:c>
      <x:c r="L288" s="15" t="n">
        <x:f>IF(J288=0,"해당 없음",K288/J288)</x:f>
        <x:v>0.42857142857142855</x:v>
      </x:c>
      <x:c r="M288" s="14" t="n">
        <x:v>14</x:v>
      </x:c>
      <x:c r="N288" s="14" t="n">
        <x:v>9</x:v>
      </x:c>
      <x:c r="O288" s="15" t="n">
        <x:f>IF(M288=0,"해당 없음",N288/M288)</x:f>
        <x:v>0.6428571428571429</x:v>
      </x:c>
      <x:c r="P288" s="14" t="n">
        <x:v>103</x:v>
      </x:c>
    </x:row>
    <x:row r="289" ht="22" customHeight="1">
      <x:c r="A289" s="14" t="n">
        <x:v>142</x:v>
      </x:c>
      <x:c r="B289" s="14" t="n">
        <x:v>4</x:v>
      </x:c>
      <x:c r="C289" s="14" t="n">
        <x:v>76010</x:v>
      </x:c>
      <x:c r="D289" s="2" t="str">
        <x:v>NAVY</x:v>
      </x:c>
      <x:c r="E289" s="2" t="str">
        <x:v>120만</x:v>
      </x:c>
      <x:c r="F289" s="2" t="str">
        <x:v>규칙형</x:v>
      </x:c>
      <x:c r="G289" s="2" t="str">
        <x:v>패</x:v>
      </x:c>
      <x:c r="H289" s="14" t="n">
        <x:v>2</x:v>
      </x:c>
      <x:c r="I289" s="14" t="n">
        <x:v>3</x:v>
      </x:c>
      <x:c r="J289" s="14" t="n">
        <x:v>6</x:v>
      </x:c>
      <x:c r="K289" s="14" t="n">
        <x:v>2</x:v>
      </x:c>
      <x:c r="L289" s="15" t="n">
        <x:f>IF(J289=0,"해당 없음",K289/J289)</x:f>
        <x:v>0.3333333333333333</x:v>
      </x:c>
      <x:c r="M289" s="14" t="n">
        <x:v>7</x:v>
      </x:c>
      <x:c r="N289" s="14" t="n">
        <x:v>5</x:v>
      </x:c>
      <x:c r="O289" s="15" t="n">
        <x:f>IF(M289=0,"해당 없음",N289/M289)</x:f>
        <x:v>0.7142857142857143</x:v>
      </x:c>
      <x:c r="P289" s="14" t="n">
        <x:v>104</x:v>
      </x:c>
    </x:row>
    <x:row r="290" ht="22" customHeight="1">
      <x:c r="A290" s="14" t="n">
        <x:v>143</x:v>
      </x:c>
      <x:c r="B290" s="14" t="n">
        <x:v>4</x:v>
      </x:c>
      <x:c r="C290" s="14" t="n">
        <x:v>76011</x:v>
      </x:c>
      <x:c r="D290" s="2" t="str">
        <x:v>RED</x:v>
      </x:c>
      <x:c r="E290" s="2" t="str">
        <x:v>120만</x:v>
      </x:c>
      <x:c r="F290" s="2" t="str">
        <x:v>규칙형</x:v>
      </x:c>
      <x:c r="G290" s="2" t="str">
        <x:v>승</x:v>
      </x:c>
      <x:c r="H290" s="14" t="n">
        <x:v>3</x:v>
      </x:c>
      <x:c r="I290" s="14" t="n">
        <x:v>1</x:v>
      </x:c>
      <x:c r="J290" s="14" t="n">
        <x:v>10</x:v>
      </x:c>
      <x:c r="K290" s="14" t="n">
        <x:v>3</x:v>
      </x:c>
      <x:c r="L290" s="15" t="n">
        <x:f>IF(J290=0,"해당 없음",K290/J290)</x:f>
        <x:v>0.3</x:v>
      </x:c>
      <x:c r="M290" s="14" t="n">
        <x:v>7</x:v>
      </x:c>
      <x:c r="N290" s="14" t="n">
        <x:v>6</x:v>
      </x:c>
      <x:c r="O290" s="15" t="n">
        <x:f>IF(M290=0,"해당 없음",N290/M290)</x:f>
        <x:v>0.8571428571428571</x:v>
      </x:c>
      <x:c r="P290" s="14" t="n">
        <x:v>103</x:v>
      </x:c>
    </x:row>
    <x:row r="291" ht="22" customHeight="1">
      <x:c r="A291" s="14" t="n">
        <x:v>143</x:v>
      </x:c>
      <x:c r="B291" s="14" t="n">
        <x:v>4</x:v>
      </x:c>
      <x:c r="C291" s="14" t="n">
        <x:v>76011</x:v>
      </x:c>
      <x:c r="D291" s="2" t="str">
        <x:v>NAVY</x:v>
      </x:c>
      <x:c r="E291" s="2" t="str">
        <x:v>규칙형</x:v>
      </x:c>
      <x:c r="F291" s="2" t="str">
        <x:v>120만</x:v>
      </x:c>
      <x:c r="G291" s="2" t="str">
        <x:v>패</x:v>
      </x:c>
      <x:c r="H291" s="14" t="n">
        <x:v>1</x:v>
      </x:c>
      <x:c r="I291" s="14" t="n">
        <x:v>3</x:v>
      </x:c>
      <x:c r="J291" s="14" t="n">
        <x:v>11</x:v>
      </x:c>
      <x:c r="K291" s="14" t="n">
        <x:v>1</x:v>
      </x:c>
      <x:c r="L291" s="15" t="n">
        <x:f>IF(J291=0,"해당 없음",K291/J291)</x:f>
        <x:v>0.09090909090909091</x:v>
      </x:c>
      <x:c r="M291" s="14" t="n">
        <x:v>13</x:v>
      </x:c>
      <x:c r="N291" s="14" t="n">
        <x:v>11</x:v>
      </x:c>
      <x:c r="O291" s="15" t="n">
        <x:f>IF(M291=0,"해당 없음",N291/M291)</x:f>
        <x:v>0.8461538461538461</x:v>
      </x:c>
      <x:c r="P291" s="14" t="n">
        <x:v>103</x:v>
      </x:c>
    </x:row>
    <x:row r="292" ht="22" customHeight="1">
      <x:c r="A292" s="14" t="n">
        <x:v>144</x:v>
      </x:c>
      <x:c r="B292" s="14" t="n">
        <x:v>4</x:v>
      </x:c>
      <x:c r="C292" s="14" t="n">
        <x:v>76011</x:v>
      </x:c>
      <x:c r="D292" s="2" t="str">
        <x:v>RED</x:v>
      </x:c>
      <x:c r="E292" s="2" t="str">
        <x:v>규칙형</x:v>
      </x:c>
      <x:c r="F292" s="2" t="str">
        <x:v>120만</x:v>
      </x:c>
      <x:c r="G292" s="2" t="str">
        <x:v>패</x:v>
      </x:c>
      <x:c r="H292" s="14" t="n">
        <x:v>2</x:v>
      </x:c>
      <x:c r="I292" s="14" t="n">
        <x:v>8</x:v>
      </x:c>
      <x:c r="J292" s="14" t="n">
        <x:v>4</x:v>
      </x:c>
      <x:c r="K292" s="14" t="n">
        <x:v>2</x:v>
      </x:c>
      <x:c r="L292" s="15" t="n">
        <x:f>IF(J292=0,"해당 없음",K292/J292)</x:f>
        <x:v>0.5</x:v>
      </x:c>
      <x:c r="M292" s="14" t="n">
        <x:v>7</x:v>
      </x:c>
      <x:c r="N292" s="14" t="n">
        <x:v>5</x:v>
      </x:c>
      <x:c r="O292" s="15" t="n">
        <x:f>IF(M292=0,"해당 없음",N292/M292)</x:f>
        <x:v>0.7142857142857143</x:v>
      </x:c>
      <x:c r="P292" s="14" t="n">
        <x:v>105</x:v>
      </x:c>
    </x:row>
    <x:row r="293" ht="22" customHeight="1">
      <x:c r="A293" s="14" t="n">
        <x:v>144</x:v>
      </x:c>
      <x:c r="B293" s="14" t="n">
        <x:v>4</x:v>
      </x:c>
      <x:c r="C293" s="14" t="n">
        <x:v>76011</x:v>
      </x:c>
      <x:c r="D293" s="2" t="str">
        <x:v>NAVY</x:v>
      </x:c>
      <x:c r="E293" s="2" t="str">
        <x:v>120만</x:v>
      </x:c>
      <x:c r="F293" s="2" t="str">
        <x:v>규칙형</x:v>
      </x:c>
      <x:c r="G293" s="2" t="str">
        <x:v>승</x:v>
      </x:c>
      <x:c r="H293" s="14" t="n">
        <x:v>8</x:v>
      </x:c>
      <x:c r="I293" s="14" t="n">
        <x:v>2</x:v>
      </x:c>
      <x:c r="J293" s="14" t="n">
        <x:v>11</x:v>
      </x:c>
      <x:c r="K293" s="14" t="n">
        <x:v>8</x:v>
      </x:c>
      <x:c r="L293" s="15" t="n">
        <x:f>IF(J293=0,"해당 없음",K293/J293)</x:f>
        <x:v>0.7272727272727273</x:v>
      </x:c>
      <x:c r="M293" s="14" t="n">
        <x:v>8</x:v>
      </x:c>
      <x:c r="N293" s="14" t="n">
        <x:v>7</x:v>
      </x:c>
      <x:c r="O293" s="15" t="n">
        <x:f>IF(M293=0,"해당 없음",N293/M293)</x:f>
        <x:v>0.875</x:v>
      </x:c>
      <x:c r="P293" s="14" t="n">
        <x:v>105</x:v>
      </x:c>
    </x:row>
    <x:row r="294" ht="22" customHeight="1">
      <x:c r="A294" s="14" t="n">
        <x:v>145</x:v>
      </x:c>
      <x:c r="B294" s="14" t="n">
        <x:v>4</x:v>
      </x:c>
      <x:c r="C294" s="14" t="n">
        <x:v>76012</x:v>
      </x:c>
      <x:c r="D294" s="2" t="str">
        <x:v>RED</x:v>
      </x:c>
      <x:c r="E294" s="2" t="str">
        <x:v>120만</x:v>
      </x:c>
      <x:c r="F294" s="2" t="str">
        <x:v>규칙형</x:v>
      </x:c>
      <x:c r="G294" s="2" t="str">
        <x:v>승</x:v>
      </x:c>
      <x:c r="H294" s="14" t="n">
        <x:v>6</x:v>
      </x:c>
      <x:c r="I294" s="14" t="n">
        <x:v>4</x:v>
      </x:c>
      <x:c r="J294" s="14" t="n">
        <x:v>12</x:v>
      </x:c>
      <x:c r="K294" s="14" t="n">
        <x:v>6</x:v>
      </x:c>
      <x:c r="L294" s="15" t="n">
        <x:f>IF(J294=0,"해당 없음",K294/J294)</x:f>
        <x:v>0.5</x:v>
      </x:c>
      <x:c r="M294" s="14" t="n">
        <x:v>6</x:v>
      </x:c>
      <x:c r="N294" s="14" t="n">
        <x:v>3</x:v>
      </x:c>
      <x:c r="O294" s="15" t="n">
        <x:f>IF(M294=0,"해당 없음",N294/M294)</x:f>
        <x:v>0.5</x:v>
      </x:c>
      <x:c r="P294" s="14" t="n">
        <x:v>106</x:v>
      </x:c>
    </x:row>
    <x:row r="295" ht="22" customHeight="1">
      <x:c r="A295" s="14" t="n">
        <x:v>145</x:v>
      </x:c>
      <x:c r="B295" s="14" t="n">
        <x:v>4</x:v>
      </x:c>
      <x:c r="C295" s="14" t="n">
        <x:v>76012</x:v>
      </x:c>
      <x:c r="D295" s="2" t="str">
        <x:v>NAVY</x:v>
      </x:c>
      <x:c r="E295" s="2" t="str">
        <x:v>규칙형</x:v>
      </x:c>
      <x:c r="F295" s="2" t="str">
        <x:v>120만</x:v>
      </x:c>
      <x:c r="G295" s="2" t="str">
        <x:v>패</x:v>
      </x:c>
      <x:c r="H295" s="14" t="n">
        <x:v>4</x:v>
      </x:c>
      <x:c r="I295" s="14" t="n">
        <x:v>6</x:v>
      </x:c>
      <x:c r="J295" s="14" t="n">
        <x:v>8</x:v>
      </x:c>
      <x:c r="K295" s="14" t="n">
        <x:v>4</x:v>
      </x:c>
      <x:c r="L295" s="15" t="n">
        <x:f>IF(J295=0,"해당 없음",K295/J295)</x:f>
        <x:v>0.5</x:v>
      </x:c>
      <x:c r="M295" s="14" t="n">
        <x:v>11</x:v>
      </x:c>
      <x:c r="N295" s="14" t="n">
        <x:v>10</x:v>
      </x:c>
      <x:c r="O295" s="15" t="n">
        <x:f>IF(M295=0,"해당 없음",N295/M295)</x:f>
        <x:v>0.9090909090909091</x:v>
      </x:c>
      <x:c r="P295" s="14" t="n">
        <x:v>107</x:v>
      </x:c>
    </x:row>
    <x:row r="296" ht="22" customHeight="1">
      <x:c r="A296" s="14" t="n">
        <x:v>146</x:v>
      </x:c>
      <x:c r="B296" s="14" t="n">
        <x:v>4</x:v>
      </x:c>
      <x:c r="C296" s="14" t="n">
        <x:v>76012</x:v>
      </x:c>
      <x:c r="D296" s="2" t="str">
        <x:v>RED</x:v>
      </x:c>
      <x:c r="E296" s="2" t="str">
        <x:v>규칙형</x:v>
      </x:c>
      <x:c r="F296" s="2" t="str">
        <x:v>120만</x:v>
      </x:c>
      <x:c r="G296" s="2" t="str">
        <x:v>승</x:v>
      </x:c>
      <x:c r="H296" s="14" t="n">
        <x:v>4</x:v>
      </x:c>
      <x:c r="I296" s="14" t="n">
        <x:v>1</x:v>
      </x:c>
      <x:c r="J296" s="14" t="n">
        <x:v>12</x:v>
      </x:c>
      <x:c r="K296" s="14" t="n">
        <x:v>4</x:v>
      </x:c>
      <x:c r="L296" s="15" t="n">
        <x:f>IF(J296=0,"해당 없음",K296/J296)</x:f>
        <x:v>0.3333333333333333</x:v>
      </x:c>
      <x:c r="M296" s="14" t="n">
        <x:v>11</x:v>
      </x:c>
      <x:c r="N296" s="14" t="n">
        <x:v>9</x:v>
      </x:c>
      <x:c r="O296" s="15" t="n">
        <x:f>IF(M296=0,"해당 없음",N296/M296)</x:f>
        <x:v>0.8181818181818182</x:v>
      </x:c>
      <x:c r="P296" s="14" t="n">
        <x:v>106</x:v>
      </x:c>
    </x:row>
    <x:row r="297" ht="22" customHeight="1">
      <x:c r="A297" s="14" t="n">
        <x:v>146</x:v>
      </x:c>
      <x:c r="B297" s="14" t="n">
        <x:v>4</x:v>
      </x:c>
      <x:c r="C297" s="14" t="n">
        <x:v>76012</x:v>
      </x:c>
      <x:c r="D297" s="2" t="str">
        <x:v>NAVY</x:v>
      </x:c>
      <x:c r="E297" s="2" t="str">
        <x:v>120만</x:v>
      </x:c>
      <x:c r="F297" s="2" t="str">
        <x:v>규칙형</x:v>
      </x:c>
      <x:c r="G297" s="2" t="str">
        <x:v>패</x:v>
      </x:c>
      <x:c r="H297" s="14" t="n">
        <x:v>1</x:v>
      </x:c>
      <x:c r="I297" s="14" t="n">
        <x:v>4</x:v>
      </x:c>
      <x:c r="J297" s="14" t="n">
        <x:v>6</x:v>
      </x:c>
      <x:c r="K297" s="14" t="n">
        <x:v>1</x:v>
      </x:c>
      <x:c r="L297" s="15" t="n">
        <x:f>IF(J297=0,"해당 없음",K297/J297)</x:f>
        <x:v>0.16666666666666666</x:v>
      </x:c>
      <x:c r="M297" s="14" t="n">
        <x:v>7</x:v>
      </x:c>
      <x:c r="N297" s="14" t="n">
        <x:v>4</x:v>
      </x:c>
      <x:c r="O297" s="15" t="n">
        <x:f>IF(M297=0,"해당 없음",N297/M297)</x:f>
        <x:v>0.5714285714285714</x:v>
      </x:c>
      <x:c r="P297" s="14" t="n">
        <x:v>103</x:v>
      </x:c>
    </x:row>
    <x:row r="298" ht="22" customHeight="1">
      <x:c r="A298" s="14" t="n">
        <x:v>147</x:v>
      </x:c>
      <x:c r="B298" s="14" t="n">
        <x:v>4</x:v>
      </x:c>
      <x:c r="C298" s="14" t="n">
        <x:v>76013</x:v>
      </x:c>
      <x:c r="D298" s="2" t="str">
        <x:v>RED</x:v>
      </x:c>
      <x:c r="E298" s="2" t="str">
        <x:v>120만</x:v>
      </x:c>
      <x:c r="F298" s="2" t="str">
        <x:v>규칙형</x:v>
      </x:c>
      <x:c r="G298" s="2" t="str">
        <x:v>승</x:v>
      </x:c>
      <x:c r="H298" s="14" t="n">
        <x:v>10</x:v>
      </x:c>
      <x:c r="I298" s="14" t="n">
        <x:v>3</x:v>
      </x:c>
      <x:c r="J298" s="14" t="n">
        <x:v>11</x:v>
      </x:c>
      <x:c r="K298" s="14" t="n">
        <x:v>10</x:v>
      </x:c>
      <x:c r="L298" s="15" t="n">
        <x:f>IF(J298=0,"해당 없음",K298/J298)</x:f>
        <x:v>0.9090909090909091</x:v>
      </x:c>
      <x:c r="M298" s="14" t="n">
        <x:v>7</x:v>
      </x:c>
      <x:c r="N298" s="14" t="n">
        <x:v>5</x:v>
      </x:c>
      <x:c r="O298" s="15" t="n">
        <x:f>IF(M298=0,"해당 없음",N298/M298)</x:f>
        <x:v>0.7142857142857143</x:v>
      </x:c>
      <x:c r="P298" s="14" t="n">
        <x:v>106</x:v>
      </x:c>
    </x:row>
    <x:row r="299" ht="22" customHeight="1">
      <x:c r="A299" s="14" t="n">
        <x:v>147</x:v>
      </x:c>
      <x:c r="B299" s="14" t="n">
        <x:v>4</x:v>
      </x:c>
      <x:c r="C299" s="14" t="n">
        <x:v>76013</x:v>
      </x:c>
      <x:c r="D299" s="2" t="str">
        <x:v>NAVY</x:v>
      </x:c>
      <x:c r="E299" s="2" t="str">
        <x:v>규칙형</x:v>
      </x:c>
      <x:c r="F299" s="2" t="str">
        <x:v>120만</x:v>
      </x:c>
      <x:c r="G299" s="2" t="str">
        <x:v>패</x:v>
      </x:c>
      <x:c r="H299" s="14" t="n">
        <x:v>3</x:v>
      </x:c>
      <x:c r="I299" s="14" t="n">
        <x:v>10</x:v>
      </x:c>
      <x:c r="J299" s="14" t="n">
        <x:v>10</x:v>
      </x:c>
      <x:c r="K299" s="14" t="n">
        <x:v>3</x:v>
      </x:c>
      <x:c r="L299" s="15" t="n">
        <x:f>IF(J299=0,"해당 없음",K299/J299)</x:f>
        <x:v>0.3</x:v>
      </x:c>
      <x:c r="M299" s="14" t="n">
        <x:v>7</x:v>
      </x:c>
      <x:c r="N299" s="14" t="n">
        <x:v>6</x:v>
      </x:c>
      <x:c r="O299" s="15" t="n">
        <x:f>IF(M299=0,"해당 없음",N299/M299)</x:f>
        <x:v>0.8571428571428571</x:v>
      </x:c>
      <x:c r="P299" s="14" t="n">
        <x:v>106</x:v>
      </x:c>
    </x:row>
    <x:row r="300" ht="22" customHeight="1">
      <x:c r="A300" s="14" t="n">
        <x:v>148</x:v>
      </x:c>
      <x:c r="B300" s="14" t="n">
        <x:v>4</x:v>
      </x:c>
      <x:c r="C300" s="14" t="n">
        <x:v>76013</x:v>
      </x:c>
      <x:c r="D300" s="2" t="str">
        <x:v>RED</x:v>
      </x:c>
      <x:c r="E300" s="2" t="str">
        <x:v>규칙형</x:v>
      </x:c>
      <x:c r="F300" s="2" t="str">
        <x:v>120만</x:v>
      </x:c>
      <x:c r="G300" s="2" t="str">
        <x:v>패</x:v>
      </x:c>
      <x:c r="H300" s="14" t="n">
        <x:v>2</x:v>
      </x:c>
      <x:c r="I300" s="14" t="n">
        <x:v>4</x:v>
      </x:c>
      <x:c r="J300" s="14" t="n">
        <x:v>13</x:v>
      </x:c>
      <x:c r="K300" s="14" t="n">
        <x:v>2</x:v>
      </x:c>
      <x:c r="L300" s="15" t="n">
        <x:f>IF(J300=0,"해당 없음",K300/J300)</x:f>
        <x:v>0.15384615384615385</x:v>
      </x:c>
      <x:c r="M300" s="14" t="n">
        <x:v>8</x:v>
      </x:c>
      <x:c r="N300" s="14" t="n">
        <x:v>8</x:v>
      </x:c>
      <x:c r="O300" s="15" t="n">
        <x:f>IF(M300=0,"해당 없음",N300/M300)</x:f>
        <x:v>1</x:v>
      </x:c>
      <x:c r="P300" s="14" t="n">
        <x:v>104</x:v>
      </x:c>
    </x:row>
    <x:row r="301" ht="22" customHeight="1">
      <x:c r="A301" s="14" t="n">
        <x:v>148</x:v>
      </x:c>
      <x:c r="B301" s="14" t="n">
        <x:v>4</x:v>
      </x:c>
      <x:c r="C301" s="14" t="n">
        <x:v>76013</x:v>
      </x:c>
      <x:c r="D301" s="2" t="str">
        <x:v>NAVY</x:v>
      </x:c>
      <x:c r="E301" s="2" t="str">
        <x:v>120만</x:v>
      </x:c>
      <x:c r="F301" s="2" t="str">
        <x:v>규칙형</x:v>
      </x:c>
      <x:c r="G301" s="2" t="str">
        <x:v>승</x:v>
      </x:c>
      <x:c r="H301" s="14" t="n">
        <x:v>4</x:v>
      </x:c>
      <x:c r="I301" s="14" t="n">
        <x:v>2</x:v>
      </x:c>
      <x:c r="J301" s="14" t="n">
        <x:v>6</x:v>
      </x:c>
      <x:c r="K301" s="14" t="n">
        <x:v>4</x:v>
      </x:c>
      <x:c r="L301" s="15" t="n">
        <x:f>IF(J301=0,"해당 없음",K301/J301)</x:f>
        <x:v>0.6666666666666666</x:v>
      </x:c>
      <x:c r="M301" s="14" t="n">
        <x:v>12</x:v>
      </x:c>
      <x:c r="N301" s="14" t="n">
        <x:v>8</x:v>
      </x:c>
      <x:c r="O301" s="15" t="n">
        <x:f>IF(M301=0,"해당 없음",N301/M301)</x:f>
        <x:v>0.6666666666666666</x:v>
      </x:c>
      <x:c r="P301" s="14" t="n">
        <x:v>103</x:v>
      </x:c>
    </x:row>
    <x:row r="302" ht="22" customHeight="1">
      <x:c r="A302" s="14" t="n">
        <x:v>149</x:v>
      </x:c>
      <x:c r="B302" s="14" t="n">
        <x:v>4</x:v>
      </x:c>
      <x:c r="C302" s="14" t="n">
        <x:v>76014</x:v>
      </x:c>
      <x:c r="D302" s="2" t="str">
        <x:v>RED</x:v>
      </x:c>
      <x:c r="E302" s="2" t="str">
        <x:v>120만</x:v>
      </x:c>
      <x:c r="F302" s="2" t="str">
        <x:v>규칙형</x:v>
      </x:c>
      <x:c r="G302" s="2" t="str">
        <x:v>무</x:v>
      </x:c>
      <x:c r="H302" s="14" t="n">
        <x:v>3</x:v>
      </x:c>
      <x:c r="I302" s="14" t="n">
        <x:v>3</x:v>
      </x:c>
      <x:c r="J302" s="14" t="n">
        <x:v>7</x:v>
      </x:c>
      <x:c r="K302" s="14" t="n">
        <x:v>3</x:v>
      </x:c>
      <x:c r="L302" s="15" t="n">
        <x:f>IF(J302=0,"해당 없음",K302/J302)</x:f>
        <x:v>0.42857142857142855</x:v>
      </x:c>
      <x:c r="M302" s="14" t="n">
        <x:v>4</x:v>
      </x:c>
      <x:c r="N302" s="14" t="n">
        <x:v>4</x:v>
      </x:c>
      <x:c r="O302" s="15" t="n">
        <x:f>IF(M302=0,"해당 없음",N302/M302)</x:f>
        <x:v>1</x:v>
      </x:c>
      <x:c r="P302" s="14" t="n">
        <x:v>103</x:v>
      </x:c>
    </x:row>
    <x:row r="303" ht="22" customHeight="1">
      <x:c r="A303" s="14" t="n">
        <x:v>149</x:v>
      </x:c>
      <x:c r="B303" s="14" t="n">
        <x:v>4</x:v>
      </x:c>
      <x:c r="C303" s="14" t="n">
        <x:v>76014</x:v>
      </x:c>
      <x:c r="D303" s="2" t="str">
        <x:v>NAVY</x:v>
      </x:c>
      <x:c r="E303" s="2" t="str">
        <x:v>규칙형</x:v>
      </x:c>
      <x:c r="F303" s="2" t="str">
        <x:v>120만</x:v>
      </x:c>
      <x:c r="G303" s="2" t="str">
        <x:v>무</x:v>
      </x:c>
      <x:c r="H303" s="14" t="n">
        <x:v>3</x:v>
      </x:c>
      <x:c r="I303" s="14" t="n">
        <x:v>3</x:v>
      </x:c>
      <x:c r="J303" s="14" t="n">
        <x:v>5</x:v>
      </x:c>
      <x:c r="K303" s="14" t="n">
        <x:v>3</x:v>
      </x:c>
      <x:c r="L303" s="15" t="n">
        <x:f>IF(J303=0,"해당 없음",K303/J303)</x:f>
        <x:v>0.6</x:v>
      </x:c>
      <x:c r="M303" s="14" t="n">
        <x:v>16</x:v>
      </x:c>
      <x:c r="N303" s="14" t="n">
        <x:v>11</x:v>
      </x:c>
      <x:c r="O303" s="15" t="n">
        <x:f>IF(M303=0,"해당 없음",N303/M303)</x:f>
        <x:v>0.6875</x:v>
      </x:c>
      <x:c r="P303" s="14" t="n">
        <x:v>103</x:v>
      </x:c>
    </x:row>
    <x:row r="304" ht="22" customHeight="1">
      <x:c r="A304" s="14" t="n">
        <x:v>150</x:v>
      </x:c>
      <x:c r="B304" s="14" t="n">
        <x:v>4</x:v>
      </x:c>
      <x:c r="C304" s="14" t="n">
        <x:v>76014</x:v>
      </x:c>
      <x:c r="D304" s="2" t="str">
        <x:v>RED</x:v>
      </x:c>
      <x:c r="E304" s="2" t="str">
        <x:v>규칙형</x:v>
      </x:c>
      <x:c r="F304" s="2" t="str">
        <x:v>120만</x:v>
      </x:c>
      <x:c r="G304" s="2" t="str">
        <x:v>무</x:v>
      </x:c>
      <x:c r="H304" s="14" t="n">
        <x:v>3</x:v>
      </x:c>
      <x:c r="I304" s="14" t="n">
        <x:v>3</x:v>
      </x:c>
      <x:c r="J304" s="14" t="n">
        <x:v>7</x:v>
      </x:c>
      <x:c r="K304" s="14" t="n">
        <x:v>3</x:v>
      </x:c>
      <x:c r="L304" s="15" t="n">
        <x:f>IF(J304=0,"해당 없음",K304/J304)</x:f>
        <x:v>0.42857142857142855</x:v>
      </x:c>
      <x:c r="M304" s="14" t="n">
        <x:v>11</x:v>
      </x:c>
      <x:c r="N304" s="14" t="n">
        <x:v>9</x:v>
      </x:c>
      <x:c r="O304" s="15" t="n">
        <x:f>IF(M304=0,"해당 없음",N304/M304)</x:f>
        <x:v>0.8181818181818182</x:v>
      </x:c>
      <x:c r="P304" s="14" t="n">
        <x:v>104</x:v>
      </x:c>
    </x:row>
    <x:row r="305" ht="22" customHeight="1">
      <x:c r="A305" s="14" t="n">
        <x:v>150</x:v>
      </x:c>
      <x:c r="B305" s="14" t="n">
        <x:v>4</x:v>
      </x:c>
      <x:c r="C305" s="14" t="n">
        <x:v>76014</x:v>
      </x:c>
      <x:c r="D305" s="2" t="str">
        <x:v>NAVY</x:v>
      </x:c>
      <x:c r="E305" s="2" t="str">
        <x:v>120만</x:v>
      </x:c>
      <x:c r="F305" s="2" t="str">
        <x:v>규칙형</x:v>
      </x:c>
      <x:c r="G305" s="2" t="str">
        <x:v>무</x:v>
      </x:c>
      <x:c r="H305" s="14" t="n">
        <x:v>3</x:v>
      </x:c>
      <x:c r="I305" s="14" t="n">
        <x:v>3</x:v>
      </x:c>
      <x:c r="J305" s="14" t="n">
        <x:v>6</x:v>
      </x:c>
      <x:c r="K305" s="14" t="n">
        <x:v>3</x:v>
      </x:c>
      <x:c r="L305" s="15" t="n">
        <x:f>IF(J305=0,"해당 없음",K305/J305)</x:f>
        <x:v>0.5</x:v>
      </x:c>
      <x:c r="M305" s="14" t="n">
        <x:v>7</x:v>
      </x:c>
      <x:c r="N305" s="14" t="n">
        <x:v>3</x:v>
      </x:c>
      <x:c r="O305" s="15" t="n">
        <x:f>IF(M305=0,"해당 없음",N305/M305)</x:f>
        <x:v>0.42857142857142855</x:v>
      </x:c>
      <x:c r="P305" s="14" t="n">
        <x:v>102</x:v>
      </x:c>
    </x:row>
    <x:row r="306" ht="22" customHeight="1">
      <x:c r="A306" s="14" t="n">
        <x:v>151</x:v>
      </x:c>
      <x:c r="B306" s="14" t="n">
        <x:v>4</x:v>
      </x:c>
      <x:c r="C306" s="14" t="n">
        <x:v>76015</x:v>
      </x:c>
      <x:c r="D306" s="2" t="str">
        <x:v>RED</x:v>
      </x:c>
      <x:c r="E306" s="2" t="str">
        <x:v>120만</x:v>
      </x:c>
      <x:c r="F306" s="2" t="str">
        <x:v>규칙형</x:v>
      </x:c>
      <x:c r="G306" s="2" t="str">
        <x:v>패</x:v>
      </x:c>
      <x:c r="H306" s="14" t="n">
        <x:v>3</x:v>
      </x:c>
      <x:c r="I306" s="14" t="n">
        <x:v>4</x:v>
      </x:c>
      <x:c r="J306" s="14" t="n">
        <x:v>8</x:v>
      </x:c>
      <x:c r="K306" s="14" t="n">
        <x:v>3</x:v>
      </x:c>
      <x:c r="L306" s="15" t="n">
        <x:f>IF(J306=0,"해당 없음",K306/J306)</x:f>
        <x:v>0.375</x:v>
      </x:c>
      <x:c r="M306" s="14" t="n">
        <x:v>4</x:v>
      </x:c>
      <x:c r="N306" s="14" t="n">
        <x:v>2</x:v>
      </x:c>
      <x:c r="O306" s="15" t="n">
        <x:f>IF(M306=0,"해당 없음",N306/M306)</x:f>
        <x:v>0.5</x:v>
      </x:c>
      <x:c r="P306" s="14" t="n">
        <x:v>103</x:v>
      </x:c>
    </x:row>
    <x:row r="307" ht="22" customHeight="1">
      <x:c r="A307" s="14" t="n">
        <x:v>151</x:v>
      </x:c>
      <x:c r="B307" s="14" t="n">
        <x:v>4</x:v>
      </x:c>
      <x:c r="C307" s="14" t="n">
        <x:v>76015</x:v>
      </x:c>
      <x:c r="D307" s="2" t="str">
        <x:v>NAVY</x:v>
      </x:c>
      <x:c r="E307" s="2" t="str">
        <x:v>규칙형</x:v>
      </x:c>
      <x:c r="F307" s="2" t="str">
        <x:v>120만</x:v>
      </x:c>
      <x:c r="G307" s="2" t="str">
        <x:v>승</x:v>
      </x:c>
      <x:c r="H307" s="14" t="n">
        <x:v>4</x:v>
      </x:c>
      <x:c r="I307" s="14" t="n">
        <x:v>3</x:v>
      </x:c>
      <x:c r="J307" s="14" t="n">
        <x:v>8</x:v>
      </x:c>
      <x:c r="K307" s="14" t="n">
        <x:v>4</x:v>
      </x:c>
      <x:c r="L307" s="15" t="n">
        <x:f>IF(J307=0,"해당 없음",K307/J307)</x:f>
        <x:v>0.5</x:v>
      </x:c>
      <x:c r="M307" s="14" t="n">
        <x:v>10</x:v>
      </x:c>
      <x:c r="N307" s="14" t="n">
        <x:v>9</x:v>
      </x:c>
      <x:c r="O307" s="15" t="n">
        <x:f>IF(M307=0,"해당 없음",N307/M307)</x:f>
        <x:v>0.9</x:v>
      </x:c>
      <x:c r="P307" s="14" t="n">
        <x:v>103</x:v>
      </x:c>
    </x:row>
    <x:row r="308" ht="22" customHeight="1">
      <x:c r="A308" s="14" t="n">
        <x:v>152</x:v>
      </x:c>
      <x:c r="B308" s="14" t="n">
        <x:v>4</x:v>
      </x:c>
      <x:c r="C308" s="14" t="n">
        <x:v>76015</x:v>
      </x:c>
      <x:c r="D308" s="2" t="str">
        <x:v>RED</x:v>
      </x:c>
      <x:c r="E308" s="2" t="str">
        <x:v>규칙형</x:v>
      </x:c>
      <x:c r="F308" s="2" t="str">
        <x:v>120만</x:v>
      </x:c>
      <x:c r="G308" s="2" t="str">
        <x:v>패</x:v>
      </x:c>
      <x:c r="H308" s="14" t="n">
        <x:v>2</x:v>
      </x:c>
      <x:c r="I308" s="14" t="n">
        <x:v>3</x:v>
      </x:c>
      <x:c r="J308" s="14" t="n">
        <x:v>13</x:v>
      </x:c>
      <x:c r="K308" s="14" t="n">
        <x:v>2</x:v>
      </x:c>
      <x:c r="L308" s="15" t="n">
        <x:f>IF(J308=0,"해당 없음",K308/J308)</x:f>
        <x:v>0.15384615384615385</x:v>
      </x:c>
      <x:c r="M308" s="14" t="n">
        <x:v>16</x:v>
      </x:c>
      <x:c r="N308" s="14" t="n">
        <x:v>13</x:v>
      </x:c>
      <x:c r="O308" s="15" t="n">
        <x:f>IF(M308=0,"해당 없음",N308/M308)</x:f>
        <x:v>0.8125</x:v>
      </x:c>
      <x:c r="P308" s="14" t="n">
        <x:v>103</x:v>
      </x:c>
    </x:row>
    <x:row r="309" ht="22" customHeight="1">
      <x:c r="A309" s="14" t="n">
        <x:v>152</x:v>
      </x:c>
      <x:c r="B309" s="14" t="n">
        <x:v>4</x:v>
      </x:c>
      <x:c r="C309" s="14" t="n">
        <x:v>76015</x:v>
      </x:c>
      <x:c r="D309" s="2" t="str">
        <x:v>NAVY</x:v>
      </x:c>
      <x:c r="E309" s="2" t="str">
        <x:v>120만</x:v>
      </x:c>
      <x:c r="F309" s="2" t="str">
        <x:v>규칙형</x:v>
      </x:c>
      <x:c r="G309" s="2" t="str">
        <x:v>승</x:v>
      </x:c>
      <x:c r="H309" s="14" t="n">
        <x:v>3</x:v>
      </x:c>
      <x:c r="I309" s="14" t="n">
        <x:v>2</x:v>
      </x:c>
      <x:c r="J309" s="14" t="n">
        <x:v>6</x:v>
      </x:c>
      <x:c r="K309" s="14" t="n">
        <x:v>3</x:v>
      </x:c>
      <x:c r="L309" s="15" t="n">
        <x:f>IF(J309=0,"해당 없음",K309/J309)</x:f>
        <x:v>0.5</x:v>
      </x:c>
      <x:c r="M309" s="14" t="n">
        <x:v>9</x:v>
      </x:c>
      <x:c r="N309" s="14" t="n">
        <x:v>6</x:v>
      </x:c>
      <x:c r="O309" s="15" t="n">
        <x:f>IF(M309=0,"해당 없음",N309/M309)</x:f>
        <x:v>0.6666666666666666</x:v>
      </x:c>
      <x:c r="P309" s="14" t="n">
        <x:v>103</x:v>
      </x:c>
    </x:row>
    <x:row r="310" ht="22" customHeight="1">
      <x:c r="A310" s="14" t="n">
        <x:v>153</x:v>
      </x:c>
      <x:c r="B310" s="14" t="n">
        <x:v>4</x:v>
      </x:c>
      <x:c r="C310" s="14" t="n">
        <x:v>76016</x:v>
      </x:c>
      <x:c r="D310" s="2" t="str">
        <x:v>RED</x:v>
      </x:c>
      <x:c r="E310" s="2" t="str">
        <x:v>120만</x:v>
      </x:c>
      <x:c r="F310" s="2" t="str">
        <x:v>규칙형</x:v>
      </x:c>
      <x:c r="G310" s="2" t="str">
        <x:v>승</x:v>
      </x:c>
      <x:c r="H310" s="14" t="n">
        <x:v>4</x:v>
      </x:c>
      <x:c r="I310" s="14" t="n">
        <x:v>2</x:v>
      </x:c>
      <x:c r="J310" s="14" t="n">
        <x:v>8</x:v>
      </x:c>
      <x:c r="K310" s="14" t="n">
        <x:v>4</x:v>
      </x:c>
      <x:c r="L310" s="15" t="n">
        <x:f>IF(J310=0,"해당 없음",K310/J310)</x:f>
        <x:v>0.5</x:v>
      </x:c>
      <x:c r="M310" s="14" t="n">
        <x:v>4</x:v>
      </x:c>
      <x:c r="N310" s="14" t="n">
        <x:v>3</x:v>
      </x:c>
      <x:c r="O310" s="15" t="n">
        <x:f>IF(M310=0,"해당 없음",N310/M310)</x:f>
        <x:v>0.75</x:v>
      </x:c>
      <x:c r="P310" s="14" t="n">
        <x:v>103</x:v>
      </x:c>
    </x:row>
    <x:row r="311" ht="22" customHeight="1">
      <x:c r="A311" s="14" t="n">
        <x:v>153</x:v>
      </x:c>
      <x:c r="B311" s="14" t="n">
        <x:v>4</x:v>
      </x:c>
      <x:c r="C311" s="14" t="n">
        <x:v>76016</x:v>
      </x:c>
      <x:c r="D311" s="2" t="str">
        <x:v>NAVY</x:v>
      </x:c>
      <x:c r="E311" s="2" t="str">
        <x:v>규칙형</x:v>
      </x:c>
      <x:c r="F311" s="2" t="str">
        <x:v>120만</x:v>
      </x:c>
      <x:c r="G311" s="2" t="str">
        <x:v>패</x:v>
      </x:c>
      <x:c r="H311" s="14" t="n">
        <x:v>2</x:v>
      </x:c>
      <x:c r="I311" s="14" t="n">
        <x:v>4</x:v>
      </x:c>
      <x:c r="J311" s="14" t="n">
        <x:v>5</x:v>
      </x:c>
      <x:c r="K311" s="14" t="n">
        <x:v>2</x:v>
      </x:c>
      <x:c r="L311" s="15" t="n">
        <x:f>IF(J311=0,"해당 없음",K311/J311)</x:f>
        <x:v>0.4</x:v>
      </x:c>
      <x:c r="M311" s="14" t="n">
        <x:v>14</x:v>
      </x:c>
      <x:c r="N311" s="14" t="n">
        <x:v>10</x:v>
      </x:c>
      <x:c r="O311" s="15" t="n">
        <x:f>IF(M311=0,"해당 없음",N311/M311)</x:f>
        <x:v>0.7142857142857143</x:v>
      </x:c>
      <x:c r="P311" s="14" t="n">
        <x:v>102</x:v>
      </x:c>
    </x:row>
    <x:row r="312" ht="22" customHeight="1">
      <x:c r="A312" s="14" t="n">
        <x:v>154</x:v>
      </x:c>
      <x:c r="B312" s="14" t="n">
        <x:v>4</x:v>
      </x:c>
      <x:c r="C312" s="14" t="n">
        <x:v>76016</x:v>
      </x:c>
      <x:c r="D312" s="2" t="str">
        <x:v>RED</x:v>
      </x:c>
      <x:c r="E312" s="2" t="str">
        <x:v>규칙형</x:v>
      </x:c>
      <x:c r="F312" s="2" t="str">
        <x:v>120만</x:v>
      </x:c>
      <x:c r="G312" s="2" t="str">
        <x:v>패</x:v>
      </x:c>
      <x:c r="H312" s="14" t="n">
        <x:v>2</x:v>
      </x:c>
      <x:c r="I312" s="14" t="n">
        <x:v>5</x:v>
      </x:c>
      <x:c r="J312" s="14" t="n">
        <x:v>13</x:v>
      </x:c>
      <x:c r="K312" s="14" t="n">
        <x:v>2</x:v>
      </x:c>
      <x:c r="L312" s="15" t="n">
        <x:f>IF(J312=0,"해당 없음",K312/J312)</x:f>
        <x:v>0.15384615384615385</x:v>
      </x:c>
      <x:c r="M312" s="14" t="n">
        <x:v>4</x:v>
      </x:c>
      <x:c r="N312" s="14" t="n">
        <x:v>3</x:v>
      </x:c>
      <x:c r="O312" s="15" t="n">
        <x:f>IF(M312=0,"해당 없음",N312/M312)</x:f>
        <x:v>0.75</x:v>
      </x:c>
      <x:c r="P312" s="14" t="n">
        <x:v>104</x:v>
      </x:c>
    </x:row>
    <x:row r="313" ht="22" customHeight="1">
      <x:c r="A313" s="14" t="n">
        <x:v>154</x:v>
      </x:c>
      <x:c r="B313" s="14" t="n">
        <x:v>4</x:v>
      </x:c>
      <x:c r="C313" s="14" t="n">
        <x:v>76016</x:v>
      </x:c>
      <x:c r="D313" s="2" t="str">
        <x:v>NAVY</x:v>
      </x:c>
      <x:c r="E313" s="2" t="str">
        <x:v>120만</x:v>
      </x:c>
      <x:c r="F313" s="2" t="str">
        <x:v>규칙형</x:v>
      </x:c>
      <x:c r="G313" s="2" t="str">
        <x:v>승</x:v>
      </x:c>
      <x:c r="H313" s="14" t="n">
        <x:v>5</x:v>
      </x:c>
      <x:c r="I313" s="14" t="n">
        <x:v>2</x:v>
      </x:c>
      <x:c r="J313" s="14" t="n">
        <x:v>6</x:v>
      </x:c>
      <x:c r="K313" s="14" t="n">
        <x:v>5</x:v>
      </x:c>
      <x:c r="L313" s="15" t="n">
        <x:f>IF(J313=0,"해당 없음",K313/J313)</x:f>
        <x:v>0.8333333333333334</x:v>
      </x:c>
      <x:c r="M313" s="14" t="n">
        <x:v>8</x:v>
      </x:c>
      <x:c r="N313" s="14" t="n">
        <x:v>6</x:v>
      </x:c>
      <x:c r="O313" s="15" t="n">
        <x:f>IF(M313=0,"해당 없음",N313/M313)</x:f>
        <x:v>0.75</x:v>
      </x:c>
      <x:c r="P313" s="14" t="n">
        <x:v>103</x:v>
      </x:c>
    </x:row>
    <x:row r="314" ht="22" customHeight="1">
      <x:c r="A314" s="14" t="n">
        <x:v>155</x:v>
      </x:c>
      <x:c r="B314" s="14" t="n">
        <x:v>4</x:v>
      </x:c>
      <x:c r="C314" s="14" t="n">
        <x:v>76017</x:v>
      </x:c>
      <x:c r="D314" s="2" t="str">
        <x:v>RED</x:v>
      </x:c>
      <x:c r="E314" s="2" t="str">
        <x:v>120만</x:v>
      </x:c>
      <x:c r="F314" s="2" t="str">
        <x:v>규칙형</x:v>
      </x:c>
      <x:c r="G314" s="2" t="str">
        <x:v>승</x:v>
      </x:c>
      <x:c r="H314" s="14" t="n">
        <x:v>3</x:v>
      </x:c>
      <x:c r="I314" s="14" t="n">
        <x:v>2</x:v>
      </x:c>
      <x:c r="J314" s="14" t="n">
        <x:v>4</x:v>
      </x:c>
      <x:c r="K314" s="14" t="n">
        <x:v>3</x:v>
      </x:c>
      <x:c r="L314" s="15" t="n">
        <x:f>IF(J314=0,"해당 없음",K314/J314)</x:f>
        <x:v>0.75</x:v>
      </x:c>
      <x:c r="M314" s="14" t="n">
        <x:v>7</x:v>
      </x:c>
      <x:c r="N314" s="14" t="n">
        <x:v>5</x:v>
      </x:c>
      <x:c r="O314" s="15" t="n">
        <x:f>IF(M314=0,"해당 없음",N314/M314)</x:f>
        <x:v>0.7142857142857143</x:v>
      </x:c>
      <x:c r="P314" s="14" t="n">
        <x:v>102</x:v>
      </x:c>
    </x:row>
    <x:row r="315" ht="22" customHeight="1">
      <x:c r="A315" s="14" t="n">
        <x:v>155</x:v>
      </x:c>
      <x:c r="B315" s="14" t="n">
        <x:v>4</x:v>
      </x:c>
      <x:c r="C315" s="14" t="n">
        <x:v>76017</x:v>
      </x:c>
      <x:c r="D315" s="2" t="str">
        <x:v>NAVY</x:v>
      </x:c>
      <x:c r="E315" s="2" t="str">
        <x:v>규칙형</x:v>
      </x:c>
      <x:c r="F315" s="2" t="str">
        <x:v>120만</x:v>
      </x:c>
      <x:c r="G315" s="2" t="str">
        <x:v>패</x:v>
      </x:c>
      <x:c r="H315" s="14" t="n">
        <x:v>2</x:v>
      </x:c>
      <x:c r="I315" s="14" t="n">
        <x:v>3</x:v>
      </x:c>
      <x:c r="J315" s="14" t="n">
        <x:v>10</x:v>
      </x:c>
      <x:c r="K315" s="14" t="n">
        <x:v>2</x:v>
      </x:c>
      <x:c r="L315" s="15" t="n">
        <x:f>IF(J315=0,"해당 없음",K315/J315)</x:f>
        <x:v>0.2</x:v>
      </x:c>
      <x:c r="M315" s="14" t="n">
        <x:v>9</x:v>
      </x:c>
      <x:c r="N315" s="14" t="n">
        <x:v>7</x:v>
      </x:c>
      <x:c r="O315" s="15" t="n">
        <x:f>IF(M315=0,"해당 없음",N315/M315)</x:f>
        <x:v>0.7777777777777778</x:v>
      </x:c>
      <x:c r="P315" s="14" t="n">
        <x:v>102</x:v>
      </x:c>
    </x:row>
    <x:row r="316" ht="22" customHeight="1">
      <x:c r="A316" s="14" t="n">
        <x:v>156</x:v>
      </x:c>
      <x:c r="B316" s="14" t="n">
        <x:v>4</x:v>
      </x:c>
      <x:c r="C316" s="14" t="n">
        <x:v>76017</x:v>
      </x:c>
      <x:c r="D316" s="2" t="str">
        <x:v>RED</x:v>
      </x:c>
      <x:c r="E316" s="2" t="str">
        <x:v>규칙형</x:v>
      </x:c>
      <x:c r="F316" s="2" t="str">
        <x:v>120만</x:v>
      </x:c>
      <x:c r="G316" s="2" t="str">
        <x:v>패</x:v>
      </x:c>
      <x:c r="H316" s="14" t="n">
        <x:v>4</x:v>
      </x:c>
      <x:c r="I316" s="14" t="n">
        <x:v>6</x:v>
      </x:c>
      <x:c r="J316" s="14" t="n">
        <x:v>10</x:v>
      </x:c>
      <x:c r="K316" s="14" t="n">
        <x:v>4</x:v>
      </x:c>
      <x:c r="L316" s="15" t="n">
        <x:f>IF(J316=0,"해당 없음",K316/J316)</x:f>
        <x:v>0.4</x:v>
      </x:c>
      <x:c r="M316" s="14" t="n">
        <x:v>8</x:v>
      </x:c>
      <x:c r="N316" s="14" t="n">
        <x:v>7</x:v>
      </x:c>
      <x:c r="O316" s="15" t="n">
        <x:f>IF(M316=0,"해당 없음",N316/M316)</x:f>
        <x:v>0.875</x:v>
      </x:c>
      <x:c r="P316" s="14" t="n">
        <x:v>105</x:v>
      </x:c>
    </x:row>
    <x:row r="317" ht="22" customHeight="1">
      <x:c r="A317" s="14" t="n">
        <x:v>156</x:v>
      </x:c>
      <x:c r="B317" s="14" t="n">
        <x:v>4</x:v>
      </x:c>
      <x:c r="C317" s="14" t="n">
        <x:v>76017</x:v>
      </x:c>
      <x:c r="D317" s="2" t="str">
        <x:v>NAVY</x:v>
      </x:c>
      <x:c r="E317" s="2" t="str">
        <x:v>120만</x:v>
      </x:c>
      <x:c r="F317" s="2" t="str">
        <x:v>규칙형</x:v>
      </x:c>
      <x:c r="G317" s="2" t="str">
        <x:v>승</x:v>
      </x:c>
      <x:c r="H317" s="14" t="n">
        <x:v>6</x:v>
      </x:c>
      <x:c r="I317" s="14" t="n">
        <x:v>4</x:v>
      </x:c>
      <x:c r="J317" s="14" t="n">
        <x:v>10</x:v>
      </x:c>
      <x:c r="K317" s="14" t="n">
        <x:v>6</x:v>
      </x:c>
      <x:c r="L317" s="15" t="n">
        <x:f>IF(J317=0,"해당 없음",K317/J317)</x:f>
        <x:v>0.6</x:v>
      </x:c>
      <x:c r="M317" s="14" t="n">
        <x:v>7</x:v>
      </x:c>
      <x:c r="N317" s="14" t="n">
        <x:v>6</x:v>
      </x:c>
      <x:c r="O317" s="15" t="n">
        <x:f>IF(M317=0,"해당 없음",N317/M317)</x:f>
        <x:v>0.8571428571428571</x:v>
      </x:c>
      <x:c r="P317" s="14" t="n">
        <x:v>106</x:v>
      </x:c>
    </x:row>
    <x:row r="318" ht="22" customHeight="1">
      <x:c r="A318" s="14" t="n">
        <x:v>157</x:v>
      </x:c>
      <x:c r="B318" s="14" t="n">
        <x:v>4</x:v>
      </x:c>
      <x:c r="C318" s="14" t="n">
        <x:v>76018</x:v>
      </x:c>
      <x:c r="D318" s="2" t="str">
        <x:v>RED</x:v>
      </x:c>
      <x:c r="E318" s="2" t="str">
        <x:v>120만</x:v>
      </x:c>
      <x:c r="F318" s="2" t="str">
        <x:v>규칙형</x:v>
      </x:c>
      <x:c r="G318" s="2" t="str">
        <x:v>승</x:v>
      </x:c>
      <x:c r="H318" s="14" t="n">
        <x:v>4</x:v>
      </x:c>
      <x:c r="I318" s="14" t="n">
        <x:v>3</x:v>
      </x:c>
      <x:c r="J318" s="14" t="n">
        <x:v>10</x:v>
      </x:c>
      <x:c r="K318" s="14" t="n">
        <x:v>4</x:v>
      </x:c>
      <x:c r="L318" s="15" t="n">
        <x:f>IF(J318=0,"해당 없음",K318/J318)</x:f>
        <x:v>0.4</x:v>
      </x:c>
      <x:c r="M318" s="14" t="n">
        <x:v>6</x:v>
      </x:c>
      <x:c r="N318" s="14" t="n">
        <x:v>5</x:v>
      </x:c>
      <x:c r="O318" s="15" t="n">
        <x:f>IF(M318=0,"해당 없음",N318/M318)</x:f>
        <x:v>0.8333333333333334</x:v>
      </x:c>
      <x:c r="P318" s="14" t="n">
        <x:v>104</x:v>
      </x:c>
    </x:row>
    <x:row r="319" ht="22" customHeight="1">
      <x:c r="A319" s="14" t="n">
        <x:v>157</x:v>
      </x:c>
      <x:c r="B319" s="14" t="n">
        <x:v>4</x:v>
      </x:c>
      <x:c r="C319" s="14" t="n">
        <x:v>76018</x:v>
      </x:c>
      <x:c r="D319" s="2" t="str">
        <x:v>NAVY</x:v>
      </x:c>
      <x:c r="E319" s="2" t="str">
        <x:v>규칙형</x:v>
      </x:c>
      <x:c r="F319" s="2" t="str">
        <x:v>120만</x:v>
      </x:c>
      <x:c r="G319" s="2" t="str">
        <x:v>패</x:v>
      </x:c>
      <x:c r="H319" s="14" t="n">
        <x:v>3</x:v>
      </x:c>
      <x:c r="I319" s="14" t="n">
        <x:v>4</x:v>
      </x:c>
      <x:c r="J319" s="14" t="n">
        <x:v>8</x:v>
      </x:c>
      <x:c r="K319" s="14" t="n">
        <x:v>3</x:v>
      </x:c>
      <x:c r="L319" s="15" t="n">
        <x:f>IF(J319=0,"해당 없음",K319/J319)</x:f>
        <x:v>0.375</x:v>
      </x:c>
      <x:c r="M319" s="14" t="n">
        <x:v>12</x:v>
      </x:c>
      <x:c r="N319" s="14" t="n">
        <x:v>9</x:v>
      </x:c>
      <x:c r="O319" s="15" t="n">
        <x:f>IF(M319=0,"해당 없음",N319/M319)</x:f>
        <x:v>0.75</x:v>
      </x:c>
      <x:c r="P319" s="14" t="n">
        <x:v>103</x:v>
      </x:c>
    </x:row>
    <x:row r="320" ht="22" customHeight="1">
      <x:c r="A320" s="14" t="n">
        <x:v>158</x:v>
      </x:c>
      <x:c r="B320" s="14" t="n">
        <x:v>4</x:v>
      </x:c>
      <x:c r="C320" s="14" t="n">
        <x:v>76018</x:v>
      </x:c>
      <x:c r="D320" s="2" t="str">
        <x:v>RED</x:v>
      </x:c>
      <x:c r="E320" s="2" t="str">
        <x:v>규칙형</x:v>
      </x:c>
      <x:c r="F320" s="2" t="str">
        <x:v>120만</x:v>
      </x:c>
      <x:c r="G320" s="2" t="str">
        <x:v>패</x:v>
      </x:c>
      <x:c r="H320" s="14" t="n">
        <x:v>2</x:v>
      </x:c>
      <x:c r="I320" s="14" t="n">
        <x:v>5</x:v>
      </x:c>
      <x:c r="J320" s="14" t="n">
        <x:v>10</x:v>
      </x:c>
      <x:c r="K320" s="14" t="n">
        <x:v>2</x:v>
      </x:c>
      <x:c r="L320" s="15" t="n">
        <x:f>IF(J320=0,"해당 없음",K320/J320)</x:f>
        <x:v>0.2</x:v>
      </x:c>
      <x:c r="M320" s="14" t="n">
        <x:v>10</x:v>
      </x:c>
      <x:c r="N320" s="14" t="n">
        <x:v>10</x:v>
      </x:c>
      <x:c r="O320" s="15" t="n">
        <x:f>IF(M320=0,"해당 없음",N320/M320)</x:f>
        <x:v>1</x:v>
      </x:c>
      <x:c r="P320" s="14" t="n">
        <x:v>103</x:v>
      </x:c>
    </x:row>
    <x:row r="321" ht="22" customHeight="1">
      <x:c r="A321" s="14" t="n">
        <x:v>158</x:v>
      </x:c>
      <x:c r="B321" s="14" t="n">
        <x:v>4</x:v>
      </x:c>
      <x:c r="C321" s="14" t="n">
        <x:v>76018</x:v>
      </x:c>
      <x:c r="D321" s="2" t="str">
        <x:v>NAVY</x:v>
      </x:c>
      <x:c r="E321" s="2" t="str">
        <x:v>120만</x:v>
      </x:c>
      <x:c r="F321" s="2" t="str">
        <x:v>규칙형</x:v>
      </x:c>
      <x:c r="G321" s="2" t="str">
        <x:v>승</x:v>
      </x:c>
      <x:c r="H321" s="14" t="n">
        <x:v>5</x:v>
      </x:c>
      <x:c r="I321" s="14" t="n">
        <x:v>2</x:v>
      </x:c>
      <x:c r="J321" s="14" t="n">
        <x:v>6</x:v>
      </x:c>
      <x:c r="K321" s="14" t="n">
        <x:v>5</x:v>
      </x:c>
      <x:c r="L321" s="15" t="n">
        <x:f>IF(J321=0,"해당 없음",K321/J321)</x:f>
        <x:v>0.8333333333333334</x:v>
      </x:c>
      <x:c r="M321" s="14" t="n">
        <x:v>7</x:v>
      </x:c>
      <x:c r="N321" s="14" t="n">
        <x:v>4</x:v>
      </x:c>
      <x:c r="O321" s="15" t="n">
        <x:f>IF(M321=0,"해당 없음",N321/M321)</x:f>
        <x:v>0.5714285714285714</x:v>
      </x:c>
      <x:c r="P321" s="14" t="n">
        <x:v>105</x:v>
      </x:c>
    </x:row>
    <x:row r="322" ht="22" customHeight="1">
      <x:c r="A322" s="14" t="n">
        <x:v>159</x:v>
      </x:c>
      <x:c r="B322" s="14" t="n">
        <x:v>4</x:v>
      </x:c>
      <x:c r="C322" s="14" t="n">
        <x:v>76019</x:v>
      </x:c>
      <x:c r="D322" s="2" t="str">
        <x:v>RED</x:v>
      </x:c>
      <x:c r="E322" s="2" t="str">
        <x:v>120만</x:v>
      </x:c>
      <x:c r="F322" s="2" t="str">
        <x:v>규칙형</x:v>
      </x:c>
      <x:c r="G322" s="2" t="str">
        <x:v>무</x:v>
      </x:c>
      <x:c r="H322" s="14" t="n">
        <x:v>3</x:v>
      </x:c>
      <x:c r="I322" s="14" t="n">
        <x:v>3</x:v>
      </x:c>
      <x:c r="J322" s="14" t="n">
        <x:v>6</x:v>
      </x:c>
      <x:c r="K322" s="14" t="n">
        <x:v>3</x:v>
      </x:c>
      <x:c r="L322" s="15" t="n">
        <x:f>IF(J322=0,"해당 없음",K322/J322)</x:f>
        <x:v>0.5</x:v>
      </x:c>
      <x:c r="M322" s="14" t="n">
        <x:v>9</x:v>
      </x:c>
      <x:c r="N322" s="14" t="n">
        <x:v>8</x:v>
      </x:c>
      <x:c r="O322" s="15" t="n">
        <x:f>IF(M322=0,"해당 없음",N322/M322)</x:f>
        <x:v>0.8888888888888888</x:v>
      </x:c>
      <x:c r="P322" s="14" t="n">
        <x:v>104</x:v>
      </x:c>
    </x:row>
    <x:row r="323" ht="22" customHeight="1">
      <x:c r="A323" s="14" t="n">
        <x:v>159</x:v>
      </x:c>
      <x:c r="B323" s="14" t="n">
        <x:v>4</x:v>
      </x:c>
      <x:c r="C323" s="14" t="n">
        <x:v>76019</x:v>
      </x:c>
      <x:c r="D323" s="2" t="str">
        <x:v>NAVY</x:v>
      </x:c>
      <x:c r="E323" s="2" t="str">
        <x:v>규칙형</x:v>
      </x:c>
      <x:c r="F323" s="2" t="str">
        <x:v>120만</x:v>
      </x:c>
      <x:c r="G323" s="2" t="str">
        <x:v>무</x:v>
      </x:c>
      <x:c r="H323" s="14" t="n">
        <x:v>3</x:v>
      </x:c>
      <x:c r="I323" s="14" t="n">
        <x:v>3</x:v>
      </x:c>
      <x:c r="J323" s="14" t="n">
        <x:v>11</x:v>
      </x:c>
      <x:c r="K323" s="14" t="n">
        <x:v>3</x:v>
      </x:c>
      <x:c r="L323" s="15" t="n">
        <x:f>IF(J323=0,"해당 없음",K323/J323)</x:f>
        <x:v>0.2727272727272727</x:v>
      </x:c>
      <x:c r="M323" s="14" t="n">
        <x:v>14</x:v>
      </x:c>
      <x:c r="N323" s="14" t="n">
        <x:v>12</x:v>
      </x:c>
      <x:c r="O323" s="15" t="n">
        <x:f>IF(M323=0,"해당 없음",N323/M323)</x:f>
        <x:v>0.8571428571428571</x:v>
      </x:c>
      <x:c r="P323" s="14" t="n">
        <x:v>104</x:v>
      </x:c>
    </x:row>
    <x:row r="324" ht="22" customHeight="1">
      <x:c r="A324" s="14" t="n">
        <x:v>160</x:v>
      </x:c>
      <x:c r="B324" s="14" t="n">
        <x:v>4</x:v>
      </x:c>
      <x:c r="C324" s="14" t="n">
        <x:v>76019</x:v>
      </x:c>
      <x:c r="D324" s="2" t="str">
        <x:v>RED</x:v>
      </x:c>
      <x:c r="E324" s="2" t="str">
        <x:v>규칙형</x:v>
      </x:c>
      <x:c r="F324" s="2" t="str">
        <x:v>120만</x:v>
      </x:c>
      <x:c r="G324" s="2" t="str">
        <x:v>패</x:v>
      </x:c>
      <x:c r="H324" s="14" t="n">
        <x:v>0</x:v>
      </x:c>
      <x:c r="I324" s="14" t="n">
        <x:v>6</x:v>
      </x:c>
      <x:c r="J324" s="14" t="n">
        <x:v>3</x:v>
      </x:c>
      <x:c r="K324" s="14" t="n">
        <x:v>0</x:v>
      </x:c>
      <x:c r="L324" s="15" t="n">
        <x:f>IF(J324=0,"해당 없음",K324/J324)</x:f>
        <x:v>0</x:v>
      </x:c>
      <x:c r="M324" s="14" t="n">
        <x:v>10</x:v>
      </x:c>
      <x:c r="N324" s="14" t="n">
        <x:v>6</x:v>
      </x:c>
      <x:c r="O324" s="15" t="n">
        <x:f>IF(M324=0,"해당 없음",N324/M324)</x:f>
        <x:v>0.6</x:v>
      </x:c>
      <x:c r="P324" s="14" t="n">
        <x:v>102</x:v>
      </x:c>
    </x:row>
    <x:row r="325" ht="22" customHeight="1">
      <x:c r="A325" s="14" t="n">
        <x:v>160</x:v>
      </x:c>
      <x:c r="B325" s="14" t="n">
        <x:v>4</x:v>
      </x:c>
      <x:c r="C325" s="14" t="n">
        <x:v>76019</x:v>
      </x:c>
      <x:c r="D325" s="2" t="str">
        <x:v>NAVY</x:v>
      </x:c>
      <x:c r="E325" s="2" t="str">
        <x:v>120만</x:v>
      </x:c>
      <x:c r="F325" s="2" t="str">
        <x:v>규칙형</x:v>
      </x:c>
      <x:c r="G325" s="2" t="str">
        <x:v>승</x:v>
      </x:c>
      <x:c r="H325" s="14" t="n">
        <x:v>6</x:v>
      </x:c>
      <x:c r="I325" s="14" t="n">
        <x:v>0</x:v>
      </x:c>
      <x:c r="J325" s="14" t="n">
        <x:v>12</x:v>
      </x:c>
      <x:c r="K325" s="14" t="n">
        <x:v>6</x:v>
      </x:c>
      <x:c r="L325" s="15" t="n">
        <x:f>IF(J325=0,"해당 없음",K325/J325)</x:f>
        <x:v>0.5</x:v>
      </x:c>
      <x:c r="M325" s="14" t="n">
        <x:v>8</x:v>
      </x:c>
      <x:c r="N325" s="14" t="n">
        <x:v>5</x:v>
      </x:c>
      <x:c r="O325" s="15" t="n">
        <x:f>IF(M325=0,"해당 없음",N325/M325)</x:f>
        <x:v>0.625</x:v>
      </x:c>
      <x:c r="P325" s="14" t="n">
        <x:v>104</x:v>
      </x:c>
    </x:row>
    <x:row r="326" ht="22" customHeight="1">
      <x:c r="A326" s="14" t="n">
        <x:v>161</x:v>
      </x:c>
      <x:c r="B326" s="14" t="n">
        <x:v>5</x:v>
      </x:c>
      <x:c r="C326" s="14" t="n">
        <x:v>76000</x:v>
      </x:c>
      <x:c r="D326" s="2" t="str">
        <x:v>RED</x:v>
      </x:c>
      <x:c r="E326" s="2" t="str">
        <x:v>160만</x:v>
      </x:c>
      <x:c r="F326" s="2" t="str">
        <x:v>규칙형</x:v>
      </x:c>
      <x:c r="G326" s="2" t="str">
        <x:v>승</x:v>
      </x:c>
      <x:c r="H326" s="14" t="n">
        <x:v>3</x:v>
      </x:c>
      <x:c r="I326" s="14" t="n">
        <x:v>1</x:v>
      </x:c>
      <x:c r="J326" s="14" t="n">
        <x:v>8</x:v>
      </x:c>
      <x:c r="K326" s="14" t="n">
        <x:v>3</x:v>
      </x:c>
      <x:c r="L326" s="15" t="n">
        <x:f>IF(J326=0,"해당 없음",K326/J326)</x:f>
        <x:v>0.375</x:v>
      </x:c>
      <x:c r="M326" s="14" t="n">
        <x:v>8</x:v>
      </x:c>
      <x:c r="N326" s="14" t="n">
        <x:v>5</x:v>
      </x:c>
      <x:c r="O326" s="15" t="n">
        <x:f>IF(M326=0,"해당 없음",N326/M326)</x:f>
        <x:v>0.625</x:v>
      </x:c>
      <x:c r="P326" s="14" t="n">
        <x:v>104</x:v>
      </x:c>
    </x:row>
    <x:row r="327" ht="22" customHeight="1">
      <x:c r="A327" s="14" t="n">
        <x:v>161</x:v>
      </x:c>
      <x:c r="B327" s="14" t="n">
        <x:v>5</x:v>
      </x:c>
      <x:c r="C327" s="14" t="n">
        <x:v>76000</x:v>
      </x:c>
      <x:c r="D327" s="2" t="str">
        <x:v>NAVY</x:v>
      </x:c>
      <x:c r="E327" s="2" t="str">
        <x:v>규칙형</x:v>
      </x:c>
      <x:c r="F327" s="2" t="str">
        <x:v>160만</x:v>
      </x:c>
      <x:c r="G327" s="2" t="str">
        <x:v>패</x:v>
      </x:c>
      <x:c r="H327" s="14" t="n">
        <x:v>1</x:v>
      </x:c>
      <x:c r="I327" s="14" t="n">
        <x:v>3</x:v>
      </x:c>
      <x:c r="J327" s="14" t="n">
        <x:v>5</x:v>
      </x:c>
      <x:c r="K327" s="14" t="n">
        <x:v>1</x:v>
      </x:c>
      <x:c r="L327" s="15" t="n">
        <x:f>IF(J327=0,"해당 없음",K327/J327)</x:f>
        <x:v>0.2</x:v>
      </x:c>
      <x:c r="M327" s="14" t="n">
        <x:v>16</x:v>
      </x:c>
      <x:c r="N327" s="14" t="n">
        <x:v>10</x:v>
      </x:c>
      <x:c r="O327" s="15" t="n">
        <x:f>IF(M327=0,"해당 없음",N327/M327)</x:f>
        <x:v>0.625</x:v>
      </x:c>
      <x:c r="P327" s="14" t="n">
        <x:v>102</x:v>
      </x:c>
    </x:row>
    <x:row r="328" ht="22" customHeight="1">
      <x:c r="A328" s="14" t="n">
        <x:v>162</x:v>
      </x:c>
      <x:c r="B328" s="14" t="n">
        <x:v>5</x:v>
      </x:c>
      <x:c r="C328" s="14" t="n">
        <x:v>76000</x:v>
      </x:c>
      <x:c r="D328" s="2" t="str">
        <x:v>RED</x:v>
      </x:c>
      <x:c r="E328" s="2" t="str">
        <x:v>규칙형</x:v>
      </x:c>
      <x:c r="F328" s="2" t="str">
        <x:v>160만</x:v>
      </x:c>
      <x:c r="G328" s="2" t="str">
        <x:v>승</x:v>
      </x:c>
      <x:c r="H328" s="14" t="n">
        <x:v>3</x:v>
      </x:c>
      <x:c r="I328" s="14" t="n">
        <x:v>2</x:v>
      </x:c>
      <x:c r="J328" s="14" t="n">
        <x:v>11</x:v>
      </x:c>
      <x:c r="K328" s="14" t="n">
        <x:v>2</x:v>
      </x:c>
      <x:c r="L328" s="15" t="n">
        <x:f>IF(J328=0,"해당 없음",K328/J328)</x:f>
        <x:v>0.18181818181818182</x:v>
      </x:c>
      <x:c r="M328" s="14" t="n">
        <x:v>7</x:v>
      </x:c>
      <x:c r="N328" s="14" t="n">
        <x:v>6</x:v>
      </x:c>
      <x:c r="O328" s="15" t="n">
        <x:f>IF(M328=0,"해당 없음",N328/M328)</x:f>
        <x:v>0.8571428571428571</x:v>
      </x:c>
      <x:c r="P328" s="14" t="n">
        <x:v>104</x:v>
      </x:c>
    </x:row>
    <x:row r="329" ht="22" customHeight="1">
      <x:c r="A329" s="14" t="n">
        <x:v>162</x:v>
      </x:c>
      <x:c r="B329" s="14" t="n">
        <x:v>5</x:v>
      </x:c>
      <x:c r="C329" s="14" t="n">
        <x:v>76000</x:v>
      </x:c>
      <x:c r="D329" s="2" t="str">
        <x:v>NAVY</x:v>
      </x:c>
      <x:c r="E329" s="2" t="str">
        <x:v>160만</x:v>
      </x:c>
      <x:c r="F329" s="2" t="str">
        <x:v>규칙형</x:v>
      </x:c>
      <x:c r="G329" s="2" t="str">
        <x:v>패</x:v>
      </x:c>
      <x:c r="H329" s="14" t="n">
        <x:v>2</x:v>
      </x:c>
      <x:c r="I329" s="14" t="n">
        <x:v>3</x:v>
      </x:c>
      <x:c r="J329" s="14" t="n">
        <x:v>4</x:v>
      </x:c>
      <x:c r="K329" s="14" t="n">
        <x:v>2</x:v>
      </x:c>
      <x:c r="L329" s="15" t="n">
        <x:f>IF(J329=0,"해당 없음",K329/J329)</x:f>
        <x:v>0.5</x:v>
      </x:c>
      <x:c r="M329" s="14" t="n">
        <x:v>8</x:v>
      </x:c>
      <x:c r="N329" s="14" t="n">
        <x:v>2</x:v>
      </x:c>
      <x:c r="O329" s="15" t="n">
        <x:f>IF(M329=0,"해당 없음",N329/M329)</x:f>
        <x:v>0.25</x:v>
      </x:c>
      <x:c r="P329" s="14" t="n">
        <x:v>103</x:v>
      </x:c>
    </x:row>
    <x:row r="330" ht="22" customHeight="1">
      <x:c r="A330" s="14" t="n">
        <x:v>163</x:v>
      </x:c>
      <x:c r="B330" s="14" t="n">
        <x:v>5</x:v>
      </x:c>
      <x:c r="C330" s="14" t="n">
        <x:v>76001</x:v>
      </x:c>
      <x:c r="D330" s="2" t="str">
        <x:v>RED</x:v>
      </x:c>
      <x:c r="E330" s="2" t="str">
        <x:v>160만</x:v>
      </x:c>
      <x:c r="F330" s="2" t="str">
        <x:v>규칙형</x:v>
      </x:c>
      <x:c r="G330" s="2" t="str">
        <x:v>승</x:v>
      </x:c>
      <x:c r="H330" s="14" t="n">
        <x:v>6</x:v>
      </x:c>
      <x:c r="I330" s="14" t="n">
        <x:v>0</x:v>
      </x:c>
      <x:c r="J330" s="14" t="n">
        <x:v>12</x:v>
      </x:c>
      <x:c r="K330" s="14" t="n">
        <x:v>6</x:v>
      </x:c>
      <x:c r="L330" s="15" t="n">
        <x:f>IF(J330=0,"해당 없음",K330/J330)</x:f>
        <x:v>0.5</x:v>
      </x:c>
      <x:c r="M330" s="14" t="n">
        <x:v>7</x:v>
      </x:c>
      <x:c r="N330" s="14" t="n">
        <x:v>5</x:v>
      </x:c>
      <x:c r="O330" s="15" t="n">
        <x:f>IF(M330=0,"해당 없음",N330/M330)</x:f>
        <x:v>0.7142857142857143</x:v>
      </x:c>
      <x:c r="P330" s="14" t="n">
        <x:v>103</x:v>
      </x:c>
    </x:row>
    <x:row r="331" ht="22" customHeight="1">
      <x:c r="A331" s="14" t="n">
        <x:v>163</x:v>
      </x:c>
      <x:c r="B331" s="14" t="n">
        <x:v>5</x:v>
      </x:c>
      <x:c r="C331" s="14" t="n">
        <x:v>76001</x:v>
      </x:c>
      <x:c r="D331" s="2" t="str">
        <x:v>NAVY</x:v>
      </x:c>
      <x:c r="E331" s="2" t="str">
        <x:v>규칙형</x:v>
      </x:c>
      <x:c r="F331" s="2" t="str">
        <x:v>160만</x:v>
      </x:c>
      <x:c r="G331" s="2" t="str">
        <x:v>패</x:v>
      </x:c>
      <x:c r="H331" s="14" t="n">
        <x:v>0</x:v>
      </x:c>
      <x:c r="I331" s="14" t="n">
        <x:v>6</x:v>
      </x:c>
      <x:c r="J331" s="14" t="n">
        <x:v>4</x:v>
      </x:c>
      <x:c r="K331" s="14" t="n">
        <x:v>0</x:v>
      </x:c>
      <x:c r="L331" s="15" t="n">
        <x:f>IF(J331=0,"해당 없음",K331/J331)</x:f>
        <x:v>0</x:v>
      </x:c>
      <x:c r="M331" s="14" t="n">
        <x:v>10</x:v>
      </x:c>
      <x:c r="N331" s="14" t="n">
        <x:v>6</x:v>
      </x:c>
      <x:c r="O331" s="15" t="n">
        <x:f>IF(M331=0,"해당 없음",N331/M331)</x:f>
        <x:v>0.6</x:v>
      </x:c>
      <x:c r="P331" s="14" t="n">
        <x:v>103</x:v>
      </x:c>
    </x:row>
    <x:row r="332" ht="22" customHeight="1">
      <x:c r="A332" s="14" t="n">
        <x:v>164</x:v>
      </x:c>
      <x:c r="B332" s="14" t="n">
        <x:v>5</x:v>
      </x:c>
      <x:c r="C332" s="14" t="n">
        <x:v>76001</x:v>
      </x:c>
      <x:c r="D332" s="2" t="str">
        <x:v>RED</x:v>
      </x:c>
      <x:c r="E332" s="2" t="str">
        <x:v>규칙형</x:v>
      </x:c>
      <x:c r="F332" s="2" t="str">
        <x:v>160만</x:v>
      </x:c>
      <x:c r="G332" s="2" t="str">
        <x:v>승</x:v>
      </x:c>
      <x:c r="H332" s="14" t="n">
        <x:v>3</x:v>
      </x:c>
      <x:c r="I332" s="14" t="n">
        <x:v>2</x:v>
      </x:c>
      <x:c r="J332" s="14" t="n">
        <x:v>8</x:v>
      </x:c>
      <x:c r="K332" s="14" t="n">
        <x:v>3</x:v>
      </x:c>
      <x:c r="L332" s="15" t="n">
        <x:f>IF(J332=0,"해당 없음",K332/J332)</x:f>
        <x:v>0.375</x:v>
      </x:c>
      <x:c r="M332" s="14" t="n">
        <x:v>9</x:v>
      </x:c>
      <x:c r="N332" s="14" t="n">
        <x:v>6</x:v>
      </x:c>
      <x:c r="O332" s="15" t="n">
        <x:f>IF(M332=0,"해당 없음",N332/M332)</x:f>
        <x:v>0.6666666666666666</x:v>
      </x:c>
      <x:c r="P332" s="14" t="n">
        <x:v>102</x:v>
      </x:c>
    </x:row>
    <x:row r="333" ht="22" customHeight="1">
      <x:c r="A333" s="14" t="n">
        <x:v>164</x:v>
      </x:c>
      <x:c r="B333" s="14" t="n">
        <x:v>5</x:v>
      </x:c>
      <x:c r="C333" s="14" t="n">
        <x:v>76001</x:v>
      </x:c>
      <x:c r="D333" s="2" t="str">
        <x:v>NAVY</x:v>
      </x:c>
      <x:c r="E333" s="2" t="str">
        <x:v>160만</x:v>
      </x:c>
      <x:c r="F333" s="2" t="str">
        <x:v>규칙형</x:v>
      </x:c>
      <x:c r="G333" s="2" t="str">
        <x:v>패</x:v>
      </x:c>
      <x:c r="H333" s="14" t="n">
        <x:v>2</x:v>
      </x:c>
      <x:c r="I333" s="14" t="n">
        <x:v>3</x:v>
      </x:c>
      <x:c r="J333" s="14" t="n">
        <x:v>8</x:v>
      </x:c>
      <x:c r="K333" s="14" t="n">
        <x:v>2</x:v>
      </x:c>
      <x:c r="L333" s="15" t="n">
        <x:f>IF(J333=0,"해당 없음",K333/J333)</x:f>
        <x:v>0.25</x:v>
      </x:c>
      <x:c r="M333" s="14" t="n">
        <x:v>7</x:v>
      </x:c>
      <x:c r="N333" s="14" t="n">
        <x:v>5</x:v>
      </x:c>
      <x:c r="O333" s="15" t="n">
        <x:f>IF(M333=0,"해당 없음",N333/M333)</x:f>
        <x:v>0.7142857142857143</x:v>
      </x:c>
      <x:c r="P333" s="14" t="n">
        <x:v>102</x:v>
      </x:c>
    </x:row>
    <x:row r="334" ht="22" customHeight="1">
      <x:c r="A334" s="14" t="n">
        <x:v>165</x:v>
      </x:c>
      <x:c r="B334" s="14" t="n">
        <x:v>5</x:v>
      </x:c>
      <x:c r="C334" s="14" t="n">
        <x:v>76002</x:v>
      </x:c>
      <x:c r="D334" s="2" t="str">
        <x:v>RED</x:v>
      </x:c>
      <x:c r="E334" s="2" t="str">
        <x:v>160만</x:v>
      </x:c>
      <x:c r="F334" s="2" t="str">
        <x:v>규칙형</x:v>
      </x:c>
      <x:c r="G334" s="2" t="str">
        <x:v>승</x:v>
      </x:c>
      <x:c r="H334" s="14" t="n">
        <x:v>5</x:v>
      </x:c>
      <x:c r="I334" s="14" t="n">
        <x:v>0</x:v>
      </x:c>
      <x:c r="J334" s="14" t="n">
        <x:v>9</x:v>
      </x:c>
      <x:c r="K334" s="14" t="n">
        <x:v>5</x:v>
      </x:c>
      <x:c r="L334" s="15" t="n">
        <x:f>IF(J334=0,"해당 없음",K334/J334)</x:f>
        <x:v>0.5555555555555556</x:v>
      </x:c>
      <x:c r="M334" s="14" t="n">
        <x:v>11</x:v>
      </x:c>
      <x:c r="N334" s="14" t="n">
        <x:v>9</x:v>
      </x:c>
      <x:c r="O334" s="15" t="n">
        <x:f>IF(M334=0,"해당 없음",N334/M334)</x:f>
        <x:v>0.8181818181818182</x:v>
      </x:c>
      <x:c r="P334" s="14" t="n">
        <x:v>102</x:v>
      </x:c>
    </x:row>
    <x:row r="335" ht="22" customHeight="1">
      <x:c r="A335" s="14" t="n">
        <x:v>165</x:v>
      </x:c>
      <x:c r="B335" s="14" t="n">
        <x:v>5</x:v>
      </x:c>
      <x:c r="C335" s="14" t="n">
        <x:v>76002</x:v>
      </x:c>
      <x:c r="D335" s="2" t="str">
        <x:v>NAVY</x:v>
      </x:c>
      <x:c r="E335" s="2" t="str">
        <x:v>규칙형</x:v>
      </x:c>
      <x:c r="F335" s="2" t="str">
        <x:v>160만</x:v>
      </x:c>
      <x:c r="G335" s="2" t="str">
        <x:v>패</x:v>
      </x:c>
      <x:c r="H335" s="14" t="n">
        <x:v>0</x:v>
      </x:c>
      <x:c r="I335" s="14" t="n">
        <x:v>5</x:v>
      </x:c>
      <x:c r="J335" s="14" t="n">
        <x:v>8</x:v>
      </x:c>
      <x:c r="K335" s="14" t="n">
        <x:v>0</x:v>
      </x:c>
      <x:c r="L335" s="15" t="n">
        <x:f>IF(J335=0,"해당 없음",K335/J335)</x:f>
        <x:v>0</x:v>
      </x:c>
      <x:c r="M335" s="14" t="n">
        <x:v>15</x:v>
      </x:c>
      <x:c r="N335" s="14" t="n">
        <x:v>10</x:v>
      </x:c>
      <x:c r="O335" s="15" t="n">
        <x:f>IF(M335=0,"해당 없음",N335/M335)</x:f>
        <x:v>0.6666666666666666</x:v>
      </x:c>
      <x:c r="P335" s="14" t="n">
        <x:v>103</x:v>
      </x:c>
    </x:row>
    <x:row r="336" ht="22" customHeight="1">
      <x:c r="A336" s="14" t="n">
        <x:v>166</x:v>
      </x:c>
      <x:c r="B336" s="14" t="n">
        <x:v>5</x:v>
      </x:c>
      <x:c r="C336" s="14" t="n">
        <x:v>76002</x:v>
      </x:c>
      <x:c r="D336" s="2" t="str">
        <x:v>RED</x:v>
      </x:c>
      <x:c r="E336" s="2" t="str">
        <x:v>규칙형</x:v>
      </x:c>
      <x:c r="F336" s="2" t="str">
        <x:v>160만</x:v>
      </x:c>
      <x:c r="G336" s="2" t="str">
        <x:v>패</x:v>
      </x:c>
      <x:c r="H336" s="14" t="n">
        <x:v>4</x:v>
      </x:c>
      <x:c r="I336" s="14" t="n">
        <x:v>5</x:v>
      </x:c>
      <x:c r="J336" s="14" t="n">
        <x:v>10</x:v>
      </x:c>
      <x:c r="K336" s="14" t="n">
        <x:v>3</x:v>
      </x:c>
      <x:c r="L336" s="15" t="n">
        <x:f>IF(J336=0,"해당 없음",K336/J336)</x:f>
        <x:v>0.3</x:v>
      </x:c>
      <x:c r="M336" s="14" t="n">
        <x:v>10</x:v>
      </x:c>
      <x:c r="N336" s="14" t="n">
        <x:v>6</x:v>
      </x:c>
      <x:c r="O336" s="15" t="n">
        <x:f>IF(M336=0,"해당 없음",N336/M336)</x:f>
        <x:v>0.6</x:v>
      </x:c>
      <x:c r="P336" s="14" t="n">
        <x:v>105</x:v>
      </x:c>
    </x:row>
    <x:row r="337" ht="22" customHeight="1">
      <x:c r="A337" s="14" t="n">
        <x:v>166</x:v>
      </x:c>
      <x:c r="B337" s="14" t="n">
        <x:v>5</x:v>
      </x:c>
      <x:c r="C337" s="14" t="n">
        <x:v>76002</x:v>
      </x:c>
      <x:c r="D337" s="2" t="str">
        <x:v>NAVY</x:v>
      </x:c>
      <x:c r="E337" s="2" t="str">
        <x:v>160만</x:v>
      </x:c>
      <x:c r="F337" s="2" t="str">
        <x:v>규칙형</x:v>
      </x:c>
      <x:c r="G337" s="2" t="str">
        <x:v>승</x:v>
      </x:c>
      <x:c r="H337" s="14" t="n">
        <x:v>5</x:v>
      </x:c>
      <x:c r="I337" s="14" t="n">
        <x:v>4</x:v>
      </x:c>
      <x:c r="J337" s="14" t="n">
        <x:v>10</x:v>
      </x:c>
      <x:c r="K337" s="14" t="n">
        <x:v>5</x:v>
      </x:c>
      <x:c r="L337" s="15" t="n">
        <x:f>IF(J337=0,"해당 없음",K337/J337)</x:f>
        <x:v>0.5</x:v>
      </x:c>
      <x:c r="M337" s="14" t="n">
        <x:v>8</x:v>
      </x:c>
      <x:c r="N337" s="14" t="n">
        <x:v>5</x:v>
      </x:c>
      <x:c r="O337" s="15" t="n">
        <x:f>IF(M337=0,"해당 없음",N337/M337)</x:f>
        <x:v>0.625</x:v>
      </x:c>
      <x:c r="P337" s="14" t="n">
        <x:v>105</x:v>
      </x:c>
    </x:row>
    <x:row r="338" ht="22" customHeight="1">
      <x:c r="A338" s="14" t="n">
        <x:v>167</x:v>
      </x:c>
      <x:c r="B338" s="14" t="n">
        <x:v>5</x:v>
      </x:c>
      <x:c r="C338" s="14" t="n">
        <x:v>76003</x:v>
      </x:c>
      <x:c r="D338" s="2" t="str">
        <x:v>RED</x:v>
      </x:c>
      <x:c r="E338" s="2" t="str">
        <x:v>160만</x:v>
      </x:c>
      <x:c r="F338" s="2" t="str">
        <x:v>규칙형</x:v>
      </x:c>
      <x:c r="G338" s="2" t="str">
        <x:v>승</x:v>
      </x:c>
      <x:c r="H338" s="14" t="n">
        <x:v>5</x:v>
      </x:c>
      <x:c r="I338" s="14" t="n">
        <x:v>2</x:v>
      </x:c>
      <x:c r="J338" s="14" t="n">
        <x:v>13</x:v>
      </x:c>
      <x:c r="K338" s="14" t="n">
        <x:v>5</x:v>
      </x:c>
      <x:c r="L338" s="15" t="n">
        <x:f>IF(J338=0,"해당 없음",K338/J338)</x:f>
        <x:v>0.38461538461538464</x:v>
      </x:c>
      <x:c r="M338" s="14" t="n">
        <x:v>9</x:v>
      </x:c>
      <x:c r="N338" s="14" t="n">
        <x:v>8</x:v>
      </x:c>
      <x:c r="O338" s="15" t="n">
        <x:f>IF(M338=0,"해당 없음",N338/M338)</x:f>
        <x:v>0.8888888888888888</x:v>
      </x:c>
      <x:c r="P338" s="14" t="n">
        <x:v>104</x:v>
      </x:c>
    </x:row>
    <x:row r="339" ht="22" customHeight="1">
      <x:c r="A339" s="14" t="n">
        <x:v>167</x:v>
      </x:c>
      <x:c r="B339" s="14" t="n">
        <x:v>5</x:v>
      </x:c>
      <x:c r="C339" s="14" t="n">
        <x:v>76003</x:v>
      </x:c>
      <x:c r="D339" s="2" t="str">
        <x:v>NAVY</x:v>
      </x:c>
      <x:c r="E339" s="2" t="str">
        <x:v>규칙형</x:v>
      </x:c>
      <x:c r="F339" s="2" t="str">
        <x:v>160만</x:v>
      </x:c>
      <x:c r="G339" s="2" t="str">
        <x:v>패</x:v>
      </x:c>
      <x:c r="H339" s="14" t="n">
        <x:v>2</x:v>
      </x:c>
      <x:c r="I339" s="14" t="n">
        <x:v>5</x:v>
      </x:c>
      <x:c r="J339" s="14" t="n">
        <x:v>8</x:v>
      </x:c>
      <x:c r="K339" s="14" t="n">
        <x:v>2</x:v>
      </x:c>
      <x:c r="L339" s="15" t="n">
        <x:f>IF(J339=0,"해당 없음",K339/J339)</x:f>
        <x:v>0.25</x:v>
      </x:c>
      <x:c r="M339" s="14" t="n">
        <x:v>17</x:v>
      </x:c>
      <x:c r="N339" s="14" t="n">
        <x:v>14</x:v>
      </x:c>
      <x:c r="O339" s="15" t="n">
        <x:f>IF(M339=0,"해당 없음",N339/M339)</x:f>
        <x:v>0.8235294117647058</x:v>
      </x:c>
      <x:c r="P339" s="14" t="n">
        <x:v>103</x:v>
      </x:c>
    </x:row>
    <x:row r="340" ht="22" customHeight="1">
      <x:c r="A340" s="14" t="n">
        <x:v>168</x:v>
      </x:c>
      <x:c r="B340" s="14" t="n">
        <x:v>5</x:v>
      </x:c>
      <x:c r="C340" s="14" t="n">
        <x:v>76003</x:v>
      </x:c>
      <x:c r="D340" s="2" t="str">
        <x:v>RED</x:v>
      </x:c>
      <x:c r="E340" s="2" t="str">
        <x:v>규칙형</x:v>
      </x:c>
      <x:c r="F340" s="2" t="str">
        <x:v>160만</x:v>
      </x:c>
      <x:c r="G340" s="2" t="str">
        <x:v>패</x:v>
      </x:c>
      <x:c r="H340" s="14" t="n">
        <x:v>1</x:v>
      </x:c>
      <x:c r="I340" s="14" t="n">
        <x:v>2</x:v>
      </x:c>
      <x:c r="J340" s="14" t="n">
        <x:v>10</x:v>
      </x:c>
      <x:c r="K340" s="14" t="n">
        <x:v>1</x:v>
      </x:c>
      <x:c r="L340" s="15" t="n">
        <x:f>IF(J340=0,"해당 없음",K340/J340)</x:f>
        <x:v>0.1</x:v>
      </x:c>
      <x:c r="M340" s="14" t="n">
        <x:v>18</x:v>
      </x:c>
      <x:c r="N340" s="14" t="n">
        <x:v>15</x:v>
      </x:c>
      <x:c r="O340" s="15" t="n">
        <x:f>IF(M340=0,"해당 없음",N340/M340)</x:f>
        <x:v>0.8333333333333334</x:v>
      </x:c>
      <x:c r="P340" s="14" t="n">
        <x:v>101</x:v>
      </x:c>
    </x:row>
    <x:row r="341" ht="22" customHeight="1">
      <x:c r="A341" s="14" t="n">
        <x:v>168</x:v>
      </x:c>
      <x:c r="B341" s="14" t="n">
        <x:v>5</x:v>
      </x:c>
      <x:c r="C341" s="14" t="n">
        <x:v>76003</x:v>
      </x:c>
      <x:c r="D341" s="2" t="str">
        <x:v>NAVY</x:v>
      </x:c>
      <x:c r="E341" s="2" t="str">
        <x:v>160만</x:v>
      </x:c>
      <x:c r="F341" s="2" t="str">
        <x:v>규칙형</x:v>
      </x:c>
      <x:c r="G341" s="2" t="str">
        <x:v>승</x:v>
      </x:c>
      <x:c r="H341" s="14" t="n">
        <x:v>2</x:v>
      </x:c>
      <x:c r="I341" s="14" t="n">
        <x:v>1</x:v>
      </x:c>
      <x:c r="J341" s="14" t="n">
        <x:v>6</x:v>
      </x:c>
      <x:c r="K341" s="14" t="n">
        <x:v>2</x:v>
      </x:c>
      <x:c r="L341" s="15" t="n">
        <x:f>IF(J341=0,"해당 없음",K341/J341)</x:f>
        <x:v>0.3333333333333333</x:v>
      </x:c>
      <x:c r="M341" s="14" t="n">
        <x:v>10</x:v>
      </x:c>
      <x:c r="N341" s="14" t="n">
        <x:v>8</x:v>
      </x:c>
      <x:c r="O341" s="15" t="n">
        <x:f>IF(M341=0,"해당 없음",N341/M341)</x:f>
        <x:v>0.8</x:v>
      </x:c>
      <x:c r="P341" s="14" t="n">
        <x:v>102</x:v>
      </x:c>
    </x:row>
    <x:row r="342" ht="22" customHeight="1">
      <x:c r="A342" s="14" t="n">
        <x:v>169</x:v>
      </x:c>
      <x:c r="B342" s="14" t="n">
        <x:v>5</x:v>
      </x:c>
      <x:c r="C342" s="14" t="n">
        <x:v>76004</x:v>
      </x:c>
      <x:c r="D342" s="2" t="str">
        <x:v>RED</x:v>
      </x:c>
      <x:c r="E342" s="2" t="str">
        <x:v>160만</x:v>
      </x:c>
      <x:c r="F342" s="2" t="str">
        <x:v>규칙형</x:v>
      </x:c>
      <x:c r="G342" s="2" t="str">
        <x:v>무</x:v>
      </x:c>
      <x:c r="H342" s="14" t="n">
        <x:v>1</x:v>
      </x:c>
      <x:c r="I342" s="14" t="n">
        <x:v>1</x:v>
      </x:c>
      <x:c r="J342" s="14" t="n">
        <x:v>4</x:v>
      </x:c>
      <x:c r="K342" s="14" t="n">
        <x:v>1</x:v>
      </x:c>
      <x:c r="L342" s="15" t="n">
        <x:f>IF(J342=0,"해당 없음",K342/J342)</x:f>
        <x:v>0.25</x:v>
      </x:c>
      <x:c r="M342" s="14" t="n">
        <x:v>5</x:v>
      </x:c>
      <x:c r="N342" s="14" t="n">
        <x:v>2</x:v>
      </x:c>
      <x:c r="O342" s="15" t="n">
        <x:f>IF(M342=0,"해당 없음",N342/M342)</x:f>
        <x:v>0.4</x:v>
      </x:c>
      <x:c r="P342" s="14" t="n">
        <x:v>102</x:v>
      </x:c>
    </x:row>
    <x:row r="343" ht="22" customHeight="1">
      <x:c r="A343" s="14" t="n">
        <x:v>169</x:v>
      </x:c>
      <x:c r="B343" s="14" t="n">
        <x:v>5</x:v>
      </x:c>
      <x:c r="C343" s="14" t="n">
        <x:v>76004</x:v>
      </x:c>
      <x:c r="D343" s="2" t="str">
        <x:v>NAVY</x:v>
      </x:c>
      <x:c r="E343" s="2" t="str">
        <x:v>규칙형</x:v>
      </x:c>
      <x:c r="F343" s="2" t="str">
        <x:v>160만</x:v>
      </x:c>
      <x:c r="G343" s="2" t="str">
        <x:v>무</x:v>
      </x:c>
      <x:c r="H343" s="14" t="n">
        <x:v>1</x:v>
      </x:c>
      <x:c r="I343" s="14" t="n">
        <x:v>1</x:v>
      </x:c>
      <x:c r="J343" s="14" t="n">
        <x:v>13</x:v>
      </x:c>
      <x:c r="K343" s="14" t="n">
        <x:v>1</x:v>
      </x:c>
      <x:c r="L343" s="15" t="n">
        <x:f>IF(J343=0,"해당 없음",K343/J343)</x:f>
        <x:v>0.07692307692307693</x:v>
      </x:c>
      <x:c r="M343" s="14" t="n">
        <x:v>15</x:v>
      </x:c>
      <x:c r="N343" s="14" t="n">
        <x:v>13</x:v>
      </x:c>
      <x:c r="O343" s="15" t="n">
        <x:f>IF(M343=0,"해당 없음",N343/M343)</x:f>
        <x:v>0.8666666666666667</x:v>
      </x:c>
      <x:c r="P343" s="14" t="n">
        <x:v>102</x:v>
      </x:c>
    </x:row>
    <x:row r="344" ht="22" customHeight="1">
      <x:c r="A344" s="14" t="n">
        <x:v>170</x:v>
      </x:c>
      <x:c r="B344" s="14" t="n">
        <x:v>5</x:v>
      </x:c>
      <x:c r="C344" s="14" t="n">
        <x:v>76004</x:v>
      </x:c>
      <x:c r="D344" s="2" t="str">
        <x:v>RED</x:v>
      </x:c>
      <x:c r="E344" s="2" t="str">
        <x:v>규칙형</x:v>
      </x:c>
      <x:c r="F344" s="2" t="str">
        <x:v>160만</x:v>
      </x:c>
      <x:c r="G344" s="2" t="str">
        <x:v>패</x:v>
      </x:c>
      <x:c r="H344" s="14" t="n">
        <x:v>3</x:v>
      </x:c>
      <x:c r="I344" s="14" t="n">
        <x:v>4</x:v>
      </x:c>
      <x:c r="J344" s="14" t="n">
        <x:v>9</x:v>
      </x:c>
      <x:c r="K344" s="14" t="n">
        <x:v>3</x:v>
      </x:c>
      <x:c r="L344" s="15" t="n">
        <x:f>IF(J344=0,"해당 없음",K344/J344)</x:f>
        <x:v>0.3333333333333333</x:v>
      </x:c>
      <x:c r="M344" s="14" t="n">
        <x:v>12</x:v>
      </x:c>
      <x:c r="N344" s="14" t="n">
        <x:v>7</x:v>
      </x:c>
      <x:c r="O344" s="15" t="n">
        <x:f>IF(M344=0,"해당 없음",N344/M344)</x:f>
        <x:v>0.5833333333333334</x:v>
      </x:c>
      <x:c r="P344" s="14" t="n">
        <x:v>105</x:v>
      </x:c>
    </x:row>
    <x:row r="345" ht="22" customHeight="1">
      <x:c r="A345" s="14" t="n">
        <x:v>170</x:v>
      </x:c>
      <x:c r="B345" s="14" t="n">
        <x:v>5</x:v>
      </x:c>
      <x:c r="C345" s="14" t="n">
        <x:v>76004</x:v>
      </x:c>
      <x:c r="D345" s="2" t="str">
        <x:v>NAVY</x:v>
      </x:c>
      <x:c r="E345" s="2" t="str">
        <x:v>160만</x:v>
      </x:c>
      <x:c r="F345" s="2" t="str">
        <x:v>규칙형</x:v>
      </x:c>
      <x:c r="G345" s="2" t="str">
        <x:v>승</x:v>
      </x:c>
      <x:c r="H345" s="14" t="n">
        <x:v>4</x:v>
      </x:c>
      <x:c r="I345" s="14" t="n">
        <x:v>3</x:v>
      </x:c>
      <x:c r="J345" s="14" t="n">
        <x:v>11</x:v>
      </x:c>
      <x:c r="K345" s="14" t="n">
        <x:v>4</x:v>
      </x:c>
      <x:c r="L345" s="15" t="n">
        <x:f>IF(J345=0,"해당 없음",K345/J345)</x:f>
        <x:v>0.36363636363636365</x:v>
      </x:c>
      <x:c r="M345" s="14" t="n">
        <x:v>9</x:v>
      </x:c>
      <x:c r="N345" s="14" t="n">
        <x:v>4</x:v>
      </x:c>
      <x:c r="O345" s="15" t="n">
        <x:f>IF(M345=0,"해당 없음",N345/M345)</x:f>
        <x:v>0.4444444444444444</x:v>
      </x:c>
      <x:c r="P345" s="14" t="n">
        <x:v>104</x:v>
      </x:c>
    </x:row>
    <x:row r="346" ht="22" customHeight="1">
      <x:c r="A346" s="14" t="n">
        <x:v>171</x:v>
      </x:c>
      <x:c r="B346" s="14" t="n">
        <x:v>5</x:v>
      </x:c>
      <x:c r="C346" s="14" t="n">
        <x:v>76005</x:v>
      </x:c>
      <x:c r="D346" s="2" t="str">
        <x:v>RED</x:v>
      </x:c>
      <x:c r="E346" s="2" t="str">
        <x:v>160만</x:v>
      </x:c>
      <x:c r="F346" s="2" t="str">
        <x:v>규칙형</x:v>
      </x:c>
      <x:c r="G346" s="2" t="str">
        <x:v>승</x:v>
      </x:c>
      <x:c r="H346" s="14" t="n">
        <x:v>2</x:v>
      </x:c>
      <x:c r="I346" s="14" t="n">
        <x:v>1</x:v>
      </x:c>
      <x:c r="J346" s="14" t="n">
        <x:v>5</x:v>
      </x:c>
      <x:c r="K346" s="14" t="n">
        <x:v>2</x:v>
      </x:c>
      <x:c r="L346" s="15" t="n">
        <x:f>IF(J346=0,"해당 없음",K346/J346)</x:f>
        <x:v>0.4</x:v>
      </x:c>
      <x:c r="M346" s="14" t="n">
        <x:v>11</x:v>
      </x:c>
      <x:c r="N346" s="14" t="n">
        <x:v>7</x:v>
      </x:c>
      <x:c r="O346" s="15" t="n">
        <x:f>IF(M346=0,"해당 없음",N346/M346)</x:f>
        <x:v>0.6363636363636364</x:v>
      </x:c>
      <x:c r="P346" s="14" t="n">
        <x:v>103</x:v>
      </x:c>
    </x:row>
    <x:row r="347" ht="22" customHeight="1">
      <x:c r="A347" s="14" t="n">
        <x:v>171</x:v>
      </x:c>
      <x:c r="B347" s="14" t="n">
        <x:v>5</x:v>
      </x:c>
      <x:c r="C347" s="14" t="n">
        <x:v>76005</x:v>
      </x:c>
      <x:c r="D347" s="2" t="str">
        <x:v>NAVY</x:v>
      </x:c>
      <x:c r="E347" s="2" t="str">
        <x:v>규칙형</x:v>
      </x:c>
      <x:c r="F347" s="2" t="str">
        <x:v>160만</x:v>
      </x:c>
      <x:c r="G347" s="2" t="str">
        <x:v>패</x:v>
      </x:c>
      <x:c r="H347" s="14" t="n">
        <x:v>1</x:v>
      </x:c>
      <x:c r="I347" s="14" t="n">
        <x:v>2</x:v>
      </x:c>
      <x:c r="J347" s="14" t="n">
        <x:v>10</x:v>
      </x:c>
      <x:c r="K347" s="14" t="n">
        <x:v>1</x:v>
      </x:c>
      <x:c r="L347" s="15" t="n">
        <x:f>IF(J347=0,"해당 없음",K347/J347)</x:f>
        <x:v>0.1</x:v>
      </x:c>
      <x:c r="M347" s="14" t="n">
        <x:v>9</x:v>
      </x:c>
      <x:c r="N347" s="14" t="n">
        <x:v>8</x:v>
      </x:c>
      <x:c r="O347" s="15" t="n">
        <x:f>IF(M347=0,"해당 없음",N347/M347)</x:f>
        <x:v>0.8888888888888888</x:v>
      </x:c>
      <x:c r="P347" s="14" t="n">
        <x:v>102</x:v>
      </x:c>
    </x:row>
    <x:row r="348" ht="22" customHeight="1">
      <x:c r="A348" s="14" t="n">
        <x:v>172</x:v>
      </x:c>
      <x:c r="B348" s="14" t="n">
        <x:v>5</x:v>
      </x:c>
      <x:c r="C348" s="14" t="n">
        <x:v>76005</x:v>
      </x:c>
      <x:c r="D348" s="2" t="str">
        <x:v>RED</x:v>
      </x:c>
      <x:c r="E348" s="2" t="str">
        <x:v>규칙형</x:v>
      </x:c>
      <x:c r="F348" s="2" t="str">
        <x:v>160만</x:v>
      </x:c>
      <x:c r="G348" s="2" t="str">
        <x:v>패</x:v>
      </x:c>
      <x:c r="H348" s="14" t="n">
        <x:v>1</x:v>
      </x:c>
      <x:c r="I348" s="14" t="n">
        <x:v>5</x:v>
      </x:c>
      <x:c r="J348" s="14" t="n">
        <x:v>8</x:v>
      </x:c>
      <x:c r="K348" s="14" t="n">
        <x:v>1</x:v>
      </x:c>
      <x:c r="L348" s="15" t="n">
        <x:f>IF(J348=0,"해당 없음",K348/J348)</x:f>
        <x:v>0.125</x:v>
      </x:c>
      <x:c r="M348" s="14" t="n">
        <x:v>8</x:v>
      </x:c>
      <x:c r="N348" s="14" t="n">
        <x:v>6</x:v>
      </x:c>
      <x:c r="O348" s="15" t="n">
        <x:f>IF(M348=0,"해당 없음",N348/M348)</x:f>
        <x:v>0.75</x:v>
      </x:c>
      <x:c r="P348" s="14" t="n">
        <x:v>104</x:v>
      </x:c>
    </x:row>
    <x:row r="349" ht="22" customHeight="1">
      <x:c r="A349" s="14" t="n">
        <x:v>172</x:v>
      </x:c>
      <x:c r="B349" s="14" t="n">
        <x:v>5</x:v>
      </x:c>
      <x:c r="C349" s="14" t="n">
        <x:v>76005</x:v>
      </x:c>
      <x:c r="D349" s="2" t="str">
        <x:v>NAVY</x:v>
      </x:c>
      <x:c r="E349" s="2" t="str">
        <x:v>160만</x:v>
      </x:c>
      <x:c r="F349" s="2" t="str">
        <x:v>규칙형</x:v>
      </x:c>
      <x:c r="G349" s="2" t="str">
        <x:v>승</x:v>
      </x:c>
      <x:c r="H349" s="14" t="n">
        <x:v>5</x:v>
      </x:c>
      <x:c r="I349" s="14" t="n">
        <x:v>1</x:v>
      </x:c>
      <x:c r="J349" s="14" t="n">
        <x:v>8</x:v>
      </x:c>
      <x:c r="K349" s="14" t="n">
        <x:v>5</x:v>
      </x:c>
      <x:c r="L349" s="15" t="n">
        <x:f>IF(J349=0,"해당 없음",K349/J349)</x:f>
        <x:v>0.625</x:v>
      </x:c>
      <x:c r="M349" s="14" t="n">
        <x:v>11</x:v>
      </x:c>
      <x:c r="N349" s="14" t="n">
        <x:v>7</x:v>
      </x:c>
      <x:c r="O349" s="15" t="n">
        <x:f>IF(M349=0,"해당 없음",N349/M349)</x:f>
        <x:v>0.6363636363636364</x:v>
      </x:c>
      <x:c r="P349" s="14" t="n">
        <x:v>102</x:v>
      </x:c>
    </x:row>
    <x:row r="350" ht="22" customHeight="1">
      <x:c r="A350" s="14" t="n">
        <x:v>173</x:v>
      </x:c>
      <x:c r="B350" s="14" t="n">
        <x:v>5</x:v>
      </x:c>
      <x:c r="C350" s="14" t="n">
        <x:v>76006</x:v>
      </x:c>
      <x:c r="D350" s="2" t="str">
        <x:v>RED</x:v>
      </x:c>
      <x:c r="E350" s="2" t="str">
        <x:v>160만</x:v>
      </x:c>
      <x:c r="F350" s="2" t="str">
        <x:v>규칙형</x:v>
      </x:c>
      <x:c r="G350" s="2" t="str">
        <x:v>패</x:v>
      </x:c>
      <x:c r="H350" s="14" t="n">
        <x:v>4</x:v>
      </x:c>
      <x:c r="I350" s="14" t="n">
        <x:v>5</x:v>
      </x:c>
      <x:c r="J350" s="14" t="n">
        <x:v>4</x:v>
      </x:c>
      <x:c r="K350" s="14" t="n">
        <x:v>4</x:v>
      </x:c>
      <x:c r="L350" s="15" t="n">
        <x:f>IF(J350=0,"해당 없음",K350/J350)</x:f>
        <x:v>1</x:v>
      </x:c>
      <x:c r="M350" s="14" t="n">
        <x:v>4</x:v>
      </x:c>
      <x:c r="N350" s="14" t="n">
        <x:v>3</x:v>
      </x:c>
      <x:c r="O350" s="15" t="n">
        <x:f>IF(M350=0,"해당 없음",N350/M350)</x:f>
        <x:v>0.75</x:v>
      </x:c>
      <x:c r="P350" s="14" t="n">
        <x:v>105</x:v>
      </x:c>
    </x:row>
    <x:row r="351" ht="22" customHeight="1">
      <x:c r="A351" s="14" t="n">
        <x:v>173</x:v>
      </x:c>
      <x:c r="B351" s="14" t="n">
        <x:v>5</x:v>
      </x:c>
      <x:c r="C351" s="14" t="n">
        <x:v>76006</x:v>
      </x:c>
      <x:c r="D351" s="2" t="str">
        <x:v>NAVY</x:v>
      </x:c>
      <x:c r="E351" s="2" t="str">
        <x:v>규칙형</x:v>
      </x:c>
      <x:c r="F351" s="2" t="str">
        <x:v>160만</x:v>
      </x:c>
      <x:c r="G351" s="2" t="str">
        <x:v>승</x:v>
      </x:c>
      <x:c r="H351" s="14" t="n">
        <x:v>5</x:v>
      </x:c>
      <x:c r="I351" s="14" t="n">
        <x:v>4</x:v>
      </x:c>
      <x:c r="J351" s="14" t="n">
        <x:v>13</x:v>
      </x:c>
      <x:c r="K351" s="14" t="n">
        <x:v>5</x:v>
      </x:c>
      <x:c r="L351" s="15" t="n">
        <x:f>IF(J351=0,"해당 없음",K351/J351)</x:f>
        <x:v>0.38461538461538464</x:v>
      </x:c>
      <x:c r="M351" s="14" t="n">
        <x:v>12</x:v>
      </x:c>
      <x:c r="N351" s="14" t="n">
        <x:v>12</x:v>
      </x:c>
      <x:c r="O351" s="15" t="n">
        <x:f>IF(M351=0,"해당 없음",N351/M351)</x:f>
        <x:v>1</x:v>
      </x:c>
      <x:c r="P351" s="14" t="n">
        <x:v>106</x:v>
      </x:c>
    </x:row>
    <x:row r="352" ht="22" customHeight="1">
      <x:c r="A352" s="14" t="n">
        <x:v>174</x:v>
      </x:c>
      <x:c r="B352" s="14" t="n">
        <x:v>5</x:v>
      </x:c>
      <x:c r="C352" s="14" t="n">
        <x:v>76006</x:v>
      </x:c>
      <x:c r="D352" s="2" t="str">
        <x:v>RED</x:v>
      </x:c>
      <x:c r="E352" s="2" t="str">
        <x:v>규칙형</x:v>
      </x:c>
      <x:c r="F352" s="2" t="str">
        <x:v>160만</x:v>
      </x:c>
      <x:c r="G352" s="2" t="str">
        <x:v>승</x:v>
      </x:c>
      <x:c r="H352" s="14" t="n">
        <x:v>4</x:v>
      </x:c>
      <x:c r="I352" s="14" t="n">
        <x:v>3</x:v>
      </x:c>
      <x:c r="J352" s="14" t="n">
        <x:v>9</x:v>
      </x:c>
      <x:c r="K352" s="14" t="n">
        <x:v>4</x:v>
      </x:c>
      <x:c r="L352" s="15" t="n">
        <x:f>IF(J352=0,"해당 없음",K352/J352)</x:f>
        <x:v>0.4444444444444444</x:v>
      </x:c>
      <x:c r="M352" s="14" t="n">
        <x:v>11</x:v>
      </x:c>
      <x:c r="N352" s="14" t="n">
        <x:v>10</x:v>
      </x:c>
      <x:c r="O352" s="15" t="n">
        <x:f>IF(M352=0,"해당 없음",N352/M352)</x:f>
        <x:v>0.9090909090909091</x:v>
      </x:c>
      <x:c r="P352" s="14" t="n">
        <x:v>105</x:v>
      </x:c>
    </x:row>
    <x:row r="353" ht="22" customHeight="1">
      <x:c r="A353" s="14" t="n">
        <x:v>174</x:v>
      </x:c>
      <x:c r="B353" s="14" t="n">
        <x:v>5</x:v>
      </x:c>
      <x:c r="C353" s="14" t="n">
        <x:v>76006</x:v>
      </x:c>
      <x:c r="D353" s="2" t="str">
        <x:v>NAVY</x:v>
      </x:c>
      <x:c r="E353" s="2" t="str">
        <x:v>160만</x:v>
      </x:c>
      <x:c r="F353" s="2" t="str">
        <x:v>규칙형</x:v>
      </x:c>
      <x:c r="G353" s="2" t="str">
        <x:v>패</x:v>
      </x:c>
      <x:c r="H353" s="14" t="n">
        <x:v>3</x:v>
      </x:c>
      <x:c r="I353" s="14" t="n">
        <x:v>4</x:v>
      </x:c>
      <x:c r="J353" s="14" t="n">
        <x:v>4</x:v>
      </x:c>
      <x:c r="K353" s="14" t="n">
        <x:v>3</x:v>
      </x:c>
      <x:c r="L353" s="15" t="n">
        <x:f>IF(J353=0,"해당 없음",K353/J353)</x:f>
        <x:v>0.75</x:v>
      </x:c>
      <x:c r="M353" s="14" t="n">
        <x:v>5</x:v>
      </x:c>
      <x:c r="N353" s="14" t="n">
        <x:v>5</x:v>
      </x:c>
      <x:c r="O353" s="15" t="n">
        <x:f>IF(M353=0,"해당 없음",N353/M353)</x:f>
        <x:v>1</x:v>
      </x:c>
      <x:c r="P353" s="14" t="n">
        <x:v>104</x:v>
      </x:c>
    </x:row>
    <x:row r="354" ht="22" customHeight="1">
      <x:c r="A354" s="14" t="n">
        <x:v>175</x:v>
      </x:c>
      <x:c r="B354" s="14" t="n">
        <x:v>5</x:v>
      </x:c>
      <x:c r="C354" s="14" t="n">
        <x:v>76007</x:v>
      </x:c>
      <x:c r="D354" s="2" t="str">
        <x:v>RED</x:v>
      </x:c>
      <x:c r="E354" s="2" t="str">
        <x:v>160만</x:v>
      </x:c>
      <x:c r="F354" s="2" t="str">
        <x:v>규칙형</x:v>
      </x:c>
      <x:c r="G354" s="2" t="str">
        <x:v>승</x:v>
      </x:c>
      <x:c r="H354" s="14" t="n">
        <x:v>3</x:v>
      </x:c>
      <x:c r="I354" s="14" t="n">
        <x:v>2</x:v>
      </x:c>
      <x:c r="J354" s="14" t="n">
        <x:v>8</x:v>
      </x:c>
      <x:c r="K354" s="14" t="n">
        <x:v>3</x:v>
      </x:c>
      <x:c r="L354" s="15" t="n">
        <x:f>IF(J354=0,"해당 없음",K354/J354)</x:f>
        <x:v>0.375</x:v>
      </x:c>
      <x:c r="M354" s="14" t="n">
        <x:v>8</x:v>
      </x:c>
      <x:c r="N354" s="14" t="n">
        <x:v>6</x:v>
      </x:c>
      <x:c r="O354" s="15" t="n">
        <x:f>IF(M354=0,"해당 없음",N354/M354)</x:f>
        <x:v>0.75</x:v>
      </x:c>
      <x:c r="P354" s="14" t="n">
        <x:v>101</x:v>
      </x:c>
    </x:row>
    <x:row r="355" ht="22" customHeight="1">
      <x:c r="A355" s="14" t="n">
        <x:v>175</x:v>
      </x:c>
      <x:c r="B355" s="14" t="n">
        <x:v>5</x:v>
      </x:c>
      <x:c r="C355" s="14" t="n">
        <x:v>76007</x:v>
      </x:c>
      <x:c r="D355" s="2" t="str">
        <x:v>NAVY</x:v>
      </x:c>
      <x:c r="E355" s="2" t="str">
        <x:v>규칙형</x:v>
      </x:c>
      <x:c r="F355" s="2" t="str">
        <x:v>160만</x:v>
      </x:c>
      <x:c r="G355" s="2" t="str">
        <x:v>패</x:v>
      </x:c>
      <x:c r="H355" s="14" t="n">
        <x:v>2</x:v>
      </x:c>
      <x:c r="I355" s="14" t="n">
        <x:v>3</x:v>
      </x:c>
      <x:c r="J355" s="14" t="n">
        <x:v>12</x:v>
      </x:c>
      <x:c r="K355" s="14" t="n">
        <x:v>2</x:v>
      </x:c>
      <x:c r="L355" s="15" t="n">
        <x:f>IF(J355=0,"해당 없음",K355/J355)</x:f>
        <x:v>0.16666666666666666</x:v>
      </x:c>
      <x:c r="M355" s="14" t="n">
        <x:v>17</x:v>
      </x:c>
      <x:c r="N355" s="14" t="n">
        <x:v>13</x:v>
      </x:c>
      <x:c r="O355" s="15" t="n">
        <x:f>IF(M355=0,"해당 없음",N355/M355)</x:f>
        <x:v>0.7647058823529411</x:v>
      </x:c>
      <x:c r="P355" s="14" t="n">
        <x:v>102</x:v>
      </x:c>
    </x:row>
    <x:row r="356" ht="22" customHeight="1">
      <x:c r="A356" s="14" t="n">
        <x:v>176</x:v>
      </x:c>
      <x:c r="B356" s="14" t="n">
        <x:v>5</x:v>
      </x:c>
      <x:c r="C356" s="14" t="n">
        <x:v>76007</x:v>
      </x:c>
      <x:c r="D356" s="2" t="str">
        <x:v>RED</x:v>
      </x:c>
      <x:c r="E356" s="2" t="str">
        <x:v>규칙형</x:v>
      </x:c>
      <x:c r="F356" s="2" t="str">
        <x:v>160만</x:v>
      </x:c>
      <x:c r="G356" s="2" t="str">
        <x:v>패</x:v>
      </x:c>
      <x:c r="H356" s="14" t="n">
        <x:v>1</x:v>
      </x:c>
      <x:c r="I356" s="14" t="n">
        <x:v>7</x:v>
      </x:c>
      <x:c r="J356" s="14" t="n">
        <x:v>11</x:v>
      </x:c>
      <x:c r="K356" s="14" t="n">
        <x:v>1</x:v>
      </x:c>
      <x:c r="L356" s="15" t="n">
        <x:f>IF(J356=0,"해당 없음",K356/J356)</x:f>
        <x:v>0.09090909090909091</x:v>
      </x:c>
      <x:c r="M356" s="14" t="n">
        <x:v>6</x:v>
      </x:c>
      <x:c r="N356" s="14" t="n">
        <x:v>5</x:v>
      </x:c>
      <x:c r="O356" s="15" t="n">
        <x:f>IF(M356=0,"해당 없음",N356/M356)</x:f>
        <x:v>0.8333333333333334</x:v>
      </x:c>
      <x:c r="P356" s="14" t="n">
        <x:v>105</x:v>
      </x:c>
    </x:row>
    <x:row r="357" ht="22" customHeight="1">
      <x:c r="A357" s="14" t="n">
        <x:v>176</x:v>
      </x:c>
      <x:c r="B357" s="14" t="n">
        <x:v>5</x:v>
      </x:c>
      <x:c r="C357" s="14" t="n">
        <x:v>76007</x:v>
      </x:c>
      <x:c r="D357" s="2" t="str">
        <x:v>NAVY</x:v>
      </x:c>
      <x:c r="E357" s="2" t="str">
        <x:v>160만</x:v>
      </x:c>
      <x:c r="F357" s="2" t="str">
        <x:v>규칙형</x:v>
      </x:c>
      <x:c r="G357" s="2" t="str">
        <x:v>승</x:v>
      </x:c>
      <x:c r="H357" s="14" t="n">
        <x:v>7</x:v>
      </x:c>
      <x:c r="I357" s="14" t="n">
        <x:v>1</x:v>
      </x:c>
      <x:c r="J357" s="14" t="n">
        <x:v>11</x:v>
      </x:c>
      <x:c r="K357" s="14" t="n">
        <x:v>7</x:v>
      </x:c>
      <x:c r="L357" s="15" t="n">
        <x:f>IF(J357=0,"해당 없음",K357/J357)</x:f>
        <x:v>0.6363636363636364</x:v>
      </x:c>
      <x:c r="M357" s="14" t="n">
        <x:v>10</x:v>
      </x:c>
      <x:c r="N357" s="14" t="n">
        <x:v>6</x:v>
      </x:c>
      <x:c r="O357" s="15" t="n">
        <x:f>IF(M357=0,"해당 없음",N357/M357)</x:f>
        <x:v>0.6</x:v>
      </x:c>
      <x:c r="P357" s="14" t="n">
        <x:v>104</x:v>
      </x:c>
    </x:row>
    <x:row r="358" ht="22" customHeight="1">
      <x:c r="A358" s="14" t="n">
        <x:v>177</x:v>
      </x:c>
      <x:c r="B358" s="14" t="n">
        <x:v>5</x:v>
      </x:c>
      <x:c r="C358" s="14" t="n">
        <x:v>76008</x:v>
      </x:c>
      <x:c r="D358" s="2" t="str">
        <x:v>RED</x:v>
      </x:c>
      <x:c r="E358" s="2" t="str">
        <x:v>160만</x:v>
      </x:c>
      <x:c r="F358" s="2" t="str">
        <x:v>규칙형</x:v>
      </x:c>
      <x:c r="G358" s="2" t="str">
        <x:v>승</x:v>
      </x:c>
      <x:c r="H358" s="14" t="n">
        <x:v>7</x:v>
      </x:c>
      <x:c r="I358" s="14" t="n">
        <x:v>0</x:v>
      </x:c>
      <x:c r="J358" s="14" t="n">
        <x:v>9</x:v>
      </x:c>
      <x:c r="K358" s="14" t="n">
        <x:v>7</x:v>
      </x:c>
      <x:c r="L358" s="15" t="n">
        <x:f>IF(J358=0,"해당 없음",K358/J358)</x:f>
        <x:v>0.7777777777777778</x:v>
      </x:c>
      <x:c r="M358" s="14" t="n">
        <x:v>9</x:v>
      </x:c>
      <x:c r="N358" s="14" t="n">
        <x:v>7</x:v>
      </x:c>
      <x:c r="O358" s="15" t="n">
        <x:f>IF(M358=0,"해당 없음",N358/M358)</x:f>
        <x:v>0.7777777777777778</x:v>
      </x:c>
      <x:c r="P358" s="14" t="n">
        <x:v>103</x:v>
      </x:c>
    </x:row>
    <x:row r="359" ht="22" customHeight="1">
      <x:c r="A359" s="14" t="n">
        <x:v>177</x:v>
      </x:c>
      <x:c r="B359" s="14" t="n">
        <x:v>5</x:v>
      </x:c>
      <x:c r="C359" s="14" t="n">
        <x:v>76008</x:v>
      </x:c>
      <x:c r="D359" s="2" t="str">
        <x:v>NAVY</x:v>
      </x:c>
      <x:c r="E359" s="2" t="str">
        <x:v>규칙형</x:v>
      </x:c>
      <x:c r="F359" s="2" t="str">
        <x:v>160만</x:v>
      </x:c>
      <x:c r="G359" s="2" t="str">
        <x:v>패</x:v>
      </x:c>
      <x:c r="H359" s="14" t="n">
        <x:v>0</x:v>
      </x:c>
      <x:c r="I359" s="14" t="n">
        <x:v>7</x:v>
      </x:c>
      <x:c r="J359" s="14" t="n">
        <x:v>7</x:v>
      </x:c>
      <x:c r="K359" s="14" t="n">
        <x:v>0</x:v>
      </x:c>
      <x:c r="L359" s="15" t="n">
        <x:f>IF(J359=0,"해당 없음",K359/J359)</x:f>
        <x:v>0</x:v>
      </x:c>
      <x:c r="M359" s="14" t="n">
        <x:v>8</x:v>
      </x:c>
      <x:c r="N359" s="14" t="n">
        <x:v>4</x:v>
      </x:c>
      <x:c r="O359" s="15" t="n">
        <x:f>IF(M359=0,"해당 없음",N359/M359)</x:f>
        <x:v>0.5</x:v>
      </x:c>
      <x:c r="P359" s="14" t="n">
        <x:v>104</x:v>
      </x:c>
    </x:row>
    <x:row r="360" ht="22" customHeight="1">
      <x:c r="A360" s="14" t="n">
        <x:v>178</x:v>
      </x:c>
      <x:c r="B360" s="14" t="n">
        <x:v>5</x:v>
      </x:c>
      <x:c r="C360" s="14" t="n">
        <x:v>76008</x:v>
      </x:c>
      <x:c r="D360" s="2" t="str">
        <x:v>RED</x:v>
      </x:c>
      <x:c r="E360" s="2" t="str">
        <x:v>규칙형</x:v>
      </x:c>
      <x:c r="F360" s="2" t="str">
        <x:v>160만</x:v>
      </x:c>
      <x:c r="G360" s="2" t="str">
        <x:v>패</x:v>
      </x:c>
      <x:c r="H360" s="14" t="n">
        <x:v>1</x:v>
      </x:c>
      <x:c r="I360" s="14" t="n">
        <x:v>5</x:v>
      </x:c>
      <x:c r="J360" s="14" t="n">
        <x:v>7</x:v>
      </x:c>
      <x:c r="K360" s="14" t="n">
        <x:v>1</x:v>
      </x:c>
      <x:c r="L360" s="15" t="n">
        <x:f>IF(J360=0,"해당 없음",K360/J360)</x:f>
        <x:v>0.14285714285714285</x:v>
      </x:c>
      <x:c r="M360" s="14" t="n">
        <x:v>12</x:v>
      </x:c>
      <x:c r="N360" s="14" t="n">
        <x:v>8</x:v>
      </x:c>
      <x:c r="O360" s="15" t="n">
        <x:f>IF(M360=0,"해당 없음",N360/M360)</x:f>
        <x:v>0.6666666666666666</x:v>
      </x:c>
      <x:c r="P360" s="14" t="n">
        <x:v>102</x:v>
      </x:c>
    </x:row>
    <x:row r="361" ht="22" customHeight="1">
      <x:c r="A361" s="14" t="n">
        <x:v>178</x:v>
      </x:c>
      <x:c r="B361" s="14" t="n">
        <x:v>5</x:v>
      </x:c>
      <x:c r="C361" s="14" t="n">
        <x:v>76008</x:v>
      </x:c>
      <x:c r="D361" s="2" t="str">
        <x:v>NAVY</x:v>
      </x:c>
      <x:c r="E361" s="2" t="str">
        <x:v>160만</x:v>
      </x:c>
      <x:c r="F361" s="2" t="str">
        <x:v>규칙형</x:v>
      </x:c>
      <x:c r="G361" s="2" t="str">
        <x:v>승</x:v>
      </x:c>
      <x:c r="H361" s="14" t="n">
        <x:v>5</x:v>
      </x:c>
      <x:c r="I361" s="14" t="n">
        <x:v>1</x:v>
      </x:c>
      <x:c r="J361" s="14" t="n">
        <x:v>10</x:v>
      </x:c>
      <x:c r="K361" s="14" t="n">
        <x:v>5</x:v>
      </x:c>
      <x:c r="L361" s="15" t="n">
        <x:f>IF(J361=0,"해당 없음",K361/J361)</x:f>
        <x:v>0.5</x:v>
      </x:c>
      <x:c r="M361" s="14" t="n">
        <x:v>8</x:v>
      </x:c>
      <x:c r="N361" s="14" t="n">
        <x:v>6</x:v>
      </x:c>
      <x:c r="O361" s="15" t="n">
        <x:f>IF(M361=0,"해당 없음",N361/M361)</x:f>
        <x:v>0.75</x:v>
      </x:c>
      <x:c r="P361" s="14" t="n">
        <x:v>102</x:v>
      </x:c>
    </x:row>
    <x:row r="362" ht="22" customHeight="1">
      <x:c r="A362" s="14" t="n">
        <x:v>179</x:v>
      </x:c>
      <x:c r="B362" s="14" t="n">
        <x:v>5</x:v>
      </x:c>
      <x:c r="C362" s="14" t="n">
        <x:v>76009</x:v>
      </x:c>
      <x:c r="D362" s="2" t="str">
        <x:v>RED</x:v>
      </x:c>
      <x:c r="E362" s="2" t="str">
        <x:v>160만</x:v>
      </x:c>
      <x:c r="F362" s="2" t="str">
        <x:v>규칙형</x:v>
      </x:c>
      <x:c r="G362" s="2" t="str">
        <x:v>무</x:v>
      </x:c>
      <x:c r="H362" s="14" t="n">
        <x:v>2</x:v>
      </x:c>
      <x:c r="I362" s="14" t="n">
        <x:v>2</x:v>
      </x:c>
      <x:c r="J362" s="14" t="n">
        <x:v>9</x:v>
      </x:c>
      <x:c r="K362" s="14" t="n">
        <x:v>2</x:v>
      </x:c>
      <x:c r="L362" s="15" t="n">
        <x:f>IF(J362=0,"해당 없음",K362/J362)</x:f>
        <x:v>0.2222222222222222</x:v>
      </x:c>
      <x:c r="M362" s="14" t="n">
        <x:v>7</x:v>
      </x:c>
      <x:c r="N362" s="14" t="n">
        <x:v>2</x:v>
      </x:c>
      <x:c r="O362" s="15" t="n">
        <x:f>IF(M362=0,"해당 없음",N362/M362)</x:f>
        <x:v>0.2857142857142857</x:v>
      </x:c>
      <x:c r="P362" s="14" t="n">
        <x:v>103</x:v>
      </x:c>
    </x:row>
    <x:row r="363" ht="22" customHeight="1">
      <x:c r="A363" s="14" t="n">
        <x:v>179</x:v>
      </x:c>
      <x:c r="B363" s="14" t="n">
        <x:v>5</x:v>
      </x:c>
      <x:c r="C363" s="14" t="n">
        <x:v>76009</x:v>
      </x:c>
      <x:c r="D363" s="2" t="str">
        <x:v>NAVY</x:v>
      </x:c>
      <x:c r="E363" s="2" t="str">
        <x:v>규칙형</x:v>
      </x:c>
      <x:c r="F363" s="2" t="str">
        <x:v>160만</x:v>
      </x:c>
      <x:c r="G363" s="2" t="str">
        <x:v>무</x:v>
      </x:c>
      <x:c r="H363" s="14" t="n">
        <x:v>2</x:v>
      </x:c>
      <x:c r="I363" s="14" t="n">
        <x:v>2</x:v>
      </x:c>
      <x:c r="J363" s="14" t="n">
        <x:v>4</x:v>
      </x:c>
      <x:c r="K363" s="14" t="n">
        <x:v>1</x:v>
      </x:c>
      <x:c r="L363" s="15" t="n">
        <x:f>IF(J363=0,"해당 없음",K363/J363)</x:f>
        <x:v>0.25</x:v>
      </x:c>
      <x:c r="M363" s="14" t="n">
        <x:v>9</x:v>
      </x:c>
      <x:c r="N363" s="14" t="n">
        <x:v>5</x:v>
      </x:c>
      <x:c r="O363" s="15" t="n">
        <x:f>IF(M363=0,"해당 없음",N363/M363)</x:f>
        <x:v>0.5555555555555556</x:v>
      </x:c>
      <x:c r="P363" s="14" t="n">
        <x:v>104</x:v>
      </x:c>
    </x:row>
    <x:row r="364" ht="22" customHeight="1">
      <x:c r="A364" s="14" t="n">
        <x:v>180</x:v>
      </x:c>
      <x:c r="B364" s="14" t="n">
        <x:v>5</x:v>
      </x:c>
      <x:c r="C364" s="14" t="n">
        <x:v>76009</x:v>
      </x:c>
      <x:c r="D364" s="2" t="str">
        <x:v>RED</x:v>
      </x:c>
      <x:c r="E364" s="2" t="str">
        <x:v>규칙형</x:v>
      </x:c>
      <x:c r="F364" s="2" t="str">
        <x:v>160만</x:v>
      </x:c>
      <x:c r="G364" s="2" t="str">
        <x:v>패</x:v>
      </x:c>
      <x:c r="H364" s="14" t="n">
        <x:v>1</x:v>
      </x:c>
      <x:c r="I364" s="14" t="n">
        <x:v>5</x:v>
      </x:c>
      <x:c r="J364" s="14" t="n">
        <x:v>7</x:v>
      </x:c>
      <x:c r="K364" s="14" t="n">
        <x:v>1</x:v>
      </x:c>
      <x:c r="L364" s="15" t="n">
        <x:f>IF(J364=0,"해당 없음",K364/J364)</x:f>
        <x:v>0.14285714285714285</x:v>
      </x:c>
      <x:c r="M364" s="14" t="n">
        <x:v>6</x:v>
      </x:c>
      <x:c r="N364" s="14" t="n">
        <x:v>4</x:v>
      </x:c>
      <x:c r="O364" s="15" t="n">
        <x:f>IF(M364=0,"해당 없음",N364/M364)</x:f>
        <x:v>0.6666666666666666</x:v>
      </x:c>
      <x:c r="P364" s="14" t="n">
        <x:v>104</x:v>
      </x:c>
    </x:row>
    <x:row r="365" ht="22" customHeight="1">
      <x:c r="A365" s="14" t="n">
        <x:v>180</x:v>
      </x:c>
      <x:c r="B365" s="14" t="n">
        <x:v>5</x:v>
      </x:c>
      <x:c r="C365" s="14" t="n">
        <x:v>76009</x:v>
      </x:c>
      <x:c r="D365" s="2" t="str">
        <x:v>NAVY</x:v>
      </x:c>
      <x:c r="E365" s="2" t="str">
        <x:v>160만</x:v>
      </x:c>
      <x:c r="F365" s="2" t="str">
        <x:v>규칙형</x:v>
      </x:c>
      <x:c r="G365" s="2" t="str">
        <x:v>승</x:v>
      </x:c>
      <x:c r="H365" s="14" t="n">
        <x:v>5</x:v>
      </x:c>
      <x:c r="I365" s="14" t="n">
        <x:v>1</x:v>
      </x:c>
      <x:c r="J365" s="14" t="n">
        <x:v>9</x:v>
      </x:c>
      <x:c r="K365" s="14" t="n">
        <x:v>5</x:v>
      </x:c>
      <x:c r="L365" s="15" t="n">
        <x:f>IF(J365=0,"해당 없음",K365/J365)</x:f>
        <x:v>0.5555555555555556</x:v>
      </x:c>
      <x:c r="M365" s="14" t="n">
        <x:v>7</x:v>
      </x:c>
      <x:c r="N365" s="14" t="n">
        <x:v>6</x:v>
      </x:c>
      <x:c r="O365" s="15" t="n">
        <x:f>IF(M365=0,"해당 없음",N365/M365)</x:f>
        <x:v>0.8571428571428571</x:v>
      </x:c>
      <x:c r="P365" s="14" t="n">
        <x:v>103</x:v>
      </x:c>
    </x:row>
    <x:row r="366" ht="22" customHeight="1">
      <x:c r="A366" s="14" t="n">
        <x:v>181</x:v>
      </x:c>
      <x:c r="B366" s="14" t="n">
        <x:v>5</x:v>
      </x:c>
      <x:c r="C366" s="14" t="n">
        <x:v>76010</x:v>
      </x:c>
      <x:c r="D366" s="2" t="str">
        <x:v>RED</x:v>
      </x:c>
      <x:c r="E366" s="2" t="str">
        <x:v>160만</x:v>
      </x:c>
      <x:c r="F366" s="2" t="str">
        <x:v>규칙형</x:v>
      </x:c>
      <x:c r="G366" s="2" t="str">
        <x:v>승</x:v>
      </x:c>
      <x:c r="H366" s="14" t="n">
        <x:v>5</x:v>
      </x:c>
      <x:c r="I366" s="14" t="n">
        <x:v>2</x:v>
      </x:c>
      <x:c r="J366" s="14" t="n">
        <x:v>12</x:v>
      </x:c>
      <x:c r="K366" s="14" t="n">
        <x:v>5</x:v>
      </x:c>
      <x:c r="L366" s="15" t="n">
        <x:f>IF(J366=0,"해당 없음",K366/J366)</x:f>
        <x:v>0.4166666666666667</x:v>
      </x:c>
      <x:c r="M366" s="14" t="n">
        <x:v>9</x:v>
      </x:c>
      <x:c r="N366" s="14" t="n">
        <x:v>6</x:v>
      </x:c>
      <x:c r="O366" s="15" t="n">
        <x:f>IF(M366=0,"해당 없음",N366/M366)</x:f>
        <x:v>0.6666666666666666</x:v>
      </x:c>
      <x:c r="P366" s="14" t="n">
        <x:v>106</x:v>
      </x:c>
    </x:row>
    <x:row r="367" ht="22" customHeight="1">
      <x:c r="A367" s="14" t="n">
        <x:v>181</x:v>
      </x:c>
      <x:c r="B367" s="14" t="n">
        <x:v>5</x:v>
      </x:c>
      <x:c r="C367" s="14" t="n">
        <x:v>76010</x:v>
      </x:c>
      <x:c r="D367" s="2" t="str">
        <x:v>NAVY</x:v>
      </x:c>
      <x:c r="E367" s="2" t="str">
        <x:v>규칙형</x:v>
      </x:c>
      <x:c r="F367" s="2" t="str">
        <x:v>160만</x:v>
      </x:c>
      <x:c r="G367" s="2" t="str">
        <x:v>패</x:v>
      </x:c>
      <x:c r="H367" s="14" t="n">
        <x:v>2</x:v>
      </x:c>
      <x:c r="I367" s="14" t="n">
        <x:v>5</x:v>
      </x:c>
      <x:c r="J367" s="14" t="n">
        <x:v>9</x:v>
      </x:c>
      <x:c r="K367" s="14" t="n">
        <x:v>2</x:v>
      </x:c>
      <x:c r="L367" s="15" t="n">
        <x:f>IF(J367=0,"해당 없음",K367/J367)</x:f>
        <x:v>0.2222222222222222</x:v>
      </x:c>
      <x:c r="M367" s="14" t="n">
        <x:v>16</x:v>
      </x:c>
      <x:c r="N367" s="14" t="n">
        <x:v>9</x:v>
      </x:c>
      <x:c r="O367" s="15" t="n">
        <x:f>IF(M367=0,"해당 없음",N367/M367)</x:f>
        <x:v>0.5625</x:v>
      </x:c>
      <x:c r="P367" s="14" t="n">
        <x:v>105</x:v>
      </x:c>
    </x:row>
    <x:row r="368" ht="22" customHeight="1">
      <x:c r="A368" s="14" t="n">
        <x:v>182</x:v>
      </x:c>
      <x:c r="B368" s="14" t="n">
        <x:v>5</x:v>
      </x:c>
      <x:c r="C368" s="14" t="n">
        <x:v>76010</x:v>
      </x:c>
      <x:c r="D368" s="2" t="str">
        <x:v>RED</x:v>
      </x:c>
      <x:c r="E368" s="2" t="str">
        <x:v>규칙형</x:v>
      </x:c>
      <x:c r="F368" s="2" t="str">
        <x:v>160만</x:v>
      </x:c>
      <x:c r="G368" s="2" t="str">
        <x:v>패</x:v>
      </x:c>
      <x:c r="H368" s="14" t="n">
        <x:v>1</x:v>
      </x:c>
      <x:c r="I368" s="14" t="n">
        <x:v>4</x:v>
      </x:c>
      <x:c r="J368" s="14" t="n">
        <x:v>10</x:v>
      </x:c>
      <x:c r="K368" s="14" t="n">
        <x:v>1</x:v>
      </x:c>
      <x:c r="L368" s="15" t="n">
        <x:f>IF(J368=0,"해당 없음",K368/J368)</x:f>
        <x:v>0.1</x:v>
      </x:c>
      <x:c r="M368" s="14" t="n">
        <x:v>9</x:v>
      </x:c>
      <x:c r="N368" s="14" t="n">
        <x:v>6</x:v>
      </x:c>
      <x:c r="O368" s="15" t="n">
        <x:f>IF(M368=0,"해당 없음",N368/M368)</x:f>
        <x:v>0.6666666666666666</x:v>
      </x:c>
      <x:c r="P368" s="14" t="n">
        <x:v>103</x:v>
      </x:c>
    </x:row>
    <x:row r="369" ht="22" customHeight="1">
      <x:c r="A369" s="14" t="n">
        <x:v>182</x:v>
      </x:c>
      <x:c r="B369" s="14" t="n">
        <x:v>5</x:v>
      </x:c>
      <x:c r="C369" s="14" t="n">
        <x:v>76010</x:v>
      </x:c>
      <x:c r="D369" s="2" t="str">
        <x:v>NAVY</x:v>
      </x:c>
      <x:c r="E369" s="2" t="str">
        <x:v>160만</x:v>
      </x:c>
      <x:c r="F369" s="2" t="str">
        <x:v>규칙형</x:v>
      </x:c>
      <x:c r="G369" s="2" t="str">
        <x:v>승</x:v>
      </x:c>
      <x:c r="H369" s="14" t="n">
        <x:v>4</x:v>
      </x:c>
      <x:c r="I369" s="14" t="n">
        <x:v>1</x:v>
      </x:c>
      <x:c r="J369" s="14" t="n">
        <x:v>8</x:v>
      </x:c>
      <x:c r="K369" s="14" t="n">
        <x:v>4</x:v>
      </x:c>
      <x:c r="L369" s="15" t="n">
        <x:f>IF(J369=0,"해당 없음",K369/J369)</x:f>
        <x:v>0.5</x:v>
      </x:c>
      <x:c r="M369" s="14" t="n">
        <x:v>11</x:v>
      </x:c>
      <x:c r="N369" s="14" t="n">
        <x:v>7</x:v>
      </x:c>
      <x:c r="O369" s="15" t="n">
        <x:f>IF(M369=0,"해당 없음",N369/M369)</x:f>
        <x:v>0.6363636363636364</x:v>
      </x:c>
      <x:c r="P369" s="14" t="n">
        <x:v>103</x:v>
      </x:c>
    </x:row>
    <x:row r="370" ht="22" customHeight="1">
      <x:c r="A370" s="14" t="n">
        <x:v>183</x:v>
      </x:c>
      <x:c r="B370" s="14" t="n">
        <x:v>5</x:v>
      </x:c>
      <x:c r="C370" s="14" t="n">
        <x:v>76011</x:v>
      </x:c>
      <x:c r="D370" s="2" t="str">
        <x:v>RED</x:v>
      </x:c>
      <x:c r="E370" s="2" t="str">
        <x:v>160만</x:v>
      </x:c>
      <x:c r="F370" s="2" t="str">
        <x:v>규칙형</x:v>
      </x:c>
      <x:c r="G370" s="2" t="str">
        <x:v>승</x:v>
      </x:c>
      <x:c r="H370" s="14" t="n">
        <x:v>6</x:v>
      </x:c>
      <x:c r="I370" s="14" t="n">
        <x:v>3</x:v>
      </x:c>
      <x:c r="J370" s="14" t="n">
        <x:v>8</x:v>
      </x:c>
      <x:c r="K370" s="14" t="n">
        <x:v>6</x:v>
      </x:c>
      <x:c r="L370" s="15" t="n">
        <x:f>IF(J370=0,"해당 없음",K370/J370)</x:f>
        <x:v>0.75</x:v>
      </x:c>
      <x:c r="M370" s="14" t="n">
        <x:v>12</x:v>
      </x:c>
      <x:c r="N370" s="14" t="n">
        <x:v>9</x:v>
      </x:c>
      <x:c r="O370" s="15" t="n">
        <x:f>IF(M370=0,"해당 없음",N370/M370)</x:f>
        <x:v>0.75</x:v>
      </x:c>
      <x:c r="P370" s="14" t="n">
        <x:v>105</x:v>
      </x:c>
    </x:row>
    <x:row r="371" ht="22" customHeight="1">
      <x:c r="A371" s="14" t="n">
        <x:v>183</x:v>
      </x:c>
      <x:c r="B371" s="14" t="n">
        <x:v>5</x:v>
      </x:c>
      <x:c r="C371" s="14" t="n">
        <x:v>76011</x:v>
      </x:c>
      <x:c r="D371" s="2" t="str">
        <x:v>NAVY</x:v>
      </x:c>
      <x:c r="E371" s="2" t="str">
        <x:v>규칙형</x:v>
      </x:c>
      <x:c r="F371" s="2" t="str">
        <x:v>160만</x:v>
      </x:c>
      <x:c r="G371" s="2" t="str">
        <x:v>패</x:v>
      </x:c>
      <x:c r="H371" s="14" t="n">
        <x:v>3</x:v>
      </x:c>
      <x:c r="I371" s="14" t="n">
        <x:v>6</x:v>
      </x:c>
      <x:c r="J371" s="14" t="n">
        <x:v>10</x:v>
      </x:c>
      <x:c r="K371" s="14" t="n">
        <x:v>3</x:v>
      </x:c>
      <x:c r="L371" s="15" t="n">
        <x:f>IF(J371=0,"해당 없음",K371/J371)</x:f>
        <x:v>0.3</x:v>
      </x:c>
      <x:c r="M371" s="14" t="n">
        <x:v>18</x:v>
      </x:c>
      <x:c r="N371" s="14" t="n">
        <x:v>14</x:v>
      </x:c>
      <x:c r="O371" s="15" t="n">
        <x:f>IF(M371=0,"해당 없음",N371/M371)</x:f>
        <x:v>0.7777777777777778</x:v>
      </x:c>
      <x:c r="P371" s="14" t="n">
        <x:v>106</x:v>
      </x:c>
    </x:row>
    <x:row r="372" ht="22" customHeight="1">
      <x:c r="A372" s="14" t="n">
        <x:v>184</x:v>
      </x:c>
      <x:c r="B372" s="14" t="n">
        <x:v>5</x:v>
      </x:c>
      <x:c r="C372" s="14" t="n">
        <x:v>76011</x:v>
      </x:c>
      <x:c r="D372" s="2" t="str">
        <x:v>RED</x:v>
      </x:c>
      <x:c r="E372" s="2" t="str">
        <x:v>규칙형</x:v>
      </x:c>
      <x:c r="F372" s="2" t="str">
        <x:v>160만</x:v>
      </x:c>
      <x:c r="G372" s="2" t="str">
        <x:v>패</x:v>
      </x:c>
      <x:c r="H372" s="14" t="n">
        <x:v>3</x:v>
      </x:c>
      <x:c r="I372" s="14" t="n">
        <x:v>4</x:v>
      </x:c>
      <x:c r="J372" s="14" t="n">
        <x:v>7</x:v>
      </x:c>
      <x:c r="K372" s="14" t="n">
        <x:v>3</x:v>
      </x:c>
      <x:c r="L372" s="15" t="n">
        <x:f>IF(J372=0,"해당 없음",K372/J372)</x:f>
        <x:v>0.42857142857142855</x:v>
      </x:c>
      <x:c r="M372" s="14" t="n">
        <x:v>14</x:v>
      </x:c>
      <x:c r="N372" s="14" t="n">
        <x:v>13</x:v>
      </x:c>
      <x:c r="O372" s="15" t="n">
        <x:f>IF(M372=0,"해당 없음",N372/M372)</x:f>
        <x:v>0.9285714285714286</x:v>
      </x:c>
      <x:c r="P372" s="14" t="n">
        <x:v>104</x:v>
      </x:c>
    </x:row>
    <x:row r="373" ht="22" customHeight="1">
      <x:c r="A373" s="14" t="n">
        <x:v>184</x:v>
      </x:c>
      <x:c r="B373" s="14" t="n">
        <x:v>5</x:v>
      </x:c>
      <x:c r="C373" s="14" t="n">
        <x:v>76011</x:v>
      </x:c>
      <x:c r="D373" s="2" t="str">
        <x:v>NAVY</x:v>
      </x:c>
      <x:c r="E373" s="2" t="str">
        <x:v>160만</x:v>
      </x:c>
      <x:c r="F373" s="2" t="str">
        <x:v>규칙형</x:v>
      </x:c>
      <x:c r="G373" s="2" t="str">
        <x:v>승</x:v>
      </x:c>
      <x:c r="H373" s="14" t="n">
        <x:v>4</x:v>
      </x:c>
      <x:c r="I373" s="14" t="n">
        <x:v>3</x:v>
      </x:c>
      <x:c r="J373" s="14" t="n">
        <x:v>9</x:v>
      </x:c>
      <x:c r="K373" s="14" t="n">
        <x:v>4</x:v>
      </x:c>
      <x:c r="L373" s="15" t="n">
        <x:f>IF(J373=0,"해당 없음",K373/J373)</x:f>
        <x:v>0.4444444444444444</x:v>
      </x:c>
      <x:c r="M373" s="14" t="n">
        <x:v>6</x:v>
      </x:c>
      <x:c r="N373" s="14" t="n">
        <x:v>5</x:v>
      </x:c>
      <x:c r="O373" s="15" t="n">
        <x:f>IF(M373=0,"해당 없음",N373/M373)</x:f>
        <x:v>0.8333333333333334</x:v>
      </x:c>
      <x:c r="P373" s="14" t="n">
        <x:v>104</x:v>
      </x:c>
    </x:row>
    <x:row r="374" ht="22" customHeight="1">
      <x:c r="A374" s="14" t="n">
        <x:v>185</x:v>
      </x:c>
      <x:c r="B374" s="14" t="n">
        <x:v>5</x:v>
      </x:c>
      <x:c r="C374" s="14" t="n">
        <x:v>76012</x:v>
      </x:c>
      <x:c r="D374" s="2" t="str">
        <x:v>RED</x:v>
      </x:c>
      <x:c r="E374" s="2" t="str">
        <x:v>160만</x:v>
      </x:c>
      <x:c r="F374" s="2" t="str">
        <x:v>규칙형</x:v>
      </x:c>
      <x:c r="G374" s="2" t="str">
        <x:v>승</x:v>
      </x:c>
      <x:c r="H374" s="14" t="n">
        <x:v>3</x:v>
      </x:c>
      <x:c r="I374" s="14" t="n">
        <x:v>0</x:v>
      </x:c>
      <x:c r="J374" s="14" t="n">
        <x:v>7</x:v>
      </x:c>
      <x:c r="K374" s="14" t="n">
        <x:v>3</x:v>
      </x:c>
      <x:c r="L374" s="15" t="n">
        <x:f>IF(J374=0,"해당 없음",K374/J374)</x:f>
        <x:v>0.42857142857142855</x:v>
      </x:c>
      <x:c r="M374" s="14" t="n">
        <x:v>9</x:v>
      </x:c>
      <x:c r="N374" s="14" t="n">
        <x:v>6</x:v>
      </x:c>
      <x:c r="O374" s="15" t="n">
        <x:f>IF(M374=0,"해당 없음",N374/M374)</x:f>
        <x:v>0.6666666666666666</x:v>
      </x:c>
      <x:c r="P374" s="14" t="n">
        <x:v>102</x:v>
      </x:c>
    </x:row>
    <x:row r="375" ht="22" customHeight="1">
      <x:c r="A375" s="14" t="n">
        <x:v>185</x:v>
      </x:c>
      <x:c r="B375" s="14" t="n">
        <x:v>5</x:v>
      </x:c>
      <x:c r="C375" s="14" t="n">
        <x:v>76012</x:v>
      </x:c>
      <x:c r="D375" s="2" t="str">
        <x:v>NAVY</x:v>
      </x:c>
      <x:c r="E375" s="2" t="str">
        <x:v>규칙형</x:v>
      </x:c>
      <x:c r="F375" s="2" t="str">
        <x:v>160만</x:v>
      </x:c>
      <x:c r="G375" s="2" t="str">
        <x:v>패</x:v>
      </x:c>
      <x:c r="H375" s="14" t="n">
        <x:v>0</x:v>
      </x:c>
      <x:c r="I375" s="14" t="n">
        <x:v>3</x:v>
      </x:c>
      <x:c r="J375" s="14" t="n">
        <x:v>8</x:v>
      </x:c>
      <x:c r="K375" s="14" t="n">
        <x:v>0</x:v>
      </x:c>
      <x:c r="L375" s="15" t="n">
        <x:f>IF(J375=0,"해당 없음",K375/J375)</x:f>
        <x:v>0</x:v>
      </x:c>
      <x:c r="M375" s="14" t="n">
        <x:v>16</x:v>
      </x:c>
      <x:c r="N375" s="14" t="n">
        <x:v>12</x:v>
      </x:c>
      <x:c r="O375" s="15" t="n">
        <x:f>IF(M375=0,"해당 없음",N375/M375)</x:f>
        <x:v>0.75</x:v>
      </x:c>
      <x:c r="P375" s="14" t="n">
        <x:v>102</x:v>
      </x:c>
    </x:row>
    <x:row r="376" ht="22" customHeight="1">
      <x:c r="A376" s="14" t="n">
        <x:v>186</x:v>
      </x:c>
      <x:c r="B376" s="14" t="n">
        <x:v>5</x:v>
      </x:c>
      <x:c r="C376" s="14" t="n">
        <x:v>76012</x:v>
      </x:c>
      <x:c r="D376" s="2" t="str">
        <x:v>RED</x:v>
      </x:c>
      <x:c r="E376" s="2" t="str">
        <x:v>규칙형</x:v>
      </x:c>
      <x:c r="F376" s="2" t="str">
        <x:v>160만</x:v>
      </x:c>
      <x:c r="G376" s="2" t="str">
        <x:v>패</x:v>
      </x:c>
      <x:c r="H376" s="14" t="n">
        <x:v>2</x:v>
      </x:c>
      <x:c r="I376" s="14" t="n">
        <x:v>4</x:v>
      </x:c>
      <x:c r="J376" s="14" t="n">
        <x:v>8</x:v>
      </x:c>
      <x:c r="K376" s="14" t="n">
        <x:v>2</x:v>
      </x:c>
      <x:c r="L376" s="15" t="n">
        <x:f>IF(J376=0,"해당 없음",K376/J376)</x:f>
        <x:v>0.25</x:v>
      </x:c>
      <x:c r="M376" s="14" t="n">
        <x:v>11</x:v>
      </x:c>
      <x:c r="N376" s="14" t="n">
        <x:v>10</x:v>
      </x:c>
      <x:c r="O376" s="15" t="n">
        <x:f>IF(M376=0,"해당 없음",N376/M376)</x:f>
        <x:v>0.9090909090909091</x:v>
      </x:c>
      <x:c r="P376" s="14" t="n">
        <x:v>104</x:v>
      </x:c>
    </x:row>
    <x:row r="377" ht="22" customHeight="1">
      <x:c r="A377" s="14" t="n">
        <x:v>186</x:v>
      </x:c>
      <x:c r="B377" s="14" t="n">
        <x:v>5</x:v>
      </x:c>
      <x:c r="C377" s="14" t="n">
        <x:v>76012</x:v>
      </x:c>
      <x:c r="D377" s="2" t="str">
        <x:v>NAVY</x:v>
      </x:c>
      <x:c r="E377" s="2" t="str">
        <x:v>160만</x:v>
      </x:c>
      <x:c r="F377" s="2" t="str">
        <x:v>규칙형</x:v>
      </x:c>
      <x:c r="G377" s="2" t="str">
        <x:v>승</x:v>
      </x:c>
      <x:c r="H377" s="14" t="n">
        <x:v>4</x:v>
      </x:c>
      <x:c r="I377" s="14" t="n">
        <x:v>2</x:v>
      </x:c>
      <x:c r="J377" s="14" t="n">
        <x:v>7</x:v>
      </x:c>
      <x:c r="K377" s="14" t="n">
        <x:v>4</x:v>
      </x:c>
      <x:c r="L377" s="15" t="n">
        <x:f>IF(J377=0,"해당 없음",K377/J377)</x:f>
        <x:v>0.5714285714285714</x:v>
      </x:c>
      <x:c r="M377" s="14" t="n">
        <x:v>8</x:v>
      </x:c>
      <x:c r="N377" s="14" t="n">
        <x:v>4</x:v>
      </x:c>
      <x:c r="O377" s="15" t="n">
        <x:f>IF(M377=0,"해당 없음",N377/M377)</x:f>
        <x:v>0.5</x:v>
      </x:c>
      <x:c r="P377" s="14" t="n">
        <x:v>103</x:v>
      </x:c>
    </x:row>
    <x:row r="378" ht="22" customHeight="1">
      <x:c r="A378" s="14" t="n">
        <x:v>187</x:v>
      </x:c>
      <x:c r="B378" s="14" t="n">
        <x:v>5</x:v>
      </x:c>
      <x:c r="C378" s="14" t="n">
        <x:v>76013</x:v>
      </x:c>
      <x:c r="D378" s="2" t="str">
        <x:v>RED</x:v>
      </x:c>
      <x:c r="E378" s="2" t="str">
        <x:v>160만</x:v>
      </x:c>
      <x:c r="F378" s="2" t="str">
        <x:v>규칙형</x:v>
      </x:c>
      <x:c r="G378" s="2" t="str">
        <x:v>무</x:v>
      </x:c>
      <x:c r="H378" s="14" t="n">
        <x:v>5</x:v>
      </x:c>
      <x:c r="I378" s="14" t="n">
        <x:v>5</x:v>
      </x:c>
      <x:c r="J378" s="14" t="n">
        <x:v>13</x:v>
      </x:c>
      <x:c r="K378" s="14" t="n">
        <x:v>5</x:v>
      </x:c>
      <x:c r="L378" s="15" t="n">
        <x:f>IF(J378=0,"해당 없음",K378/J378)</x:f>
        <x:v>0.38461538461538464</x:v>
      </x:c>
      <x:c r="M378" s="14" t="n">
        <x:v>3</x:v>
      </x:c>
      <x:c r="N378" s="14" t="n">
        <x:v>3</x:v>
      </x:c>
      <x:c r="O378" s="15" t="n">
        <x:f>IF(M378=0,"해당 없음",N378/M378)</x:f>
        <x:v>1</x:v>
      </x:c>
      <x:c r="P378" s="14" t="n">
        <x:v>105</x:v>
      </x:c>
    </x:row>
    <x:row r="379" ht="22" customHeight="1">
      <x:c r="A379" s="14" t="n">
        <x:v>187</x:v>
      </x:c>
      <x:c r="B379" s="14" t="n">
        <x:v>5</x:v>
      </x:c>
      <x:c r="C379" s="14" t="n">
        <x:v>76013</x:v>
      </x:c>
      <x:c r="D379" s="2" t="str">
        <x:v>NAVY</x:v>
      </x:c>
      <x:c r="E379" s="2" t="str">
        <x:v>규칙형</x:v>
      </x:c>
      <x:c r="F379" s="2" t="str">
        <x:v>160만</x:v>
      </x:c>
      <x:c r="G379" s="2" t="str">
        <x:v>무</x:v>
      </x:c>
      <x:c r="H379" s="14" t="n">
        <x:v>5</x:v>
      </x:c>
      <x:c r="I379" s="14" t="n">
        <x:v>5</x:v>
      </x:c>
      <x:c r="J379" s="14" t="n">
        <x:v>6</x:v>
      </x:c>
      <x:c r="K379" s="14" t="n">
        <x:v>5</x:v>
      </x:c>
      <x:c r="L379" s="15" t="n">
        <x:f>IF(J379=0,"해당 없음",K379/J379)</x:f>
        <x:v>0.8333333333333334</x:v>
      </x:c>
      <x:c r="M379" s="14" t="n">
        <x:v>13</x:v>
      </x:c>
      <x:c r="N379" s="14" t="n">
        <x:v>8</x:v>
      </x:c>
      <x:c r="O379" s="15" t="n">
        <x:f>IF(M379=0,"해당 없음",N379/M379)</x:f>
        <x:v>0.6153846153846154</x:v>
      </x:c>
      <x:c r="P379" s="14" t="n">
        <x:v>106</x:v>
      </x:c>
    </x:row>
    <x:row r="380" ht="22" customHeight="1">
      <x:c r="A380" s="14" t="n">
        <x:v>188</x:v>
      </x:c>
      <x:c r="B380" s="14" t="n">
        <x:v>5</x:v>
      </x:c>
      <x:c r="C380" s="14" t="n">
        <x:v>76013</x:v>
      </x:c>
      <x:c r="D380" s="2" t="str">
        <x:v>RED</x:v>
      </x:c>
      <x:c r="E380" s="2" t="str">
        <x:v>규칙형</x:v>
      </x:c>
      <x:c r="F380" s="2" t="str">
        <x:v>160만</x:v>
      </x:c>
      <x:c r="G380" s="2" t="str">
        <x:v>패</x:v>
      </x:c>
      <x:c r="H380" s="14" t="n">
        <x:v>3</x:v>
      </x:c>
      <x:c r="I380" s="14" t="n">
        <x:v>5</x:v>
      </x:c>
      <x:c r="J380" s="14" t="n">
        <x:v>6</x:v>
      </x:c>
      <x:c r="K380" s="14" t="n">
        <x:v>3</x:v>
      </x:c>
      <x:c r="L380" s="15" t="n">
        <x:f>IF(J380=0,"해당 없음",K380/J380)</x:f>
        <x:v>0.5</x:v>
      </x:c>
      <x:c r="M380" s="14" t="n">
        <x:v>11</x:v>
      </x:c>
      <x:c r="N380" s="14" t="n">
        <x:v>8</x:v>
      </x:c>
      <x:c r="O380" s="15" t="n">
        <x:f>IF(M380=0,"해당 없음",N380/M380)</x:f>
        <x:v>0.7272727272727273</x:v>
      </x:c>
      <x:c r="P380" s="14" t="n">
        <x:v>104</x:v>
      </x:c>
    </x:row>
    <x:row r="381" ht="22" customHeight="1">
      <x:c r="A381" s="14" t="n">
        <x:v>188</x:v>
      </x:c>
      <x:c r="B381" s="14" t="n">
        <x:v>5</x:v>
      </x:c>
      <x:c r="C381" s="14" t="n">
        <x:v>76013</x:v>
      </x:c>
      <x:c r="D381" s="2" t="str">
        <x:v>NAVY</x:v>
      </x:c>
      <x:c r="E381" s="2" t="str">
        <x:v>160만</x:v>
      </x:c>
      <x:c r="F381" s="2" t="str">
        <x:v>규칙형</x:v>
      </x:c>
      <x:c r="G381" s="2" t="str">
        <x:v>승</x:v>
      </x:c>
      <x:c r="H381" s="14" t="n">
        <x:v>5</x:v>
      </x:c>
      <x:c r="I381" s="14" t="n">
        <x:v>3</x:v>
      </x:c>
      <x:c r="J381" s="14" t="n">
        <x:v>8</x:v>
      </x:c>
      <x:c r="K381" s="14" t="n">
        <x:v>5</x:v>
      </x:c>
      <x:c r="L381" s="15" t="n">
        <x:f>IF(J381=0,"해당 없음",K381/J381)</x:f>
        <x:v>0.625</x:v>
      </x:c>
      <x:c r="M381" s="14" t="n">
        <x:v>8</x:v>
      </x:c>
      <x:c r="N381" s="14" t="n">
        <x:v>6</x:v>
      </x:c>
      <x:c r="O381" s="15" t="n">
        <x:f>IF(M381=0,"해당 없음",N381/M381)</x:f>
        <x:v>0.75</x:v>
      </x:c>
      <x:c r="P381" s="14" t="n">
        <x:v>104</x:v>
      </x:c>
    </x:row>
    <x:row r="382" ht="22" customHeight="1">
      <x:c r="A382" s="14" t="n">
        <x:v>189</x:v>
      </x:c>
      <x:c r="B382" s="14" t="n">
        <x:v>5</x:v>
      </x:c>
      <x:c r="C382" s="14" t="n">
        <x:v>76014</x:v>
      </x:c>
      <x:c r="D382" s="2" t="str">
        <x:v>RED</x:v>
      </x:c>
      <x:c r="E382" s="2" t="str">
        <x:v>160만</x:v>
      </x:c>
      <x:c r="F382" s="2" t="str">
        <x:v>규칙형</x:v>
      </x:c>
      <x:c r="G382" s="2" t="str">
        <x:v>승</x:v>
      </x:c>
      <x:c r="H382" s="14" t="n">
        <x:v>4</x:v>
      </x:c>
      <x:c r="I382" s="14" t="n">
        <x:v>1</x:v>
      </x:c>
      <x:c r="J382" s="14" t="n">
        <x:v>8</x:v>
      </x:c>
      <x:c r="K382" s="14" t="n">
        <x:v>4</x:v>
      </x:c>
      <x:c r="L382" s="15" t="n">
        <x:f>IF(J382=0,"해당 없음",K382/J382)</x:f>
        <x:v>0.5</x:v>
      </x:c>
      <x:c r="M382" s="14" t="n">
        <x:v>8</x:v>
      </x:c>
      <x:c r="N382" s="14" t="n">
        <x:v>5</x:v>
      </x:c>
      <x:c r="O382" s="15" t="n">
        <x:f>IF(M382=0,"해당 없음",N382/M382)</x:f>
        <x:v>0.625</x:v>
      </x:c>
      <x:c r="P382" s="14" t="n">
        <x:v>102</x:v>
      </x:c>
    </x:row>
    <x:row r="383" ht="22" customHeight="1">
      <x:c r="A383" s="14" t="n">
        <x:v>189</x:v>
      </x:c>
      <x:c r="B383" s="14" t="n">
        <x:v>5</x:v>
      </x:c>
      <x:c r="C383" s="14" t="n">
        <x:v>76014</x:v>
      </x:c>
      <x:c r="D383" s="2" t="str">
        <x:v>NAVY</x:v>
      </x:c>
      <x:c r="E383" s="2" t="str">
        <x:v>규칙형</x:v>
      </x:c>
      <x:c r="F383" s="2" t="str">
        <x:v>160만</x:v>
      </x:c>
      <x:c r="G383" s="2" t="str">
        <x:v>패</x:v>
      </x:c>
      <x:c r="H383" s="14" t="n">
        <x:v>1</x:v>
      </x:c>
      <x:c r="I383" s="14" t="n">
        <x:v>4</x:v>
      </x:c>
      <x:c r="J383" s="14" t="n">
        <x:v>7</x:v>
      </x:c>
      <x:c r="K383" s="14" t="n">
        <x:v>1</x:v>
      </x:c>
      <x:c r="L383" s="15" t="n">
        <x:f>IF(J383=0,"해당 없음",K383/J383)</x:f>
        <x:v>0.14285714285714285</x:v>
      </x:c>
      <x:c r="M383" s="14" t="n">
        <x:v>12</x:v>
      </x:c>
      <x:c r="N383" s="14" t="n">
        <x:v>11</x:v>
      </x:c>
      <x:c r="O383" s="15" t="n">
        <x:f>IF(M383=0,"해당 없음",N383/M383)</x:f>
        <x:v>0.9166666666666666</x:v>
      </x:c>
      <x:c r="P383" s="14" t="n">
        <x:v>103</x:v>
      </x:c>
    </x:row>
    <x:row r="384" ht="22" customHeight="1">
      <x:c r="A384" s="14" t="n">
        <x:v>190</x:v>
      </x:c>
      <x:c r="B384" s="14" t="n">
        <x:v>5</x:v>
      </x:c>
      <x:c r="C384" s="14" t="n">
        <x:v>76014</x:v>
      </x:c>
      <x:c r="D384" s="2" t="str">
        <x:v>RED</x:v>
      </x:c>
      <x:c r="E384" s="2" t="str">
        <x:v>규칙형</x:v>
      </x:c>
      <x:c r="F384" s="2" t="str">
        <x:v>160만</x:v>
      </x:c>
      <x:c r="G384" s="2" t="str">
        <x:v>패</x:v>
      </x:c>
      <x:c r="H384" s="14" t="n">
        <x:v>2</x:v>
      </x:c>
      <x:c r="I384" s="14" t="n">
        <x:v>7</x:v>
      </x:c>
      <x:c r="J384" s="14" t="n">
        <x:v>8</x:v>
      </x:c>
      <x:c r="K384" s="14" t="n">
        <x:v>2</x:v>
      </x:c>
      <x:c r="L384" s="15" t="n">
        <x:f>IF(J384=0,"해당 없음",K384/J384)</x:f>
        <x:v>0.25</x:v>
      </x:c>
      <x:c r="M384" s="14" t="n">
        <x:v>12</x:v>
      </x:c>
      <x:c r="N384" s="14" t="n">
        <x:v>10</x:v>
      </x:c>
      <x:c r="O384" s="15" t="n">
        <x:f>IF(M384=0,"해당 없음",N384/M384)</x:f>
        <x:v>0.8333333333333334</x:v>
      </x:c>
      <x:c r="P384" s="14" t="n">
        <x:v>105</x:v>
      </x:c>
    </x:row>
    <x:row r="385" ht="22" customHeight="1">
      <x:c r="A385" s="14" t="n">
        <x:v>190</x:v>
      </x:c>
      <x:c r="B385" s="14" t="n">
        <x:v>5</x:v>
      </x:c>
      <x:c r="C385" s="14" t="n">
        <x:v>76014</x:v>
      </x:c>
      <x:c r="D385" s="2" t="str">
        <x:v>NAVY</x:v>
      </x:c>
      <x:c r="E385" s="2" t="str">
        <x:v>160만</x:v>
      </x:c>
      <x:c r="F385" s="2" t="str">
        <x:v>규칙형</x:v>
      </x:c>
      <x:c r="G385" s="2" t="str">
        <x:v>승</x:v>
      </x:c>
      <x:c r="H385" s="14" t="n">
        <x:v>7</x:v>
      </x:c>
      <x:c r="I385" s="14" t="n">
        <x:v>2</x:v>
      </x:c>
      <x:c r="J385" s="14" t="n">
        <x:v>10</x:v>
      </x:c>
      <x:c r="K385" s="14" t="n">
        <x:v>7</x:v>
      </x:c>
      <x:c r="L385" s="15" t="n">
        <x:f>IF(J385=0,"해당 없음",K385/J385)</x:f>
        <x:v>0.7</x:v>
      </x:c>
      <x:c r="M385" s="14" t="n">
        <x:v>7</x:v>
      </x:c>
      <x:c r="N385" s="14" t="n">
        <x:v>5</x:v>
      </x:c>
      <x:c r="O385" s="15" t="n">
        <x:f>IF(M385=0,"해당 없음",N385/M385)</x:f>
        <x:v>0.7142857142857143</x:v>
      </x:c>
      <x:c r="P385" s="14" t="n">
        <x:v>105</x:v>
      </x:c>
    </x:row>
    <x:row r="386" ht="22" customHeight="1">
      <x:c r="A386" s="14" t="n">
        <x:v>191</x:v>
      </x:c>
      <x:c r="B386" s="14" t="n">
        <x:v>5</x:v>
      </x:c>
      <x:c r="C386" s="14" t="n">
        <x:v>76015</x:v>
      </x:c>
      <x:c r="D386" s="2" t="str">
        <x:v>RED</x:v>
      </x:c>
      <x:c r="E386" s="2" t="str">
        <x:v>160만</x:v>
      </x:c>
      <x:c r="F386" s="2" t="str">
        <x:v>규칙형</x:v>
      </x:c>
      <x:c r="G386" s="2" t="str">
        <x:v>패</x:v>
      </x:c>
      <x:c r="H386" s="14" t="n">
        <x:v>2</x:v>
      </x:c>
      <x:c r="I386" s="14" t="n">
        <x:v>3</x:v>
      </x:c>
      <x:c r="J386" s="14" t="n">
        <x:v>7</x:v>
      </x:c>
      <x:c r="K386" s="14" t="n">
        <x:v>2</x:v>
      </x:c>
      <x:c r="L386" s="15" t="n">
        <x:f>IF(J386=0,"해당 없음",K386/J386)</x:f>
        <x:v>0.2857142857142857</x:v>
      </x:c>
      <x:c r="M386" s="14" t="n">
        <x:v>6</x:v>
      </x:c>
      <x:c r="N386" s="14" t="n">
        <x:v>4</x:v>
      </x:c>
      <x:c r="O386" s="15" t="n">
        <x:f>IF(M386=0,"해당 없음",N386/M386)</x:f>
        <x:v>0.6666666666666666</x:v>
      </x:c>
      <x:c r="P386" s="14" t="n">
        <x:v>102</x:v>
      </x:c>
    </x:row>
    <x:row r="387" ht="22" customHeight="1">
      <x:c r="A387" s="14" t="n">
        <x:v>191</x:v>
      </x:c>
      <x:c r="B387" s="14" t="n">
        <x:v>5</x:v>
      </x:c>
      <x:c r="C387" s="14" t="n">
        <x:v>76015</x:v>
      </x:c>
      <x:c r="D387" s="2" t="str">
        <x:v>NAVY</x:v>
      </x:c>
      <x:c r="E387" s="2" t="str">
        <x:v>규칙형</x:v>
      </x:c>
      <x:c r="F387" s="2" t="str">
        <x:v>160만</x:v>
      </x:c>
      <x:c r="G387" s="2" t="str">
        <x:v>승</x:v>
      </x:c>
      <x:c r="H387" s="14" t="n">
        <x:v>3</x:v>
      </x:c>
      <x:c r="I387" s="14" t="n">
        <x:v>2</x:v>
      </x:c>
      <x:c r="J387" s="14" t="n">
        <x:v>13</x:v>
      </x:c>
      <x:c r="K387" s="14" t="n">
        <x:v>3</x:v>
      </x:c>
      <x:c r="L387" s="15" t="n">
        <x:f>IF(J387=0,"해당 없음",K387/J387)</x:f>
        <x:v>0.23076923076923078</x:v>
      </x:c>
      <x:c r="M387" s="14" t="n">
        <x:v>13</x:v>
      </x:c>
      <x:c r="N387" s="14" t="n">
        <x:v>10</x:v>
      </x:c>
      <x:c r="O387" s="15" t="n">
        <x:f>IF(M387=0,"해당 없음",N387/M387)</x:f>
        <x:v>0.7692307692307693</x:v>
      </x:c>
      <x:c r="P387" s="14" t="n">
        <x:v>103</x:v>
      </x:c>
    </x:row>
    <x:row r="388" ht="22" customHeight="1">
      <x:c r="A388" s="14" t="n">
        <x:v>192</x:v>
      </x:c>
      <x:c r="B388" s="14" t="n">
        <x:v>5</x:v>
      </x:c>
      <x:c r="C388" s="14" t="n">
        <x:v>76015</x:v>
      </x:c>
      <x:c r="D388" s="2" t="str">
        <x:v>RED</x:v>
      </x:c>
      <x:c r="E388" s="2" t="str">
        <x:v>규칙형</x:v>
      </x:c>
      <x:c r="F388" s="2" t="str">
        <x:v>160만</x:v>
      </x:c>
      <x:c r="G388" s="2" t="str">
        <x:v>패</x:v>
      </x:c>
      <x:c r="H388" s="14" t="n">
        <x:v>1</x:v>
      </x:c>
      <x:c r="I388" s="14" t="n">
        <x:v>6</x:v>
      </x:c>
      <x:c r="J388" s="14" t="n">
        <x:v>6</x:v>
      </x:c>
      <x:c r="K388" s="14" t="n">
        <x:v>1</x:v>
      </x:c>
      <x:c r="L388" s="15" t="n">
        <x:f>IF(J388=0,"해당 없음",K388/J388)</x:f>
        <x:v>0.16666666666666666</x:v>
      </x:c>
      <x:c r="M388" s="14" t="n">
        <x:v>4</x:v>
      </x:c>
      <x:c r="N388" s="14" t="n">
        <x:v>4</x:v>
      </x:c>
      <x:c r="O388" s="15" t="n">
        <x:f>IF(M388=0,"해당 없음",N388/M388)</x:f>
        <x:v>1</x:v>
      </x:c>
      <x:c r="P388" s="14" t="n">
        <x:v>102</x:v>
      </x:c>
    </x:row>
    <x:row r="389" ht="22" customHeight="1">
      <x:c r="A389" s="14" t="n">
        <x:v>192</x:v>
      </x:c>
      <x:c r="B389" s="14" t="n">
        <x:v>5</x:v>
      </x:c>
      <x:c r="C389" s="14" t="n">
        <x:v>76015</x:v>
      </x:c>
      <x:c r="D389" s="2" t="str">
        <x:v>NAVY</x:v>
      </x:c>
      <x:c r="E389" s="2" t="str">
        <x:v>160만</x:v>
      </x:c>
      <x:c r="F389" s="2" t="str">
        <x:v>규칙형</x:v>
      </x:c>
      <x:c r="G389" s="2" t="str">
        <x:v>승</x:v>
      </x:c>
      <x:c r="H389" s="14" t="n">
        <x:v>6</x:v>
      </x:c>
      <x:c r="I389" s="14" t="n">
        <x:v>1</x:v>
      </x:c>
      <x:c r="J389" s="14" t="n">
        <x:v>11</x:v>
      </x:c>
      <x:c r="K389" s="14" t="n">
        <x:v>6</x:v>
      </x:c>
      <x:c r="L389" s="15" t="n">
        <x:f>IF(J389=0,"해당 없음",K389/J389)</x:f>
        <x:v>0.5454545454545454</x:v>
      </x:c>
      <x:c r="M389" s="14" t="n">
        <x:v>10</x:v>
      </x:c>
      <x:c r="N389" s="14" t="n">
        <x:v>10</x:v>
      </x:c>
      <x:c r="O389" s="15" t="n">
        <x:f>IF(M389=0,"해당 없음",N389/M389)</x:f>
        <x:v>1</x:v>
      </x:c>
      <x:c r="P389" s="14" t="n">
        <x:v>103</x:v>
      </x:c>
    </x:row>
    <x:row r="390" ht="22" customHeight="1">
      <x:c r="A390" s="14" t="n">
        <x:v>193</x:v>
      </x:c>
      <x:c r="B390" s="14" t="n">
        <x:v>5</x:v>
      </x:c>
      <x:c r="C390" s="14" t="n">
        <x:v>76016</x:v>
      </x:c>
      <x:c r="D390" s="2" t="str">
        <x:v>RED</x:v>
      </x:c>
      <x:c r="E390" s="2" t="str">
        <x:v>160만</x:v>
      </x:c>
      <x:c r="F390" s="2" t="str">
        <x:v>규칙형</x:v>
      </x:c>
      <x:c r="G390" s="2" t="str">
        <x:v>승</x:v>
      </x:c>
      <x:c r="H390" s="14" t="n">
        <x:v>7</x:v>
      </x:c>
      <x:c r="I390" s="14" t="n">
        <x:v>1</x:v>
      </x:c>
      <x:c r="J390" s="14" t="n">
        <x:v>12</x:v>
      </x:c>
      <x:c r="K390" s="14" t="n">
        <x:v>7</x:v>
      </x:c>
      <x:c r="L390" s="15" t="n">
        <x:f>IF(J390=0,"해당 없음",K390/J390)</x:f>
        <x:v>0.5833333333333334</x:v>
      </x:c>
      <x:c r="M390" s="14" t="n">
        <x:v>6</x:v>
      </x:c>
      <x:c r="N390" s="14" t="n">
        <x:v>5</x:v>
      </x:c>
      <x:c r="O390" s="15" t="n">
        <x:f>IF(M390=0,"해당 없음",N390/M390)</x:f>
        <x:v>0.8333333333333334</x:v>
      </x:c>
      <x:c r="P390" s="14" t="n">
        <x:v>103</x:v>
      </x:c>
    </x:row>
    <x:row r="391" ht="22" customHeight="1">
      <x:c r="A391" s="14" t="n">
        <x:v>193</x:v>
      </x:c>
      <x:c r="B391" s="14" t="n">
        <x:v>5</x:v>
      </x:c>
      <x:c r="C391" s="14" t="n">
        <x:v>76016</x:v>
      </x:c>
      <x:c r="D391" s="2" t="str">
        <x:v>NAVY</x:v>
      </x:c>
      <x:c r="E391" s="2" t="str">
        <x:v>규칙형</x:v>
      </x:c>
      <x:c r="F391" s="2" t="str">
        <x:v>160만</x:v>
      </x:c>
      <x:c r="G391" s="2" t="str">
        <x:v>패</x:v>
      </x:c>
      <x:c r="H391" s="14" t="n">
        <x:v>1</x:v>
      </x:c>
      <x:c r="I391" s="14" t="n">
        <x:v>7</x:v>
      </x:c>
      <x:c r="J391" s="14" t="n">
        <x:v>7</x:v>
      </x:c>
      <x:c r="K391" s="14" t="n">
        <x:v>1</x:v>
      </x:c>
      <x:c r="L391" s="15" t="n">
        <x:f>IF(J391=0,"해당 없음",K391/J391)</x:f>
        <x:v>0.14285714285714285</x:v>
      </x:c>
      <x:c r="M391" s="14" t="n">
        <x:v>6</x:v>
      </x:c>
      <x:c r="N391" s="14" t="n">
        <x:v>5</x:v>
      </x:c>
      <x:c r="O391" s="15" t="n">
        <x:f>IF(M391=0,"해당 없음",N391/M391)</x:f>
        <x:v>0.8333333333333334</x:v>
      </x:c>
      <x:c r="P391" s="14" t="n">
        <x:v>105</x:v>
      </x:c>
    </x:row>
    <x:row r="392" ht="22" customHeight="1">
      <x:c r="A392" s="14" t="n">
        <x:v>194</x:v>
      </x:c>
      <x:c r="B392" s="14" t="n">
        <x:v>5</x:v>
      </x:c>
      <x:c r="C392" s="14" t="n">
        <x:v>76016</x:v>
      </x:c>
      <x:c r="D392" s="2" t="str">
        <x:v>RED</x:v>
      </x:c>
      <x:c r="E392" s="2" t="str">
        <x:v>규칙형</x:v>
      </x:c>
      <x:c r="F392" s="2" t="str">
        <x:v>160만</x:v>
      </x:c>
      <x:c r="G392" s="2" t="str">
        <x:v>패</x:v>
      </x:c>
      <x:c r="H392" s="14" t="n">
        <x:v>0</x:v>
      </x:c>
      <x:c r="I392" s="14" t="n">
        <x:v>4</x:v>
      </x:c>
      <x:c r="J392" s="14" t="n">
        <x:v>7</x:v>
      </x:c>
      <x:c r="K392" s="14" t="n">
        <x:v>0</x:v>
      </x:c>
      <x:c r="L392" s="15" t="n">
        <x:f>IF(J392=0,"해당 없음",K392/J392)</x:f>
        <x:v>0</x:v>
      </x:c>
      <x:c r="M392" s="14" t="n">
        <x:v>12</x:v>
      </x:c>
      <x:c r="N392" s="14" t="n">
        <x:v>6</x:v>
      </x:c>
      <x:c r="O392" s="15" t="n">
        <x:f>IF(M392=0,"해당 없음",N392/M392)</x:f>
        <x:v>0.5</x:v>
      </x:c>
      <x:c r="P392" s="14" t="n">
        <x:v>103</x:v>
      </x:c>
    </x:row>
    <x:row r="393" ht="22" customHeight="1">
      <x:c r="A393" s="14" t="n">
        <x:v>194</x:v>
      </x:c>
      <x:c r="B393" s="14" t="n">
        <x:v>5</x:v>
      </x:c>
      <x:c r="C393" s="14" t="n">
        <x:v>76016</x:v>
      </x:c>
      <x:c r="D393" s="2" t="str">
        <x:v>NAVY</x:v>
      </x:c>
      <x:c r="E393" s="2" t="str">
        <x:v>160만</x:v>
      </x:c>
      <x:c r="F393" s="2" t="str">
        <x:v>규칙형</x:v>
      </x:c>
      <x:c r="G393" s="2" t="str">
        <x:v>승</x:v>
      </x:c>
      <x:c r="H393" s="14" t="n">
        <x:v>4</x:v>
      </x:c>
      <x:c r="I393" s="14" t="n">
        <x:v>0</x:v>
      </x:c>
      <x:c r="J393" s="14" t="n">
        <x:v>6</x:v>
      </x:c>
      <x:c r="K393" s="14" t="n">
        <x:v>4</x:v>
      </x:c>
      <x:c r="L393" s="15" t="n">
        <x:f>IF(J393=0,"해당 없음",K393/J393)</x:f>
        <x:v>0.6666666666666666</x:v>
      </x:c>
      <x:c r="M393" s="14" t="n">
        <x:v>10</x:v>
      </x:c>
      <x:c r="N393" s="14" t="n">
        <x:v>7</x:v>
      </x:c>
      <x:c r="O393" s="15" t="n">
        <x:f>IF(M393=0,"해당 없음",N393/M393)</x:f>
        <x:v>0.7</x:v>
      </x:c>
      <x:c r="P393" s="14" t="n">
        <x:v>102</x:v>
      </x:c>
    </x:row>
    <x:row r="394" ht="22" customHeight="1">
      <x:c r="A394" s="14" t="n">
        <x:v>195</x:v>
      </x:c>
      <x:c r="B394" s="14" t="n">
        <x:v>5</x:v>
      </x:c>
      <x:c r="C394" s="14" t="n">
        <x:v>76017</x:v>
      </x:c>
      <x:c r="D394" s="2" t="str">
        <x:v>RED</x:v>
      </x:c>
      <x:c r="E394" s="2" t="str">
        <x:v>160만</x:v>
      </x:c>
      <x:c r="F394" s="2" t="str">
        <x:v>규칙형</x:v>
      </x:c>
      <x:c r="G394" s="2" t="str">
        <x:v>무</x:v>
      </x:c>
      <x:c r="H394" s="14" t="n">
        <x:v>2</x:v>
      </x:c>
      <x:c r="I394" s="14" t="n">
        <x:v>2</x:v>
      </x:c>
      <x:c r="J394" s="14" t="n">
        <x:v>8</x:v>
      </x:c>
      <x:c r="K394" s="14" t="n">
        <x:v>2</x:v>
      </x:c>
      <x:c r="L394" s="15" t="n">
        <x:f>IF(J394=0,"해당 없음",K394/J394)</x:f>
        <x:v>0.25</x:v>
      </x:c>
      <x:c r="M394" s="14" t="n">
        <x:v>7</x:v>
      </x:c>
      <x:c r="N394" s="14" t="n">
        <x:v>6</x:v>
      </x:c>
      <x:c r="O394" s="15" t="n">
        <x:f>IF(M394=0,"해당 없음",N394/M394)</x:f>
        <x:v>0.8571428571428571</x:v>
      </x:c>
      <x:c r="P394" s="14" t="n">
        <x:v>102</x:v>
      </x:c>
    </x:row>
    <x:row r="395" ht="22" customHeight="1">
      <x:c r="A395" s="14" t="n">
        <x:v>195</x:v>
      </x:c>
      <x:c r="B395" s="14" t="n">
        <x:v>5</x:v>
      </x:c>
      <x:c r="C395" s="14" t="n">
        <x:v>76017</x:v>
      </x:c>
      <x:c r="D395" s="2" t="str">
        <x:v>NAVY</x:v>
      </x:c>
      <x:c r="E395" s="2" t="str">
        <x:v>규칙형</x:v>
      </x:c>
      <x:c r="F395" s="2" t="str">
        <x:v>160만</x:v>
      </x:c>
      <x:c r="G395" s="2" t="str">
        <x:v>무</x:v>
      </x:c>
      <x:c r="H395" s="14" t="n">
        <x:v>2</x:v>
      </x:c>
      <x:c r="I395" s="14" t="n">
        <x:v>2</x:v>
      </x:c>
      <x:c r="J395" s="14" t="n">
        <x:v>10</x:v>
      </x:c>
      <x:c r="K395" s="14" t="n">
        <x:v>2</x:v>
      </x:c>
      <x:c r="L395" s="15" t="n">
        <x:f>IF(J395=0,"해당 없음",K395/J395)</x:f>
        <x:v>0.2</x:v>
      </x:c>
      <x:c r="M395" s="14" t="n">
        <x:v>10</x:v>
      </x:c>
      <x:c r="N395" s="14" t="n">
        <x:v>7</x:v>
      </x:c>
      <x:c r="O395" s="15" t="n">
        <x:f>IF(M395=0,"해당 없음",N395/M395)</x:f>
        <x:v>0.7</x:v>
      </x:c>
      <x:c r="P395" s="14" t="n">
        <x:v>103</x:v>
      </x:c>
    </x:row>
    <x:row r="396" ht="22" customHeight="1">
      <x:c r="A396" s="14" t="n">
        <x:v>196</x:v>
      </x:c>
      <x:c r="B396" s="14" t="n">
        <x:v>5</x:v>
      </x:c>
      <x:c r="C396" s="14" t="n">
        <x:v>76017</x:v>
      </x:c>
      <x:c r="D396" s="2" t="str">
        <x:v>RED</x:v>
      </x:c>
      <x:c r="E396" s="2" t="str">
        <x:v>규칙형</x:v>
      </x:c>
      <x:c r="F396" s="2" t="str">
        <x:v>160만</x:v>
      </x:c>
      <x:c r="G396" s="2" t="str">
        <x:v>패</x:v>
      </x:c>
      <x:c r="H396" s="14" t="n">
        <x:v>3</x:v>
      </x:c>
      <x:c r="I396" s="14" t="n">
        <x:v>4</x:v>
      </x:c>
      <x:c r="J396" s="14" t="n">
        <x:v>6</x:v>
      </x:c>
      <x:c r="K396" s="14" t="n">
        <x:v>3</x:v>
      </x:c>
      <x:c r="L396" s="15" t="n">
        <x:f>IF(J396=0,"해당 없음",K396/J396)</x:f>
        <x:v>0.5</x:v>
      </x:c>
      <x:c r="M396" s="14" t="n">
        <x:v>9</x:v>
      </x:c>
      <x:c r="N396" s="14" t="n">
        <x:v>8</x:v>
      </x:c>
      <x:c r="O396" s="15" t="n">
        <x:f>IF(M396=0,"해당 없음",N396/M396)</x:f>
        <x:v>0.8888888888888888</x:v>
      </x:c>
      <x:c r="P396" s="14" t="n">
        <x:v>103</x:v>
      </x:c>
    </x:row>
    <x:row r="397" ht="22" customHeight="1">
      <x:c r="A397" s="14" t="n">
        <x:v>196</x:v>
      </x:c>
      <x:c r="B397" s="14" t="n">
        <x:v>5</x:v>
      </x:c>
      <x:c r="C397" s="14" t="n">
        <x:v>76017</x:v>
      </x:c>
      <x:c r="D397" s="2" t="str">
        <x:v>NAVY</x:v>
      </x:c>
      <x:c r="E397" s="2" t="str">
        <x:v>160만</x:v>
      </x:c>
      <x:c r="F397" s="2" t="str">
        <x:v>규칙형</x:v>
      </x:c>
      <x:c r="G397" s="2" t="str">
        <x:v>승</x:v>
      </x:c>
      <x:c r="H397" s="14" t="n">
        <x:v>4</x:v>
      </x:c>
      <x:c r="I397" s="14" t="n">
        <x:v>3</x:v>
      </x:c>
      <x:c r="J397" s="14" t="n">
        <x:v>10</x:v>
      </x:c>
      <x:c r="K397" s="14" t="n">
        <x:v>4</x:v>
      </x:c>
      <x:c r="L397" s="15" t="n">
        <x:f>IF(J397=0,"해당 없음",K397/J397)</x:f>
        <x:v>0.4</x:v>
      </x:c>
      <x:c r="M397" s="14" t="n">
        <x:v>9</x:v>
      </x:c>
      <x:c r="N397" s="14" t="n">
        <x:v>8</x:v>
      </x:c>
      <x:c r="O397" s="15" t="n">
        <x:f>IF(M397=0,"해당 없음",N397/M397)</x:f>
        <x:v>0.8888888888888888</x:v>
      </x:c>
      <x:c r="P397" s="14" t="n">
        <x:v>105</x:v>
      </x:c>
    </x:row>
    <x:row r="398" ht="22" customHeight="1">
      <x:c r="A398" s="14" t="n">
        <x:v>197</x:v>
      </x:c>
      <x:c r="B398" s="14" t="n">
        <x:v>5</x:v>
      </x:c>
      <x:c r="C398" s="14" t="n">
        <x:v>76018</x:v>
      </x:c>
      <x:c r="D398" s="2" t="str">
        <x:v>RED</x:v>
      </x:c>
      <x:c r="E398" s="2" t="str">
        <x:v>160만</x:v>
      </x:c>
      <x:c r="F398" s="2" t="str">
        <x:v>규칙형</x:v>
      </x:c>
      <x:c r="G398" s="2" t="str">
        <x:v>승</x:v>
      </x:c>
      <x:c r="H398" s="14" t="n">
        <x:v>6</x:v>
      </x:c>
      <x:c r="I398" s="14" t="n">
        <x:v>2</x:v>
      </x:c>
      <x:c r="J398" s="14" t="n">
        <x:v>10</x:v>
      </x:c>
      <x:c r="K398" s="14" t="n">
        <x:v>6</x:v>
      </x:c>
      <x:c r="L398" s="15" t="n">
        <x:f>IF(J398=0,"해당 없음",K398/J398)</x:f>
        <x:v>0.6</x:v>
      </x:c>
      <x:c r="M398" s="14" t="n">
        <x:v>7</x:v>
      </x:c>
      <x:c r="N398" s="14" t="n">
        <x:v>5</x:v>
      </x:c>
      <x:c r="O398" s="15" t="n">
        <x:f>IF(M398=0,"해당 없음",N398/M398)</x:f>
        <x:v>0.7142857142857143</x:v>
      </x:c>
      <x:c r="P398" s="14" t="n">
        <x:v>104</x:v>
      </x:c>
    </x:row>
    <x:row r="399" ht="22" customHeight="1">
      <x:c r="A399" s="14" t="n">
        <x:v>197</x:v>
      </x:c>
      <x:c r="B399" s="14" t="n">
        <x:v>5</x:v>
      </x:c>
      <x:c r="C399" s="14" t="n">
        <x:v>76018</x:v>
      </x:c>
      <x:c r="D399" s="2" t="str">
        <x:v>NAVY</x:v>
      </x:c>
      <x:c r="E399" s="2" t="str">
        <x:v>규칙형</x:v>
      </x:c>
      <x:c r="F399" s="2" t="str">
        <x:v>160만</x:v>
      </x:c>
      <x:c r="G399" s="2" t="str">
        <x:v>패</x:v>
      </x:c>
      <x:c r="H399" s="14" t="n">
        <x:v>2</x:v>
      </x:c>
      <x:c r="I399" s="14" t="n">
        <x:v>6</x:v>
      </x:c>
      <x:c r="J399" s="14" t="n">
        <x:v>13</x:v>
      </x:c>
      <x:c r="K399" s="14" t="n">
        <x:v>2</x:v>
      </x:c>
      <x:c r="L399" s="15" t="n">
        <x:f>IF(J399=0,"해당 없음",K399/J399)</x:f>
        <x:v>0.15384615384615385</x:v>
      </x:c>
      <x:c r="M399" s="14" t="n">
        <x:v>15</x:v>
      </x:c>
      <x:c r="N399" s="14" t="n">
        <x:v>10</x:v>
      </x:c>
      <x:c r="O399" s="15" t="n">
        <x:f>IF(M399=0,"해당 없음",N399/M399)</x:f>
        <x:v>0.6666666666666666</x:v>
      </x:c>
      <x:c r="P399" s="14" t="n">
        <x:v>107</x:v>
      </x:c>
    </x:row>
    <x:row r="400" ht="22" customHeight="1">
      <x:c r="A400" s="14" t="n">
        <x:v>198</x:v>
      </x:c>
      <x:c r="B400" s="14" t="n">
        <x:v>5</x:v>
      </x:c>
      <x:c r="C400" s="14" t="n">
        <x:v>76018</x:v>
      </x:c>
      <x:c r="D400" s="2" t="str">
        <x:v>RED</x:v>
      </x:c>
      <x:c r="E400" s="2" t="str">
        <x:v>규칙형</x:v>
      </x:c>
      <x:c r="F400" s="2" t="str">
        <x:v>160만</x:v>
      </x:c>
      <x:c r="G400" s="2" t="str">
        <x:v>패</x:v>
      </x:c>
      <x:c r="H400" s="14" t="n">
        <x:v>2</x:v>
      </x:c>
      <x:c r="I400" s="14" t="n">
        <x:v>4</x:v>
      </x:c>
      <x:c r="J400" s="14" t="n">
        <x:v>7</x:v>
      </x:c>
      <x:c r="K400" s="14" t="n">
        <x:v>2</x:v>
      </x:c>
      <x:c r="L400" s="15" t="n">
        <x:f>IF(J400=0,"해당 없음",K400/J400)</x:f>
        <x:v>0.2857142857142857</x:v>
      </x:c>
      <x:c r="M400" s="14" t="n">
        <x:v>11</x:v>
      </x:c>
      <x:c r="N400" s="14" t="n">
        <x:v>6</x:v>
      </x:c>
      <x:c r="O400" s="15" t="n">
        <x:f>IF(M400=0,"해당 없음",N400/M400)</x:f>
        <x:v>0.5454545454545454</x:v>
      </x:c>
      <x:c r="P400" s="14" t="n">
        <x:v>103</x:v>
      </x:c>
    </x:row>
    <x:row r="401" ht="22" customHeight="1">
      <x:c r="A401" s="14" t="n">
        <x:v>198</x:v>
      </x:c>
      <x:c r="B401" s="14" t="n">
        <x:v>5</x:v>
      </x:c>
      <x:c r="C401" s="14" t="n">
        <x:v>76018</x:v>
      </x:c>
      <x:c r="D401" s="2" t="str">
        <x:v>NAVY</x:v>
      </x:c>
      <x:c r="E401" s="2" t="str">
        <x:v>160만</x:v>
      </x:c>
      <x:c r="F401" s="2" t="str">
        <x:v>규칙형</x:v>
      </x:c>
      <x:c r="G401" s="2" t="str">
        <x:v>승</x:v>
      </x:c>
      <x:c r="H401" s="14" t="n">
        <x:v>4</x:v>
      </x:c>
      <x:c r="I401" s="14" t="n">
        <x:v>2</x:v>
      </x:c>
      <x:c r="J401" s="14" t="n">
        <x:v>10</x:v>
      </x:c>
      <x:c r="K401" s="14" t="n">
        <x:v>4</x:v>
      </x:c>
      <x:c r="L401" s="15" t="n">
        <x:f>IF(J401=0,"해당 없음",K401/J401)</x:f>
        <x:v>0.4</x:v>
      </x:c>
      <x:c r="M401" s="14" t="n">
        <x:v>8</x:v>
      </x:c>
      <x:c r="N401" s="14" t="n">
        <x:v>5</x:v>
      </x:c>
      <x:c r="O401" s="15" t="n">
        <x:f>IF(M401=0,"해당 없음",N401/M401)</x:f>
        <x:v>0.625</x:v>
      </x:c>
      <x:c r="P401" s="14" t="n">
        <x:v>103</x:v>
      </x:c>
    </x:row>
    <x:row r="402" ht="22" customHeight="1">
      <x:c r="A402" s="14" t="n">
        <x:v>199</x:v>
      </x:c>
      <x:c r="B402" s="14" t="n">
        <x:v>5</x:v>
      </x:c>
      <x:c r="C402" s="14" t="n">
        <x:v>76019</x:v>
      </x:c>
      <x:c r="D402" s="2" t="str">
        <x:v>RED</x:v>
      </x:c>
      <x:c r="E402" s="2" t="str">
        <x:v>160만</x:v>
      </x:c>
      <x:c r="F402" s="2" t="str">
        <x:v>규칙형</x:v>
      </x:c>
      <x:c r="G402" s="2" t="str">
        <x:v>승</x:v>
      </x:c>
      <x:c r="H402" s="14" t="n">
        <x:v>6</x:v>
      </x:c>
      <x:c r="I402" s="14" t="n">
        <x:v>0</x:v>
      </x:c>
      <x:c r="J402" s="14" t="n">
        <x:v>14</x:v>
      </x:c>
      <x:c r="K402" s="14" t="n">
        <x:v>6</x:v>
      </x:c>
      <x:c r="L402" s="15" t="n">
        <x:f>IF(J402=0,"해당 없음",K402/J402)</x:f>
        <x:v>0.42857142857142855</x:v>
      </x:c>
      <x:c r="M402" s="14" t="n">
        <x:v>6</x:v>
      </x:c>
      <x:c r="N402" s="14" t="n">
        <x:v>4</x:v>
      </x:c>
      <x:c r="O402" s="15" t="n">
        <x:f>IF(M402=0,"해당 없음",N402/M402)</x:f>
        <x:v>0.6666666666666666</x:v>
      </x:c>
      <x:c r="P402" s="14" t="n">
        <x:v>104</x:v>
      </x:c>
    </x:row>
    <x:row r="403" ht="22" customHeight="1">
      <x:c r="A403" s="14" t="n">
        <x:v>199</x:v>
      </x:c>
      <x:c r="B403" s="14" t="n">
        <x:v>5</x:v>
      </x:c>
      <x:c r="C403" s="14" t="n">
        <x:v>76019</x:v>
      </x:c>
      <x:c r="D403" s="2" t="str">
        <x:v>NAVY</x:v>
      </x:c>
      <x:c r="E403" s="2" t="str">
        <x:v>규칙형</x:v>
      </x:c>
      <x:c r="F403" s="2" t="str">
        <x:v>160만</x:v>
      </x:c>
      <x:c r="G403" s="2" t="str">
        <x:v>패</x:v>
      </x:c>
      <x:c r="H403" s="14" t="n">
        <x:v>0</x:v>
      </x:c>
      <x:c r="I403" s="14" t="n">
        <x:v>6</x:v>
      </x:c>
      <x:c r="J403" s="14" t="n">
        <x:v>1</x:v>
      </x:c>
      <x:c r="K403" s="14" t="n">
        <x:v>0</x:v>
      </x:c>
      <x:c r="L403" s="15" t="n">
        <x:f>IF(J403=0,"해당 없음",K403/J403)</x:f>
        <x:v>0</x:v>
      </x:c>
      <x:c r="M403" s="14" t="n">
        <x:v>10</x:v>
      </x:c>
      <x:c r="N403" s="14" t="n">
        <x:v>7</x:v>
      </x:c>
      <x:c r="O403" s="15" t="n">
        <x:f>IF(M403=0,"해당 없음",N403/M403)</x:f>
        <x:v>0.7</x:v>
      </x:c>
      <x:c r="P403" s="14" t="n">
        <x:v>104</x:v>
      </x:c>
    </x:row>
    <x:row r="404" ht="22" customHeight="1">
      <x:c r="A404" s="14" t="n">
        <x:v>200</x:v>
      </x:c>
      <x:c r="B404" s="14" t="n">
        <x:v>5</x:v>
      </x:c>
      <x:c r="C404" s="14" t="n">
        <x:v>76019</x:v>
      </x:c>
      <x:c r="D404" s="2" t="str">
        <x:v>RED</x:v>
      </x:c>
      <x:c r="E404" s="2" t="str">
        <x:v>규칙형</x:v>
      </x:c>
      <x:c r="F404" s="2" t="str">
        <x:v>160만</x:v>
      </x:c>
      <x:c r="G404" s="2" t="str">
        <x:v>패</x:v>
      </x:c>
      <x:c r="H404" s="14" t="n">
        <x:v>0</x:v>
      </x:c>
      <x:c r="I404" s="14" t="n">
        <x:v>6</x:v>
      </x:c>
      <x:c r="J404" s="14" t="n">
        <x:v>7</x:v>
      </x:c>
      <x:c r="K404" s="14" t="n">
        <x:v>0</x:v>
      </x:c>
      <x:c r="L404" s="15" t="n">
        <x:f>IF(J404=0,"해당 없음",K404/J404)</x:f>
        <x:v>0</x:v>
      </x:c>
      <x:c r="M404" s="14" t="n">
        <x:v>10</x:v>
      </x:c>
      <x:c r="N404" s="14" t="n">
        <x:v>6</x:v>
      </x:c>
      <x:c r="O404" s="15" t="n">
        <x:f>IF(M404=0,"해당 없음",N404/M404)</x:f>
        <x:v>0.6</x:v>
      </x:c>
      <x:c r="P404" s="14" t="n">
        <x:v>101</x:v>
      </x:c>
    </x:row>
    <x:row r="405" ht="22" customHeight="1">
      <x:c r="A405" s="14" t="n">
        <x:v>200</x:v>
      </x:c>
      <x:c r="B405" s="14" t="n">
        <x:v>5</x:v>
      </x:c>
      <x:c r="C405" s="14" t="n">
        <x:v>76019</x:v>
      </x:c>
      <x:c r="D405" s="2" t="str">
        <x:v>NAVY</x:v>
      </x:c>
      <x:c r="E405" s="2" t="str">
        <x:v>160만</x:v>
      </x:c>
      <x:c r="F405" s="2" t="str">
        <x:v>규칙형</x:v>
      </x:c>
      <x:c r="G405" s="2" t="str">
        <x:v>승</x:v>
      </x:c>
      <x:c r="H405" s="14" t="n">
        <x:v>6</x:v>
      </x:c>
      <x:c r="I405" s="14" t="n">
        <x:v>0</x:v>
      </x:c>
      <x:c r="J405" s="14" t="n">
        <x:v>11</x:v>
      </x:c>
      <x:c r="K405" s="14" t="n">
        <x:v>6</x:v>
      </x:c>
      <x:c r="L405" s="15" t="n">
        <x:f>IF(J405=0,"해당 없음",K405/J405)</x:f>
        <x:v>0.5454545454545454</x:v>
      </x:c>
      <x:c r="M405" s="14" t="n">
        <x:v>11</x:v>
      </x:c>
      <x:c r="N405" s="14" t="n">
        <x:v>9</x:v>
      </x:c>
      <x:c r="O405" s="15" t="n">
        <x:f>IF(M405=0,"해당 없음",N405/M405)</x:f>
        <x:v>0.8181818181818182</x:v>
      </x:c>
      <x:c r="P405" s="14" t="n">
        <x:v>103</x:v>
      </x:c>
    </x:row>
    <x:row r="406" ht="22" customHeight="1">
      <x:c r="A406" s="14" t="n">
        <x:v>201</x:v>
      </x:c>
      <x:c r="B406" s="14" t="n">
        <x:v>6</x:v>
      </x:c>
      <x:c r="C406" s="14" t="n">
        <x:v>76000</x:v>
      </x:c>
      <x:c r="D406" s="2" t="str">
        <x:v>RED</x:v>
      </x:c>
      <x:c r="E406" s="2" t="str">
        <x:v>200만</x:v>
      </x:c>
      <x:c r="F406" s="2" t="str">
        <x:v>규칙형</x:v>
      </x:c>
      <x:c r="G406" s="2" t="str">
        <x:v>승</x:v>
      </x:c>
      <x:c r="H406" s="14" t="n">
        <x:v>4</x:v>
      </x:c>
      <x:c r="I406" s="14" t="n">
        <x:v>1</x:v>
      </x:c>
      <x:c r="J406" s="14" t="n">
        <x:v>9</x:v>
      </x:c>
      <x:c r="K406" s="14" t="n">
        <x:v>4</x:v>
      </x:c>
      <x:c r="L406" s="15" t="n">
        <x:f>IF(J406=0,"해당 없음",K406/J406)</x:f>
        <x:v>0.4444444444444444</x:v>
      </x:c>
      <x:c r="M406" s="14" t="n">
        <x:v>9</x:v>
      </x:c>
      <x:c r="N406" s="14" t="n">
        <x:v>6</x:v>
      </x:c>
      <x:c r="O406" s="15" t="n">
        <x:f>IF(M406=0,"해당 없음",N406/M406)</x:f>
        <x:v>0.6666666666666666</x:v>
      </x:c>
      <x:c r="P406" s="14" t="n">
        <x:v>103</x:v>
      </x:c>
    </x:row>
    <x:row r="407" ht="22" customHeight="1">
      <x:c r="A407" s="14" t="n">
        <x:v>201</x:v>
      </x:c>
      <x:c r="B407" s="14" t="n">
        <x:v>6</x:v>
      </x:c>
      <x:c r="C407" s="14" t="n">
        <x:v>76000</x:v>
      </x:c>
      <x:c r="D407" s="2" t="str">
        <x:v>NAVY</x:v>
      </x:c>
      <x:c r="E407" s="2" t="str">
        <x:v>규칙형</x:v>
      </x:c>
      <x:c r="F407" s="2" t="str">
        <x:v>200만</x:v>
      </x:c>
      <x:c r="G407" s="2" t="str">
        <x:v>패</x:v>
      </x:c>
      <x:c r="H407" s="14" t="n">
        <x:v>1</x:v>
      </x:c>
      <x:c r="I407" s="14" t="n">
        <x:v>4</x:v>
      </x:c>
      <x:c r="J407" s="14" t="n">
        <x:v>4</x:v>
      </x:c>
      <x:c r="K407" s="14" t="n">
        <x:v>1</x:v>
      </x:c>
      <x:c r="L407" s="15" t="n">
        <x:f>IF(J407=0,"해당 없음",K407/J407)</x:f>
        <x:v>0.25</x:v>
      </x:c>
      <x:c r="M407" s="14" t="n">
        <x:v>18</x:v>
      </x:c>
      <x:c r="N407" s="14" t="n">
        <x:v>13</x:v>
      </x:c>
      <x:c r="O407" s="15" t="n">
        <x:f>IF(M407=0,"해당 없음",N407/M407)</x:f>
        <x:v>0.7222222222222222</x:v>
      </x:c>
      <x:c r="P407" s="14" t="n">
        <x:v>104</x:v>
      </x:c>
    </x:row>
    <x:row r="408" ht="22" customHeight="1">
      <x:c r="A408" s="14" t="n">
        <x:v>202</x:v>
      </x:c>
      <x:c r="B408" s="14" t="n">
        <x:v>6</x:v>
      </x:c>
      <x:c r="C408" s="14" t="n">
        <x:v>76000</x:v>
      </x:c>
      <x:c r="D408" s="2" t="str">
        <x:v>RED</x:v>
      </x:c>
      <x:c r="E408" s="2" t="str">
        <x:v>규칙형</x:v>
      </x:c>
      <x:c r="F408" s="2" t="str">
        <x:v>200만</x:v>
      </x:c>
      <x:c r="G408" s="2" t="str">
        <x:v>패</x:v>
      </x:c>
      <x:c r="H408" s="14" t="n">
        <x:v>3</x:v>
      </x:c>
      <x:c r="I408" s="14" t="n">
        <x:v>4</x:v>
      </x:c>
      <x:c r="J408" s="14" t="n">
        <x:v>10</x:v>
      </x:c>
      <x:c r="K408" s="14" t="n">
        <x:v>3</x:v>
      </x:c>
      <x:c r="L408" s="15" t="n">
        <x:f>IF(J408=0,"해당 없음",K408/J408)</x:f>
        <x:v>0.3</x:v>
      </x:c>
      <x:c r="M408" s="14" t="n">
        <x:v>11</x:v>
      </x:c>
      <x:c r="N408" s="14" t="n">
        <x:v>10</x:v>
      </x:c>
      <x:c r="O408" s="15" t="n">
        <x:f>IF(M408=0,"해당 없음",N408/M408)</x:f>
        <x:v>0.9090909090909091</x:v>
      </x:c>
      <x:c r="P408" s="14" t="n">
        <x:v>106</x:v>
      </x:c>
    </x:row>
    <x:row r="409" ht="22" customHeight="1">
      <x:c r="A409" s="14" t="n">
        <x:v>202</x:v>
      </x:c>
      <x:c r="B409" s="14" t="n">
        <x:v>6</x:v>
      </x:c>
      <x:c r="C409" s="14" t="n">
        <x:v>76000</x:v>
      </x:c>
      <x:c r="D409" s="2" t="str">
        <x:v>NAVY</x:v>
      </x:c>
      <x:c r="E409" s="2" t="str">
        <x:v>200만</x:v>
      </x:c>
      <x:c r="F409" s="2" t="str">
        <x:v>규칙형</x:v>
      </x:c>
      <x:c r="G409" s="2" t="str">
        <x:v>승</x:v>
      </x:c>
      <x:c r="H409" s="14" t="n">
        <x:v>4</x:v>
      </x:c>
      <x:c r="I409" s="14" t="n">
        <x:v>3</x:v>
      </x:c>
      <x:c r="J409" s="14" t="n">
        <x:v>7</x:v>
      </x:c>
      <x:c r="K409" s="14" t="n">
        <x:v>4</x:v>
      </x:c>
      <x:c r="L409" s="15" t="n">
        <x:f>IF(J409=0,"해당 없음",K409/J409)</x:f>
        <x:v>0.5714285714285714</x:v>
      </x:c>
      <x:c r="M409" s="14" t="n">
        <x:v>9</x:v>
      </x:c>
      <x:c r="N409" s="14" t="n">
        <x:v>5</x:v>
      </x:c>
      <x:c r="O409" s="15" t="n">
        <x:f>IF(M409=0,"해당 없음",N409/M409)</x:f>
        <x:v>0.5555555555555556</x:v>
      </x:c>
      <x:c r="P409" s="14" t="n">
        <x:v>104</x:v>
      </x:c>
    </x:row>
    <x:row r="410" ht="22" customHeight="1">
      <x:c r="A410" s="14" t="n">
        <x:v>203</x:v>
      </x:c>
      <x:c r="B410" s="14" t="n">
        <x:v>6</x:v>
      </x:c>
      <x:c r="C410" s="14" t="n">
        <x:v>76001</x:v>
      </x:c>
      <x:c r="D410" s="2" t="str">
        <x:v>RED</x:v>
      </x:c>
      <x:c r="E410" s="2" t="str">
        <x:v>200만</x:v>
      </x:c>
      <x:c r="F410" s="2" t="str">
        <x:v>규칙형</x:v>
      </x:c>
      <x:c r="G410" s="2" t="str">
        <x:v>승</x:v>
      </x:c>
      <x:c r="H410" s="14" t="n">
        <x:v>5</x:v>
      </x:c>
      <x:c r="I410" s="14" t="n">
        <x:v>0</x:v>
      </x:c>
      <x:c r="J410" s="14" t="n">
        <x:v>14</x:v>
      </x:c>
      <x:c r="K410" s="14" t="n">
        <x:v>5</x:v>
      </x:c>
      <x:c r="L410" s="15" t="n">
        <x:f>IF(J410=0,"해당 없음",K410/J410)</x:f>
        <x:v>0.35714285714285715</x:v>
      </x:c>
      <x:c r="M410" s="14" t="n">
        <x:v>9</x:v>
      </x:c>
      <x:c r="N410" s="14" t="n">
        <x:v>5</x:v>
      </x:c>
      <x:c r="O410" s="15" t="n">
        <x:f>IF(M410=0,"해당 없음",N410/M410)</x:f>
        <x:v>0.5555555555555556</x:v>
      </x:c>
      <x:c r="P410" s="14" t="n">
        <x:v>102</x:v>
      </x:c>
    </x:row>
    <x:row r="411" ht="22" customHeight="1">
      <x:c r="A411" s="14" t="n">
        <x:v>203</x:v>
      </x:c>
      <x:c r="B411" s="14" t="n">
        <x:v>6</x:v>
      </x:c>
      <x:c r="C411" s="14" t="n">
        <x:v>76001</x:v>
      </x:c>
      <x:c r="D411" s="2" t="str">
        <x:v>NAVY</x:v>
      </x:c>
      <x:c r="E411" s="2" t="str">
        <x:v>규칙형</x:v>
      </x:c>
      <x:c r="F411" s="2" t="str">
        <x:v>200만</x:v>
      </x:c>
      <x:c r="G411" s="2" t="str">
        <x:v>패</x:v>
      </x:c>
      <x:c r="H411" s="14" t="n">
        <x:v>0</x:v>
      </x:c>
      <x:c r="I411" s="14" t="n">
        <x:v>5</x:v>
      </x:c>
      <x:c r="J411" s="14" t="n">
        <x:v>6</x:v>
      </x:c>
      <x:c r="K411" s="14" t="n">
        <x:v>0</x:v>
      </x:c>
      <x:c r="L411" s="15" t="n">
        <x:f>IF(J411=0,"해당 없음",K411/J411)</x:f>
        <x:v>0</x:v>
      </x:c>
      <x:c r="M411" s="14" t="n">
        <x:v>12</x:v>
      </x:c>
      <x:c r="N411" s="14" t="n">
        <x:v>9</x:v>
      </x:c>
      <x:c r="O411" s="15" t="n">
        <x:f>IF(M411=0,"해당 없음",N411/M411)</x:f>
        <x:v>0.75</x:v>
      </x:c>
      <x:c r="P411" s="14" t="n">
        <x:v>105</x:v>
      </x:c>
    </x:row>
    <x:row r="412" ht="22" customHeight="1">
      <x:c r="A412" s="14" t="n">
        <x:v>204</x:v>
      </x:c>
      <x:c r="B412" s="14" t="n">
        <x:v>6</x:v>
      </x:c>
      <x:c r="C412" s="14" t="n">
        <x:v>76001</x:v>
      </x:c>
      <x:c r="D412" s="2" t="str">
        <x:v>RED</x:v>
      </x:c>
      <x:c r="E412" s="2" t="str">
        <x:v>규칙형</x:v>
      </x:c>
      <x:c r="F412" s="2" t="str">
        <x:v>200만</x:v>
      </x:c>
      <x:c r="G412" s="2" t="str">
        <x:v>무</x:v>
      </x:c>
      <x:c r="H412" s="14" t="n">
        <x:v>3</x:v>
      </x:c>
      <x:c r="I412" s="14" t="n">
        <x:v>3</x:v>
      </x:c>
      <x:c r="J412" s="14" t="n">
        <x:v>8</x:v>
      </x:c>
      <x:c r="K412" s="14" t="n">
        <x:v>3</x:v>
      </x:c>
      <x:c r="L412" s="15" t="n">
        <x:f>IF(J412=0,"해당 없음",K412/J412)</x:f>
        <x:v>0.375</x:v>
      </x:c>
      <x:c r="M412" s="14" t="n">
        <x:v>14</x:v>
      </x:c>
      <x:c r="N412" s="14" t="n">
        <x:v>12</x:v>
      </x:c>
      <x:c r="O412" s="15" t="n">
        <x:f>IF(M412=0,"해당 없음",N412/M412)</x:f>
        <x:v>0.8571428571428571</x:v>
      </x:c>
      <x:c r="P412" s="14" t="n">
        <x:v>103</x:v>
      </x:c>
    </x:row>
    <x:row r="413" ht="22" customHeight="1">
      <x:c r="A413" s="14" t="n">
        <x:v>204</x:v>
      </x:c>
      <x:c r="B413" s="14" t="n">
        <x:v>6</x:v>
      </x:c>
      <x:c r="C413" s="14" t="n">
        <x:v>76001</x:v>
      </x:c>
      <x:c r="D413" s="2" t="str">
        <x:v>NAVY</x:v>
      </x:c>
      <x:c r="E413" s="2" t="str">
        <x:v>200만</x:v>
      </x:c>
      <x:c r="F413" s="2" t="str">
        <x:v>규칙형</x:v>
      </x:c>
      <x:c r="G413" s="2" t="str">
        <x:v>무</x:v>
      </x:c>
      <x:c r="H413" s="14" t="n">
        <x:v>3</x:v>
      </x:c>
      <x:c r="I413" s="14" t="n">
        <x:v>3</x:v>
      </x:c>
      <x:c r="J413" s="14" t="n">
        <x:v>7</x:v>
      </x:c>
      <x:c r="K413" s="14" t="n">
        <x:v>3</x:v>
      </x:c>
      <x:c r="L413" s="15" t="n">
        <x:f>IF(J413=0,"해당 없음",K413/J413)</x:f>
        <x:v>0.42857142857142855</x:v>
      </x:c>
      <x:c r="M413" s="14" t="n">
        <x:v>4</x:v>
      </x:c>
      <x:c r="N413" s="14" t="n">
        <x:v>3</x:v>
      </x:c>
      <x:c r="O413" s="15" t="n">
        <x:f>IF(M413=0,"해당 없음",N413/M413)</x:f>
        <x:v>0.75</x:v>
      </x:c>
      <x:c r="P413" s="14" t="n">
        <x:v>104</x:v>
      </x:c>
    </x:row>
    <x:row r="414" ht="22" customHeight="1">
      <x:c r="A414" s="14" t="n">
        <x:v>205</x:v>
      </x:c>
      <x:c r="B414" s="14" t="n">
        <x:v>6</x:v>
      </x:c>
      <x:c r="C414" s="14" t="n">
        <x:v>76002</x:v>
      </x:c>
      <x:c r="D414" s="2" t="str">
        <x:v>RED</x:v>
      </x:c>
      <x:c r="E414" s="2" t="str">
        <x:v>200만</x:v>
      </x:c>
      <x:c r="F414" s="2" t="str">
        <x:v>규칙형</x:v>
      </x:c>
      <x:c r="G414" s="2" t="str">
        <x:v>패</x:v>
      </x:c>
      <x:c r="H414" s="14" t="n">
        <x:v>1</x:v>
      </x:c>
      <x:c r="I414" s="14" t="n">
        <x:v>2</x:v>
      </x:c>
      <x:c r="J414" s="14" t="n">
        <x:v>5</x:v>
      </x:c>
      <x:c r="K414" s="14" t="n">
        <x:v>1</x:v>
      </x:c>
      <x:c r="L414" s="15" t="n">
        <x:f>IF(J414=0,"해당 없음",K414/J414)</x:f>
        <x:v>0.2</x:v>
      </x:c>
      <x:c r="M414" s="14" t="n">
        <x:v>8</x:v>
      </x:c>
      <x:c r="N414" s="14" t="n">
        <x:v>5</x:v>
      </x:c>
      <x:c r="O414" s="15" t="n">
        <x:f>IF(M414=0,"해당 없음",N414/M414)</x:f>
        <x:v>0.625</x:v>
      </x:c>
      <x:c r="P414" s="14" t="n">
        <x:v>102</x:v>
      </x:c>
    </x:row>
    <x:row r="415" ht="22" customHeight="1">
      <x:c r="A415" s="14" t="n">
        <x:v>205</x:v>
      </x:c>
      <x:c r="B415" s="14" t="n">
        <x:v>6</x:v>
      </x:c>
      <x:c r="C415" s="14" t="n">
        <x:v>76002</x:v>
      </x:c>
      <x:c r="D415" s="2" t="str">
        <x:v>NAVY</x:v>
      </x:c>
      <x:c r="E415" s="2" t="str">
        <x:v>규칙형</x:v>
      </x:c>
      <x:c r="F415" s="2" t="str">
        <x:v>200만</x:v>
      </x:c>
      <x:c r="G415" s="2" t="str">
        <x:v>승</x:v>
      </x:c>
      <x:c r="H415" s="14" t="n">
        <x:v>2</x:v>
      </x:c>
      <x:c r="I415" s="14" t="n">
        <x:v>1</x:v>
      </x:c>
      <x:c r="J415" s="14" t="n">
        <x:v>13</x:v>
      </x:c>
      <x:c r="K415" s="14" t="n">
        <x:v>2</x:v>
      </x:c>
      <x:c r="L415" s="15" t="n">
        <x:f>IF(J415=0,"해당 없음",K415/J415)</x:f>
        <x:v>0.15384615384615385</x:v>
      </x:c>
      <x:c r="M415" s="14" t="n">
        <x:v>18</x:v>
      </x:c>
      <x:c r="N415" s="14" t="n">
        <x:v>14</x:v>
      </x:c>
      <x:c r="O415" s="15" t="n">
        <x:f>IF(M415=0,"해당 없음",N415/M415)</x:f>
        <x:v>0.7777777777777778</x:v>
      </x:c>
      <x:c r="P415" s="14" t="n">
        <x:v>103</x:v>
      </x:c>
    </x:row>
    <x:row r="416" ht="22" customHeight="1">
      <x:c r="A416" s="14" t="n">
        <x:v>206</x:v>
      </x:c>
      <x:c r="B416" s="14" t="n">
        <x:v>6</x:v>
      </x:c>
      <x:c r="C416" s="14" t="n">
        <x:v>76002</x:v>
      </x:c>
      <x:c r="D416" s="2" t="str">
        <x:v>RED</x:v>
      </x:c>
      <x:c r="E416" s="2" t="str">
        <x:v>규칙형</x:v>
      </x:c>
      <x:c r="F416" s="2" t="str">
        <x:v>200만</x:v>
      </x:c>
      <x:c r="G416" s="2" t="str">
        <x:v>패</x:v>
      </x:c>
      <x:c r="H416" s="14" t="n">
        <x:v>1</x:v>
      </x:c>
      <x:c r="I416" s="14" t="n">
        <x:v>5</x:v>
      </x:c>
      <x:c r="J416" s="14" t="n">
        <x:v>8</x:v>
      </x:c>
      <x:c r="K416" s="14" t="n">
        <x:v>1</x:v>
      </x:c>
      <x:c r="L416" s="15" t="n">
        <x:f>IF(J416=0,"해당 없음",K416/J416)</x:f>
        <x:v>0.125</x:v>
      </x:c>
      <x:c r="M416" s="14" t="n">
        <x:v>12</x:v>
      </x:c>
      <x:c r="N416" s="14" t="n">
        <x:v>9</x:v>
      </x:c>
      <x:c r="O416" s="15" t="n">
        <x:f>IF(M416=0,"해당 없음",N416/M416)</x:f>
        <x:v>0.75</x:v>
      </x:c>
      <x:c r="P416" s="14" t="n">
        <x:v>103</x:v>
      </x:c>
    </x:row>
    <x:row r="417" ht="22" customHeight="1">
      <x:c r="A417" s="14" t="n">
        <x:v>206</x:v>
      </x:c>
      <x:c r="B417" s="14" t="n">
        <x:v>6</x:v>
      </x:c>
      <x:c r="C417" s="14" t="n">
        <x:v>76002</x:v>
      </x:c>
      <x:c r="D417" s="2" t="str">
        <x:v>NAVY</x:v>
      </x:c>
      <x:c r="E417" s="2" t="str">
        <x:v>200만</x:v>
      </x:c>
      <x:c r="F417" s="2" t="str">
        <x:v>규칙형</x:v>
      </x:c>
      <x:c r="G417" s="2" t="str">
        <x:v>승</x:v>
      </x:c>
      <x:c r="H417" s="14" t="n">
        <x:v>5</x:v>
      </x:c>
      <x:c r="I417" s="14" t="n">
        <x:v>1</x:v>
      </x:c>
      <x:c r="J417" s="14" t="n">
        <x:v>13</x:v>
      </x:c>
      <x:c r="K417" s="14" t="n">
        <x:v>5</x:v>
      </x:c>
      <x:c r="L417" s="15" t="n">
        <x:f>IF(J417=0,"해당 없음",K417/J417)</x:f>
        <x:v>0.38461538461538464</x:v>
      </x:c>
      <x:c r="M417" s="14" t="n">
        <x:v>6</x:v>
      </x:c>
      <x:c r="N417" s="14" t="n">
        <x:v>5</x:v>
      </x:c>
      <x:c r="O417" s="15" t="n">
        <x:f>IF(M417=0,"해당 없음",N417/M417)</x:f>
        <x:v>0.8333333333333334</x:v>
      </x:c>
      <x:c r="P417" s="14" t="n">
        <x:v>104</x:v>
      </x:c>
    </x:row>
    <x:row r="418" ht="22" customHeight="1">
      <x:c r="A418" s="14" t="n">
        <x:v>207</x:v>
      </x:c>
      <x:c r="B418" s="14" t="n">
        <x:v>6</x:v>
      </x:c>
      <x:c r="C418" s="14" t="n">
        <x:v>76003</x:v>
      </x:c>
      <x:c r="D418" s="2" t="str">
        <x:v>RED</x:v>
      </x:c>
      <x:c r="E418" s="2" t="str">
        <x:v>200만</x:v>
      </x:c>
      <x:c r="F418" s="2" t="str">
        <x:v>규칙형</x:v>
      </x:c>
      <x:c r="G418" s="2" t="str">
        <x:v>승</x:v>
      </x:c>
      <x:c r="H418" s="14" t="n">
        <x:v>5</x:v>
      </x:c>
      <x:c r="I418" s="14" t="n">
        <x:v>1</x:v>
      </x:c>
      <x:c r="J418" s="14" t="n">
        <x:v>8</x:v>
      </x:c>
      <x:c r="K418" s="14" t="n">
        <x:v>5</x:v>
      </x:c>
      <x:c r="L418" s="15" t="n">
        <x:f>IF(J418=0,"해당 없음",K418/J418)</x:f>
        <x:v>0.625</x:v>
      </x:c>
      <x:c r="M418" s="14" t="n">
        <x:v>9</x:v>
      </x:c>
      <x:c r="N418" s="14" t="n">
        <x:v>7</x:v>
      </x:c>
      <x:c r="O418" s="15" t="n">
        <x:f>IF(M418=0,"해당 없음",N418/M418)</x:f>
        <x:v>0.7777777777777778</x:v>
      </x:c>
      <x:c r="P418" s="14" t="n">
        <x:v>104</x:v>
      </x:c>
    </x:row>
    <x:row r="419" ht="22" customHeight="1">
      <x:c r="A419" s="14" t="n">
        <x:v>207</x:v>
      </x:c>
      <x:c r="B419" s="14" t="n">
        <x:v>6</x:v>
      </x:c>
      <x:c r="C419" s="14" t="n">
        <x:v>76003</x:v>
      </x:c>
      <x:c r="D419" s="2" t="str">
        <x:v>NAVY</x:v>
      </x:c>
      <x:c r="E419" s="2" t="str">
        <x:v>규칙형</x:v>
      </x:c>
      <x:c r="F419" s="2" t="str">
        <x:v>200만</x:v>
      </x:c>
      <x:c r="G419" s="2" t="str">
        <x:v>패</x:v>
      </x:c>
      <x:c r="H419" s="14" t="n">
        <x:v>1</x:v>
      </x:c>
      <x:c r="I419" s="14" t="n">
        <x:v>5</x:v>
      </x:c>
      <x:c r="J419" s="14" t="n">
        <x:v>8</x:v>
      </x:c>
      <x:c r="K419" s="14" t="n">
        <x:v>1</x:v>
      </x:c>
      <x:c r="L419" s="15" t="n">
        <x:f>IF(J419=0,"해당 없음",K419/J419)</x:f>
        <x:v>0.125</x:v>
      </x:c>
      <x:c r="M419" s="14" t="n">
        <x:v>15</x:v>
      </x:c>
      <x:c r="N419" s="14" t="n">
        <x:v>13</x:v>
      </x:c>
      <x:c r="O419" s="15" t="n">
        <x:f>IF(M419=0,"해당 없음",N419/M419)</x:f>
        <x:v>0.8666666666666667</x:v>
      </x:c>
      <x:c r="P419" s="14" t="n">
        <x:v>105</x:v>
      </x:c>
    </x:row>
    <x:row r="420" ht="22" customHeight="1">
      <x:c r="A420" s="14" t="n">
        <x:v>208</x:v>
      </x:c>
      <x:c r="B420" s="14" t="n">
        <x:v>6</x:v>
      </x:c>
      <x:c r="C420" s="14" t="n">
        <x:v>76003</x:v>
      </x:c>
      <x:c r="D420" s="2" t="str">
        <x:v>RED</x:v>
      </x:c>
      <x:c r="E420" s="2" t="str">
        <x:v>규칙형</x:v>
      </x:c>
      <x:c r="F420" s="2" t="str">
        <x:v>200만</x:v>
      </x:c>
      <x:c r="G420" s="2" t="str">
        <x:v>패</x:v>
      </x:c>
      <x:c r="H420" s="14" t="n">
        <x:v>2</x:v>
      </x:c>
      <x:c r="I420" s="14" t="n">
        <x:v>3</x:v>
      </x:c>
      <x:c r="J420" s="14" t="n">
        <x:v>16</x:v>
      </x:c>
      <x:c r="K420" s="14" t="n">
        <x:v>2</x:v>
      </x:c>
      <x:c r="L420" s="15" t="n">
        <x:f>IF(J420=0,"해당 없음",K420/J420)</x:f>
        <x:v>0.125</x:v>
      </x:c>
      <x:c r="M420" s="14" t="n">
        <x:v>14</x:v>
      </x:c>
      <x:c r="N420" s="14" t="n">
        <x:v>14</x:v>
      </x:c>
      <x:c r="O420" s="15" t="n">
        <x:f>IF(M420=0,"해당 없음",N420/M420)</x:f>
        <x:v>1</x:v>
      </x:c>
      <x:c r="P420" s="14" t="n">
        <x:v>102</x:v>
      </x:c>
    </x:row>
    <x:row r="421" ht="22" customHeight="1">
      <x:c r="A421" s="14" t="n">
        <x:v>208</x:v>
      </x:c>
      <x:c r="B421" s="14" t="n">
        <x:v>6</x:v>
      </x:c>
      <x:c r="C421" s="14" t="n">
        <x:v>76003</x:v>
      </x:c>
      <x:c r="D421" s="2" t="str">
        <x:v>NAVY</x:v>
      </x:c>
      <x:c r="E421" s="2" t="str">
        <x:v>200만</x:v>
      </x:c>
      <x:c r="F421" s="2" t="str">
        <x:v>규칙형</x:v>
      </x:c>
      <x:c r="G421" s="2" t="str">
        <x:v>승</x:v>
      </x:c>
      <x:c r="H421" s="14" t="n">
        <x:v>3</x:v>
      </x:c>
      <x:c r="I421" s="14" t="n">
        <x:v>2</x:v>
      </x:c>
      <x:c r="J421" s="14" t="n">
        <x:v>4</x:v>
      </x:c>
      <x:c r="K421" s="14" t="n">
        <x:v>3</x:v>
      </x:c>
      <x:c r="L421" s="15" t="n">
        <x:f>IF(J421=0,"해당 없음",K421/J421)</x:f>
        <x:v>0.75</x:v>
      </x:c>
      <x:c r="M421" s="14" t="n">
        <x:v>4</x:v>
      </x:c>
      <x:c r="N421" s="14" t="n">
        <x:v>4</x:v>
      </x:c>
      <x:c r="O421" s="15" t="n">
        <x:f>IF(M421=0,"해당 없음",N421/M421)</x:f>
        <x:v>1</x:v>
      </x:c>
      <x:c r="P421" s="14" t="n">
        <x:v>103</x:v>
      </x:c>
    </x:row>
    <x:row r="422" ht="22" customHeight="1">
      <x:c r="A422" s="14" t="n">
        <x:v>209</x:v>
      </x:c>
      <x:c r="B422" s="14" t="n">
        <x:v>6</x:v>
      </x:c>
      <x:c r="C422" s="14" t="n">
        <x:v>76004</x:v>
      </x:c>
      <x:c r="D422" s="2" t="str">
        <x:v>RED</x:v>
      </x:c>
      <x:c r="E422" s="2" t="str">
        <x:v>200만</x:v>
      </x:c>
      <x:c r="F422" s="2" t="str">
        <x:v>규칙형</x:v>
      </x:c>
      <x:c r="G422" s="2" t="str">
        <x:v>패</x:v>
      </x:c>
      <x:c r="H422" s="14" t="n">
        <x:v>2</x:v>
      </x:c>
      <x:c r="I422" s="14" t="n">
        <x:v>5</x:v>
      </x:c>
      <x:c r="J422" s="14" t="n">
        <x:v>6</x:v>
      </x:c>
      <x:c r="K422" s="14" t="n">
        <x:v>2</x:v>
      </x:c>
      <x:c r="L422" s="15" t="n">
        <x:f>IF(J422=0,"해당 없음",K422/J422)</x:f>
        <x:v>0.3333333333333333</x:v>
      </x:c>
      <x:c r="M422" s="14" t="n">
        <x:v>7</x:v>
      </x:c>
      <x:c r="N422" s="14" t="n">
        <x:v>5</x:v>
      </x:c>
      <x:c r="O422" s="15" t="n">
        <x:f>IF(M422=0,"해당 없음",N422/M422)</x:f>
        <x:v>0.7142857142857143</x:v>
      </x:c>
      <x:c r="P422" s="14" t="n">
        <x:v>104</x:v>
      </x:c>
    </x:row>
    <x:row r="423" ht="22" customHeight="1">
      <x:c r="A423" s="14" t="n">
        <x:v>209</x:v>
      </x:c>
      <x:c r="B423" s="14" t="n">
        <x:v>6</x:v>
      </x:c>
      <x:c r="C423" s="14" t="n">
        <x:v>76004</x:v>
      </x:c>
      <x:c r="D423" s="2" t="str">
        <x:v>NAVY</x:v>
      </x:c>
      <x:c r="E423" s="2" t="str">
        <x:v>규칙형</x:v>
      </x:c>
      <x:c r="F423" s="2" t="str">
        <x:v>200만</x:v>
      </x:c>
      <x:c r="G423" s="2" t="str">
        <x:v>승</x:v>
      </x:c>
      <x:c r="H423" s="14" t="n">
        <x:v>5</x:v>
      </x:c>
      <x:c r="I423" s="14" t="n">
        <x:v>2</x:v>
      </x:c>
      <x:c r="J423" s="14" t="n">
        <x:v>8</x:v>
      </x:c>
      <x:c r="K423" s="14" t="n">
        <x:v>4</x:v>
      </x:c>
      <x:c r="L423" s="15" t="n">
        <x:f>IF(J423=0,"해당 없음",K423/J423)</x:f>
        <x:v>0.5</x:v>
      </x:c>
      <x:c r="M423" s="14" t="n">
        <x:v>16</x:v>
      </x:c>
      <x:c r="N423" s="14" t="n">
        <x:v>14</x:v>
      </x:c>
      <x:c r="O423" s="15" t="n">
        <x:f>IF(M423=0,"해당 없음",N423/M423)</x:f>
        <x:v>0.875</x:v>
      </x:c>
      <x:c r="P423" s="14" t="n">
        <x:v>103</x:v>
      </x:c>
    </x:row>
    <x:row r="424" ht="22" customHeight="1">
      <x:c r="A424" s="14" t="n">
        <x:v>210</x:v>
      </x:c>
      <x:c r="B424" s="14" t="n">
        <x:v>6</x:v>
      </x:c>
      <x:c r="C424" s="14" t="n">
        <x:v>76004</x:v>
      </x:c>
      <x:c r="D424" s="2" t="str">
        <x:v>RED</x:v>
      </x:c>
      <x:c r="E424" s="2" t="str">
        <x:v>규칙형</x:v>
      </x:c>
      <x:c r="F424" s="2" t="str">
        <x:v>200만</x:v>
      </x:c>
      <x:c r="G424" s="2" t="str">
        <x:v>패</x:v>
      </x:c>
      <x:c r="H424" s="14" t="n">
        <x:v>2</x:v>
      </x:c>
      <x:c r="I424" s="14" t="n">
        <x:v>4</x:v>
      </x:c>
      <x:c r="J424" s="14" t="n">
        <x:v>9</x:v>
      </x:c>
      <x:c r="K424" s="14" t="n">
        <x:v>2</x:v>
      </x:c>
      <x:c r="L424" s="15" t="n">
        <x:f>IF(J424=0,"해당 없음",K424/J424)</x:f>
        <x:v>0.2222222222222222</x:v>
      </x:c>
      <x:c r="M424" s="14" t="n">
        <x:v>11</x:v>
      </x:c>
      <x:c r="N424" s="14" t="n">
        <x:v>8</x:v>
      </x:c>
      <x:c r="O424" s="15" t="n">
        <x:f>IF(M424=0,"해당 없음",N424/M424)</x:f>
        <x:v>0.7272727272727273</x:v>
      </x:c>
      <x:c r="P424" s="14" t="n">
        <x:v>102</x:v>
      </x:c>
    </x:row>
    <x:row r="425" ht="22" customHeight="1">
      <x:c r="A425" s="14" t="n">
        <x:v>210</x:v>
      </x:c>
      <x:c r="B425" s="14" t="n">
        <x:v>6</x:v>
      </x:c>
      <x:c r="C425" s="14" t="n">
        <x:v>76004</x:v>
      </x:c>
      <x:c r="D425" s="2" t="str">
        <x:v>NAVY</x:v>
      </x:c>
      <x:c r="E425" s="2" t="str">
        <x:v>200만</x:v>
      </x:c>
      <x:c r="F425" s="2" t="str">
        <x:v>규칙형</x:v>
      </x:c>
      <x:c r="G425" s="2" t="str">
        <x:v>승</x:v>
      </x:c>
      <x:c r="H425" s="14" t="n">
        <x:v>4</x:v>
      </x:c>
      <x:c r="I425" s="14" t="n">
        <x:v>2</x:v>
      </x:c>
      <x:c r="J425" s="14" t="n">
        <x:v>7</x:v>
      </x:c>
      <x:c r="K425" s="14" t="n">
        <x:v>4</x:v>
      </x:c>
      <x:c r="L425" s="15" t="n">
        <x:f>IF(J425=0,"해당 없음",K425/J425)</x:f>
        <x:v>0.5714285714285714</x:v>
      </x:c>
      <x:c r="M425" s="14" t="n">
        <x:v>5</x:v>
      </x:c>
      <x:c r="N425" s="14" t="n">
        <x:v>5</x:v>
      </x:c>
      <x:c r="O425" s="15" t="n">
        <x:f>IF(M425=0,"해당 없음",N425/M425)</x:f>
        <x:v>1</x:v>
      </x:c>
      <x:c r="P425" s="14" t="n">
        <x:v>105</x:v>
      </x:c>
    </x:row>
    <x:row r="426" ht="22" customHeight="1">
      <x:c r="A426" s="14" t="n">
        <x:v>211</x:v>
      </x:c>
      <x:c r="B426" s="14" t="n">
        <x:v>6</x:v>
      </x:c>
      <x:c r="C426" s="14" t="n">
        <x:v>76005</x:v>
      </x:c>
      <x:c r="D426" s="2" t="str">
        <x:v>RED</x:v>
      </x:c>
      <x:c r="E426" s="2" t="str">
        <x:v>200만</x:v>
      </x:c>
      <x:c r="F426" s="2" t="str">
        <x:v>규칙형</x:v>
      </x:c>
      <x:c r="G426" s="2" t="str">
        <x:v>패</x:v>
      </x:c>
      <x:c r="H426" s="14" t="n">
        <x:v>3</x:v>
      </x:c>
      <x:c r="I426" s="14" t="n">
        <x:v>4</x:v>
      </x:c>
      <x:c r="J426" s="14" t="n">
        <x:v>8</x:v>
      </x:c>
      <x:c r="K426" s="14" t="n">
        <x:v>3</x:v>
      </x:c>
      <x:c r="L426" s="15" t="n">
        <x:f>IF(J426=0,"해당 없음",K426/J426)</x:f>
        <x:v>0.375</x:v>
      </x:c>
      <x:c r="M426" s="14" t="n">
        <x:v>6</x:v>
      </x:c>
      <x:c r="N426" s="14" t="n">
        <x:v>4</x:v>
      </x:c>
      <x:c r="O426" s="15" t="n">
        <x:f>IF(M426=0,"해당 없음",N426/M426)</x:f>
        <x:v>0.6666666666666666</x:v>
      </x:c>
      <x:c r="P426" s="14" t="n">
        <x:v>104</x:v>
      </x:c>
    </x:row>
    <x:row r="427" ht="22" customHeight="1">
      <x:c r="A427" s="14" t="n">
        <x:v>211</x:v>
      </x:c>
      <x:c r="B427" s="14" t="n">
        <x:v>6</x:v>
      </x:c>
      <x:c r="C427" s="14" t="n">
        <x:v>76005</x:v>
      </x:c>
      <x:c r="D427" s="2" t="str">
        <x:v>NAVY</x:v>
      </x:c>
      <x:c r="E427" s="2" t="str">
        <x:v>규칙형</x:v>
      </x:c>
      <x:c r="F427" s="2" t="str">
        <x:v>200만</x:v>
      </x:c>
      <x:c r="G427" s="2" t="str">
        <x:v>승</x:v>
      </x:c>
      <x:c r="H427" s="14" t="n">
        <x:v>4</x:v>
      </x:c>
      <x:c r="I427" s="14" t="n">
        <x:v>3</x:v>
      </x:c>
      <x:c r="J427" s="14" t="n">
        <x:v>6</x:v>
      </x:c>
      <x:c r="K427" s="14" t="n">
        <x:v>4</x:v>
      </x:c>
      <x:c r="L427" s="15" t="n">
        <x:f>IF(J427=0,"해당 없음",K427/J427)</x:f>
        <x:v>0.6666666666666666</x:v>
      </x:c>
      <x:c r="M427" s="14" t="n">
        <x:v>21</x:v>
      </x:c>
      <x:c r="N427" s="14" t="n">
        <x:v>14</x:v>
      </x:c>
      <x:c r="O427" s="15" t="n">
        <x:f>IF(M427=0,"해당 없음",N427/M427)</x:f>
        <x:v>0.6666666666666666</x:v>
      </x:c>
      <x:c r="P427" s="14" t="n">
        <x:v>103</x:v>
      </x:c>
    </x:row>
    <x:row r="428" ht="22" customHeight="1">
      <x:c r="A428" s="14" t="n">
        <x:v>212</x:v>
      </x:c>
      <x:c r="B428" s="14" t="n">
        <x:v>6</x:v>
      </x:c>
      <x:c r="C428" s="14" t="n">
        <x:v>76005</x:v>
      </x:c>
      <x:c r="D428" s="2" t="str">
        <x:v>RED</x:v>
      </x:c>
      <x:c r="E428" s="2" t="str">
        <x:v>규칙형</x:v>
      </x:c>
      <x:c r="F428" s="2" t="str">
        <x:v>200만</x:v>
      </x:c>
      <x:c r="G428" s="2" t="str">
        <x:v>무</x:v>
      </x:c>
      <x:c r="H428" s="14" t="n">
        <x:v>3</x:v>
      </x:c>
      <x:c r="I428" s="14" t="n">
        <x:v>3</x:v>
      </x:c>
      <x:c r="J428" s="14" t="n">
        <x:v>9</x:v>
      </x:c>
      <x:c r="K428" s="14" t="n">
        <x:v>3</x:v>
      </x:c>
      <x:c r="L428" s="15" t="n">
        <x:f>IF(J428=0,"해당 없음",K428/J428)</x:f>
        <x:v>0.3333333333333333</x:v>
      </x:c>
      <x:c r="M428" s="14" t="n">
        <x:v>10</x:v>
      </x:c>
      <x:c r="N428" s="14" t="n">
        <x:v>7</x:v>
      </x:c>
      <x:c r="O428" s="15" t="n">
        <x:f>IF(M428=0,"해당 없음",N428/M428)</x:f>
        <x:v>0.7</x:v>
      </x:c>
      <x:c r="P428" s="14" t="n">
        <x:v>104</x:v>
      </x:c>
    </x:row>
    <x:row r="429" ht="22" customHeight="1">
      <x:c r="A429" s="14" t="n">
        <x:v>212</x:v>
      </x:c>
      <x:c r="B429" s="14" t="n">
        <x:v>6</x:v>
      </x:c>
      <x:c r="C429" s="14" t="n">
        <x:v>76005</x:v>
      </x:c>
      <x:c r="D429" s="2" t="str">
        <x:v>NAVY</x:v>
      </x:c>
      <x:c r="E429" s="2" t="str">
        <x:v>200만</x:v>
      </x:c>
      <x:c r="F429" s="2" t="str">
        <x:v>규칙형</x:v>
      </x:c>
      <x:c r="G429" s="2" t="str">
        <x:v>무</x:v>
      </x:c>
      <x:c r="H429" s="14" t="n">
        <x:v>3</x:v>
      </x:c>
      <x:c r="I429" s="14" t="n">
        <x:v>3</x:v>
      </x:c>
      <x:c r="J429" s="14" t="n">
        <x:v>6</x:v>
      </x:c>
      <x:c r="K429" s="14" t="n">
        <x:v>3</x:v>
      </x:c>
      <x:c r="L429" s="15" t="n">
        <x:f>IF(J429=0,"해당 없음",K429/J429)</x:f>
        <x:v>0.5</x:v>
      </x:c>
      <x:c r="M429" s="14" t="n">
        <x:v>6</x:v>
      </x:c>
      <x:c r="N429" s="14" t="n">
        <x:v>2</x:v>
      </x:c>
      <x:c r="O429" s="15" t="n">
        <x:f>IF(M429=0,"해당 없음",N429/M429)</x:f>
        <x:v>0.3333333333333333</x:v>
      </x:c>
      <x:c r="P429" s="14" t="n">
        <x:v>104</x:v>
      </x:c>
    </x:row>
    <x:row r="430" ht="22" customHeight="1">
      <x:c r="A430" s="14" t="n">
        <x:v>213</x:v>
      </x:c>
      <x:c r="B430" s="14" t="n">
        <x:v>6</x:v>
      </x:c>
      <x:c r="C430" s="14" t="n">
        <x:v>76006</x:v>
      </x:c>
      <x:c r="D430" s="2" t="str">
        <x:v>RED</x:v>
      </x:c>
      <x:c r="E430" s="2" t="str">
        <x:v>200만</x:v>
      </x:c>
      <x:c r="F430" s="2" t="str">
        <x:v>규칙형</x:v>
      </x:c>
      <x:c r="G430" s="2" t="str">
        <x:v>패</x:v>
      </x:c>
      <x:c r="H430" s="14" t="n">
        <x:v>1</x:v>
      </x:c>
      <x:c r="I430" s="14" t="n">
        <x:v>2</x:v>
      </x:c>
      <x:c r="J430" s="14" t="n">
        <x:v>3</x:v>
      </x:c>
      <x:c r="K430" s="14" t="n">
        <x:v>1</x:v>
      </x:c>
      <x:c r="L430" s="15" t="n">
        <x:f>IF(J430=0,"해당 없음",K430/J430)</x:f>
        <x:v>0.3333333333333333</x:v>
      </x:c>
      <x:c r="M430" s="14" t="n">
        <x:v>8</x:v>
      </x:c>
      <x:c r="N430" s="14" t="n">
        <x:v>5</x:v>
      </x:c>
      <x:c r="O430" s="15" t="n">
        <x:f>IF(M430=0,"해당 없음",N430/M430)</x:f>
        <x:v>0.625</x:v>
      </x:c>
      <x:c r="P430" s="14" t="n">
        <x:v>100</x:v>
      </x:c>
    </x:row>
    <x:row r="431" ht="22" customHeight="1">
      <x:c r="A431" s="14" t="n">
        <x:v>213</x:v>
      </x:c>
      <x:c r="B431" s="14" t="n">
        <x:v>6</x:v>
      </x:c>
      <x:c r="C431" s="14" t="n">
        <x:v>76006</x:v>
      </x:c>
      <x:c r="D431" s="2" t="str">
        <x:v>NAVY</x:v>
      </x:c>
      <x:c r="E431" s="2" t="str">
        <x:v>규칙형</x:v>
      </x:c>
      <x:c r="F431" s="2" t="str">
        <x:v>200만</x:v>
      </x:c>
      <x:c r="G431" s="2" t="str">
        <x:v>승</x:v>
      </x:c>
      <x:c r="H431" s="14" t="n">
        <x:v>2</x:v>
      </x:c>
      <x:c r="I431" s="14" t="n">
        <x:v>1</x:v>
      </x:c>
      <x:c r="J431" s="14" t="n">
        <x:v>12</x:v>
      </x:c>
      <x:c r="K431" s="14" t="n">
        <x:v>2</x:v>
      </x:c>
      <x:c r="L431" s="15" t="n">
        <x:f>IF(J431=0,"해당 없음",K431/J431)</x:f>
        <x:v>0.16666666666666666</x:v>
      </x:c>
      <x:c r="M431" s="14" t="n">
        <x:v>17</x:v>
      </x:c>
      <x:c r="N431" s="14" t="n">
        <x:v>16</x:v>
      </x:c>
      <x:c r="O431" s="15" t="n">
        <x:f>IF(M431=0,"해당 없음",N431/M431)</x:f>
        <x:v>0.9411764705882353</x:v>
      </x:c>
      <x:c r="P431" s="14" t="n">
        <x:v>102</x:v>
      </x:c>
    </x:row>
    <x:row r="432" ht="22" customHeight="1">
      <x:c r="A432" s="14" t="n">
        <x:v>214</x:v>
      </x:c>
      <x:c r="B432" s="14" t="n">
        <x:v>6</x:v>
      </x:c>
      <x:c r="C432" s="14" t="n">
        <x:v>76006</x:v>
      </x:c>
      <x:c r="D432" s="2" t="str">
        <x:v>RED</x:v>
      </x:c>
      <x:c r="E432" s="2" t="str">
        <x:v>규칙형</x:v>
      </x:c>
      <x:c r="F432" s="2" t="str">
        <x:v>200만</x:v>
      </x:c>
      <x:c r="G432" s="2" t="str">
        <x:v>승</x:v>
      </x:c>
      <x:c r="H432" s="14" t="n">
        <x:v>8</x:v>
      </x:c>
      <x:c r="I432" s="14" t="n">
        <x:v>1</x:v>
      </x:c>
      <x:c r="J432" s="14" t="n">
        <x:v>11</x:v>
      </x:c>
      <x:c r="K432" s="14" t="n">
        <x:v>8</x:v>
      </x:c>
      <x:c r="L432" s="15" t="n">
        <x:f>IF(J432=0,"해당 없음",K432/J432)</x:f>
        <x:v>0.7272727272727273</x:v>
      </x:c>
      <x:c r="M432" s="14" t="n">
        <x:v>14</x:v>
      </x:c>
      <x:c r="N432" s="14" t="n">
        <x:v>12</x:v>
      </x:c>
      <x:c r="O432" s="15" t="n">
        <x:f>IF(M432=0,"해당 없음",N432/M432)</x:f>
        <x:v>0.8571428571428571</x:v>
      </x:c>
      <x:c r="P432" s="14" t="n">
        <x:v>104</x:v>
      </x:c>
    </x:row>
    <x:row r="433" ht="22" customHeight="1">
      <x:c r="A433" s="14" t="n">
        <x:v>214</x:v>
      </x:c>
      <x:c r="B433" s="14" t="n">
        <x:v>6</x:v>
      </x:c>
      <x:c r="C433" s="14" t="n">
        <x:v>76006</x:v>
      </x:c>
      <x:c r="D433" s="2" t="str">
        <x:v>NAVY</x:v>
      </x:c>
      <x:c r="E433" s="2" t="str">
        <x:v>200만</x:v>
      </x:c>
      <x:c r="F433" s="2" t="str">
        <x:v>규칙형</x:v>
      </x:c>
      <x:c r="G433" s="2" t="str">
        <x:v>패</x:v>
      </x:c>
      <x:c r="H433" s="14" t="n">
        <x:v>1</x:v>
      </x:c>
      <x:c r="I433" s="14" t="n">
        <x:v>8</x:v>
      </x:c>
      <x:c r="J433" s="14" t="n">
        <x:v>4</x:v>
      </x:c>
      <x:c r="K433" s="14" t="n">
        <x:v>1</x:v>
      </x:c>
      <x:c r="L433" s="15" t="n">
        <x:f>IF(J433=0,"해당 없음",K433/J433)</x:f>
        <x:v>0.25</x:v>
      </x:c>
      <x:c r="M433" s="14" t="n">
        <x:v>4</x:v>
      </x:c>
      <x:c r="N433" s="14" t="n">
        <x:v>2</x:v>
      </x:c>
      <x:c r="O433" s="15" t="n">
        <x:f>IF(M433=0,"해당 없음",N433/M433)</x:f>
        <x:v>0.5</x:v>
      </x:c>
      <x:c r="P433" s="14" t="n">
        <x:v>104</x:v>
      </x:c>
    </x:row>
    <x:row r="434" ht="22" customHeight="1">
      <x:c r="A434" s="14" t="n">
        <x:v>215</x:v>
      </x:c>
      <x:c r="B434" s="14" t="n">
        <x:v>6</x:v>
      </x:c>
      <x:c r="C434" s="14" t="n">
        <x:v>76007</x:v>
      </x:c>
      <x:c r="D434" s="2" t="str">
        <x:v>RED</x:v>
      </x:c>
      <x:c r="E434" s="2" t="str">
        <x:v>200만</x:v>
      </x:c>
      <x:c r="F434" s="2" t="str">
        <x:v>규칙형</x:v>
      </x:c>
      <x:c r="G434" s="2" t="str">
        <x:v>승</x:v>
      </x:c>
      <x:c r="H434" s="14" t="n">
        <x:v>4</x:v>
      </x:c>
      <x:c r="I434" s="14" t="n">
        <x:v>0</x:v>
      </x:c>
      <x:c r="J434" s="14" t="n">
        <x:v>9</x:v>
      </x:c>
      <x:c r="K434" s="14" t="n">
        <x:v>4</x:v>
      </x:c>
      <x:c r="L434" s="15" t="n">
        <x:f>IF(J434=0,"해당 없음",K434/J434)</x:f>
        <x:v>0.4444444444444444</x:v>
      </x:c>
      <x:c r="M434" s="14" t="n">
        <x:v>13</x:v>
      </x:c>
      <x:c r="N434" s="14" t="n">
        <x:v>9</x:v>
      </x:c>
      <x:c r="O434" s="15" t="n">
        <x:f>IF(M434=0,"해당 없음",N434/M434)</x:f>
        <x:v>0.6923076923076923</x:v>
      </x:c>
      <x:c r="P434" s="14" t="n">
        <x:v>101</x:v>
      </x:c>
    </x:row>
    <x:row r="435" ht="22" customHeight="1">
      <x:c r="A435" s="14" t="n">
        <x:v>215</x:v>
      </x:c>
      <x:c r="B435" s="14" t="n">
        <x:v>6</x:v>
      </x:c>
      <x:c r="C435" s="14" t="n">
        <x:v>76007</x:v>
      </x:c>
      <x:c r="D435" s="2" t="str">
        <x:v>NAVY</x:v>
      </x:c>
      <x:c r="E435" s="2" t="str">
        <x:v>규칙형</x:v>
      </x:c>
      <x:c r="F435" s="2" t="str">
        <x:v>200만</x:v>
      </x:c>
      <x:c r="G435" s="2" t="str">
        <x:v>패</x:v>
      </x:c>
      <x:c r="H435" s="14" t="n">
        <x:v>0</x:v>
      </x:c>
      <x:c r="I435" s="14" t="n">
        <x:v>4</x:v>
      </x:c>
      <x:c r="J435" s="14" t="n">
        <x:v>5</x:v>
      </x:c>
      <x:c r="K435" s="14" t="n">
        <x:v>0</x:v>
      </x:c>
      <x:c r="L435" s="15" t="n">
        <x:f>IF(J435=0,"해당 없음",K435/J435)</x:f>
        <x:v>0</x:v>
      </x:c>
      <x:c r="M435" s="14" t="n">
        <x:v>15</x:v>
      </x:c>
      <x:c r="N435" s="14" t="n">
        <x:v>10</x:v>
      </x:c>
      <x:c r="O435" s="15" t="n">
        <x:f>IF(M435=0,"해당 없음",N435/M435)</x:f>
        <x:v>0.6666666666666666</x:v>
      </x:c>
      <x:c r="P435" s="14" t="n">
        <x:v>103</x:v>
      </x:c>
    </x:row>
    <x:row r="436" ht="22" customHeight="1">
      <x:c r="A436" s="14" t="n">
        <x:v>216</x:v>
      </x:c>
      <x:c r="B436" s="14" t="n">
        <x:v>6</x:v>
      </x:c>
      <x:c r="C436" s="14" t="n">
        <x:v>76007</x:v>
      </x:c>
      <x:c r="D436" s="2" t="str">
        <x:v>RED</x:v>
      </x:c>
      <x:c r="E436" s="2" t="str">
        <x:v>규칙형</x:v>
      </x:c>
      <x:c r="F436" s="2" t="str">
        <x:v>200만</x:v>
      </x:c>
      <x:c r="G436" s="2" t="str">
        <x:v>패</x:v>
      </x:c>
      <x:c r="H436" s="14" t="n">
        <x:v>1</x:v>
      </x:c>
      <x:c r="I436" s="14" t="n">
        <x:v>7</x:v>
      </x:c>
      <x:c r="J436" s="14" t="n">
        <x:v>9</x:v>
      </x:c>
      <x:c r="K436" s="14" t="n">
        <x:v>1</x:v>
      </x:c>
      <x:c r="L436" s="15" t="n">
        <x:f>IF(J436=0,"해당 없음",K436/J436)</x:f>
        <x:v>0.1111111111111111</x:v>
      </x:c>
      <x:c r="M436" s="14" t="n">
        <x:v>12</x:v>
      </x:c>
      <x:c r="N436" s="14" t="n">
        <x:v>11</x:v>
      </x:c>
      <x:c r="O436" s="15" t="n">
        <x:f>IF(M436=0,"해당 없음",N436/M436)</x:f>
        <x:v>0.9166666666666666</x:v>
      </x:c>
      <x:c r="P436" s="14" t="n">
        <x:v>104</x:v>
      </x:c>
    </x:row>
    <x:row r="437" ht="22" customHeight="1">
      <x:c r="A437" s="14" t="n">
        <x:v>216</x:v>
      </x:c>
      <x:c r="B437" s="14" t="n">
        <x:v>6</x:v>
      </x:c>
      <x:c r="C437" s="14" t="n">
        <x:v>76007</x:v>
      </x:c>
      <x:c r="D437" s="2" t="str">
        <x:v>NAVY</x:v>
      </x:c>
      <x:c r="E437" s="2" t="str">
        <x:v>200만</x:v>
      </x:c>
      <x:c r="F437" s="2" t="str">
        <x:v>규칙형</x:v>
      </x:c>
      <x:c r="G437" s="2" t="str">
        <x:v>승</x:v>
      </x:c>
      <x:c r="H437" s="14" t="n">
        <x:v>7</x:v>
      </x:c>
      <x:c r="I437" s="14" t="n">
        <x:v>1</x:v>
      </x:c>
      <x:c r="J437" s="14" t="n">
        <x:v>11</x:v>
      </x:c>
      <x:c r="K437" s="14" t="n">
        <x:v>7</x:v>
      </x:c>
      <x:c r="L437" s="15" t="n">
        <x:f>IF(J437=0,"해당 없음",K437/J437)</x:f>
        <x:v>0.6363636363636364</x:v>
      </x:c>
      <x:c r="M437" s="14" t="n">
        <x:v>6</x:v>
      </x:c>
      <x:c r="N437" s="14" t="n">
        <x:v>6</x:v>
      </x:c>
      <x:c r="O437" s="15" t="n">
        <x:f>IF(M437=0,"해당 없음",N437/M437)</x:f>
        <x:v>1</x:v>
      </x:c>
      <x:c r="P437" s="14" t="n">
        <x:v>105</x:v>
      </x:c>
    </x:row>
    <x:row r="438" ht="22" customHeight="1">
      <x:c r="A438" s="14" t="n">
        <x:v>217</x:v>
      </x:c>
      <x:c r="B438" s="14" t="n">
        <x:v>6</x:v>
      </x:c>
      <x:c r="C438" s="14" t="n">
        <x:v>76008</x:v>
      </x:c>
      <x:c r="D438" s="2" t="str">
        <x:v>RED</x:v>
      </x:c>
      <x:c r="E438" s="2" t="str">
        <x:v>200만</x:v>
      </x:c>
      <x:c r="F438" s="2" t="str">
        <x:v>규칙형</x:v>
      </x:c>
      <x:c r="G438" s="2" t="str">
        <x:v>승</x:v>
      </x:c>
      <x:c r="H438" s="14" t="n">
        <x:v>8</x:v>
      </x:c>
      <x:c r="I438" s="14" t="n">
        <x:v>0</x:v>
      </x:c>
      <x:c r="J438" s="14" t="n">
        <x:v>13</x:v>
      </x:c>
      <x:c r="K438" s="14" t="n">
        <x:v>8</x:v>
      </x:c>
      <x:c r="L438" s="15" t="n">
        <x:f>IF(J438=0,"해당 없음",K438/J438)</x:f>
        <x:v>0.6153846153846154</x:v>
      </x:c>
      <x:c r="M438" s="14" t="n">
        <x:v>7</x:v>
      </x:c>
      <x:c r="N438" s="14" t="n">
        <x:v>6</x:v>
      </x:c>
      <x:c r="O438" s="15" t="n">
        <x:f>IF(M438=0,"해당 없음",N438/M438)</x:f>
        <x:v>0.8571428571428571</x:v>
      </x:c>
      <x:c r="P438" s="14" t="n">
        <x:v>106</x:v>
      </x:c>
    </x:row>
    <x:row r="439" ht="22" customHeight="1">
      <x:c r="A439" s="14" t="n">
        <x:v>217</x:v>
      </x:c>
      <x:c r="B439" s="14" t="n">
        <x:v>6</x:v>
      </x:c>
      <x:c r="C439" s="14" t="n">
        <x:v>76008</x:v>
      </x:c>
      <x:c r="D439" s="2" t="str">
        <x:v>NAVY</x:v>
      </x:c>
      <x:c r="E439" s="2" t="str">
        <x:v>규칙형</x:v>
      </x:c>
      <x:c r="F439" s="2" t="str">
        <x:v>200만</x:v>
      </x:c>
      <x:c r="G439" s="2" t="str">
        <x:v>패</x:v>
      </x:c>
      <x:c r="H439" s="14" t="n">
        <x:v>0</x:v>
      </x:c>
      <x:c r="I439" s="14" t="n">
        <x:v>8</x:v>
      </x:c>
      <x:c r="J439" s="14" t="n">
        <x:v>4</x:v>
      </x:c>
      <x:c r="K439" s="14" t="n">
        <x:v>0</x:v>
      </x:c>
      <x:c r="L439" s="15" t="n">
        <x:f>IF(J439=0,"해당 없음",K439/J439)</x:f>
        <x:v>0</x:v>
      </x:c>
      <x:c r="M439" s="14" t="n">
        <x:v>7</x:v>
      </x:c>
      <x:c r="N439" s="14" t="n">
        <x:v>5</x:v>
      </x:c>
      <x:c r="O439" s="15" t="n">
        <x:f>IF(M439=0,"해당 없음",N439/M439)</x:f>
        <x:v>0.7142857142857143</x:v>
      </x:c>
      <x:c r="P439" s="14" t="n">
        <x:v>105</x:v>
      </x:c>
    </x:row>
    <x:row r="440" ht="22" customHeight="1">
      <x:c r="A440" s="14" t="n">
        <x:v>218</x:v>
      </x:c>
      <x:c r="B440" s="14" t="n">
        <x:v>6</x:v>
      </x:c>
      <x:c r="C440" s="14" t="n">
        <x:v>76008</x:v>
      </x:c>
      <x:c r="D440" s="2" t="str">
        <x:v>RED</x:v>
      </x:c>
      <x:c r="E440" s="2" t="str">
        <x:v>규칙형</x:v>
      </x:c>
      <x:c r="F440" s="2" t="str">
        <x:v>200만</x:v>
      </x:c>
      <x:c r="G440" s="2" t="str">
        <x:v>무</x:v>
      </x:c>
      <x:c r="H440" s="14" t="n">
        <x:v>2</x:v>
      </x:c>
      <x:c r="I440" s="14" t="n">
        <x:v>2</x:v>
      </x:c>
      <x:c r="J440" s="14" t="n">
        <x:v>14</x:v>
      </x:c>
      <x:c r="K440" s="14" t="n">
        <x:v>2</x:v>
      </x:c>
      <x:c r="L440" s="15" t="n">
        <x:f>IF(J440=0,"해당 없음",K440/J440)</x:f>
        <x:v>0.14285714285714285</x:v>
      </x:c>
      <x:c r="M440" s="14" t="n">
        <x:v>16</x:v>
      </x:c>
      <x:c r="N440" s="14" t="n">
        <x:v>13</x:v>
      </x:c>
      <x:c r="O440" s="15" t="n">
        <x:f>IF(M440=0,"해당 없음",N440/M440)</x:f>
        <x:v>0.8125</x:v>
      </x:c>
      <x:c r="P440" s="14" t="n">
        <x:v>103</x:v>
      </x:c>
    </x:row>
    <x:row r="441" ht="22" customHeight="1">
      <x:c r="A441" s="14" t="n">
        <x:v>218</x:v>
      </x:c>
      <x:c r="B441" s="14" t="n">
        <x:v>6</x:v>
      </x:c>
      <x:c r="C441" s="14" t="n">
        <x:v>76008</x:v>
      </x:c>
      <x:c r="D441" s="2" t="str">
        <x:v>NAVY</x:v>
      </x:c>
      <x:c r="E441" s="2" t="str">
        <x:v>200만</x:v>
      </x:c>
      <x:c r="F441" s="2" t="str">
        <x:v>규칙형</x:v>
      </x:c>
      <x:c r="G441" s="2" t="str">
        <x:v>무</x:v>
      </x:c>
      <x:c r="H441" s="14" t="n">
        <x:v>2</x:v>
      </x:c>
      <x:c r="I441" s="14" t="n">
        <x:v>2</x:v>
      </x:c>
      <x:c r="J441" s="14" t="n">
        <x:v>5</x:v>
      </x:c>
      <x:c r="K441" s="14" t="n">
        <x:v>2</x:v>
      </x:c>
      <x:c r="L441" s="15" t="n">
        <x:f>IF(J441=0,"해당 없음",K441/J441)</x:f>
        <x:v>0.4</x:v>
      </x:c>
      <x:c r="M441" s="14" t="n">
        <x:v>7</x:v>
      </x:c>
      <x:c r="N441" s="14" t="n">
        <x:v>5</x:v>
      </x:c>
      <x:c r="O441" s="15" t="n">
        <x:f>IF(M441=0,"해당 없음",N441/M441)</x:f>
        <x:v>0.7142857142857143</x:v>
      </x:c>
      <x:c r="P441" s="14" t="n">
        <x:v>103</x:v>
      </x:c>
    </x:row>
    <x:row r="442" ht="22" customHeight="1">
      <x:c r="A442" s="14" t="n">
        <x:v>219</x:v>
      </x:c>
      <x:c r="B442" s="14" t="n">
        <x:v>6</x:v>
      </x:c>
      <x:c r="C442" s="14" t="n">
        <x:v>76009</x:v>
      </x:c>
      <x:c r="D442" s="2" t="str">
        <x:v>RED</x:v>
      </x:c>
      <x:c r="E442" s="2" t="str">
        <x:v>200만</x:v>
      </x:c>
      <x:c r="F442" s="2" t="str">
        <x:v>규칙형</x:v>
      </x:c>
      <x:c r="G442" s="2" t="str">
        <x:v>패</x:v>
      </x:c>
      <x:c r="H442" s="14" t="n">
        <x:v>2</x:v>
      </x:c>
      <x:c r="I442" s="14" t="n">
        <x:v>4</x:v>
      </x:c>
      <x:c r="J442" s="14" t="n">
        <x:v>7</x:v>
      </x:c>
      <x:c r="K442" s="14" t="n">
        <x:v>2</x:v>
      </x:c>
      <x:c r="L442" s="15" t="n">
        <x:f>IF(J442=0,"해당 없음",K442/J442)</x:f>
        <x:v>0.2857142857142857</x:v>
      </x:c>
      <x:c r="M442" s="14" t="n">
        <x:v>12</x:v>
      </x:c>
      <x:c r="N442" s="14" t="n">
        <x:v>6</x:v>
      </x:c>
      <x:c r="O442" s="15" t="n">
        <x:f>IF(M442=0,"해당 없음",N442/M442)</x:f>
        <x:v>0.5</x:v>
      </x:c>
      <x:c r="P442" s="14" t="n">
        <x:v>104</x:v>
      </x:c>
    </x:row>
    <x:row r="443" ht="22" customHeight="1">
      <x:c r="A443" s="14" t="n">
        <x:v>219</x:v>
      </x:c>
      <x:c r="B443" s="14" t="n">
        <x:v>6</x:v>
      </x:c>
      <x:c r="C443" s="14" t="n">
        <x:v>76009</x:v>
      </x:c>
      <x:c r="D443" s="2" t="str">
        <x:v>NAVY</x:v>
      </x:c>
      <x:c r="E443" s="2" t="str">
        <x:v>규칙형</x:v>
      </x:c>
      <x:c r="F443" s="2" t="str">
        <x:v>200만</x:v>
      </x:c>
      <x:c r="G443" s="2" t="str">
        <x:v>승</x:v>
      </x:c>
      <x:c r="H443" s="14" t="n">
        <x:v>4</x:v>
      </x:c>
      <x:c r="I443" s="14" t="n">
        <x:v>2</x:v>
      </x:c>
      <x:c r="J443" s="14" t="n">
        <x:v>16</x:v>
      </x:c>
      <x:c r="K443" s="14" t="n">
        <x:v>4</x:v>
      </x:c>
      <x:c r="L443" s="15" t="n">
        <x:f>IF(J443=0,"해당 없음",K443/J443)</x:f>
        <x:v>0.25</x:v>
      </x:c>
      <x:c r="M443" s="14" t="n">
        <x:v>14</x:v>
      </x:c>
      <x:c r="N443" s="14" t="n">
        <x:v>13</x:v>
      </x:c>
      <x:c r="O443" s="15" t="n">
        <x:f>IF(M443=0,"해당 없음",N443/M443)</x:f>
        <x:v>0.9285714285714286</x:v>
      </x:c>
      <x:c r="P443" s="14" t="n">
        <x:v>105</x:v>
      </x:c>
    </x:row>
    <x:row r="444" ht="22" customHeight="1">
      <x:c r="A444" s="14" t="n">
        <x:v>220</x:v>
      </x:c>
      <x:c r="B444" s="14" t="n">
        <x:v>6</x:v>
      </x:c>
      <x:c r="C444" s="14" t="n">
        <x:v>76009</x:v>
      </x:c>
      <x:c r="D444" s="2" t="str">
        <x:v>RED</x:v>
      </x:c>
      <x:c r="E444" s="2" t="str">
        <x:v>규칙형</x:v>
      </x:c>
      <x:c r="F444" s="2" t="str">
        <x:v>200만</x:v>
      </x:c>
      <x:c r="G444" s="2" t="str">
        <x:v>승</x:v>
      </x:c>
      <x:c r="H444" s="14" t="n">
        <x:v>5</x:v>
      </x:c>
      <x:c r="I444" s="14" t="n">
        <x:v>2</x:v>
      </x:c>
      <x:c r="J444" s="14" t="n">
        <x:v>17</x:v>
      </x:c>
      <x:c r="K444" s="14" t="n">
        <x:v>5</x:v>
      </x:c>
      <x:c r="L444" s="15" t="n">
        <x:f>IF(J444=0,"해당 없음",K444/J444)</x:f>
        <x:v>0.29411764705882354</x:v>
      </x:c>
      <x:c r="M444" s="14" t="n">
        <x:v>10</x:v>
      </x:c>
      <x:c r="N444" s="14" t="n">
        <x:v>9</x:v>
      </x:c>
      <x:c r="O444" s="15" t="n">
        <x:f>IF(M444=0,"해당 없음",N444/M444)</x:f>
        <x:v>0.9</x:v>
      </x:c>
      <x:c r="P444" s="14" t="n">
        <x:v>105</x:v>
      </x:c>
    </x:row>
    <x:row r="445" ht="22" customHeight="1">
      <x:c r="A445" s="14" t="n">
        <x:v>220</x:v>
      </x:c>
      <x:c r="B445" s="14" t="n">
        <x:v>6</x:v>
      </x:c>
      <x:c r="C445" s="14" t="n">
        <x:v>76009</x:v>
      </x:c>
      <x:c r="D445" s="2" t="str">
        <x:v>NAVY</x:v>
      </x:c>
      <x:c r="E445" s="2" t="str">
        <x:v>200만</x:v>
      </x:c>
      <x:c r="F445" s="2" t="str">
        <x:v>규칙형</x:v>
      </x:c>
      <x:c r="G445" s="2" t="str">
        <x:v>패</x:v>
      </x:c>
      <x:c r="H445" s="14" t="n">
        <x:v>2</x:v>
      </x:c>
      <x:c r="I445" s="14" t="n">
        <x:v>5</x:v>
      </x:c>
      <x:c r="J445" s="14" t="n">
        <x:v>5</x:v>
      </x:c>
      <x:c r="K445" s="14" t="n">
        <x:v>2</x:v>
      </x:c>
      <x:c r="L445" s="15" t="n">
        <x:f>IF(J445=0,"해당 없음",K445/J445)</x:f>
        <x:v>0.4</x:v>
      </x:c>
      <x:c r="M445" s="14" t="n">
        <x:v>6</x:v>
      </x:c>
      <x:c r="N445" s="14" t="n">
        <x:v>5</x:v>
      </x:c>
      <x:c r="O445" s="15" t="n">
        <x:f>IF(M445=0,"해당 없음",N445/M445)</x:f>
        <x:v>0.8333333333333334</x:v>
      </x:c>
      <x:c r="P445" s="14" t="n">
        <x:v>105</x:v>
      </x:c>
    </x:row>
    <x:row r="446" ht="22" customHeight="1">
      <x:c r="A446" s="14" t="n">
        <x:v>221</x:v>
      </x:c>
      <x:c r="B446" s="14" t="n">
        <x:v>6</x:v>
      </x:c>
      <x:c r="C446" s="14" t="n">
        <x:v>76010</x:v>
      </x:c>
      <x:c r="D446" s="2" t="str">
        <x:v>RED</x:v>
      </x:c>
      <x:c r="E446" s="2" t="str">
        <x:v>200만</x:v>
      </x:c>
      <x:c r="F446" s="2" t="str">
        <x:v>규칙형</x:v>
      </x:c>
      <x:c r="G446" s="2" t="str">
        <x:v>패</x:v>
      </x:c>
      <x:c r="H446" s="14" t="n">
        <x:v>3</x:v>
      </x:c>
      <x:c r="I446" s="14" t="n">
        <x:v>5</x:v>
      </x:c>
      <x:c r="J446" s="14" t="n">
        <x:v>8</x:v>
      </x:c>
      <x:c r="K446" s="14" t="n">
        <x:v>3</x:v>
      </x:c>
      <x:c r="L446" s="15" t="n">
        <x:f>IF(J446=0,"해당 없음",K446/J446)</x:f>
        <x:v>0.375</x:v>
      </x:c>
      <x:c r="M446" s="14" t="n">
        <x:v>6</x:v>
      </x:c>
      <x:c r="N446" s="14" t="n">
        <x:v>5</x:v>
      </x:c>
      <x:c r="O446" s="15" t="n">
        <x:f>IF(M446=0,"해당 없음",N446/M446)</x:f>
        <x:v>0.8333333333333334</x:v>
      </x:c>
      <x:c r="P446" s="14" t="n">
        <x:v>103</x:v>
      </x:c>
    </x:row>
    <x:row r="447" ht="22" customHeight="1">
      <x:c r="A447" s="14" t="n">
        <x:v>221</x:v>
      </x:c>
      <x:c r="B447" s="14" t="n">
        <x:v>6</x:v>
      </x:c>
      <x:c r="C447" s="14" t="n">
        <x:v>76010</x:v>
      </x:c>
      <x:c r="D447" s="2" t="str">
        <x:v>NAVY</x:v>
      </x:c>
      <x:c r="E447" s="2" t="str">
        <x:v>규칙형</x:v>
      </x:c>
      <x:c r="F447" s="2" t="str">
        <x:v>200만</x:v>
      </x:c>
      <x:c r="G447" s="2" t="str">
        <x:v>승</x:v>
      </x:c>
      <x:c r="H447" s="14" t="n">
        <x:v>5</x:v>
      </x:c>
      <x:c r="I447" s="14" t="n">
        <x:v>3</x:v>
      </x:c>
      <x:c r="J447" s="14" t="n">
        <x:v>10</x:v>
      </x:c>
      <x:c r="K447" s="14" t="n">
        <x:v>5</x:v>
      </x:c>
      <x:c r="L447" s="15" t="n">
        <x:f>IF(J447=0,"해당 없음",K447/J447)</x:f>
        <x:v>0.5</x:v>
      </x:c>
      <x:c r="M447" s="14" t="n">
        <x:v>19</x:v>
      </x:c>
      <x:c r="N447" s="14" t="n">
        <x:v>16</x:v>
      </x:c>
      <x:c r="O447" s="15" t="n">
        <x:f>IF(M447=0,"해당 없음",N447/M447)</x:f>
        <x:v>0.8421052631578947</x:v>
      </x:c>
      <x:c r="P447" s="14" t="n">
        <x:v>103</x:v>
      </x:c>
    </x:row>
    <x:row r="448" ht="22" customHeight="1">
      <x:c r="A448" s="14" t="n">
        <x:v>222</x:v>
      </x:c>
      <x:c r="B448" s="14" t="n">
        <x:v>6</x:v>
      </x:c>
      <x:c r="C448" s="14" t="n">
        <x:v>76010</x:v>
      </x:c>
      <x:c r="D448" s="2" t="str">
        <x:v>RED</x:v>
      </x:c>
      <x:c r="E448" s="2" t="str">
        <x:v>규칙형</x:v>
      </x:c>
      <x:c r="F448" s="2" t="str">
        <x:v>200만</x:v>
      </x:c>
      <x:c r="G448" s="2" t="str">
        <x:v>무</x:v>
      </x:c>
      <x:c r="H448" s="14" t="n">
        <x:v>3</x:v>
      </x:c>
      <x:c r="I448" s="14" t="n">
        <x:v>3</x:v>
      </x:c>
      <x:c r="J448" s="14" t="n">
        <x:v>14</x:v>
      </x:c>
      <x:c r="K448" s="14" t="n">
        <x:v>3</x:v>
      </x:c>
      <x:c r="L448" s="15" t="n">
        <x:f>IF(J448=0,"해당 없음",K448/J448)</x:f>
        <x:v>0.21428571428571427</x:v>
      </x:c>
      <x:c r="M448" s="14" t="n">
        <x:v>10</x:v>
      </x:c>
      <x:c r="N448" s="14" t="n">
        <x:v>8</x:v>
      </x:c>
      <x:c r="O448" s="15" t="n">
        <x:f>IF(M448=0,"해당 없음",N448/M448)</x:f>
        <x:v>0.8</x:v>
      </x:c>
      <x:c r="P448" s="14" t="n">
        <x:v>104</x:v>
      </x:c>
    </x:row>
    <x:row r="449" ht="22" customHeight="1">
      <x:c r="A449" s="14" t="n">
        <x:v>222</x:v>
      </x:c>
      <x:c r="B449" s="14" t="n">
        <x:v>6</x:v>
      </x:c>
      <x:c r="C449" s="14" t="n">
        <x:v>76010</x:v>
      </x:c>
      <x:c r="D449" s="2" t="str">
        <x:v>NAVY</x:v>
      </x:c>
      <x:c r="E449" s="2" t="str">
        <x:v>200만</x:v>
      </x:c>
      <x:c r="F449" s="2" t="str">
        <x:v>규칙형</x:v>
      </x:c>
      <x:c r="G449" s="2" t="str">
        <x:v>무</x:v>
      </x:c>
      <x:c r="H449" s="14" t="n">
        <x:v>3</x:v>
      </x:c>
      <x:c r="I449" s="14" t="n">
        <x:v>3</x:v>
      </x:c>
      <x:c r="J449" s="14" t="n">
        <x:v>7</x:v>
      </x:c>
      <x:c r="K449" s="14" t="n">
        <x:v>3</x:v>
      </x:c>
      <x:c r="L449" s="15" t="n">
        <x:f>IF(J449=0,"해당 없음",K449/J449)</x:f>
        <x:v>0.42857142857142855</x:v>
      </x:c>
      <x:c r="M449" s="14" t="n">
        <x:v>4</x:v>
      </x:c>
      <x:c r="N449" s="14" t="n">
        <x:v>3</x:v>
      </x:c>
      <x:c r="O449" s="15" t="n">
        <x:f>IF(M449=0,"해당 없음",N449/M449)</x:f>
        <x:v>0.75</x:v>
      </x:c>
      <x:c r="P449" s="14" t="n">
        <x:v>104</x:v>
      </x:c>
    </x:row>
    <x:row r="450" ht="22" customHeight="1">
      <x:c r="A450" s="14" t="n">
        <x:v>223</x:v>
      </x:c>
      <x:c r="B450" s="14" t="n">
        <x:v>6</x:v>
      </x:c>
      <x:c r="C450" s="14" t="n">
        <x:v>76011</x:v>
      </x:c>
      <x:c r="D450" s="2" t="str">
        <x:v>RED</x:v>
      </x:c>
      <x:c r="E450" s="2" t="str">
        <x:v>200만</x:v>
      </x:c>
      <x:c r="F450" s="2" t="str">
        <x:v>규칙형</x:v>
      </x:c>
      <x:c r="G450" s="2" t="str">
        <x:v>승</x:v>
      </x:c>
      <x:c r="H450" s="14" t="n">
        <x:v>4</x:v>
      </x:c>
      <x:c r="I450" s="14" t="n">
        <x:v>3</x:v>
      </x:c>
      <x:c r="J450" s="14" t="n">
        <x:v>7</x:v>
      </x:c>
      <x:c r="K450" s="14" t="n">
        <x:v>4</x:v>
      </x:c>
      <x:c r="L450" s="15" t="n">
        <x:f>IF(J450=0,"해당 없음",K450/J450)</x:f>
        <x:v>0.5714285714285714</x:v>
      </x:c>
      <x:c r="M450" s="14" t="n">
        <x:v>10</x:v>
      </x:c>
      <x:c r="N450" s="14" t="n">
        <x:v>7</x:v>
      </x:c>
      <x:c r="O450" s="15" t="n">
        <x:f>IF(M450=0,"해당 없음",N450/M450)</x:f>
        <x:v>0.7</x:v>
      </x:c>
      <x:c r="P450" s="14" t="n">
        <x:v>103</x:v>
      </x:c>
    </x:row>
    <x:row r="451" ht="22" customHeight="1">
      <x:c r="A451" s="14" t="n">
        <x:v>223</x:v>
      </x:c>
      <x:c r="B451" s="14" t="n">
        <x:v>6</x:v>
      </x:c>
      <x:c r="C451" s="14" t="n">
        <x:v>76011</x:v>
      </x:c>
      <x:c r="D451" s="2" t="str">
        <x:v>NAVY</x:v>
      </x:c>
      <x:c r="E451" s="2" t="str">
        <x:v>규칙형</x:v>
      </x:c>
      <x:c r="F451" s="2" t="str">
        <x:v>200만</x:v>
      </x:c>
      <x:c r="G451" s="2" t="str">
        <x:v>패</x:v>
      </x:c>
      <x:c r="H451" s="14" t="n">
        <x:v>3</x:v>
      </x:c>
      <x:c r="I451" s="14" t="n">
        <x:v>4</x:v>
      </x:c>
      <x:c r="J451" s="14" t="n">
        <x:v>12</x:v>
      </x:c>
      <x:c r="K451" s="14" t="n">
        <x:v>3</x:v>
      </x:c>
      <x:c r="L451" s="15" t="n">
        <x:f>IF(J451=0,"해당 없음",K451/J451)</x:f>
        <x:v>0.25</x:v>
      </x:c>
      <x:c r="M451" s="14" t="n">
        <x:v>15</x:v>
      </x:c>
      <x:c r="N451" s="14" t="n">
        <x:v>14</x:v>
      </x:c>
      <x:c r="O451" s="15" t="n">
        <x:f>IF(M451=0,"해당 없음",N451/M451)</x:f>
        <x:v>0.9333333333333333</x:v>
      </x:c>
      <x:c r="P451" s="14" t="n">
        <x:v>104</x:v>
      </x:c>
    </x:row>
    <x:row r="452" ht="22" customHeight="1">
      <x:c r="A452" s="14" t="n">
        <x:v>224</x:v>
      </x:c>
      <x:c r="B452" s="14" t="n">
        <x:v>6</x:v>
      </x:c>
      <x:c r="C452" s="14" t="n">
        <x:v>76011</x:v>
      </x:c>
      <x:c r="D452" s="2" t="str">
        <x:v>RED</x:v>
      </x:c>
      <x:c r="E452" s="2" t="str">
        <x:v>규칙형</x:v>
      </x:c>
      <x:c r="F452" s="2" t="str">
        <x:v>200만</x:v>
      </x:c>
      <x:c r="G452" s="2" t="str">
        <x:v>패</x:v>
      </x:c>
      <x:c r="H452" s="14" t="n">
        <x:v>2</x:v>
      </x:c>
      <x:c r="I452" s="14" t="n">
        <x:v>3</x:v>
      </x:c>
      <x:c r="J452" s="14" t="n">
        <x:v>14</x:v>
      </x:c>
      <x:c r="K452" s="14" t="n">
        <x:v>2</x:v>
      </x:c>
      <x:c r="L452" s="15" t="n">
        <x:f>IF(J452=0,"해당 없음",K452/J452)</x:f>
        <x:v>0.14285714285714285</x:v>
      </x:c>
      <x:c r="M452" s="14" t="n">
        <x:v>8</x:v>
      </x:c>
      <x:c r="N452" s="14" t="n">
        <x:v>7</x:v>
      </x:c>
      <x:c r="O452" s="15" t="n">
        <x:f>IF(M452=0,"해당 없음",N452/M452)</x:f>
        <x:v>0.875</x:v>
      </x:c>
      <x:c r="P452" s="14" t="n">
        <x:v>103</x:v>
      </x:c>
    </x:row>
    <x:row r="453" ht="22" customHeight="1">
      <x:c r="A453" s="14" t="n">
        <x:v>224</x:v>
      </x:c>
      <x:c r="B453" s="14" t="n">
        <x:v>6</x:v>
      </x:c>
      <x:c r="C453" s="14" t="n">
        <x:v>76011</x:v>
      </x:c>
      <x:c r="D453" s="2" t="str">
        <x:v>NAVY</x:v>
      </x:c>
      <x:c r="E453" s="2" t="str">
        <x:v>200만</x:v>
      </x:c>
      <x:c r="F453" s="2" t="str">
        <x:v>규칙형</x:v>
      </x:c>
      <x:c r="G453" s="2" t="str">
        <x:v>승</x:v>
      </x:c>
      <x:c r="H453" s="14" t="n">
        <x:v>3</x:v>
      </x:c>
      <x:c r="I453" s="14" t="n">
        <x:v>2</x:v>
      </x:c>
      <x:c r="J453" s="14" t="n">
        <x:v>4</x:v>
      </x:c>
      <x:c r="K453" s="14" t="n">
        <x:v>3</x:v>
      </x:c>
      <x:c r="L453" s="15" t="n">
        <x:f>IF(J453=0,"해당 없음",K453/J453)</x:f>
        <x:v>0.75</x:v>
      </x:c>
      <x:c r="M453" s="14" t="n">
        <x:v>5</x:v>
      </x:c>
      <x:c r="N453" s="14" t="n">
        <x:v>4</x:v>
      </x:c>
      <x:c r="O453" s="15" t="n">
        <x:f>IF(M453=0,"해당 없음",N453/M453)</x:f>
        <x:v>0.8</x:v>
      </x:c>
      <x:c r="P453" s="14" t="n">
        <x:v>102</x:v>
      </x:c>
    </x:row>
    <x:row r="454" ht="22" customHeight="1">
      <x:c r="A454" s="14" t="n">
        <x:v>225</x:v>
      </x:c>
      <x:c r="B454" s="14" t="n">
        <x:v>6</x:v>
      </x:c>
      <x:c r="C454" s="14" t="n">
        <x:v>76012</x:v>
      </x:c>
      <x:c r="D454" s="2" t="str">
        <x:v>RED</x:v>
      </x:c>
      <x:c r="E454" s="2" t="str">
        <x:v>200만</x:v>
      </x:c>
      <x:c r="F454" s="2" t="str">
        <x:v>규칙형</x:v>
      </x:c>
      <x:c r="G454" s="2" t="str">
        <x:v>승</x:v>
      </x:c>
      <x:c r="H454" s="14" t="n">
        <x:v>3</x:v>
      </x:c>
      <x:c r="I454" s="14" t="n">
        <x:v>1</x:v>
      </x:c>
      <x:c r="J454" s="14" t="n">
        <x:v>8</x:v>
      </x:c>
      <x:c r="K454" s="14" t="n">
        <x:v>3</x:v>
      </x:c>
      <x:c r="L454" s="15" t="n">
        <x:f>IF(J454=0,"해당 없음",K454/J454)</x:f>
        <x:v>0.375</x:v>
      </x:c>
      <x:c r="M454" s="14" t="n">
        <x:v>8</x:v>
      </x:c>
      <x:c r="N454" s="14" t="n">
        <x:v>5</x:v>
      </x:c>
      <x:c r="O454" s="15" t="n">
        <x:f>IF(M454=0,"해당 없음",N454/M454)</x:f>
        <x:v>0.625</x:v>
      </x:c>
      <x:c r="P454" s="14" t="n">
        <x:v>103</x:v>
      </x:c>
    </x:row>
    <x:row r="455" ht="22" customHeight="1">
      <x:c r="A455" s="14" t="n">
        <x:v>225</x:v>
      </x:c>
      <x:c r="B455" s="14" t="n">
        <x:v>6</x:v>
      </x:c>
      <x:c r="C455" s="14" t="n">
        <x:v>76012</x:v>
      </x:c>
      <x:c r="D455" s="2" t="str">
        <x:v>NAVY</x:v>
      </x:c>
      <x:c r="E455" s="2" t="str">
        <x:v>규칙형</x:v>
      </x:c>
      <x:c r="F455" s="2" t="str">
        <x:v>200만</x:v>
      </x:c>
      <x:c r="G455" s="2" t="str">
        <x:v>패</x:v>
      </x:c>
      <x:c r="H455" s="14" t="n">
        <x:v>1</x:v>
      </x:c>
      <x:c r="I455" s="14" t="n">
        <x:v>3</x:v>
      </x:c>
      <x:c r="J455" s="14" t="n">
        <x:v>5</x:v>
      </x:c>
      <x:c r="K455" s="14" t="n">
        <x:v>1</x:v>
      </x:c>
      <x:c r="L455" s="15" t="n">
        <x:f>IF(J455=0,"해당 없음",K455/J455)</x:f>
        <x:v>0.2</x:v>
      </x:c>
      <x:c r="M455" s="14" t="n">
        <x:v>17</x:v>
      </x:c>
      <x:c r="N455" s="14" t="n">
        <x:v>15</x:v>
      </x:c>
      <x:c r="O455" s="15" t="n">
        <x:f>IF(M455=0,"해당 없음",N455/M455)</x:f>
        <x:v>0.8823529411764706</x:v>
      </x:c>
      <x:c r="P455" s="14" t="n">
        <x:v>102</x:v>
      </x:c>
    </x:row>
    <x:row r="456" ht="22" customHeight="1">
      <x:c r="A456" s="14" t="n">
        <x:v>226</x:v>
      </x:c>
      <x:c r="B456" s="14" t="n">
        <x:v>6</x:v>
      </x:c>
      <x:c r="C456" s="14" t="n">
        <x:v>76012</x:v>
      </x:c>
      <x:c r="D456" s="2" t="str">
        <x:v>RED</x:v>
      </x:c>
      <x:c r="E456" s="2" t="str">
        <x:v>규칙형</x:v>
      </x:c>
      <x:c r="F456" s="2" t="str">
        <x:v>200만</x:v>
      </x:c>
      <x:c r="G456" s="2" t="str">
        <x:v>패</x:v>
      </x:c>
      <x:c r="H456" s="14" t="n">
        <x:v>0</x:v>
      </x:c>
      <x:c r="I456" s="14" t="n">
        <x:v>4</x:v>
      </x:c>
      <x:c r="J456" s="14" t="n">
        <x:v>9</x:v>
      </x:c>
      <x:c r="K456" s="14" t="n">
        <x:v>0</x:v>
      </x:c>
      <x:c r="L456" s="15" t="n">
        <x:f>IF(J456=0,"해당 없음",K456/J456)</x:f>
        <x:v>0</x:v>
      </x:c>
      <x:c r="M456" s="14" t="n">
        <x:v>8</x:v>
      </x:c>
      <x:c r="N456" s="14" t="n">
        <x:v>5</x:v>
      </x:c>
      <x:c r="O456" s="15" t="n">
        <x:f>IF(M456=0,"해당 없음",N456/M456)</x:f>
        <x:v>0.625</x:v>
      </x:c>
      <x:c r="P456" s="14" t="n">
        <x:v>102</x:v>
      </x:c>
    </x:row>
    <x:row r="457" ht="22" customHeight="1">
      <x:c r="A457" s="14" t="n">
        <x:v>226</x:v>
      </x:c>
      <x:c r="B457" s="14" t="n">
        <x:v>6</x:v>
      </x:c>
      <x:c r="C457" s="14" t="n">
        <x:v>76012</x:v>
      </x:c>
      <x:c r="D457" s="2" t="str">
        <x:v>NAVY</x:v>
      </x:c>
      <x:c r="E457" s="2" t="str">
        <x:v>200만</x:v>
      </x:c>
      <x:c r="F457" s="2" t="str">
        <x:v>규칙형</x:v>
      </x:c>
      <x:c r="G457" s="2" t="str">
        <x:v>승</x:v>
      </x:c>
      <x:c r="H457" s="14" t="n">
        <x:v>4</x:v>
      </x:c>
      <x:c r="I457" s="14" t="n">
        <x:v>0</x:v>
      </x:c>
      <x:c r="J457" s="14" t="n">
        <x:v>8</x:v>
      </x:c>
      <x:c r="K457" s="14" t="n">
        <x:v>4</x:v>
      </x:c>
      <x:c r="L457" s="15" t="n">
        <x:f>IF(J457=0,"해당 없음",K457/J457)</x:f>
        <x:v>0.5</x:v>
      </x:c>
      <x:c r="M457" s="14" t="n">
        <x:v>10</x:v>
      </x:c>
      <x:c r="N457" s="14" t="n">
        <x:v>7</x:v>
      </x:c>
      <x:c r="O457" s="15" t="n">
        <x:f>IF(M457=0,"해당 없음",N457/M457)</x:f>
        <x:v>0.7</x:v>
      </x:c>
      <x:c r="P457" s="14" t="n">
        <x:v>102</x:v>
      </x:c>
    </x:row>
    <x:row r="458" ht="22" customHeight="1">
      <x:c r="A458" s="14" t="n">
        <x:v>227</x:v>
      </x:c>
      <x:c r="B458" s="14" t="n">
        <x:v>6</x:v>
      </x:c>
      <x:c r="C458" s="14" t="n">
        <x:v>76013</x:v>
      </x:c>
      <x:c r="D458" s="2" t="str">
        <x:v>RED</x:v>
      </x:c>
      <x:c r="E458" s="2" t="str">
        <x:v>200만</x:v>
      </x:c>
      <x:c r="F458" s="2" t="str">
        <x:v>규칙형</x:v>
      </x:c>
      <x:c r="G458" s="2" t="str">
        <x:v>승</x:v>
      </x:c>
      <x:c r="H458" s="14" t="n">
        <x:v>3</x:v>
      </x:c>
      <x:c r="I458" s="14" t="n">
        <x:v>1</x:v>
      </x:c>
      <x:c r="J458" s="14" t="n">
        <x:v>10</x:v>
      </x:c>
      <x:c r="K458" s="14" t="n">
        <x:v>3</x:v>
      </x:c>
      <x:c r="L458" s="15" t="n">
        <x:f>IF(J458=0,"해당 없음",K458/J458)</x:f>
        <x:v>0.3</x:v>
      </x:c>
      <x:c r="M458" s="14" t="n">
        <x:v>12</x:v>
      </x:c>
      <x:c r="N458" s="14" t="n">
        <x:v>9</x:v>
      </x:c>
      <x:c r="O458" s="15" t="n">
        <x:f>IF(M458=0,"해당 없음",N458/M458)</x:f>
        <x:v>0.75</x:v>
      </x:c>
      <x:c r="P458" s="14" t="n">
        <x:v>102</x:v>
      </x:c>
    </x:row>
    <x:row r="459" ht="22" customHeight="1">
      <x:c r="A459" s="14" t="n">
        <x:v>227</x:v>
      </x:c>
      <x:c r="B459" s="14" t="n">
        <x:v>6</x:v>
      </x:c>
      <x:c r="C459" s="14" t="n">
        <x:v>76013</x:v>
      </x:c>
      <x:c r="D459" s="2" t="str">
        <x:v>NAVY</x:v>
      </x:c>
      <x:c r="E459" s="2" t="str">
        <x:v>규칙형</x:v>
      </x:c>
      <x:c r="F459" s="2" t="str">
        <x:v>200만</x:v>
      </x:c>
      <x:c r="G459" s="2" t="str">
        <x:v>패</x:v>
      </x:c>
      <x:c r="H459" s="14" t="n">
        <x:v>1</x:v>
      </x:c>
      <x:c r="I459" s="14" t="n">
        <x:v>3</x:v>
      </x:c>
      <x:c r="J459" s="14" t="n">
        <x:v>7</x:v>
      </x:c>
      <x:c r="K459" s="14" t="n">
        <x:v>1</x:v>
      </x:c>
      <x:c r="L459" s="15" t="n">
        <x:f>IF(J459=0,"해당 없음",K459/J459)</x:f>
        <x:v>0.14285714285714285</x:v>
      </x:c>
      <x:c r="M459" s="14" t="n">
        <x:v>15</x:v>
      </x:c>
      <x:c r="N459" s="14" t="n">
        <x:v>12</x:v>
      </x:c>
      <x:c r="O459" s="15" t="n">
        <x:f>IF(M459=0,"해당 없음",N459/M459)</x:f>
        <x:v>0.8</x:v>
      </x:c>
      <x:c r="P459" s="14" t="n">
        <x:v>103</x:v>
      </x:c>
    </x:row>
    <x:row r="460" ht="22" customHeight="1">
      <x:c r="A460" s="14" t="n">
        <x:v>228</x:v>
      </x:c>
      <x:c r="B460" s="14" t="n">
        <x:v>6</x:v>
      </x:c>
      <x:c r="C460" s="14" t="n">
        <x:v>76013</x:v>
      </x:c>
      <x:c r="D460" s="2" t="str">
        <x:v>RED</x:v>
      </x:c>
      <x:c r="E460" s="2" t="str">
        <x:v>규칙형</x:v>
      </x:c>
      <x:c r="F460" s="2" t="str">
        <x:v>200만</x:v>
      </x:c>
      <x:c r="G460" s="2" t="str">
        <x:v>무</x:v>
      </x:c>
      <x:c r="H460" s="14" t="n">
        <x:v>3</x:v>
      </x:c>
      <x:c r="I460" s="14" t="n">
        <x:v>3</x:v>
      </x:c>
      <x:c r="J460" s="14" t="n">
        <x:v>14</x:v>
      </x:c>
      <x:c r="K460" s="14" t="n">
        <x:v>3</x:v>
      </x:c>
      <x:c r="L460" s="15" t="n">
        <x:f>IF(J460=0,"해당 없음",K460/J460)</x:f>
        <x:v>0.21428571428571427</x:v>
      </x:c>
      <x:c r="M460" s="14" t="n">
        <x:v>8</x:v>
      </x:c>
      <x:c r="N460" s="14" t="n">
        <x:v>6</x:v>
      </x:c>
      <x:c r="O460" s="15" t="n">
        <x:f>IF(M460=0,"해당 없음",N460/M460)</x:f>
        <x:v>0.75</x:v>
      </x:c>
      <x:c r="P460" s="14" t="n">
        <x:v>104</x:v>
      </x:c>
    </x:row>
    <x:row r="461" ht="22" customHeight="1">
      <x:c r="A461" s="14" t="n">
        <x:v>228</x:v>
      </x:c>
      <x:c r="B461" s="14" t="n">
        <x:v>6</x:v>
      </x:c>
      <x:c r="C461" s="14" t="n">
        <x:v>76013</x:v>
      </x:c>
      <x:c r="D461" s="2" t="str">
        <x:v>NAVY</x:v>
      </x:c>
      <x:c r="E461" s="2" t="str">
        <x:v>200만</x:v>
      </x:c>
      <x:c r="F461" s="2" t="str">
        <x:v>규칙형</x:v>
      </x:c>
      <x:c r="G461" s="2" t="str">
        <x:v>무</x:v>
      </x:c>
      <x:c r="H461" s="14" t="n">
        <x:v>3</x:v>
      </x:c>
      <x:c r="I461" s="14" t="n">
        <x:v>3</x:v>
      </x:c>
      <x:c r="J461" s="14" t="n">
        <x:v>11</x:v>
      </x:c>
      <x:c r="K461" s="14" t="n">
        <x:v>3</x:v>
      </x:c>
      <x:c r="L461" s="15" t="n">
        <x:f>IF(J461=0,"해당 없음",K461/J461)</x:f>
        <x:v>0.2727272727272727</x:v>
      </x:c>
      <x:c r="M461" s="14" t="n">
        <x:v>4</x:v>
      </x:c>
      <x:c r="N461" s="14" t="n">
        <x:v>4</x:v>
      </x:c>
      <x:c r="O461" s="15" t="n">
        <x:f>IF(M461=0,"해당 없음",N461/M461)</x:f>
        <x:v>1</x:v>
      </x:c>
      <x:c r="P461" s="14" t="n">
        <x:v>106</x:v>
      </x:c>
    </x:row>
    <x:row r="462" ht="22" customHeight="1">
      <x:c r="A462" s="14" t="n">
        <x:v>229</x:v>
      </x:c>
      <x:c r="B462" s="14" t="n">
        <x:v>6</x:v>
      </x:c>
      <x:c r="C462" s="14" t="n">
        <x:v>76014</x:v>
      </x:c>
      <x:c r="D462" s="2" t="str">
        <x:v>RED</x:v>
      </x:c>
      <x:c r="E462" s="2" t="str">
        <x:v>200만</x:v>
      </x:c>
      <x:c r="F462" s="2" t="str">
        <x:v>규칙형</x:v>
      </x:c>
      <x:c r="G462" s="2" t="str">
        <x:v>승</x:v>
      </x:c>
      <x:c r="H462" s="14" t="n">
        <x:v>7</x:v>
      </x:c>
      <x:c r="I462" s="14" t="n">
        <x:v>3</x:v>
      </x:c>
      <x:c r="J462" s="14" t="n">
        <x:v>10</x:v>
      </x:c>
      <x:c r="K462" s="14" t="n">
        <x:v>7</x:v>
      </x:c>
      <x:c r="L462" s="15" t="n">
        <x:f>IF(J462=0,"해당 없음",K462/J462)</x:f>
        <x:v>0.7</x:v>
      </x:c>
      <x:c r="M462" s="14" t="n">
        <x:v>9</x:v>
      </x:c>
      <x:c r="N462" s="14" t="n">
        <x:v>7</x:v>
      </x:c>
      <x:c r="O462" s="15" t="n">
        <x:f>IF(M462=0,"해당 없음",N462/M462)</x:f>
        <x:v>0.7777777777777778</x:v>
      </x:c>
      <x:c r="P462" s="14" t="n">
        <x:v>105</x:v>
      </x:c>
    </x:row>
    <x:row r="463" ht="22" customHeight="1">
      <x:c r="A463" s="14" t="n">
        <x:v>229</x:v>
      </x:c>
      <x:c r="B463" s="14" t="n">
        <x:v>6</x:v>
      </x:c>
      <x:c r="C463" s="14" t="n">
        <x:v>76014</x:v>
      </x:c>
      <x:c r="D463" s="2" t="str">
        <x:v>NAVY</x:v>
      </x:c>
      <x:c r="E463" s="2" t="str">
        <x:v>규칙형</x:v>
      </x:c>
      <x:c r="F463" s="2" t="str">
        <x:v>200만</x:v>
      </x:c>
      <x:c r="G463" s="2" t="str">
        <x:v>패</x:v>
      </x:c>
      <x:c r="H463" s="14" t="n">
        <x:v>3</x:v>
      </x:c>
      <x:c r="I463" s="14" t="n">
        <x:v>7</x:v>
      </x:c>
      <x:c r="J463" s="14" t="n">
        <x:v>8</x:v>
      </x:c>
      <x:c r="K463" s="14" t="n">
        <x:v>2</x:v>
      </x:c>
      <x:c r="L463" s="15" t="n">
        <x:f>IF(J463=0,"해당 없음",K463/J463)</x:f>
        <x:v>0.25</x:v>
      </x:c>
      <x:c r="M463" s="14" t="n">
        <x:v>13</x:v>
      </x:c>
      <x:c r="N463" s="14" t="n">
        <x:v>12</x:v>
      </x:c>
      <x:c r="O463" s="15" t="n">
        <x:f>IF(M463=0,"해당 없음",N463/M463)</x:f>
        <x:v>0.9230769230769231</x:v>
      </x:c>
      <x:c r="P463" s="14" t="n">
        <x:v>104</x:v>
      </x:c>
    </x:row>
    <x:row r="464" ht="22" customHeight="1">
      <x:c r="A464" s="14" t="n">
        <x:v>230</x:v>
      </x:c>
      <x:c r="B464" s="14" t="n">
        <x:v>6</x:v>
      </x:c>
      <x:c r="C464" s="14" t="n">
        <x:v>76014</x:v>
      </x:c>
      <x:c r="D464" s="2" t="str">
        <x:v>RED</x:v>
      </x:c>
      <x:c r="E464" s="2" t="str">
        <x:v>규칙형</x:v>
      </x:c>
      <x:c r="F464" s="2" t="str">
        <x:v>200만</x:v>
      </x:c>
      <x:c r="G464" s="2" t="str">
        <x:v>패</x:v>
      </x:c>
      <x:c r="H464" s="14" t="n">
        <x:v>2</x:v>
      </x:c>
      <x:c r="I464" s="14" t="n">
        <x:v>5</x:v>
      </x:c>
      <x:c r="J464" s="14" t="n">
        <x:v>7</x:v>
      </x:c>
      <x:c r="K464" s="14" t="n">
        <x:v>2</x:v>
      </x:c>
      <x:c r="L464" s="15" t="n">
        <x:f>IF(J464=0,"해당 없음",K464/J464)</x:f>
        <x:v>0.2857142857142857</x:v>
      </x:c>
      <x:c r="M464" s="14" t="n">
        <x:v>10</x:v>
      </x:c>
      <x:c r="N464" s="14" t="n">
        <x:v>6</x:v>
      </x:c>
      <x:c r="O464" s="15" t="n">
        <x:f>IF(M464=0,"해당 없음",N464/M464)</x:f>
        <x:v>0.6</x:v>
      </x:c>
      <x:c r="P464" s="14" t="n">
        <x:v>104</x:v>
      </x:c>
    </x:row>
    <x:row r="465" ht="22" customHeight="1">
      <x:c r="A465" s="14" t="n">
        <x:v>230</x:v>
      </x:c>
      <x:c r="B465" s="14" t="n">
        <x:v>6</x:v>
      </x:c>
      <x:c r="C465" s="14" t="n">
        <x:v>76014</x:v>
      </x:c>
      <x:c r="D465" s="2" t="str">
        <x:v>NAVY</x:v>
      </x:c>
      <x:c r="E465" s="2" t="str">
        <x:v>200만</x:v>
      </x:c>
      <x:c r="F465" s="2" t="str">
        <x:v>규칙형</x:v>
      </x:c>
      <x:c r="G465" s="2" t="str">
        <x:v>승</x:v>
      </x:c>
      <x:c r="H465" s="14" t="n">
        <x:v>5</x:v>
      </x:c>
      <x:c r="I465" s="14" t="n">
        <x:v>2</x:v>
      </x:c>
      <x:c r="J465" s="14" t="n">
        <x:v>9</x:v>
      </x:c>
      <x:c r="K465" s="14" t="n">
        <x:v>5</x:v>
      </x:c>
      <x:c r="L465" s="15" t="n">
        <x:f>IF(J465=0,"해당 없음",K465/J465)</x:f>
        <x:v>0.5555555555555556</x:v>
      </x:c>
      <x:c r="M465" s="14" t="n">
        <x:v>7</x:v>
      </x:c>
      <x:c r="N465" s="14" t="n">
        <x:v>6</x:v>
      </x:c>
      <x:c r="O465" s="15" t="n">
        <x:f>IF(M465=0,"해당 없음",N465/M465)</x:f>
        <x:v>0.8571428571428571</x:v>
      </x:c>
      <x:c r="P465" s="14" t="n">
        <x:v>105</x:v>
      </x:c>
    </x:row>
    <x:row r="466" ht="22" customHeight="1">
      <x:c r="A466" s="14" t="n">
        <x:v>231</x:v>
      </x:c>
      <x:c r="B466" s="14" t="n">
        <x:v>6</x:v>
      </x:c>
      <x:c r="C466" s="14" t="n">
        <x:v>76015</x:v>
      </x:c>
      <x:c r="D466" s="2" t="str">
        <x:v>RED</x:v>
      </x:c>
      <x:c r="E466" s="2" t="str">
        <x:v>200만</x:v>
      </x:c>
      <x:c r="F466" s="2" t="str">
        <x:v>규칙형</x:v>
      </x:c>
      <x:c r="G466" s="2" t="str">
        <x:v>승</x:v>
      </x:c>
      <x:c r="H466" s="14" t="n">
        <x:v>3</x:v>
      </x:c>
      <x:c r="I466" s="14" t="n">
        <x:v>1</x:v>
      </x:c>
      <x:c r="J466" s="14" t="n">
        <x:v>6</x:v>
      </x:c>
      <x:c r="K466" s="14" t="n">
        <x:v>3</x:v>
      </x:c>
      <x:c r="L466" s="15" t="n">
        <x:f>IF(J466=0,"해당 없음",K466/J466)</x:f>
        <x:v>0.5</x:v>
      </x:c>
      <x:c r="M466" s="14" t="n">
        <x:v>11</x:v>
      </x:c>
      <x:c r="N466" s="14" t="n">
        <x:v>7</x:v>
      </x:c>
      <x:c r="O466" s="15" t="n">
        <x:f>IF(M466=0,"해당 없음",N466/M466)</x:f>
        <x:v>0.6363636363636364</x:v>
      </x:c>
      <x:c r="P466" s="14" t="n">
        <x:v>102</x:v>
      </x:c>
    </x:row>
    <x:row r="467" ht="22" customHeight="1">
      <x:c r="A467" s="14" t="n">
        <x:v>231</x:v>
      </x:c>
      <x:c r="B467" s="14" t="n">
        <x:v>6</x:v>
      </x:c>
      <x:c r="C467" s="14" t="n">
        <x:v>76015</x:v>
      </x:c>
      <x:c r="D467" s="2" t="str">
        <x:v>NAVY</x:v>
      </x:c>
      <x:c r="E467" s="2" t="str">
        <x:v>규칙형</x:v>
      </x:c>
      <x:c r="F467" s="2" t="str">
        <x:v>200만</x:v>
      </x:c>
      <x:c r="G467" s="2" t="str">
        <x:v>패</x:v>
      </x:c>
      <x:c r="H467" s="14" t="n">
        <x:v>1</x:v>
      </x:c>
      <x:c r="I467" s="14" t="n">
        <x:v>3</x:v>
      </x:c>
      <x:c r="J467" s="14" t="n">
        <x:v>11</x:v>
      </x:c>
      <x:c r="K467" s="14" t="n">
        <x:v>1</x:v>
      </x:c>
      <x:c r="L467" s="15" t="n">
        <x:f>IF(J467=0,"해당 없음",K467/J467)</x:f>
        <x:v>0.09090909090909091</x:v>
      </x:c>
      <x:c r="M467" s="14" t="n">
        <x:v>17</x:v>
      </x:c>
      <x:c r="N467" s="14" t="n">
        <x:v>13</x:v>
      </x:c>
      <x:c r="O467" s="15" t="n">
        <x:f>IF(M467=0,"해당 없음",N467/M467)</x:f>
        <x:v>0.7647058823529411</x:v>
      </x:c>
      <x:c r="P467" s="14" t="n">
        <x:v>103</x:v>
      </x:c>
    </x:row>
    <x:row r="468" ht="22" customHeight="1">
      <x:c r="A468" s="14" t="n">
        <x:v>232</x:v>
      </x:c>
      <x:c r="B468" s="14" t="n">
        <x:v>6</x:v>
      </x:c>
      <x:c r="C468" s="14" t="n">
        <x:v>76015</x:v>
      </x:c>
      <x:c r="D468" s="2" t="str">
        <x:v>RED</x:v>
      </x:c>
      <x:c r="E468" s="2" t="str">
        <x:v>규칙형</x:v>
      </x:c>
      <x:c r="F468" s="2" t="str">
        <x:v>200만</x:v>
      </x:c>
      <x:c r="G468" s="2" t="str">
        <x:v>무</x:v>
      </x:c>
      <x:c r="H468" s="14" t="n">
        <x:v>4</x:v>
      </x:c>
      <x:c r="I468" s="14" t="n">
        <x:v>4</x:v>
      </x:c>
      <x:c r="J468" s="14" t="n">
        <x:v>12</x:v>
      </x:c>
      <x:c r="K468" s="14" t="n">
        <x:v>4</x:v>
      </x:c>
      <x:c r="L468" s="15" t="n">
        <x:f>IF(J468=0,"해당 없음",K468/J468)</x:f>
        <x:v>0.3333333333333333</x:v>
      </x:c>
      <x:c r="M468" s="14" t="n">
        <x:v>8</x:v>
      </x:c>
      <x:c r="N468" s="14" t="n">
        <x:v>7</x:v>
      </x:c>
      <x:c r="O468" s="15" t="n">
        <x:f>IF(M468=0,"해당 없음",N468/M468)</x:f>
        <x:v>0.875</x:v>
      </x:c>
      <x:c r="P468" s="14" t="n">
        <x:v>105</x:v>
      </x:c>
    </x:row>
    <x:row r="469" ht="22" customHeight="1">
      <x:c r="A469" s="14" t="n">
        <x:v>232</x:v>
      </x:c>
      <x:c r="B469" s="14" t="n">
        <x:v>6</x:v>
      </x:c>
      <x:c r="C469" s="14" t="n">
        <x:v>76015</x:v>
      </x:c>
      <x:c r="D469" s="2" t="str">
        <x:v>NAVY</x:v>
      </x:c>
      <x:c r="E469" s="2" t="str">
        <x:v>200만</x:v>
      </x:c>
      <x:c r="F469" s="2" t="str">
        <x:v>규칙형</x:v>
      </x:c>
      <x:c r="G469" s="2" t="str">
        <x:v>무</x:v>
      </x:c>
      <x:c r="H469" s="14" t="n">
        <x:v>4</x:v>
      </x:c>
      <x:c r="I469" s="14" t="n">
        <x:v>4</x:v>
      </x:c>
      <x:c r="J469" s="14" t="n">
        <x:v>7</x:v>
      </x:c>
      <x:c r="K469" s="14" t="n">
        <x:v>3</x:v>
      </x:c>
      <x:c r="L469" s="15" t="n">
        <x:f>IF(J469=0,"해당 없음",K469/J469)</x:f>
        <x:v>0.42857142857142855</x:v>
      </x:c>
      <x:c r="M469" s="14" t="n">
        <x:v>6</x:v>
      </x:c>
      <x:c r="N469" s="14" t="n">
        <x:v>3</x:v>
      </x:c>
      <x:c r="O469" s="15" t="n">
        <x:f>IF(M469=0,"해당 없음",N469/M469)</x:f>
        <x:v>0.5</x:v>
      </x:c>
      <x:c r="P469" s="14" t="n">
        <x:v>105</x:v>
      </x:c>
    </x:row>
    <x:row r="470" ht="22" customHeight="1">
      <x:c r="A470" s="14" t="n">
        <x:v>233</x:v>
      </x:c>
      <x:c r="B470" s="14" t="n">
        <x:v>6</x:v>
      </x:c>
      <x:c r="C470" s="14" t="n">
        <x:v>76016</x:v>
      </x:c>
      <x:c r="D470" s="2" t="str">
        <x:v>RED</x:v>
      </x:c>
      <x:c r="E470" s="2" t="str">
        <x:v>200만</x:v>
      </x:c>
      <x:c r="F470" s="2" t="str">
        <x:v>규칙형</x:v>
      </x:c>
      <x:c r="G470" s="2" t="str">
        <x:v>승</x:v>
      </x:c>
      <x:c r="H470" s="14" t="n">
        <x:v>4</x:v>
      </x:c>
      <x:c r="I470" s="14" t="n">
        <x:v>3</x:v>
      </x:c>
      <x:c r="J470" s="14" t="n">
        <x:v>7</x:v>
      </x:c>
      <x:c r="K470" s="14" t="n">
        <x:v>4</x:v>
      </x:c>
      <x:c r="L470" s="15" t="n">
        <x:f>IF(J470=0,"해당 없음",K470/J470)</x:f>
        <x:v>0.5714285714285714</x:v>
      </x:c>
      <x:c r="M470" s="14" t="n">
        <x:v>5</x:v>
      </x:c>
      <x:c r="N470" s="14" t="n">
        <x:v>4</x:v>
      </x:c>
      <x:c r="O470" s="15" t="n">
        <x:f>IF(M470=0,"해당 없음",N470/M470)</x:f>
        <x:v>0.8</x:v>
      </x:c>
      <x:c r="P470" s="14" t="n">
        <x:v>102</x:v>
      </x:c>
    </x:row>
    <x:row r="471" ht="22" customHeight="1">
      <x:c r="A471" s="14" t="n">
        <x:v>233</x:v>
      </x:c>
      <x:c r="B471" s="14" t="n">
        <x:v>6</x:v>
      </x:c>
      <x:c r="C471" s="14" t="n">
        <x:v>76016</x:v>
      </x:c>
      <x:c r="D471" s="2" t="str">
        <x:v>NAVY</x:v>
      </x:c>
      <x:c r="E471" s="2" t="str">
        <x:v>규칙형</x:v>
      </x:c>
      <x:c r="F471" s="2" t="str">
        <x:v>200만</x:v>
      </x:c>
      <x:c r="G471" s="2" t="str">
        <x:v>패</x:v>
      </x:c>
      <x:c r="H471" s="14" t="n">
        <x:v>3</x:v>
      </x:c>
      <x:c r="I471" s="14" t="n">
        <x:v>4</x:v>
      </x:c>
      <x:c r="J471" s="14" t="n">
        <x:v>9</x:v>
      </x:c>
      <x:c r="K471" s="14" t="n">
        <x:v>3</x:v>
      </x:c>
      <x:c r="L471" s="15" t="n">
        <x:f>IF(J471=0,"해당 없음",K471/J471)</x:f>
        <x:v>0.3333333333333333</x:v>
      </x:c>
      <x:c r="M471" s="14" t="n">
        <x:v>12</x:v>
      </x:c>
      <x:c r="N471" s="14" t="n">
        <x:v>10</x:v>
      </x:c>
      <x:c r="O471" s="15" t="n">
        <x:f>IF(M471=0,"해당 없음",N471/M471)</x:f>
        <x:v>0.8333333333333334</x:v>
      </x:c>
      <x:c r="P471" s="14" t="n">
        <x:v>104</x:v>
      </x:c>
    </x:row>
    <x:row r="472" ht="22" customHeight="1">
      <x:c r="A472" s="14" t="n">
        <x:v>234</x:v>
      </x:c>
      <x:c r="B472" s="14" t="n">
        <x:v>6</x:v>
      </x:c>
      <x:c r="C472" s="14" t="n">
        <x:v>76016</x:v>
      </x:c>
      <x:c r="D472" s="2" t="str">
        <x:v>RED</x:v>
      </x:c>
      <x:c r="E472" s="2" t="str">
        <x:v>규칙형</x:v>
      </x:c>
      <x:c r="F472" s="2" t="str">
        <x:v>200만</x:v>
      </x:c>
      <x:c r="G472" s="2" t="str">
        <x:v>패</x:v>
      </x:c>
      <x:c r="H472" s="14" t="n">
        <x:v>2</x:v>
      </x:c>
      <x:c r="I472" s="14" t="n">
        <x:v>4</x:v>
      </x:c>
      <x:c r="J472" s="14" t="n">
        <x:v>8</x:v>
      </x:c>
      <x:c r="K472" s="14" t="n">
        <x:v>2</x:v>
      </x:c>
      <x:c r="L472" s="15" t="n">
        <x:f>IF(J472=0,"해당 없음",K472/J472)</x:f>
        <x:v>0.25</x:v>
      </x:c>
      <x:c r="M472" s="14" t="n">
        <x:v>15</x:v>
      </x:c>
      <x:c r="N472" s="14" t="n">
        <x:v>12</x:v>
      </x:c>
      <x:c r="O472" s="15" t="n">
        <x:f>IF(M472=0,"해당 없음",N472/M472)</x:f>
        <x:v>0.8</x:v>
      </x:c>
      <x:c r="P472" s="14" t="n">
        <x:v>105</x:v>
      </x:c>
    </x:row>
    <x:row r="473" ht="22" customHeight="1">
      <x:c r="A473" s="14" t="n">
        <x:v>234</x:v>
      </x:c>
      <x:c r="B473" s="14" t="n">
        <x:v>6</x:v>
      </x:c>
      <x:c r="C473" s="14" t="n">
        <x:v>76016</x:v>
      </x:c>
      <x:c r="D473" s="2" t="str">
        <x:v>NAVY</x:v>
      </x:c>
      <x:c r="E473" s="2" t="str">
        <x:v>200만</x:v>
      </x:c>
      <x:c r="F473" s="2" t="str">
        <x:v>규칙형</x:v>
      </x:c>
      <x:c r="G473" s="2" t="str">
        <x:v>승</x:v>
      </x:c>
      <x:c r="H473" s="14" t="n">
        <x:v>4</x:v>
      </x:c>
      <x:c r="I473" s="14" t="n">
        <x:v>2</x:v>
      </x:c>
      <x:c r="J473" s="14" t="n">
        <x:v>9</x:v>
      </x:c>
      <x:c r="K473" s="14" t="n">
        <x:v>4</x:v>
      </x:c>
      <x:c r="L473" s="15" t="n">
        <x:f>IF(J473=0,"해당 없음",K473/J473)</x:f>
        <x:v>0.4444444444444444</x:v>
      </x:c>
      <x:c r="M473" s="14" t="n">
        <x:v>6</x:v>
      </x:c>
      <x:c r="N473" s="14" t="n">
        <x:v>3</x:v>
      </x:c>
      <x:c r="O473" s="15" t="n">
        <x:f>IF(M473=0,"해당 없음",N473/M473)</x:f>
        <x:v>0.5</x:v>
      </x:c>
      <x:c r="P473" s="14" t="n">
        <x:v>104</x:v>
      </x:c>
    </x:row>
    <x:row r="474" ht="22" customHeight="1">
      <x:c r="A474" s="14" t="n">
        <x:v>235</x:v>
      </x:c>
      <x:c r="B474" s="14" t="n">
        <x:v>6</x:v>
      </x:c>
      <x:c r="C474" s="14" t="n">
        <x:v>76017</x:v>
      </x:c>
      <x:c r="D474" s="2" t="str">
        <x:v>RED</x:v>
      </x:c>
      <x:c r="E474" s="2" t="str">
        <x:v>200만</x:v>
      </x:c>
      <x:c r="F474" s="2" t="str">
        <x:v>규칙형</x:v>
      </x:c>
      <x:c r="G474" s="2" t="str">
        <x:v>승</x:v>
      </x:c>
      <x:c r="H474" s="14" t="n">
        <x:v>4</x:v>
      </x:c>
      <x:c r="I474" s="14" t="n">
        <x:v>0</x:v>
      </x:c>
      <x:c r="J474" s="14" t="n">
        <x:v>8</x:v>
      </x:c>
      <x:c r="K474" s="14" t="n">
        <x:v>4</x:v>
      </x:c>
      <x:c r="L474" s="15" t="n">
        <x:f>IF(J474=0,"해당 없음",K474/J474)</x:f>
        <x:v>0.5</x:v>
      </x:c>
      <x:c r="M474" s="14" t="n">
        <x:v>11</x:v>
      </x:c>
      <x:c r="N474" s="14" t="n">
        <x:v>7</x:v>
      </x:c>
      <x:c r="O474" s="15" t="n">
        <x:f>IF(M474=0,"해당 없음",N474/M474)</x:f>
        <x:v>0.6363636363636364</x:v>
      </x:c>
      <x:c r="P474" s="14" t="n">
        <x:v>102</x:v>
      </x:c>
    </x:row>
    <x:row r="475" ht="22" customHeight="1">
      <x:c r="A475" s="14" t="n">
        <x:v>235</x:v>
      </x:c>
      <x:c r="B475" s="14" t="n">
        <x:v>6</x:v>
      </x:c>
      <x:c r="C475" s="14" t="n">
        <x:v>76017</x:v>
      </x:c>
      <x:c r="D475" s="2" t="str">
        <x:v>NAVY</x:v>
      </x:c>
      <x:c r="E475" s="2" t="str">
        <x:v>규칙형</x:v>
      </x:c>
      <x:c r="F475" s="2" t="str">
        <x:v>200만</x:v>
      </x:c>
      <x:c r="G475" s="2" t="str">
        <x:v>패</x:v>
      </x:c>
      <x:c r="H475" s="14" t="n">
        <x:v>0</x:v>
      </x:c>
      <x:c r="I475" s="14" t="n">
        <x:v>4</x:v>
      </x:c>
      <x:c r="J475" s="14" t="n">
        <x:v>14</x:v>
      </x:c>
      <x:c r="K475" s="14" t="n">
        <x:v>0</x:v>
      </x:c>
      <x:c r="L475" s="15" t="n">
        <x:f>IF(J475=0,"해당 없음",K475/J475)</x:f>
        <x:v>0</x:v>
      </x:c>
      <x:c r="M475" s="14" t="n">
        <x:v>7</x:v>
      </x:c>
      <x:c r="N475" s="14" t="n">
        <x:v>5</x:v>
      </x:c>
      <x:c r="O475" s="15" t="n">
        <x:f>IF(M475=0,"해당 없음",N475/M475)</x:f>
        <x:v>0.7142857142857143</x:v>
      </x:c>
      <x:c r="P475" s="14" t="n">
        <x:v>103</x:v>
      </x:c>
    </x:row>
    <x:row r="476" ht="22" customHeight="1">
      <x:c r="A476" s="14" t="n">
        <x:v>236</x:v>
      </x:c>
      <x:c r="B476" s="14" t="n">
        <x:v>6</x:v>
      </x:c>
      <x:c r="C476" s="14" t="n">
        <x:v>76017</x:v>
      </x:c>
      <x:c r="D476" s="2" t="str">
        <x:v>RED</x:v>
      </x:c>
      <x:c r="E476" s="2" t="str">
        <x:v>규칙형</x:v>
      </x:c>
      <x:c r="F476" s="2" t="str">
        <x:v>200만</x:v>
      </x:c>
      <x:c r="G476" s="2" t="str">
        <x:v>무</x:v>
      </x:c>
      <x:c r="H476" s="14" t="n">
        <x:v>3</x:v>
      </x:c>
      <x:c r="I476" s="14" t="n">
        <x:v>3</x:v>
      </x:c>
      <x:c r="J476" s="14" t="n">
        <x:v>13</x:v>
      </x:c>
      <x:c r="K476" s="14" t="n">
        <x:v>3</x:v>
      </x:c>
      <x:c r="L476" s="15" t="n">
        <x:f>IF(J476=0,"해당 없음",K476/J476)</x:f>
        <x:v>0.23076923076923078</x:v>
      </x:c>
      <x:c r="M476" s="14" t="n">
        <x:v>12</x:v>
      </x:c>
      <x:c r="N476" s="14" t="n">
        <x:v>10</x:v>
      </x:c>
      <x:c r="O476" s="15" t="n">
        <x:f>IF(M476=0,"해당 없음",N476/M476)</x:f>
        <x:v>0.8333333333333334</x:v>
      </x:c>
      <x:c r="P476" s="14" t="n">
        <x:v>104</x:v>
      </x:c>
    </x:row>
    <x:row r="477" ht="22" customHeight="1">
      <x:c r="A477" s="14" t="n">
        <x:v>236</x:v>
      </x:c>
      <x:c r="B477" s="14" t="n">
        <x:v>6</x:v>
      </x:c>
      <x:c r="C477" s="14" t="n">
        <x:v>76017</x:v>
      </x:c>
      <x:c r="D477" s="2" t="str">
        <x:v>NAVY</x:v>
      </x:c>
      <x:c r="E477" s="2" t="str">
        <x:v>200만</x:v>
      </x:c>
      <x:c r="F477" s="2" t="str">
        <x:v>규칙형</x:v>
      </x:c>
      <x:c r="G477" s="2" t="str">
        <x:v>무</x:v>
      </x:c>
      <x:c r="H477" s="14" t="n">
        <x:v>3</x:v>
      </x:c>
      <x:c r="I477" s="14" t="n">
        <x:v>3</x:v>
      </x:c>
      <x:c r="J477" s="14" t="n">
        <x:v>5</x:v>
      </x:c>
      <x:c r="K477" s="14" t="n">
        <x:v>3</x:v>
      </x:c>
      <x:c r="L477" s="15" t="n">
        <x:f>IF(J477=0,"해당 없음",K477/J477)</x:f>
        <x:v>0.6</x:v>
      </x:c>
      <x:c r="M477" s="14" t="n">
        <x:v>9</x:v>
      </x:c>
      <x:c r="N477" s="14" t="n">
        <x:v>8</x:v>
      </x:c>
      <x:c r="O477" s="15" t="n">
        <x:f>IF(M477=0,"해당 없음",N477/M477)</x:f>
        <x:v>0.8888888888888888</x:v>
      </x:c>
      <x:c r="P477" s="14" t="n">
        <x:v>103</x:v>
      </x:c>
    </x:row>
    <x:row r="478" ht="22" customHeight="1">
      <x:c r="A478" s="14" t="n">
        <x:v>237</x:v>
      </x:c>
      <x:c r="B478" s="14" t="n">
        <x:v>6</x:v>
      </x:c>
      <x:c r="C478" s="14" t="n">
        <x:v>76018</x:v>
      </x:c>
      <x:c r="D478" s="2" t="str">
        <x:v>RED</x:v>
      </x:c>
      <x:c r="E478" s="2" t="str">
        <x:v>200만</x:v>
      </x:c>
      <x:c r="F478" s="2" t="str">
        <x:v>규칙형</x:v>
      </x:c>
      <x:c r="G478" s="2" t="str">
        <x:v>승</x:v>
      </x:c>
      <x:c r="H478" s="14" t="n">
        <x:v>6</x:v>
      </x:c>
      <x:c r="I478" s="14" t="n">
        <x:v>2</x:v>
      </x:c>
      <x:c r="J478" s="14" t="n">
        <x:v>11</x:v>
      </x:c>
      <x:c r="K478" s="14" t="n">
        <x:v>6</x:v>
      </x:c>
      <x:c r="L478" s="15" t="n">
        <x:f>IF(J478=0,"해당 없음",K478/J478)</x:f>
        <x:v>0.5454545454545454</x:v>
      </x:c>
      <x:c r="M478" s="14" t="n">
        <x:v>12</x:v>
      </x:c>
      <x:c r="N478" s="14" t="n">
        <x:v>11</x:v>
      </x:c>
      <x:c r="O478" s="15" t="n">
        <x:f>IF(M478=0,"해당 없음",N478/M478)</x:f>
        <x:v>0.9166666666666666</x:v>
      </x:c>
      <x:c r="P478" s="14" t="n">
        <x:v>105</x:v>
      </x:c>
    </x:row>
    <x:row r="479" ht="22" customHeight="1">
      <x:c r="A479" s="14" t="n">
        <x:v>237</x:v>
      </x:c>
      <x:c r="B479" s="14" t="n">
        <x:v>6</x:v>
      </x:c>
      <x:c r="C479" s="14" t="n">
        <x:v>76018</x:v>
      </x:c>
      <x:c r="D479" s="2" t="str">
        <x:v>NAVY</x:v>
      </x:c>
      <x:c r="E479" s="2" t="str">
        <x:v>규칙형</x:v>
      </x:c>
      <x:c r="F479" s="2" t="str">
        <x:v>200만</x:v>
      </x:c>
      <x:c r="G479" s="2" t="str">
        <x:v>패</x:v>
      </x:c>
      <x:c r="H479" s="14" t="n">
        <x:v>2</x:v>
      </x:c>
      <x:c r="I479" s="14" t="n">
        <x:v>6</x:v>
      </x:c>
      <x:c r="J479" s="14" t="n">
        <x:v>9</x:v>
      </x:c>
      <x:c r="K479" s="14" t="n">
        <x:v>2</x:v>
      </x:c>
      <x:c r="L479" s="15" t="n">
        <x:f>IF(J479=0,"해당 없음",K479/J479)</x:f>
        <x:v>0.2222222222222222</x:v>
      </x:c>
      <x:c r="M479" s="14" t="n">
        <x:v>13</x:v>
      </x:c>
      <x:c r="N479" s="14" t="n">
        <x:v>7</x:v>
      </x:c>
      <x:c r="O479" s="15" t="n">
        <x:f>IF(M479=0,"해당 없음",N479/M479)</x:f>
        <x:v>0.5384615384615384</x:v>
      </x:c>
      <x:c r="P479" s="14" t="n">
        <x:v>103</x:v>
      </x:c>
    </x:row>
    <x:row r="480" ht="22" customHeight="1">
      <x:c r="A480" s="14" t="n">
        <x:v>238</x:v>
      </x:c>
      <x:c r="B480" s="14" t="n">
        <x:v>6</x:v>
      </x:c>
      <x:c r="C480" s="14" t="n">
        <x:v>76018</x:v>
      </x:c>
      <x:c r="D480" s="2" t="str">
        <x:v>RED</x:v>
      </x:c>
      <x:c r="E480" s="2" t="str">
        <x:v>규칙형</x:v>
      </x:c>
      <x:c r="F480" s="2" t="str">
        <x:v>200만</x:v>
      </x:c>
      <x:c r="G480" s="2" t="str">
        <x:v>무</x:v>
      </x:c>
      <x:c r="H480" s="14" t="n">
        <x:v>3</x:v>
      </x:c>
      <x:c r="I480" s="14" t="n">
        <x:v>3</x:v>
      </x:c>
      <x:c r="J480" s="14" t="n">
        <x:v>12</x:v>
      </x:c>
      <x:c r="K480" s="14" t="n">
        <x:v>3</x:v>
      </x:c>
      <x:c r="L480" s="15" t="n">
        <x:f>IF(J480=0,"해당 없음",K480/J480)</x:f>
        <x:v>0.25</x:v>
      </x:c>
      <x:c r="M480" s="14" t="n">
        <x:v>13</x:v>
      </x:c>
      <x:c r="N480" s="14" t="n">
        <x:v>11</x:v>
      </x:c>
      <x:c r="O480" s="15" t="n">
        <x:f>IF(M480=0,"해당 없음",N480/M480)</x:f>
        <x:v>0.8461538461538461</x:v>
      </x:c>
      <x:c r="P480" s="14" t="n">
        <x:v>104</x:v>
      </x:c>
    </x:row>
    <x:row r="481" ht="22" customHeight="1">
      <x:c r="A481" s="14" t="n">
        <x:v>238</x:v>
      </x:c>
      <x:c r="B481" s="14" t="n">
        <x:v>6</x:v>
      </x:c>
      <x:c r="C481" s="14" t="n">
        <x:v>76018</x:v>
      </x:c>
      <x:c r="D481" s="2" t="str">
        <x:v>NAVY</x:v>
      </x:c>
      <x:c r="E481" s="2" t="str">
        <x:v>200만</x:v>
      </x:c>
      <x:c r="F481" s="2" t="str">
        <x:v>규칙형</x:v>
      </x:c>
      <x:c r="G481" s="2" t="str">
        <x:v>무</x:v>
      </x:c>
      <x:c r="H481" s="14" t="n">
        <x:v>3</x:v>
      </x:c>
      <x:c r="I481" s="14" t="n">
        <x:v>3</x:v>
      </x:c>
      <x:c r="J481" s="14" t="n">
        <x:v>6</x:v>
      </x:c>
      <x:c r="K481" s="14" t="n">
        <x:v>3</x:v>
      </x:c>
      <x:c r="L481" s="15" t="n">
        <x:f>IF(J481=0,"해당 없음",K481/J481)</x:f>
        <x:v>0.5</x:v>
      </x:c>
      <x:c r="M481" s="14" t="n">
        <x:v>6</x:v>
      </x:c>
      <x:c r="N481" s="14" t="n">
        <x:v>4</x:v>
      </x:c>
      <x:c r="O481" s="15" t="n">
        <x:f>IF(M481=0,"해당 없음",N481/M481)</x:f>
        <x:v>0.6666666666666666</x:v>
      </x:c>
      <x:c r="P481" s="14" t="n">
        <x:v>103</x:v>
      </x:c>
    </x:row>
    <x:row r="482" ht="22" customHeight="1">
      <x:c r="A482" s="14" t="n">
        <x:v>239</x:v>
      </x:c>
      <x:c r="B482" s="14" t="n">
        <x:v>6</x:v>
      </x:c>
      <x:c r="C482" s="14" t="n">
        <x:v>76019</x:v>
      </x:c>
      <x:c r="D482" s="2" t="str">
        <x:v>RED</x:v>
      </x:c>
      <x:c r="E482" s="2" t="str">
        <x:v>200만</x:v>
      </x:c>
      <x:c r="F482" s="2" t="str">
        <x:v>규칙형</x:v>
      </x:c>
      <x:c r="G482" s="2" t="str">
        <x:v>패</x:v>
      </x:c>
      <x:c r="H482" s="14" t="n">
        <x:v>3</x:v>
      </x:c>
      <x:c r="I482" s="14" t="n">
        <x:v>4</x:v>
      </x:c>
      <x:c r="J482" s="14" t="n">
        <x:v>9</x:v>
      </x:c>
      <x:c r="K482" s="14" t="n">
        <x:v>3</x:v>
      </x:c>
      <x:c r="L482" s="15" t="n">
        <x:f>IF(J482=0,"해당 없음",K482/J482)</x:f>
        <x:v>0.3333333333333333</x:v>
      </x:c>
      <x:c r="M482" s="14" t="n">
        <x:v>5</x:v>
      </x:c>
      <x:c r="N482" s="14" t="n">
        <x:v>1</x:v>
      </x:c>
      <x:c r="O482" s="15" t="n">
        <x:f>IF(M482=0,"해당 없음",N482/M482)</x:f>
        <x:v>0.2</x:v>
      </x:c>
      <x:c r="P482" s="14" t="n">
        <x:v>104</x:v>
      </x:c>
    </x:row>
    <x:row r="483" ht="22" customHeight="1">
      <x:c r="A483" s="14" t="n">
        <x:v>239</x:v>
      </x:c>
      <x:c r="B483" s="14" t="n">
        <x:v>6</x:v>
      </x:c>
      <x:c r="C483" s="14" t="n">
        <x:v>76019</x:v>
      </x:c>
      <x:c r="D483" s="2" t="str">
        <x:v>NAVY</x:v>
      </x:c>
      <x:c r="E483" s="2" t="str">
        <x:v>규칙형</x:v>
      </x:c>
      <x:c r="F483" s="2" t="str">
        <x:v>200만</x:v>
      </x:c>
      <x:c r="G483" s="2" t="str">
        <x:v>승</x:v>
      </x:c>
      <x:c r="H483" s="14" t="n">
        <x:v>4</x:v>
      </x:c>
      <x:c r="I483" s="14" t="n">
        <x:v>3</x:v>
      </x:c>
      <x:c r="J483" s="14" t="n">
        <x:v>13</x:v>
      </x:c>
      <x:c r="K483" s="14" t="n">
        <x:v>4</x:v>
      </x:c>
      <x:c r="L483" s="15" t="n">
        <x:f>IF(J483=0,"해당 없음",K483/J483)</x:f>
        <x:v>0.3076923076923077</x:v>
      </x:c>
      <x:c r="M483" s="14" t="n">
        <x:v>17</x:v>
      </x:c>
      <x:c r="N483" s="14" t="n">
        <x:v>12</x:v>
      </x:c>
      <x:c r="O483" s="15" t="n">
        <x:f>IF(M483=0,"해당 없음",N483/M483)</x:f>
        <x:v>0.7058823529411765</x:v>
      </x:c>
      <x:c r="P483" s="14" t="n">
        <x:v>104</x:v>
      </x:c>
    </x:row>
    <x:row r="484" ht="22" customHeight="1">
      <x:c r="A484" s="14" t="n">
        <x:v>240</x:v>
      </x:c>
      <x:c r="B484" s="14" t="n">
        <x:v>6</x:v>
      </x:c>
      <x:c r="C484" s="14" t="n">
        <x:v>76019</x:v>
      </x:c>
      <x:c r="D484" s="2" t="str">
        <x:v>RED</x:v>
      </x:c>
      <x:c r="E484" s="2" t="str">
        <x:v>규칙형</x:v>
      </x:c>
      <x:c r="F484" s="2" t="str">
        <x:v>200만</x:v>
      </x:c>
      <x:c r="G484" s="2" t="str">
        <x:v>무</x:v>
      </x:c>
      <x:c r="H484" s="14" t="n">
        <x:v>2</x:v>
      </x:c>
      <x:c r="I484" s="14" t="n">
        <x:v>2</x:v>
      </x:c>
      <x:c r="J484" s="14" t="n">
        <x:v>7</x:v>
      </x:c>
      <x:c r="K484" s="14" t="n">
        <x:v>2</x:v>
      </x:c>
      <x:c r="L484" s="15" t="n">
        <x:f>IF(J484=0,"해당 없음",K484/J484)</x:f>
        <x:v>0.2857142857142857</x:v>
      </x:c>
      <x:c r="M484" s="14" t="n">
        <x:v>6</x:v>
      </x:c>
      <x:c r="N484" s="14" t="n">
        <x:v>3</x:v>
      </x:c>
      <x:c r="O484" s="15" t="n">
        <x:f>IF(M484=0,"해당 없음",N484/M484)</x:f>
        <x:v>0.5</x:v>
      </x:c>
      <x:c r="P484" s="14" t="n">
        <x:v>102</x:v>
      </x:c>
    </x:row>
    <x:row r="485" ht="22" customHeight="1">
      <x:c r="A485" s="14" t="n">
        <x:v>240</x:v>
      </x:c>
      <x:c r="B485" s="14" t="n">
        <x:v>6</x:v>
      </x:c>
      <x:c r="C485" s="14" t="n">
        <x:v>76019</x:v>
      </x:c>
      <x:c r="D485" s="2" t="str">
        <x:v>NAVY</x:v>
      </x:c>
      <x:c r="E485" s="2" t="str">
        <x:v>200만</x:v>
      </x:c>
      <x:c r="F485" s="2" t="str">
        <x:v>규칙형</x:v>
      </x:c>
      <x:c r="G485" s="2" t="str">
        <x:v>무</x:v>
      </x:c>
      <x:c r="H485" s="14" t="n">
        <x:v>2</x:v>
      </x:c>
      <x:c r="I485" s="14" t="n">
        <x:v>2</x:v>
      </x:c>
      <x:c r="J485" s="14" t="n">
        <x:v>7</x:v>
      </x:c>
      <x:c r="K485" s="14" t="n">
        <x:v>2</x:v>
      </x:c>
      <x:c r="L485" s="15" t="n">
        <x:f>IF(J485=0,"해당 없음",K485/J485)</x:f>
        <x:v>0.2857142857142857</x:v>
      </x:c>
      <x:c r="M485" s="14" t="n">
        <x:v>5</x:v>
      </x:c>
      <x:c r="N485" s="14" t="n">
        <x:v>4</x:v>
      </x:c>
      <x:c r="O485" s="15" t="n">
        <x:f>IF(M485=0,"해당 없음",N485/M485)</x:f>
        <x:v>0.8</x:v>
      </x:c>
      <x:c r="P485" s="14" t="n">
        <x:v>103</x:v>
      </x:c>
    </x:row>
    <x:row r="486" ht="22" customHeight="1">
      <x:c r="A486" s="14" t="n">
        <x:v>241</x:v>
      </x:c>
      <x:c r="B486" s="14" t="n">
        <x:v>7</x:v>
      </x:c>
      <x:c r="C486" s="14" t="n">
        <x:v>76000</x:v>
      </x:c>
      <x:c r="D486" s="2" t="str">
        <x:v>RED</x:v>
      </x:c>
      <x:c r="E486" s="2" t="str">
        <x:v>240만</x:v>
      </x:c>
      <x:c r="F486" s="2" t="str">
        <x:v>규칙형</x:v>
      </x:c>
      <x:c r="G486" s="2" t="str">
        <x:v>승</x:v>
      </x:c>
      <x:c r="H486" s="14" t="n">
        <x:v>4</x:v>
      </x:c>
      <x:c r="I486" s="14" t="n">
        <x:v>2</x:v>
      </x:c>
      <x:c r="J486" s="14" t="n">
        <x:v>9</x:v>
      </x:c>
      <x:c r="K486" s="14" t="n">
        <x:v>4</x:v>
      </x:c>
      <x:c r="L486" s="15" t="n">
        <x:f>IF(J486=0,"해당 없음",K486/J486)</x:f>
        <x:v>0.4444444444444444</x:v>
      </x:c>
      <x:c r="M486" s="14" t="n">
        <x:v>8</x:v>
      </x:c>
      <x:c r="N486" s="14" t="n">
        <x:v>5</x:v>
      </x:c>
      <x:c r="O486" s="15" t="n">
        <x:f>IF(M486=0,"해당 없음",N486/M486)</x:f>
        <x:v>0.625</x:v>
      </x:c>
      <x:c r="P486" s="14" t="n">
        <x:v>105</x:v>
      </x:c>
    </x:row>
    <x:row r="487" ht="22" customHeight="1">
      <x:c r="A487" s="14" t="n">
        <x:v>241</x:v>
      </x:c>
      <x:c r="B487" s="14" t="n">
        <x:v>7</x:v>
      </x:c>
      <x:c r="C487" s="14" t="n">
        <x:v>76000</x:v>
      </x:c>
      <x:c r="D487" s="2" t="str">
        <x:v>NAVY</x:v>
      </x:c>
      <x:c r="E487" s="2" t="str">
        <x:v>규칙형</x:v>
      </x:c>
      <x:c r="F487" s="2" t="str">
        <x:v>240만</x:v>
      </x:c>
      <x:c r="G487" s="2" t="str">
        <x:v>패</x:v>
      </x:c>
      <x:c r="H487" s="14" t="n">
        <x:v>2</x:v>
      </x:c>
      <x:c r="I487" s="14" t="n">
        <x:v>4</x:v>
      </x:c>
      <x:c r="J487" s="14" t="n">
        <x:v>11</x:v>
      </x:c>
      <x:c r="K487" s="14" t="n">
        <x:v>2</x:v>
      </x:c>
      <x:c r="L487" s="15" t="n">
        <x:f>IF(J487=0,"해당 없음",K487/J487)</x:f>
        <x:v>0.18181818181818182</x:v>
      </x:c>
      <x:c r="M487" s="14" t="n">
        <x:v>17</x:v>
      </x:c>
      <x:c r="N487" s="14" t="n">
        <x:v>15</x:v>
      </x:c>
      <x:c r="O487" s="15" t="n">
        <x:f>IF(M487=0,"해당 없음",N487/M487)</x:f>
        <x:v>0.8823529411764706</x:v>
      </x:c>
      <x:c r="P487" s="14" t="n">
        <x:v>103</x:v>
      </x:c>
    </x:row>
    <x:row r="488" ht="22" customHeight="1">
      <x:c r="A488" s="14" t="n">
        <x:v>242</x:v>
      </x:c>
      <x:c r="B488" s="14" t="n">
        <x:v>7</x:v>
      </x:c>
      <x:c r="C488" s="14" t="n">
        <x:v>76000</x:v>
      </x:c>
      <x:c r="D488" s="2" t="str">
        <x:v>RED</x:v>
      </x:c>
      <x:c r="E488" s="2" t="str">
        <x:v>규칙형</x:v>
      </x:c>
      <x:c r="F488" s="2" t="str">
        <x:v>240만</x:v>
      </x:c>
      <x:c r="G488" s="2" t="str">
        <x:v>무</x:v>
      </x:c>
      <x:c r="H488" s="14" t="n">
        <x:v>3</x:v>
      </x:c>
      <x:c r="I488" s="14" t="n">
        <x:v>3</x:v>
      </x:c>
      <x:c r="J488" s="14" t="n">
        <x:v>16</x:v>
      </x:c>
      <x:c r="K488" s="14" t="n">
        <x:v>3</x:v>
      </x:c>
      <x:c r="L488" s="15" t="n">
        <x:f>IF(J488=0,"해당 없음",K488/J488)</x:f>
        <x:v>0.1875</x:v>
      </x:c>
      <x:c r="M488" s="14" t="n">
        <x:v>8</x:v>
      </x:c>
      <x:c r="N488" s="14" t="n">
        <x:v>7</x:v>
      </x:c>
      <x:c r="O488" s="15" t="n">
        <x:f>IF(M488=0,"해당 없음",N488/M488)</x:f>
        <x:v>0.875</x:v>
      </x:c>
      <x:c r="P488" s="14" t="n">
        <x:v>103</x:v>
      </x:c>
    </x:row>
    <x:row r="489" ht="22" customHeight="1">
      <x:c r="A489" s="14" t="n">
        <x:v>242</x:v>
      </x:c>
      <x:c r="B489" s="14" t="n">
        <x:v>7</x:v>
      </x:c>
      <x:c r="C489" s="14" t="n">
        <x:v>76000</x:v>
      </x:c>
      <x:c r="D489" s="2" t="str">
        <x:v>NAVY</x:v>
      </x:c>
      <x:c r="E489" s="2" t="str">
        <x:v>240만</x:v>
      </x:c>
      <x:c r="F489" s="2" t="str">
        <x:v>규칙형</x:v>
      </x:c>
      <x:c r="G489" s="2" t="str">
        <x:v>무</x:v>
      </x:c>
      <x:c r="H489" s="14" t="n">
        <x:v>3</x:v>
      </x:c>
      <x:c r="I489" s="14" t="n">
        <x:v>3</x:v>
      </x:c>
      <x:c r="J489" s="14" t="n">
        <x:v>6</x:v>
      </x:c>
      <x:c r="K489" s="14" t="n">
        <x:v>3</x:v>
      </x:c>
      <x:c r="L489" s="15" t="n">
        <x:f>IF(J489=0,"해당 없음",K489/J489)</x:f>
        <x:v>0.5</x:v>
      </x:c>
      <x:c r="M489" s="14" t="n">
        <x:v>11</x:v>
      </x:c>
      <x:c r="N489" s="14" t="n">
        <x:v>5</x:v>
      </x:c>
      <x:c r="O489" s="15" t="n">
        <x:f>IF(M489=0,"해당 없음",N489/M489)</x:f>
        <x:v>0.45454545454545453</x:v>
      </x:c>
      <x:c r="P489" s="14" t="n">
        <x:v>103</x:v>
      </x:c>
    </x:row>
    <x:row r="490" ht="22" customHeight="1">
      <x:c r="A490" s="14" t="n">
        <x:v>243</x:v>
      </x:c>
      <x:c r="B490" s="14" t="n">
        <x:v>7</x:v>
      </x:c>
      <x:c r="C490" s="14" t="n">
        <x:v>76001</x:v>
      </x:c>
      <x:c r="D490" s="2" t="str">
        <x:v>RED</x:v>
      </x:c>
      <x:c r="E490" s="2" t="str">
        <x:v>240만</x:v>
      </x:c>
      <x:c r="F490" s="2" t="str">
        <x:v>규칙형</x:v>
      </x:c>
      <x:c r="G490" s="2" t="str">
        <x:v>승</x:v>
      </x:c>
      <x:c r="H490" s="14" t="n">
        <x:v>3</x:v>
      </x:c>
      <x:c r="I490" s="14" t="n">
        <x:v>2</x:v>
      </x:c>
      <x:c r="J490" s="14" t="n">
        <x:v>7</x:v>
      </x:c>
      <x:c r="K490" s="14" t="n">
        <x:v>3</x:v>
      </x:c>
      <x:c r="L490" s="15" t="n">
        <x:f>IF(J490=0,"해당 없음",K490/J490)</x:f>
        <x:v>0.42857142857142855</x:v>
      </x:c>
      <x:c r="M490" s="14" t="n">
        <x:v>6</x:v>
      </x:c>
      <x:c r="N490" s="14" t="n">
        <x:v>3</x:v>
      </x:c>
      <x:c r="O490" s="15" t="n">
        <x:f>IF(M490=0,"해당 없음",N490/M490)</x:f>
        <x:v>0.5</x:v>
      </x:c>
      <x:c r="P490" s="14" t="n">
        <x:v>102</x:v>
      </x:c>
    </x:row>
    <x:row r="491" ht="22" customHeight="1">
      <x:c r="A491" s="14" t="n">
        <x:v>243</x:v>
      </x:c>
      <x:c r="B491" s="14" t="n">
        <x:v>7</x:v>
      </x:c>
      <x:c r="C491" s="14" t="n">
        <x:v>76001</x:v>
      </x:c>
      <x:c r="D491" s="2" t="str">
        <x:v>NAVY</x:v>
      </x:c>
      <x:c r="E491" s="2" t="str">
        <x:v>규칙형</x:v>
      </x:c>
      <x:c r="F491" s="2" t="str">
        <x:v>240만</x:v>
      </x:c>
      <x:c r="G491" s="2" t="str">
        <x:v>패</x:v>
      </x:c>
      <x:c r="H491" s="14" t="n">
        <x:v>2</x:v>
      </x:c>
      <x:c r="I491" s="14" t="n">
        <x:v>3</x:v>
      </x:c>
      <x:c r="J491" s="14" t="n">
        <x:v>8</x:v>
      </x:c>
      <x:c r="K491" s="14" t="n">
        <x:v>2</x:v>
      </x:c>
      <x:c r="L491" s="15" t="n">
        <x:f>IF(J491=0,"해당 없음",K491/J491)</x:f>
        <x:v>0.25</x:v>
      </x:c>
      <x:c r="M491" s="14" t="n">
        <x:v>11</x:v>
      </x:c>
      <x:c r="N491" s="14" t="n">
        <x:v>9</x:v>
      </x:c>
      <x:c r="O491" s="15" t="n">
        <x:f>IF(M491=0,"해당 없음",N491/M491)</x:f>
        <x:v>0.8181818181818182</x:v>
      </x:c>
      <x:c r="P491" s="14" t="n">
        <x:v>103</x:v>
      </x:c>
    </x:row>
    <x:row r="492" ht="22" customHeight="1">
      <x:c r="A492" s="14" t="n">
        <x:v>244</x:v>
      </x:c>
      <x:c r="B492" s="14" t="n">
        <x:v>7</x:v>
      </x:c>
      <x:c r="C492" s="14" t="n">
        <x:v>76001</x:v>
      </x:c>
      <x:c r="D492" s="2" t="str">
        <x:v>RED</x:v>
      </x:c>
      <x:c r="E492" s="2" t="str">
        <x:v>규칙형</x:v>
      </x:c>
      <x:c r="F492" s="2" t="str">
        <x:v>240만</x:v>
      </x:c>
      <x:c r="G492" s="2" t="str">
        <x:v>패</x:v>
      </x:c>
      <x:c r="H492" s="14" t="n">
        <x:v>2</x:v>
      </x:c>
      <x:c r="I492" s="14" t="n">
        <x:v>6</x:v>
      </x:c>
      <x:c r="J492" s="14" t="n">
        <x:v>10</x:v>
      </x:c>
      <x:c r="K492" s="14" t="n">
        <x:v>2</x:v>
      </x:c>
      <x:c r="L492" s="15" t="n">
        <x:f>IF(J492=0,"해당 없음",K492/J492)</x:f>
        <x:v>0.2</x:v>
      </x:c>
      <x:c r="M492" s="14" t="n">
        <x:v>10</x:v>
      </x:c>
      <x:c r="N492" s="14" t="n">
        <x:v>8</x:v>
      </x:c>
      <x:c r="O492" s="15" t="n">
        <x:f>IF(M492=0,"해당 없음",N492/M492)</x:f>
        <x:v>0.8</x:v>
      </x:c>
      <x:c r="P492" s="14" t="n">
        <x:v>104</x:v>
      </x:c>
    </x:row>
    <x:row r="493" ht="22" customHeight="1">
      <x:c r="A493" s="14" t="n">
        <x:v>244</x:v>
      </x:c>
      <x:c r="B493" s="14" t="n">
        <x:v>7</x:v>
      </x:c>
      <x:c r="C493" s="14" t="n">
        <x:v>76001</x:v>
      </x:c>
      <x:c r="D493" s="2" t="str">
        <x:v>NAVY</x:v>
      </x:c>
      <x:c r="E493" s="2" t="str">
        <x:v>240만</x:v>
      </x:c>
      <x:c r="F493" s="2" t="str">
        <x:v>규칙형</x:v>
      </x:c>
      <x:c r="G493" s="2" t="str">
        <x:v>승</x:v>
      </x:c>
      <x:c r="H493" s="14" t="n">
        <x:v>6</x:v>
      </x:c>
      <x:c r="I493" s="14" t="n">
        <x:v>2</x:v>
      </x:c>
      <x:c r="J493" s="14" t="n">
        <x:v>10</x:v>
      </x:c>
      <x:c r="K493" s="14" t="n">
        <x:v>6</x:v>
      </x:c>
      <x:c r="L493" s="15" t="n">
        <x:f>IF(J493=0,"해당 없음",K493/J493)</x:f>
        <x:v>0.6</x:v>
      </x:c>
      <x:c r="M493" s="14" t="n">
        <x:v>7</x:v>
      </x:c>
      <x:c r="N493" s="14" t="n">
        <x:v>5</x:v>
      </x:c>
      <x:c r="O493" s="15" t="n">
        <x:f>IF(M493=0,"해당 없음",N493/M493)</x:f>
        <x:v>0.7142857142857143</x:v>
      </x:c>
      <x:c r="P493" s="14" t="n">
        <x:v>104</x:v>
      </x:c>
    </x:row>
    <x:row r="494" ht="22" customHeight="1">
      <x:c r="A494" s="14" t="n">
        <x:v>245</x:v>
      </x:c>
      <x:c r="B494" s="14" t="n">
        <x:v>7</x:v>
      </x:c>
      <x:c r="C494" s="14" t="n">
        <x:v>76002</x:v>
      </x:c>
      <x:c r="D494" s="2" t="str">
        <x:v>RED</x:v>
      </x:c>
      <x:c r="E494" s="2" t="str">
        <x:v>240만</x:v>
      </x:c>
      <x:c r="F494" s="2" t="str">
        <x:v>규칙형</x:v>
      </x:c>
      <x:c r="G494" s="2" t="str">
        <x:v>승</x:v>
      </x:c>
      <x:c r="H494" s="14" t="n">
        <x:v>6</x:v>
      </x:c>
      <x:c r="I494" s="14" t="n">
        <x:v>2</x:v>
      </x:c>
      <x:c r="J494" s="14" t="n">
        <x:v>10</x:v>
      </x:c>
      <x:c r="K494" s="14" t="n">
        <x:v>6</x:v>
      </x:c>
      <x:c r="L494" s="15" t="n">
        <x:f>IF(J494=0,"해당 없음",K494/J494)</x:f>
        <x:v>0.6</x:v>
      </x:c>
      <x:c r="M494" s="14" t="n">
        <x:v>6</x:v>
      </x:c>
      <x:c r="N494" s="14" t="n">
        <x:v>4</x:v>
      </x:c>
      <x:c r="O494" s="15" t="n">
        <x:f>IF(M494=0,"해당 없음",N494/M494)</x:f>
        <x:v>0.6666666666666666</x:v>
      </x:c>
      <x:c r="P494" s="14" t="n">
        <x:v>105</x:v>
      </x:c>
    </x:row>
    <x:row r="495" ht="22" customHeight="1">
      <x:c r="A495" s="14" t="n">
        <x:v>245</x:v>
      </x:c>
      <x:c r="B495" s="14" t="n">
        <x:v>7</x:v>
      </x:c>
      <x:c r="C495" s="14" t="n">
        <x:v>76002</x:v>
      </x:c>
      <x:c r="D495" s="2" t="str">
        <x:v>NAVY</x:v>
      </x:c>
      <x:c r="E495" s="2" t="str">
        <x:v>규칙형</x:v>
      </x:c>
      <x:c r="F495" s="2" t="str">
        <x:v>240만</x:v>
      </x:c>
      <x:c r="G495" s="2" t="str">
        <x:v>패</x:v>
      </x:c>
      <x:c r="H495" s="14" t="n">
        <x:v>2</x:v>
      </x:c>
      <x:c r="I495" s="14" t="n">
        <x:v>6</x:v>
      </x:c>
      <x:c r="J495" s="14" t="n">
        <x:v>9</x:v>
      </x:c>
      <x:c r="K495" s="14" t="n">
        <x:v>2</x:v>
      </x:c>
      <x:c r="L495" s="15" t="n">
        <x:f>IF(J495=0,"해당 없음",K495/J495)</x:f>
        <x:v>0.2222222222222222</x:v>
      </x:c>
      <x:c r="M495" s="14" t="n">
        <x:v>12</x:v>
      </x:c>
      <x:c r="N495" s="14" t="n">
        <x:v>9</x:v>
      </x:c>
      <x:c r="O495" s="15" t="n">
        <x:f>IF(M495=0,"해당 없음",N495/M495)</x:f>
        <x:v>0.75</x:v>
      </x:c>
      <x:c r="P495" s="14" t="n">
        <x:v>107</x:v>
      </x:c>
    </x:row>
    <x:row r="496" ht="22" customHeight="1">
      <x:c r="A496" s="14" t="n">
        <x:v>246</x:v>
      </x:c>
      <x:c r="B496" s="14" t="n">
        <x:v>7</x:v>
      </x:c>
      <x:c r="C496" s="14" t="n">
        <x:v>76002</x:v>
      </x:c>
      <x:c r="D496" s="2" t="str">
        <x:v>RED</x:v>
      </x:c>
      <x:c r="E496" s="2" t="str">
        <x:v>규칙형</x:v>
      </x:c>
      <x:c r="F496" s="2" t="str">
        <x:v>240만</x:v>
      </x:c>
      <x:c r="G496" s="2" t="str">
        <x:v>무</x:v>
      </x:c>
      <x:c r="H496" s="14" t="n">
        <x:v>3</x:v>
      </x:c>
      <x:c r="I496" s="14" t="n">
        <x:v>3</x:v>
      </x:c>
      <x:c r="J496" s="14" t="n">
        <x:v>9</x:v>
      </x:c>
      <x:c r="K496" s="14" t="n">
        <x:v>3</x:v>
      </x:c>
      <x:c r="L496" s="15" t="n">
        <x:f>IF(J496=0,"해당 없음",K496/J496)</x:f>
        <x:v>0.3333333333333333</x:v>
      </x:c>
      <x:c r="M496" s="14" t="n">
        <x:v>10</x:v>
      </x:c>
      <x:c r="N496" s="14" t="n">
        <x:v>8</x:v>
      </x:c>
      <x:c r="O496" s="15" t="n">
        <x:f>IF(M496=0,"해당 없음",N496/M496)</x:f>
        <x:v>0.8</x:v>
      </x:c>
      <x:c r="P496" s="14" t="n">
        <x:v>104</x:v>
      </x:c>
    </x:row>
    <x:row r="497" ht="22" customHeight="1">
      <x:c r="A497" s="14" t="n">
        <x:v>246</x:v>
      </x:c>
      <x:c r="B497" s="14" t="n">
        <x:v>7</x:v>
      </x:c>
      <x:c r="C497" s="14" t="n">
        <x:v>76002</x:v>
      </x:c>
      <x:c r="D497" s="2" t="str">
        <x:v>NAVY</x:v>
      </x:c>
      <x:c r="E497" s="2" t="str">
        <x:v>240만</x:v>
      </x:c>
      <x:c r="F497" s="2" t="str">
        <x:v>규칙형</x:v>
      </x:c>
      <x:c r="G497" s="2" t="str">
        <x:v>무</x:v>
      </x:c>
      <x:c r="H497" s="14" t="n">
        <x:v>3</x:v>
      </x:c>
      <x:c r="I497" s="14" t="n">
        <x:v>3</x:v>
      </x:c>
      <x:c r="J497" s="14" t="n">
        <x:v>7</x:v>
      </x:c>
      <x:c r="K497" s="14" t="n">
        <x:v>3</x:v>
      </x:c>
      <x:c r="L497" s="15" t="n">
        <x:f>IF(J497=0,"해당 없음",K497/J497)</x:f>
        <x:v>0.42857142857142855</x:v>
      </x:c>
      <x:c r="M497" s="14" t="n">
        <x:v>7</x:v>
      </x:c>
      <x:c r="N497" s="14" t="n">
        <x:v>3</x:v>
      </x:c>
      <x:c r="O497" s="15" t="n">
        <x:f>IF(M497=0,"해당 없음",N497/M497)</x:f>
        <x:v>0.42857142857142855</x:v>
      </x:c>
      <x:c r="P497" s="14" t="n">
        <x:v>103</x:v>
      </x:c>
    </x:row>
    <x:row r="498" ht="22" customHeight="1">
      <x:c r="A498" s="14" t="n">
        <x:v>247</x:v>
      </x:c>
      <x:c r="B498" s="14" t="n">
        <x:v>7</x:v>
      </x:c>
      <x:c r="C498" s="14" t="n">
        <x:v>76003</x:v>
      </x:c>
      <x:c r="D498" s="2" t="str">
        <x:v>RED</x:v>
      </x:c>
      <x:c r="E498" s="2" t="str">
        <x:v>240만</x:v>
      </x:c>
      <x:c r="F498" s="2" t="str">
        <x:v>규칙형</x:v>
      </x:c>
      <x:c r="G498" s="2" t="str">
        <x:v>무</x:v>
      </x:c>
      <x:c r="H498" s="14" t="n">
        <x:v>2</x:v>
      </x:c>
      <x:c r="I498" s="14" t="n">
        <x:v>2</x:v>
      </x:c>
      <x:c r="J498" s="14" t="n">
        <x:v>6</x:v>
      </x:c>
      <x:c r="K498" s="14" t="n">
        <x:v>2</x:v>
      </x:c>
      <x:c r="L498" s="15" t="n">
        <x:f>IF(J498=0,"해당 없음",K498/J498)</x:f>
        <x:v>0.3333333333333333</x:v>
      </x:c>
      <x:c r="M498" s="14" t="n">
        <x:v>7</x:v>
      </x:c>
      <x:c r="N498" s="14" t="n">
        <x:v>6</x:v>
      </x:c>
      <x:c r="O498" s="15" t="n">
        <x:f>IF(M498=0,"해당 없음",N498/M498)</x:f>
        <x:v>0.8571428571428571</x:v>
      </x:c>
      <x:c r="P498" s="14" t="n">
        <x:v>102</x:v>
      </x:c>
    </x:row>
    <x:row r="499" ht="22" customHeight="1">
      <x:c r="A499" s="14" t="n">
        <x:v>247</x:v>
      </x:c>
      <x:c r="B499" s="14" t="n">
        <x:v>7</x:v>
      </x:c>
      <x:c r="C499" s="14" t="n">
        <x:v>76003</x:v>
      </x:c>
      <x:c r="D499" s="2" t="str">
        <x:v>NAVY</x:v>
      </x:c>
      <x:c r="E499" s="2" t="str">
        <x:v>규칙형</x:v>
      </x:c>
      <x:c r="F499" s="2" t="str">
        <x:v>240만</x:v>
      </x:c>
      <x:c r="G499" s="2" t="str">
        <x:v>무</x:v>
      </x:c>
      <x:c r="H499" s="14" t="n">
        <x:v>2</x:v>
      </x:c>
      <x:c r="I499" s="14" t="n">
        <x:v>2</x:v>
      </x:c>
      <x:c r="J499" s="14" t="n">
        <x:v>16</x:v>
      </x:c>
      <x:c r="K499" s="14" t="n">
        <x:v>2</x:v>
      </x:c>
      <x:c r="L499" s="15" t="n">
        <x:f>IF(J499=0,"해당 없음",K499/J499)</x:f>
        <x:v>0.125</x:v>
      </x:c>
      <x:c r="M499" s="14" t="n">
        <x:v>14</x:v>
      </x:c>
      <x:c r="N499" s="14" t="n">
        <x:v>14</x:v>
      </x:c>
      <x:c r="O499" s="15" t="n">
        <x:f>IF(M499=0,"해당 없음",N499/M499)</x:f>
        <x:v>1</x:v>
      </x:c>
      <x:c r="P499" s="14" t="n">
        <x:v>101</x:v>
      </x:c>
    </x:row>
    <x:row r="500" ht="22" customHeight="1">
      <x:c r="A500" s="14" t="n">
        <x:v>248</x:v>
      </x:c>
      <x:c r="B500" s="14" t="n">
        <x:v>7</x:v>
      </x:c>
      <x:c r="C500" s="14" t="n">
        <x:v>76003</x:v>
      </x:c>
      <x:c r="D500" s="2" t="str">
        <x:v>RED</x:v>
      </x:c>
      <x:c r="E500" s="2" t="str">
        <x:v>규칙형</x:v>
      </x:c>
      <x:c r="F500" s="2" t="str">
        <x:v>240만</x:v>
      </x:c>
      <x:c r="G500" s="2" t="str">
        <x:v>패</x:v>
      </x:c>
      <x:c r="H500" s="14" t="n">
        <x:v>0</x:v>
      </x:c>
      <x:c r="I500" s="14" t="n">
        <x:v>7</x:v>
      </x:c>
      <x:c r="J500" s="14" t="n">
        <x:v>8</x:v>
      </x:c>
      <x:c r="K500" s="14" t="n">
        <x:v>0</x:v>
      </x:c>
      <x:c r="L500" s="15" t="n">
        <x:f>IF(J500=0,"해당 없음",K500/J500)</x:f>
        <x:v>0</x:v>
      </x:c>
      <x:c r="M500" s="14" t="n">
        <x:v>3</x:v>
      </x:c>
      <x:c r="N500" s="14" t="n">
        <x:v>1</x:v>
      </x:c>
      <x:c r="O500" s="15" t="n">
        <x:f>IF(M500=0,"해당 없음",N500/M500)</x:f>
        <x:v>0.3333333333333333</x:v>
      </x:c>
      <x:c r="P500" s="14" t="n">
        <x:v>103</x:v>
      </x:c>
    </x:row>
    <x:row r="501" ht="22" customHeight="1">
      <x:c r="A501" s="14" t="n">
        <x:v>248</x:v>
      </x:c>
      <x:c r="B501" s="14" t="n">
        <x:v>7</x:v>
      </x:c>
      <x:c r="C501" s="14" t="n">
        <x:v>76003</x:v>
      </x:c>
      <x:c r="D501" s="2" t="str">
        <x:v>NAVY</x:v>
      </x:c>
      <x:c r="E501" s="2" t="str">
        <x:v>240만</x:v>
      </x:c>
      <x:c r="F501" s="2" t="str">
        <x:v>규칙형</x:v>
      </x:c>
      <x:c r="G501" s="2" t="str">
        <x:v>승</x:v>
      </x:c>
      <x:c r="H501" s="14" t="n">
        <x:v>7</x:v>
      </x:c>
      <x:c r="I501" s="14" t="n">
        <x:v>0</x:v>
      </x:c>
      <x:c r="J501" s="14" t="n">
        <x:v>12</x:v>
      </x:c>
      <x:c r="K501" s="14" t="n">
        <x:v>7</x:v>
      </x:c>
      <x:c r="L501" s="15" t="n">
        <x:f>IF(J501=0,"해당 없음",K501/J501)</x:f>
        <x:v>0.5833333333333334</x:v>
      </x:c>
      <x:c r="M501" s="14" t="n">
        <x:v>8</x:v>
      </x:c>
      <x:c r="N501" s="14" t="n">
        <x:v>7</x:v>
      </x:c>
      <x:c r="O501" s="15" t="n">
        <x:f>IF(M501=0,"해당 없음",N501/M501)</x:f>
        <x:v>0.875</x:v>
      </x:c>
      <x:c r="P501" s="14" t="n">
        <x:v>105</x:v>
      </x:c>
    </x:row>
    <x:row r="502" ht="22" customHeight="1">
      <x:c r="A502" s="14" t="n">
        <x:v>249</x:v>
      </x:c>
      <x:c r="B502" s="14" t="n">
        <x:v>7</x:v>
      </x:c>
      <x:c r="C502" s="14" t="n">
        <x:v>76004</x:v>
      </x:c>
      <x:c r="D502" s="2" t="str">
        <x:v>RED</x:v>
      </x:c>
      <x:c r="E502" s="2" t="str">
        <x:v>240만</x:v>
      </x:c>
      <x:c r="F502" s="2" t="str">
        <x:v>규칙형</x:v>
      </x:c>
      <x:c r="G502" s="2" t="str">
        <x:v>승</x:v>
      </x:c>
      <x:c r="H502" s="14" t="n">
        <x:v>2</x:v>
      </x:c>
      <x:c r="I502" s="14" t="n">
        <x:v>1</x:v>
      </x:c>
      <x:c r="J502" s="14" t="n">
        <x:v>7</x:v>
      </x:c>
      <x:c r="K502" s="14" t="n">
        <x:v>2</x:v>
      </x:c>
      <x:c r="L502" s="15" t="n">
        <x:f>IF(J502=0,"해당 없음",K502/J502)</x:f>
        <x:v>0.2857142857142857</x:v>
      </x:c>
      <x:c r="M502" s="14" t="n">
        <x:v>9</x:v>
      </x:c>
      <x:c r="N502" s="14" t="n">
        <x:v>7</x:v>
      </x:c>
      <x:c r="O502" s="15" t="n">
        <x:f>IF(M502=0,"해당 없음",N502/M502)</x:f>
        <x:v>0.7777777777777778</x:v>
      </x:c>
      <x:c r="P502" s="14" t="n">
        <x:v>102</x:v>
      </x:c>
    </x:row>
    <x:row r="503" ht="22" customHeight="1">
      <x:c r="A503" s="14" t="n">
        <x:v>249</x:v>
      </x:c>
      <x:c r="B503" s="14" t="n">
        <x:v>7</x:v>
      </x:c>
      <x:c r="C503" s="14" t="n">
        <x:v>76004</x:v>
      </x:c>
      <x:c r="D503" s="2" t="str">
        <x:v>NAVY</x:v>
      </x:c>
      <x:c r="E503" s="2" t="str">
        <x:v>규칙형</x:v>
      </x:c>
      <x:c r="F503" s="2" t="str">
        <x:v>240만</x:v>
      </x:c>
      <x:c r="G503" s="2" t="str">
        <x:v>패</x:v>
      </x:c>
      <x:c r="H503" s="14" t="n">
        <x:v>1</x:v>
      </x:c>
      <x:c r="I503" s="14" t="n">
        <x:v>2</x:v>
      </x:c>
      <x:c r="J503" s="14" t="n">
        <x:v>10</x:v>
      </x:c>
      <x:c r="K503" s="14" t="n">
        <x:v>1</x:v>
      </x:c>
      <x:c r="L503" s="15" t="n">
        <x:f>IF(J503=0,"해당 없음",K503/J503)</x:f>
        <x:v>0.1</x:v>
      </x:c>
      <x:c r="M503" s="14" t="n">
        <x:v>15</x:v>
      </x:c>
      <x:c r="N503" s="14" t="n">
        <x:v>13</x:v>
      </x:c>
      <x:c r="O503" s="15" t="n">
        <x:f>IF(M503=0,"해당 없음",N503/M503)</x:f>
        <x:v>0.8666666666666667</x:v>
      </x:c>
      <x:c r="P503" s="14" t="n">
        <x:v>103</x:v>
      </x:c>
    </x:row>
    <x:row r="504" ht="22" customHeight="1">
      <x:c r="A504" s="14" t="n">
        <x:v>250</x:v>
      </x:c>
      <x:c r="B504" s="14" t="n">
        <x:v>7</x:v>
      </x:c>
      <x:c r="C504" s="14" t="n">
        <x:v>76004</x:v>
      </x:c>
      <x:c r="D504" s="2" t="str">
        <x:v>RED</x:v>
      </x:c>
      <x:c r="E504" s="2" t="str">
        <x:v>규칙형</x:v>
      </x:c>
      <x:c r="F504" s="2" t="str">
        <x:v>240만</x:v>
      </x:c>
      <x:c r="G504" s="2" t="str">
        <x:v>패</x:v>
      </x:c>
      <x:c r="H504" s="14" t="n">
        <x:v>2</x:v>
      </x:c>
      <x:c r="I504" s="14" t="n">
        <x:v>5</x:v>
      </x:c>
      <x:c r="J504" s="14" t="n">
        <x:v>10</x:v>
      </x:c>
      <x:c r="K504" s="14" t="n">
        <x:v>2</x:v>
      </x:c>
      <x:c r="L504" s="15" t="n">
        <x:f>IF(J504=0,"해당 없음",K504/J504)</x:f>
        <x:v>0.2</x:v>
      </x:c>
      <x:c r="M504" s="14" t="n">
        <x:v>13</x:v>
      </x:c>
      <x:c r="N504" s="14" t="n">
        <x:v>11</x:v>
      </x:c>
      <x:c r="O504" s="15" t="n">
        <x:f>IF(M504=0,"해당 없음",N504/M504)</x:f>
        <x:v>0.8461538461538461</x:v>
      </x:c>
      <x:c r="P504" s="14" t="n">
        <x:v>105</x:v>
      </x:c>
    </x:row>
    <x:row r="505" ht="22" customHeight="1">
      <x:c r="A505" s="14" t="n">
        <x:v>250</x:v>
      </x:c>
      <x:c r="B505" s="14" t="n">
        <x:v>7</x:v>
      </x:c>
      <x:c r="C505" s="14" t="n">
        <x:v>76004</x:v>
      </x:c>
      <x:c r="D505" s="2" t="str">
        <x:v>NAVY</x:v>
      </x:c>
      <x:c r="E505" s="2" t="str">
        <x:v>240만</x:v>
      </x:c>
      <x:c r="F505" s="2" t="str">
        <x:v>규칙형</x:v>
      </x:c>
      <x:c r="G505" s="2" t="str">
        <x:v>승</x:v>
      </x:c>
      <x:c r="H505" s="14" t="n">
        <x:v>5</x:v>
      </x:c>
      <x:c r="I505" s="14" t="n">
        <x:v>2</x:v>
      </x:c>
      <x:c r="J505" s="14" t="n">
        <x:v>9</x:v>
      </x:c>
      <x:c r="K505" s="14" t="n">
        <x:v>5</x:v>
      </x:c>
      <x:c r="L505" s="15" t="n">
        <x:f>IF(J505=0,"해당 없음",K505/J505)</x:f>
        <x:v>0.5555555555555556</x:v>
      </x:c>
      <x:c r="M505" s="14" t="n">
        <x:v>5</x:v>
      </x:c>
      <x:c r="N505" s="14" t="n">
        <x:v>3</x:v>
      </x:c>
      <x:c r="O505" s="15" t="n">
        <x:f>IF(M505=0,"해당 없음",N505/M505)</x:f>
        <x:v>0.6</x:v>
      </x:c>
      <x:c r="P505" s="14" t="n">
        <x:v>105</x:v>
      </x:c>
    </x:row>
    <x:row r="506" ht="22" customHeight="1">
      <x:c r="A506" s="14" t="n">
        <x:v>251</x:v>
      </x:c>
      <x:c r="B506" s="14" t="n">
        <x:v>7</x:v>
      </x:c>
      <x:c r="C506" s="14" t="n">
        <x:v>76005</x:v>
      </x:c>
      <x:c r="D506" s="2" t="str">
        <x:v>RED</x:v>
      </x:c>
      <x:c r="E506" s="2" t="str">
        <x:v>240만</x:v>
      </x:c>
      <x:c r="F506" s="2" t="str">
        <x:v>규칙형</x:v>
      </x:c>
      <x:c r="G506" s="2" t="str">
        <x:v>승</x:v>
      </x:c>
      <x:c r="H506" s="14" t="n">
        <x:v>2</x:v>
      </x:c>
      <x:c r="I506" s="14" t="n">
        <x:v>1</x:v>
      </x:c>
      <x:c r="J506" s="14" t="n">
        <x:v>7</x:v>
      </x:c>
      <x:c r="K506" s="14" t="n">
        <x:v>2</x:v>
      </x:c>
      <x:c r="L506" s="15" t="n">
        <x:f>IF(J506=0,"해당 없음",K506/J506)</x:f>
        <x:v>0.2857142857142857</x:v>
      </x:c>
      <x:c r="M506" s="14" t="n">
        <x:v>10</x:v>
      </x:c>
      <x:c r="N506" s="14" t="n">
        <x:v>5</x:v>
      </x:c>
      <x:c r="O506" s="15" t="n">
        <x:f>IF(M506=0,"해당 없음",N506/M506)</x:f>
        <x:v>0.5</x:v>
      </x:c>
      <x:c r="P506" s="14" t="n">
        <x:v>102</x:v>
      </x:c>
    </x:row>
    <x:row r="507" ht="22" customHeight="1">
      <x:c r="A507" s="14" t="n">
        <x:v>251</x:v>
      </x:c>
      <x:c r="B507" s="14" t="n">
        <x:v>7</x:v>
      </x:c>
      <x:c r="C507" s="14" t="n">
        <x:v>76005</x:v>
      </x:c>
      <x:c r="D507" s="2" t="str">
        <x:v>NAVY</x:v>
      </x:c>
      <x:c r="E507" s="2" t="str">
        <x:v>규칙형</x:v>
      </x:c>
      <x:c r="F507" s="2" t="str">
        <x:v>240만</x:v>
      </x:c>
      <x:c r="G507" s="2" t="str">
        <x:v>패</x:v>
      </x:c>
      <x:c r="H507" s="14" t="n">
        <x:v>1</x:v>
      </x:c>
      <x:c r="I507" s="14" t="n">
        <x:v>2</x:v>
      </x:c>
      <x:c r="J507" s="14" t="n">
        <x:v>6</x:v>
      </x:c>
      <x:c r="K507" s="14" t="n">
        <x:v>1</x:v>
      </x:c>
      <x:c r="L507" s="15" t="n">
        <x:f>IF(J507=0,"해당 없음",K507/J507)</x:f>
        <x:v>0.16666666666666666</x:v>
      </x:c>
      <x:c r="M507" s="14" t="n">
        <x:v>14</x:v>
      </x:c>
      <x:c r="N507" s="14" t="n">
        <x:v>11</x:v>
      </x:c>
      <x:c r="O507" s="15" t="n">
        <x:f>IF(M507=0,"해당 없음",N507/M507)</x:f>
        <x:v>0.7857142857142857</x:v>
      </x:c>
      <x:c r="P507" s="14" t="n">
        <x:v>102</x:v>
      </x:c>
    </x:row>
    <x:row r="508" ht="22" customHeight="1">
      <x:c r="A508" s="14" t="n">
        <x:v>252</x:v>
      </x:c>
      <x:c r="B508" s="14" t="n">
        <x:v>7</x:v>
      </x:c>
      <x:c r="C508" s="14" t="n">
        <x:v>76005</x:v>
      </x:c>
      <x:c r="D508" s="2" t="str">
        <x:v>RED</x:v>
      </x:c>
      <x:c r="E508" s="2" t="str">
        <x:v>규칙형</x:v>
      </x:c>
      <x:c r="F508" s="2" t="str">
        <x:v>240만</x:v>
      </x:c>
      <x:c r="G508" s="2" t="str">
        <x:v>패</x:v>
      </x:c>
      <x:c r="H508" s="14" t="n">
        <x:v>2</x:v>
      </x:c>
      <x:c r="I508" s="14" t="n">
        <x:v>9</x:v>
      </x:c>
      <x:c r="J508" s="14" t="n">
        <x:v>11</x:v>
      </x:c>
      <x:c r="K508" s="14" t="n">
        <x:v>2</x:v>
      </x:c>
      <x:c r="L508" s="15" t="n">
        <x:f>IF(J508=0,"해당 없음",K508/J508)</x:f>
        <x:v>0.18181818181818182</x:v>
      </x:c>
      <x:c r="M508" s="14" t="n">
        <x:v>9</x:v>
      </x:c>
      <x:c r="N508" s="14" t="n">
        <x:v>7</x:v>
      </x:c>
      <x:c r="O508" s="15" t="n">
        <x:f>IF(M508=0,"해당 없음",N508/M508)</x:f>
        <x:v>0.7777777777777778</x:v>
      </x:c>
      <x:c r="P508" s="14" t="n">
        <x:v>106</x:v>
      </x:c>
    </x:row>
    <x:row r="509" ht="22" customHeight="1">
      <x:c r="A509" s="14" t="n">
        <x:v>252</x:v>
      </x:c>
      <x:c r="B509" s="14" t="n">
        <x:v>7</x:v>
      </x:c>
      <x:c r="C509" s="14" t="n">
        <x:v>76005</x:v>
      </x:c>
      <x:c r="D509" s="2" t="str">
        <x:v>NAVY</x:v>
      </x:c>
      <x:c r="E509" s="2" t="str">
        <x:v>240만</x:v>
      </x:c>
      <x:c r="F509" s="2" t="str">
        <x:v>규칙형</x:v>
      </x:c>
      <x:c r="G509" s="2" t="str">
        <x:v>승</x:v>
      </x:c>
      <x:c r="H509" s="14" t="n">
        <x:v>9</x:v>
      </x:c>
      <x:c r="I509" s="14" t="n">
        <x:v>2</x:v>
      </x:c>
      <x:c r="J509" s="14" t="n">
        <x:v>11</x:v>
      </x:c>
      <x:c r="K509" s="14" t="n">
        <x:v>9</x:v>
      </x:c>
      <x:c r="L509" s="15" t="n">
        <x:f>IF(J509=0,"해당 없음",K509/J509)</x:f>
        <x:v>0.8181818181818182</x:v>
      </x:c>
      <x:c r="M509" s="14" t="n">
        <x:v>8</x:v>
      </x:c>
      <x:c r="N509" s="14" t="n">
        <x:v>6</x:v>
      </x:c>
      <x:c r="O509" s="15" t="n">
        <x:f>IF(M509=0,"해당 없음",N509/M509)</x:f>
        <x:v>0.75</x:v>
      </x:c>
      <x:c r="P509" s="14" t="n">
        <x:v>105</x:v>
      </x:c>
    </x:row>
    <x:row r="510" ht="22" customHeight="1">
      <x:c r="A510" s="14" t="n">
        <x:v>253</x:v>
      </x:c>
      <x:c r="B510" s="14" t="n">
        <x:v>7</x:v>
      </x:c>
      <x:c r="C510" s="14" t="n">
        <x:v>76006</x:v>
      </x:c>
      <x:c r="D510" s="2" t="str">
        <x:v>RED</x:v>
      </x:c>
      <x:c r="E510" s="2" t="str">
        <x:v>240만</x:v>
      </x:c>
      <x:c r="F510" s="2" t="str">
        <x:v>규칙형</x:v>
      </x:c>
      <x:c r="G510" s="2" t="str">
        <x:v>승</x:v>
      </x:c>
      <x:c r="H510" s="14" t="n">
        <x:v>5</x:v>
      </x:c>
      <x:c r="I510" s="14" t="n">
        <x:v>3</x:v>
      </x:c>
      <x:c r="J510" s="14" t="n">
        <x:v>8</x:v>
      </x:c>
      <x:c r="K510" s="14" t="n">
        <x:v>5</x:v>
      </x:c>
      <x:c r="L510" s="15" t="n">
        <x:f>IF(J510=0,"해당 없음",K510/J510)</x:f>
        <x:v>0.625</x:v>
      </x:c>
      <x:c r="M510" s="14" t="n">
        <x:v>10</x:v>
      </x:c>
      <x:c r="N510" s="14" t="n">
        <x:v>8</x:v>
      </x:c>
      <x:c r="O510" s="15" t="n">
        <x:f>IF(M510=0,"해당 없음",N510/M510)</x:f>
        <x:v>0.8</x:v>
      </x:c>
      <x:c r="P510" s="14" t="n">
        <x:v>102</x:v>
      </x:c>
    </x:row>
    <x:row r="511" ht="22" customHeight="1">
      <x:c r="A511" s="14" t="n">
        <x:v>253</x:v>
      </x:c>
      <x:c r="B511" s="14" t="n">
        <x:v>7</x:v>
      </x:c>
      <x:c r="C511" s="14" t="n">
        <x:v>76006</x:v>
      </x:c>
      <x:c r="D511" s="2" t="str">
        <x:v>NAVY</x:v>
      </x:c>
      <x:c r="E511" s="2" t="str">
        <x:v>규칙형</x:v>
      </x:c>
      <x:c r="F511" s="2" t="str">
        <x:v>240만</x:v>
      </x:c>
      <x:c r="G511" s="2" t="str">
        <x:v>패</x:v>
      </x:c>
      <x:c r="H511" s="14" t="n">
        <x:v>3</x:v>
      </x:c>
      <x:c r="I511" s="14" t="n">
        <x:v>5</x:v>
      </x:c>
      <x:c r="J511" s="14" t="n">
        <x:v>11</x:v>
      </x:c>
      <x:c r="K511" s="14" t="n">
        <x:v>3</x:v>
      </x:c>
      <x:c r="L511" s="15" t="n">
        <x:f>IF(J511=0,"해당 없음",K511/J511)</x:f>
        <x:v>0.2727272727272727</x:v>
      </x:c>
      <x:c r="M511" s="14" t="n">
        <x:v>9</x:v>
      </x:c>
      <x:c r="N511" s="14" t="n">
        <x:v>9</x:v>
      </x:c>
      <x:c r="O511" s="15" t="n">
        <x:f>IF(M511=0,"해당 없음",N511/M511)</x:f>
        <x:v>1</x:v>
      </x:c>
      <x:c r="P511" s="14" t="n">
        <x:v>100</x:v>
      </x:c>
    </x:row>
    <x:row r="512" ht="22" customHeight="1">
      <x:c r="A512" s="14" t="n">
        <x:v>254</x:v>
      </x:c>
      <x:c r="B512" s="14" t="n">
        <x:v>7</x:v>
      </x:c>
      <x:c r="C512" s="14" t="n">
        <x:v>76006</x:v>
      </x:c>
      <x:c r="D512" s="2" t="str">
        <x:v>RED</x:v>
      </x:c>
      <x:c r="E512" s="2" t="str">
        <x:v>규칙형</x:v>
      </x:c>
      <x:c r="F512" s="2" t="str">
        <x:v>240만</x:v>
      </x:c>
      <x:c r="G512" s="2" t="str">
        <x:v>승</x:v>
      </x:c>
      <x:c r="H512" s="14" t="n">
        <x:v>6</x:v>
      </x:c>
      <x:c r="I512" s="14" t="n">
        <x:v>2</x:v>
      </x:c>
      <x:c r="J512" s="14" t="n">
        <x:v>15</x:v>
      </x:c>
      <x:c r="K512" s="14" t="n">
        <x:v>6</x:v>
      </x:c>
      <x:c r="L512" s="15" t="n">
        <x:f>IF(J512=0,"해당 없음",K512/J512)</x:f>
        <x:v>0.4</x:v>
      </x:c>
      <x:c r="M512" s="14" t="n">
        <x:v>20</x:v>
      </x:c>
      <x:c r="N512" s="14" t="n">
        <x:v>19</x:v>
      </x:c>
      <x:c r="O512" s="15" t="n">
        <x:f>IF(M512=0,"해당 없음",N512/M512)</x:f>
        <x:v>0.95</x:v>
      </x:c>
      <x:c r="P512" s="14" t="n">
        <x:v>103</x:v>
      </x:c>
    </x:row>
    <x:row r="513" ht="22" customHeight="1">
      <x:c r="A513" s="14" t="n">
        <x:v>254</x:v>
      </x:c>
      <x:c r="B513" s="14" t="n">
        <x:v>7</x:v>
      </x:c>
      <x:c r="C513" s="14" t="n">
        <x:v>76006</x:v>
      </x:c>
      <x:c r="D513" s="2" t="str">
        <x:v>NAVY</x:v>
      </x:c>
      <x:c r="E513" s="2" t="str">
        <x:v>240만</x:v>
      </x:c>
      <x:c r="F513" s="2" t="str">
        <x:v>규칙형</x:v>
      </x:c>
      <x:c r="G513" s="2" t="str">
        <x:v>패</x:v>
      </x:c>
      <x:c r="H513" s="14" t="n">
        <x:v>2</x:v>
      </x:c>
      <x:c r="I513" s="14" t="n">
        <x:v>6</x:v>
      </x:c>
      <x:c r="J513" s="14" t="n">
        <x:v>7</x:v>
      </x:c>
      <x:c r="K513" s="14" t="n">
        <x:v>2</x:v>
      </x:c>
      <x:c r="L513" s="15" t="n">
        <x:f>IF(J513=0,"해당 없음",K513/J513)</x:f>
        <x:v>0.2857142857142857</x:v>
      </x:c>
      <x:c r="M513" s="14" t="n">
        <x:v>4</x:v>
      </x:c>
      <x:c r="N513" s="14" t="n">
        <x:v>2</x:v>
      </x:c>
      <x:c r="O513" s="15" t="n">
        <x:f>IF(M513=0,"해당 없음",N513/M513)</x:f>
        <x:v>0.5</x:v>
      </x:c>
      <x:c r="P513" s="14" t="n">
        <x:v>105</x:v>
      </x:c>
    </x:row>
    <x:row r="514" ht="22" customHeight="1">
      <x:c r="A514" s="14" t="n">
        <x:v>255</x:v>
      </x:c>
      <x:c r="B514" s="14" t="n">
        <x:v>7</x:v>
      </x:c>
      <x:c r="C514" s="14" t="n">
        <x:v>76007</x:v>
      </x:c>
      <x:c r="D514" s="2" t="str">
        <x:v>RED</x:v>
      </x:c>
      <x:c r="E514" s="2" t="str">
        <x:v>240만</x:v>
      </x:c>
      <x:c r="F514" s="2" t="str">
        <x:v>규칙형</x:v>
      </x:c>
      <x:c r="G514" s="2" t="str">
        <x:v>무</x:v>
      </x:c>
      <x:c r="H514" s="14" t="n">
        <x:v>3</x:v>
      </x:c>
      <x:c r="I514" s="14" t="n">
        <x:v>3</x:v>
      </x:c>
      <x:c r="J514" s="14" t="n">
        <x:v>6</x:v>
      </x:c>
      <x:c r="K514" s="14" t="n">
        <x:v>3</x:v>
      </x:c>
      <x:c r="L514" s="15" t="n">
        <x:f>IF(J514=0,"해당 없음",K514/J514)</x:f>
        <x:v>0.5</x:v>
      </x:c>
      <x:c r="M514" s="14" t="n">
        <x:v>9</x:v>
      </x:c>
      <x:c r="N514" s="14" t="n">
        <x:v>4</x:v>
      </x:c>
      <x:c r="O514" s="15" t="n">
        <x:f>IF(M514=0,"해당 없음",N514/M514)</x:f>
        <x:v>0.4444444444444444</x:v>
      </x:c>
      <x:c r="P514" s="14" t="n">
        <x:v>103</x:v>
      </x:c>
    </x:row>
    <x:row r="515" ht="22" customHeight="1">
      <x:c r="A515" s="14" t="n">
        <x:v>255</x:v>
      </x:c>
      <x:c r="B515" s="14" t="n">
        <x:v>7</x:v>
      </x:c>
      <x:c r="C515" s="14" t="n">
        <x:v>76007</x:v>
      </x:c>
      <x:c r="D515" s="2" t="str">
        <x:v>NAVY</x:v>
      </x:c>
      <x:c r="E515" s="2" t="str">
        <x:v>규칙형</x:v>
      </x:c>
      <x:c r="F515" s="2" t="str">
        <x:v>240만</x:v>
      </x:c>
      <x:c r="G515" s="2" t="str">
        <x:v>무</x:v>
      </x:c>
      <x:c r="H515" s="14" t="n">
        <x:v>3</x:v>
      </x:c>
      <x:c r="I515" s="14" t="n">
        <x:v>3</x:v>
      </x:c>
      <x:c r="J515" s="14" t="n">
        <x:v>10</x:v>
      </x:c>
      <x:c r="K515" s="14" t="n">
        <x:v>3</x:v>
      </x:c>
      <x:c r="L515" s="15" t="n">
        <x:f>IF(J515=0,"해당 없음",K515/J515)</x:f>
        <x:v>0.3</x:v>
      </x:c>
      <x:c r="M515" s="14" t="n">
        <x:v>14</x:v>
      </x:c>
      <x:c r="N515" s="14" t="n">
        <x:v>10</x:v>
      </x:c>
      <x:c r="O515" s="15" t="n">
        <x:f>IF(M515=0,"해당 없음",N515/M515)</x:f>
        <x:v>0.7142857142857143</x:v>
      </x:c>
      <x:c r="P515" s="14" t="n">
        <x:v>104</x:v>
      </x:c>
    </x:row>
    <x:row r="516" ht="22" customHeight="1">
      <x:c r="A516" s="14" t="n">
        <x:v>256</x:v>
      </x:c>
      <x:c r="B516" s="14" t="n">
        <x:v>7</x:v>
      </x:c>
      <x:c r="C516" s="14" t="n">
        <x:v>76007</x:v>
      </x:c>
      <x:c r="D516" s="2" t="str">
        <x:v>RED</x:v>
      </x:c>
      <x:c r="E516" s="2" t="str">
        <x:v>규칙형</x:v>
      </x:c>
      <x:c r="F516" s="2" t="str">
        <x:v>240만</x:v>
      </x:c>
      <x:c r="G516" s="2" t="str">
        <x:v>승</x:v>
      </x:c>
      <x:c r="H516" s="14" t="n">
        <x:v>4</x:v>
      </x:c>
      <x:c r="I516" s="14" t="n">
        <x:v>3</x:v>
      </x:c>
      <x:c r="J516" s="14" t="n">
        <x:v>12</x:v>
      </x:c>
      <x:c r="K516" s="14" t="n">
        <x:v>3</x:v>
      </x:c>
      <x:c r="L516" s="15" t="n">
        <x:f>IF(J516=0,"해당 없음",K516/J516)</x:f>
        <x:v>0.25</x:v>
      </x:c>
      <x:c r="M516" s="14" t="n">
        <x:v>17</x:v>
      </x:c>
      <x:c r="N516" s="14" t="n">
        <x:v>13</x:v>
      </x:c>
      <x:c r="O516" s="15" t="n">
        <x:f>IF(M516=0,"해당 없음",N516/M516)</x:f>
        <x:v>0.7647058823529411</x:v>
      </x:c>
      <x:c r="P516" s="14" t="n">
        <x:v>103</x:v>
      </x:c>
    </x:row>
    <x:row r="517" ht="22" customHeight="1">
      <x:c r="A517" s="14" t="n">
        <x:v>256</x:v>
      </x:c>
      <x:c r="B517" s="14" t="n">
        <x:v>7</x:v>
      </x:c>
      <x:c r="C517" s="14" t="n">
        <x:v>76007</x:v>
      </x:c>
      <x:c r="D517" s="2" t="str">
        <x:v>NAVY</x:v>
      </x:c>
      <x:c r="E517" s="2" t="str">
        <x:v>240만</x:v>
      </x:c>
      <x:c r="F517" s="2" t="str">
        <x:v>규칙형</x:v>
      </x:c>
      <x:c r="G517" s="2" t="str">
        <x:v>패</x:v>
      </x:c>
      <x:c r="H517" s="14" t="n">
        <x:v>3</x:v>
      </x:c>
      <x:c r="I517" s="14" t="n">
        <x:v>4</x:v>
      </x:c>
      <x:c r="J517" s="14" t="n">
        <x:v>7</x:v>
      </x:c>
      <x:c r="K517" s="14" t="n">
        <x:v>3</x:v>
      </x:c>
      <x:c r="L517" s="15" t="n">
        <x:f>IF(J517=0,"해당 없음",K517/J517)</x:f>
        <x:v>0.42857142857142855</x:v>
      </x:c>
      <x:c r="M517" s="14" t="n">
        <x:v>6</x:v>
      </x:c>
      <x:c r="N517" s="14" t="n">
        <x:v>5</x:v>
      </x:c>
      <x:c r="O517" s="15" t="n">
        <x:f>IF(M517=0,"해당 없음",N517/M517)</x:f>
        <x:v>0.8333333333333334</x:v>
      </x:c>
      <x:c r="P517" s="14" t="n">
        <x:v>105</x:v>
      </x:c>
    </x:row>
    <x:row r="518" ht="22" customHeight="1">
      <x:c r="A518" s="14" t="n">
        <x:v>257</x:v>
      </x:c>
      <x:c r="B518" s="14" t="n">
        <x:v>7</x:v>
      </x:c>
      <x:c r="C518" s="14" t="n">
        <x:v>76008</x:v>
      </x:c>
      <x:c r="D518" s="2" t="str">
        <x:v>RED</x:v>
      </x:c>
      <x:c r="E518" s="2" t="str">
        <x:v>240만</x:v>
      </x:c>
      <x:c r="F518" s="2" t="str">
        <x:v>규칙형</x:v>
      </x:c>
      <x:c r="G518" s="2" t="str">
        <x:v>승</x:v>
      </x:c>
      <x:c r="H518" s="14" t="n">
        <x:v>9</x:v>
      </x:c>
      <x:c r="I518" s="14" t="n">
        <x:v>1</x:v>
      </x:c>
      <x:c r="J518" s="14" t="n">
        <x:v>11</x:v>
      </x:c>
      <x:c r="K518" s="14" t="n">
        <x:v>9</x:v>
      </x:c>
      <x:c r="L518" s="15" t="n">
        <x:f>IF(J518=0,"해당 없음",K518/J518)</x:f>
        <x:v>0.8181818181818182</x:v>
      </x:c>
      <x:c r="M518" s="14" t="n">
        <x:v>7</x:v>
      </x:c>
      <x:c r="N518" s="14" t="n">
        <x:v>5</x:v>
      </x:c>
      <x:c r="O518" s="15" t="n">
        <x:f>IF(M518=0,"해당 없음",N518/M518)</x:f>
        <x:v>0.7142857142857143</x:v>
      </x:c>
      <x:c r="P518" s="14" t="n">
        <x:v>104</x:v>
      </x:c>
    </x:row>
    <x:row r="519" ht="22" customHeight="1">
      <x:c r="A519" s="14" t="n">
        <x:v>257</x:v>
      </x:c>
      <x:c r="B519" s="14" t="n">
        <x:v>7</x:v>
      </x:c>
      <x:c r="C519" s="14" t="n">
        <x:v>76008</x:v>
      </x:c>
      <x:c r="D519" s="2" t="str">
        <x:v>NAVY</x:v>
      </x:c>
      <x:c r="E519" s="2" t="str">
        <x:v>규칙형</x:v>
      </x:c>
      <x:c r="F519" s="2" t="str">
        <x:v>240만</x:v>
      </x:c>
      <x:c r="G519" s="2" t="str">
        <x:v>패</x:v>
      </x:c>
      <x:c r="H519" s="14" t="n">
        <x:v>1</x:v>
      </x:c>
      <x:c r="I519" s="14" t="n">
        <x:v>9</x:v>
      </x:c>
      <x:c r="J519" s="14" t="n">
        <x:v>7</x:v>
      </x:c>
      <x:c r="K519" s="14" t="n">
        <x:v>1</x:v>
      </x:c>
      <x:c r="L519" s="15" t="n">
        <x:f>IF(J519=0,"해당 없음",K519/J519)</x:f>
        <x:v>0.14285714285714285</x:v>
      </x:c>
      <x:c r="M519" s="14" t="n">
        <x:v>8</x:v>
      </x:c>
      <x:c r="N519" s="14" t="n">
        <x:v>6</x:v>
      </x:c>
      <x:c r="O519" s="15" t="n">
        <x:f>IF(M519=0,"해당 없음",N519/M519)</x:f>
        <x:v>0.75</x:v>
      </x:c>
      <x:c r="P519" s="14" t="n">
        <x:v>105</x:v>
      </x:c>
    </x:row>
    <x:row r="520" ht="22" customHeight="1">
      <x:c r="A520" s="14" t="n">
        <x:v>258</x:v>
      </x:c>
      <x:c r="B520" s="14" t="n">
        <x:v>7</x:v>
      </x:c>
      <x:c r="C520" s="14" t="n">
        <x:v>76008</x:v>
      </x:c>
      <x:c r="D520" s="2" t="str">
        <x:v>RED</x:v>
      </x:c>
      <x:c r="E520" s="2" t="str">
        <x:v>규칙형</x:v>
      </x:c>
      <x:c r="F520" s="2" t="str">
        <x:v>240만</x:v>
      </x:c>
      <x:c r="G520" s="2" t="str">
        <x:v>승</x:v>
      </x:c>
      <x:c r="H520" s="14" t="n">
        <x:v>5</x:v>
      </x:c>
      <x:c r="I520" s="14" t="n">
        <x:v>2</x:v>
      </x:c>
      <x:c r="J520" s="14" t="n">
        <x:v>14</x:v>
      </x:c>
      <x:c r="K520" s="14" t="n">
        <x:v>5</x:v>
      </x:c>
      <x:c r="L520" s="15" t="n">
        <x:f>IF(J520=0,"해당 없음",K520/J520)</x:f>
        <x:v>0.35714285714285715</x:v>
      </x:c>
      <x:c r="M520" s="14" t="n">
        <x:v>19</x:v>
      </x:c>
      <x:c r="N520" s="14" t="n">
        <x:v>14</x:v>
      </x:c>
      <x:c r="O520" s="15" t="n">
        <x:f>IF(M520=0,"해당 없음",N520/M520)</x:f>
        <x:v>0.7368421052631579</x:v>
      </x:c>
      <x:c r="P520" s="14" t="n">
        <x:v>105</x:v>
      </x:c>
    </x:row>
    <x:row r="521" ht="22" customHeight="1">
      <x:c r="A521" s="14" t="n">
        <x:v>258</x:v>
      </x:c>
      <x:c r="B521" s="14" t="n">
        <x:v>7</x:v>
      </x:c>
      <x:c r="C521" s="14" t="n">
        <x:v>76008</x:v>
      </x:c>
      <x:c r="D521" s="2" t="str">
        <x:v>NAVY</x:v>
      </x:c>
      <x:c r="E521" s="2" t="str">
        <x:v>240만</x:v>
      </x:c>
      <x:c r="F521" s="2" t="str">
        <x:v>규칙형</x:v>
      </x:c>
      <x:c r="G521" s="2" t="str">
        <x:v>패</x:v>
      </x:c>
      <x:c r="H521" s="14" t="n">
        <x:v>2</x:v>
      </x:c>
      <x:c r="I521" s="14" t="n">
        <x:v>5</x:v>
      </x:c>
      <x:c r="J521" s="14" t="n">
        <x:v>7</x:v>
      </x:c>
      <x:c r="K521" s="14" t="n">
        <x:v>2</x:v>
      </x:c>
      <x:c r="L521" s="15" t="n">
        <x:f>IF(J521=0,"해당 없음",K521/J521)</x:f>
        <x:v>0.2857142857142857</x:v>
      </x:c>
      <x:c r="M521" s="14" t="n">
        <x:v>6</x:v>
      </x:c>
      <x:c r="N521" s="14" t="n">
        <x:v>5</x:v>
      </x:c>
      <x:c r="O521" s="15" t="n">
        <x:f>IF(M521=0,"해당 없음",N521/M521)</x:f>
        <x:v>0.8333333333333334</x:v>
      </x:c>
      <x:c r="P521" s="14" t="n">
        <x:v>104</x:v>
      </x:c>
    </x:row>
    <x:row r="522" ht="22" customHeight="1">
      <x:c r="A522" s="14" t="n">
        <x:v>259</x:v>
      </x:c>
      <x:c r="B522" s="14" t="n">
        <x:v>7</x:v>
      </x:c>
      <x:c r="C522" s="14" t="n">
        <x:v>76009</x:v>
      </x:c>
      <x:c r="D522" s="2" t="str">
        <x:v>RED</x:v>
      </x:c>
      <x:c r="E522" s="2" t="str">
        <x:v>240만</x:v>
      </x:c>
      <x:c r="F522" s="2" t="str">
        <x:v>규칙형</x:v>
      </x:c>
      <x:c r="G522" s="2" t="str">
        <x:v>승</x:v>
      </x:c>
      <x:c r="H522" s="14" t="n">
        <x:v>8</x:v>
      </x:c>
      <x:c r="I522" s="14" t="n">
        <x:v>1</x:v>
      </x:c>
      <x:c r="J522" s="14" t="n">
        <x:v>13</x:v>
      </x:c>
      <x:c r="K522" s="14" t="n">
        <x:v>8</x:v>
      </x:c>
      <x:c r="L522" s="15" t="n">
        <x:f>IF(J522=0,"해당 없음",K522/J522)</x:f>
        <x:v>0.6153846153846154</x:v>
      </x:c>
      <x:c r="M522" s="14" t="n">
        <x:v>12</x:v>
      </x:c>
      <x:c r="N522" s="14" t="n">
        <x:v>6</x:v>
      </x:c>
      <x:c r="O522" s="15" t="n">
        <x:f>IF(M522=0,"해당 없음",N522/M522)</x:f>
        <x:v>0.5</x:v>
      </x:c>
      <x:c r="P522" s="14" t="n">
        <x:v>105</x:v>
      </x:c>
    </x:row>
    <x:row r="523" ht="22" customHeight="1">
      <x:c r="A523" s="14" t="n">
        <x:v>259</x:v>
      </x:c>
      <x:c r="B523" s="14" t="n">
        <x:v>7</x:v>
      </x:c>
      <x:c r="C523" s="14" t="n">
        <x:v>76009</x:v>
      </x:c>
      <x:c r="D523" s="2" t="str">
        <x:v>NAVY</x:v>
      </x:c>
      <x:c r="E523" s="2" t="str">
        <x:v>규칙형</x:v>
      </x:c>
      <x:c r="F523" s="2" t="str">
        <x:v>240만</x:v>
      </x:c>
      <x:c r="G523" s="2" t="str">
        <x:v>패</x:v>
      </x:c>
      <x:c r="H523" s="14" t="n">
        <x:v>1</x:v>
      </x:c>
      <x:c r="I523" s="14" t="n">
        <x:v>8</x:v>
      </x:c>
      <x:c r="J523" s="14" t="n">
        <x:v>4</x:v>
      </x:c>
      <x:c r="K523" s="14" t="n">
        <x:v>1</x:v>
      </x:c>
      <x:c r="L523" s="15" t="n">
        <x:f>IF(J523=0,"해당 없음",K523/J523)</x:f>
        <x:v>0.25</x:v>
      </x:c>
      <x:c r="M523" s="14" t="n">
        <x:v>7</x:v>
      </x:c>
      <x:c r="N523" s="14" t="n">
        <x:v>5</x:v>
      </x:c>
      <x:c r="O523" s="15" t="n">
        <x:f>IF(M523=0,"해당 없음",N523/M523)</x:f>
        <x:v>0.7142857142857143</x:v>
      </x:c>
      <x:c r="P523" s="14" t="n">
        <x:v>104</x:v>
      </x:c>
    </x:row>
    <x:row r="524" ht="22" customHeight="1">
      <x:c r="A524" s="14" t="n">
        <x:v>260</x:v>
      </x:c>
      <x:c r="B524" s="14" t="n">
        <x:v>7</x:v>
      </x:c>
      <x:c r="C524" s="14" t="n">
        <x:v>76009</x:v>
      </x:c>
      <x:c r="D524" s="2" t="str">
        <x:v>RED</x:v>
      </x:c>
      <x:c r="E524" s="2" t="str">
        <x:v>규칙형</x:v>
      </x:c>
      <x:c r="F524" s="2" t="str">
        <x:v>240만</x:v>
      </x:c>
      <x:c r="G524" s="2" t="str">
        <x:v>패</x:v>
      </x:c>
      <x:c r="H524" s="14" t="n">
        <x:v>1</x:v>
      </x:c>
      <x:c r="I524" s="14" t="n">
        <x:v>5</x:v>
      </x:c>
      <x:c r="J524" s="14" t="n">
        <x:v>9</x:v>
      </x:c>
      <x:c r="K524" s="14" t="n">
        <x:v>1</x:v>
      </x:c>
      <x:c r="L524" s="15" t="n">
        <x:f>IF(J524=0,"해당 없음",K524/J524)</x:f>
        <x:v>0.1111111111111111</x:v>
      </x:c>
      <x:c r="M524" s="14" t="n">
        <x:v>7</x:v>
      </x:c>
      <x:c r="N524" s="14" t="n">
        <x:v>4</x:v>
      </x:c>
      <x:c r="O524" s="15" t="n">
        <x:f>IF(M524=0,"해당 없음",N524/M524)</x:f>
        <x:v>0.5714285714285714</x:v>
      </x:c>
      <x:c r="P524" s="14" t="n">
        <x:v>104</x:v>
      </x:c>
    </x:row>
    <x:row r="525" ht="22" customHeight="1">
      <x:c r="A525" s="14" t="n">
        <x:v>260</x:v>
      </x:c>
      <x:c r="B525" s="14" t="n">
        <x:v>7</x:v>
      </x:c>
      <x:c r="C525" s="14" t="n">
        <x:v>76009</x:v>
      </x:c>
      <x:c r="D525" s="2" t="str">
        <x:v>NAVY</x:v>
      </x:c>
      <x:c r="E525" s="2" t="str">
        <x:v>240만</x:v>
      </x:c>
      <x:c r="F525" s="2" t="str">
        <x:v>규칙형</x:v>
      </x:c>
      <x:c r="G525" s="2" t="str">
        <x:v>승</x:v>
      </x:c>
      <x:c r="H525" s="14" t="n">
        <x:v>5</x:v>
      </x:c>
      <x:c r="I525" s="14" t="n">
        <x:v>1</x:v>
      </x:c>
      <x:c r="J525" s="14" t="n">
        <x:v>10</x:v>
      </x:c>
      <x:c r="K525" s="14" t="n">
        <x:v>5</x:v>
      </x:c>
      <x:c r="L525" s="15" t="n">
        <x:f>IF(J525=0,"해당 없음",K525/J525)</x:f>
        <x:v>0.5</x:v>
      </x:c>
      <x:c r="M525" s="14" t="n">
        <x:v>6</x:v>
      </x:c>
      <x:c r="N525" s="14" t="n">
        <x:v>6</x:v>
      </x:c>
      <x:c r="O525" s="15" t="n">
        <x:f>IF(M525=0,"해당 없음",N525/M525)</x:f>
        <x:v>1</x:v>
      </x:c>
      <x:c r="P525" s="14" t="n">
        <x:v>102</x:v>
      </x:c>
    </x:row>
    <x:row r="526" ht="22" customHeight="1">
      <x:c r="A526" s="14" t="n">
        <x:v>261</x:v>
      </x:c>
      <x:c r="B526" s="14" t="n">
        <x:v>7</x:v>
      </x:c>
      <x:c r="C526" s="14" t="n">
        <x:v>76010</x:v>
      </x:c>
      <x:c r="D526" s="2" t="str">
        <x:v>RED</x:v>
      </x:c>
      <x:c r="E526" s="2" t="str">
        <x:v>240만</x:v>
      </x:c>
      <x:c r="F526" s="2" t="str">
        <x:v>규칙형</x:v>
      </x:c>
      <x:c r="G526" s="2" t="str">
        <x:v>승</x:v>
      </x:c>
      <x:c r="H526" s="14" t="n">
        <x:v>6</x:v>
      </x:c>
      <x:c r="I526" s="14" t="n">
        <x:v>0</x:v>
      </x:c>
      <x:c r="J526" s="14" t="n">
        <x:v>10</x:v>
      </x:c>
      <x:c r="K526" s="14" t="n">
        <x:v>6</x:v>
      </x:c>
      <x:c r="L526" s="15" t="n">
        <x:f>IF(J526=0,"해당 없음",K526/J526)</x:f>
        <x:v>0.6</x:v>
      </x:c>
      <x:c r="M526" s="14" t="n">
        <x:v>10</x:v>
      </x:c>
      <x:c r="N526" s="14" t="n">
        <x:v>8</x:v>
      </x:c>
      <x:c r="O526" s="15" t="n">
        <x:f>IF(M526=0,"해당 없음",N526/M526)</x:f>
        <x:v>0.8</x:v>
      </x:c>
      <x:c r="P526" s="14" t="n">
        <x:v>104</x:v>
      </x:c>
    </x:row>
    <x:row r="527" ht="22" customHeight="1">
      <x:c r="A527" s="14" t="n">
        <x:v>261</x:v>
      </x:c>
      <x:c r="B527" s="14" t="n">
        <x:v>7</x:v>
      </x:c>
      <x:c r="C527" s="14" t="n">
        <x:v>76010</x:v>
      </x:c>
      <x:c r="D527" s="2" t="str">
        <x:v>NAVY</x:v>
      </x:c>
      <x:c r="E527" s="2" t="str">
        <x:v>규칙형</x:v>
      </x:c>
      <x:c r="F527" s="2" t="str">
        <x:v>240만</x:v>
      </x:c>
      <x:c r="G527" s="2" t="str">
        <x:v>패</x:v>
      </x:c>
      <x:c r="H527" s="14" t="n">
        <x:v>0</x:v>
      </x:c>
      <x:c r="I527" s="14" t="n">
        <x:v>6</x:v>
      </x:c>
      <x:c r="J527" s="14" t="n">
        <x:v>4</x:v>
      </x:c>
      <x:c r="K527" s="14" t="n">
        <x:v>0</x:v>
      </x:c>
      <x:c r="L527" s="15" t="n">
        <x:f>IF(J527=0,"해당 없음",K527/J527)</x:f>
        <x:v>0</x:v>
      </x:c>
      <x:c r="M527" s="14" t="n">
        <x:v>5</x:v>
      </x:c>
      <x:c r="N527" s="14" t="n">
        <x:v>3</x:v>
      </x:c>
      <x:c r="O527" s="15" t="n">
        <x:f>IF(M527=0,"해당 없음",N527/M527)</x:f>
        <x:v>0.6</x:v>
      </x:c>
      <x:c r="P527" s="14" t="n">
        <x:v>105</x:v>
      </x:c>
    </x:row>
    <x:row r="528" ht="22" customHeight="1">
      <x:c r="A528" s="14" t="n">
        <x:v>262</x:v>
      </x:c>
      <x:c r="B528" s="14" t="n">
        <x:v>7</x:v>
      </x:c>
      <x:c r="C528" s="14" t="n">
        <x:v>76010</x:v>
      </x:c>
      <x:c r="D528" s="2" t="str">
        <x:v>RED</x:v>
      </x:c>
      <x:c r="E528" s="2" t="str">
        <x:v>규칙형</x:v>
      </x:c>
      <x:c r="F528" s="2" t="str">
        <x:v>240만</x:v>
      </x:c>
      <x:c r="G528" s="2" t="str">
        <x:v>무</x:v>
      </x:c>
      <x:c r="H528" s="14" t="n">
        <x:v>3</x:v>
      </x:c>
      <x:c r="I528" s="14" t="n">
        <x:v>3</x:v>
      </x:c>
      <x:c r="J528" s="14" t="n">
        <x:v>12</x:v>
      </x:c>
      <x:c r="K528" s="14" t="n">
        <x:v>3</x:v>
      </x:c>
      <x:c r="L528" s="15" t="n">
        <x:f>IF(J528=0,"해당 없음",K528/J528)</x:f>
        <x:v>0.25</x:v>
      </x:c>
      <x:c r="M528" s="14" t="n">
        <x:v>11</x:v>
      </x:c>
      <x:c r="N528" s="14" t="n">
        <x:v>11</x:v>
      </x:c>
      <x:c r="O528" s="15" t="n">
        <x:f>IF(M528=0,"해당 없음",N528/M528)</x:f>
        <x:v>1</x:v>
      </x:c>
      <x:c r="P528" s="14" t="n">
        <x:v>104</x:v>
      </x:c>
    </x:row>
    <x:row r="529" ht="22" customHeight="1">
      <x:c r="A529" s="14" t="n">
        <x:v>262</x:v>
      </x:c>
      <x:c r="B529" s="14" t="n">
        <x:v>7</x:v>
      </x:c>
      <x:c r="C529" s="14" t="n">
        <x:v>76010</x:v>
      </x:c>
      <x:c r="D529" s="2" t="str">
        <x:v>NAVY</x:v>
      </x:c>
      <x:c r="E529" s="2" t="str">
        <x:v>240만</x:v>
      </x:c>
      <x:c r="F529" s="2" t="str">
        <x:v>규칙형</x:v>
      </x:c>
      <x:c r="G529" s="2" t="str">
        <x:v>무</x:v>
      </x:c>
      <x:c r="H529" s="14" t="n">
        <x:v>3</x:v>
      </x:c>
      <x:c r="I529" s="14" t="n">
        <x:v>3</x:v>
      </x:c>
      <x:c r="J529" s="14" t="n">
        <x:v>6</x:v>
      </x:c>
      <x:c r="K529" s="14" t="n">
        <x:v>3</x:v>
      </x:c>
      <x:c r="L529" s="15" t="n">
        <x:f>IF(J529=0,"해당 없음",K529/J529)</x:f>
        <x:v>0.5</x:v>
      </x:c>
      <x:c r="M529" s="14" t="n">
        <x:v>7</x:v>
      </x:c>
      <x:c r="N529" s="14" t="n">
        <x:v>4</x:v>
      </x:c>
      <x:c r="O529" s="15" t="n">
        <x:f>IF(M529=0,"해당 없음",N529/M529)</x:f>
        <x:v>0.5714285714285714</x:v>
      </x:c>
      <x:c r="P529" s="14" t="n">
        <x:v>104</x:v>
      </x:c>
    </x:row>
    <x:row r="530" ht="22" customHeight="1">
      <x:c r="A530" s="14" t="n">
        <x:v>263</x:v>
      </x:c>
      <x:c r="B530" s="14" t="n">
        <x:v>7</x:v>
      </x:c>
      <x:c r="C530" s="14" t="n">
        <x:v>76011</x:v>
      </x:c>
      <x:c r="D530" s="2" t="str">
        <x:v>RED</x:v>
      </x:c>
      <x:c r="E530" s="2" t="str">
        <x:v>240만</x:v>
      </x:c>
      <x:c r="F530" s="2" t="str">
        <x:v>규칙형</x:v>
      </x:c>
      <x:c r="G530" s="2" t="str">
        <x:v>승</x:v>
      </x:c>
      <x:c r="H530" s="14" t="n">
        <x:v>6</x:v>
      </x:c>
      <x:c r="I530" s="14" t="n">
        <x:v>0</x:v>
      </x:c>
      <x:c r="J530" s="14" t="n">
        <x:v>12</x:v>
      </x:c>
      <x:c r="K530" s="14" t="n">
        <x:v>6</x:v>
      </x:c>
      <x:c r="L530" s="15" t="n">
        <x:f>IF(J530=0,"해당 없음",K530/J530)</x:f>
        <x:v>0.5</x:v>
      </x:c>
      <x:c r="M530" s="14" t="n">
        <x:v>5</x:v>
      </x:c>
      <x:c r="N530" s="14" t="n">
        <x:v>5</x:v>
      </x:c>
      <x:c r="O530" s="15" t="n">
        <x:f>IF(M530=0,"해당 없음",N530/M530)</x:f>
        <x:v>1</x:v>
      </x:c>
      <x:c r="P530" s="14" t="n">
        <x:v>103</x:v>
      </x:c>
    </x:row>
    <x:row r="531" ht="22" customHeight="1">
      <x:c r="A531" s="14" t="n">
        <x:v>263</x:v>
      </x:c>
      <x:c r="B531" s="14" t="n">
        <x:v>7</x:v>
      </x:c>
      <x:c r="C531" s="14" t="n">
        <x:v>76011</x:v>
      </x:c>
      <x:c r="D531" s="2" t="str">
        <x:v>NAVY</x:v>
      </x:c>
      <x:c r="E531" s="2" t="str">
        <x:v>규칙형</x:v>
      </x:c>
      <x:c r="F531" s="2" t="str">
        <x:v>240만</x:v>
      </x:c>
      <x:c r="G531" s="2" t="str">
        <x:v>패</x:v>
      </x:c>
      <x:c r="H531" s="14" t="n">
        <x:v>0</x:v>
      </x:c>
      <x:c r="I531" s="14" t="n">
        <x:v>6</x:v>
      </x:c>
      <x:c r="J531" s="14" t="n">
        <x:v>5</x:v>
      </x:c>
      <x:c r="K531" s="14" t="n">
        <x:v>0</x:v>
      </x:c>
      <x:c r="L531" s="15" t="n">
        <x:f>IF(J531=0,"해당 없음",K531/J531)</x:f>
        <x:v>0</x:v>
      </x:c>
      <x:c r="M531" s="14" t="n">
        <x:v>11</x:v>
      </x:c>
      <x:c r="N531" s="14" t="n">
        <x:v>10</x:v>
      </x:c>
      <x:c r="O531" s="15" t="n">
        <x:f>IF(M531=0,"해당 없음",N531/M531)</x:f>
        <x:v>0.9090909090909091</x:v>
      </x:c>
      <x:c r="P531" s="14" t="n">
        <x:v>102</x:v>
      </x:c>
    </x:row>
    <x:row r="532" ht="22" customHeight="1">
      <x:c r="A532" s="14" t="n">
        <x:v>264</x:v>
      </x:c>
      <x:c r="B532" s="14" t="n">
        <x:v>7</x:v>
      </x:c>
      <x:c r="C532" s="14" t="n">
        <x:v>76011</x:v>
      </x:c>
      <x:c r="D532" s="2" t="str">
        <x:v>RED</x:v>
      </x:c>
      <x:c r="E532" s="2" t="str">
        <x:v>규칙형</x:v>
      </x:c>
      <x:c r="F532" s="2" t="str">
        <x:v>240만</x:v>
      </x:c>
      <x:c r="G532" s="2" t="str">
        <x:v>무</x:v>
      </x:c>
      <x:c r="H532" s="14" t="n">
        <x:v>3</x:v>
      </x:c>
      <x:c r="I532" s="14" t="n">
        <x:v>3</x:v>
      </x:c>
      <x:c r="J532" s="14" t="n">
        <x:v>10</x:v>
      </x:c>
      <x:c r="K532" s="14" t="n">
        <x:v>3</x:v>
      </x:c>
      <x:c r="L532" s="15" t="n">
        <x:f>IF(J532=0,"해당 없음",K532/J532)</x:f>
        <x:v>0.3</x:v>
      </x:c>
      <x:c r="M532" s="14" t="n">
        <x:v>13</x:v>
      </x:c>
      <x:c r="N532" s="14" t="n">
        <x:v>11</x:v>
      </x:c>
      <x:c r="O532" s="15" t="n">
        <x:f>IF(M532=0,"해당 없음",N532/M532)</x:f>
        <x:v>0.8461538461538461</x:v>
      </x:c>
      <x:c r="P532" s="14" t="n">
        <x:v>105</x:v>
      </x:c>
    </x:row>
    <x:row r="533" ht="22" customHeight="1">
      <x:c r="A533" s="14" t="n">
        <x:v>264</x:v>
      </x:c>
      <x:c r="B533" s="14" t="n">
        <x:v>7</x:v>
      </x:c>
      <x:c r="C533" s="14" t="n">
        <x:v>76011</x:v>
      </x:c>
      <x:c r="D533" s="2" t="str">
        <x:v>NAVY</x:v>
      </x:c>
      <x:c r="E533" s="2" t="str">
        <x:v>240만</x:v>
      </x:c>
      <x:c r="F533" s="2" t="str">
        <x:v>규칙형</x:v>
      </x:c>
      <x:c r="G533" s="2" t="str">
        <x:v>무</x:v>
      </x:c>
      <x:c r="H533" s="14" t="n">
        <x:v>3</x:v>
      </x:c>
      <x:c r="I533" s="14" t="n">
        <x:v>3</x:v>
      </x:c>
      <x:c r="J533" s="14" t="n">
        <x:v>6</x:v>
      </x:c>
      <x:c r="K533" s="14" t="n">
        <x:v>3</x:v>
      </x:c>
      <x:c r="L533" s="15" t="n">
        <x:f>IF(J533=0,"해당 없음",K533/J533)</x:f>
        <x:v>0.5</x:v>
      </x:c>
      <x:c r="M533" s="14" t="n">
        <x:v>6</x:v>
      </x:c>
      <x:c r="N533" s="14" t="n">
        <x:v>6</x:v>
      </x:c>
      <x:c r="O533" s="15" t="n">
        <x:f>IF(M533=0,"해당 없음",N533/M533)</x:f>
        <x:v>1</x:v>
      </x:c>
      <x:c r="P533" s="14" t="n">
        <x:v>103</x:v>
      </x:c>
    </x:row>
    <x:row r="534" ht="22" customHeight="1">
      <x:c r="A534" s="14" t="n">
        <x:v>265</x:v>
      </x:c>
      <x:c r="B534" s="14" t="n">
        <x:v>7</x:v>
      </x:c>
      <x:c r="C534" s="14" t="n">
        <x:v>76012</x:v>
      </x:c>
      <x:c r="D534" s="2" t="str">
        <x:v>RED</x:v>
      </x:c>
      <x:c r="E534" s="2" t="str">
        <x:v>240만</x:v>
      </x:c>
      <x:c r="F534" s="2" t="str">
        <x:v>규칙형</x:v>
      </x:c>
      <x:c r="G534" s="2" t="str">
        <x:v>승</x:v>
      </x:c>
      <x:c r="H534" s="14" t="n">
        <x:v>4</x:v>
      </x:c>
      <x:c r="I534" s="14" t="n">
        <x:v>2</x:v>
      </x:c>
      <x:c r="J534" s="14" t="n">
        <x:v>11</x:v>
      </x:c>
      <x:c r="K534" s="14" t="n">
        <x:v>4</x:v>
      </x:c>
      <x:c r="L534" s="15" t="n">
        <x:f>IF(J534=0,"해당 없음",K534/J534)</x:f>
        <x:v>0.36363636363636365</x:v>
      </x:c>
      <x:c r="M534" s="14" t="n">
        <x:v>7</x:v>
      </x:c>
      <x:c r="N534" s="14" t="n">
        <x:v>6</x:v>
      </x:c>
      <x:c r="O534" s="15" t="n">
        <x:f>IF(M534=0,"해당 없음",N534/M534)</x:f>
        <x:v>0.8571428571428571</x:v>
      </x:c>
      <x:c r="P534" s="14" t="n">
        <x:v>102</x:v>
      </x:c>
    </x:row>
    <x:row r="535" ht="22" customHeight="1">
      <x:c r="A535" s="14" t="n">
        <x:v>265</x:v>
      </x:c>
      <x:c r="B535" s="14" t="n">
        <x:v>7</x:v>
      </x:c>
      <x:c r="C535" s="14" t="n">
        <x:v>76012</x:v>
      </x:c>
      <x:c r="D535" s="2" t="str">
        <x:v>NAVY</x:v>
      </x:c>
      <x:c r="E535" s="2" t="str">
        <x:v>규칙형</x:v>
      </x:c>
      <x:c r="F535" s="2" t="str">
        <x:v>240만</x:v>
      </x:c>
      <x:c r="G535" s="2" t="str">
        <x:v>패</x:v>
      </x:c>
      <x:c r="H535" s="14" t="n">
        <x:v>2</x:v>
      </x:c>
      <x:c r="I535" s="14" t="n">
        <x:v>4</x:v>
      </x:c>
      <x:c r="J535" s="14" t="n">
        <x:v>9</x:v>
      </x:c>
      <x:c r="K535" s="14" t="n">
        <x:v>2</x:v>
      </x:c>
      <x:c r="L535" s="15" t="n">
        <x:f>IF(J535=0,"해당 없음",K535/J535)</x:f>
        <x:v>0.2222222222222222</x:v>
      </x:c>
      <x:c r="M535" s="14" t="n">
        <x:v>11</x:v>
      </x:c>
      <x:c r="N535" s="14" t="n">
        <x:v>10</x:v>
      </x:c>
      <x:c r="O535" s="15" t="n">
        <x:f>IF(M535=0,"해당 없음",N535/M535)</x:f>
        <x:v>0.9090909090909091</x:v>
      </x:c>
      <x:c r="P535" s="14" t="n">
        <x:v>103</x:v>
      </x:c>
    </x:row>
    <x:row r="536" ht="22" customHeight="1">
      <x:c r="A536" s="14" t="n">
        <x:v>266</x:v>
      </x:c>
      <x:c r="B536" s="14" t="n">
        <x:v>7</x:v>
      </x:c>
      <x:c r="C536" s="14" t="n">
        <x:v>76012</x:v>
      </x:c>
      <x:c r="D536" s="2" t="str">
        <x:v>RED</x:v>
      </x:c>
      <x:c r="E536" s="2" t="str">
        <x:v>규칙형</x:v>
      </x:c>
      <x:c r="F536" s="2" t="str">
        <x:v>240만</x:v>
      </x:c>
      <x:c r="G536" s="2" t="str">
        <x:v>패</x:v>
      </x:c>
      <x:c r="H536" s="14" t="n">
        <x:v>1</x:v>
      </x:c>
      <x:c r="I536" s="14" t="n">
        <x:v>7</x:v>
      </x:c>
      <x:c r="J536" s="14" t="n">
        <x:v>9</x:v>
      </x:c>
      <x:c r="K536" s="14" t="n">
        <x:v>1</x:v>
      </x:c>
      <x:c r="L536" s="15" t="n">
        <x:f>IF(J536=0,"해당 없음",K536/J536)</x:f>
        <x:v>0.1111111111111111</x:v>
      </x:c>
      <x:c r="M536" s="14" t="n">
        <x:v>5</x:v>
      </x:c>
      <x:c r="N536" s="14" t="n">
        <x:v>5</x:v>
      </x:c>
      <x:c r="O536" s="15" t="n">
        <x:f>IF(M536=0,"해당 없음",N536/M536)</x:f>
        <x:v>1</x:v>
      </x:c>
      <x:c r="P536" s="14" t="n">
        <x:v>105</x:v>
      </x:c>
    </x:row>
    <x:row r="537" ht="22" customHeight="1">
      <x:c r="A537" s="14" t="n">
        <x:v>266</x:v>
      </x:c>
      <x:c r="B537" s="14" t="n">
        <x:v>7</x:v>
      </x:c>
      <x:c r="C537" s="14" t="n">
        <x:v>76012</x:v>
      </x:c>
      <x:c r="D537" s="2" t="str">
        <x:v>NAVY</x:v>
      </x:c>
      <x:c r="E537" s="2" t="str">
        <x:v>240만</x:v>
      </x:c>
      <x:c r="F537" s="2" t="str">
        <x:v>규칙형</x:v>
      </x:c>
      <x:c r="G537" s="2" t="str">
        <x:v>승</x:v>
      </x:c>
      <x:c r="H537" s="14" t="n">
        <x:v>7</x:v>
      </x:c>
      <x:c r="I537" s="14" t="n">
        <x:v>1</x:v>
      </x:c>
      <x:c r="J537" s="14" t="n">
        <x:v>9</x:v>
      </x:c>
      <x:c r="K537" s="14" t="n">
        <x:v>6</x:v>
      </x:c>
      <x:c r="L537" s="15" t="n">
        <x:f>IF(J537=0,"해당 없음",K537/J537)</x:f>
        <x:v>0.6666666666666666</x:v>
      </x:c>
      <x:c r="M537" s="14" t="n">
        <x:v>7</x:v>
      </x:c>
      <x:c r="N537" s="14" t="n">
        <x:v>6</x:v>
      </x:c>
      <x:c r="O537" s="15" t="n">
        <x:f>IF(M537=0,"해당 없음",N537/M537)</x:f>
        <x:v>0.8571428571428571</x:v>
      </x:c>
      <x:c r="P537" s="14" t="n">
        <x:v>107</x:v>
      </x:c>
    </x:row>
    <x:row r="538" ht="22" customHeight="1">
      <x:c r="A538" s="14" t="n">
        <x:v>267</x:v>
      </x:c>
      <x:c r="B538" s="14" t="n">
        <x:v>7</x:v>
      </x:c>
      <x:c r="C538" s="14" t="n">
        <x:v>76013</x:v>
      </x:c>
      <x:c r="D538" s="2" t="str">
        <x:v>RED</x:v>
      </x:c>
      <x:c r="E538" s="2" t="str">
        <x:v>240만</x:v>
      </x:c>
      <x:c r="F538" s="2" t="str">
        <x:v>규칙형</x:v>
      </x:c>
      <x:c r="G538" s="2" t="str">
        <x:v>무</x:v>
      </x:c>
      <x:c r="H538" s="14" t="n">
        <x:v>2</x:v>
      </x:c>
      <x:c r="I538" s="14" t="n">
        <x:v>2</x:v>
      </x:c>
      <x:c r="J538" s="14" t="n">
        <x:v>8</x:v>
      </x:c>
      <x:c r="K538" s="14" t="n">
        <x:v>2</x:v>
      </x:c>
      <x:c r="L538" s="15" t="n">
        <x:f>IF(J538=0,"해당 없음",K538/J538)</x:f>
        <x:v>0.25</x:v>
      </x:c>
      <x:c r="M538" s="14" t="n">
        <x:v>12</x:v>
      </x:c>
      <x:c r="N538" s="14" t="n">
        <x:v>9</x:v>
      </x:c>
      <x:c r="O538" s="15" t="n">
        <x:f>IF(M538=0,"해당 없음",N538/M538)</x:f>
        <x:v>0.75</x:v>
      </x:c>
      <x:c r="P538" s="14" t="n">
        <x:v>102</x:v>
      </x:c>
    </x:row>
    <x:row r="539" ht="22" customHeight="1">
      <x:c r="A539" s="14" t="n">
        <x:v>267</x:v>
      </x:c>
      <x:c r="B539" s="14" t="n">
        <x:v>7</x:v>
      </x:c>
      <x:c r="C539" s="14" t="n">
        <x:v>76013</x:v>
      </x:c>
      <x:c r="D539" s="2" t="str">
        <x:v>NAVY</x:v>
      </x:c>
      <x:c r="E539" s="2" t="str">
        <x:v>규칙형</x:v>
      </x:c>
      <x:c r="F539" s="2" t="str">
        <x:v>240만</x:v>
      </x:c>
      <x:c r="G539" s="2" t="str">
        <x:v>무</x:v>
      </x:c>
      <x:c r="H539" s="14" t="n">
        <x:v>2</x:v>
      </x:c>
      <x:c r="I539" s="14" t="n">
        <x:v>2</x:v>
      </x:c>
      <x:c r="J539" s="14" t="n">
        <x:v>10</x:v>
      </x:c>
      <x:c r="K539" s="14" t="n">
        <x:v>2</x:v>
      </x:c>
      <x:c r="L539" s="15" t="n">
        <x:f>IF(J539=0,"해당 없음",K539/J539)</x:f>
        <x:v>0.2</x:v>
      </x:c>
      <x:c r="M539" s="14" t="n">
        <x:v>15</x:v>
      </x:c>
      <x:c r="N539" s="14" t="n">
        <x:v>12</x:v>
      </x:c>
      <x:c r="O539" s="15" t="n">
        <x:f>IF(M539=0,"해당 없음",N539/M539)</x:f>
        <x:v>0.8</x:v>
      </x:c>
      <x:c r="P539" s="14" t="n">
        <x:v>102</x:v>
      </x:c>
    </x:row>
    <x:row r="540" ht="22" customHeight="1">
      <x:c r="A540" s="14" t="n">
        <x:v>268</x:v>
      </x:c>
      <x:c r="B540" s="14" t="n">
        <x:v>7</x:v>
      </x:c>
      <x:c r="C540" s="14" t="n">
        <x:v>76013</x:v>
      </x:c>
      <x:c r="D540" s="2" t="str">
        <x:v>RED</x:v>
      </x:c>
      <x:c r="E540" s="2" t="str">
        <x:v>규칙형</x:v>
      </x:c>
      <x:c r="F540" s="2" t="str">
        <x:v>240만</x:v>
      </x:c>
      <x:c r="G540" s="2" t="str">
        <x:v>패</x:v>
      </x:c>
      <x:c r="H540" s="14" t="n">
        <x:v>3</x:v>
      </x:c>
      <x:c r="I540" s="14" t="n">
        <x:v>5</x:v>
      </x:c>
      <x:c r="J540" s="14" t="n">
        <x:v>11</x:v>
      </x:c>
      <x:c r="K540" s="14" t="n">
        <x:v>3</x:v>
      </x:c>
      <x:c r="L540" s="15" t="n">
        <x:f>IF(J540=0,"해당 없음",K540/J540)</x:f>
        <x:v>0.2727272727272727</x:v>
      </x:c>
      <x:c r="M540" s="14" t="n">
        <x:v>5</x:v>
      </x:c>
      <x:c r="N540" s="14" t="n">
        <x:v>4</x:v>
      </x:c>
      <x:c r="O540" s="15" t="n">
        <x:f>IF(M540=0,"해당 없음",N540/M540)</x:f>
        <x:v>0.8</x:v>
      </x:c>
      <x:c r="P540" s="14" t="n">
        <x:v>104</x:v>
      </x:c>
    </x:row>
    <x:row r="541" ht="22" customHeight="1">
      <x:c r="A541" s="14" t="n">
        <x:v>268</x:v>
      </x:c>
      <x:c r="B541" s="14" t="n">
        <x:v>7</x:v>
      </x:c>
      <x:c r="C541" s="14" t="n">
        <x:v>76013</x:v>
      </x:c>
      <x:c r="D541" s="2" t="str">
        <x:v>NAVY</x:v>
      </x:c>
      <x:c r="E541" s="2" t="str">
        <x:v>240만</x:v>
      </x:c>
      <x:c r="F541" s="2" t="str">
        <x:v>규칙형</x:v>
      </x:c>
      <x:c r="G541" s="2" t="str">
        <x:v>승</x:v>
      </x:c>
      <x:c r="H541" s="14" t="n">
        <x:v>5</x:v>
      </x:c>
      <x:c r="I541" s="14" t="n">
        <x:v>3</x:v>
      </x:c>
      <x:c r="J541" s="14" t="n">
        <x:v>9</x:v>
      </x:c>
      <x:c r="K541" s="14" t="n">
        <x:v>5</x:v>
      </x:c>
      <x:c r="L541" s="15" t="n">
        <x:f>IF(J541=0,"해당 없음",K541/J541)</x:f>
        <x:v>0.5555555555555556</x:v>
      </x:c>
      <x:c r="M541" s="14" t="n">
        <x:v>4</x:v>
      </x:c>
      <x:c r="N541" s="14" t="n">
        <x:v>2</x:v>
      </x:c>
      <x:c r="O541" s="15" t="n">
        <x:f>IF(M541=0,"해당 없음",N541/M541)</x:f>
        <x:v>0.5</x:v>
      </x:c>
      <x:c r="P541" s="14" t="n">
        <x:v>104</x:v>
      </x:c>
    </x:row>
    <x:row r="542" ht="22" customHeight="1">
      <x:c r="A542" s="14" t="n">
        <x:v>269</x:v>
      </x:c>
      <x:c r="B542" s="14" t="n">
        <x:v>7</x:v>
      </x:c>
      <x:c r="C542" s="14" t="n">
        <x:v>76014</x:v>
      </x:c>
      <x:c r="D542" s="2" t="str">
        <x:v>RED</x:v>
      </x:c>
      <x:c r="E542" s="2" t="str">
        <x:v>240만</x:v>
      </x:c>
      <x:c r="F542" s="2" t="str">
        <x:v>규칙형</x:v>
      </x:c>
      <x:c r="G542" s="2" t="str">
        <x:v>승</x:v>
      </x:c>
      <x:c r="H542" s="14" t="n">
        <x:v>5</x:v>
      </x:c>
      <x:c r="I542" s="14" t="n">
        <x:v>1</x:v>
      </x:c>
      <x:c r="J542" s="14" t="n">
        <x:v>11</x:v>
      </x:c>
      <x:c r="K542" s="14" t="n">
        <x:v>5</x:v>
      </x:c>
      <x:c r="L542" s="15" t="n">
        <x:f>IF(J542=0,"해당 없음",K542/J542)</x:f>
        <x:v>0.45454545454545453</x:v>
      </x:c>
      <x:c r="M542" s="14" t="n">
        <x:v>6</x:v>
      </x:c>
      <x:c r="N542" s="14" t="n">
        <x:v>5</x:v>
      </x:c>
      <x:c r="O542" s="15" t="n">
        <x:f>IF(M542=0,"해당 없음",N542/M542)</x:f>
        <x:v>0.8333333333333334</x:v>
      </x:c>
      <x:c r="P542" s="14" t="n">
        <x:v>103</x:v>
      </x:c>
    </x:row>
    <x:row r="543" ht="22" customHeight="1">
      <x:c r="A543" s="14" t="n">
        <x:v>269</x:v>
      </x:c>
      <x:c r="B543" s="14" t="n">
        <x:v>7</x:v>
      </x:c>
      <x:c r="C543" s="14" t="n">
        <x:v>76014</x:v>
      </x:c>
      <x:c r="D543" s="2" t="str">
        <x:v>NAVY</x:v>
      </x:c>
      <x:c r="E543" s="2" t="str">
        <x:v>규칙형</x:v>
      </x:c>
      <x:c r="F543" s="2" t="str">
        <x:v>240만</x:v>
      </x:c>
      <x:c r="G543" s="2" t="str">
        <x:v>패</x:v>
      </x:c>
      <x:c r="H543" s="14" t="n">
        <x:v>1</x:v>
      </x:c>
      <x:c r="I543" s="14" t="n">
        <x:v>5</x:v>
      </x:c>
      <x:c r="J543" s="14" t="n">
        <x:v>6</x:v>
      </x:c>
      <x:c r="K543" s="14" t="n">
        <x:v>1</x:v>
      </x:c>
      <x:c r="L543" s="15" t="n">
        <x:f>IF(J543=0,"해당 없음",K543/J543)</x:f>
        <x:v>0.16666666666666666</x:v>
      </x:c>
      <x:c r="M543" s="14" t="n">
        <x:v>10</x:v>
      </x:c>
      <x:c r="N543" s="14" t="n">
        <x:v>7</x:v>
      </x:c>
      <x:c r="O543" s="15" t="n">
        <x:f>IF(M543=0,"해당 없음",N543/M543)</x:f>
        <x:v>0.7</x:v>
      </x:c>
      <x:c r="P543" s="14" t="n">
        <x:v>104</x:v>
      </x:c>
    </x:row>
    <x:row r="544" ht="22" customHeight="1">
      <x:c r="A544" s="14" t="n">
        <x:v>270</x:v>
      </x:c>
      <x:c r="B544" s="14" t="n">
        <x:v>7</x:v>
      </x:c>
      <x:c r="C544" s="14" t="n">
        <x:v>76014</x:v>
      </x:c>
      <x:c r="D544" s="2" t="str">
        <x:v>RED</x:v>
      </x:c>
      <x:c r="E544" s="2" t="str">
        <x:v>규칙형</x:v>
      </x:c>
      <x:c r="F544" s="2" t="str">
        <x:v>240만</x:v>
      </x:c>
      <x:c r="G544" s="2" t="str">
        <x:v>패</x:v>
      </x:c>
      <x:c r="H544" s="14" t="n">
        <x:v>3</x:v>
      </x:c>
      <x:c r="I544" s="14" t="n">
        <x:v>4</x:v>
      </x:c>
      <x:c r="J544" s="14" t="n">
        <x:v>11</x:v>
      </x:c>
      <x:c r="K544" s="14" t="n">
        <x:v>3</x:v>
      </x:c>
      <x:c r="L544" s="15" t="n">
        <x:f>IF(J544=0,"해당 없음",K544/J544)</x:f>
        <x:v>0.2727272727272727</x:v>
      </x:c>
      <x:c r="M544" s="14" t="n">
        <x:v>16</x:v>
      </x:c>
      <x:c r="N544" s="14" t="n">
        <x:v>14</x:v>
      </x:c>
      <x:c r="O544" s="15" t="n">
        <x:f>IF(M544=0,"해당 없음",N544/M544)</x:f>
        <x:v>0.875</x:v>
      </x:c>
      <x:c r="P544" s="14" t="n">
        <x:v>106</x:v>
      </x:c>
    </x:row>
    <x:row r="545" ht="22" customHeight="1">
      <x:c r="A545" s="14" t="n">
        <x:v>270</x:v>
      </x:c>
      <x:c r="B545" s="14" t="n">
        <x:v>7</x:v>
      </x:c>
      <x:c r="C545" s="14" t="n">
        <x:v>76014</x:v>
      </x:c>
      <x:c r="D545" s="2" t="str">
        <x:v>NAVY</x:v>
      </x:c>
      <x:c r="E545" s="2" t="str">
        <x:v>240만</x:v>
      </x:c>
      <x:c r="F545" s="2" t="str">
        <x:v>규칙형</x:v>
      </x:c>
      <x:c r="G545" s="2" t="str">
        <x:v>승</x:v>
      </x:c>
      <x:c r="H545" s="14" t="n">
        <x:v>4</x:v>
      </x:c>
      <x:c r="I545" s="14" t="n">
        <x:v>3</x:v>
      </x:c>
      <x:c r="J545" s="14" t="n">
        <x:v>7</x:v>
      </x:c>
      <x:c r="K545" s="14" t="n">
        <x:v>4</x:v>
      </x:c>
      <x:c r="L545" s="15" t="n">
        <x:f>IF(J545=0,"해당 없음",K545/J545)</x:f>
        <x:v>0.5714285714285714</x:v>
      </x:c>
      <x:c r="M545" s="14" t="n">
        <x:v>10</x:v>
      </x:c>
      <x:c r="N545" s="14" t="n">
        <x:v>5</x:v>
      </x:c>
      <x:c r="O545" s="15" t="n">
        <x:f>IF(M545=0,"해당 없음",N545/M545)</x:f>
        <x:v>0.5</x:v>
      </x:c>
      <x:c r="P545" s="14" t="n">
        <x:v>105</x:v>
      </x:c>
    </x:row>
    <x:row r="546" ht="22" customHeight="1">
      <x:c r="A546" s="14" t="n">
        <x:v>271</x:v>
      </x:c>
      <x:c r="B546" s="14" t="n">
        <x:v>7</x:v>
      </x:c>
      <x:c r="C546" s="14" t="n">
        <x:v>76015</x:v>
      </x:c>
      <x:c r="D546" s="2" t="str">
        <x:v>RED</x:v>
      </x:c>
      <x:c r="E546" s="2" t="str">
        <x:v>240만</x:v>
      </x:c>
      <x:c r="F546" s="2" t="str">
        <x:v>규칙형</x:v>
      </x:c>
      <x:c r="G546" s="2" t="str">
        <x:v>승</x:v>
      </x:c>
      <x:c r="H546" s="14" t="n">
        <x:v>4</x:v>
      </x:c>
      <x:c r="I546" s="14" t="n">
        <x:v>2</x:v>
      </x:c>
      <x:c r="J546" s="14" t="n">
        <x:v>10</x:v>
      </x:c>
      <x:c r="K546" s="14" t="n">
        <x:v>4</x:v>
      </x:c>
      <x:c r="L546" s="15" t="n">
        <x:f>IF(J546=0,"해당 없음",K546/J546)</x:f>
        <x:v>0.4</x:v>
      </x:c>
      <x:c r="M546" s="14" t="n">
        <x:v>8</x:v>
      </x:c>
      <x:c r="N546" s="14" t="n">
        <x:v>5</x:v>
      </x:c>
      <x:c r="O546" s="15" t="n">
        <x:f>IF(M546=0,"해당 없음",N546/M546)</x:f>
        <x:v>0.625</x:v>
      </x:c>
      <x:c r="P546" s="14" t="n">
        <x:v>103</x:v>
      </x:c>
    </x:row>
    <x:row r="547" ht="22" customHeight="1">
      <x:c r="A547" s="14" t="n">
        <x:v>271</x:v>
      </x:c>
      <x:c r="B547" s="14" t="n">
        <x:v>7</x:v>
      </x:c>
      <x:c r="C547" s="14" t="n">
        <x:v>76015</x:v>
      </x:c>
      <x:c r="D547" s="2" t="str">
        <x:v>NAVY</x:v>
      </x:c>
      <x:c r="E547" s="2" t="str">
        <x:v>규칙형</x:v>
      </x:c>
      <x:c r="F547" s="2" t="str">
        <x:v>240만</x:v>
      </x:c>
      <x:c r="G547" s="2" t="str">
        <x:v>패</x:v>
      </x:c>
      <x:c r="H547" s="14" t="n">
        <x:v>2</x:v>
      </x:c>
      <x:c r="I547" s="14" t="n">
        <x:v>4</x:v>
      </x:c>
      <x:c r="J547" s="14" t="n">
        <x:v>5</x:v>
      </x:c>
      <x:c r="K547" s="14" t="n">
        <x:v>2</x:v>
      </x:c>
      <x:c r="L547" s="15" t="n">
        <x:f>IF(J547=0,"해당 없음",K547/J547)</x:f>
        <x:v>0.4</x:v>
      </x:c>
      <x:c r="M547" s="14" t="n">
        <x:v>19</x:v>
      </x:c>
      <x:c r="N547" s="14" t="n">
        <x:v>14</x:v>
      </x:c>
      <x:c r="O547" s="15" t="n">
        <x:f>IF(M547=0,"해당 없음",N547/M547)</x:f>
        <x:v>0.7368421052631579</x:v>
      </x:c>
      <x:c r="P547" s="14" t="n">
        <x:v>102</x:v>
      </x:c>
    </x:row>
    <x:row r="548" ht="22" customHeight="1">
      <x:c r="A548" s="14" t="n">
        <x:v>272</x:v>
      </x:c>
      <x:c r="B548" s="14" t="n">
        <x:v>7</x:v>
      </x:c>
      <x:c r="C548" s="14" t="n">
        <x:v>76015</x:v>
      </x:c>
      <x:c r="D548" s="2" t="str">
        <x:v>RED</x:v>
      </x:c>
      <x:c r="E548" s="2" t="str">
        <x:v>규칙형</x:v>
      </x:c>
      <x:c r="F548" s="2" t="str">
        <x:v>240만</x:v>
      </x:c>
      <x:c r="G548" s="2" t="str">
        <x:v>승</x:v>
      </x:c>
      <x:c r="H548" s="14" t="n">
        <x:v>4</x:v>
      </x:c>
      <x:c r="I548" s="14" t="n">
        <x:v>1</x:v>
      </x:c>
      <x:c r="J548" s="14" t="n">
        <x:v>13</x:v>
      </x:c>
      <x:c r="K548" s="14" t="n">
        <x:v>4</x:v>
      </x:c>
      <x:c r="L548" s="15" t="n">
        <x:f>IF(J548=0,"해당 없음",K548/J548)</x:f>
        <x:v>0.3076923076923077</x:v>
      </x:c>
      <x:c r="M548" s="14" t="n">
        <x:v>13</x:v>
      </x:c>
      <x:c r="N548" s="14" t="n">
        <x:v>10</x:v>
      </x:c>
      <x:c r="O548" s="15" t="n">
        <x:f>IF(M548=0,"해당 없음",N548/M548)</x:f>
        <x:v>0.7692307692307693</x:v>
      </x:c>
      <x:c r="P548" s="14" t="n">
        <x:v>104</x:v>
      </x:c>
    </x:row>
    <x:row r="549" ht="22" customHeight="1">
      <x:c r="A549" s="14" t="n">
        <x:v>272</x:v>
      </x:c>
      <x:c r="B549" s="14" t="n">
        <x:v>7</x:v>
      </x:c>
      <x:c r="C549" s="14" t="n">
        <x:v>76015</x:v>
      </x:c>
      <x:c r="D549" s="2" t="str">
        <x:v>NAVY</x:v>
      </x:c>
      <x:c r="E549" s="2" t="str">
        <x:v>240만</x:v>
      </x:c>
      <x:c r="F549" s="2" t="str">
        <x:v>규칙형</x:v>
      </x:c>
      <x:c r="G549" s="2" t="str">
        <x:v>패</x:v>
      </x:c>
      <x:c r="H549" s="14" t="n">
        <x:v>1</x:v>
      </x:c>
      <x:c r="I549" s="14" t="n">
        <x:v>4</x:v>
      </x:c>
      <x:c r="J549" s="14" t="n">
        <x:v>5</x:v>
      </x:c>
      <x:c r="K549" s="14" t="n">
        <x:v>1</x:v>
      </x:c>
      <x:c r="L549" s="15" t="n">
        <x:f>IF(J549=0,"해당 없음",K549/J549)</x:f>
        <x:v>0.2</x:v>
      </x:c>
      <x:c r="M549" s="14" t="n">
        <x:v>6</x:v>
      </x:c>
      <x:c r="N549" s="14" t="n">
        <x:v>3</x:v>
      </x:c>
      <x:c r="O549" s="15" t="n">
        <x:f>IF(M549=0,"해당 없음",N549/M549)</x:f>
        <x:v>0.5</x:v>
      </x:c>
      <x:c r="P549" s="14" t="n">
        <x:v>105</x:v>
      </x:c>
    </x:row>
    <x:row r="550" ht="22" customHeight="1">
      <x:c r="A550" s="14" t="n">
        <x:v>273</x:v>
      </x:c>
      <x:c r="B550" s="14" t="n">
        <x:v>7</x:v>
      </x:c>
      <x:c r="C550" s="14" t="n">
        <x:v>76016</x:v>
      </x:c>
      <x:c r="D550" s="2" t="str">
        <x:v>RED</x:v>
      </x:c>
      <x:c r="E550" s="2" t="str">
        <x:v>240만</x:v>
      </x:c>
      <x:c r="F550" s="2" t="str">
        <x:v>규칙형</x:v>
      </x:c>
      <x:c r="G550" s="2" t="str">
        <x:v>승</x:v>
      </x:c>
      <x:c r="H550" s="14" t="n">
        <x:v>5</x:v>
      </x:c>
      <x:c r="I550" s="14" t="n">
        <x:v>1</x:v>
      </x:c>
      <x:c r="J550" s="14" t="n">
        <x:v>10</x:v>
      </x:c>
      <x:c r="K550" s="14" t="n">
        <x:v>5</x:v>
      </x:c>
      <x:c r="L550" s="15" t="n">
        <x:f>IF(J550=0,"해당 없음",K550/J550)</x:f>
        <x:v>0.5</x:v>
      </x:c>
      <x:c r="M550" s="14" t="n">
        <x:v>9</x:v>
      </x:c>
      <x:c r="N550" s="14" t="n">
        <x:v>7</x:v>
      </x:c>
      <x:c r="O550" s="15" t="n">
        <x:f>IF(M550=0,"해당 없음",N550/M550)</x:f>
        <x:v>0.7777777777777778</x:v>
      </x:c>
      <x:c r="P550" s="14" t="n">
        <x:v>103</x:v>
      </x:c>
    </x:row>
    <x:row r="551" ht="22" customHeight="1">
      <x:c r="A551" s="14" t="n">
        <x:v>273</x:v>
      </x:c>
      <x:c r="B551" s="14" t="n">
        <x:v>7</x:v>
      </x:c>
      <x:c r="C551" s="14" t="n">
        <x:v>76016</x:v>
      </x:c>
      <x:c r="D551" s="2" t="str">
        <x:v>NAVY</x:v>
      </x:c>
      <x:c r="E551" s="2" t="str">
        <x:v>규칙형</x:v>
      </x:c>
      <x:c r="F551" s="2" t="str">
        <x:v>240만</x:v>
      </x:c>
      <x:c r="G551" s="2" t="str">
        <x:v>패</x:v>
      </x:c>
      <x:c r="H551" s="14" t="n">
        <x:v>1</x:v>
      </x:c>
      <x:c r="I551" s="14" t="n">
        <x:v>5</x:v>
      </x:c>
      <x:c r="J551" s="14" t="n">
        <x:v>7</x:v>
      </x:c>
      <x:c r="K551" s="14" t="n">
        <x:v>1</x:v>
      </x:c>
      <x:c r="L551" s="15" t="n">
        <x:f>IF(J551=0,"해당 없음",K551/J551)</x:f>
        <x:v>0.14285714285714285</x:v>
      </x:c>
      <x:c r="M551" s="14" t="n">
        <x:v>13</x:v>
      </x:c>
      <x:c r="N551" s="14" t="n">
        <x:v>12</x:v>
      </x:c>
      <x:c r="O551" s="15" t="n">
        <x:f>IF(M551=0,"해당 없음",N551/M551)</x:f>
        <x:v>0.9230769230769231</x:v>
      </x:c>
      <x:c r="P551" s="14" t="n">
        <x:v>104</x:v>
      </x:c>
    </x:row>
    <x:row r="552" ht="22" customHeight="1">
      <x:c r="A552" s="14" t="n">
        <x:v>274</x:v>
      </x:c>
      <x:c r="B552" s="14" t="n">
        <x:v>7</x:v>
      </x:c>
      <x:c r="C552" s="14" t="n">
        <x:v>76016</x:v>
      </x:c>
      <x:c r="D552" s="2" t="str">
        <x:v>RED</x:v>
      </x:c>
      <x:c r="E552" s="2" t="str">
        <x:v>규칙형</x:v>
      </x:c>
      <x:c r="F552" s="2" t="str">
        <x:v>240만</x:v>
      </x:c>
      <x:c r="G552" s="2" t="str">
        <x:v>패</x:v>
      </x:c>
      <x:c r="H552" s="14" t="n">
        <x:v>3</x:v>
      </x:c>
      <x:c r="I552" s="14" t="n">
        <x:v>6</x:v>
      </x:c>
      <x:c r="J552" s="14" t="n">
        <x:v>17</x:v>
      </x:c>
      <x:c r="K552" s="14" t="n">
        <x:v>3</x:v>
      </x:c>
      <x:c r="L552" s="15" t="n">
        <x:f>IF(J552=0,"해당 없음",K552/J552)</x:f>
        <x:v>0.17647058823529413</x:v>
      </x:c>
      <x:c r="M552" s="14" t="n">
        <x:v>10</x:v>
      </x:c>
      <x:c r="N552" s="14" t="n">
        <x:v>8</x:v>
      </x:c>
      <x:c r="O552" s="15" t="n">
        <x:f>IF(M552=0,"해당 없음",N552/M552)</x:f>
        <x:v>0.8</x:v>
      </x:c>
      <x:c r="P552" s="14" t="n">
        <x:v>106</x:v>
      </x:c>
    </x:row>
    <x:row r="553" ht="22" customHeight="1">
      <x:c r="A553" s="14" t="n">
        <x:v>274</x:v>
      </x:c>
      <x:c r="B553" s="14" t="n">
        <x:v>7</x:v>
      </x:c>
      <x:c r="C553" s="14" t="n">
        <x:v>76016</x:v>
      </x:c>
      <x:c r="D553" s="2" t="str">
        <x:v>NAVY</x:v>
      </x:c>
      <x:c r="E553" s="2" t="str">
        <x:v>240만</x:v>
      </x:c>
      <x:c r="F553" s="2" t="str">
        <x:v>규칙형</x:v>
      </x:c>
      <x:c r="G553" s="2" t="str">
        <x:v>승</x:v>
      </x:c>
      <x:c r="H553" s="14" t="n">
        <x:v>6</x:v>
      </x:c>
      <x:c r="I553" s="14" t="n">
        <x:v>3</x:v>
      </x:c>
      <x:c r="J553" s="14" t="n">
        <x:v>8</x:v>
      </x:c>
      <x:c r="K553" s="14" t="n">
        <x:v>6</x:v>
      </x:c>
      <x:c r="L553" s="15" t="n">
        <x:f>IF(J553=0,"해당 없음",K553/J553)</x:f>
        <x:v>0.75</x:v>
      </x:c>
      <x:c r="M553" s="14" t="n">
        <x:v>9</x:v>
      </x:c>
      <x:c r="N553" s="14" t="n">
        <x:v>9</x:v>
      </x:c>
      <x:c r="O553" s="15" t="n">
        <x:f>IF(M553=0,"해당 없음",N553/M553)</x:f>
        <x:v>1</x:v>
      </x:c>
      <x:c r="P553" s="14" t="n">
        <x:v>106</x:v>
      </x:c>
    </x:row>
    <x:row r="554" ht="22" customHeight="1">
      <x:c r="A554" s="14" t="n">
        <x:v>275</x:v>
      </x:c>
      <x:c r="B554" s="14" t="n">
        <x:v>7</x:v>
      </x:c>
      <x:c r="C554" s="14" t="n">
        <x:v>76017</x:v>
      </x:c>
      <x:c r="D554" s="2" t="str">
        <x:v>RED</x:v>
      </x:c>
      <x:c r="E554" s="2" t="str">
        <x:v>240만</x:v>
      </x:c>
      <x:c r="F554" s="2" t="str">
        <x:v>규칙형</x:v>
      </x:c>
      <x:c r="G554" s="2" t="str">
        <x:v>승</x:v>
      </x:c>
      <x:c r="H554" s="14" t="n">
        <x:v>4</x:v>
      </x:c>
      <x:c r="I554" s="14" t="n">
        <x:v>2</x:v>
      </x:c>
      <x:c r="J554" s="14" t="n">
        <x:v>10</x:v>
      </x:c>
      <x:c r="K554" s="14" t="n">
        <x:v>4</x:v>
      </x:c>
      <x:c r="L554" s="15" t="n">
        <x:f>IF(J554=0,"해당 없음",K554/J554)</x:f>
        <x:v>0.4</x:v>
      </x:c>
      <x:c r="M554" s="14" t="n">
        <x:v>6</x:v>
      </x:c>
      <x:c r="N554" s="14" t="n">
        <x:v>5</x:v>
      </x:c>
      <x:c r="O554" s="15" t="n">
        <x:f>IF(M554=0,"해당 없음",N554/M554)</x:f>
        <x:v>0.8333333333333334</x:v>
      </x:c>
      <x:c r="P554" s="14" t="n">
        <x:v>104</x:v>
      </x:c>
    </x:row>
    <x:row r="555" ht="22" customHeight="1">
      <x:c r="A555" s="14" t="n">
        <x:v>275</x:v>
      </x:c>
      <x:c r="B555" s="14" t="n">
        <x:v>7</x:v>
      </x:c>
      <x:c r="C555" s="14" t="n">
        <x:v>76017</x:v>
      </x:c>
      <x:c r="D555" s="2" t="str">
        <x:v>NAVY</x:v>
      </x:c>
      <x:c r="E555" s="2" t="str">
        <x:v>규칙형</x:v>
      </x:c>
      <x:c r="F555" s="2" t="str">
        <x:v>240만</x:v>
      </x:c>
      <x:c r="G555" s="2" t="str">
        <x:v>패</x:v>
      </x:c>
      <x:c r="H555" s="14" t="n">
        <x:v>2</x:v>
      </x:c>
      <x:c r="I555" s="14" t="n">
        <x:v>4</x:v>
      </x:c>
      <x:c r="J555" s="14" t="n">
        <x:v>7</x:v>
      </x:c>
      <x:c r="K555" s="14" t="n">
        <x:v>2</x:v>
      </x:c>
      <x:c r="L555" s="15" t="n">
        <x:f>IF(J555=0,"해당 없음",K555/J555)</x:f>
        <x:v>0.2857142857142857</x:v>
      </x:c>
      <x:c r="M555" s="14" t="n">
        <x:v>15</x:v>
      </x:c>
      <x:c r="N555" s="14" t="n">
        <x:v>13</x:v>
      </x:c>
      <x:c r="O555" s="15" t="n">
        <x:f>IF(M555=0,"해당 없음",N555/M555)</x:f>
        <x:v>0.8666666666666667</x:v>
      </x:c>
      <x:c r="P555" s="14" t="n">
        <x:v>104</x:v>
      </x:c>
    </x:row>
    <x:row r="556" ht="22" customHeight="1">
      <x:c r="A556" s="14" t="n">
        <x:v>276</x:v>
      </x:c>
      <x:c r="B556" s="14" t="n">
        <x:v>7</x:v>
      </x:c>
      <x:c r="C556" s="14" t="n">
        <x:v>76017</x:v>
      </x:c>
      <x:c r="D556" s="2" t="str">
        <x:v>RED</x:v>
      </x:c>
      <x:c r="E556" s="2" t="str">
        <x:v>규칙형</x:v>
      </x:c>
      <x:c r="F556" s="2" t="str">
        <x:v>240만</x:v>
      </x:c>
      <x:c r="G556" s="2" t="str">
        <x:v>승</x:v>
      </x:c>
      <x:c r="H556" s="14" t="n">
        <x:v>5</x:v>
      </x:c>
      <x:c r="I556" s="14" t="n">
        <x:v>4</x:v>
      </x:c>
      <x:c r="J556" s="14" t="n">
        <x:v>12</x:v>
      </x:c>
      <x:c r="K556" s="14" t="n">
        <x:v>5</x:v>
      </x:c>
      <x:c r="L556" s="15" t="n">
        <x:f>IF(J556=0,"해당 없음",K556/J556)</x:f>
        <x:v>0.4166666666666667</x:v>
      </x:c>
      <x:c r="M556" s="14" t="n">
        <x:v>11</x:v>
      </x:c>
      <x:c r="N556" s="14" t="n">
        <x:v>6</x:v>
      </x:c>
      <x:c r="O556" s="15" t="n">
        <x:f>IF(M556=0,"해당 없음",N556/M556)</x:f>
        <x:v>0.5454545454545454</x:v>
      </x:c>
      <x:c r="P556" s="14" t="n">
        <x:v>105</x:v>
      </x:c>
    </x:row>
    <x:row r="557" ht="22" customHeight="1">
      <x:c r="A557" s="14" t="n">
        <x:v>276</x:v>
      </x:c>
      <x:c r="B557" s="14" t="n">
        <x:v>7</x:v>
      </x:c>
      <x:c r="C557" s="14" t="n">
        <x:v>76017</x:v>
      </x:c>
      <x:c r="D557" s="2" t="str">
        <x:v>NAVY</x:v>
      </x:c>
      <x:c r="E557" s="2" t="str">
        <x:v>240만</x:v>
      </x:c>
      <x:c r="F557" s="2" t="str">
        <x:v>규칙형</x:v>
      </x:c>
      <x:c r="G557" s="2" t="str">
        <x:v>패</x:v>
      </x:c>
      <x:c r="H557" s="14" t="n">
        <x:v>4</x:v>
      </x:c>
      <x:c r="I557" s="14" t="n">
        <x:v>5</x:v>
      </x:c>
      <x:c r="J557" s="14" t="n">
        <x:v>8</x:v>
      </x:c>
      <x:c r="K557" s="14" t="n">
        <x:v>4</x:v>
      </x:c>
      <x:c r="L557" s="15" t="n">
        <x:f>IF(J557=0,"해당 없음",K557/J557)</x:f>
        <x:v>0.5</x:v>
      </x:c>
      <x:c r="M557" s="14" t="n">
        <x:v>7</x:v>
      </x:c>
      <x:c r="N557" s="14" t="n">
        <x:v>3</x:v>
      </x:c>
      <x:c r="O557" s="15" t="n">
        <x:f>IF(M557=0,"해당 없음",N557/M557)</x:f>
        <x:v>0.42857142857142855</x:v>
      </x:c>
      <x:c r="P557" s="14" t="n">
        <x:v>105</x:v>
      </x:c>
    </x:row>
    <x:row r="558" ht="22" customHeight="1">
      <x:c r="A558" s="14" t="n">
        <x:v>277</x:v>
      </x:c>
      <x:c r="B558" s="14" t="n">
        <x:v>7</x:v>
      </x:c>
      <x:c r="C558" s="14" t="n">
        <x:v>76018</x:v>
      </x:c>
      <x:c r="D558" s="2" t="str">
        <x:v>RED</x:v>
      </x:c>
      <x:c r="E558" s="2" t="str">
        <x:v>240만</x:v>
      </x:c>
      <x:c r="F558" s="2" t="str">
        <x:v>규칙형</x:v>
      </x:c>
      <x:c r="G558" s="2" t="str">
        <x:v>패</x:v>
      </x:c>
      <x:c r="H558" s="14" t="n">
        <x:v>2</x:v>
      </x:c>
      <x:c r="I558" s="14" t="n">
        <x:v>3</x:v>
      </x:c>
      <x:c r="J558" s="14" t="n">
        <x:v>7</x:v>
      </x:c>
      <x:c r="K558" s="14" t="n">
        <x:v>2</x:v>
      </x:c>
      <x:c r="L558" s="15" t="n">
        <x:f>IF(J558=0,"해당 없음",K558/J558)</x:f>
        <x:v>0.2857142857142857</x:v>
      </x:c>
      <x:c r="M558" s="14" t="n">
        <x:v>7</x:v>
      </x:c>
      <x:c r="N558" s="14" t="n">
        <x:v>5</x:v>
      </x:c>
      <x:c r="O558" s="15" t="n">
        <x:f>IF(M558=0,"해당 없음",N558/M558)</x:f>
        <x:v>0.7142857142857143</x:v>
      </x:c>
      <x:c r="P558" s="14" t="n">
        <x:v>104</x:v>
      </x:c>
    </x:row>
    <x:row r="559" ht="22" customHeight="1">
      <x:c r="A559" s="14" t="n">
        <x:v>277</x:v>
      </x:c>
      <x:c r="B559" s="14" t="n">
        <x:v>7</x:v>
      </x:c>
      <x:c r="C559" s="14" t="n">
        <x:v>76018</x:v>
      </x:c>
      <x:c r="D559" s="2" t="str">
        <x:v>NAVY</x:v>
      </x:c>
      <x:c r="E559" s="2" t="str">
        <x:v>규칙형</x:v>
      </x:c>
      <x:c r="F559" s="2" t="str">
        <x:v>240만</x:v>
      </x:c>
      <x:c r="G559" s="2" t="str">
        <x:v>승</x:v>
      </x:c>
      <x:c r="H559" s="14" t="n">
        <x:v>3</x:v>
      </x:c>
      <x:c r="I559" s="14" t="n">
        <x:v>2</x:v>
      </x:c>
      <x:c r="J559" s="14" t="n">
        <x:v>11</x:v>
      </x:c>
      <x:c r="K559" s="14" t="n">
        <x:v>3</x:v>
      </x:c>
      <x:c r="L559" s="15" t="n">
        <x:f>IF(J559=0,"해당 없음",K559/J559)</x:f>
        <x:v>0.2727272727272727</x:v>
      </x:c>
      <x:c r="M559" s="14" t="n">
        <x:v>15</x:v>
      </x:c>
      <x:c r="N559" s="14" t="n">
        <x:v>14</x:v>
      </x:c>
      <x:c r="O559" s="15" t="n">
        <x:f>IF(M559=0,"해당 없음",N559/M559)</x:f>
        <x:v>0.9333333333333333</x:v>
      </x:c>
      <x:c r="P559" s="14" t="n">
        <x:v>101</x:v>
      </x:c>
    </x:row>
    <x:row r="560" ht="22" customHeight="1">
      <x:c r="A560" s="14" t="n">
        <x:v>278</x:v>
      </x:c>
      <x:c r="B560" s="14" t="n">
        <x:v>7</x:v>
      </x:c>
      <x:c r="C560" s="14" t="n">
        <x:v>76018</x:v>
      </x:c>
      <x:c r="D560" s="2" t="str">
        <x:v>RED</x:v>
      </x:c>
      <x:c r="E560" s="2" t="str">
        <x:v>규칙형</x:v>
      </x:c>
      <x:c r="F560" s="2" t="str">
        <x:v>240만</x:v>
      </x:c>
      <x:c r="G560" s="2" t="str">
        <x:v>패</x:v>
      </x:c>
      <x:c r="H560" s="14" t="n">
        <x:v>5</x:v>
      </x:c>
      <x:c r="I560" s="14" t="n">
        <x:v>6</x:v>
      </x:c>
      <x:c r="J560" s="14" t="n">
        <x:v>14</x:v>
      </x:c>
      <x:c r="K560" s="14" t="n">
        <x:v>5</x:v>
      </x:c>
      <x:c r="L560" s="15" t="n">
        <x:f>IF(J560=0,"해당 없음",K560/J560)</x:f>
        <x:v>0.35714285714285715</x:v>
      </x:c>
      <x:c r="M560" s="14" t="n">
        <x:v>10</x:v>
      </x:c>
      <x:c r="N560" s="14" t="n">
        <x:v>9</x:v>
      </x:c>
      <x:c r="O560" s="15" t="n">
        <x:f>IF(M560=0,"해당 없음",N560/M560)</x:f>
        <x:v>0.9</x:v>
      </x:c>
      <x:c r="P560" s="14" t="n">
        <x:v>106</x:v>
      </x:c>
    </x:row>
    <x:row r="561" ht="22" customHeight="1">
      <x:c r="A561" s="14" t="n">
        <x:v>278</x:v>
      </x:c>
      <x:c r="B561" s="14" t="n">
        <x:v>7</x:v>
      </x:c>
      <x:c r="C561" s="14" t="n">
        <x:v>76018</x:v>
      </x:c>
      <x:c r="D561" s="2" t="str">
        <x:v>NAVY</x:v>
      </x:c>
      <x:c r="E561" s="2" t="str">
        <x:v>240만</x:v>
      </x:c>
      <x:c r="F561" s="2" t="str">
        <x:v>규칙형</x:v>
      </x:c>
      <x:c r="G561" s="2" t="str">
        <x:v>승</x:v>
      </x:c>
      <x:c r="H561" s="14" t="n">
        <x:v>6</x:v>
      </x:c>
      <x:c r="I561" s="14" t="n">
        <x:v>5</x:v>
      </x:c>
      <x:c r="J561" s="14" t="n">
        <x:v>8</x:v>
      </x:c>
      <x:c r="K561" s="14" t="n">
        <x:v>5</x:v>
      </x:c>
      <x:c r="L561" s="15" t="n">
        <x:f>IF(J561=0,"해당 없음",K561/J561)</x:f>
        <x:v>0.625</x:v>
      </x:c>
      <x:c r="M561" s="14" t="n">
        <x:v>9</x:v>
      </x:c>
      <x:c r="N561" s="14" t="n">
        <x:v>6</x:v>
      </x:c>
      <x:c r="O561" s="15" t="n">
        <x:f>IF(M561=0,"해당 없음",N561/M561)</x:f>
        <x:v>0.6666666666666666</x:v>
      </x:c>
      <x:c r="P561" s="14" t="n">
        <x:v>106</x:v>
      </x:c>
    </x:row>
    <x:row r="562" ht="22" customHeight="1">
      <x:c r="A562" s="14" t="n">
        <x:v>279</x:v>
      </x:c>
      <x:c r="B562" s="14" t="n">
        <x:v>7</x:v>
      </x:c>
      <x:c r="C562" s="14" t="n">
        <x:v>76019</x:v>
      </x:c>
      <x:c r="D562" s="2" t="str">
        <x:v>RED</x:v>
      </x:c>
      <x:c r="E562" s="2" t="str">
        <x:v>240만</x:v>
      </x:c>
      <x:c r="F562" s="2" t="str">
        <x:v>규칙형</x:v>
      </x:c>
      <x:c r="G562" s="2" t="str">
        <x:v>승</x:v>
      </x:c>
      <x:c r="H562" s="14" t="n">
        <x:v>5</x:v>
      </x:c>
      <x:c r="I562" s="14" t="n">
        <x:v>1</x:v>
      </x:c>
      <x:c r="J562" s="14" t="n">
        <x:v>10</x:v>
      </x:c>
      <x:c r="K562" s="14" t="n">
        <x:v>5</x:v>
      </x:c>
      <x:c r="L562" s="15" t="n">
        <x:f>IF(J562=0,"해당 없음",K562/J562)</x:f>
        <x:v>0.5</x:v>
      </x:c>
      <x:c r="M562" s="14" t="n">
        <x:v>11</x:v>
      </x:c>
      <x:c r="N562" s="14" t="n">
        <x:v>6</x:v>
      </x:c>
      <x:c r="O562" s="15" t="n">
        <x:f>IF(M562=0,"해당 없음",N562/M562)</x:f>
        <x:v>0.5454545454545454</x:v>
      </x:c>
      <x:c r="P562" s="14" t="n">
        <x:v>106</x:v>
      </x:c>
    </x:row>
    <x:row r="563" ht="22" customHeight="1">
      <x:c r="A563" s="14" t="n">
        <x:v>279</x:v>
      </x:c>
      <x:c r="B563" s="14" t="n">
        <x:v>7</x:v>
      </x:c>
      <x:c r="C563" s="14" t="n">
        <x:v>76019</x:v>
      </x:c>
      <x:c r="D563" s="2" t="str">
        <x:v>NAVY</x:v>
      </x:c>
      <x:c r="E563" s="2" t="str">
        <x:v>규칙형</x:v>
      </x:c>
      <x:c r="F563" s="2" t="str">
        <x:v>240만</x:v>
      </x:c>
      <x:c r="G563" s="2" t="str">
        <x:v>패</x:v>
      </x:c>
      <x:c r="H563" s="14" t="n">
        <x:v>1</x:v>
      </x:c>
      <x:c r="I563" s="14" t="n">
        <x:v>5</x:v>
      </x:c>
      <x:c r="J563" s="14" t="n">
        <x:v>5</x:v>
      </x:c>
      <x:c r="K563" s="14" t="n">
        <x:v>1</x:v>
      </x:c>
      <x:c r="L563" s="15" t="n">
        <x:f>IF(J563=0,"해당 없음",K563/J563)</x:f>
        <x:v>0.2</x:v>
      </x:c>
      <x:c r="M563" s="14" t="n">
        <x:v>15</x:v>
      </x:c>
      <x:c r="N563" s="14" t="n">
        <x:v>11</x:v>
      </x:c>
      <x:c r="O563" s="15" t="n">
        <x:f>IF(M563=0,"해당 없음",N563/M563)</x:f>
        <x:v>0.7333333333333333</x:v>
      </x:c>
      <x:c r="P563" s="14" t="n">
        <x:v>103</x:v>
      </x:c>
    </x:row>
    <x:row r="564" ht="22" customHeight="1">
      <x:c r="A564" s="14" t="n">
        <x:v>280</x:v>
      </x:c>
      <x:c r="B564" s="14" t="n">
        <x:v>7</x:v>
      </x:c>
      <x:c r="C564" s="14" t="n">
        <x:v>76019</x:v>
      </x:c>
      <x:c r="D564" s="2" t="str">
        <x:v>RED</x:v>
      </x:c>
      <x:c r="E564" s="2" t="str">
        <x:v>규칙형</x:v>
      </x:c>
      <x:c r="F564" s="2" t="str">
        <x:v>240만</x:v>
      </x:c>
      <x:c r="G564" s="2" t="str">
        <x:v>승</x:v>
      </x:c>
      <x:c r="H564" s="14" t="n">
        <x:v>4</x:v>
      </x:c>
      <x:c r="I564" s="14" t="n">
        <x:v>3</x:v>
      </x:c>
      <x:c r="J564" s="14" t="n">
        <x:v>11</x:v>
      </x:c>
      <x:c r="K564" s="14" t="n">
        <x:v>4</x:v>
      </x:c>
      <x:c r="L564" s="15" t="n">
        <x:f>IF(J564=0,"해당 없음",K564/J564)</x:f>
        <x:v>0.36363636363636365</x:v>
      </x:c>
      <x:c r="M564" s="14" t="n">
        <x:v>20</x:v>
      </x:c>
      <x:c r="N564" s="14" t="n">
        <x:v>18</x:v>
      </x:c>
      <x:c r="O564" s="15" t="n">
        <x:f>IF(M564=0,"해당 없음",N564/M564)</x:f>
        <x:v>0.9</x:v>
      </x:c>
      <x:c r="P564" s="14" t="n">
        <x:v>105</x:v>
      </x:c>
    </x:row>
    <x:row r="565" ht="22" customHeight="1">
      <x:c r="A565" s="14" t="n">
        <x:v>280</x:v>
      </x:c>
      <x:c r="B565" s="14" t="n">
        <x:v>7</x:v>
      </x:c>
      <x:c r="C565" s="14" t="n">
        <x:v>76019</x:v>
      </x:c>
      <x:c r="D565" s="2" t="str">
        <x:v>NAVY</x:v>
      </x:c>
      <x:c r="E565" s="2" t="str">
        <x:v>240만</x:v>
      </x:c>
      <x:c r="F565" s="2" t="str">
        <x:v>규칙형</x:v>
      </x:c>
      <x:c r="G565" s="2" t="str">
        <x:v>패</x:v>
      </x:c>
      <x:c r="H565" s="14" t="n">
        <x:v>3</x:v>
      </x:c>
      <x:c r="I565" s="14" t="n">
        <x:v>4</x:v>
      </x:c>
      <x:c r="J565" s="14" t="n">
        <x:v>8</x:v>
      </x:c>
      <x:c r="K565" s="14" t="n">
        <x:v>3</x:v>
      </x:c>
      <x:c r="L565" s="15" t="n">
        <x:f>IF(J565=0,"해당 없음",K565/J565)</x:f>
        <x:v>0.375</x:v>
      </x:c>
      <x:c r="M565" s="14" t="n">
        <x:v>4</x:v>
      </x:c>
      <x:c r="N565" s="14" t="n">
        <x:v>4</x:v>
      </x:c>
      <x:c r="O565" s="15" t="n">
        <x:f>IF(M565=0,"해당 없음",N565/M565)</x:f>
        <x:v>1</x:v>
      </x:c>
      <x:c r="P565" s="14" t="n">
        <x:v>105</x:v>
      </x:c>
    </x:row>
    <x:row r="566" ht="22" customHeight="1">
      <x:c r="A566" s="14" t="n">
        <x:v>281</x:v>
      </x:c>
      <x:c r="B566" s="14" t="n">
        <x:v>8</x:v>
      </x:c>
      <x:c r="C566" s="14" t="n">
        <x:v>76000</x:v>
      </x:c>
      <x:c r="D566" s="2" t="str">
        <x:v>RED</x:v>
      </x:c>
      <x:c r="E566" s="2" t="str">
        <x:v>0만</x:v>
      </x:c>
      <x:c r="F566" s="2" t="str">
        <x:v>40만</x:v>
      </x:c>
      <x:c r="G566" s="2" t="str">
        <x:v>패</x:v>
      </x:c>
      <x:c r="H566" s="14" t="n">
        <x:v>4</x:v>
      </x:c>
      <x:c r="I566" s="14" t="n">
        <x:v>8</x:v>
      </x:c>
      <x:c r="J566" s="14" t="n">
        <x:v>5</x:v>
      </x:c>
      <x:c r="K566" s="14" t="n">
        <x:v>4</x:v>
      </x:c>
      <x:c r="L566" s="15" t="n">
        <x:f>IF(J566=0,"해당 없음",K566/J566)</x:f>
        <x:v>0.8</x:v>
      </x:c>
      <x:c r="M566" s="14" t="n">
        <x:v>6</x:v>
      </x:c>
      <x:c r="N566" s="14" t="n">
        <x:v>5</x:v>
      </x:c>
      <x:c r="O566" s="15" t="n">
        <x:f>IF(M566=0,"해당 없음",N566/M566)</x:f>
        <x:v>0.8333333333333334</x:v>
      </x:c>
      <x:c r="P566" s="14" t="n">
        <x:v>107</x:v>
      </x:c>
    </x:row>
    <x:row r="567" ht="22" customHeight="1">
      <x:c r="A567" s="14" t="n">
        <x:v>281</x:v>
      </x:c>
      <x:c r="B567" s="14" t="n">
        <x:v>8</x:v>
      </x:c>
      <x:c r="C567" s="14" t="n">
        <x:v>76000</x:v>
      </x:c>
      <x:c r="D567" s="2" t="str">
        <x:v>NAVY</x:v>
      </x:c>
      <x:c r="E567" s="2" t="str">
        <x:v>40만</x:v>
      </x:c>
      <x:c r="F567" s="2" t="str">
        <x:v>0만</x:v>
      </x:c>
      <x:c r="G567" s="2" t="str">
        <x:v>승</x:v>
      </x:c>
      <x:c r="H567" s="14" t="n">
        <x:v>8</x:v>
      </x:c>
      <x:c r="I567" s="14" t="n">
        <x:v>4</x:v>
      </x:c>
      <x:c r="J567" s="14" t="n">
        <x:v>14</x:v>
      </x:c>
      <x:c r="K567" s="14" t="n">
        <x:v>8</x:v>
      </x:c>
      <x:c r="L567" s="15" t="n">
        <x:f>IF(J567=0,"해당 없음",K567/J567)</x:f>
        <x:v>0.5714285714285714</x:v>
      </x:c>
      <x:c r="M567" s="14" t="n">
        <x:v>3</x:v>
      </x:c>
      <x:c r="N567" s="14" t="n">
        <x:v>2</x:v>
      </x:c>
      <x:c r="O567" s="15" t="n">
        <x:f>IF(M567=0,"해당 없음",N567/M567)</x:f>
        <x:v>0.6666666666666666</x:v>
      </x:c>
      <x:c r="P567" s="14" t="n">
        <x:v>107</x:v>
      </x:c>
    </x:row>
    <x:row r="568" ht="22" customHeight="1">
      <x:c r="A568" s="14" t="n">
        <x:v>282</x:v>
      </x:c>
      <x:c r="B568" s="14" t="n">
        <x:v>8</x:v>
      </x:c>
      <x:c r="C568" s="14" t="n">
        <x:v>76000</x:v>
      </x:c>
      <x:c r="D568" s="2" t="str">
        <x:v>RED</x:v>
      </x:c>
      <x:c r="E568" s="2" t="str">
        <x:v>40만</x:v>
      </x:c>
      <x:c r="F568" s="2" t="str">
        <x:v>0만</x:v>
      </x:c>
      <x:c r="G568" s="2" t="str">
        <x:v>승</x:v>
      </x:c>
      <x:c r="H568" s="14" t="n">
        <x:v>8</x:v>
      </x:c>
      <x:c r="I568" s="14" t="n">
        <x:v>1</x:v>
      </x:c>
      <x:c r="J568" s="14" t="n">
        <x:v>14</x:v>
      </x:c>
      <x:c r="K568" s="14" t="n">
        <x:v>8</x:v>
      </x:c>
      <x:c r="L568" s="15" t="n">
        <x:f>IF(J568=0,"해당 없음",K568/J568)</x:f>
        <x:v>0.5714285714285714</x:v>
      </x:c>
      <x:c r="M568" s="14" t="n">
        <x:v>4</x:v>
      </x:c>
      <x:c r="N568" s="14" t="n">
        <x:v>4</x:v>
      </x:c>
      <x:c r="O568" s="15" t="n">
        <x:f>IF(M568=0,"해당 없음",N568/M568)</x:f>
        <x:v>1</x:v>
      </x:c>
      <x:c r="P568" s="14" t="n">
        <x:v>105</x:v>
      </x:c>
    </x:row>
    <x:row r="569" ht="22" customHeight="1">
      <x:c r="A569" s="14" t="n">
        <x:v>282</x:v>
      </x:c>
      <x:c r="B569" s="14" t="n">
        <x:v>8</x:v>
      </x:c>
      <x:c r="C569" s="14" t="n">
        <x:v>76000</x:v>
      </x:c>
      <x:c r="D569" s="2" t="str">
        <x:v>NAVY</x:v>
      </x:c>
      <x:c r="E569" s="2" t="str">
        <x:v>0만</x:v>
      </x:c>
      <x:c r="F569" s="2" t="str">
        <x:v>40만</x:v>
      </x:c>
      <x:c r="G569" s="2" t="str">
        <x:v>패</x:v>
      </x:c>
      <x:c r="H569" s="14" t="n">
        <x:v>1</x:v>
      </x:c>
      <x:c r="I569" s="14" t="n">
        <x:v>8</x:v>
      </x:c>
      <x:c r="J569" s="14" t="n">
        <x:v>1</x:v>
      </x:c>
      <x:c r="K569" s="14" t="n">
        <x:v>1</x:v>
      </x:c>
      <x:c r="L569" s="15" t="n">
        <x:f>IF(J569=0,"해당 없음",K569/J569)</x:f>
        <x:v>1</x:v>
      </x:c>
      <x:c r="M569" s="14" t="n">
        <x:v>4</x:v>
      </x:c>
      <x:c r="N569" s="14" t="n">
        <x:v>3</x:v>
      </x:c>
      <x:c r="O569" s="15" t="n">
        <x:f>IF(M569=0,"해당 없음",N569/M569)</x:f>
        <x:v>0.75</x:v>
      </x:c>
      <x:c r="P569" s="14" t="n">
        <x:v>105</x:v>
      </x:c>
    </x:row>
    <x:row r="570" ht="22" customHeight="1">
      <x:c r="A570" s="14" t="n">
        <x:v>283</x:v>
      </x:c>
      <x:c r="B570" s="14" t="n">
        <x:v>8</x:v>
      </x:c>
      <x:c r="C570" s="14" t="n">
        <x:v>76001</x:v>
      </x:c>
      <x:c r="D570" s="2" t="str">
        <x:v>RED</x:v>
      </x:c>
      <x:c r="E570" s="2" t="str">
        <x:v>0만</x:v>
      </x:c>
      <x:c r="F570" s="2" t="str">
        <x:v>40만</x:v>
      </x:c>
      <x:c r="G570" s="2" t="str">
        <x:v>패</x:v>
      </x:c>
      <x:c r="H570" s="14" t="n">
        <x:v>1</x:v>
      </x:c>
      <x:c r="I570" s="14" t="n">
        <x:v>8</x:v>
      </x:c>
      <x:c r="J570" s="14" t="n">
        <x:v>3</x:v>
      </x:c>
      <x:c r="K570" s="14" t="n">
        <x:v>1</x:v>
      </x:c>
      <x:c r="L570" s="15" t="n">
        <x:f>IF(J570=0,"해당 없음",K570/J570)</x:f>
        <x:v>0.3333333333333333</x:v>
      </x:c>
      <x:c r="M570" s="14" t="n">
        <x:v>3</x:v>
      </x:c>
      <x:c r="N570" s="14" t="n">
        <x:v>3</x:v>
      </x:c>
      <x:c r="O570" s="15" t="n">
        <x:f>IF(M570=0,"해당 없음",N570/M570)</x:f>
        <x:v>1</x:v>
      </x:c>
      <x:c r="P570" s="14" t="n">
        <x:v>104</x:v>
      </x:c>
    </x:row>
    <x:row r="571" ht="22" customHeight="1">
      <x:c r="A571" s="14" t="n">
        <x:v>283</x:v>
      </x:c>
      <x:c r="B571" s="14" t="n">
        <x:v>8</x:v>
      </x:c>
      <x:c r="C571" s="14" t="n">
        <x:v>76001</x:v>
      </x:c>
      <x:c r="D571" s="2" t="str">
        <x:v>NAVY</x:v>
      </x:c>
      <x:c r="E571" s="2" t="str">
        <x:v>40만</x:v>
      </x:c>
      <x:c r="F571" s="2" t="str">
        <x:v>0만</x:v>
      </x:c>
      <x:c r="G571" s="2" t="str">
        <x:v>승</x:v>
      </x:c>
      <x:c r="H571" s="14" t="n">
        <x:v>8</x:v>
      </x:c>
      <x:c r="I571" s="14" t="n">
        <x:v>1</x:v>
      </x:c>
      <x:c r="J571" s="14" t="n">
        <x:v>11</x:v>
      </x:c>
      <x:c r="K571" s="14" t="n">
        <x:v>8</x:v>
      </x:c>
      <x:c r="L571" s="15" t="n">
        <x:f>IF(J571=0,"해당 없음",K571/J571)</x:f>
        <x:v>0.7272727272727273</x:v>
      </x:c>
      <x:c r="M571" s="14" t="n">
        <x:v>4</x:v>
      </x:c>
      <x:c r="N571" s="14" t="n">
        <x:v>3</x:v>
      </x:c>
      <x:c r="O571" s="15" t="n">
        <x:f>IF(M571=0,"해당 없음",N571/M571)</x:f>
        <x:v>0.75</x:v>
      </x:c>
      <x:c r="P571" s="14" t="n">
        <x:v>104</x:v>
      </x:c>
    </x:row>
    <x:row r="572" ht="22" customHeight="1">
      <x:c r="A572" s="14" t="n">
        <x:v>284</x:v>
      </x:c>
      <x:c r="B572" s="14" t="n">
        <x:v>8</x:v>
      </x:c>
      <x:c r="C572" s="14" t="n">
        <x:v>76001</x:v>
      </x:c>
      <x:c r="D572" s="2" t="str">
        <x:v>RED</x:v>
      </x:c>
      <x:c r="E572" s="2" t="str">
        <x:v>40만</x:v>
      </x:c>
      <x:c r="F572" s="2" t="str">
        <x:v>0만</x:v>
      </x:c>
      <x:c r="G572" s="2" t="str">
        <x:v>승</x:v>
      </x:c>
      <x:c r="H572" s="14" t="n">
        <x:v>9</x:v>
      </x:c>
      <x:c r="I572" s="14" t="n">
        <x:v>2</x:v>
      </x:c>
      <x:c r="J572" s="14" t="n">
        <x:v>15</x:v>
      </x:c>
      <x:c r="K572" s="14" t="n">
        <x:v>9</x:v>
      </x:c>
      <x:c r="L572" s="15" t="n">
        <x:f>IF(J572=0,"해당 없음",K572/J572)</x:f>
        <x:v>0.6</x:v>
      </x:c>
      <x:c r="M572" s="14" t="n">
        <x:v>5</x:v>
      </x:c>
      <x:c r="N572" s="14" t="n">
        <x:v>5</x:v>
      </x:c>
      <x:c r="O572" s="15" t="n">
        <x:f>IF(M572=0,"해당 없음",N572/M572)</x:f>
        <x:v>1</x:v>
      </x:c>
      <x:c r="P572" s="14" t="n">
        <x:v>107</x:v>
      </x:c>
    </x:row>
    <x:row r="573" ht="22" customHeight="1">
      <x:c r="A573" s="14" t="n">
        <x:v>284</x:v>
      </x:c>
      <x:c r="B573" s="14" t="n">
        <x:v>8</x:v>
      </x:c>
      <x:c r="C573" s="14" t="n">
        <x:v>76001</x:v>
      </x:c>
      <x:c r="D573" s="2" t="str">
        <x:v>NAVY</x:v>
      </x:c>
      <x:c r="E573" s="2" t="str">
        <x:v>0만</x:v>
      </x:c>
      <x:c r="F573" s="2" t="str">
        <x:v>40만</x:v>
      </x:c>
      <x:c r="G573" s="2" t="str">
        <x:v>패</x:v>
      </x:c>
      <x:c r="H573" s="14" t="n">
        <x:v>2</x:v>
      </x:c>
      <x:c r="I573" s="14" t="n">
        <x:v>9</x:v>
      </x:c>
      <x:c r="J573" s="14" t="n">
        <x:v>3</x:v>
      </x:c>
      <x:c r="K573" s="14" t="n">
        <x:v>2</x:v>
      </x:c>
      <x:c r="L573" s="15" t="n">
        <x:f>IF(J573=0,"해당 없음",K573/J573)</x:f>
        <x:v>0.6666666666666666</x:v>
      </x:c>
      <x:c r="M573" s="14" t="n">
        <x:v>9</x:v>
      </x:c>
      <x:c r="N573" s="14" t="n">
        <x:v>7</x:v>
      </x:c>
      <x:c r="O573" s="15" t="n">
        <x:f>IF(M573=0,"해당 없음",N573/M573)</x:f>
        <x:v>0.7777777777777778</x:v>
      </x:c>
      <x:c r="P573" s="14" t="n">
        <x:v>108</x:v>
      </x:c>
    </x:row>
    <x:row r="574" ht="22" customHeight="1">
      <x:c r="A574" s="14" t="n">
        <x:v>285</x:v>
      </x:c>
      <x:c r="B574" s="14" t="n">
        <x:v>8</x:v>
      </x:c>
      <x:c r="C574" s="14" t="n">
        <x:v>76002</x:v>
      </x:c>
      <x:c r="D574" s="2" t="str">
        <x:v>RED</x:v>
      </x:c>
      <x:c r="E574" s="2" t="str">
        <x:v>0만</x:v>
      </x:c>
      <x:c r="F574" s="2" t="str">
        <x:v>40만</x:v>
      </x:c>
      <x:c r="G574" s="2" t="str">
        <x:v>패</x:v>
      </x:c>
      <x:c r="H574" s="14" t="n">
        <x:v>2</x:v>
      </x:c>
      <x:c r="I574" s="14" t="n">
        <x:v>3</x:v>
      </x:c>
      <x:c r="J574" s="14" t="n">
        <x:v>6</x:v>
      </x:c>
      <x:c r="K574" s="14" t="n">
        <x:v>2</x:v>
      </x:c>
      <x:c r="L574" s="15" t="n">
        <x:f>IF(J574=0,"해당 없음",K574/J574)</x:f>
        <x:v>0.3333333333333333</x:v>
      </x:c>
      <x:c r="M574" s="14" t="n">
        <x:v>5</x:v>
      </x:c>
      <x:c r="N574" s="14" t="n">
        <x:v>5</x:v>
      </x:c>
      <x:c r="O574" s="15" t="n">
        <x:f>IF(M574=0,"해당 없음",N574/M574)</x:f>
        <x:v>1</x:v>
      </x:c>
      <x:c r="P574" s="14" t="n">
        <x:v>104</x:v>
      </x:c>
    </x:row>
    <x:row r="575" ht="22" customHeight="1">
      <x:c r="A575" s="14" t="n">
        <x:v>285</x:v>
      </x:c>
      <x:c r="B575" s="14" t="n">
        <x:v>8</x:v>
      </x:c>
      <x:c r="C575" s="14" t="n">
        <x:v>76002</x:v>
      </x:c>
      <x:c r="D575" s="2" t="str">
        <x:v>NAVY</x:v>
      </x:c>
      <x:c r="E575" s="2" t="str">
        <x:v>40만</x:v>
      </x:c>
      <x:c r="F575" s="2" t="str">
        <x:v>0만</x:v>
      </x:c>
      <x:c r="G575" s="2" t="str">
        <x:v>승</x:v>
      </x:c>
      <x:c r="H575" s="14" t="n">
        <x:v>3</x:v>
      </x:c>
      <x:c r="I575" s="14" t="n">
        <x:v>2</x:v>
      </x:c>
      <x:c r="J575" s="14" t="n">
        <x:v>11</x:v>
      </x:c>
      <x:c r="K575" s="14" t="n">
        <x:v>3</x:v>
      </x:c>
      <x:c r="L575" s="15" t="n">
        <x:f>IF(J575=0,"해당 없음",K575/J575)</x:f>
        <x:v>0.2727272727272727</x:v>
      </x:c>
      <x:c r="M575" s="14" t="n">
        <x:v>9</x:v>
      </x:c>
      <x:c r="N575" s="14" t="n">
        <x:v>8</x:v>
      </x:c>
      <x:c r="O575" s="15" t="n">
        <x:f>IF(M575=0,"해당 없음",N575/M575)</x:f>
        <x:v>0.8888888888888888</x:v>
      </x:c>
      <x:c r="P575" s="14" t="n">
        <x:v>105</x:v>
      </x:c>
    </x:row>
    <x:row r="576" ht="22" customHeight="1">
      <x:c r="A576" s="14" t="n">
        <x:v>286</x:v>
      </x:c>
      <x:c r="B576" s="14" t="n">
        <x:v>8</x:v>
      </x:c>
      <x:c r="C576" s="14" t="n">
        <x:v>76002</x:v>
      </x:c>
      <x:c r="D576" s="2" t="str">
        <x:v>RED</x:v>
      </x:c>
      <x:c r="E576" s="2" t="str">
        <x:v>40만</x:v>
      </x:c>
      <x:c r="F576" s="2" t="str">
        <x:v>0만</x:v>
      </x:c>
      <x:c r="G576" s="2" t="str">
        <x:v>승</x:v>
      </x:c>
      <x:c r="H576" s="14" t="n">
        <x:v>8</x:v>
      </x:c>
      <x:c r="I576" s="14" t="n">
        <x:v>1</x:v>
      </x:c>
      <x:c r="J576" s="14" t="n">
        <x:v>15</x:v>
      </x:c>
      <x:c r="K576" s="14" t="n">
        <x:v>8</x:v>
      </x:c>
      <x:c r="L576" s="15" t="n">
        <x:f>IF(J576=0,"해당 없음",K576/J576)</x:f>
        <x:v>0.5333333333333333</x:v>
      </x:c>
      <x:c r="M576" s="14" t="n">
        <x:v>6</x:v>
      </x:c>
      <x:c r="N576" s="14" t="n">
        <x:v>5</x:v>
      </x:c>
      <x:c r="O576" s="15" t="n">
        <x:f>IF(M576=0,"해당 없음",N576/M576)</x:f>
        <x:v>0.8333333333333334</x:v>
      </x:c>
      <x:c r="P576" s="14" t="n">
        <x:v>105</x:v>
      </x:c>
    </x:row>
    <x:row r="577" ht="22" customHeight="1">
      <x:c r="A577" s="14" t="n">
        <x:v>286</x:v>
      </x:c>
      <x:c r="B577" s="14" t="n">
        <x:v>8</x:v>
      </x:c>
      <x:c r="C577" s="14" t="n">
        <x:v>76002</x:v>
      </x:c>
      <x:c r="D577" s="2" t="str">
        <x:v>NAVY</x:v>
      </x:c>
      <x:c r="E577" s="2" t="str">
        <x:v>0만</x:v>
      </x:c>
      <x:c r="F577" s="2" t="str">
        <x:v>40만</x:v>
      </x:c>
      <x:c r="G577" s="2" t="str">
        <x:v>패</x:v>
      </x:c>
      <x:c r="H577" s="14" t="n">
        <x:v>1</x:v>
      </x:c>
      <x:c r="I577" s="14" t="n">
        <x:v>8</x:v>
      </x:c>
      <x:c r="J577" s="14" t="n">
        <x:v>3</x:v>
      </x:c>
      <x:c r="K577" s="14" t="n">
        <x:v>1</x:v>
      </x:c>
      <x:c r="L577" s="15" t="n">
        <x:f>IF(J577=0,"해당 없음",K577/J577)</x:f>
        <x:v>0.3333333333333333</x:v>
      </x:c>
      <x:c r="M577" s="14" t="n">
        <x:v>5</x:v>
      </x:c>
      <x:c r="N577" s="14" t="n">
        <x:v>1</x:v>
      </x:c>
      <x:c r="O577" s="15" t="n">
        <x:f>IF(M577=0,"해당 없음",N577/M577)</x:f>
        <x:v>0.2</x:v>
      </x:c>
      <x:c r="P577" s="14" t="n">
        <x:v>104</x:v>
      </x:c>
    </x:row>
    <x:row r="578" ht="22" customHeight="1">
      <x:c r="A578" s="14" t="n">
        <x:v>287</x:v>
      </x:c>
      <x:c r="B578" s="14" t="n">
        <x:v>8</x:v>
      </x:c>
      <x:c r="C578" s="14" t="n">
        <x:v>76003</x:v>
      </x:c>
      <x:c r="D578" s="2" t="str">
        <x:v>RED</x:v>
      </x:c>
      <x:c r="E578" s="2" t="str">
        <x:v>0만</x:v>
      </x:c>
      <x:c r="F578" s="2" t="str">
        <x:v>40만</x:v>
      </x:c>
      <x:c r="G578" s="2" t="str">
        <x:v>패</x:v>
      </x:c>
      <x:c r="H578" s="14" t="n">
        <x:v>0</x:v>
      </x:c>
      <x:c r="I578" s="14" t="n">
        <x:v>4</x:v>
      </x:c>
      <x:c r="J578" s="14" t="n">
        <x:v>3</x:v>
      </x:c>
      <x:c r="K578" s="14" t="n">
        <x:v>0</x:v>
      </x:c>
      <x:c r="L578" s="15" t="n">
        <x:f>IF(J578=0,"해당 없음",K578/J578)</x:f>
        <x:v>0</x:v>
      </x:c>
      <x:c r="M578" s="14" t="n">
        <x:v>5</x:v>
      </x:c>
      <x:c r="N578" s="14" t="n">
        <x:v>3</x:v>
      </x:c>
      <x:c r="O578" s="15" t="n">
        <x:f>IF(M578=0,"해당 없음",N578/M578)</x:f>
        <x:v>0.6</x:v>
      </x:c>
      <x:c r="P578" s="14" t="n">
        <x:v>103</x:v>
      </x:c>
    </x:row>
    <x:row r="579" ht="22" customHeight="1">
      <x:c r="A579" s="14" t="n">
        <x:v>287</x:v>
      </x:c>
      <x:c r="B579" s="14" t="n">
        <x:v>8</x:v>
      </x:c>
      <x:c r="C579" s="14" t="n">
        <x:v>76003</x:v>
      </x:c>
      <x:c r="D579" s="2" t="str">
        <x:v>NAVY</x:v>
      </x:c>
      <x:c r="E579" s="2" t="str">
        <x:v>40만</x:v>
      </x:c>
      <x:c r="F579" s="2" t="str">
        <x:v>0만</x:v>
      </x:c>
      <x:c r="G579" s="2" t="str">
        <x:v>승</x:v>
      </x:c>
      <x:c r="H579" s="14" t="n">
        <x:v>4</x:v>
      </x:c>
      <x:c r="I579" s="14" t="n">
        <x:v>0</x:v>
      </x:c>
      <x:c r="J579" s="14" t="n">
        <x:v>14</x:v>
      </x:c>
      <x:c r="K579" s="14" t="n">
        <x:v>4</x:v>
      </x:c>
      <x:c r="L579" s="15" t="n">
        <x:f>IF(J579=0,"해당 없음",K579/J579)</x:f>
        <x:v>0.2857142857142857</x:v>
      </x:c>
      <x:c r="M579" s="14" t="n">
        <x:v>4</x:v>
      </x:c>
      <x:c r="N579" s="14" t="n">
        <x:v>4</x:v>
      </x:c>
      <x:c r="O579" s="15" t="n">
        <x:f>IF(M579=0,"해당 없음",N579/M579)</x:f>
        <x:v>1</x:v>
      </x:c>
      <x:c r="P579" s="14" t="n">
        <x:v>103</x:v>
      </x:c>
    </x:row>
    <x:row r="580" ht="22" customHeight="1">
      <x:c r="A580" s="14" t="n">
        <x:v>288</x:v>
      </x:c>
      <x:c r="B580" s="14" t="n">
        <x:v>8</x:v>
      </x:c>
      <x:c r="C580" s="14" t="n">
        <x:v>76003</x:v>
      </x:c>
      <x:c r="D580" s="2" t="str">
        <x:v>RED</x:v>
      </x:c>
      <x:c r="E580" s="2" t="str">
        <x:v>40만</x:v>
      </x:c>
      <x:c r="F580" s="2" t="str">
        <x:v>0만</x:v>
      </x:c>
      <x:c r="G580" s="2" t="str">
        <x:v>승</x:v>
      </x:c>
      <x:c r="H580" s="14" t="n">
        <x:v>7</x:v>
      </x:c>
      <x:c r="I580" s="14" t="n">
        <x:v>1</x:v>
      </x:c>
      <x:c r="J580" s="14" t="n">
        <x:v>13</x:v>
      </x:c>
      <x:c r="K580" s="14" t="n">
        <x:v>7</x:v>
      </x:c>
      <x:c r="L580" s="15" t="n">
        <x:f>IF(J580=0,"해당 없음",K580/J580)</x:f>
        <x:v>0.5384615384615384</x:v>
      </x:c>
      <x:c r="M580" s="14" t="n">
        <x:v>1</x:v>
      </x:c>
      <x:c r="N580" s="14" t="n">
        <x:v>1</x:v>
      </x:c>
      <x:c r="O580" s="15" t="n">
        <x:f>IF(M580=0,"해당 없음",N580/M580)</x:f>
        <x:v>1</x:v>
      </x:c>
      <x:c r="P580" s="14" t="n">
        <x:v>104</x:v>
      </x:c>
    </x:row>
    <x:row r="581" ht="22" customHeight="1">
      <x:c r="A581" s="14" t="n">
        <x:v>288</x:v>
      </x:c>
      <x:c r="B581" s="14" t="n">
        <x:v>8</x:v>
      </x:c>
      <x:c r="C581" s="14" t="n">
        <x:v>76003</x:v>
      </x:c>
      <x:c r="D581" s="2" t="str">
        <x:v>NAVY</x:v>
      </x:c>
      <x:c r="E581" s="2" t="str">
        <x:v>0만</x:v>
      </x:c>
      <x:c r="F581" s="2" t="str">
        <x:v>40만</x:v>
      </x:c>
      <x:c r="G581" s="2" t="str">
        <x:v>패</x:v>
      </x:c>
      <x:c r="H581" s="14" t="n">
        <x:v>1</x:v>
      </x:c>
      <x:c r="I581" s="14" t="n">
        <x:v>7</x:v>
      </x:c>
      <x:c r="J581" s="14" t="n">
        <x:v>5</x:v>
      </x:c>
      <x:c r="K581" s="14" t="n">
        <x:v>1</x:v>
      </x:c>
      <x:c r="L581" s="15" t="n">
        <x:f>IF(J581=0,"해당 없음",K581/J581)</x:f>
        <x:v>0.2</x:v>
      </x:c>
      <x:c r="M581" s="14" t="n">
        <x:v>10</x:v>
      </x:c>
      <x:c r="N581" s="14" t="n">
        <x:v>7</x:v>
      </x:c>
      <x:c r="O581" s="15" t="n">
        <x:f>IF(M581=0,"해당 없음",N581/M581)</x:f>
        <x:v>0.7</x:v>
      </x:c>
      <x:c r="P581" s="14" t="n">
        <x:v>104</x:v>
      </x:c>
    </x:row>
    <x:row r="582" ht="22" customHeight="1">
      <x:c r="A582" s="14" t="n">
        <x:v>289</x:v>
      </x:c>
      <x:c r="B582" s="14" t="n">
        <x:v>8</x:v>
      </x:c>
      <x:c r="C582" s="14" t="n">
        <x:v>76004</x:v>
      </x:c>
      <x:c r="D582" s="2" t="str">
        <x:v>RED</x:v>
      </x:c>
      <x:c r="E582" s="2" t="str">
        <x:v>0만</x:v>
      </x:c>
      <x:c r="F582" s="2" t="str">
        <x:v>40만</x:v>
      </x:c>
      <x:c r="G582" s="2" t="str">
        <x:v>패</x:v>
      </x:c>
      <x:c r="H582" s="14" t="n">
        <x:v>1</x:v>
      </x:c>
      <x:c r="I582" s="14" t="n">
        <x:v>3</x:v>
      </x:c>
      <x:c r="J582" s="14" t="n">
        <x:v>3</x:v>
      </x:c>
      <x:c r="K582" s="14" t="n">
        <x:v>1</x:v>
      </x:c>
      <x:c r="L582" s="15" t="n">
        <x:f>IF(J582=0,"해당 없음",K582/J582)</x:f>
        <x:v>0.3333333333333333</x:v>
      </x:c>
      <x:c r="M582" s="14" t="n">
        <x:v>6</x:v>
      </x:c>
      <x:c r="N582" s="14" t="n">
        <x:v>3</x:v>
      </x:c>
      <x:c r="O582" s="15" t="n">
        <x:f>IF(M582=0,"해당 없음",N582/M582)</x:f>
        <x:v>0.5</x:v>
      </x:c>
      <x:c r="P582" s="14" t="n">
        <x:v>103</x:v>
      </x:c>
    </x:row>
    <x:row r="583" ht="22" customHeight="1">
      <x:c r="A583" s="14" t="n">
        <x:v>289</x:v>
      </x:c>
      <x:c r="B583" s="14" t="n">
        <x:v>8</x:v>
      </x:c>
      <x:c r="C583" s="14" t="n">
        <x:v>76004</x:v>
      </x:c>
      <x:c r="D583" s="2" t="str">
        <x:v>NAVY</x:v>
      </x:c>
      <x:c r="E583" s="2" t="str">
        <x:v>40만</x:v>
      </x:c>
      <x:c r="F583" s="2" t="str">
        <x:v>0만</x:v>
      </x:c>
      <x:c r="G583" s="2" t="str">
        <x:v>승</x:v>
      </x:c>
      <x:c r="H583" s="14" t="n">
        <x:v>3</x:v>
      </x:c>
      <x:c r="I583" s="14" t="n">
        <x:v>1</x:v>
      </x:c>
      <x:c r="J583" s="14" t="n">
        <x:v>15</x:v>
      </x:c>
      <x:c r="K583" s="14" t="n">
        <x:v>3</x:v>
      </x:c>
      <x:c r="L583" s="15" t="n">
        <x:f>IF(J583=0,"해당 없음",K583/J583)</x:f>
        <x:v>0.2</x:v>
      </x:c>
      <x:c r="M583" s="14" t="n">
        <x:v>9</x:v>
      </x:c>
      <x:c r="N583" s="14" t="n">
        <x:v>7</x:v>
      </x:c>
      <x:c r="O583" s="15" t="n">
        <x:f>IF(M583=0,"해당 없음",N583/M583)</x:f>
        <x:v>0.7777777777777778</x:v>
      </x:c>
      <x:c r="P583" s="14" t="n">
        <x:v>104</x:v>
      </x:c>
    </x:row>
    <x:row r="584" ht="22" customHeight="1">
      <x:c r="A584" s="14" t="n">
        <x:v>290</x:v>
      </x:c>
      <x:c r="B584" s="14" t="n">
        <x:v>8</x:v>
      </x:c>
      <x:c r="C584" s="14" t="n">
        <x:v>76004</x:v>
      </x:c>
      <x:c r="D584" s="2" t="str">
        <x:v>RED</x:v>
      </x:c>
      <x:c r="E584" s="2" t="str">
        <x:v>40만</x:v>
      </x:c>
      <x:c r="F584" s="2" t="str">
        <x:v>0만</x:v>
      </x:c>
      <x:c r="G584" s="2" t="str">
        <x:v>패</x:v>
      </x:c>
      <x:c r="H584" s="14" t="n">
        <x:v>2</x:v>
      </x:c>
      <x:c r="I584" s="14" t="n">
        <x:v>3</x:v>
      </x:c>
      <x:c r="J584" s="14" t="n">
        <x:v>13</x:v>
      </x:c>
      <x:c r="K584" s="14" t="n">
        <x:v>2</x:v>
      </x:c>
      <x:c r="L584" s="15" t="n">
        <x:f>IF(J584=0,"해당 없음",K584/J584)</x:f>
        <x:v>0.15384615384615385</x:v>
      </x:c>
      <x:c r="M584" s="14" t="n">
        <x:v>3</x:v>
      </x:c>
      <x:c r="N584" s="14" t="n">
        <x:v>3</x:v>
      </x:c>
      <x:c r="O584" s="15" t="n">
        <x:f>IF(M584=0,"해당 없음",N584/M584)</x:f>
        <x:v>1</x:v>
      </x:c>
      <x:c r="P584" s="14" t="n">
        <x:v>104</x:v>
      </x:c>
    </x:row>
    <x:row r="585" ht="22" customHeight="1">
      <x:c r="A585" s="14" t="n">
        <x:v>290</x:v>
      </x:c>
      <x:c r="B585" s="14" t="n">
        <x:v>8</x:v>
      </x:c>
      <x:c r="C585" s="14" t="n">
        <x:v>76004</x:v>
      </x:c>
      <x:c r="D585" s="2" t="str">
        <x:v>NAVY</x:v>
      </x:c>
      <x:c r="E585" s="2" t="str">
        <x:v>0만</x:v>
      </x:c>
      <x:c r="F585" s="2" t="str">
        <x:v>40만</x:v>
      </x:c>
      <x:c r="G585" s="2" t="str">
        <x:v>승</x:v>
      </x:c>
      <x:c r="H585" s="14" t="n">
        <x:v>3</x:v>
      </x:c>
      <x:c r="I585" s="14" t="n">
        <x:v>2</x:v>
      </x:c>
      <x:c r="J585" s="14" t="n">
        <x:v>4</x:v>
      </x:c>
      <x:c r="K585" s="14" t="n">
        <x:v>3</x:v>
      </x:c>
      <x:c r="L585" s="15" t="n">
        <x:f>IF(J585=0,"해당 없음",K585/J585)</x:f>
        <x:v>0.75</x:v>
      </x:c>
      <x:c r="M585" s="14" t="n">
        <x:v>8</x:v>
      </x:c>
      <x:c r="N585" s="14" t="n">
        <x:v>5</x:v>
      </x:c>
      <x:c r="O585" s="15" t="n">
        <x:f>IF(M585=0,"해당 없음",N585/M585)</x:f>
        <x:v>0.625</x:v>
      </x:c>
      <x:c r="P585" s="14" t="n">
        <x:v>102</x:v>
      </x:c>
    </x:row>
    <x:row r="586" ht="22" customHeight="1">
      <x:c r="A586" s="14" t="n">
        <x:v>291</x:v>
      </x:c>
      <x:c r="B586" s="14" t="n">
        <x:v>8</x:v>
      </x:c>
      <x:c r="C586" s="14" t="n">
        <x:v>76005</x:v>
      </x:c>
      <x:c r="D586" s="2" t="str">
        <x:v>RED</x:v>
      </x:c>
      <x:c r="E586" s="2" t="str">
        <x:v>0만</x:v>
      </x:c>
      <x:c r="F586" s="2" t="str">
        <x:v>40만</x:v>
      </x:c>
      <x:c r="G586" s="2" t="str">
        <x:v>패</x:v>
      </x:c>
      <x:c r="H586" s="14" t="n">
        <x:v>3</x:v>
      </x:c>
      <x:c r="I586" s="14" t="n">
        <x:v>4</x:v>
      </x:c>
      <x:c r="J586" s="14" t="n">
        <x:v>6</x:v>
      </x:c>
      <x:c r="K586" s="14" t="n">
        <x:v>3</x:v>
      </x:c>
      <x:c r="L586" s="15" t="n">
        <x:f>IF(J586=0,"해당 없음",K586/J586)</x:f>
        <x:v>0.5</x:v>
      </x:c>
      <x:c r="M586" s="14" t="n">
        <x:v>4</x:v>
      </x:c>
      <x:c r="N586" s="14" t="n">
        <x:v>2</x:v>
      </x:c>
      <x:c r="O586" s="15" t="n">
        <x:f>IF(M586=0,"해당 없음",N586/M586)</x:f>
        <x:v>0.5</x:v>
      </x:c>
      <x:c r="P586" s="14" t="n">
        <x:v>105</x:v>
      </x:c>
    </x:row>
    <x:row r="587" ht="22" customHeight="1">
      <x:c r="A587" s="14" t="n">
        <x:v>291</x:v>
      </x:c>
      <x:c r="B587" s="14" t="n">
        <x:v>8</x:v>
      </x:c>
      <x:c r="C587" s="14" t="n">
        <x:v>76005</x:v>
      </x:c>
      <x:c r="D587" s="2" t="str">
        <x:v>NAVY</x:v>
      </x:c>
      <x:c r="E587" s="2" t="str">
        <x:v>40만</x:v>
      </x:c>
      <x:c r="F587" s="2" t="str">
        <x:v>0만</x:v>
      </x:c>
      <x:c r="G587" s="2" t="str">
        <x:v>승</x:v>
      </x:c>
      <x:c r="H587" s="14" t="n">
        <x:v>4</x:v>
      </x:c>
      <x:c r="I587" s="14" t="n">
        <x:v>3</x:v>
      </x:c>
      <x:c r="J587" s="14" t="n">
        <x:v>9</x:v>
      </x:c>
      <x:c r="K587" s="14" t="n">
        <x:v>4</x:v>
      </x:c>
      <x:c r="L587" s="15" t="n">
        <x:f>IF(J587=0,"해당 없음",K587/J587)</x:f>
        <x:v>0.4444444444444444</x:v>
      </x:c>
      <x:c r="M587" s="14" t="n">
        <x:v>3</x:v>
      </x:c>
      <x:c r="N587" s="14" t="n">
        <x:v>3</x:v>
      </x:c>
      <x:c r="O587" s="15" t="n">
        <x:f>IF(M587=0,"해당 없음",N587/M587)</x:f>
        <x:v>1</x:v>
      </x:c>
      <x:c r="P587" s="14" t="n">
        <x:v>105</x:v>
      </x:c>
    </x:row>
    <x:row r="588" ht="22" customHeight="1">
      <x:c r="A588" s="14" t="n">
        <x:v>292</x:v>
      </x:c>
      <x:c r="B588" s="14" t="n">
        <x:v>8</x:v>
      </x:c>
      <x:c r="C588" s="14" t="n">
        <x:v>76005</x:v>
      </x:c>
      <x:c r="D588" s="2" t="str">
        <x:v>RED</x:v>
      </x:c>
      <x:c r="E588" s="2" t="str">
        <x:v>40만</x:v>
      </x:c>
      <x:c r="F588" s="2" t="str">
        <x:v>0만</x:v>
      </x:c>
      <x:c r="G588" s="2" t="str">
        <x:v>승</x:v>
      </x:c>
      <x:c r="H588" s="14" t="n">
        <x:v>3</x:v>
      </x:c>
      <x:c r="I588" s="14" t="n">
        <x:v>2</x:v>
      </x:c>
      <x:c r="J588" s="14" t="n">
        <x:v>14</x:v>
      </x:c>
      <x:c r="K588" s="14" t="n">
        <x:v>3</x:v>
      </x:c>
      <x:c r="L588" s="15" t="n">
        <x:f>IF(J588=0,"해당 없음",K588/J588)</x:f>
        <x:v>0.21428571428571427</x:v>
      </x:c>
      <x:c r="M588" s="14" t="n">
        <x:v>7</x:v>
      </x:c>
      <x:c r="N588" s="14" t="n">
        <x:v>5</x:v>
      </x:c>
      <x:c r="O588" s="15" t="n">
        <x:f>IF(M588=0,"해당 없음",N588/M588)</x:f>
        <x:v>0.7142857142857143</x:v>
      </x:c>
      <x:c r="P588" s="14" t="n">
        <x:v>103</x:v>
      </x:c>
    </x:row>
    <x:row r="589" ht="22" customHeight="1">
      <x:c r="A589" s="14" t="n">
        <x:v>292</x:v>
      </x:c>
      <x:c r="B589" s="14" t="n">
        <x:v>8</x:v>
      </x:c>
      <x:c r="C589" s="14" t="n">
        <x:v>76005</x:v>
      </x:c>
      <x:c r="D589" s="2" t="str">
        <x:v>NAVY</x:v>
      </x:c>
      <x:c r="E589" s="2" t="str">
        <x:v>0만</x:v>
      </x:c>
      <x:c r="F589" s="2" t="str">
        <x:v>40만</x:v>
      </x:c>
      <x:c r="G589" s="2" t="str">
        <x:v>패</x:v>
      </x:c>
      <x:c r="H589" s="14" t="n">
        <x:v>2</x:v>
      </x:c>
      <x:c r="I589" s="14" t="n">
        <x:v>3</x:v>
      </x:c>
      <x:c r="J589" s="14" t="n">
        <x:v>6</x:v>
      </x:c>
      <x:c r="K589" s="14" t="n">
        <x:v>2</x:v>
      </x:c>
      <x:c r="L589" s="15" t="n">
        <x:f>IF(J589=0,"해당 없음",K589/J589)</x:f>
        <x:v>0.3333333333333333</x:v>
      </x:c>
      <x:c r="M589" s="14" t="n">
        <x:v>5</x:v>
      </x:c>
      <x:c r="N589" s="14" t="n">
        <x:v>4</x:v>
      </x:c>
      <x:c r="O589" s="15" t="n">
        <x:f>IF(M589=0,"해당 없음",N589/M589)</x:f>
        <x:v>0.8</x:v>
      </x:c>
      <x:c r="P589" s="14" t="n">
        <x:v>102</x:v>
      </x:c>
    </x:row>
    <x:row r="590" ht="22" customHeight="1">
      <x:c r="A590" s="14" t="n">
        <x:v>293</x:v>
      </x:c>
      <x:c r="B590" s="14" t="n">
        <x:v>8</x:v>
      </x:c>
      <x:c r="C590" s="14" t="n">
        <x:v>76006</x:v>
      </x:c>
      <x:c r="D590" s="2" t="str">
        <x:v>RED</x:v>
      </x:c>
      <x:c r="E590" s="2" t="str">
        <x:v>0만</x:v>
      </x:c>
      <x:c r="F590" s="2" t="str">
        <x:v>40만</x:v>
      </x:c>
      <x:c r="G590" s="2" t="str">
        <x:v>패</x:v>
      </x:c>
      <x:c r="H590" s="14" t="n">
        <x:v>2</x:v>
      </x:c>
      <x:c r="I590" s="14" t="n">
        <x:v>3</x:v>
      </x:c>
      <x:c r="J590" s="14" t="n">
        <x:v>8</x:v>
      </x:c>
      <x:c r="K590" s="14" t="n">
        <x:v>2</x:v>
      </x:c>
      <x:c r="L590" s="15" t="n">
        <x:f>IF(J590=0,"해당 없음",K590/J590)</x:f>
        <x:v>0.25</x:v>
      </x:c>
      <x:c r="M590" s="14" t="n">
        <x:v>4</x:v>
      </x:c>
      <x:c r="N590" s="14" t="n">
        <x:v>3</x:v>
      </x:c>
      <x:c r="O590" s="15" t="n">
        <x:f>IF(M590=0,"해당 없음",N590/M590)</x:f>
        <x:v>0.75</x:v>
      </x:c>
      <x:c r="P590" s="14" t="n">
        <x:v>104</x:v>
      </x:c>
    </x:row>
    <x:row r="591" ht="22" customHeight="1">
      <x:c r="A591" s="14" t="n">
        <x:v>293</x:v>
      </x:c>
      <x:c r="B591" s="14" t="n">
        <x:v>8</x:v>
      </x:c>
      <x:c r="C591" s="14" t="n">
        <x:v>76006</x:v>
      </x:c>
      <x:c r="D591" s="2" t="str">
        <x:v>NAVY</x:v>
      </x:c>
      <x:c r="E591" s="2" t="str">
        <x:v>40만</x:v>
      </x:c>
      <x:c r="F591" s="2" t="str">
        <x:v>0만</x:v>
      </x:c>
      <x:c r="G591" s="2" t="str">
        <x:v>승</x:v>
      </x:c>
      <x:c r="H591" s="14" t="n">
        <x:v>3</x:v>
      </x:c>
      <x:c r="I591" s="14" t="n">
        <x:v>2</x:v>
      </x:c>
      <x:c r="J591" s="14" t="n">
        <x:v>5</x:v>
      </x:c>
      <x:c r="K591" s="14" t="n">
        <x:v>3</x:v>
      </x:c>
      <x:c r="L591" s="15" t="n">
        <x:f>IF(J591=0,"해당 없음",K591/J591)</x:f>
        <x:v>0.6</x:v>
      </x:c>
      <x:c r="M591" s="14" t="n">
        <x:v>6</x:v>
      </x:c>
      <x:c r="N591" s="14" t="n">
        <x:v>4</x:v>
      </x:c>
      <x:c r="O591" s="15" t="n">
        <x:f>IF(M591=0,"해당 없음",N591/M591)</x:f>
        <x:v>0.6666666666666666</x:v>
      </x:c>
      <x:c r="P591" s="14" t="n">
        <x:v>103</x:v>
      </x:c>
    </x:row>
    <x:row r="592" ht="22" customHeight="1">
      <x:c r="A592" s="14" t="n">
        <x:v>294</x:v>
      </x:c>
      <x:c r="B592" s="14" t="n">
        <x:v>8</x:v>
      </x:c>
      <x:c r="C592" s="14" t="n">
        <x:v>76006</x:v>
      </x:c>
      <x:c r="D592" s="2" t="str">
        <x:v>RED</x:v>
      </x:c>
      <x:c r="E592" s="2" t="str">
        <x:v>40만</x:v>
      </x:c>
      <x:c r="F592" s="2" t="str">
        <x:v>0만</x:v>
      </x:c>
      <x:c r="G592" s="2" t="str">
        <x:v>승</x:v>
      </x:c>
      <x:c r="H592" s="14" t="n">
        <x:v>5</x:v>
      </x:c>
      <x:c r="I592" s="14" t="n">
        <x:v>0</x:v>
      </x:c>
      <x:c r="J592" s="14" t="n">
        <x:v>15</x:v>
      </x:c>
      <x:c r="K592" s="14" t="n">
        <x:v>5</x:v>
      </x:c>
      <x:c r="L592" s="15" t="n">
        <x:f>IF(J592=0,"해당 없음",K592/J592)</x:f>
        <x:v>0.3333333333333333</x:v>
      </x:c>
      <x:c r="M592" s="14" t="n">
        <x:v>7</x:v>
      </x:c>
      <x:c r="N592" s="14" t="n">
        <x:v>5</x:v>
      </x:c>
      <x:c r="O592" s="15" t="n">
        <x:f>IF(M592=0,"해당 없음",N592/M592)</x:f>
        <x:v>0.7142857142857143</x:v>
      </x:c>
      <x:c r="P592" s="14" t="n">
        <x:v>103</x:v>
      </x:c>
    </x:row>
    <x:row r="593" ht="22" customHeight="1">
      <x:c r="A593" s="14" t="n">
        <x:v>294</x:v>
      </x:c>
      <x:c r="B593" s="14" t="n">
        <x:v>8</x:v>
      </x:c>
      <x:c r="C593" s="14" t="n">
        <x:v>76006</x:v>
      </x:c>
      <x:c r="D593" s="2" t="str">
        <x:v>NAVY</x:v>
      </x:c>
      <x:c r="E593" s="2" t="str">
        <x:v>0만</x:v>
      </x:c>
      <x:c r="F593" s="2" t="str">
        <x:v>40만</x:v>
      </x:c>
      <x:c r="G593" s="2" t="str">
        <x:v>패</x:v>
      </x:c>
      <x:c r="H593" s="14" t="n">
        <x:v>0</x:v>
      </x:c>
      <x:c r="I593" s="14" t="n">
        <x:v>5</x:v>
      </x:c>
      <x:c r="J593" s="14" t="n">
        <x:v>4</x:v>
      </x:c>
      <x:c r="K593" s="14" t="n">
        <x:v>0</x:v>
      </x:c>
      <x:c r="L593" s="15" t="n">
        <x:f>IF(J593=0,"해당 없음",K593/J593)</x:f>
        <x:v>0</x:v>
      </x:c>
      <x:c r="M593" s="14" t="n">
        <x:v>8</x:v>
      </x:c>
      <x:c r="N593" s="14" t="n">
        <x:v>7</x:v>
      </x:c>
      <x:c r="O593" s="15" t="n">
        <x:f>IF(M593=0,"해당 없음",N593/M593)</x:f>
        <x:v>0.875</x:v>
      </x:c>
      <x:c r="P593" s="14" t="n">
        <x:v>103</x:v>
      </x:c>
    </x:row>
    <x:row r="594" ht="22" customHeight="1">
      <x:c r="A594" s="14" t="n">
        <x:v>295</x:v>
      </x:c>
      <x:c r="B594" s="14" t="n">
        <x:v>8</x:v>
      </x:c>
      <x:c r="C594" s="14" t="n">
        <x:v>76007</x:v>
      </x:c>
      <x:c r="D594" s="2" t="str">
        <x:v>RED</x:v>
      </x:c>
      <x:c r="E594" s="2" t="str">
        <x:v>0만</x:v>
      </x:c>
      <x:c r="F594" s="2" t="str">
        <x:v>40만</x:v>
      </x:c>
      <x:c r="G594" s="2" t="str">
        <x:v>패</x:v>
      </x:c>
      <x:c r="H594" s="14" t="n">
        <x:v>1</x:v>
      </x:c>
      <x:c r="I594" s="14" t="n">
        <x:v>7</x:v>
      </x:c>
      <x:c r="J594" s="14" t="n">
        <x:v>4</x:v>
      </x:c>
      <x:c r="K594" s="14" t="n">
        <x:v>1</x:v>
      </x:c>
      <x:c r="L594" s="15" t="n">
        <x:f>IF(J594=0,"해당 없음",K594/J594)</x:f>
        <x:v>0.25</x:v>
      </x:c>
      <x:c r="M594" s="14" t="n">
        <x:v>10</x:v>
      </x:c>
      <x:c r="N594" s="14" t="n">
        <x:v>6</x:v>
      </x:c>
      <x:c r="O594" s="15" t="n">
        <x:f>IF(M594=0,"해당 없음",N594/M594)</x:f>
        <x:v>0.6</x:v>
      </x:c>
      <x:c r="P594" s="14" t="n">
        <x:v>104</x:v>
      </x:c>
    </x:row>
    <x:row r="595" ht="22" customHeight="1">
      <x:c r="A595" s="14" t="n">
        <x:v>295</x:v>
      </x:c>
      <x:c r="B595" s="14" t="n">
        <x:v>8</x:v>
      </x:c>
      <x:c r="C595" s="14" t="n">
        <x:v>76007</x:v>
      </x:c>
      <x:c r="D595" s="2" t="str">
        <x:v>NAVY</x:v>
      </x:c>
      <x:c r="E595" s="2" t="str">
        <x:v>40만</x:v>
      </x:c>
      <x:c r="F595" s="2" t="str">
        <x:v>0만</x:v>
      </x:c>
      <x:c r="G595" s="2" t="str">
        <x:v>승</x:v>
      </x:c>
      <x:c r="H595" s="14" t="n">
        <x:v>7</x:v>
      </x:c>
      <x:c r="I595" s="14" t="n">
        <x:v>1</x:v>
      </x:c>
      <x:c r="J595" s="14" t="n">
        <x:v>17</x:v>
      </x:c>
      <x:c r="K595" s="14" t="n">
        <x:v>7</x:v>
      </x:c>
      <x:c r="L595" s="15" t="n">
        <x:f>IF(J595=0,"해당 없음",K595/J595)</x:f>
        <x:v>0.4117647058823529</x:v>
      </x:c>
      <x:c r="M595" s="14" t="n">
        <x:v>6</x:v>
      </x:c>
      <x:c r="N595" s="14" t="n">
        <x:v>4</x:v>
      </x:c>
      <x:c r="O595" s="15" t="n">
        <x:f>IF(M595=0,"해당 없음",N595/M595)</x:f>
        <x:v>0.6666666666666666</x:v>
      </x:c>
      <x:c r="P595" s="14" t="n">
        <x:v>106</x:v>
      </x:c>
    </x:row>
    <x:row r="596" ht="22" customHeight="1">
      <x:c r="A596" s="14" t="n">
        <x:v>296</x:v>
      </x:c>
      <x:c r="B596" s="14" t="n">
        <x:v>8</x:v>
      </x:c>
      <x:c r="C596" s="14" t="n">
        <x:v>76007</x:v>
      </x:c>
      <x:c r="D596" s="2" t="str">
        <x:v>RED</x:v>
      </x:c>
      <x:c r="E596" s="2" t="str">
        <x:v>40만</x:v>
      </x:c>
      <x:c r="F596" s="2" t="str">
        <x:v>0만</x:v>
      </x:c>
      <x:c r="G596" s="2" t="str">
        <x:v>승</x:v>
      </x:c>
      <x:c r="H596" s="14" t="n">
        <x:v>4</x:v>
      </x:c>
      <x:c r="I596" s="14" t="n">
        <x:v>1</x:v>
      </x:c>
      <x:c r="J596" s="14" t="n">
        <x:v>14</x:v>
      </x:c>
      <x:c r="K596" s="14" t="n">
        <x:v>4</x:v>
      </x:c>
      <x:c r="L596" s="15" t="n">
        <x:f>IF(J596=0,"해당 없음",K596/J596)</x:f>
        <x:v>0.2857142857142857</x:v>
      </x:c>
      <x:c r="M596" s="14" t="n">
        <x:v>9</x:v>
      </x:c>
      <x:c r="N596" s="14" t="n">
        <x:v>6</x:v>
      </x:c>
      <x:c r="O596" s="15" t="n">
        <x:f>IF(M596=0,"해당 없음",N596/M596)</x:f>
        <x:v>0.6666666666666666</x:v>
      </x:c>
      <x:c r="P596" s="14" t="n">
        <x:v>101</x:v>
      </x:c>
    </x:row>
    <x:row r="597" ht="22" customHeight="1">
      <x:c r="A597" s="14" t="n">
        <x:v>296</x:v>
      </x:c>
      <x:c r="B597" s="14" t="n">
        <x:v>8</x:v>
      </x:c>
      <x:c r="C597" s="14" t="n">
        <x:v>76007</x:v>
      </x:c>
      <x:c r="D597" s="2" t="str">
        <x:v>NAVY</x:v>
      </x:c>
      <x:c r="E597" s="2" t="str">
        <x:v>0만</x:v>
      </x:c>
      <x:c r="F597" s="2" t="str">
        <x:v>40만</x:v>
      </x:c>
      <x:c r="G597" s="2" t="str">
        <x:v>패</x:v>
      </x:c>
      <x:c r="H597" s="14" t="n">
        <x:v>1</x:v>
      </x:c>
      <x:c r="I597" s="14" t="n">
        <x:v>4</x:v>
      </x:c>
      <x:c r="J597" s="14" t="n">
        <x:v>3</x:v>
      </x:c>
      <x:c r="K597" s="14" t="n">
        <x:v>1</x:v>
      </x:c>
      <x:c r="L597" s="15" t="n">
        <x:f>IF(J597=0,"해당 없음",K597/J597)</x:f>
        <x:v>0.3333333333333333</x:v>
      </x:c>
      <x:c r="M597" s="14" t="n">
        <x:v>11</x:v>
      </x:c>
      <x:c r="N597" s="14" t="n">
        <x:v>7</x:v>
      </x:c>
      <x:c r="O597" s="15" t="n">
        <x:f>IF(M597=0,"해당 없음",N597/M597)</x:f>
        <x:v>0.6363636363636364</x:v>
      </x:c>
      <x:c r="P597" s="14" t="n">
        <x:v>104</x:v>
      </x:c>
    </x:row>
    <x:row r="598" ht="22" customHeight="1">
      <x:c r="A598" s="14" t="n">
        <x:v>297</x:v>
      </x:c>
      <x:c r="B598" s="14" t="n">
        <x:v>8</x:v>
      </x:c>
      <x:c r="C598" s="14" t="n">
        <x:v>76008</x:v>
      </x:c>
      <x:c r="D598" s="2" t="str">
        <x:v>RED</x:v>
      </x:c>
      <x:c r="E598" s="2" t="str">
        <x:v>0만</x:v>
      </x:c>
      <x:c r="F598" s="2" t="str">
        <x:v>40만</x:v>
      </x:c>
      <x:c r="G598" s="2" t="str">
        <x:v>패</x:v>
      </x:c>
      <x:c r="H598" s="14" t="n">
        <x:v>2</x:v>
      </x:c>
      <x:c r="I598" s="14" t="n">
        <x:v>3</x:v>
      </x:c>
      <x:c r="J598" s="14" t="n">
        <x:v>5</x:v>
      </x:c>
      <x:c r="K598" s="14" t="n">
        <x:v>2</x:v>
      </x:c>
      <x:c r="L598" s="15" t="n">
        <x:f>IF(J598=0,"해당 없음",K598/J598)</x:f>
        <x:v>0.4</x:v>
      </x:c>
      <x:c r="M598" s="14" t="n">
        <x:v>6</x:v>
      </x:c>
      <x:c r="N598" s="14" t="n">
        <x:v>3</x:v>
      </x:c>
      <x:c r="O598" s="15" t="n">
        <x:f>IF(M598=0,"해당 없음",N598/M598)</x:f>
        <x:v>0.5</x:v>
      </x:c>
      <x:c r="P598" s="14" t="n">
        <x:v>104</x:v>
      </x:c>
    </x:row>
    <x:row r="599" ht="22" customHeight="1">
      <x:c r="A599" s="14" t="n">
        <x:v>297</x:v>
      </x:c>
      <x:c r="B599" s="14" t="n">
        <x:v>8</x:v>
      </x:c>
      <x:c r="C599" s="14" t="n">
        <x:v>76008</x:v>
      </x:c>
      <x:c r="D599" s="2" t="str">
        <x:v>NAVY</x:v>
      </x:c>
      <x:c r="E599" s="2" t="str">
        <x:v>40만</x:v>
      </x:c>
      <x:c r="F599" s="2" t="str">
        <x:v>0만</x:v>
      </x:c>
      <x:c r="G599" s="2" t="str">
        <x:v>승</x:v>
      </x:c>
      <x:c r="H599" s="14" t="n">
        <x:v>3</x:v>
      </x:c>
      <x:c r="I599" s="14" t="n">
        <x:v>2</x:v>
      </x:c>
      <x:c r="J599" s="14" t="n">
        <x:v>8</x:v>
      </x:c>
      <x:c r="K599" s="14" t="n">
        <x:v>3</x:v>
      </x:c>
      <x:c r="L599" s="15" t="n">
        <x:f>IF(J599=0,"해당 없음",K599/J599)</x:f>
        <x:v>0.375</x:v>
      </x:c>
      <x:c r="M599" s="14" t="n">
        <x:v>7</x:v>
      </x:c>
      <x:c r="N599" s="14" t="n">
        <x:v>6</x:v>
      </x:c>
      <x:c r="O599" s="15" t="n">
        <x:f>IF(M599=0,"해당 없음",N599/M599)</x:f>
        <x:v>0.8571428571428571</x:v>
      </x:c>
      <x:c r="P599" s="14" t="n">
        <x:v>104</x:v>
      </x:c>
    </x:row>
    <x:row r="600" ht="22" customHeight="1">
      <x:c r="A600" s="14" t="n">
        <x:v>298</x:v>
      </x:c>
      <x:c r="B600" s="14" t="n">
        <x:v>8</x:v>
      </x:c>
      <x:c r="C600" s="14" t="n">
        <x:v>76008</x:v>
      </x:c>
      <x:c r="D600" s="2" t="str">
        <x:v>RED</x:v>
      </x:c>
      <x:c r="E600" s="2" t="str">
        <x:v>40만</x:v>
      </x:c>
      <x:c r="F600" s="2" t="str">
        <x:v>0만</x:v>
      </x:c>
      <x:c r="G600" s="2" t="str">
        <x:v>승</x:v>
      </x:c>
      <x:c r="H600" s="14" t="n">
        <x:v>3</x:v>
      </x:c>
      <x:c r="I600" s="14" t="n">
        <x:v>0</x:v>
      </x:c>
      <x:c r="J600" s="14" t="n">
        <x:v>9</x:v>
      </x:c>
      <x:c r="K600" s="14" t="n">
        <x:v>3</x:v>
      </x:c>
      <x:c r="L600" s="15" t="n">
        <x:f>IF(J600=0,"해당 없음",K600/J600)</x:f>
        <x:v>0.3333333333333333</x:v>
      </x:c>
      <x:c r="M600" s="14" t="n">
        <x:v>9</x:v>
      </x:c>
      <x:c r="N600" s="14" t="n">
        <x:v>7</x:v>
      </x:c>
      <x:c r="O600" s="15" t="n">
        <x:f>IF(M600=0,"해당 없음",N600/M600)</x:f>
        <x:v>0.7777777777777778</x:v>
      </x:c>
      <x:c r="P600" s="14" t="n">
        <x:v>103</x:v>
      </x:c>
    </x:row>
    <x:row r="601" ht="22" customHeight="1">
      <x:c r="A601" s="14" t="n">
        <x:v>298</x:v>
      </x:c>
      <x:c r="B601" s="14" t="n">
        <x:v>8</x:v>
      </x:c>
      <x:c r="C601" s="14" t="n">
        <x:v>76008</x:v>
      </x:c>
      <x:c r="D601" s="2" t="str">
        <x:v>NAVY</x:v>
      </x:c>
      <x:c r="E601" s="2" t="str">
        <x:v>0만</x:v>
      </x:c>
      <x:c r="F601" s="2" t="str">
        <x:v>40만</x:v>
      </x:c>
      <x:c r="G601" s="2" t="str">
        <x:v>패</x:v>
      </x:c>
      <x:c r="H601" s="14" t="n">
        <x:v>0</x:v>
      </x:c>
      <x:c r="I601" s="14" t="n">
        <x:v>3</x:v>
      </x:c>
      <x:c r="J601" s="14" t="n">
        <x:v>2</x:v>
      </x:c>
      <x:c r="K601" s="14" t="n">
        <x:v>0</x:v>
      </x:c>
      <x:c r="L601" s="15" t="n">
        <x:f>IF(J601=0,"해당 없음",K601/J601)</x:f>
        <x:v>0</x:v>
      </x:c>
      <x:c r="M601" s="14" t="n">
        <x:v>9</x:v>
      </x:c>
      <x:c r="N601" s="14" t="n">
        <x:v>8</x:v>
      </x:c>
      <x:c r="O601" s="15" t="n">
        <x:f>IF(M601=0,"해당 없음",N601/M601)</x:f>
        <x:v>0.8888888888888888</x:v>
      </x:c>
      <x:c r="P601" s="14" t="n">
        <x:v>103</x:v>
      </x:c>
    </x:row>
    <x:row r="602" ht="22" customHeight="1">
      <x:c r="A602" s="14" t="n">
        <x:v>299</x:v>
      </x:c>
      <x:c r="B602" s="14" t="n">
        <x:v>8</x:v>
      </x:c>
      <x:c r="C602" s="14" t="n">
        <x:v>76009</x:v>
      </x:c>
      <x:c r="D602" s="2" t="str">
        <x:v>RED</x:v>
      </x:c>
      <x:c r="E602" s="2" t="str">
        <x:v>0만</x:v>
      </x:c>
      <x:c r="F602" s="2" t="str">
        <x:v>40만</x:v>
      </x:c>
      <x:c r="G602" s="2" t="str">
        <x:v>패</x:v>
      </x:c>
      <x:c r="H602" s="14" t="n">
        <x:v>0</x:v>
      </x:c>
      <x:c r="I602" s="14" t="n">
        <x:v>14</x:v>
      </x:c>
      <x:c r="J602" s="14" t="n">
        <x:v>1</x:v>
      </x:c>
      <x:c r="K602" s="14" t="n">
        <x:v>0</x:v>
      </x:c>
      <x:c r="L602" s="15" t="n">
        <x:f>IF(J602=0,"해당 없음",K602/J602)</x:f>
        <x:v>0</x:v>
      </x:c>
      <x:c r="M602" s="14" t="n">
        <x:v>7</x:v>
      </x:c>
      <x:c r="N602" s="14" t="n">
        <x:v>3</x:v>
      </x:c>
      <x:c r="O602" s="15" t="n">
        <x:f>IF(M602=0,"해당 없음",N602/M602)</x:f>
        <x:v>0.42857142857142855</x:v>
      </x:c>
      <x:c r="P602" s="14" t="n">
        <x:v>107</x:v>
      </x:c>
    </x:row>
    <x:row r="603" ht="22" customHeight="1">
      <x:c r="A603" s="14" t="n">
        <x:v>299</x:v>
      </x:c>
      <x:c r="B603" s="14" t="n">
        <x:v>8</x:v>
      </x:c>
      <x:c r="C603" s="14" t="n">
        <x:v>76009</x:v>
      </x:c>
      <x:c r="D603" s="2" t="str">
        <x:v>NAVY</x:v>
      </x:c>
      <x:c r="E603" s="2" t="str">
        <x:v>40만</x:v>
      </x:c>
      <x:c r="F603" s="2" t="str">
        <x:v>0만</x:v>
      </x:c>
      <x:c r="G603" s="2" t="str">
        <x:v>승</x:v>
      </x:c>
      <x:c r="H603" s="14" t="n">
        <x:v>14</x:v>
      </x:c>
      <x:c r="I603" s="14" t="n">
        <x:v>0</x:v>
      </x:c>
      <x:c r="J603" s="14" t="n">
        <x:v>21</x:v>
      </x:c>
      <x:c r="K603" s="14" t="n">
        <x:v>14</x:v>
      </x:c>
      <x:c r="L603" s="15" t="n">
        <x:f>IF(J603=0,"해당 없음",K603/J603)</x:f>
        <x:v>0.6666666666666666</x:v>
      </x:c>
      <x:c r="M603" s="14" t="n">
        <x:v>6</x:v>
      </x:c>
      <x:c r="N603" s="14" t="n">
        <x:v>6</x:v>
      </x:c>
      <x:c r="O603" s="15" t="n">
        <x:f>IF(M603=0,"해당 없음",N603/M603)</x:f>
        <x:v>1</x:v>
      </x:c>
      <x:c r="P603" s="14" t="n">
        <x:v>108</x:v>
      </x:c>
    </x:row>
    <x:row r="604" ht="22" customHeight="1">
      <x:c r="A604" s="14" t="n">
        <x:v>300</x:v>
      </x:c>
      <x:c r="B604" s="14" t="n">
        <x:v>8</x:v>
      </x:c>
      <x:c r="C604" s="14" t="n">
        <x:v>76009</x:v>
      </x:c>
      <x:c r="D604" s="2" t="str">
        <x:v>RED</x:v>
      </x:c>
      <x:c r="E604" s="2" t="str">
        <x:v>40만</x:v>
      </x:c>
      <x:c r="F604" s="2" t="str">
        <x:v>0만</x:v>
      </x:c>
      <x:c r="G604" s="2" t="str">
        <x:v>승</x:v>
      </x:c>
      <x:c r="H604" s="14" t="n">
        <x:v>7</x:v>
      </x:c>
      <x:c r="I604" s="14" t="n">
        <x:v>1</x:v>
      </x:c>
      <x:c r="J604" s="14" t="n">
        <x:v>13</x:v>
      </x:c>
      <x:c r="K604" s="14" t="n">
        <x:v>7</x:v>
      </x:c>
      <x:c r="L604" s="15" t="n">
        <x:f>IF(J604=0,"해당 없음",K604/J604)</x:f>
        <x:v>0.5384615384615384</x:v>
      </x:c>
      <x:c r="M604" s="14" t="n">
        <x:v>5</x:v>
      </x:c>
      <x:c r="N604" s="14" t="n">
        <x:v>5</x:v>
      </x:c>
      <x:c r="O604" s="15" t="n">
        <x:f>IF(M604=0,"해당 없음",N604/M604)</x:f>
        <x:v>1</x:v>
      </x:c>
      <x:c r="P604" s="14" t="n">
        <x:v>105</x:v>
      </x:c>
    </x:row>
    <x:row r="605" ht="22" customHeight="1">
      <x:c r="A605" s="14" t="n">
        <x:v>300</x:v>
      </x:c>
      <x:c r="B605" s="14" t="n">
        <x:v>8</x:v>
      </x:c>
      <x:c r="C605" s="14" t="n">
        <x:v>76009</x:v>
      </x:c>
      <x:c r="D605" s="2" t="str">
        <x:v>NAVY</x:v>
      </x:c>
      <x:c r="E605" s="2" t="str">
        <x:v>0만</x:v>
      </x:c>
      <x:c r="F605" s="2" t="str">
        <x:v>40만</x:v>
      </x:c>
      <x:c r="G605" s="2" t="str">
        <x:v>패</x:v>
      </x:c>
      <x:c r="H605" s="14" t="n">
        <x:v>1</x:v>
      </x:c>
      <x:c r="I605" s="14" t="n">
        <x:v>7</x:v>
      </x:c>
      <x:c r="J605" s="14" t="n">
        <x:v>4</x:v>
      </x:c>
      <x:c r="K605" s="14" t="n">
        <x:v>1</x:v>
      </x:c>
      <x:c r="L605" s="15" t="n">
        <x:f>IF(J605=0,"해당 없음",K605/J605)</x:f>
        <x:v>0.25</x:v>
      </x:c>
      <x:c r="M605" s="14" t="n">
        <x:v>6</x:v>
      </x:c>
      <x:c r="N605" s="14" t="n">
        <x:v>5</x:v>
      </x:c>
      <x:c r="O605" s="15" t="n">
        <x:f>IF(M605=0,"해당 없음",N605/M605)</x:f>
        <x:v>0.8333333333333334</x:v>
      </x:c>
      <x:c r="P605" s="14" t="n">
        <x:v>103</x:v>
      </x:c>
    </x:row>
    <x:row r="606" ht="22" customHeight="1">
      <x:c r="A606" s="14" t="n">
        <x:v>301</x:v>
      </x:c>
      <x:c r="B606" s="14" t="n">
        <x:v>8</x:v>
      </x:c>
      <x:c r="C606" s="14" t="n">
        <x:v>76010</x:v>
      </x:c>
      <x:c r="D606" s="2" t="str">
        <x:v>RED</x:v>
      </x:c>
      <x:c r="E606" s="2" t="str">
        <x:v>0만</x:v>
      </x:c>
      <x:c r="F606" s="2" t="str">
        <x:v>40만</x:v>
      </x:c>
      <x:c r="G606" s="2" t="str">
        <x:v>패</x:v>
      </x:c>
      <x:c r="H606" s="14" t="n">
        <x:v>2</x:v>
      </x:c>
      <x:c r="I606" s="14" t="n">
        <x:v>7</x:v>
      </x:c>
      <x:c r="J606" s="14" t="n">
        <x:v>5</x:v>
      </x:c>
      <x:c r="K606" s="14" t="n">
        <x:v>2</x:v>
      </x:c>
      <x:c r="L606" s="15" t="n">
        <x:f>IF(J606=0,"해당 없음",K606/J606)</x:f>
        <x:v>0.4</x:v>
      </x:c>
      <x:c r="M606" s="14" t="n">
        <x:v>6</x:v>
      </x:c>
      <x:c r="N606" s="14" t="n">
        <x:v>3</x:v>
      </x:c>
      <x:c r="O606" s="15" t="n">
        <x:f>IF(M606=0,"해당 없음",N606/M606)</x:f>
        <x:v>0.5</x:v>
      </x:c>
      <x:c r="P606" s="14" t="n">
        <x:v>107</x:v>
      </x:c>
    </x:row>
    <x:row r="607" ht="22" customHeight="1">
      <x:c r="A607" s="14" t="n">
        <x:v>301</x:v>
      </x:c>
      <x:c r="B607" s="14" t="n">
        <x:v>8</x:v>
      </x:c>
      <x:c r="C607" s="14" t="n">
        <x:v>76010</x:v>
      </x:c>
      <x:c r="D607" s="2" t="str">
        <x:v>NAVY</x:v>
      </x:c>
      <x:c r="E607" s="2" t="str">
        <x:v>40만</x:v>
      </x:c>
      <x:c r="F607" s="2" t="str">
        <x:v>0만</x:v>
      </x:c>
      <x:c r="G607" s="2" t="str">
        <x:v>승</x:v>
      </x:c>
      <x:c r="H607" s="14" t="n">
        <x:v>7</x:v>
      </x:c>
      <x:c r="I607" s="14" t="n">
        <x:v>2</x:v>
      </x:c>
      <x:c r="J607" s="14" t="n">
        <x:v>18</x:v>
      </x:c>
      <x:c r="K607" s="14" t="n">
        <x:v>7</x:v>
      </x:c>
      <x:c r="L607" s="15" t="n">
        <x:f>IF(J607=0,"해당 없음",K607/J607)</x:f>
        <x:v>0.3888888888888889</x:v>
      </x:c>
      <x:c r="M607" s="14" t="n">
        <x:v>7</x:v>
      </x:c>
      <x:c r="N607" s="14" t="n">
        <x:v>6</x:v>
      </x:c>
      <x:c r="O607" s="15" t="n">
        <x:f>IF(M607=0,"해당 없음",N607/M607)</x:f>
        <x:v>0.8571428571428571</x:v>
      </x:c>
      <x:c r="P607" s="14" t="n">
        <x:v>107</x:v>
      </x:c>
    </x:row>
    <x:row r="608" ht="22" customHeight="1">
      <x:c r="A608" s="14" t="n">
        <x:v>302</x:v>
      </x:c>
      <x:c r="B608" s="14" t="n">
        <x:v>8</x:v>
      </x:c>
      <x:c r="C608" s="14" t="n">
        <x:v>76010</x:v>
      </x:c>
      <x:c r="D608" s="2" t="str">
        <x:v>RED</x:v>
      </x:c>
      <x:c r="E608" s="2" t="str">
        <x:v>40만</x:v>
      </x:c>
      <x:c r="F608" s="2" t="str">
        <x:v>0만</x:v>
      </x:c>
      <x:c r="G608" s="2" t="str">
        <x:v>승</x:v>
      </x:c>
      <x:c r="H608" s="14" t="n">
        <x:v>4</x:v>
      </x:c>
      <x:c r="I608" s="14" t="n">
        <x:v>1</x:v>
      </x:c>
      <x:c r="J608" s="14" t="n">
        <x:v>17</x:v>
      </x:c>
      <x:c r="K608" s="14" t="n">
        <x:v>4</x:v>
      </x:c>
      <x:c r="L608" s="15" t="n">
        <x:f>IF(J608=0,"해당 없음",K608/J608)</x:f>
        <x:v>0.23529411764705882</x:v>
      </x:c>
      <x:c r="M608" s="14" t="n">
        <x:v>7</x:v>
      </x:c>
      <x:c r="N608" s="14" t="n">
        <x:v>5</x:v>
      </x:c>
      <x:c r="O608" s="15" t="n">
        <x:f>IF(M608=0,"해당 없음",N608/M608)</x:f>
        <x:v>0.7142857142857143</x:v>
      </x:c>
      <x:c r="P608" s="14" t="n">
        <x:v>103</x:v>
      </x:c>
    </x:row>
    <x:row r="609" ht="22" customHeight="1">
      <x:c r="A609" s="14" t="n">
        <x:v>302</x:v>
      </x:c>
      <x:c r="B609" s="14" t="n">
        <x:v>8</x:v>
      </x:c>
      <x:c r="C609" s="14" t="n">
        <x:v>76010</x:v>
      </x:c>
      <x:c r="D609" s="2" t="str">
        <x:v>NAVY</x:v>
      </x:c>
      <x:c r="E609" s="2" t="str">
        <x:v>0만</x:v>
      </x:c>
      <x:c r="F609" s="2" t="str">
        <x:v>40만</x:v>
      </x:c>
      <x:c r="G609" s="2" t="str">
        <x:v>패</x:v>
      </x:c>
      <x:c r="H609" s="14" t="n">
        <x:v>1</x:v>
      </x:c>
      <x:c r="I609" s="14" t="n">
        <x:v>4</x:v>
      </x:c>
      <x:c r="J609" s="14" t="n">
        <x:v>7</x:v>
      </x:c>
      <x:c r="K609" s="14" t="n">
        <x:v>1</x:v>
      </x:c>
      <x:c r="L609" s="15" t="n">
        <x:f>IF(J609=0,"해당 없음",K609/J609)</x:f>
        <x:v>0.14285714285714285</x:v>
      </x:c>
      <x:c r="M609" s="14" t="n">
        <x:v>0</x:v>
      </x:c>
      <x:c r="N609" s="14" t="n">
        <x:v>0</x:v>
      </x:c>
      <x:c r="O609" s="15" t="str">
        <x:f>IF(M609=0,"해당 없음",N609/M609)</x:f>
        <x:v>해당 없음</x:v>
      </x:c>
      <x:c r="P609" s="14" t="n">
        <x:v>102</x:v>
      </x:c>
    </x:row>
    <x:row r="610" ht="22" customHeight="1">
      <x:c r="A610" s="14" t="n">
        <x:v>303</x:v>
      </x:c>
      <x:c r="B610" s="14" t="n">
        <x:v>8</x:v>
      </x:c>
      <x:c r="C610" s="14" t="n">
        <x:v>76011</x:v>
      </x:c>
      <x:c r="D610" s="2" t="str">
        <x:v>RED</x:v>
      </x:c>
      <x:c r="E610" s="2" t="str">
        <x:v>0만</x:v>
      </x:c>
      <x:c r="F610" s="2" t="str">
        <x:v>40만</x:v>
      </x:c>
      <x:c r="G610" s="2" t="str">
        <x:v>패</x:v>
      </x:c>
      <x:c r="H610" s="14" t="n">
        <x:v>0</x:v>
      </x:c>
      <x:c r="I610" s="14" t="n">
        <x:v>6</x:v>
      </x:c>
      <x:c r="J610" s="14" t="n">
        <x:v>4</x:v>
      </x:c>
      <x:c r="K610" s="14" t="n">
        <x:v>0</x:v>
      </x:c>
      <x:c r="L610" s="15" t="n">
        <x:f>IF(J610=0,"해당 없음",K610/J610)</x:f>
        <x:v>0</x:v>
      </x:c>
      <x:c r="M610" s="14" t="n">
        <x:v>7</x:v>
      </x:c>
      <x:c r="N610" s="14" t="n">
        <x:v>3</x:v>
      </x:c>
      <x:c r="O610" s="15" t="n">
        <x:f>IF(M610=0,"해당 없음",N610/M610)</x:f>
        <x:v>0.42857142857142855</x:v>
      </x:c>
      <x:c r="P610" s="14" t="n">
        <x:v>102</x:v>
      </x:c>
    </x:row>
    <x:row r="611" ht="22" customHeight="1">
      <x:c r="A611" s="14" t="n">
        <x:v>303</x:v>
      </x:c>
      <x:c r="B611" s="14" t="n">
        <x:v>8</x:v>
      </x:c>
      <x:c r="C611" s="14" t="n">
        <x:v>76011</x:v>
      </x:c>
      <x:c r="D611" s="2" t="str">
        <x:v>NAVY</x:v>
      </x:c>
      <x:c r="E611" s="2" t="str">
        <x:v>40만</x:v>
      </x:c>
      <x:c r="F611" s="2" t="str">
        <x:v>0만</x:v>
      </x:c>
      <x:c r="G611" s="2" t="str">
        <x:v>승</x:v>
      </x:c>
      <x:c r="H611" s="14" t="n">
        <x:v>6</x:v>
      </x:c>
      <x:c r="I611" s="14" t="n">
        <x:v>0</x:v>
      </x:c>
      <x:c r="J611" s="14" t="n">
        <x:v>14</x:v>
      </x:c>
      <x:c r="K611" s="14" t="n">
        <x:v>6</x:v>
      </x:c>
      <x:c r="L611" s="15" t="n">
        <x:f>IF(J611=0,"해당 없음",K611/J611)</x:f>
        <x:v>0.42857142857142855</x:v>
      </x:c>
      <x:c r="M611" s="14" t="n">
        <x:v>7</x:v>
      </x:c>
      <x:c r="N611" s="14" t="n">
        <x:v>6</x:v>
      </x:c>
      <x:c r="O611" s="15" t="n">
        <x:f>IF(M611=0,"해당 없음",N611/M611)</x:f>
        <x:v>0.8571428571428571</x:v>
      </x:c>
      <x:c r="P611" s="14" t="n">
        <x:v>101</x:v>
      </x:c>
    </x:row>
    <x:row r="612" ht="22" customHeight="1">
      <x:c r="A612" s="14" t="n">
        <x:v>304</x:v>
      </x:c>
      <x:c r="B612" s="14" t="n">
        <x:v>8</x:v>
      </x:c>
      <x:c r="C612" s="14" t="n">
        <x:v>76011</x:v>
      </x:c>
      <x:c r="D612" s="2" t="str">
        <x:v>RED</x:v>
      </x:c>
      <x:c r="E612" s="2" t="str">
        <x:v>40만</x:v>
      </x:c>
      <x:c r="F612" s="2" t="str">
        <x:v>0만</x:v>
      </x:c>
      <x:c r="G612" s="2" t="str">
        <x:v>승</x:v>
      </x:c>
      <x:c r="H612" s="14" t="n">
        <x:v>9</x:v>
      </x:c>
      <x:c r="I612" s="14" t="n">
        <x:v>1</x:v>
      </x:c>
      <x:c r="J612" s="14" t="n">
        <x:v>13</x:v>
      </x:c>
      <x:c r="K612" s="14" t="n">
        <x:v>9</x:v>
      </x:c>
      <x:c r="L612" s="15" t="n">
        <x:f>IF(J612=0,"해당 없음",K612/J612)</x:f>
        <x:v>0.6923076923076923</x:v>
      </x:c>
      <x:c r="M612" s="14" t="n">
        <x:v>7</x:v>
      </x:c>
      <x:c r="N612" s="14" t="n">
        <x:v>6</x:v>
      </x:c>
      <x:c r="O612" s="15" t="n">
        <x:f>IF(M612=0,"해당 없음",N612/M612)</x:f>
        <x:v>0.8571428571428571</x:v>
      </x:c>
      <x:c r="P612" s="14" t="n">
        <x:v>104</x:v>
      </x:c>
    </x:row>
    <x:row r="613" ht="22" customHeight="1">
      <x:c r="A613" s="14" t="n">
        <x:v>304</x:v>
      </x:c>
      <x:c r="B613" s="14" t="n">
        <x:v>8</x:v>
      </x:c>
      <x:c r="C613" s="14" t="n">
        <x:v>76011</x:v>
      </x:c>
      <x:c r="D613" s="2" t="str">
        <x:v>NAVY</x:v>
      </x:c>
      <x:c r="E613" s="2" t="str">
        <x:v>0만</x:v>
      </x:c>
      <x:c r="F613" s="2" t="str">
        <x:v>40만</x:v>
      </x:c>
      <x:c r="G613" s="2" t="str">
        <x:v>패</x:v>
      </x:c>
      <x:c r="H613" s="14" t="n">
        <x:v>1</x:v>
      </x:c>
      <x:c r="I613" s="14" t="n">
        <x:v>9</x:v>
      </x:c>
      <x:c r="J613" s="14" t="n">
        <x:v>5</x:v>
      </x:c>
      <x:c r="K613" s="14" t="n">
        <x:v>1</x:v>
      </x:c>
      <x:c r="L613" s="15" t="n">
        <x:f>IF(J613=0,"해당 없음",K613/J613)</x:f>
        <x:v>0.2</x:v>
      </x:c>
      <x:c r="M613" s="14" t="n">
        <x:v>6</x:v>
      </x:c>
      <x:c r="N613" s="14" t="n">
        <x:v>5</x:v>
      </x:c>
      <x:c r="O613" s="15" t="n">
        <x:f>IF(M613=0,"해당 없음",N613/M613)</x:f>
        <x:v>0.8333333333333334</x:v>
      </x:c>
      <x:c r="P613" s="14" t="n">
        <x:v>105</x:v>
      </x:c>
    </x:row>
    <x:row r="614" ht="22" customHeight="1">
      <x:c r="A614" s="14" t="n">
        <x:v>305</x:v>
      </x:c>
      <x:c r="B614" s="14" t="n">
        <x:v>8</x:v>
      </x:c>
      <x:c r="C614" s="14" t="n">
        <x:v>76012</x:v>
      </x:c>
      <x:c r="D614" s="2" t="str">
        <x:v>RED</x:v>
      </x:c>
      <x:c r="E614" s="2" t="str">
        <x:v>0만</x:v>
      </x:c>
      <x:c r="F614" s="2" t="str">
        <x:v>40만</x:v>
      </x:c>
      <x:c r="G614" s="2" t="str">
        <x:v>패</x:v>
      </x:c>
      <x:c r="H614" s="14" t="n">
        <x:v>2</x:v>
      </x:c>
      <x:c r="I614" s="14" t="n">
        <x:v>4</x:v>
      </x:c>
      <x:c r="J614" s="14" t="n">
        <x:v>5</x:v>
      </x:c>
      <x:c r="K614" s="14" t="n">
        <x:v>2</x:v>
      </x:c>
      <x:c r="L614" s="15" t="n">
        <x:f>IF(J614=0,"해당 없음",K614/J614)</x:f>
        <x:v>0.4</x:v>
      </x:c>
      <x:c r="M614" s="14" t="n">
        <x:v>7</x:v>
      </x:c>
      <x:c r="N614" s="14" t="n">
        <x:v>6</x:v>
      </x:c>
      <x:c r="O614" s="15" t="n">
        <x:f>IF(M614=0,"해당 없음",N614/M614)</x:f>
        <x:v>0.8571428571428571</x:v>
      </x:c>
      <x:c r="P614" s="14" t="n">
        <x:v>104</x:v>
      </x:c>
    </x:row>
    <x:row r="615" ht="22" customHeight="1">
      <x:c r="A615" s="14" t="n">
        <x:v>305</x:v>
      </x:c>
      <x:c r="B615" s="14" t="n">
        <x:v>8</x:v>
      </x:c>
      <x:c r="C615" s="14" t="n">
        <x:v>76012</x:v>
      </x:c>
      <x:c r="D615" s="2" t="str">
        <x:v>NAVY</x:v>
      </x:c>
      <x:c r="E615" s="2" t="str">
        <x:v>40만</x:v>
      </x:c>
      <x:c r="F615" s="2" t="str">
        <x:v>0만</x:v>
      </x:c>
      <x:c r="G615" s="2" t="str">
        <x:v>승</x:v>
      </x:c>
      <x:c r="H615" s="14" t="n">
        <x:v>4</x:v>
      </x:c>
      <x:c r="I615" s="14" t="n">
        <x:v>2</x:v>
      </x:c>
      <x:c r="J615" s="14" t="n">
        <x:v>9</x:v>
      </x:c>
      <x:c r="K615" s="14" t="n">
        <x:v>4</x:v>
      </x:c>
      <x:c r="L615" s="15" t="n">
        <x:f>IF(J615=0,"해당 없음",K615/J615)</x:f>
        <x:v>0.4444444444444444</x:v>
      </x:c>
      <x:c r="M615" s="14" t="n">
        <x:v>7</x:v>
      </x:c>
      <x:c r="N615" s="14" t="n">
        <x:v>6</x:v>
      </x:c>
      <x:c r="O615" s="15" t="n">
        <x:f>IF(M615=0,"해당 없음",N615/M615)</x:f>
        <x:v>0.8571428571428571</x:v>
      </x:c>
      <x:c r="P615" s="14" t="n">
        <x:v>104</x:v>
      </x:c>
    </x:row>
    <x:row r="616" ht="22" customHeight="1">
      <x:c r="A616" s="14" t="n">
        <x:v>306</x:v>
      </x:c>
      <x:c r="B616" s="14" t="n">
        <x:v>8</x:v>
      </x:c>
      <x:c r="C616" s="14" t="n">
        <x:v>76012</x:v>
      </x:c>
      <x:c r="D616" s="2" t="str">
        <x:v>RED</x:v>
      </x:c>
      <x:c r="E616" s="2" t="str">
        <x:v>40만</x:v>
      </x:c>
      <x:c r="F616" s="2" t="str">
        <x:v>0만</x:v>
      </x:c>
      <x:c r="G616" s="2" t="str">
        <x:v>승</x:v>
      </x:c>
      <x:c r="H616" s="14" t="n">
        <x:v>4</x:v>
      </x:c>
      <x:c r="I616" s="14" t="n">
        <x:v>2</x:v>
      </x:c>
      <x:c r="J616" s="14" t="n">
        <x:v>9</x:v>
      </x:c>
      <x:c r="K616" s="14" t="n">
        <x:v>4</x:v>
      </x:c>
      <x:c r="L616" s="15" t="n">
        <x:f>IF(J616=0,"해당 없음",K616/J616)</x:f>
        <x:v>0.4444444444444444</x:v>
      </x:c>
      <x:c r="M616" s="14" t="n">
        <x:v>10</x:v>
      </x:c>
      <x:c r="N616" s="14" t="n">
        <x:v>7</x:v>
      </x:c>
      <x:c r="O616" s="15" t="n">
        <x:f>IF(M616=0,"해당 없음",N616/M616)</x:f>
        <x:v>0.7</x:v>
      </x:c>
      <x:c r="P616" s="14" t="n">
        <x:v>103</x:v>
      </x:c>
    </x:row>
    <x:row r="617" ht="22" customHeight="1">
      <x:c r="A617" s="14" t="n">
        <x:v>306</x:v>
      </x:c>
      <x:c r="B617" s="14" t="n">
        <x:v>8</x:v>
      </x:c>
      <x:c r="C617" s="14" t="n">
        <x:v>76012</x:v>
      </x:c>
      <x:c r="D617" s="2" t="str">
        <x:v>NAVY</x:v>
      </x:c>
      <x:c r="E617" s="2" t="str">
        <x:v>0만</x:v>
      </x:c>
      <x:c r="F617" s="2" t="str">
        <x:v>40만</x:v>
      </x:c>
      <x:c r="G617" s="2" t="str">
        <x:v>패</x:v>
      </x:c>
      <x:c r="H617" s="14" t="n">
        <x:v>2</x:v>
      </x:c>
      <x:c r="I617" s="14" t="n">
        <x:v>4</x:v>
      </x:c>
      <x:c r="J617" s="14" t="n">
        <x:v>5</x:v>
      </x:c>
      <x:c r="K617" s="14" t="n">
        <x:v>2</x:v>
      </x:c>
      <x:c r="L617" s="15" t="n">
        <x:f>IF(J617=0,"해당 없음",K617/J617)</x:f>
        <x:v>0.4</x:v>
      </x:c>
      <x:c r="M617" s="14" t="n">
        <x:v>7</x:v>
      </x:c>
      <x:c r="N617" s="14" t="n">
        <x:v>4</x:v>
      </x:c>
      <x:c r="O617" s="15" t="n">
        <x:f>IF(M617=0,"해당 없음",N617/M617)</x:f>
        <x:v>0.5714285714285714</x:v>
      </x:c>
      <x:c r="P617" s="14" t="n">
        <x:v>104</x:v>
      </x:c>
    </x:row>
    <x:row r="618" ht="22" customHeight="1">
      <x:c r="A618" s="14" t="n">
        <x:v>307</x:v>
      </x:c>
      <x:c r="B618" s="14" t="n">
        <x:v>8</x:v>
      </x:c>
      <x:c r="C618" s="14" t="n">
        <x:v>76013</x:v>
      </x:c>
      <x:c r="D618" s="2" t="str">
        <x:v>RED</x:v>
      </x:c>
      <x:c r="E618" s="2" t="str">
        <x:v>0만</x:v>
      </x:c>
      <x:c r="F618" s="2" t="str">
        <x:v>40만</x:v>
      </x:c>
      <x:c r="G618" s="2" t="str">
        <x:v>패</x:v>
      </x:c>
      <x:c r="H618" s="14" t="n">
        <x:v>2</x:v>
      </x:c>
      <x:c r="I618" s="14" t="n">
        <x:v>7</x:v>
      </x:c>
      <x:c r="J618" s="14" t="n">
        <x:v>7</x:v>
      </x:c>
      <x:c r="K618" s="14" t="n">
        <x:v>2</x:v>
      </x:c>
      <x:c r="L618" s="15" t="n">
        <x:f>IF(J618=0,"해당 없음",K618/J618)</x:f>
        <x:v>0.2857142857142857</x:v>
      </x:c>
      <x:c r="M618" s="14" t="n">
        <x:v>7</x:v>
      </x:c>
      <x:c r="N618" s="14" t="n">
        <x:v>5</x:v>
      </x:c>
      <x:c r="O618" s="15" t="n">
        <x:f>IF(M618=0,"해당 없음",N618/M618)</x:f>
        <x:v>0.7142857142857143</x:v>
      </x:c>
      <x:c r="P618" s="14" t="n">
        <x:v>104</x:v>
      </x:c>
    </x:row>
    <x:row r="619" ht="22" customHeight="1">
      <x:c r="A619" s="14" t="n">
        <x:v>307</x:v>
      </x:c>
      <x:c r="B619" s="14" t="n">
        <x:v>8</x:v>
      </x:c>
      <x:c r="C619" s="14" t="n">
        <x:v>76013</x:v>
      </x:c>
      <x:c r="D619" s="2" t="str">
        <x:v>NAVY</x:v>
      </x:c>
      <x:c r="E619" s="2" t="str">
        <x:v>40만</x:v>
      </x:c>
      <x:c r="F619" s="2" t="str">
        <x:v>0만</x:v>
      </x:c>
      <x:c r="G619" s="2" t="str">
        <x:v>승</x:v>
      </x:c>
      <x:c r="H619" s="14" t="n">
        <x:v>7</x:v>
      </x:c>
      <x:c r="I619" s="14" t="n">
        <x:v>2</x:v>
      </x:c>
      <x:c r="J619" s="14" t="n">
        <x:v>12</x:v>
      </x:c>
      <x:c r="K619" s="14" t="n">
        <x:v>7</x:v>
      </x:c>
      <x:c r="L619" s="15" t="n">
        <x:f>IF(J619=0,"해당 없음",K619/J619)</x:f>
        <x:v>0.5833333333333334</x:v>
      </x:c>
      <x:c r="M619" s="14" t="n">
        <x:v>6</x:v>
      </x:c>
      <x:c r="N619" s="14" t="n">
        <x:v>3</x:v>
      </x:c>
      <x:c r="O619" s="15" t="n">
        <x:f>IF(M619=0,"해당 없음",N619/M619)</x:f>
        <x:v>0.5</x:v>
      </x:c>
      <x:c r="P619" s="14" t="n">
        <x:v>105</x:v>
      </x:c>
    </x:row>
    <x:row r="620" ht="22" customHeight="1">
      <x:c r="A620" s="14" t="n">
        <x:v>308</x:v>
      </x:c>
      <x:c r="B620" s="14" t="n">
        <x:v>8</x:v>
      </x:c>
      <x:c r="C620" s="14" t="n">
        <x:v>76013</x:v>
      </x:c>
      <x:c r="D620" s="2" t="str">
        <x:v>RED</x:v>
      </x:c>
      <x:c r="E620" s="2" t="str">
        <x:v>40만</x:v>
      </x:c>
      <x:c r="F620" s="2" t="str">
        <x:v>0만</x:v>
      </x:c>
      <x:c r="G620" s="2" t="str">
        <x:v>승</x:v>
      </x:c>
      <x:c r="H620" s="14" t="n">
        <x:v>3</x:v>
      </x:c>
      <x:c r="I620" s="14" t="n">
        <x:v>2</x:v>
      </x:c>
      <x:c r="J620" s="14" t="n">
        <x:v>12</x:v>
      </x:c>
      <x:c r="K620" s="14" t="n">
        <x:v>3</x:v>
      </x:c>
      <x:c r="L620" s="15" t="n">
        <x:f>IF(J620=0,"해당 없음",K620/J620)</x:f>
        <x:v>0.25</x:v>
      </x:c>
      <x:c r="M620" s="14" t="n">
        <x:v>3</x:v>
      </x:c>
      <x:c r="N620" s="14" t="n">
        <x:v>3</x:v>
      </x:c>
      <x:c r="O620" s="15" t="n">
        <x:f>IF(M620=0,"해당 없음",N620/M620)</x:f>
        <x:v>1</x:v>
      </x:c>
      <x:c r="P620" s="14" t="n">
        <x:v>102</x:v>
      </x:c>
    </x:row>
    <x:row r="621" ht="22" customHeight="1">
      <x:c r="A621" s="14" t="n">
        <x:v>308</x:v>
      </x:c>
      <x:c r="B621" s="14" t="n">
        <x:v>8</x:v>
      </x:c>
      <x:c r="C621" s="14" t="n">
        <x:v>76013</x:v>
      </x:c>
      <x:c r="D621" s="2" t="str">
        <x:v>NAVY</x:v>
      </x:c>
      <x:c r="E621" s="2" t="str">
        <x:v>0만</x:v>
      </x:c>
      <x:c r="F621" s="2" t="str">
        <x:v>40만</x:v>
      </x:c>
      <x:c r="G621" s="2" t="str">
        <x:v>패</x:v>
      </x:c>
      <x:c r="H621" s="14" t="n">
        <x:v>2</x:v>
      </x:c>
      <x:c r="I621" s="14" t="n">
        <x:v>3</x:v>
      </x:c>
      <x:c r="J621" s="14" t="n">
        <x:v>4</x:v>
      </x:c>
      <x:c r="K621" s="14" t="n">
        <x:v>2</x:v>
      </x:c>
      <x:c r="L621" s="15" t="n">
        <x:f>IF(J621=0,"해당 없음",K621/J621)</x:f>
        <x:v>0.5</x:v>
      </x:c>
      <x:c r="M621" s="14" t="n">
        <x:v>7</x:v>
      </x:c>
      <x:c r="N621" s="14" t="n">
        <x:v>6</x:v>
      </x:c>
      <x:c r="O621" s="15" t="n">
        <x:f>IF(M621=0,"해당 없음",N621/M621)</x:f>
        <x:v>0.8571428571428571</x:v>
      </x:c>
      <x:c r="P621" s="14" t="n">
        <x:v>104</x:v>
      </x:c>
    </x:row>
    <x:row r="622" ht="22" customHeight="1">
      <x:c r="A622" s="14" t="n">
        <x:v>309</x:v>
      </x:c>
      <x:c r="B622" s="14" t="n">
        <x:v>8</x:v>
      </x:c>
      <x:c r="C622" s="14" t="n">
        <x:v>76014</x:v>
      </x:c>
      <x:c r="D622" s="2" t="str">
        <x:v>RED</x:v>
      </x:c>
      <x:c r="E622" s="2" t="str">
        <x:v>0만</x:v>
      </x:c>
      <x:c r="F622" s="2" t="str">
        <x:v>40만</x:v>
      </x:c>
      <x:c r="G622" s="2" t="str">
        <x:v>패</x:v>
      </x:c>
      <x:c r="H622" s="14" t="n">
        <x:v>3</x:v>
      </x:c>
      <x:c r="I622" s="14" t="n">
        <x:v>6</x:v>
      </x:c>
      <x:c r="J622" s="14" t="n">
        <x:v>4</x:v>
      </x:c>
      <x:c r="K622" s="14" t="n">
        <x:v>3</x:v>
      </x:c>
      <x:c r="L622" s="15" t="n">
        <x:f>IF(J622=0,"해당 없음",K622/J622)</x:f>
        <x:v>0.75</x:v>
      </x:c>
      <x:c r="M622" s="14" t="n">
        <x:v>7</x:v>
      </x:c>
      <x:c r="N622" s="14" t="n">
        <x:v>7</x:v>
      </x:c>
      <x:c r="O622" s="15" t="n">
        <x:f>IF(M622=0,"해당 없음",N622/M622)</x:f>
        <x:v>1</x:v>
      </x:c>
      <x:c r="P622" s="14" t="n">
        <x:v>103</x:v>
      </x:c>
    </x:row>
    <x:row r="623" ht="22" customHeight="1">
      <x:c r="A623" s="14" t="n">
        <x:v>309</x:v>
      </x:c>
      <x:c r="B623" s="14" t="n">
        <x:v>8</x:v>
      </x:c>
      <x:c r="C623" s="14" t="n">
        <x:v>76014</x:v>
      </x:c>
      <x:c r="D623" s="2" t="str">
        <x:v>NAVY</x:v>
      </x:c>
      <x:c r="E623" s="2" t="str">
        <x:v>40만</x:v>
      </x:c>
      <x:c r="F623" s="2" t="str">
        <x:v>0만</x:v>
      </x:c>
      <x:c r="G623" s="2" t="str">
        <x:v>승</x:v>
      </x:c>
      <x:c r="H623" s="14" t="n">
        <x:v>6</x:v>
      </x:c>
      <x:c r="I623" s="14" t="n">
        <x:v>3</x:v>
      </x:c>
      <x:c r="J623" s="14" t="n">
        <x:v>12</x:v>
      </x:c>
      <x:c r="K623" s="14" t="n">
        <x:v>6</x:v>
      </x:c>
      <x:c r="L623" s="15" t="n">
        <x:f>IF(J623=0,"해당 없음",K623/J623)</x:f>
        <x:v>0.5</x:v>
      </x:c>
      <x:c r="M623" s="14" t="n">
        <x:v>4</x:v>
      </x:c>
      <x:c r="N623" s="14" t="n">
        <x:v>3</x:v>
      </x:c>
      <x:c r="O623" s="15" t="n">
        <x:f>IF(M623=0,"해당 없음",N623/M623)</x:f>
        <x:v>0.75</x:v>
      </x:c>
      <x:c r="P623" s="14" t="n">
        <x:v>103</x:v>
      </x:c>
    </x:row>
    <x:row r="624" ht="22" customHeight="1">
      <x:c r="A624" s="14" t="n">
        <x:v>310</x:v>
      </x:c>
      <x:c r="B624" s="14" t="n">
        <x:v>8</x:v>
      </x:c>
      <x:c r="C624" s="14" t="n">
        <x:v>76014</x:v>
      </x:c>
      <x:c r="D624" s="2" t="str">
        <x:v>RED</x:v>
      </x:c>
      <x:c r="E624" s="2" t="str">
        <x:v>40만</x:v>
      </x:c>
      <x:c r="F624" s="2" t="str">
        <x:v>0만</x:v>
      </x:c>
      <x:c r="G624" s="2" t="str">
        <x:v>승</x:v>
      </x:c>
      <x:c r="H624" s="14" t="n">
        <x:v>9</x:v>
      </x:c>
      <x:c r="I624" s="14" t="n">
        <x:v>2</x:v>
      </x:c>
      <x:c r="J624" s="14" t="n">
        <x:v>12</x:v>
      </x:c>
      <x:c r="K624" s="14" t="n">
        <x:v>9</x:v>
      </x:c>
      <x:c r="L624" s="15" t="n">
        <x:f>IF(J624=0,"해당 없음",K624/J624)</x:f>
        <x:v>0.75</x:v>
      </x:c>
      <x:c r="M624" s="14" t="n">
        <x:v>6</x:v>
      </x:c>
      <x:c r="N624" s="14" t="n">
        <x:v>6</x:v>
      </x:c>
      <x:c r="O624" s="15" t="n">
        <x:f>IF(M624=0,"해당 없음",N624/M624)</x:f>
        <x:v>1</x:v>
      </x:c>
      <x:c r="P624" s="14" t="n">
        <x:v>106</x:v>
      </x:c>
    </x:row>
    <x:row r="625" ht="22" customHeight="1">
      <x:c r="A625" s="14" t="n">
        <x:v>310</x:v>
      </x:c>
      <x:c r="B625" s="14" t="n">
        <x:v>8</x:v>
      </x:c>
      <x:c r="C625" s="14" t="n">
        <x:v>76014</x:v>
      </x:c>
      <x:c r="D625" s="2" t="str">
        <x:v>NAVY</x:v>
      </x:c>
      <x:c r="E625" s="2" t="str">
        <x:v>0만</x:v>
      </x:c>
      <x:c r="F625" s="2" t="str">
        <x:v>40만</x:v>
      </x:c>
      <x:c r="G625" s="2" t="str">
        <x:v>패</x:v>
      </x:c>
      <x:c r="H625" s="14" t="n">
        <x:v>2</x:v>
      </x:c>
      <x:c r="I625" s="14" t="n">
        <x:v>9</x:v>
      </x:c>
      <x:c r="J625" s="14" t="n">
        <x:v>4</x:v>
      </x:c>
      <x:c r="K625" s="14" t="n">
        <x:v>2</x:v>
      </x:c>
      <x:c r="L625" s="15" t="n">
        <x:f>IF(J625=0,"해당 없음",K625/J625)</x:f>
        <x:v>0.5</x:v>
      </x:c>
      <x:c r="M625" s="14" t="n">
        <x:v>5</x:v>
      </x:c>
      <x:c r="N625" s="14" t="n">
        <x:v>4</x:v>
      </x:c>
      <x:c r="O625" s="15" t="n">
        <x:f>IF(M625=0,"해당 없음",N625/M625)</x:f>
        <x:v>0.8</x:v>
      </x:c>
      <x:c r="P625" s="14" t="n">
        <x:v>106</x:v>
      </x:c>
    </x:row>
    <x:row r="626" ht="22" customHeight="1">
      <x:c r="A626" s="14" t="n">
        <x:v>311</x:v>
      </x:c>
      <x:c r="B626" s="14" t="n">
        <x:v>8</x:v>
      </x:c>
      <x:c r="C626" s="14" t="n">
        <x:v>76015</x:v>
      </x:c>
      <x:c r="D626" s="2" t="str">
        <x:v>RED</x:v>
      </x:c>
      <x:c r="E626" s="2" t="str">
        <x:v>0만</x:v>
      </x:c>
      <x:c r="F626" s="2" t="str">
        <x:v>40만</x:v>
      </x:c>
      <x:c r="G626" s="2" t="str">
        <x:v>패</x:v>
      </x:c>
      <x:c r="H626" s="14" t="n">
        <x:v>2</x:v>
      </x:c>
      <x:c r="I626" s="14" t="n">
        <x:v>8</x:v>
      </x:c>
      <x:c r="J626" s="14" t="n">
        <x:v>5</x:v>
      </x:c>
      <x:c r="K626" s="14" t="n">
        <x:v>2</x:v>
      </x:c>
      <x:c r="L626" s="15" t="n">
        <x:f>IF(J626=0,"해당 없음",K626/J626)</x:f>
        <x:v>0.4</x:v>
      </x:c>
      <x:c r="M626" s="14" t="n">
        <x:v>8</x:v>
      </x:c>
      <x:c r="N626" s="14" t="n">
        <x:v>4</x:v>
      </x:c>
      <x:c r="O626" s="15" t="n">
        <x:f>IF(M626=0,"해당 없음",N626/M626)</x:f>
        <x:v>0.5</x:v>
      </x:c>
      <x:c r="P626" s="14" t="n">
        <x:v>107</x:v>
      </x:c>
    </x:row>
    <x:row r="627" ht="22" customHeight="1">
      <x:c r="A627" s="14" t="n">
        <x:v>311</x:v>
      </x:c>
      <x:c r="B627" s="14" t="n">
        <x:v>8</x:v>
      </x:c>
      <x:c r="C627" s="14" t="n">
        <x:v>76015</x:v>
      </x:c>
      <x:c r="D627" s="2" t="str">
        <x:v>NAVY</x:v>
      </x:c>
      <x:c r="E627" s="2" t="str">
        <x:v>40만</x:v>
      </x:c>
      <x:c r="F627" s="2" t="str">
        <x:v>0만</x:v>
      </x:c>
      <x:c r="G627" s="2" t="str">
        <x:v>승</x:v>
      </x:c>
      <x:c r="H627" s="14" t="n">
        <x:v>8</x:v>
      </x:c>
      <x:c r="I627" s="14" t="n">
        <x:v>2</x:v>
      </x:c>
      <x:c r="J627" s="14" t="n">
        <x:v>15</x:v>
      </x:c>
      <x:c r="K627" s="14" t="n">
        <x:v>8</x:v>
      </x:c>
      <x:c r="L627" s="15" t="n">
        <x:f>IF(J627=0,"해당 없음",K627/J627)</x:f>
        <x:v>0.5333333333333333</x:v>
      </x:c>
      <x:c r="M627" s="14" t="n">
        <x:v>7</x:v>
      </x:c>
      <x:c r="N627" s="14" t="n">
        <x:v>6</x:v>
      </x:c>
      <x:c r="O627" s="15" t="n">
        <x:f>IF(M627=0,"해당 없음",N627/M627)</x:f>
        <x:v>0.8571428571428571</x:v>
      </x:c>
      <x:c r="P627" s="14" t="n">
        <x:v>106</x:v>
      </x:c>
    </x:row>
    <x:row r="628" ht="22" customHeight="1">
      <x:c r="A628" s="14" t="n">
        <x:v>312</x:v>
      </x:c>
      <x:c r="B628" s="14" t="n">
        <x:v>8</x:v>
      </x:c>
      <x:c r="C628" s="14" t="n">
        <x:v>76015</x:v>
      </x:c>
      <x:c r="D628" s="2" t="str">
        <x:v>RED</x:v>
      </x:c>
      <x:c r="E628" s="2" t="str">
        <x:v>40만</x:v>
      </x:c>
      <x:c r="F628" s="2" t="str">
        <x:v>0만</x:v>
      </x:c>
      <x:c r="G628" s="2" t="str">
        <x:v>무</x:v>
      </x:c>
      <x:c r="H628" s="14" t="n">
        <x:v>2</x:v>
      </x:c>
      <x:c r="I628" s="14" t="n">
        <x:v>2</x:v>
      </x:c>
      <x:c r="J628" s="14" t="n">
        <x:v>9</x:v>
      </x:c>
      <x:c r="K628" s="14" t="n">
        <x:v>2</x:v>
      </x:c>
      <x:c r="L628" s="15" t="n">
        <x:f>IF(J628=0,"해당 없음",K628/J628)</x:f>
        <x:v>0.2222222222222222</x:v>
      </x:c>
      <x:c r="M628" s="14" t="n">
        <x:v>7</x:v>
      </x:c>
      <x:c r="N628" s="14" t="n">
        <x:v>5</x:v>
      </x:c>
      <x:c r="O628" s="15" t="n">
        <x:f>IF(M628=0,"해당 없음",N628/M628)</x:f>
        <x:v>0.7142857142857143</x:v>
      </x:c>
      <x:c r="P628" s="14" t="n">
        <x:v>100</x:v>
      </x:c>
    </x:row>
    <x:row r="629" ht="22" customHeight="1">
      <x:c r="A629" s="14" t="n">
        <x:v>312</x:v>
      </x:c>
      <x:c r="B629" s="14" t="n">
        <x:v>8</x:v>
      </x:c>
      <x:c r="C629" s="14" t="n">
        <x:v>76015</x:v>
      </x:c>
      <x:c r="D629" s="2" t="str">
        <x:v>NAVY</x:v>
      </x:c>
      <x:c r="E629" s="2" t="str">
        <x:v>0만</x:v>
      </x:c>
      <x:c r="F629" s="2" t="str">
        <x:v>40만</x:v>
      </x:c>
      <x:c r="G629" s="2" t="str">
        <x:v>무</x:v>
      </x:c>
      <x:c r="H629" s="14" t="n">
        <x:v>2</x:v>
      </x:c>
      <x:c r="I629" s="14" t="n">
        <x:v>2</x:v>
      </x:c>
      <x:c r="J629" s="14" t="n">
        <x:v>5</x:v>
      </x:c>
      <x:c r="K629" s="14" t="n">
        <x:v>2</x:v>
      </x:c>
      <x:c r="L629" s="15" t="n">
        <x:f>IF(J629=0,"해당 없음",K629/J629)</x:f>
        <x:v>0.4</x:v>
      </x:c>
      <x:c r="M629" s="14" t="n">
        <x:v>6</x:v>
      </x:c>
      <x:c r="N629" s="14" t="n">
        <x:v>5</x:v>
      </x:c>
      <x:c r="O629" s="15" t="n">
        <x:f>IF(M629=0,"해당 없음",N629/M629)</x:f>
        <x:v>0.8333333333333334</x:v>
      </x:c>
      <x:c r="P629" s="14" t="n">
        <x:v>102</x:v>
      </x:c>
    </x:row>
    <x:row r="630" ht="22" customHeight="1">
      <x:c r="A630" s="14" t="n">
        <x:v>313</x:v>
      </x:c>
      <x:c r="B630" s="14" t="n">
        <x:v>8</x:v>
      </x:c>
      <x:c r="C630" s="14" t="n">
        <x:v>76016</x:v>
      </x:c>
      <x:c r="D630" s="2" t="str">
        <x:v>RED</x:v>
      </x:c>
      <x:c r="E630" s="2" t="str">
        <x:v>0만</x:v>
      </x:c>
      <x:c r="F630" s="2" t="str">
        <x:v>40만</x:v>
      </x:c>
      <x:c r="G630" s="2" t="str">
        <x:v>패</x:v>
      </x:c>
      <x:c r="H630" s="14" t="n">
        <x:v>1</x:v>
      </x:c>
      <x:c r="I630" s="14" t="n">
        <x:v>4</x:v>
      </x:c>
      <x:c r="J630" s="14" t="n">
        <x:v>4</x:v>
      </x:c>
      <x:c r="K630" s="14" t="n">
        <x:v>1</x:v>
      </x:c>
      <x:c r="L630" s="15" t="n">
        <x:f>IF(J630=0,"해당 없음",K630/J630)</x:f>
        <x:v>0.25</x:v>
      </x:c>
      <x:c r="M630" s="14" t="n">
        <x:v>5</x:v>
      </x:c>
      <x:c r="N630" s="14" t="n">
        <x:v>5</x:v>
      </x:c>
      <x:c r="O630" s="15" t="n">
        <x:f>IF(M630=0,"해당 없음",N630/M630)</x:f>
        <x:v>1</x:v>
      </x:c>
      <x:c r="P630" s="14" t="n">
        <x:v>103</x:v>
      </x:c>
    </x:row>
    <x:row r="631" ht="22" customHeight="1">
      <x:c r="A631" s="14" t="n">
        <x:v>313</x:v>
      </x:c>
      <x:c r="B631" s="14" t="n">
        <x:v>8</x:v>
      </x:c>
      <x:c r="C631" s="14" t="n">
        <x:v>76016</x:v>
      </x:c>
      <x:c r="D631" s="2" t="str">
        <x:v>NAVY</x:v>
      </x:c>
      <x:c r="E631" s="2" t="str">
        <x:v>40만</x:v>
      </x:c>
      <x:c r="F631" s="2" t="str">
        <x:v>0만</x:v>
      </x:c>
      <x:c r="G631" s="2" t="str">
        <x:v>승</x:v>
      </x:c>
      <x:c r="H631" s="14" t="n">
        <x:v>4</x:v>
      </x:c>
      <x:c r="I631" s="14" t="n">
        <x:v>1</x:v>
      </x:c>
      <x:c r="J631" s="14" t="n">
        <x:v>12</x:v>
      </x:c>
      <x:c r="K631" s="14" t="n">
        <x:v>4</x:v>
      </x:c>
      <x:c r="L631" s="15" t="n">
        <x:f>IF(J631=0,"해당 없음",K631/J631)</x:f>
        <x:v>0.3333333333333333</x:v>
      </x:c>
      <x:c r="M631" s="14" t="n">
        <x:v>5</x:v>
      </x:c>
      <x:c r="N631" s="14" t="n">
        <x:v>5</x:v>
      </x:c>
      <x:c r="O631" s="15" t="n">
        <x:f>IF(M631=0,"해당 없음",N631/M631)</x:f>
        <x:v>1</x:v>
      </x:c>
      <x:c r="P631" s="14" t="n">
        <x:v>103</x:v>
      </x:c>
    </x:row>
    <x:row r="632" ht="22" customHeight="1">
      <x:c r="A632" s="14" t="n">
        <x:v>314</x:v>
      </x:c>
      <x:c r="B632" s="14" t="n">
        <x:v>8</x:v>
      </x:c>
      <x:c r="C632" s="14" t="n">
        <x:v>76016</x:v>
      </x:c>
      <x:c r="D632" s="2" t="str">
        <x:v>RED</x:v>
      </x:c>
      <x:c r="E632" s="2" t="str">
        <x:v>40만</x:v>
      </x:c>
      <x:c r="F632" s="2" t="str">
        <x:v>0만</x:v>
      </x:c>
      <x:c r="G632" s="2" t="str">
        <x:v>승</x:v>
      </x:c>
      <x:c r="H632" s="14" t="n">
        <x:v>7</x:v>
      </x:c>
      <x:c r="I632" s="14" t="n">
        <x:v>0</x:v>
      </x:c>
      <x:c r="J632" s="14" t="n">
        <x:v>13</x:v>
      </x:c>
      <x:c r="K632" s="14" t="n">
        <x:v>7</x:v>
      </x:c>
      <x:c r="L632" s="15" t="n">
        <x:f>IF(J632=0,"해당 없음",K632/J632)</x:f>
        <x:v>0.5384615384615384</x:v>
      </x:c>
      <x:c r="M632" s="14" t="n">
        <x:v>8</x:v>
      </x:c>
      <x:c r="N632" s="14" t="n">
        <x:v>8</x:v>
      </x:c>
      <x:c r="O632" s="15" t="n">
        <x:f>IF(M632=0,"해당 없음",N632/M632)</x:f>
        <x:v>1</x:v>
      </x:c>
      <x:c r="P632" s="14" t="n">
        <x:v>105</x:v>
      </x:c>
    </x:row>
    <x:row r="633" ht="22" customHeight="1">
      <x:c r="A633" s="14" t="n">
        <x:v>314</x:v>
      </x:c>
      <x:c r="B633" s="14" t="n">
        <x:v>8</x:v>
      </x:c>
      <x:c r="C633" s="14" t="n">
        <x:v>76016</x:v>
      </x:c>
      <x:c r="D633" s="2" t="str">
        <x:v>NAVY</x:v>
      </x:c>
      <x:c r="E633" s="2" t="str">
        <x:v>0만</x:v>
      </x:c>
      <x:c r="F633" s="2" t="str">
        <x:v>40만</x:v>
      </x:c>
      <x:c r="G633" s="2" t="str">
        <x:v>패</x:v>
      </x:c>
      <x:c r="H633" s="14" t="n">
        <x:v>0</x:v>
      </x:c>
      <x:c r="I633" s="14" t="n">
        <x:v>7</x:v>
      </x:c>
      <x:c r="J633" s="14" t="n">
        <x:v>5</x:v>
      </x:c>
      <x:c r="K633" s="14" t="n">
        <x:v>0</x:v>
      </x:c>
      <x:c r="L633" s="15" t="n">
        <x:f>IF(J633=0,"해당 없음",K633/J633)</x:f>
        <x:v>0</x:v>
      </x:c>
      <x:c r="M633" s="14" t="n">
        <x:v>4</x:v>
      </x:c>
      <x:c r="N633" s="14" t="n">
        <x:v>2</x:v>
      </x:c>
      <x:c r="O633" s="15" t="n">
        <x:f>IF(M633=0,"해당 없음",N633/M633)</x:f>
        <x:v>0.5</x:v>
      </x:c>
      <x:c r="P633" s="14" t="n">
        <x:v>104</x:v>
      </x:c>
    </x:row>
    <x:row r="634" ht="22" customHeight="1">
      <x:c r="A634" s="14" t="n">
        <x:v>315</x:v>
      </x:c>
      <x:c r="B634" s="14" t="n">
        <x:v>8</x:v>
      </x:c>
      <x:c r="C634" s="14" t="n">
        <x:v>76017</x:v>
      </x:c>
      <x:c r="D634" s="2" t="str">
        <x:v>RED</x:v>
      </x:c>
      <x:c r="E634" s="2" t="str">
        <x:v>0만</x:v>
      </x:c>
      <x:c r="F634" s="2" t="str">
        <x:v>40만</x:v>
      </x:c>
      <x:c r="G634" s="2" t="str">
        <x:v>패</x:v>
      </x:c>
      <x:c r="H634" s="14" t="n">
        <x:v>0</x:v>
      </x:c>
      <x:c r="I634" s="14" t="n">
        <x:v>6</x:v>
      </x:c>
      <x:c r="J634" s="14" t="n">
        <x:v>2</x:v>
      </x:c>
      <x:c r="K634" s="14" t="n">
        <x:v>0</x:v>
      </x:c>
      <x:c r="L634" s="15" t="n">
        <x:f>IF(J634=0,"해당 없음",K634/J634)</x:f>
        <x:v>0</x:v>
      </x:c>
      <x:c r="M634" s="14" t="n">
        <x:v>6</x:v>
      </x:c>
      <x:c r="N634" s="14" t="n">
        <x:v>6</x:v>
      </x:c>
      <x:c r="O634" s="15" t="n">
        <x:f>IF(M634=0,"해당 없음",N634/M634)</x:f>
        <x:v>1</x:v>
      </x:c>
      <x:c r="P634" s="14" t="n">
        <x:v>103</x:v>
      </x:c>
    </x:row>
    <x:row r="635" ht="22" customHeight="1">
      <x:c r="A635" s="14" t="n">
        <x:v>315</x:v>
      </x:c>
      <x:c r="B635" s="14" t="n">
        <x:v>8</x:v>
      </x:c>
      <x:c r="C635" s="14" t="n">
        <x:v>76017</x:v>
      </x:c>
      <x:c r="D635" s="2" t="str">
        <x:v>NAVY</x:v>
      </x:c>
      <x:c r="E635" s="2" t="str">
        <x:v>40만</x:v>
      </x:c>
      <x:c r="F635" s="2" t="str">
        <x:v>0만</x:v>
      </x:c>
      <x:c r="G635" s="2" t="str">
        <x:v>승</x:v>
      </x:c>
      <x:c r="H635" s="14" t="n">
        <x:v>6</x:v>
      </x:c>
      <x:c r="I635" s="14" t="n">
        <x:v>0</x:v>
      </x:c>
      <x:c r="J635" s="14" t="n">
        <x:v>15</x:v>
      </x:c>
      <x:c r="K635" s="14" t="n">
        <x:v>6</x:v>
      </x:c>
      <x:c r="L635" s="15" t="n">
        <x:f>IF(J635=0,"해당 없음",K635/J635)</x:f>
        <x:v>0.4</x:v>
      </x:c>
      <x:c r="M635" s="14" t="n">
        <x:v>6</x:v>
      </x:c>
      <x:c r="N635" s="14" t="n">
        <x:v>4</x:v>
      </x:c>
      <x:c r="O635" s="15" t="n">
        <x:f>IF(M635=0,"해당 없음",N635/M635)</x:f>
        <x:v>0.6666666666666666</x:v>
      </x:c>
      <x:c r="P635" s="14" t="n">
        <x:v>102</x:v>
      </x:c>
    </x:row>
    <x:row r="636" ht="22" customHeight="1">
      <x:c r="A636" s="14" t="n">
        <x:v>316</x:v>
      </x:c>
      <x:c r="B636" s="14" t="n">
        <x:v>8</x:v>
      </x:c>
      <x:c r="C636" s="14" t="n">
        <x:v>76017</x:v>
      </x:c>
      <x:c r="D636" s="2" t="str">
        <x:v>RED</x:v>
      </x:c>
      <x:c r="E636" s="2" t="str">
        <x:v>40만</x:v>
      </x:c>
      <x:c r="F636" s="2" t="str">
        <x:v>0만</x:v>
      </x:c>
      <x:c r="G636" s="2" t="str">
        <x:v>승</x:v>
      </x:c>
      <x:c r="H636" s="14" t="n">
        <x:v>6</x:v>
      </x:c>
      <x:c r="I636" s="14" t="n">
        <x:v>1</x:v>
      </x:c>
      <x:c r="J636" s="14" t="n">
        <x:v>14</x:v>
      </x:c>
      <x:c r="K636" s="14" t="n">
        <x:v>6</x:v>
      </x:c>
      <x:c r="L636" s="15" t="n">
        <x:f>IF(J636=0,"해당 없음",K636/J636)</x:f>
        <x:v>0.42857142857142855</x:v>
      </x:c>
      <x:c r="M636" s="14" t="n">
        <x:v>4</x:v>
      </x:c>
      <x:c r="N636" s="14" t="n">
        <x:v>4</x:v>
      </x:c>
      <x:c r="O636" s="15" t="n">
        <x:f>IF(M636=0,"해당 없음",N636/M636)</x:f>
        <x:v>1</x:v>
      </x:c>
      <x:c r="P636" s="14" t="n">
        <x:v>104</x:v>
      </x:c>
    </x:row>
    <x:row r="637" ht="22" customHeight="1">
      <x:c r="A637" s="14" t="n">
        <x:v>316</x:v>
      </x:c>
      <x:c r="B637" s="14" t="n">
        <x:v>8</x:v>
      </x:c>
      <x:c r="C637" s="14" t="n">
        <x:v>76017</x:v>
      </x:c>
      <x:c r="D637" s="2" t="str">
        <x:v>NAVY</x:v>
      </x:c>
      <x:c r="E637" s="2" t="str">
        <x:v>0만</x:v>
      </x:c>
      <x:c r="F637" s="2" t="str">
        <x:v>40만</x:v>
      </x:c>
      <x:c r="G637" s="2" t="str">
        <x:v>패</x:v>
      </x:c>
      <x:c r="H637" s="14" t="n">
        <x:v>1</x:v>
      </x:c>
      <x:c r="I637" s="14" t="n">
        <x:v>6</x:v>
      </x:c>
      <x:c r="J637" s="14" t="n">
        <x:v>4</x:v>
      </x:c>
      <x:c r="K637" s="14" t="n">
        <x:v>1</x:v>
      </x:c>
      <x:c r="L637" s="15" t="n">
        <x:f>IF(J637=0,"해당 없음",K637/J637)</x:f>
        <x:v>0.25</x:v>
      </x:c>
      <x:c r="M637" s="14" t="n">
        <x:v>9</x:v>
      </x:c>
      <x:c r="N637" s="14" t="n">
        <x:v>5</x:v>
      </x:c>
      <x:c r="O637" s="15" t="n">
        <x:f>IF(M637=0,"해당 없음",N637/M637)</x:f>
        <x:v>0.5555555555555556</x:v>
      </x:c>
      <x:c r="P637" s="14" t="n">
        <x:v>106</x:v>
      </x:c>
    </x:row>
    <x:row r="638" ht="22" customHeight="1">
      <x:c r="A638" s="14" t="n">
        <x:v>317</x:v>
      </x:c>
      <x:c r="B638" s="14" t="n">
        <x:v>8</x:v>
      </x:c>
      <x:c r="C638" s="14" t="n">
        <x:v>76018</x:v>
      </x:c>
      <x:c r="D638" s="2" t="str">
        <x:v>RED</x:v>
      </x:c>
      <x:c r="E638" s="2" t="str">
        <x:v>0만</x:v>
      </x:c>
      <x:c r="F638" s="2" t="str">
        <x:v>40만</x:v>
      </x:c>
      <x:c r="G638" s="2" t="str">
        <x:v>패</x:v>
      </x:c>
      <x:c r="H638" s="14" t="n">
        <x:v>0</x:v>
      </x:c>
      <x:c r="I638" s="14" t="n">
        <x:v>7</x:v>
      </x:c>
      <x:c r="J638" s="14" t="n">
        <x:v>3</x:v>
      </x:c>
      <x:c r="K638" s="14" t="n">
        <x:v>0</x:v>
      </x:c>
      <x:c r="L638" s="15" t="n">
        <x:f>IF(J638=0,"해당 없음",K638/J638)</x:f>
        <x:v>0</x:v>
      </x:c>
      <x:c r="M638" s="14" t="n">
        <x:v>6</x:v>
      </x:c>
      <x:c r="N638" s="14" t="n">
        <x:v>4</x:v>
      </x:c>
      <x:c r="O638" s="15" t="n">
        <x:f>IF(M638=0,"해당 없음",N638/M638)</x:f>
        <x:v>0.6666666666666666</x:v>
      </x:c>
      <x:c r="P638" s="14" t="n">
        <x:v>105</x:v>
      </x:c>
    </x:row>
    <x:row r="639" ht="22" customHeight="1">
      <x:c r="A639" s="14" t="n">
        <x:v>317</x:v>
      </x:c>
      <x:c r="B639" s="14" t="n">
        <x:v>8</x:v>
      </x:c>
      <x:c r="C639" s="14" t="n">
        <x:v>76018</x:v>
      </x:c>
      <x:c r="D639" s="2" t="str">
        <x:v>NAVY</x:v>
      </x:c>
      <x:c r="E639" s="2" t="str">
        <x:v>40만</x:v>
      </x:c>
      <x:c r="F639" s="2" t="str">
        <x:v>0만</x:v>
      </x:c>
      <x:c r="G639" s="2" t="str">
        <x:v>승</x:v>
      </x:c>
      <x:c r="H639" s="14" t="n">
        <x:v>7</x:v>
      </x:c>
      <x:c r="I639" s="14" t="n">
        <x:v>0</x:v>
      </x:c>
      <x:c r="J639" s="14" t="n">
        <x:v>12</x:v>
      </x:c>
      <x:c r="K639" s="14" t="n">
        <x:v>7</x:v>
      </x:c>
      <x:c r="L639" s="15" t="n">
        <x:f>IF(J639=0,"해당 없음",K639/J639)</x:f>
        <x:v>0.5833333333333334</x:v>
      </x:c>
      <x:c r="M639" s="14" t="n">
        <x:v>8</x:v>
      </x:c>
      <x:c r="N639" s="14" t="n">
        <x:v>5</x:v>
      </x:c>
      <x:c r="O639" s="15" t="n">
        <x:f>IF(M639=0,"해당 없음",N639/M639)</x:f>
        <x:v>0.625</x:v>
      </x:c>
      <x:c r="P639" s="14" t="n">
        <x:v>104</x:v>
      </x:c>
    </x:row>
    <x:row r="640" ht="22" customHeight="1">
      <x:c r="A640" s="14" t="n">
        <x:v>318</x:v>
      </x:c>
      <x:c r="B640" s="14" t="n">
        <x:v>8</x:v>
      </x:c>
      <x:c r="C640" s="14" t="n">
        <x:v>76018</x:v>
      </x:c>
      <x:c r="D640" s="2" t="str">
        <x:v>RED</x:v>
      </x:c>
      <x:c r="E640" s="2" t="str">
        <x:v>40만</x:v>
      </x:c>
      <x:c r="F640" s="2" t="str">
        <x:v>0만</x:v>
      </x:c>
      <x:c r="G640" s="2" t="str">
        <x:v>승</x:v>
      </x:c>
      <x:c r="H640" s="14" t="n">
        <x:v>5</x:v>
      </x:c>
      <x:c r="I640" s="14" t="n">
        <x:v>1</x:v>
      </x:c>
      <x:c r="J640" s="14" t="n">
        <x:v>12</x:v>
      </x:c>
      <x:c r="K640" s="14" t="n">
        <x:v>5</x:v>
      </x:c>
      <x:c r="L640" s="15" t="n">
        <x:f>IF(J640=0,"해당 없음",K640/J640)</x:f>
        <x:v>0.4166666666666667</x:v>
      </x:c>
      <x:c r="M640" s="14" t="n">
        <x:v>9</x:v>
      </x:c>
      <x:c r="N640" s="14" t="n">
        <x:v>8</x:v>
      </x:c>
      <x:c r="O640" s="15" t="n">
        <x:f>IF(M640=0,"해당 없음",N640/M640)</x:f>
        <x:v>0.8888888888888888</x:v>
      </x:c>
      <x:c r="P640" s="14" t="n">
        <x:v>103</x:v>
      </x:c>
    </x:row>
    <x:row r="641" ht="22" customHeight="1">
      <x:c r="A641" s="14" t="n">
        <x:v>318</x:v>
      </x:c>
      <x:c r="B641" s="14" t="n">
        <x:v>8</x:v>
      </x:c>
      <x:c r="C641" s="14" t="n">
        <x:v>76018</x:v>
      </x:c>
      <x:c r="D641" s="2" t="str">
        <x:v>NAVY</x:v>
      </x:c>
      <x:c r="E641" s="2" t="str">
        <x:v>0만</x:v>
      </x:c>
      <x:c r="F641" s="2" t="str">
        <x:v>40만</x:v>
      </x:c>
      <x:c r="G641" s="2" t="str">
        <x:v>패</x:v>
      </x:c>
      <x:c r="H641" s="14" t="n">
        <x:v>1</x:v>
      </x:c>
      <x:c r="I641" s="14" t="n">
        <x:v>5</x:v>
      </x:c>
      <x:c r="J641" s="14" t="n">
        <x:v>5</x:v>
      </x:c>
      <x:c r="K641" s="14" t="n">
        <x:v>1</x:v>
      </x:c>
      <x:c r="L641" s="15" t="n">
        <x:f>IF(J641=0,"해당 없음",K641/J641)</x:f>
        <x:v>0.2</x:v>
      </x:c>
      <x:c r="M641" s="14" t="n">
        <x:v>8</x:v>
      </x:c>
      <x:c r="N641" s="14" t="n">
        <x:v>6</x:v>
      </x:c>
      <x:c r="O641" s="15" t="n">
        <x:f>IF(M641=0,"해당 없음",N641/M641)</x:f>
        <x:v>0.75</x:v>
      </x:c>
      <x:c r="P641" s="14" t="n">
        <x:v>104</x:v>
      </x:c>
    </x:row>
    <x:row r="642" ht="22" customHeight="1">
      <x:c r="A642" s="14" t="n">
        <x:v>319</x:v>
      </x:c>
      <x:c r="B642" s="14" t="n">
        <x:v>8</x:v>
      </x:c>
      <x:c r="C642" s="14" t="n">
        <x:v>76019</x:v>
      </x:c>
      <x:c r="D642" s="2" t="str">
        <x:v>RED</x:v>
      </x:c>
      <x:c r="E642" s="2" t="str">
        <x:v>0만</x:v>
      </x:c>
      <x:c r="F642" s="2" t="str">
        <x:v>40만</x:v>
      </x:c>
      <x:c r="G642" s="2" t="str">
        <x:v>패</x:v>
      </x:c>
      <x:c r="H642" s="14" t="n">
        <x:v>2</x:v>
      </x:c>
      <x:c r="I642" s="14" t="n">
        <x:v>4</x:v>
      </x:c>
      <x:c r="J642" s="14" t="n">
        <x:v>4</x:v>
      </x:c>
      <x:c r="K642" s="14" t="n">
        <x:v>2</x:v>
      </x:c>
      <x:c r="L642" s="15" t="n">
        <x:f>IF(J642=0,"해당 없음",K642/J642)</x:f>
        <x:v>0.5</x:v>
      </x:c>
      <x:c r="M642" s="14" t="n">
        <x:v>9</x:v>
      </x:c>
      <x:c r="N642" s="14" t="n">
        <x:v>7</x:v>
      </x:c>
      <x:c r="O642" s="15" t="n">
        <x:f>IF(M642=0,"해당 없음",N642/M642)</x:f>
        <x:v>0.7777777777777778</x:v>
      </x:c>
      <x:c r="P642" s="14" t="n">
        <x:v>105</x:v>
      </x:c>
    </x:row>
    <x:row r="643" ht="22" customHeight="1">
      <x:c r="A643" s="14" t="n">
        <x:v>319</x:v>
      </x:c>
      <x:c r="B643" s="14" t="n">
        <x:v>8</x:v>
      </x:c>
      <x:c r="C643" s="14" t="n">
        <x:v>76019</x:v>
      </x:c>
      <x:c r="D643" s="2" t="str">
        <x:v>NAVY</x:v>
      </x:c>
      <x:c r="E643" s="2" t="str">
        <x:v>40만</x:v>
      </x:c>
      <x:c r="F643" s="2" t="str">
        <x:v>0만</x:v>
      </x:c>
      <x:c r="G643" s="2" t="str">
        <x:v>승</x:v>
      </x:c>
      <x:c r="H643" s="14" t="n">
        <x:v>4</x:v>
      </x:c>
      <x:c r="I643" s="14" t="n">
        <x:v>2</x:v>
      </x:c>
      <x:c r="J643" s="14" t="n">
        <x:v>12</x:v>
      </x:c>
      <x:c r="K643" s="14" t="n">
        <x:v>4</x:v>
      </x:c>
      <x:c r="L643" s="15" t="n">
        <x:f>IF(J643=0,"해당 없음",K643/J643)</x:f>
        <x:v>0.3333333333333333</x:v>
      </x:c>
      <x:c r="M643" s="14" t="n">
        <x:v>6</x:v>
      </x:c>
      <x:c r="N643" s="14" t="n">
        <x:v>4</x:v>
      </x:c>
      <x:c r="O643" s="15" t="n">
        <x:f>IF(M643=0,"해당 없음",N643/M643)</x:f>
        <x:v>0.6666666666666666</x:v>
      </x:c>
      <x:c r="P643" s="14" t="n">
        <x:v>105</x:v>
      </x:c>
    </x:row>
    <x:row r="644" ht="22" customHeight="1">
      <x:c r="A644" s="14" t="n">
        <x:v>320</x:v>
      </x:c>
      <x:c r="B644" s="14" t="n">
        <x:v>8</x:v>
      </x:c>
      <x:c r="C644" s="14" t="n">
        <x:v>76019</x:v>
      </x:c>
      <x:c r="D644" s="2" t="str">
        <x:v>RED</x:v>
      </x:c>
      <x:c r="E644" s="2" t="str">
        <x:v>40만</x:v>
      </x:c>
      <x:c r="F644" s="2" t="str">
        <x:v>0만</x:v>
      </x:c>
      <x:c r="G644" s="2" t="str">
        <x:v>패</x:v>
      </x:c>
      <x:c r="H644" s="14" t="n">
        <x:v>1</x:v>
      </x:c>
      <x:c r="I644" s="14" t="n">
        <x:v>6</x:v>
      </x:c>
      <x:c r="J644" s="14" t="n">
        <x:v>7</x:v>
      </x:c>
      <x:c r="K644" s="14" t="n">
        <x:v>1</x:v>
      </x:c>
      <x:c r="L644" s="15" t="n">
        <x:f>IF(J644=0,"해당 없음",K644/J644)</x:f>
        <x:v>0.14285714285714285</x:v>
      </x:c>
      <x:c r="M644" s="14" t="n">
        <x:v>7</x:v>
      </x:c>
      <x:c r="N644" s="14" t="n">
        <x:v>6</x:v>
      </x:c>
      <x:c r="O644" s="15" t="n">
        <x:f>IF(M644=0,"해당 없음",N644/M644)</x:f>
        <x:v>0.8571428571428571</x:v>
      </x:c>
      <x:c r="P644" s="14" t="n">
        <x:v>104</x:v>
      </x:c>
    </x:row>
    <x:row r="645" ht="22" customHeight="1">
      <x:c r="A645" s="14" t="n">
        <x:v>320</x:v>
      </x:c>
      <x:c r="B645" s="14" t="n">
        <x:v>8</x:v>
      </x:c>
      <x:c r="C645" s="14" t="n">
        <x:v>76019</x:v>
      </x:c>
      <x:c r="D645" s="2" t="str">
        <x:v>NAVY</x:v>
      </x:c>
      <x:c r="E645" s="2" t="str">
        <x:v>0만</x:v>
      </x:c>
      <x:c r="F645" s="2" t="str">
        <x:v>40만</x:v>
      </x:c>
      <x:c r="G645" s="2" t="str">
        <x:v>승</x:v>
      </x:c>
      <x:c r="H645" s="14" t="n">
        <x:v>6</x:v>
      </x:c>
      <x:c r="I645" s="14" t="n">
        <x:v>1</x:v>
      </x:c>
      <x:c r="J645" s="14" t="n">
        <x:v>8</x:v>
      </x:c>
      <x:c r="K645" s="14" t="n">
        <x:v>6</x:v>
      </x:c>
      <x:c r="L645" s="15" t="n">
        <x:f>IF(J645=0,"해당 없음",K645/J645)</x:f>
        <x:v>0.75</x:v>
      </x:c>
      <x:c r="M645" s="14" t="n">
        <x:v>8</x:v>
      </x:c>
      <x:c r="N645" s="14" t="n">
        <x:v>6</x:v>
      </x:c>
      <x:c r="O645" s="15" t="n">
        <x:f>IF(M645=0,"해당 없음",N645/M645)</x:f>
        <x:v>0.75</x:v>
      </x:c>
      <x:c r="P645" s="14" t="n">
        <x:v>104</x:v>
      </x:c>
    </x:row>
    <x:row r="646" ht="22" customHeight="1">
      <x:c r="A646" s="14" t="n">
        <x:v>321</x:v>
      </x:c>
      <x:c r="B646" s="14" t="n">
        <x:v>9</x:v>
      </x:c>
      <x:c r="C646" s="14" t="n">
        <x:v>76000</x:v>
      </x:c>
      <x:c r="D646" s="2" t="str">
        <x:v>RED</x:v>
      </x:c>
      <x:c r="E646" s="2" t="str">
        <x:v>0만</x:v>
      </x:c>
      <x:c r="F646" s="2" t="str">
        <x:v>80만</x:v>
      </x:c>
      <x:c r="G646" s="2" t="str">
        <x:v>패</x:v>
      </x:c>
      <x:c r="H646" s="14" t="n">
        <x:v>1</x:v>
      </x:c>
      <x:c r="I646" s="14" t="n">
        <x:v>9</x:v>
      </x:c>
      <x:c r="J646" s="14" t="n">
        <x:v>4</x:v>
      </x:c>
      <x:c r="K646" s="14" t="n">
        <x:v>1</x:v>
      </x:c>
      <x:c r="L646" s="15" t="n">
        <x:f>IF(J646=0,"해당 없음",K646/J646)</x:f>
        <x:v>0.25</x:v>
      </x:c>
      <x:c r="M646" s="14" t="n">
        <x:v>4</x:v>
      </x:c>
      <x:c r="N646" s="14" t="n">
        <x:v>3</x:v>
      </x:c>
      <x:c r="O646" s="15" t="n">
        <x:f>IF(M646=0,"해당 없음",N646/M646)</x:f>
        <x:v>0.75</x:v>
      </x:c>
      <x:c r="P646" s="14" t="n">
        <x:v>107</x:v>
      </x:c>
    </x:row>
    <x:row r="647" ht="22" customHeight="1">
      <x:c r="A647" s="14" t="n">
        <x:v>321</x:v>
      </x:c>
      <x:c r="B647" s="14" t="n">
        <x:v>9</x:v>
      </x:c>
      <x:c r="C647" s="14" t="n">
        <x:v>76000</x:v>
      </x:c>
      <x:c r="D647" s="2" t="str">
        <x:v>NAVY</x:v>
      </x:c>
      <x:c r="E647" s="2" t="str">
        <x:v>80만</x:v>
      </x:c>
      <x:c r="F647" s="2" t="str">
        <x:v>0만</x:v>
      </x:c>
      <x:c r="G647" s="2" t="str">
        <x:v>승</x:v>
      </x:c>
      <x:c r="H647" s="14" t="n">
        <x:v>9</x:v>
      </x:c>
      <x:c r="I647" s="14" t="n">
        <x:v>1</x:v>
      </x:c>
      <x:c r="J647" s="14" t="n">
        <x:v>11</x:v>
      </x:c>
      <x:c r="K647" s="14" t="n">
        <x:v>9</x:v>
      </x:c>
      <x:c r="L647" s="15" t="n">
        <x:f>IF(J647=0,"해당 없음",K647/J647)</x:f>
        <x:v>0.8181818181818182</x:v>
      </x:c>
      <x:c r="M647" s="14" t="n">
        <x:v>9</x:v>
      </x:c>
      <x:c r="N647" s="14" t="n">
        <x:v>8</x:v>
      </x:c>
      <x:c r="O647" s="15" t="n">
        <x:f>IF(M647=0,"해당 없음",N647/M647)</x:f>
        <x:v>0.8888888888888888</x:v>
      </x:c>
      <x:c r="P647" s="14" t="n">
        <x:v>105</x:v>
      </x:c>
    </x:row>
    <x:row r="648" ht="22" customHeight="1">
      <x:c r="A648" s="14" t="n">
        <x:v>322</x:v>
      </x:c>
      <x:c r="B648" s="14" t="n">
        <x:v>9</x:v>
      </x:c>
      <x:c r="C648" s="14" t="n">
        <x:v>76000</x:v>
      </x:c>
      <x:c r="D648" s="2" t="str">
        <x:v>RED</x:v>
      </x:c>
      <x:c r="E648" s="2" t="str">
        <x:v>80만</x:v>
      </x:c>
      <x:c r="F648" s="2" t="str">
        <x:v>0만</x:v>
      </x:c>
      <x:c r="G648" s="2" t="str">
        <x:v>승</x:v>
      </x:c>
      <x:c r="H648" s="14" t="n">
        <x:v>2</x:v>
      </x:c>
      <x:c r="I648" s="14" t="n">
        <x:v>0</x:v>
      </x:c>
      <x:c r="J648" s="14" t="n">
        <x:v>6</x:v>
      </x:c>
      <x:c r="K648" s="14" t="n">
        <x:v>2</x:v>
      </x:c>
      <x:c r="L648" s="15" t="n">
        <x:f>IF(J648=0,"해당 없음",K648/J648)</x:f>
        <x:v>0.3333333333333333</x:v>
      </x:c>
      <x:c r="M648" s="14" t="n">
        <x:v>6</x:v>
      </x:c>
      <x:c r="N648" s="14" t="n">
        <x:v>2</x:v>
      </x:c>
      <x:c r="O648" s="15" t="n">
        <x:f>IF(M648=0,"해당 없음",N648/M648)</x:f>
        <x:v>0.3333333333333333</x:v>
      </x:c>
      <x:c r="P648" s="14" t="n">
        <x:v>103</x:v>
      </x:c>
    </x:row>
    <x:row r="649" ht="22" customHeight="1">
      <x:c r="A649" s="14" t="n">
        <x:v>322</x:v>
      </x:c>
      <x:c r="B649" s="14" t="n">
        <x:v>9</x:v>
      </x:c>
      <x:c r="C649" s="14" t="n">
        <x:v>76000</x:v>
      </x:c>
      <x:c r="D649" s="2" t="str">
        <x:v>NAVY</x:v>
      </x:c>
      <x:c r="E649" s="2" t="str">
        <x:v>0만</x:v>
      </x:c>
      <x:c r="F649" s="2" t="str">
        <x:v>80만</x:v>
      </x:c>
      <x:c r="G649" s="2" t="str">
        <x:v>패</x:v>
      </x:c>
      <x:c r="H649" s="14" t="n">
        <x:v>0</x:v>
      </x:c>
      <x:c r="I649" s="14" t="n">
        <x:v>2</x:v>
      </x:c>
      <x:c r="J649" s="14" t="n">
        <x:v>6</x:v>
      </x:c>
      <x:c r="K649" s="14" t="n">
        <x:v>0</x:v>
      </x:c>
      <x:c r="L649" s="15" t="n">
        <x:f>IF(J649=0,"해당 없음",K649/J649)</x:f>
        <x:v>0</x:v>
      </x:c>
      <x:c r="M649" s="14" t="n">
        <x:v>6</x:v>
      </x:c>
      <x:c r="N649" s="14" t="n">
        <x:v>4</x:v>
      </x:c>
      <x:c r="O649" s="15" t="n">
        <x:f>IF(M649=0,"해당 없음",N649/M649)</x:f>
        <x:v>0.6666666666666666</x:v>
      </x:c>
      <x:c r="P649" s="14" t="n">
        <x:v>102</x:v>
      </x:c>
    </x:row>
    <x:row r="650" ht="22" customHeight="1">
      <x:c r="A650" s="14" t="n">
        <x:v>323</x:v>
      </x:c>
      <x:c r="B650" s="14" t="n">
        <x:v>9</x:v>
      </x:c>
      <x:c r="C650" s="14" t="n">
        <x:v>76001</x:v>
      </x:c>
      <x:c r="D650" s="2" t="str">
        <x:v>RED</x:v>
      </x:c>
      <x:c r="E650" s="2" t="str">
        <x:v>0만</x:v>
      </x:c>
      <x:c r="F650" s="2" t="str">
        <x:v>80만</x:v>
      </x:c>
      <x:c r="G650" s="2" t="str">
        <x:v>패</x:v>
      </x:c>
      <x:c r="H650" s="14" t="n">
        <x:v>2</x:v>
      </x:c>
      <x:c r="I650" s="14" t="n">
        <x:v>5</x:v>
      </x:c>
      <x:c r="J650" s="14" t="n">
        <x:v>4</x:v>
      </x:c>
      <x:c r="K650" s="14" t="n">
        <x:v>2</x:v>
      </x:c>
      <x:c r="L650" s="15" t="n">
        <x:f>IF(J650=0,"해당 없음",K650/J650)</x:f>
        <x:v>0.5</x:v>
      </x:c>
      <x:c r="M650" s="14" t="n">
        <x:v>10</x:v>
      </x:c>
      <x:c r="N650" s="14" t="n">
        <x:v>8</x:v>
      </x:c>
      <x:c r="O650" s="15" t="n">
        <x:f>IF(M650=0,"해당 없음",N650/M650)</x:f>
        <x:v>0.8</x:v>
      </x:c>
      <x:c r="P650" s="14" t="n">
        <x:v>104</x:v>
      </x:c>
    </x:row>
    <x:row r="651" ht="22" customHeight="1">
      <x:c r="A651" s="14" t="n">
        <x:v>323</x:v>
      </x:c>
      <x:c r="B651" s="14" t="n">
        <x:v>9</x:v>
      </x:c>
      <x:c r="C651" s="14" t="n">
        <x:v>76001</x:v>
      </x:c>
      <x:c r="D651" s="2" t="str">
        <x:v>NAVY</x:v>
      </x:c>
      <x:c r="E651" s="2" t="str">
        <x:v>80만</x:v>
      </x:c>
      <x:c r="F651" s="2" t="str">
        <x:v>0만</x:v>
      </x:c>
      <x:c r="G651" s="2" t="str">
        <x:v>승</x:v>
      </x:c>
      <x:c r="H651" s="14" t="n">
        <x:v>5</x:v>
      </x:c>
      <x:c r="I651" s="14" t="n">
        <x:v>2</x:v>
      </x:c>
      <x:c r="J651" s="14" t="n">
        <x:v>13</x:v>
      </x:c>
      <x:c r="K651" s="14" t="n">
        <x:v>5</x:v>
      </x:c>
      <x:c r="L651" s="15" t="n">
        <x:f>IF(J651=0,"해당 없음",K651/J651)</x:f>
        <x:v>0.38461538461538464</x:v>
      </x:c>
      <x:c r="M651" s="14" t="n">
        <x:v>9</x:v>
      </x:c>
      <x:c r="N651" s="14" t="n">
        <x:v>6</x:v>
      </x:c>
      <x:c r="O651" s="15" t="n">
        <x:f>IF(M651=0,"해당 없음",N651/M651)</x:f>
        <x:v>0.6666666666666666</x:v>
      </x:c>
      <x:c r="P651" s="14" t="n">
        <x:v>104</x:v>
      </x:c>
    </x:row>
    <x:row r="652" ht="22" customHeight="1">
      <x:c r="A652" s="14" t="n">
        <x:v>324</x:v>
      </x:c>
      <x:c r="B652" s="14" t="n">
        <x:v>9</x:v>
      </x:c>
      <x:c r="C652" s="14" t="n">
        <x:v>76001</x:v>
      </x:c>
      <x:c r="D652" s="2" t="str">
        <x:v>RED</x:v>
      </x:c>
      <x:c r="E652" s="2" t="str">
        <x:v>80만</x:v>
      </x:c>
      <x:c r="F652" s="2" t="str">
        <x:v>0만</x:v>
      </x:c>
      <x:c r="G652" s="2" t="str">
        <x:v>승</x:v>
      </x:c>
      <x:c r="H652" s="14" t="n">
        <x:v>5</x:v>
      </x:c>
      <x:c r="I652" s="14" t="n">
        <x:v>2</x:v>
      </x:c>
      <x:c r="J652" s="14" t="n">
        <x:v>10</x:v>
      </x:c>
      <x:c r="K652" s="14" t="n">
        <x:v>5</x:v>
      </x:c>
      <x:c r="L652" s="15" t="n">
        <x:f>IF(J652=0,"해당 없음",K652/J652)</x:f>
        <x:v>0.5</x:v>
      </x:c>
      <x:c r="M652" s="14" t="n">
        <x:v>3</x:v>
      </x:c>
      <x:c r="N652" s="14" t="n">
        <x:v>1</x:v>
      </x:c>
      <x:c r="O652" s="15" t="n">
        <x:f>IF(M652=0,"해당 없음",N652/M652)</x:f>
        <x:v>0.3333333333333333</x:v>
      </x:c>
      <x:c r="P652" s="14" t="n">
        <x:v>104</x:v>
      </x:c>
    </x:row>
    <x:row r="653" ht="22" customHeight="1">
      <x:c r="A653" s="14" t="n">
        <x:v>324</x:v>
      </x:c>
      <x:c r="B653" s="14" t="n">
        <x:v>9</x:v>
      </x:c>
      <x:c r="C653" s="14" t="n">
        <x:v>76001</x:v>
      </x:c>
      <x:c r="D653" s="2" t="str">
        <x:v>NAVY</x:v>
      </x:c>
      <x:c r="E653" s="2" t="str">
        <x:v>0만</x:v>
      </x:c>
      <x:c r="F653" s="2" t="str">
        <x:v>80만</x:v>
      </x:c>
      <x:c r="G653" s="2" t="str">
        <x:v>패</x:v>
      </x:c>
      <x:c r="H653" s="14" t="n">
        <x:v>2</x:v>
      </x:c>
      <x:c r="I653" s="14" t="n">
        <x:v>5</x:v>
      </x:c>
      <x:c r="J653" s="14" t="n">
        <x:v>5</x:v>
      </x:c>
      <x:c r="K653" s="14" t="n">
        <x:v>2</x:v>
      </x:c>
      <x:c r="L653" s="15" t="n">
        <x:f>IF(J653=0,"해당 없음",K653/J653)</x:f>
        <x:v>0.4</x:v>
      </x:c>
      <x:c r="M653" s="14" t="n">
        <x:v>6</x:v>
      </x:c>
      <x:c r="N653" s="14" t="n">
        <x:v>3</x:v>
      </x:c>
      <x:c r="O653" s="15" t="n">
        <x:f>IF(M653=0,"해당 없음",N653/M653)</x:f>
        <x:v>0.5</x:v>
      </x:c>
      <x:c r="P653" s="14" t="n">
        <x:v>105</x:v>
      </x:c>
    </x:row>
    <x:row r="654" ht="22" customHeight="1">
      <x:c r="A654" s="14" t="n">
        <x:v>325</x:v>
      </x:c>
      <x:c r="B654" s="14" t="n">
        <x:v>9</x:v>
      </x:c>
      <x:c r="C654" s="14" t="n">
        <x:v>76002</x:v>
      </x:c>
      <x:c r="D654" s="2" t="str">
        <x:v>RED</x:v>
      </x:c>
      <x:c r="E654" s="2" t="str">
        <x:v>0만</x:v>
      </x:c>
      <x:c r="F654" s="2" t="str">
        <x:v>80만</x:v>
      </x:c>
      <x:c r="G654" s="2" t="str">
        <x:v>패</x:v>
      </x:c>
      <x:c r="H654" s="14" t="n">
        <x:v>1</x:v>
      </x:c>
      <x:c r="I654" s="14" t="n">
        <x:v>7</x:v>
      </x:c>
      <x:c r="J654" s="14" t="n">
        <x:v>2</x:v>
      </x:c>
      <x:c r="K654" s="14" t="n">
        <x:v>1</x:v>
      </x:c>
      <x:c r="L654" s="15" t="n">
        <x:f>IF(J654=0,"해당 없음",K654/J654)</x:f>
        <x:v>0.5</x:v>
      </x:c>
      <x:c r="M654" s="14" t="n">
        <x:v>7</x:v>
      </x:c>
      <x:c r="N654" s="14" t="n">
        <x:v>7</x:v>
      </x:c>
      <x:c r="O654" s="15" t="n">
        <x:f>IF(M654=0,"해당 없음",N654/M654)</x:f>
        <x:v>1</x:v>
      </x:c>
      <x:c r="P654" s="14" t="n">
        <x:v>104</x:v>
      </x:c>
    </x:row>
    <x:row r="655" ht="22" customHeight="1">
      <x:c r="A655" s="14" t="n">
        <x:v>325</x:v>
      </x:c>
      <x:c r="B655" s="14" t="n">
        <x:v>9</x:v>
      </x:c>
      <x:c r="C655" s="14" t="n">
        <x:v>76002</x:v>
      </x:c>
      <x:c r="D655" s="2" t="str">
        <x:v>NAVY</x:v>
      </x:c>
      <x:c r="E655" s="2" t="str">
        <x:v>80만</x:v>
      </x:c>
      <x:c r="F655" s="2" t="str">
        <x:v>0만</x:v>
      </x:c>
      <x:c r="G655" s="2" t="str">
        <x:v>승</x:v>
      </x:c>
      <x:c r="H655" s="14" t="n">
        <x:v>7</x:v>
      </x:c>
      <x:c r="I655" s="14" t="n">
        <x:v>1</x:v>
      </x:c>
      <x:c r="J655" s="14" t="n">
        <x:v>14</x:v>
      </x:c>
      <x:c r="K655" s="14" t="n">
        <x:v>7</x:v>
      </x:c>
      <x:c r="L655" s="15" t="n">
        <x:f>IF(J655=0,"해당 없음",K655/J655)</x:f>
        <x:v>0.5</x:v>
      </x:c>
      <x:c r="M655" s="14" t="n">
        <x:v>4</x:v>
      </x:c>
      <x:c r="N655" s="14" t="n">
        <x:v>4</x:v>
      </x:c>
      <x:c r="O655" s="15" t="n">
        <x:f>IF(M655=0,"해당 없음",N655/M655)</x:f>
        <x:v>1</x:v>
      </x:c>
      <x:c r="P655" s="14" t="n">
        <x:v>104</x:v>
      </x:c>
    </x:row>
    <x:row r="656" ht="22" customHeight="1">
      <x:c r="A656" s="14" t="n">
        <x:v>326</x:v>
      </x:c>
      <x:c r="B656" s="14" t="n">
        <x:v>9</x:v>
      </x:c>
      <x:c r="C656" s="14" t="n">
        <x:v>76002</x:v>
      </x:c>
      <x:c r="D656" s="2" t="str">
        <x:v>RED</x:v>
      </x:c>
      <x:c r="E656" s="2" t="str">
        <x:v>80만</x:v>
      </x:c>
      <x:c r="F656" s="2" t="str">
        <x:v>0만</x:v>
      </x:c>
      <x:c r="G656" s="2" t="str">
        <x:v>승</x:v>
      </x:c>
      <x:c r="H656" s="14" t="n">
        <x:v>7</x:v>
      </x:c>
      <x:c r="I656" s="14" t="n">
        <x:v>3</x:v>
      </x:c>
      <x:c r="J656" s="14" t="n">
        <x:v>12</x:v>
      </x:c>
      <x:c r="K656" s="14" t="n">
        <x:v>7</x:v>
      </x:c>
      <x:c r="L656" s="15" t="n">
        <x:f>IF(J656=0,"해당 없음",K656/J656)</x:f>
        <x:v>0.5833333333333334</x:v>
      </x:c>
      <x:c r="M656" s="14" t="n">
        <x:v>9</x:v>
      </x:c>
      <x:c r="N656" s="14" t="n">
        <x:v>6</x:v>
      </x:c>
      <x:c r="O656" s="15" t="n">
        <x:f>IF(M656=0,"해당 없음",N656/M656)</x:f>
        <x:v>0.6666666666666666</x:v>
      </x:c>
      <x:c r="P656" s="14" t="n">
        <x:v>107</x:v>
      </x:c>
    </x:row>
    <x:row r="657" ht="22" customHeight="1">
      <x:c r="A657" s="14" t="n">
        <x:v>326</x:v>
      </x:c>
      <x:c r="B657" s="14" t="n">
        <x:v>9</x:v>
      </x:c>
      <x:c r="C657" s="14" t="n">
        <x:v>76002</x:v>
      </x:c>
      <x:c r="D657" s="2" t="str">
        <x:v>NAVY</x:v>
      </x:c>
      <x:c r="E657" s="2" t="str">
        <x:v>0만</x:v>
      </x:c>
      <x:c r="F657" s="2" t="str">
        <x:v>80만</x:v>
      </x:c>
      <x:c r="G657" s="2" t="str">
        <x:v>패</x:v>
      </x:c>
      <x:c r="H657" s="14" t="n">
        <x:v>3</x:v>
      </x:c>
      <x:c r="I657" s="14" t="n">
        <x:v>7</x:v>
      </x:c>
      <x:c r="J657" s="14" t="n">
        <x:v>6</x:v>
      </x:c>
      <x:c r="K657" s="14" t="n">
        <x:v>3</x:v>
      </x:c>
      <x:c r="L657" s="15" t="n">
        <x:f>IF(J657=0,"해당 없음",K657/J657)</x:f>
        <x:v>0.5</x:v>
      </x:c>
      <x:c r="M657" s="14" t="n">
        <x:v>7</x:v>
      </x:c>
      <x:c r="N657" s="14" t="n">
        <x:v>6</x:v>
      </x:c>
      <x:c r="O657" s="15" t="n">
        <x:f>IF(M657=0,"해당 없음",N657/M657)</x:f>
        <x:v>0.8571428571428571</x:v>
      </x:c>
      <x:c r="P657" s="14" t="n">
        <x:v>107</x:v>
      </x:c>
    </x:row>
    <x:row r="658" ht="22" customHeight="1">
      <x:c r="A658" s="14" t="n">
        <x:v>327</x:v>
      </x:c>
      <x:c r="B658" s="14" t="n">
        <x:v>9</x:v>
      </x:c>
      <x:c r="C658" s="14" t="n">
        <x:v>76003</x:v>
      </x:c>
      <x:c r="D658" s="2" t="str">
        <x:v>RED</x:v>
      </x:c>
      <x:c r="E658" s="2" t="str">
        <x:v>0만</x:v>
      </x:c>
      <x:c r="F658" s="2" t="str">
        <x:v>80만</x:v>
      </x:c>
      <x:c r="G658" s="2" t="str">
        <x:v>패</x:v>
      </x:c>
      <x:c r="H658" s="14" t="n">
        <x:v>3</x:v>
      </x:c>
      <x:c r="I658" s="14" t="n">
        <x:v>7</x:v>
      </x:c>
      <x:c r="J658" s="14" t="n">
        <x:v>5</x:v>
      </x:c>
      <x:c r="K658" s="14" t="n">
        <x:v>3</x:v>
      </x:c>
      <x:c r="L658" s="15" t="n">
        <x:f>IF(J658=0,"해당 없음",K658/J658)</x:f>
        <x:v>0.6</x:v>
      </x:c>
      <x:c r="M658" s="14" t="n">
        <x:v>5</x:v>
      </x:c>
      <x:c r="N658" s="14" t="n">
        <x:v>4</x:v>
      </x:c>
      <x:c r="O658" s="15" t="n">
        <x:f>IF(M658=0,"해당 없음",N658/M658)</x:f>
        <x:v>0.8</x:v>
      </x:c>
      <x:c r="P658" s="14" t="n">
        <x:v>105</x:v>
      </x:c>
    </x:row>
    <x:row r="659" ht="22" customHeight="1">
      <x:c r="A659" s="14" t="n">
        <x:v>327</x:v>
      </x:c>
      <x:c r="B659" s="14" t="n">
        <x:v>9</x:v>
      </x:c>
      <x:c r="C659" s="14" t="n">
        <x:v>76003</x:v>
      </x:c>
      <x:c r="D659" s="2" t="str">
        <x:v>NAVY</x:v>
      </x:c>
      <x:c r="E659" s="2" t="str">
        <x:v>80만</x:v>
      </x:c>
      <x:c r="F659" s="2" t="str">
        <x:v>0만</x:v>
      </x:c>
      <x:c r="G659" s="2" t="str">
        <x:v>승</x:v>
      </x:c>
      <x:c r="H659" s="14" t="n">
        <x:v>7</x:v>
      </x:c>
      <x:c r="I659" s="14" t="n">
        <x:v>3</x:v>
      </x:c>
      <x:c r="J659" s="14" t="n">
        <x:v>10</x:v>
      </x:c>
      <x:c r="K659" s="14" t="n">
        <x:v>7</x:v>
      </x:c>
      <x:c r="L659" s="15" t="n">
        <x:f>IF(J659=0,"해당 없음",K659/J659)</x:f>
        <x:v>0.7</x:v>
      </x:c>
      <x:c r="M659" s="14" t="n">
        <x:v>8</x:v>
      </x:c>
      <x:c r="N659" s="14" t="n">
        <x:v>4</x:v>
      </x:c>
      <x:c r="O659" s="15" t="n">
        <x:f>IF(M659=0,"해당 없음",N659/M659)</x:f>
        <x:v>0.5</x:v>
      </x:c>
      <x:c r="P659" s="14" t="n">
        <x:v>106</x:v>
      </x:c>
    </x:row>
    <x:row r="660" ht="22" customHeight="1">
      <x:c r="A660" s="14" t="n">
        <x:v>328</x:v>
      </x:c>
      <x:c r="B660" s="14" t="n">
        <x:v>9</x:v>
      </x:c>
      <x:c r="C660" s="14" t="n">
        <x:v>76003</x:v>
      </x:c>
      <x:c r="D660" s="2" t="str">
        <x:v>RED</x:v>
      </x:c>
      <x:c r="E660" s="2" t="str">
        <x:v>80만</x:v>
      </x:c>
      <x:c r="F660" s="2" t="str">
        <x:v>0만</x:v>
      </x:c>
      <x:c r="G660" s="2" t="str">
        <x:v>승</x:v>
      </x:c>
      <x:c r="H660" s="14" t="n">
        <x:v>6</x:v>
      </x:c>
      <x:c r="I660" s="14" t="n">
        <x:v>0</x:v>
      </x:c>
      <x:c r="J660" s="14" t="n">
        <x:v>14</x:v>
      </x:c>
      <x:c r="K660" s="14" t="n">
        <x:v>6</x:v>
      </x:c>
      <x:c r="L660" s="15" t="n">
        <x:f>IF(J660=0,"해당 없음",K660/J660)</x:f>
        <x:v>0.42857142857142855</x:v>
      </x:c>
      <x:c r="M660" s="14" t="n">
        <x:v>8</x:v>
      </x:c>
      <x:c r="N660" s="14" t="n">
        <x:v>7</x:v>
      </x:c>
      <x:c r="O660" s="15" t="n">
        <x:f>IF(M660=0,"해당 없음",N660/M660)</x:f>
        <x:v>0.875</x:v>
      </x:c>
      <x:c r="P660" s="14" t="n">
        <x:v>104</x:v>
      </x:c>
    </x:row>
    <x:row r="661" ht="22" customHeight="1">
      <x:c r="A661" s="14" t="n">
        <x:v>328</x:v>
      </x:c>
      <x:c r="B661" s="14" t="n">
        <x:v>9</x:v>
      </x:c>
      <x:c r="C661" s="14" t="n">
        <x:v>76003</x:v>
      </x:c>
      <x:c r="D661" s="2" t="str">
        <x:v>NAVY</x:v>
      </x:c>
      <x:c r="E661" s="2" t="str">
        <x:v>0만</x:v>
      </x:c>
      <x:c r="F661" s="2" t="str">
        <x:v>80만</x:v>
      </x:c>
      <x:c r="G661" s="2" t="str">
        <x:v>패</x:v>
      </x:c>
      <x:c r="H661" s="14" t="n">
        <x:v>0</x:v>
      </x:c>
      <x:c r="I661" s="14" t="n">
        <x:v>6</x:v>
      </x:c>
      <x:c r="J661" s="14" t="n">
        <x:v>3</x:v>
      </x:c>
      <x:c r="K661" s="14" t="n">
        <x:v>0</x:v>
      </x:c>
      <x:c r="L661" s="15" t="n">
        <x:f>IF(J661=0,"해당 없음",K661/J661)</x:f>
        <x:v>0</x:v>
      </x:c>
      <x:c r="M661" s="14" t="n">
        <x:v>8</x:v>
      </x:c>
      <x:c r="N661" s="14" t="n">
        <x:v>8</x:v>
      </x:c>
      <x:c r="O661" s="15" t="n">
        <x:f>IF(M661=0,"해당 없음",N661/M661)</x:f>
        <x:v>1</x:v>
      </x:c>
      <x:c r="P661" s="14" t="n">
        <x:v>104</x:v>
      </x:c>
    </x:row>
    <x:row r="662" ht="22" customHeight="1">
      <x:c r="A662" s="14" t="n">
        <x:v>329</x:v>
      </x:c>
      <x:c r="B662" s="14" t="n">
        <x:v>9</x:v>
      </x:c>
      <x:c r="C662" s="14" t="n">
        <x:v>76004</x:v>
      </x:c>
      <x:c r="D662" s="2" t="str">
        <x:v>RED</x:v>
      </x:c>
      <x:c r="E662" s="2" t="str">
        <x:v>0만</x:v>
      </x:c>
      <x:c r="F662" s="2" t="str">
        <x:v>80만</x:v>
      </x:c>
      <x:c r="G662" s="2" t="str">
        <x:v>패</x:v>
      </x:c>
      <x:c r="H662" s="14" t="n">
        <x:v>2</x:v>
      </x:c>
      <x:c r="I662" s="14" t="n">
        <x:v>9</x:v>
      </x:c>
      <x:c r="J662" s="14" t="n">
        <x:v>4</x:v>
      </x:c>
      <x:c r="K662" s="14" t="n">
        <x:v>2</x:v>
      </x:c>
      <x:c r="L662" s="15" t="n">
        <x:f>IF(J662=0,"해당 없음",K662/J662)</x:f>
        <x:v>0.5</x:v>
      </x:c>
      <x:c r="M662" s="14" t="n">
        <x:v>5</x:v>
      </x:c>
      <x:c r="N662" s="14" t="n">
        <x:v>2</x:v>
      </x:c>
      <x:c r="O662" s="15" t="n">
        <x:f>IF(M662=0,"해당 없음",N662/M662)</x:f>
        <x:v>0.4</x:v>
      </x:c>
      <x:c r="P662" s="14" t="n">
        <x:v>105</x:v>
      </x:c>
    </x:row>
    <x:row r="663" ht="22" customHeight="1">
      <x:c r="A663" s="14" t="n">
        <x:v>329</x:v>
      </x:c>
      <x:c r="B663" s="14" t="n">
        <x:v>9</x:v>
      </x:c>
      <x:c r="C663" s="14" t="n">
        <x:v>76004</x:v>
      </x:c>
      <x:c r="D663" s="2" t="str">
        <x:v>NAVY</x:v>
      </x:c>
      <x:c r="E663" s="2" t="str">
        <x:v>80만</x:v>
      </x:c>
      <x:c r="F663" s="2" t="str">
        <x:v>0만</x:v>
      </x:c>
      <x:c r="G663" s="2" t="str">
        <x:v>승</x:v>
      </x:c>
      <x:c r="H663" s="14" t="n">
        <x:v>9</x:v>
      </x:c>
      <x:c r="I663" s="14" t="n">
        <x:v>2</x:v>
      </x:c>
      <x:c r="J663" s="14" t="n">
        <x:v>14</x:v>
      </x:c>
      <x:c r="K663" s="14" t="n">
        <x:v>9</x:v>
      </x:c>
      <x:c r="L663" s="15" t="n">
        <x:f>IF(J663=0,"해당 없음",K663/J663)</x:f>
        <x:v>0.6428571428571429</x:v>
      </x:c>
      <x:c r="M663" s="14" t="n">
        <x:v>4</x:v>
      </x:c>
      <x:c r="N663" s="14" t="n">
        <x:v>3</x:v>
      </x:c>
      <x:c r="O663" s="15" t="n">
        <x:f>IF(M663=0,"해당 없음",N663/M663)</x:f>
        <x:v>0.75</x:v>
      </x:c>
      <x:c r="P663" s="14" t="n">
        <x:v>105</x:v>
      </x:c>
    </x:row>
    <x:row r="664" ht="22" customHeight="1">
      <x:c r="A664" s="14" t="n">
        <x:v>330</x:v>
      </x:c>
      <x:c r="B664" s="14" t="n">
        <x:v>9</x:v>
      </x:c>
      <x:c r="C664" s="14" t="n">
        <x:v>76004</x:v>
      </x:c>
      <x:c r="D664" s="2" t="str">
        <x:v>RED</x:v>
      </x:c>
      <x:c r="E664" s="2" t="str">
        <x:v>80만</x:v>
      </x:c>
      <x:c r="F664" s="2" t="str">
        <x:v>0만</x:v>
      </x:c>
      <x:c r="G664" s="2" t="str">
        <x:v>승</x:v>
      </x:c>
      <x:c r="H664" s="14" t="n">
        <x:v>4</x:v>
      </x:c>
      <x:c r="I664" s="14" t="n">
        <x:v>0</x:v>
      </x:c>
      <x:c r="J664" s="14" t="n">
        <x:v>10</x:v>
      </x:c>
      <x:c r="K664" s="14" t="n">
        <x:v>4</x:v>
      </x:c>
      <x:c r="L664" s="15" t="n">
        <x:f>IF(J664=0,"해당 없음",K664/J664)</x:f>
        <x:v>0.4</x:v>
      </x:c>
      <x:c r="M664" s="14" t="n">
        <x:v>8</x:v>
      </x:c>
      <x:c r="N664" s="14" t="n">
        <x:v>6</x:v>
      </x:c>
      <x:c r="O664" s="15" t="n">
        <x:f>IF(M664=0,"해당 없음",N664/M664)</x:f>
        <x:v>0.75</x:v>
      </x:c>
      <x:c r="P664" s="14" t="n">
        <x:v>103</x:v>
      </x:c>
    </x:row>
    <x:row r="665" ht="22" customHeight="1">
      <x:c r="A665" s="14" t="n">
        <x:v>330</x:v>
      </x:c>
      <x:c r="B665" s="14" t="n">
        <x:v>9</x:v>
      </x:c>
      <x:c r="C665" s="14" t="n">
        <x:v>76004</x:v>
      </x:c>
      <x:c r="D665" s="2" t="str">
        <x:v>NAVY</x:v>
      </x:c>
      <x:c r="E665" s="2" t="str">
        <x:v>0만</x:v>
      </x:c>
      <x:c r="F665" s="2" t="str">
        <x:v>80만</x:v>
      </x:c>
      <x:c r="G665" s="2" t="str">
        <x:v>패</x:v>
      </x:c>
      <x:c r="H665" s="14" t="n">
        <x:v>0</x:v>
      </x:c>
      <x:c r="I665" s="14" t="n">
        <x:v>4</x:v>
      </x:c>
      <x:c r="J665" s="14" t="n">
        <x:v>7</x:v>
      </x:c>
      <x:c r="K665" s="14" t="n">
        <x:v>0</x:v>
      </x:c>
      <x:c r="L665" s="15" t="n">
        <x:f>IF(J665=0,"해당 없음",K665/J665)</x:f>
        <x:v>0</x:v>
      </x:c>
      <x:c r="M665" s="14" t="n">
        <x:v>4</x:v>
      </x:c>
      <x:c r="N665" s="14" t="n">
        <x:v>3</x:v>
      </x:c>
      <x:c r="O665" s="15" t="n">
        <x:f>IF(M665=0,"해당 없음",N665/M665)</x:f>
        <x:v>0.75</x:v>
      </x:c>
      <x:c r="P665" s="14" t="n">
        <x:v>103</x:v>
      </x:c>
    </x:row>
    <x:row r="666" ht="22" customHeight="1">
      <x:c r="A666" s="14" t="n">
        <x:v>331</x:v>
      </x:c>
      <x:c r="B666" s="14" t="n">
        <x:v>9</x:v>
      </x:c>
      <x:c r="C666" s="14" t="n">
        <x:v>76005</x:v>
      </x:c>
      <x:c r="D666" s="2" t="str">
        <x:v>RED</x:v>
      </x:c>
      <x:c r="E666" s="2" t="str">
        <x:v>0만</x:v>
      </x:c>
      <x:c r="F666" s="2" t="str">
        <x:v>80만</x:v>
      </x:c>
      <x:c r="G666" s="2" t="str">
        <x:v>패</x:v>
      </x:c>
      <x:c r="H666" s="14" t="n">
        <x:v>1</x:v>
      </x:c>
      <x:c r="I666" s="14" t="n">
        <x:v>6</x:v>
      </x:c>
      <x:c r="J666" s="14" t="n">
        <x:v>4</x:v>
      </x:c>
      <x:c r="K666" s="14" t="n">
        <x:v>1</x:v>
      </x:c>
      <x:c r="L666" s="15" t="n">
        <x:f>IF(J666=0,"해당 없음",K666/J666)</x:f>
        <x:v>0.25</x:v>
      </x:c>
      <x:c r="M666" s="14" t="n">
        <x:v>6</x:v>
      </x:c>
      <x:c r="N666" s="14" t="n">
        <x:v>4</x:v>
      </x:c>
      <x:c r="O666" s="15" t="n">
        <x:f>IF(M666=0,"해당 없음",N666/M666)</x:f>
        <x:v>0.6666666666666666</x:v>
      </x:c>
      <x:c r="P666" s="14" t="n">
        <x:v>104</x:v>
      </x:c>
    </x:row>
    <x:row r="667" ht="22" customHeight="1">
      <x:c r="A667" s="14" t="n">
        <x:v>331</x:v>
      </x:c>
      <x:c r="B667" s="14" t="n">
        <x:v>9</x:v>
      </x:c>
      <x:c r="C667" s="14" t="n">
        <x:v>76005</x:v>
      </x:c>
      <x:c r="D667" s="2" t="str">
        <x:v>NAVY</x:v>
      </x:c>
      <x:c r="E667" s="2" t="str">
        <x:v>80만</x:v>
      </x:c>
      <x:c r="F667" s="2" t="str">
        <x:v>0만</x:v>
      </x:c>
      <x:c r="G667" s="2" t="str">
        <x:v>승</x:v>
      </x:c>
      <x:c r="H667" s="14" t="n">
        <x:v>6</x:v>
      </x:c>
      <x:c r="I667" s="14" t="n">
        <x:v>1</x:v>
      </x:c>
      <x:c r="J667" s="14" t="n">
        <x:v>13</x:v>
      </x:c>
      <x:c r="K667" s="14" t="n">
        <x:v>6</x:v>
      </x:c>
      <x:c r="L667" s="15" t="n">
        <x:f>IF(J667=0,"해당 없음",K667/J667)</x:f>
        <x:v>0.46153846153846156</x:v>
      </x:c>
      <x:c r="M667" s="14" t="n">
        <x:v>9</x:v>
      </x:c>
      <x:c r="N667" s="14" t="n">
        <x:v>9</x:v>
      </x:c>
      <x:c r="O667" s="15" t="n">
        <x:f>IF(M667=0,"해당 없음",N667/M667)</x:f>
        <x:v>1</x:v>
      </x:c>
      <x:c r="P667" s="14" t="n">
        <x:v>105</x:v>
      </x:c>
    </x:row>
    <x:row r="668" ht="22" customHeight="1">
      <x:c r="A668" s="14" t="n">
        <x:v>332</x:v>
      </x:c>
      <x:c r="B668" s="14" t="n">
        <x:v>9</x:v>
      </x:c>
      <x:c r="C668" s="14" t="n">
        <x:v>76005</x:v>
      </x:c>
      <x:c r="D668" s="2" t="str">
        <x:v>RED</x:v>
      </x:c>
      <x:c r="E668" s="2" t="str">
        <x:v>80만</x:v>
      </x:c>
      <x:c r="F668" s="2" t="str">
        <x:v>0만</x:v>
      </x:c>
      <x:c r="G668" s="2" t="str">
        <x:v>승</x:v>
      </x:c>
      <x:c r="H668" s="14" t="n">
        <x:v>11</x:v>
      </x:c>
      <x:c r="I668" s="14" t="n">
        <x:v>0</x:v>
      </x:c>
      <x:c r="J668" s="14" t="n">
        <x:v>16</x:v>
      </x:c>
      <x:c r="K668" s="14" t="n">
        <x:v>11</x:v>
      </x:c>
      <x:c r="L668" s="15" t="n">
        <x:f>IF(J668=0,"해당 없음",K668/J668)</x:f>
        <x:v>0.6875</x:v>
      </x:c>
      <x:c r="M668" s="14" t="n">
        <x:v>4</x:v>
      </x:c>
      <x:c r="N668" s="14" t="n">
        <x:v>4</x:v>
      </x:c>
      <x:c r="O668" s="15" t="n">
        <x:f>IF(M668=0,"해당 없음",N668/M668)</x:f>
        <x:v>1</x:v>
      </x:c>
      <x:c r="P668" s="14" t="n">
        <x:v>106</x:v>
      </x:c>
    </x:row>
    <x:row r="669" ht="22" customHeight="1">
      <x:c r="A669" s="14" t="n">
        <x:v>332</x:v>
      </x:c>
      <x:c r="B669" s="14" t="n">
        <x:v>9</x:v>
      </x:c>
      <x:c r="C669" s="14" t="n">
        <x:v>76005</x:v>
      </x:c>
      <x:c r="D669" s="2" t="str">
        <x:v>NAVY</x:v>
      </x:c>
      <x:c r="E669" s="2" t="str">
        <x:v>0만</x:v>
      </x:c>
      <x:c r="F669" s="2" t="str">
        <x:v>80만</x:v>
      </x:c>
      <x:c r="G669" s="2" t="str">
        <x:v>패</x:v>
      </x:c>
      <x:c r="H669" s="14" t="n">
        <x:v>0</x:v>
      </x:c>
      <x:c r="I669" s="14" t="n">
        <x:v>11</x:v>
      </x:c>
      <x:c r="J669" s="14" t="n">
        <x:v>2</x:v>
      </x:c>
      <x:c r="K669" s="14" t="n">
        <x:v>0</x:v>
      </x:c>
      <x:c r="L669" s="15" t="n">
        <x:f>IF(J669=0,"해당 없음",K669/J669)</x:f>
        <x:v>0</x:v>
      </x:c>
      <x:c r="M669" s="14" t="n">
        <x:v>3</x:v>
      </x:c>
      <x:c r="N669" s="14" t="n">
        <x:v>3</x:v>
      </x:c>
      <x:c r="O669" s="15" t="n">
        <x:f>IF(M669=0,"해당 없음",N669/M669)</x:f>
        <x:v>1</x:v>
      </x:c>
      <x:c r="P669" s="14" t="n">
        <x:v>106</x:v>
      </x:c>
    </x:row>
    <x:row r="670" ht="22" customHeight="1">
      <x:c r="A670" s="14" t="n">
        <x:v>333</x:v>
      </x:c>
      <x:c r="B670" s="14" t="n">
        <x:v>9</x:v>
      </x:c>
      <x:c r="C670" s="14" t="n">
        <x:v>76006</x:v>
      </x:c>
      <x:c r="D670" s="2" t="str">
        <x:v>RED</x:v>
      </x:c>
      <x:c r="E670" s="2" t="str">
        <x:v>0만</x:v>
      </x:c>
      <x:c r="F670" s="2" t="str">
        <x:v>80만</x:v>
      </x:c>
      <x:c r="G670" s="2" t="str">
        <x:v>패</x:v>
      </x:c>
      <x:c r="H670" s="14" t="n">
        <x:v>1</x:v>
      </x:c>
      <x:c r="I670" s="14" t="n">
        <x:v>3</x:v>
      </x:c>
      <x:c r="J670" s="14" t="n">
        <x:v>5</x:v>
      </x:c>
      <x:c r="K670" s="14" t="n">
        <x:v>1</x:v>
      </x:c>
      <x:c r="L670" s="15" t="n">
        <x:f>IF(J670=0,"해당 없음",K670/J670)</x:f>
        <x:v>0.2</x:v>
      </x:c>
      <x:c r="M670" s="14" t="n">
        <x:v>8</x:v>
      </x:c>
      <x:c r="N670" s="14" t="n">
        <x:v>7</x:v>
      </x:c>
      <x:c r="O670" s="15" t="n">
        <x:f>IF(M670=0,"해당 없음",N670/M670)</x:f>
        <x:v>0.875</x:v>
      </x:c>
      <x:c r="P670" s="14" t="n">
        <x:v>103</x:v>
      </x:c>
    </x:row>
    <x:row r="671" ht="22" customHeight="1">
      <x:c r="A671" s="14" t="n">
        <x:v>333</x:v>
      </x:c>
      <x:c r="B671" s="14" t="n">
        <x:v>9</x:v>
      </x:c>
      <x:c r="C671" s="14" t="n">
        <x:v>76006</x:v>
      </x:c>
      <x:c r="D671" s="2" t="str">
        <x:v>NAVY</x:v>
      </x:c>
      <x:c r="E671" s="2" t="str">
        <x:v>80만</x:v>
      </x:c>
      <x:c r="F671" s="2" t="str">
        <x:v>0만</x:v>
      </x:c>
      <x:c r="G671" s="2" t="str">
        <x:v>승</x:v>
      </x:c>
      <x:c r="H671" s="14" t="n">
        <x:v>3</x:v>
      </x:c>
      <x:c r="I671" s="14" t="n">
        <x:v>1</x:v>
      </x:c>
      <x:c r="J671" s="14" t="n">
        <x:v>13</x:v>
      </x:c>
      <x:c r="K671" s="14" t="n">
        <x:v>3</x:v>
      </x:c>
      <x:c r="L671" s="15" t="n">
        <x:f>IF(J671=0,"해당 없음",K671/J671)</x:f>
        <x:v>0.23076923076923078</x:v>
      </x:c>
      <x:c r="M671" s="14" t="n">
        <x:v>8</x:v>
      </x:c>
      <x:c r="N671" s="14" t="n">
        <x:v>8</x:v>
      </x:c>
      <x:c r="O671" s="15" t="n">
        <x:f>IF(M671=0,"해당 없음",N671/M671)</x:f>
        <x:v>1</x:v>
      </x:c>
      <x:c r="P671" s="14" t="n">
        <x:v>103</x:v>
      </x:c>
    </x:row>
    <x:row r="672" ht="22" customHeight="1">
      <x:c r="A672" s="14" t="n">
        <x:v>334</x:v>
      </x:c>
      <x:c r="B672" s="14" t="n">
        <x:v>9</x:v>
      </x:c>
      <x:c r="C672" s="14" t="n">
        <x:v>76006</x:v>
      </x:c>
      <x:c r="D672" s="2" t="str">
        <x:v>RED</x:v>
      </x:c>
      <x:c r="E672" s="2" t="str">
        <x:v>80만</x:v>
      </x:c>
      <x:c r="F672" s="2" t="str">
        <x:v>0만</x:v>
      </x:c>
      <x:c r="G672" s="2" t="str">
        <x:v>승</x:v>
      </x:c>
      <x:c r="H672" s="14" t="n">
        <x:v>7</x:v>
      </x:c>
      <x:c r="I672" s="14" t="n">
        <x:v>1</x:v>
      </x:c>
      <x:c r="J672" s="14" t="n">
        <x:v>18</x:v>
      </x:c>
      <x:c r="K672" s="14" t="n">
        <x:v>7</x:v>
      </x:c>
      <x:c r="L672" s="15" t="n">
        <x:f>IF(J672=0,"해당 없음",K672/J672)</x:f>
        <x:v>0.3888888888888889</x:v>
      </x:c>
      <x:c r="M672" s="14" t="n">
        <x:v>5</x:v>
      </x:c>
      <x:c r="N672" s="14" t="n">
        <x:v>5</x:v>
      </x:c>
      <x:c r="O672" s="15" t="n">
        <x:f>IF(M672=0,"해당 없음",N672/M672)</x:f>
        <x:v>1</x:v>
      </x:c>
      <x:c r="P672" s="14" t="n">
        <x:v>104</x:v>
      </x:c>
    </x:row>
    <x:row r="673" ht="22" customHeight="1">
      <x:c r="A673" s="14" t="n">
        <x:v>334</x:v>
      </x:c>
      <x:c r="B673" s="14" t="n">
        <x:v>9</x:v>
      </x:c>
      <x:c r="C673" s="14" t="n">
        <x:v>76006</x:v>
      </x:c>
      <x:c r="D673" s="2" t="str">
        <x:v>NAVY</x:v>
      </x:c>
      <x:c r="E673" s="2" t="str">
        <x:v>0만</x:v>
      </x:c>
      <x:c r="F673" s="2" t="str">
        <x:v>80만</x:v>
      </x:c>
      <x:c r="G673" s="2" t="str">
        <x:v>패</x:v>
      </x:c>
      <x:c r="H673" s="14" t="n">
        <x:v>1</x:v>
      </x:c>
      <x:c r="I673" s="14" t="n">
        <x:v>7</x:v>
      </x:c>
      <x:c r="J673" s="14" t="n">
        <x:v>3</x:v>
      </x:c>
      <x:c r="K673" s="14" t="n">
        <x:v>1</x:v>
      </x:c>
      <x:c r="L673" s="15" t="n">
        <x:f>IF(J673=0,"해당 없음",K673/J673)</x:f>
        <x:v>0.3333333333333333</x:v>
      </x:c>
      <x:c r="M673" s="14" t="n">
        <x:v>7</x:v>
      </x:c>
      <x:c r="N673" s="14" t="n">
        <x:v>4</x:v>
      </x:c>
      <x:c r="O673" s="15" t="n">
        <x:f>IF(M673=0,"해당 없음",N673/M673)</x:f>
        <x:v>0.5714285714285714</x:v>
      </x:c>
      <x:c r="P673" s="14" t="n">
        <x:v>104</x:v>
      </x:c>
    </x:row>
    <x:row r="674" ht="22" customHeight="1">
      <x:c r="A674" s="14" t="n">
        <x:v>335</x:v>
      </x:c>
      <x:c r="B674" s="14" t="n">
        <x:v>9</x:v>
      </x:c>
      <x:c r="C674" s="14" t="n">
        <x:v>76007</x:v>
      </x:c>
      <x:c r="D674" s="2" t="str">
        <x:v>RED</x:v>
      </x:c>
      <x:c r="E674" s="2" t="str">
        <x:v>0만</x:v>
      </x:c>
      <x:c r="F674" s="2" t="str">
        <x:v>80만</x:v>
      </x:c>
      <x:c r="G674" s="2" t="str">
        <x:v>패</x:v>
      </x:c>
      <x:c r="H674" s="14" t="n">
        <x:v>1</x:v>
      </x:c>
      <x:c r="I674" s="14" t="n">
        <x:v>6</x:v>
      </x:c>
      <x:c r="J674" s="14" t="n">
        <x:v>5</x:v>
      </x:c>
      <x:c r="K674" s="14" t="n">
        <x:v>1</x:v>
      </x:c>
      <x:c r="L674" s="15" t="n">
        <x:f>IF(J674=0,"해당 없음",K674/J674)</x:f>
        <x:v>0.2</x:v>
      </x:c>
      <x:c r="M674" s="14" t="n">
        <x:v>9</x:v>
      </x:c>
      <x:c r="N674" s="14" t="n">
        <x:v>7</x:v>
      </x:c>
      <x:c r="O674" s="15" t="n">
        <x:f>IF(M674=0,"해당 없음",N674/M674)</x:f>
        <x:v>0.7777777777777778</x:v>
      </x:c>
      <x:c r="P674" s="14" t="n">
        <x:v>104</x:v>
      </x:c>
    </x:row>
    <x:row r="675" ht="22" customHeight="1">
      <x:c r="A675" s="14" t="n">
        <x:v>335</x:v>
      </x:c>
      <x:c r="B675" s="14" t="n">
        <x:v>9</x:v>
      </x:c>
      <x:c r="C675" s="14" t="n">
        <x:v>76007</x:v>
      </x:c>
      <x:c r="D675" s="2" t="str">
        <x:v>NAVY</x:v>
      </x:c>
      <x:c r="E675" s="2" t="str">
        <x:v>80만</x:v>
      </x:c>
      <x:c r="F675" s="2" t="str">
        <x:v>0만</x:v>
      </x:c>
      <x:c r="G675" s="2" t="str">
        <x:v>승</x:v>
      </x:c>
      <x:c r="H675" s="14" t="n">
        <x:v>6</x:v>
      </x:c>
      <x:c r="I675" s="14" t="n">
        <x:v>1</x:v>
      </x:c>
      <x:c r="J675" s="14" t="n">
        <x:v>13</x:v>
      </x:c>
      <x:c r="K675" s="14" t="n">
        <x:v>6</x:v>
      </x:c>
      <x:c r="L675" s="15" t="n">
        <x:f>IF(J675=0,"해당 없음",K675/J675)</x:f>
        <x:v>0.46153846153846156</x:v>
      </x:c>
      <x:c r="M675" s="14" t="n">
        <x:v>7</x:v>
      </x:c>
      <x:c r="N675" s="14" t="n">
        <x:v>6</x:v>
      </x:c>
      <x:c r="O675" s="15" t="n">
        <x:f>IF(M675=0,"해당 없음",N675/M675)</x:f>
        <x:v>0.8571428571428571</x:v>
      </x:c>
      <x:c r="P675" s="14" t="n">
        <x:v>102</x:v>
      </x:c>
    </x:row>
    <x:row r="676" ht="22" customHeight="1">
      <x:c r="A676" s="14" t="n">
        <x:v>336</x:v>
      </x:c>
      <x:c r="B676" s="14" t="n">
        <x:v>9</x:v>
      </x:c>
      <x:c r="C676" s="14" t="n">
        <x:v>76007</x:v>
      </x:c>
      <x:c r="D676" s="2" t="str">
        <x:v>RED</x:v>
      </x:c>
      <x:c r="E676" s="2" t="str">
        <x:v>80만</x:v>
      </x:c>
      <x:c r="F676" s="2" t="str">
        <x:v>0만</x:v>
      </x:c>
      <x:c r="G676" s="2" t="str">
        <x:v>무</x:v>
      </x:c>
      <x:c r="H676" s="14" t="n">
        <x:v>3</x:v>
      </x:c>
      <x:c r="I676" s="14" t="n">
        <x:v>3</x:v>
      </x:c>
      <x:c r="J676" s="14" t="n">
        <x:v>11</x:v>
      </x:c>
      <x:c r="K676" s="14" t="n">
        <x:v>3</x:v>
      </x:c>
      <x:c r="L676" s="15" t="n">
        <x:f>IF(J676=0,"해당 없음",K676/J676)</x:f>
        <x:v>0.2727272727272727</x:v>
      </x:c>
      <x:c r="M676" s="14" t="n">
        <x:v>5</x:v>
      </x:c>
      <x:c r="N676" s="14" t="n">
        <x:v>4</x:v>
      </x:c>
      <x:c r="O676" s="15" t="n">
        <x:f>IF(M676=0,"해당 없음",N676/M676)</x:f>
        <x:v>0.8</x:v>
      </x:c>
      <x:c r="P676" s="14" t="n">
        <x:v>103</x:v>
      </x:c>
    </x:row>
    <x:row r="677" ht="22" customHeight="1">
      <x:c r="A677" s="14" t="n">
        <x:v>336</x:v>
      </x:c>
      <x:c r="B677" s="14" t="n">
        <x:v>9</x:v>
      </x:c>
      <x:c r="C677" s="14" t="n">
        <x:v>76007</x:v>
      </x:c>
      <x:c r="D677" s="2" t="str">
        <x:v>NAVY</x:v>
      </x:c>
      <x:c r="E677" s="2" t="str">
        <x:v>0만</x:v>
      </x:c>
      <x:c r="F677" s="2" t="str">
        <x:v>80만</x:v>
      </x:c>
      <x:c r="G677" s="2" t="str">
        <x:v>무</x:v>
      </x:c>
      <x:c r="H677" s="14" t="n">
        <x:v>3</x:v>
      </x:c>
      <x:c r="I677" s="14" t="n">
        <x:v>3</x:v>
      </x:c>
      <x:c r="J677" s="14" t="n">
        <x:v>5</x:v>
      </x:c>
      <x:c r="K677" s="14" t="n">
        <x:v>3</x:v>
      </x:c>
      <x:c r="L677" s="15" t="n">
        <x:f>IF(J677=0,"해당 없음",K677/J677)</x:f>
        <x:v>0.6</x:v>
      </x:c>
      <x:c r="M677" s="14" t="n">
        <x:v>9</x:v>
      </x:c>
      <x:c r="N677" s="14" t="n">
        <x:v>7</x:v>
      </x:c>
      <x:c r="O677" s="15" t="n">
        <x:f>IF(M677=0,"해당 없음",N677/M677)</x:f>
        <x:v>0.7777777777777778</x:v>
      </x:c>
      <x:c r="P677" s="14" t="n">
        <x:v>103</x:v>
      </x:c>
    </x:row>
    <x:row r="678" ht="22" customHeight="1">
      <x:c r="A678" s="14" t="n">
        <x:v>337</x:v>
      </x:c>
      <x:c r="B678" s="14" t="n">
        <x:v>9</x:v>
      </x:c>
      <x:c r="C678" s="14" t="n">
        <x:v>76008</x:v>
      </x:c>
      <x:c r="D678" s="2" t="str">
        <x:v>RED</x:v>
      </x:c>
      <x:c r="E678" s="2" t="str">
        <x:v>0만</x:v>
      </x:c>
      <x:c r="F678" s="2" t="str">
        <x:v>80만</x:v>
      </x:c>
      <x:c r="G678" s="2" t="str">
        <x:v>패</x:v>
      </x:c>
      <x:c r="H678" s="14" t="n">
        <x:v>0</x:v>
      </x:c>
      <x:c r="I678" s="14" t="n">
        <x:v>8</x:v>
      </x:c>
      <x:c r="J678" s="14" t="n">
        <x:v>1</x:v>
      </x:c>
      <x:c r="K678" s="14" t="n">
        <x:v>0</x:v>
      </x:c>
      <x:c r="L678" s="15" t="n">
        <x:f>IF(J678=0,"해당 없음",K678/J678)</x:f>
        <x:v>0</x:v>
      </x:c>
      <x:c r="M678" s="14" t="n">
        <x:v>6</x:v>
      </x:c>
      <x:c r="N678" s="14" t="n">
        <x:v>4</x:v>
      </x:c>
      <x:c r="O678" s="15" t="n">
        <x:f>IF(M678=0,"해당 없음",N678/M678)</x:f>
        <x:v>0.6666666666666666</x:v>
      </x:c>
      <x:c r="P678" s="14" t="n">
        <x:v>105</x:v>
      </x:c>
    </x:row>
    <x:row r="679" ht="22" customHeight="1">
      <x:c r="A679" s="14" t="n">
        <x:v>337</x:v>
      </x:c>
      <x:c r="B679" s="14" t="n">
        <x:v>9</x:v>
      </x:c>
      <x:c r="C679" s="14" t="n">
        <x:v>76008</x:v>
      </x:c>
      <x:c r="D679" s="2" t="str">
        <x:v>NAVY</x:v>
      </x:c>
      <x:c r="E679" s="2" t="str">
        <x:v>80만</x:v>
      </x:c>
      <x:c r="F679" s="2" t="str">
        <x:v>0만</x:v>
      </x:c>
      <x:c r="G679" s="2" t="str">
        <x:v>승</x:v>
      </x:c>
      <x:c r="H679" s="14" t="n">
        <x:v>8</x:v>
      </x:c>
      <x:c r="I679" s="14" t="n">
        <x:v>0</x:v>
      </x:c>
      <x:c r="J679" s="14" t="n">
        <x:v>16</x:v>
      </x:c>
      <x:c r="K679" s="14" t="n">
        <x:v>8</x:v>
      </x:c>
      <x:c r="L679" s="15" t="n">
        <x:f>IF(J679=0,"해당 없음",K679/J679)</x:f>
        <x:v>0.5</x:v>
      </x:c>
      <x:c r="M679" s="14" t="n">
        <x:v>5</x:v>
      </x:c>
      <x:c r="N679" s="14" t="n">
        <x:v>5</x:v>
      </x:c>
      <x:c r="O679" s="15" t="n">
        <x:f>IF(M679=0,"해당 없음",N679/M679)</x:f>
        <x:v>1</x:v>
      </x:c>
      <x:c r="P679" s="14" t="n">
        <x:v>104</x:v>
      </x:c>
    </x:row>
    <x:row r="680" ht="22" customHeight="1">
      <x:c r="A680" s="14" t="n">
        <x:v>338</x:v>
      </x:c>
      <x:c r="B680" s="14" t="n">
        <x:v>9</x:v>
      </x:c>
      <x:c r="C680" s="14" t="n">
        <x:v>76008</x:v>
      </x:c>
      <x:c r="D680" s="2" t="str">
        <x:v>RED</x:v>
      </x:c>
      <x:c r="E680" s="2" t="str">
        <x:v>80만</x:v>
      </x:c>
      <x:c r="F680" s="2" t="str">
        <x:v>0만</x:v>
      </x:c>
      <x:c r="G680" s="2" t="str">
        <x:v>승</x:v>
      </x:c>
      <x:c r="H680" s="14" t="n">
        <x:v>5</x:v>
      </x:c>
      <x:c r="I680" s="14" t="n">
        <x:v>2</x:v>
      </x:c>
      <x:c r="J680" s="14" t="n">
        <x:v>14</x:v>
      </x:c>
      <x:c r="K680" s="14" t="n">
        <x:v>5</x:v>
      </x:c>
      <x:c r="L680" s="15" t="n">
        <x:f>IF(J680=0,"해당 없음",K680/J680)</x:f>
        <x:v>0.35714285714285715</x:v>
      </x:c>
      <x:c r="M680" s="14" t="n">
        <x:v>11</x:v>
      </x:c>
      <x:c r="N680" s="14" t="n">
        <x:v>8</x:v>
      </x:c>
      <x:c r="O680" s="15" t="n">
        <x:f>IF(M680=0,"해당 없음",N680/M680)</x:f>
        <x:v>0.7272727272727273</x:v>
      </x:c>
      <x:c r="P680" s="14" t="n">
        <x:v>105</x:v>
      </x:c>
    </x:row>
    <x:row r="681" ht="22" customHeight="1">
      <x:c r="A681" s="14" t="n">
        <x:v>338</x:v>
      </x:c>
      <x:c r="B681" s="14" t="n">
        <x:v>9</x:v>
      </x:c>
      <x:c r="C681" s="14" t="n">
        <x:v>76008</x:v>
      </x:c>
      <x:c r="D681" s="2" t="str">
        <x:v>NAVY</x:v>
      </x:c>
      <x:c r="E681" s="2" t="str">
        <x:v>0만</x:v>
      </x:c>
      <x:c r="F681" s="2" t="str">
        <x:v>80만</x:v>
      </x:c>
      <x:c r="G681" s="2" t="str">
        <x:v>패</x:v>
      </x:c>
      <x:c r="H681" s="14" t="n">
        <x:v>2</x:v>
      </x:c>
      <x:c r="I681" s="14" t="n">
        <x:v>5</x:v>
      </x:c>
      <x:c r="J681" s="14" t="n">
        <x:v>4</x:v>
      </x:c>
      <x:c r="K681" s="14" t="n">
        <x:v>2</x:v>
      </x:c>
      <x:c r="L681" s="15" t="n">
        <x:f>IF(J681=0,"해당 없음",K681/J681)</x:f>
        <x:v>0.5</x:v>
      </x:c>
      <x:c r="M681" s="14" t="n">
        <x:v>10</x:v>
      </x:c>
      <x:c r="N681" s="14" t="n">
        <x:v>8</x:v>
      </x:c>
      <x:c r="O681" s="15" t="n">
        <x:f>IF(M681=0,"해당 없음",N681/M681)</x:f>
        <x:v>0.8</x:v>
      </x:c>
      <x:c r="P681" s="14" t="n">
        <x:v>105</x:v>
      </x:c>
    </x:row>
    <x:row r="682" ht="22" customHeight="1">
      <x:c r="A682" s="14" t="n">
        <x:v>339</x:v>
      </x:c>
      <x:c r="B682" s="14" t="n">
        <x:v>9</x:v>
      </x:c>
      <x:c r="C682" s="14" t="n">
        <x:v>76009</x:v>
      </x:c>
      <x:c r="D682" s="2" t="str">
        <x:v>RED</x:v>
      </x:c>
      <x:c r="E682" s="2" t="str">
        <x:v>0만</x:v>
      </x:c>
      <x:c r="F682" s="2" t="str">
        <x:v>80만</x:v>
      </x:c>
      <x:c r="G682" s="2" t="str">
        <x:v>패</x:v>
      </x:c>
      <x:c r="H682" s="14" t="n">
        <x:v>4</x:v>
      </x:c>
      <x:c r="I682" s="14" t="n">
        <x:v>8</x:v>
      </x:c>
      <x:c r="J682" s="14" t="n">
        <x:v>4</x:v>
      </x:c>
      <x:c r="K682" s="14" t="n">
        <x:v>4</x:v>
      </x:c>
      <x:c r="L682" s="15" t="n">
        <x:f>IF(J682=0,"해당 없음",K682/J682)</x:f>
        <x:v>1</x:v>
      </x:c>
      <x:c r="M682" s="14" t="n">
        <x:v>7</x:v>
      </x:c>
      <x:c r="N682" s="14" t="n">
        <x:v>7</x:v>
      </x:c>
      <x:c r="O682" s="15" t="n">
        <x:f>IF(M682=0,"해당 없음",N682/M682)</x:f>
        <x:v>1</x:v>
      </x:c>
      <x:c r="P682" s="14" t="n">
        <x:v>107</x:v>
      </x:c>
    </x:row>
    <x:row r="683" ht="22" customHeight="1">
      <x:c r="A683" s="14" t="n">
        <x:v>339</x:v>
      </x:c>
      <x:c r="B683" s="14" t="n">
        <x:v>9</x:v>
      </x:c>
      <x:c r="C683" s="14" t="n">
        <x:v>76009</x:v>
      </x:c>
      <x:c r="D683" s="2" t="str">
        <x:v>NAVY</x:v>
      </x:c>
      <x:c r="E683" s="2" t="str">
        <x:v>80만</x:v>
      </x:c>
      <x:c r="F683" s="2" t="str">
        <x:v>0만</x:v>
      </x:c>
      <x:c r="G683" s="2" t="str">
        <x:v>승</x:v>
      </x:c>
      <x:c r="H683" s="14" t="n">
        <x:v>8</x:v>
      </x:c>
      <x:c r="I683" s="14" t="n">
        <x:v>4</x:v>
      </x:c>
      <x:c r="J683" s="14" t="n">
        <x:v>16</x:v>
      </x:c>
      <x:c r="K683" s="14" t="n">
        <x:v>8</x:v>
      </x:c>
      <x:c r="L683" s="15" t="n">
        <x:f>IF(J683=0,"해당 없음",K683/J683)</x:f>
        <x:v>0.5</x:v>
      </x:c>
      <x:c r="M683" s="14" t="n">
        <x:v>2</x:v>
      </x:c>
      <x:c r="N683" s="14" t="n">
        <x:v>2</x:v>
      </x:c>
      <x:c r="O683" s="15" t="n">
        <x:f>IF(M683=0,"해당 없음",N683/M683)</x:f>
        <x:v>1</x:v>
      </x:c>
      <x:c r="P683" s="14" t="n">
        <x:v>107</x:v>
      </x:c>
    </x:row>
    <x:row r="684" ht="22" customHeight="1">
      <x:c r="A684" s="14" t="n">
        <x:v>340</x:v>
      </x:c>
      <x:c r="B684" s="14" t="n">
        <x:v>9</x:v>
      </x:c>
      <x:c r="C684" s="14" t="n">
        <x:v>76009</x:v>
      </x:c>
      <x:c r="D684" s="2" t="str">
        <x:v>RED</x:v>
      </x:c>
      <x:c r="E684" s="2" t="str">
        <x:v>80만</x:v>
      </x:c>
      <x:c r="F684" s="2" t="str">
        <x:v>0만</x:v>
      </x:c>
      <x:c r="G684" s="2" t="str">
        <x:v>승</x:v>
      </x:c>
      <x:c r="H684" s="14" t="n">
        <x:v>13</x:v>
      </x:c>
      <x:c r="I684" s="14" t="n">
        <x:v>1</x:v>
      </x:c>
      <x:c r="J684" s="14" t="n">
        <x:v>18</x:v>
      </x:c>
      <x:c r="K684" s="14" t="n">
        <x:v>13</x:v>
      </x:c>
      <x:c r="L684" s="15" t="n">
        <x:f>IF(J684=0,"해당 없음",K684/J684)</x:f>
        <x:v>0.7222222222222222</x:v>
      </x:c>
      <x:c r="M684" s="14" t="n">
        <x:v>3</x:v>
      </x:c>
      <x:c r="N684" s="14" t="n">
        <x:v>2</x:v>
      </x:c>
      <x:c r="O684" s="15" t="n">
        <x:f>IF(M684=0,"해당 없음",N684/M684)</x:f>
        <x:v>0.6666666666666666</x:v>
      </x:c>
      <x:c r="P684" s="14" t="n">
        <x:v>108</x:v>
      </x:c>
    </x:row>
    <x:row r="685" ht="22" customHeight="1">
      <x:c r="A685" s="14" t="n">
        <x:v>340</x:v>
      </x:c>
      <x:c r="B685" s="14" t="n">
        <x:v>9</x:v>
      </x:c>
      <x:c r="C685" s="14" t="n">
        <x:v>76009</x:v>
      </x:c>
      <x:c r="D685" s="2" t="str">
        <x:v>NAVY</x:v>
      </x:c>
      <x:c r="E685" s="2" t="str">
        <x:v>0만</x:v>
      </x:c>
      <x:c r="F685" s="2" t="str">
        <x:v>80만</x:v>
      </x:c>
      <x:c r="G685" s="2" t="str">
        <x:v>패</x:v>
      </x:c>
      <x:c r="H685" s="14" t="n">
        <x:v>1</x:v>
      </x:c>
      <x:c r="I685" s="14" t="n">
        <x:v>13</x:v>
      </x:c>
      <x:c r="J685" s="14" t="n">
        <x:v>2</x:v>
      </x:c>
      <x:c r="K685" s="14" t="n">
        <x:v>1</x:v>
      </x:c>
      <x:c r="L685" s="15" t="n">
        <x:f>IF(J685=0,"해당 없음",K685/J685)</x:f>
        <x:v>0.5</x:v>
      </x:c>
      <x:c r="M685" s="14" t="n">
        <x:v>5</x:v>
      </x:c>
      <x:c r="N685" s="14" t="n">
        <x:v>4</x:v>
      </x:c>
      <x:c r="O685" s="15" t="n">
        <x:f>IF(M685=0,"해당 없음",N685/M685)</x:f>
        <x:v>0.8</x:v>
      </x:c>
      <x:c r="P685" s="14" t="n">
        <x:v>107</x:v>
      </x:c>
    </x:row>
    <x:row r="686" ht="22" customHeight="1">
      <x:c r="A686" s="14" t="n">
        <x:v>341</x:v>
      </x:c>
      <x:c r="B686" s="14" t="n">
        <x:v>9</x:v>
      </x:c>
      <x:c r="C686" s="14" t="n">
        <x:v>76010</x:v>
      </x:c>
      <x:c r="D686" s="2" t="str">
        <x:v>RED</x:v>
      </x:c>
      <x:c r="E686" s="2" t="str">
        <x:v>0만</x:v>
      </x:c>
      <x:c r="F686" s="2" t="str">
        <x:v>80만</x:v>
      </x:c>
      <x:c r="G686" s="2" t="str">
        <x:v>패</x:v>
      </x:c>
      <x:c r="H686" s="14" t="n">
        <x:v>3</x:v>
      </x:c>
      <x:c r="I686" s="14" t="n">
        <x:v>4</x:v>
      </x:c>
      <x:c r="J686" s="14" t="n">
        <x:v>5</x:v>
      </x:c>
      <x:c r="K686" s="14" t="n">
        <x:v>3</x:v>
      </x:c>
      <x:c r="L686" s="15" t="n">
        <x:f>IF(J686=0,"해당 없음",K686/J686)</x:f>
        <x:v>0.6</x:v>
      </x:c>
      <x:c r="M686" s="14" t="n">
        <x:v>8</x:v>
      </x:c>
      <x:c r="N686" s="14" t="n">
        <x:v>4</x:v>
      </x:c>
      <x:c r="O686" s="15" t="n">
        <x:f>IF(M686=0,"해당 없음",N686/M686)</x:f>
        <x:v>0.5</x:v>
      </x:c>
      <x:c r="P686" s="14" t="n">
        <x:v>104</x:v>
      </x:c>
    </x:row>
    <x:row r="687" ht="22" customHeight="1">
      <x:c r="A687" s="14" t="n">
        <x:v>341</x:v>
      </x:c>
      <x:c r="B687" s="14" t="n">
        <x:v>9</x:v>
      </x:c>
      <x:c r="C687" s="14" t="n">
        <x:v>76010</x:v>
      </x:c>
      <x:c r="D687" s="2" t="str">
        <x:v>NAVY</x:v>
      </x:c>
      <x:c r="E687" s="2" t="str">
        <x:v>80만</x:v>
      </x:c>
      <x:c r="F687" s="2" t="str">
        <x:v>0만</x:v>
      </x:c>
      <x:c r="G687" s="2" t="str">
        <x:v>승</x:v>
      </x:c>
      <x:c r="H687" s="14" t="n">
        <x:v>4</x:v>
      </x:c>
      <x:c r="I687" s="14" t="n">
        <x:v>3</x:v>
      </x:c>
      <x:c r="J687" s="14" t="n">
        <x:v>10</x:v>
      </x:c>
      <x:c r="K687" s="14" t="n">
        <x:v>4</x:v>
      </x:c>
      <x:c r="L687" s="15" t="n">
        <x:f>IF(J687=0,"해당 없음",K687/J687)</x:f>
        <x:v>0.4</x:v>
      </x:c>
      <x:c r="M687" s="14" t="n">
        <x:v>9</x:v>
      </x:c>
      <x:c r="N687" s="14" t="n">
        <x:v>6</x:v>
      </x:c>
      <x:c r="O687" s="15" t="n">
        <x:f>IF(M687=0,"해당 없음",N687/M687)</x:f>
        <x:v>0.6666666666666666</x:v>
      </x:c>
      <x:c r="P687" s="14" t="n">
        <x:v>105</x:v>
      </x:c>
    </x:row>
    <x:row r="688" ht="22" customHeight="1">
      <x:c r="A688" s="14" t="n">
        <x:v>342</x:v>
      </x:c>
      <x:c r="B688" s="14" t="n">
        <x:v>9</x:v>
      </x:c>
      <x:c r="C688" s="14" t="n">
        <x:v>76010</x:v>
      </x:c>
      <x:c r="D688" s="2" t="str">
        <x:v>RED</x:v>
      </x:c>
      <x:c r="E688" s="2" t="str">
        <x:v>80만</x:v>
      </x:c>
      <x:c r="F688" s="2" t="str">
        <x:v>0만</x:v>
      </x:c>
      <x:c r="G688" s="2" t="str">
        <x:v>무</x:v>
      </x:c>
      <x:c r="H688" s="14" t="n">
        <x:v>3</x:v>
      </x:c>
      <x:c r="I688" s="14" t="n">
        <x:v>3</x:v>
      </x:c>
      <x:c r="J688" s="14" t="n">
        <x:v>8</x:v>
      </x:c>
      <x:c r="K688" s="14" t="n">
        <x:v>3</x:v>
      </x:c>
      <x:c r="L688" s="15" t="n">
        <x:f>IF(J688=0,"해당 없음",K688/J688)</x:f>
        <x:v>0.375</x:v>
      </x:c>
      <x:c r="M688" s="14" t="n">
        <x:v>9</x:v>
      </x:c>
      <x:c r="N688" s="14" t="n">
        <x:v>6</x:v>
      </x:c>
      <x:c r="O688" s="15" t="n">
        <x:f>IF(M688=0,"해당 없음",N688/M688)</x:f>
        <x:v>0.6666666666666666</x:v>
      </x:c>
      <x:c r="P688" s="14" t="n">
        <x:v>103</x:v>
      </x:c>
    </x:row>
    <x:row r="689" ht="22" customHeight="1">
      <x:c r="A689" s="14" t="n">
        <x:v>342</x:v>
      </x:c>
      <x:c r="B689" s="14" t="n">
        <x:v>9</x:v>
      </x:c>
      <x:c r="C689" s="14" t="n">
        <x:v>76010</x:v>
      </x:c>
      <x:c r="D689" s="2" t="str">
        <x:v>NAVY</x:v>
      </x:c>
      <x:c r="E689" s="2" t="str">
        <x:v>0만</x:v>
      </x:c>
      <x:c r="F689" s="2" t="str">
        <x:v>80만</x:v>
      </x:c>
      <x:c r="G689" s="2" t="str">
        <x:v>무</x:v>
      </x:c>
      <x:c r="H689" s="14" t="n">
        <x:v>3</x:v>
      </x:c>
      <x:c r="I689" s="14" t="n">
        <x:v>3</x:v>
      </x:c>
      <x:c r="J689" s="14" t="n">
        <x:v>7</x:v>
      </x:c>
      <x:c r="K689" s="14" t="n">
        <x:v>3</x:v>
      </x:c>
      <x:c r="L689" s="15" t="n">
        <x:f>IF(J689=0,"해당 없음",K689/J689)</x:f>
        <x:v>0.42857142857142855</x:v>
      </x:c>
      <x:c r="M689" s="14" t="n">
        <x:v>8</x:v>
      </x:c>
      <x:c r="N689" s="14" t="n">
        <x:v>7</x:v>
      </x:c>
      <x:c r="O689" s="15" t="n">
        <x:f>IF(M689=0,"해당 없음",N689/M689)</x:f>
        <x:v>0.875</x:v>
      </x:c>
      <x:c r="P689" s="14" t="n">
        <x:v>104</x:v>
      </x:c>
    </x:row>
    <x:row r="690" ht="22" customHeight="1">
      <x:c r="A690" s="14" t="n">
        <x:v>343</x:v>
      </x:c>
      <x:c r="B690" s="14" t="n">
        <x:v>9</x:v>
      </x:c>
      <x:c r="C690" s="14" t="n">
        <x:v>76011</x:v>
      </x:c>
      <x:c r="D690" s="2" t="str">
        <x:v>RED</x:v>
      </x:c>
      <x:c r="E690" s="2" t="str">
        <x:v>0만</x:v>
      </x:c>
      <x:c r="F690" s="2" t="str">
        <x:v>80만</x:v>
      </x:c>
      <x:c r="G690" s="2" t="str">
        <x:v>패</x:v>
      </x:c>
      <x:c r="H690" s="14" t="n">
        <x:v>2</x:v>
      </x:c>
      <x:c r="I690" s="14" t="n">
        <x:v>5</x:v>
      </x:c>
      <x:c r="J690" s="14" t="n">
        <x:v>4</x:v>
      </x:c>
      <x:c r="K690" s="14" t="n">
        <x:v>2</x:v>
      </x:c>
      <x:c r="L690" s="15" t="n">
        <x:f>IF(J690=0,"해당 없음",K690/J690)</x:f>
        <x:v>0.5</x:v>
      </x:c>
      <x:c r="M690" s="14" t="n">
        <x:v>8</x:v>
      </x:c>
      <x:c r="N690" s="14" t="n">
        <x:v>6</x:v>
      </x:c>
      <x:c r="O690" s="15" t="n">
        <x:f>IF(M690=0,"해당 없음",N690/M690)</x:f>
        <x:v>0.75</x:v>
      </x:c>
      <x:c r="P690" s="14" t="n">
        <x:v>104</x:v>
      </x:c>
    </x:row>
    <x:row r="691" ht="22" customHeight="1">
      <x:c r="A691" s="14" t="n">
        <x:v>343</x:v>
      </x:c>
      <x:c r="B691" s="14" t="n">
        <x:v>9</x:v>
      </x:c>
      <x:c r="C691" s="14" t="n">
        <x:v>76011</x:v>
      </x:c>
      <x:c r="D691" s="2" t="str">
        <x:v>NAVY</x:v>
      </x:c>
      <x:c r="E691" s="2" t="str">
        <x:v>80만</x:v>
      </x:c>
      <x:c r="F691" s="2" t="str">
        <x:v>0만</x:v>
      </x:c>
      <x:c r="G691" s="2" t="str">
        <x:v>승</x:v>
      </x:c>
      <x:c r="H691" s="14" t="n">
        <x:v>5</x:v>
      </x:c>
      <x:c r="I691" s="14" t="n">
        <x:v>2</x:v>
      </x:c>
      <x:c r="J691" s="14" t="n">
        <x:v>10</x:v>
      </x:c>
      <x:c r="K691" s="14" t="n">
        <x:v>5</x:v>
      </x:c>
      <x:c r="L691" s="15" t="n">
        <x:f>IF(J691=0,"해당 없음",K691/J691)</x:f>
        <x:v>0.5</x:v>
      </x:c>
      <x:c r="M691" s="14" t="n">
        <x:v>4</x:v>
      </x:c>
      <x:c r="N691" s="14" t="n">
        <x:v>3</x:v>
      </x:c>
      <x:c r="O691" s="15" t="n">
        <x:f>IF(M691=0,"해당 없음",N691/M691)</x:f>
        <x:v>0.75</x:v>
      </x:c>
      <x:c r="P691" s="14" t="n">
        <x:v>104</x:v>
      </x:c>
    </x:row>
    <x:row r="692" ht="22" customHeight="1">
      <x:c r="A692" s="14" t="n">
        <x:v>344</x:v>
      </x:c>
      <x:c r="B692" s="14" t="n">
        <x:v>9</x:v>
      </x:c>
      <x:c r="C692" s="14" t="n">
        <x:v>76011</x:v>
      </x:c>
      <x:c r="D692" s="2" t="str">
        <x:v>RED</x:v>
      </x:c>
      <x:c r="E692" s="2" t="str">
        <x:v>80만</x:v>
      </x:c>
      <x:c r="F692" s="2" t="str">
        <x:v>0만</x:v>
      </x:c>
      <x:c r="G692" s="2" t="str">
        <x:v>승</x:v>
      </x:c>
      <x:c r="H692" s="14" t="n">
        <x:v>5</x:v>
      </x:c>
      <x:c r="I692" s="14" t="n">
        <x:v>1</x:v>
      </x:c>
      <x:c r="J692" s="14" t="n">
        <x:v>11</x:v>
      </x:c>
      <x:c r="K692" s="14" t="n">
        <x:v>5</x:v>
      </x:c>
      <x:c r="L692" s="15" t="n">
        <x:f>IF(J692=0,"해당 없음",K692/J692)</x:f>
        <x:v>0.45454545454545453</x:v>
      </x:c>
      <x:c r="M692" s="14" t="n">
        <x:v>2</x:v>
      </x:c>
      <x:c r="N692" s="14" t="n">
        <x:v>2</x:v>
      </x:c>
      <x:c r="O692" s="15" t="n">
        <x:f>IF(M692=0,"해당 없음",N692/M692)</x:f>
        <x:v>1</x:v>
      </x:c>
      <x:c r="P692" s="14" t="n">
        <x:v>103</x:v>
      </x:c>
    </x:row>
    <x:row r="693" ht="22" customHeight="1">
      <x:c r="A693" s="14" t="n">
        <x:v>344</x:v>
      </x:c>
      <x:c r="B693" s="14" t="n">
        <x:v>9</x:v>
      </x:c>
      <x:c r="C693" s="14" t="n">
        <x:v>76011</x:v>
      </x:c>
      <x:c r="D693" s="2" t="str">
        <x:v>NAVY</x:v>
      </x:c>
      <x:c r="E693" s="2" t="str">
        <x:v>0만</x:v>
      </x:c>
      <x:c r="F693" s="2" t="str">
        <x:v>80만</x:v>
      </x:c>
      <x:c r="G693" s="2" t="str">
        <x:v>패</x:v>
      </x:c>
      <x:c r="H693" s="14" t="n">
        <x:v>1</x:v>
      </x:c>
      <x:c r="I693" s="14" t="n">
        <x:v>5</x:v>
      </x:c>
      <x:c r="J693" s="14" t="n">
        <x:v>2</x:v>
      </x:c>
      <x:c r="K693" s="14" t="n">
        <x:v>1</x:v>
      </x:c>
      <x:c r="L693" s="15" t="n">
        <x:f>IF(J693=0,"해당 없음",K693/J693)</x:f>
        <x:v>0.5</x:v>
      </x:c>
      <x:c r="M693" s="14" t="n">
        <x:v>4</x:v>
      </x:c>
      <x:c r="N693" s="14" t="n">
        <x:v>4</x:v>
      </x:c>
      <x:c r="O693" s="15" t="n">
        <x:f>IF(M693=0,"해당 없음",N693/M693)</x:f>
        <x:v>1</x:v>
      </x:c>
      <x:c r="P693" s="14" t="n">
        <x:v>103</x:v>
      </x:c>
    </x:row>
    <x:row r="694" ht="22" customHeight="1">
      <x:c r="A694" s="14" t="n">
        <x:v>345</x:v>
      </x:c>
      <x:c r="B694" s="14" t="n">
        <x:v>9</x:v>
      </x:c>
      <x:c r="C694" s="14" t="n">
        <x:v>76012</x:v>
      </x:c>
      <x:c r="D694" s="2" t="str">
        <x:v>RED</x:v>
      </x:c>
      <x:c r="E694" s="2" t="str">
        <x:v>0만</x:v>
      </x:c>
      <x:c r="F694" s="2" t="str">
        <x:v>80만</x:v>
      </x:c>
      <x:c r="G694" s="2" t="str">
        <x:v>패</x:v>
      </x:c>
      <x:c r="H694" s="14" t="n">
        <x:v>0</x:v>
      </x:c>
      <x:c r="I694" s="14" t="n">
        <x:v>7</x:v>
      </x:c>
      <x:c r="J694" s="14" t="n">
        <x:v>3</x:v>
      </x:c>
      <x:c r="K694" s="14" t="n">
        <x:v>0</x:v>
      </x:c>
      <x:c r="L694" s="15" t="n">
        <x:f>IF(J694=0,"해당 없음",K694/J694)</x:f>
        <x:v>0</x:v>
      </x:c>
      <x:c r="M694" s="14" t="n">
        <x:v>8</x:v>
      </x:c>
      <x:c r="N694" s="14" t="n">
        <x:v>4</x:v>
      </x:c>
      <x:c r="O694" s="15" t="n">
        <x:f>IF(M694=0,"해당 없음",N694/M694)</x:f>
        <x:v>0.5</x:v>
      </x:c>
      <x:c r="P694" s="14" t="n">
        <x:v>102</x:v>
      </x:c>
    </x:row>
    <x:row r="695" ht="22" customHeight="1">
      <x:c r="A695" s="14" t="n">
        <x:v>345</x:v>
      </x:c>
      <x:c r="B695" s="14" t="n">
        <x:v>9</x:v>
      </x:c>
      <x:c r="C695" s="14" t="n">
        <x:v>76012</x:v>
      </x:c>
      <x:c r="D695" s="2" t="str">
        <x:v>NAVY</x:v>
      </x:c>
      <x:c r="E695" s="2" t="str">
        <x:v>80만</x:v>
      </x:c>
      <x:c r="F695" s="2" t="str">
        <x:v>0만</x:v>
      </x:c>
      <x:c r="G695" s="2" t="str">
        <x:v>승</x:v>
      </x:c>
      <x:c r="H695" s="14" t="n">
        <x:v>7</x:v>
      </x:c>
      <x:c r="I695" s="14" t="n">
        <x:v>0</x:v>
      </x:c>
      <x:c r="J695" s="14" t="n">
        <x:v>11</x:v>
      </x:c>
      <x:c r="K695" s="14" t="n">
        <x:v>7</x:v>
      </x:c>
      <x:c r="L695" s="15" t="n">
        <x:f>IF(J695=0,"해당 없음",K695/J695)</x:f>
        <x:v>0.6363636363636364</x:v>
      </x:c>
      <x:c r="M695" s="14" t="n">
        <x:v>10</x:v>
      </x:c>
      <x:c r="N695" s="14" t="n">
        <x:v>9</x:v>
      </x:c>
      <x:c r="O695" s="15" t="n">
        <x:f>IF(M695=0,"해당 없음",N695/M695)</x:f>
        <x:v>0.9</x:v>
      </x:c>
      <x:c r="P695" s="14" t="n">
        <x:v>105</x:v>
      </x:c>
    </x:row>
    <x:row r="696" ht="22" customHeight="1">
      <x:c r="A696" s="14" t="n">
        <x:v>346</x:v>
      </x:c>
      <x:c r="B696" s="14" t="n">
        <x:v>9</x:v>
      </x:c>
      <x:c r="C696" s="14" t="n">
        <x:v>76012</x:v>
      </x:c>
      <x:c r="D696" s="2" t="str">
        <x:v>RED</x:v>
      </x:c>
      <x:c r="E696" s="2" t="str">
        <x:v>80만</x:v>
      </x:c>
      <x:c r="F696" s="2" t="str">
        <x:v>0만</x:v>
      </x:c>
      <x:c r="G696" s="2" t="str">
        <x:v>승</x:v>
      </x:c>
      <x:c r="H696" s="14" t="n">
        <x:v>8</x:v>
      </x:c>
      <x:c r="I696" s="14" t="n">
        <x:v>1</x:v>
      </x:c>
      <x:c r="J696" s="14" t="n">
        <x:v>13</x:v>
      </x:c>
      <x:c r="K696" s="14" t="n">
        <x:v>8</x:v>
      </x:c>
      <x:c r="L696" s="15" t="n">
        <x:f>IF(J696=0,"해당 없음",K696/J696)</x:f>
        <x:v>0.6153846153846154</x:v>
      </x:c>
      <x:c r="M696" s="14" t="n">
        <x:v>5</x:v>
      </x:c>
      <x:c r="N696" s="14" t="n">
        <x:v>4</x:v>
      </x:c>
      <x:c r="O696" s="15" t="n">
        <x:f>IF(M696=0,"해당 없음",N696/M696)</x:f>
        <x:v>0.8</x:v>
      </x:c>
      <x:c r="P696" s="14" t="n">
        <x:v>106</x:v>
      </x:c>
    </x:row>
    <x:row r="697" ht="22" customHeight="1">
      <x:c r="A697" s="14" t="n">
        <x:v>346</x:v>
      </x:c>
      <x:c r="B697" s="14" t="n">
        <x:v>9</x:v>
      </x:c>
      <x:c r="C697" s="14" t="n">
        <x:v>76012</x:v>
      </x:c>
      <x:c r="D697" s="2" t="str">
        <x:v>NAVY</x:v>
      </x:c>
      <x:c r="E697" s="2" t="str">
        <x:v>0만</x:v>
      </x:c>
      <x:c r="F697" s="2" t="str">
        <x:v>80만</x:v>
      </x:c>
      <x:c r="G697" s="2" t="str">
        <x:v>패</x:v>
      </x:c>
      <x:c r="H697" s="14" t="n">
        <x:v>1</x:v>
      </x:c>
      <x:c r="I697" s="14" t="n">
        <x:v>8</x:v>
      </x:c>
      <x:c r="J697" s="14" t="n">
        <x:v>3</x:v>
      </x:c>
      <x:c r="K697" s="14" t="n">
        <x:v>1</x:v>
      </x:c>
      <x:c r="L697" s="15" t="n">
        <x:f>IF(J697=0,"해당 없음",K697/J697)</x:f>
        <x:v>0.3333333333333333</x:v>
      </x:c>
      <x:c r="M697" s="14" t="n">
        <x:v>5</x:v>
      </x:c>
      <x:c r="N697" s="14" t="n">
        <x:v>2</x:v>
      </x:c>
      <x:c r="O697" s="15" t="n">
        <x:f>IF(M697=0,"해당 없음",N697/M697)</x:f>
        <x:v>0.4</x:v>
      </x:c>
      <x:c r="P697" s="14" t="n">
        <x:v>106</x:v>
      </x:c>
    </x:row>
    <x:row r="698" ht="22" customHeight="1">
      <x:c r="A698" s="14" t="n">
        <x:v>347</x:v>
      </x:c>
      <x:c r="B698" s="14" t="n">
        <x:v>9</x:v>
      </x:c>
      <x:c r="C698" s="14" t="n">
        <x:v>76013</x:v>
      </x:c>
      <x:c r="D698" s="2" t="str">
        <x:v>RED</x:v>
      </x:c>
      <x:c r="E698" s="2" t="str">
        <x:v>0만</x:v>
      </x:c>
      <x:c r="F698" s="2" t="str">
        <x:v>80만</x:v>
      </x:c>
      <x:c r="G698" s="2" t="str">
        <x:v>패</x:v>
      </x:c>
      <x:c r="H698" s="14" t="n">
        <x:v>2</x:v>
      </x:c>
      <x:c r="I698" s="14" t="n">
        <x:v>6</x:v>
      </x:c>
      <x:c r="J698" s="14" t="n">
        <x:v>5</x:v>
      </x:c>
      <x:c r="K698" s="14" t="n">
        <x:v>2</x:v>
      </x:c>
      <x:c r="L698" s="15" t="n">
        <x:f>IF(J698=0,"해당 없음",K698/J698)</x:f>
        <x:v>0.4</x:v>
      </x:c>
      <x:c r="M698" s="14" t="n">
        <x:v>6</x:v>
      </x:c>
      <x:c r="N698" s="14" t="n">
        <x:v>5</x:v>
      </x:c>
      <x:c r="O698" s="15" t="n">
        <x:f>IF(M698=0,"해당 없음",N698/M698)</x:f>
        <x:v>0.8333333333333334</x:v>
      </x:c>
      <x:c r="P698" s="14" t="n">
        <x:v>103</x:v>
      </x:c>
    </x:row>
    <x:row r="699" ht="22" customHeight="1">
      <x:c r="A699" s="14" t="n">
        <x:v>347</x:v>
      </x:c>
      <x:c r="B699" s="14" t="n">
        <x:v>9</x:v>
      </x:c>
      <x:c r="C699" s="14" t="n">
        <x:v>76013</x:v>
      </x:c>
      <x:c r="D699" s="2" t="str">
        <x:v>NAVY</x:v>
      </x:c>
      <x:c r="E699" s="2" t="str">
        <x:v>80만</x:v>
      </x:c>
      <x:c r="F699" s="2" t="str">
        <x:v>0만</x:v>
      </x:c>
      <x:c r="G699" s="2" t="str">
        <x:v>승</x:v>
      </x:c>
      <x:c r="H699" s="14" t="n">
        <x:v>6</x:v>
      </x:c>
      <x:c r="I699" s="14" t="n">
        <x:v>2</x:v>
      </x:c>
      <x:c r="J699" s="14" t="n">
        <x:v>12</x:v>
      </x:c>
      <x:c r="K699" s="14" t="n">
        <x:v>6</x:v>
      </x:c>
      <x:c r="L699" s="15" t="n">
        <x:f>IF(J699=0,"해당 없음",K699/J699)</x:f>
        <x:v>0.5</x:v>
      </x:c>
      <x:c r="M699" s="14" t="n">
        <x:v>7</x:v>
      </x:c>
      <x:c r="N699" s="14" t="n">
        <x:v>6</x:v>
      </x:c>
      <x:c r="O699" s="15" t="n">
        <x:f>IF(M699=0,"해당 없음",N699/M699)</x:f>
        <x:v>0.8571428571428571</x:v>
      </x:c>
      <x:c r="P699" s="14" t="n">
        <x:v>103</x:v>
      </x:c>
    </x:row>
    <x:row r="700" ht="22" customHeight="1">
      <x:c r="A700" s="14" t="n">
        <x:v>348</x:v>
      </x:c>
      <x:c r="B700" s="14" t="n">
        <x:v>9</x:v>
      </x:c>
      <x:c r="C700" s="14" t="n">
        <x:v>76013</x:v>
      </x:c>
      <x:c r="D700" s="2" t="str">
        <x:v>RED</x:v>
      </x:c>
      <x:c r="E700" s="2" t="str">
        <x:v>80만</x:v>
      </x:c>
      <x:c r="F700" s="2" t="str">
        <x:v>0만</x:v>
      </x:c>
      <x:c r="G700" s="2" t="str">
        <x:v>승</x:v>
      </x:c>
      <x:c r="H700" s="14" t="n">
        <x:v>5</x:v>
      </x:c>
      <x:c r="I700" s="14" t="n">
        <x:v>3</x:v>
      </x:c>
      <x:c r="J700" s="14" t="n">
        <x:v>7</x:v>
      </x:c>
      <x:c r="K700" s="14" t="n">
        <x:v>5</x:v>
      </x:c>
      <x:c r="L700" s="15" t="n">
        <x:f>IF(J700=0,"해당 없음",K700/J700)</x:f>
        <x:v>0.7142857142857143</x:v>
      </x:c>
      <x:c r="M700" s="14" t="n">
        <x:v>6</x:v>
      </x:c>
      <x:c r="N700" s="14" t="n">
        <x:v>6</x:v>
      </x:c>
      <x:c r="O700" s="15" t="n">
        <x:f>IF(M700=0,"해당 없음",N700/M700)</x:f>
        <x:v>1</x:v>
      </x:c>
      <x:c r="P700" s="14" t="n">
        <x:v>104</x:v>
      </x:c>
    </x:row>
    <x:row r="701" ht="22" customHeight="1">
      <x:c r="A701" s="14" t="n">
        <x:v>348</x:v>
      </x:c>
      <x:c r="B701" s="14" t="n">
        <x:v>9</x:v>
      </x:c>
      <x:c r="C701" s="14" t="n">
        <x:v>76013</x:v>
      </x:c>
      <x:c r="D701" s="2" t="str">
        <x:v>NAVY</x:v>
      </x:c>
      <x:c r="E701" s="2" t="str">
        <x:v>0만</x:v>
      </x:c>
      <x:c r="F701" s="2" t="str">
        <x:v>80만</x:v>
      </x:c>
      <x:c r="G701" s="2" t="str">
        <x:v>패</x:v>
      </x:c>
      <x:c r="H701" s="14" t="n">
        <x:v>3</x:v>
      </x:c>
      <x:c r="I701" s="14" t="n">
        <x:v>5</x:v>
      </x:c>
      <x:c r="J701" s="14" t="n">
        <x:v>7</x:v>
      </x:c>
      <x:c r="K701" s="14" t="n">
        <x:v>3</x:v>
      </x:c>
      <x:c r="L701" s="15" t="n">
        <x:f>IF(J701=0,"해당 없음",K701/J701)</x:f>
        <x:v>0.42857142857142855</x:v>
      </x:c>
      <x:c r="M701" s="14" t="n">
        <x:v>5</x:v>
      </x:c>
      <x:c r="N701" s="14" t="n">
        <x:v>4</x:v>
      </x:c>
      <x:c r="O701" s="15" t="n">
        <x:f>IF(M701=0,"해당 없음",N701/M701)</x:f>
        <x:v>0.8</x:v>
      </x:c>
      <x:c r="P701" s="14" t="n">
        <x:v>106</x:v>
      </x:c>
    </x:row>
    <x:row r="702" ht="22" customHeight="1">
      <x:c r="A702" s="14" t="n">
        <x:v>349</x:v>
      </x:c>
      <x:c r="B702" s="14" t="n">
        <x:v>9</x:v>
      </x:c>
      <x:c r="C702" s="14" t="n">
        <x:v>76014</x:v>
      </x:c>
      <x:c r="D702" s="2" t="str">
        <x:v>RED</x:v>
      </x:c>
      <x:c r="E702" s="2" t="str">
        <x:v>0만</x:v>
      </x:c>
      <x:c r="F702" s="2" t="str">
        <x:v>80만</x:v>
      </x:c>
      <x:c r="G702" s="2" t="str">
        <x:v>패</x:v>
      </x:c>
      <x:c r="H702" s="14" t="n">
        <x:v>2</x:v>
      </x:c>
      <x:c r="I702" s="14" t="n">
        <x:v>5</x:v>
      </x:c>
      <x:c r="J702" s="14" t="n">
        <x:v>6</x:v>
      </x:c>
      <x:c r="K702" s="14" t="n">
        <x:v>2</x:v>
      </x:c>
      <x:c r="L702" s="15" t="n">
        <x:f>IF(J702=0,"해당 없음",K702/J702)</x:f>
        <x:v>0.3333333333333333</x:v>
      </x:c>
      <x:c r="M702" s="14" t="n">
        <x:v>6</x:v>
      </x:c>
      <x:c r="N702" s="14" t="n">
        <x:v>5</x:v>
      </x:c>
      <x:c r="O702" s="15" t="n">
        <x:f>IF(M702=0,"해당 없음",N702/M702)</x:f>
        <x:v>0.8333333333333334</x:v>
      </x:c>
      <x:c r="P702" s="14" t="n">
        <x:v>104</x:v>
      </x:c>
    </x:row>
    <x:row r="703" ht="22" customHeight="1">
      <x:c r="A703" s="14" t="n">
        <x:v>349</x:v>
      </x:c>
      <x:c r="B703" s="14" t="n">
        <x:v>9</x:v>
      </x:c>
      <x:c r="C703" s="14" t="n">
        <x:v>76014</x:v>
      </x:c>
      <x:c r="D703" s="2" t="str">
        <x:v>NAVY</x:v>
      </x:c>
      <x:c r="E703" s="2" t="str">
        <x:v>80만</x:v>
      </x:c>
      <x:c r="F703" s="2" t="str">
        <x:v>0만</x:v>
      </x:c>
      <x:c r="G703" s="2" t="str">
        <x:v>승</x:v>
      </x:c>
      <x:c r="H703" s="14" t="n">
        <x:v>5</x:v>
      </x:c>
      <x:c r="I703" s="14" t="n">
        <x:v>2</x:v>
      </x:c>
      <x:c r="J703" s="14" t="n">
        <x:v>13</x:v>
      </x:c>
      <x:c r="K703" s="14" t="n">
        <x:v>5</x:v>
      </x:c>
      <x:c r="L703" s="15" t="n">
        <x:f>IF(J703=0,"해당 없음",K703/J703)</x:f>
        <x:v>0.38461538461538464</x:v>
      </x:c>
      <x:c r="M703" s="14" t="n">
        <x:v>10</x:v>
      </x:c>
      <x:c r="N703" s="14" t="n">
        <x:v>9</x:v>
      </x:c>
      <x:c r="O703" s="15" t="n">
        <x:f>IF(M703=0,"해당 없음",N703/M703)</x:f>
        <x:v>0.9</x:v>
      </x:c>
      <x:c r="P703" s="14" t="n">
        <x:v>104</x:v>
      </x:c>
    </x:row>
    <x:row r="704" ht="22" customHeight="1">
      <x:c r="A704" s="14" t="n">
        <x:v>350</x:v>
      </x:c>
      <x:c r="B704" s="14" t="n">
        <x:v>9</x:v>
      </x:c>
      <x:c r="C704" s="14" t="n">
        <x:v>76014</x:v>
      </x:c>
      <x:c r="D704" s="2" t="str">
        <x:v>RED</x:v>
      </x:c>
      <x:c r="E704" s="2" t="str">
        <x:v>80만</x:v>
      </x:c>
      <x:c r="F704" s="2" t="str">
        <x:v>0만</x:v>
      </x:c>
      <x:c r="G704" s="2" t="str">
        <x:v>승</x:v>
      </x:c>
      <x:c r="H704" s="14" t="n">
        <x:v>8</x:v>
      </x:c>
      <x:c r="I704" s="14" t="n">
        <x:v>1</x:v>
      </x:c>
      <x:c r="J704" s="14" t="n">
        <x:v>13</x:v>
      </x:c>
      <x:c r="K704" s="14" t="n">
        <x:v>8</x:v>
      </x:c>
      <x:c r="L704" s="15" t="n">
        <x:f>IF(J704=0,"해당 없음",K704/J704)</x:f>
        <x:v>0.6153846153846154</x:v>
      </x:c>
      <x:c r="M704" s="14" t="n">
        <x:v>6</x:v>
      </x:c>
      <x:c r="N704" s="14" t="n">
        <x:v>4</x:v>
      </x:c>
      <x:c r="O704" s="15" t="n">
        <x:f>IF(M704=0,"해당 없음",N704/M704)</x:f>
        <x:v>0.6666666666666666</x:v>
      </x:c>
      <x:c r="P704" s="14" t="n">
        <x:v>103</x:v>
      </x:c>
    </x:row>
    <x:row r="705" ht="22" customHeight="1">
      <x:c r="A705" s="14" t="n">
        <x:v>350</x:v>
      </x:c>
      <x:c r="B705" s="14" t="n">
        <x:v>9</x:v>
      </x:c>
      <x:c r="C705" s="14" t="n">
        <x:v>76014</x:v>
      </x:c>
      <x:c r="D705" s="2" t="str">
        <x:v>NAVY</x:v>
      </x:c>
      <x:c r="E705" s="2" t="str">
        <x:v>0만</x:v>
      </x:c>
      <x:c r="F705" s="2" t="str">
        <x:v>80만</x:v>
      </x:c>
      <x:c r="G705" s="2" t="str">
        <x:v>패</x:v>
      </x:c>
      <x:c r="H705" s="14" t="n">
        <x:v>1</x:v>
      </x:c>
      <x:c r="I705" s="14" t="n">
        <x:v>8</x:v>
      </x:c>
      <x:c r="J705" s="14" t="n">
        <x:v>7</x:v>
      </x:c>
      <x:c r="K705" s="14" t="n">
        <x:v>1</x:v>
      </x:c>
      <x:c r="L705" s="15" t="n">
        <x:f>IF(J705=0,"해당 없음",K705/J705)</x:f>
        <x:v>0.14285714285714285</x:v>
      </x:c>
      <x:c r="M705" s="14" t="n">
        <x:v>5</x:v>
      </x:c>
      <x:c r="N705" s="14" t="n">
        <x:v>4</x:v>
      </x:c>
      <x:c r="O705" s="15" t="n">
        <x:f>IF(M705=0,"해당 없음",N705/M705)</x:f>
        <x:v>0.8</x:v>
      </x:c>
      <x:c r="P705" s="14" t="n">
        <x:v>103</x:v>
      </x:c>
    </x:row>
    <x:row r="706" ht="22" customHeight="1">
      <x:c r="A706" s="14" t="n">
        <x:v>351</x:v>
      </x:c>
      <x:c r="B706" s="14" t="n">
        <x:v>9</x:v>
      </x:c>
      <x:c r="C706" s="14" t="n">
        <x:v>76015</x:v>
      </x:c>
      <x:c r="D706" s="2" t="str">
        <x:v>RED</x:v>
      </x:c>
      <x:c r="E706" s="2" t="str">
        <x:v>0만</x:v>
      </x:c>
      <x:c r="F706" s="2" t="str">
        <x:v>80만</x:v>
      </x:c>
      <x:c r="G706" s="2" t="str">
        <x:v>패</x:v>
      </x:c>
      <x:c r="H706" s="14" t="n">
        <x:v>2</x:v>
      </x:c>
      <x:c r="I706" s="14" t="n">
        <x:v>6</x:v>
      </x:c>
      <x:c r="J706" s="14" t="n">
        <x:v>5</x:v>
      </x:c>
      <x:c r="K706" s="14" t="n">
        <x:v>2</x:v>
      </x:c>
      <x:c r="L706" s="15" t="n">
        <x:f>IF(J706=0,"해당 없음",K706/J706)</x:f>
        <x:v>0.4</x:v>
      </x:c>
      <x:c r="M706" s="14" t="n">
        <x:v>11</x:v>
      </x:c>
      <x:c r="N706" s="14" t="n">
        <x:v>8</x:v>
      </x:c>
      <x:c r="O706" s="15" t="n">
        <x:f>IF(M706=0,"해당 없음",N706/M706)</x:f>
        <x:v>0.7272727272727273</x:v>
      </x:c>
      <x:c r="P706" s="14" t="n">
        <x:v>104</x:v>
      </x:c>
    </x:row>
    <x:row r="707" ht="22" customHeight="1">
      <x:c r="A707" s="14" t="n">
        <x:v>351</x:v>
      </x:c>
      <x:c r="B707" s="14" t="n">
        <x:v>9</x:v>
      </x:c>
      <x:c r="C707" s="14" t="n">
        <x:v>76015</x:v>
      </x:c>
      <x:c r="D707" s="2" t="str">
        <x:v>NAVY</x:v>
      </x:c>
      <x:c r="E707" s="2" t="str">
        <x:v>80만</x:v>
      </x:c>
      <x:c r="F707" s="2" t="str">
        <x:v>0만</x:v>
      </x:c>
      <x:c r="G707" s="2" t="str">
        <x:v>승</x:v>
      </x:c>
      <x:c r="H707" s="14" t="n">
        <x:v>6</x:v>
      </x:c>
      <x:c r="I707" s="14" t="n">
        <x:v>2</x:v>
      </x:c>
      <x:c r="J707" s="14" t="n">
        <x:v>13</x:v>
      </x:c>
      <x:c r="K707" s="14" t="n">
        <x:v>6</x:v>
      </x:c>
      <x:c r="L707" s="15" t="n">
        <x:f>IF(J707=0,"해당 없음",K707/J707)</x:f>
        <x:v>0.46153846153846156</x:v>
      </x:c>
      <x:c r="M707" s="14" t="n">
        <x:v>5</x:v>
      </x:c>
      <x:c r="N707" s="14" t="n">
        <x:v>5</x:v>
      </x:c>
      <x:c r="O707" s="15" t="n">
        <x:f>IF(M707=0,"해당 없음",N707/M707)</x:f>
        <x:v>1</x:v>
      </x:c>
      <x:c r="P707" s="14" t="n">
        <x:v>103</x:v>
      </x:c>
    </x:row>
    <x:row r="708" ht="22" customHeight="1">
      <x:c r="A708" s="14" t="n">
        <x:v>352</x:v>
      </x:c>
      <x:c r="B708" s="14" t="n">
        <x:v>9</x:v>
      </x:c>
      <x:c r="C708" s="14" t="n">
        <x:v>76015</x:v>
      </x:c>
      <x:c r="D708" s="2" t="str">
        <x:v>RED</x:v>
      </x:c>
      <x:c r="E708" s="2" t="str">
        <x:v>80만</x:v>
      </x:c>
      <x:c r="F708" s="2" t="str">
        <x:v>0만</x:v>
      </x:c>
      <x:c r="G708" s="2" t="str">
        <x:v>승</x:v>
      </x:c>
      <x:c r="H708" s="14" t="n">
        <x:v>6</x:v>
      </x:c>
      <x:c r="I708" s="14" t="n">
        <x:v>1</x:v>
      </x:c>
      <x:c r="J708" s="14" t="n">
        <x:v>15</x:v>
      </x:c>
      <x:c r="K708" s="14" t="n">
        <x:v>6</x:v>
      </x:c>
      <x:c r="L708" s="15" t="n">
        <x:f>IF(J708=0,"해당 없음",K708/J708)</x:f>
        <x:v>0.4</x:v>
      </x:c>
      <x:c r="M708" s="14" t="n">
        <x:v>8</x:v>
      </x:c>
      <x:c r="N708" s="14" t="n">
        <x:v>8</x:v>
      </x:c>
      <x:c r="O708" s="15" t="n">
        <x:f>IF(M708=0,"해당 없음",N708/M708)</x:f>
        <x:v>1</x:v>
      </x:c>
      <x:c r="P708" s="14" t="n">
        <x:v>105</x:v>
      </x:c>
    </x:row>
    <x:row r="709" ht="22" customHeight="1">
      <x:c r="A709" s="14" t="n">
        <x:v>352</x:v>
      </x:c>
      <x:c r="B709" s="14" t="n">
        <x:v>9</x:v>
      </x:c>
      <x:c r="C709" s="14" t="n">
        <x:v>76015</x:v>
      </x:c>
      <x:c r="D709" s="2" t="str">
        <x:v>NAVY</x:v>
      </x:c>
      <x:c r="E709" s="2" t="str">
        <x:v>0만</x:v>
      </x:c>
      <x:c r="F709" s="2" t="str">
        <x:v>80만</x:v>
      </x:c>
      <x:c r="G709" s="2" t="str">
        <x:v>패</x:v>
      </x:c>
      <x:c r="H709" s="14" t="n">
        <x:v>1</x:v>
      </x:c>
      <x:c r="I709" s="14" t="n">
        <x:v>6</x:v>
      </x:c>
      <x:c r="J709" s="14" t="n">
        <x:v>3</x:v>
      </x:c>
      <x:c r="K709" s="14" t="n">
        <x:v>1</x:v>
      </x:c>
      <x:c r="L709" s="15" t="n">
        <x:f>IF(J709=0,"해당 없음",K709/J709)</x:f>
        <x:v>0.3333333333333333</x:v>
      </x:c>
      <x:c r="M709" s="14" t="n">
        <x:v>10</x:v>
      </x:c>
      <x:c r="N709" s="14" t="n">
        <x:v>9</x:v>
      </x:c>
      <x:c r="O709" s="15" t="n">
        <x:f>IF(M709=0,"해당 없음",N709/M709)</x:f>
        <x:v>0.9</x:v>
      </x:c>
      <x:c r="P709" s="14" t="n">
        <x:v>105</x:v>
      </x:c>
    </x:row>
    <x:row r="710" ht="22" customHeight="1">
      <x:c r="A710" s="14" t="n">
        <x:v>353</x:v>
      </x:c>
      <x:c r="B710" s="14" t="n">
        <x:v>9</x:v>
      </x:c>
      <x:c r="C710" s="14" t="n">
        <x:v>76016</x:v>
      </x:c>
      <x:c r="D710" s="2" t="str">
        <x:v>RED</x:v>
      </x:c>
      <x:c r="E710" s="2" t="str">
        <x:v>0만</x:v>
      </x:c>
      <x:c r="F710" s="2" t="str">
        <x:v>80만</x:v>
      </x:c>
      <x:c r="G710" s="2" t="str">
        <x:v>패</x:v>
      </x:c>
      <x:c r="H710" s="14" t="n">
        <x:v>4</x:v>
      </x:c>
      <x:c r="I710" s="14" t="n">
        <x:v>6</x:v>
      </x:c>
      <x:c r="J710" s="14" t="n">
        <x:v>8</x:v>
      </x:c>
      <x:c r="K710" s="14" t="n">
        <x:v>4</x:v>
      </x:c>
      <x:c r="L710" s="15" t="n">
        <x:f>IF(J710=0,"해당 없음",K710/J710)</x:f>
        <x:v>0.5</x:v>
      </x:c>
      <x:c r="M710" s="14" t="n">
        <x:v>7</x:v>
      </x:c>
      <x:c r="N710" s="14" t="n">
        <x:v>6</x:v>
      </x:c>
      <x:c r="O710" s="15" t="n">
        <x:f>IF(M710=0,"해당 없음",N710/M710)</x:f>
        <x:v>0.8571428571428571</x:v>
      </x:c>
      <x:c r="P710" s="14" t="n">
        <x:v>108</x:v>
      </x:c>
    </x:row>
    <x:row r="711" ht="22" customHeight="1">
      <x:c r="A711" s="14" t="n">
        <x:v>353</x:v>
      </x:c>
      <x:c r="B711" s="14" t="n">
        <x:v>9</x:v>
      </x:c>
      <x:c r="C711" s="14" t="n">
        <x:v>76016</x:v>
      </x:c>
      <x:c r="D711" s="2" t="str">
        <x:v>NAVY</x:v>
      </x:c>
      <x:c r="E711" s="2" t="str">
        <x:v>80만</x:v>
      </x:c>
      <x:c r="F711" s="2" t="str">
        <x:v>0만</x:v>
      </x:c>
      <x:c r="G711" s="2" t="str">
        <x:v>승</x:v>
      </x:c>
      <x:c r="H711" s="14" t="n">
        <x:v>6</x:v>
      </x:c>
      <x:c r="I711" s="14" t="n">
        <x:v>4</x:v>
      </x:c>
      <x:c r="J711" s="14" t="n">
        <x:v>12</x:v>
      </x:c>
      <x:c r="K711" s="14" t="n">
        <x:v>6</x:v>
      </x:c>
      <x:c r="L711" s="15" t="n">
        <x:f>IF(J711=0,"해당 없음",K711/J711)</x:f>
        <x:v>0.5</x:v>
      </x:c>
      <x:c r="M711" s="14" t="n">
        <x:v>5</x:v>
      </x:c>
      <x:c r="N711" s="14" t="n">
        <x:v>1</x:v>
      </x:c>
      <x:c r="O711" s="15" t="n">
        <x:f>IF(M711=0,"해당 없음",N711/M711)</x:f>
        <x:v>0.2</x:v>
      </x:c>
      <x:c r="P711" s="14" t="n">
        <x:v>107</x:v>
      </x:c>
    </x:row>
    <x:row r="712" ht="22" customHeight="1">
      <x:c r="A712" s="14" t="n">
        <x:v>354</x:v>
      </x:c>
      <x:c r="B712" s="14" t="n">
        <x:v>9</x:v>
      </x:c>
      <x:c r="C712" s="14" t="n">
        <x:v>76016</x:v>
      </x:c>
      <x:c r="D712" s="2" t="str">
        <x:v>RED</x:v>
      </x:c>
      <x:c r="E712" s="2" t="str">
        <x:v>80만</x:v>
      </x:c>
      <x:c r="F712" s="2" t="str">
        <x:v>0만</x:v>
      </x:c>
      <x:c r="G712" s="2" t="str">
        <x:v>패</x:v>
      </x:c>
      <x:c r="H712" s="14" t="n">
        <x:v>3</x:v>
      </x:c>
      <x:c r="I712" s="14" t="n">
        <x:v>4</x:v>
      </x:c>
      <x:c r="J712" s="14" t="n">
        <x:v>6</x:v>
      </x:c>
      <x:c r="K712" s="14" t="n">
        <x:v>3</x:v>
      </x:c>
      <x:c r="L712" s="15" t="n">
        <x:f>IF(J712=0,"해당 없음",K712/J712)</x:f>
        <x:v>0.5</x:v>
      </x:c>
      <x:c r="M712" s="14" t="n">
        <x:v>8</x:v>
      </x:c>
      <x:c r="N712" s="14" t="n">
        <x:v>5</x:v>
      </x:c>
      <x:c r="O712" s="15" t="n">
        <x:f>IF(M712=0,"해당 없음",N712/M712)</x:f>
        <x:v>0.625</x:v>
      </x:c>
      <x:c r="P712" s="14" t="n">
        <x:v>105</x:v>
      </x:c>
    </x:row>
    <x:row r="713" ht="22" customHeight="1">
      <x:c r="A713" s="14" t="n">
        <x:v>354</x:v>
      </x:c>
      <x:c r="B713" s="14" t="n">
        <x:v>9</x:v>
      </x:c>
      <x:c r="C713" s="14" t="n">
        <x:v>76016</x:v>
      </x:c>
      <x:c r="D713" s="2" t="str">
        <x:v>NAVY</x:v>
      </x:c>
      <x:c r="E713" s="2" t="str">
        <x:v>0만</x:v>
      </x:c>
      <x:c r="F713" s="2" t="str">
        <x:v>80만</x:v>
      </x:c>
      <x:c r="G713" s="2" t="str">
        <x:v>승</x:v>
      </x:c>
      <x:c r="H713" s="14" t="n">
        <x:v>4</x:v>
      </x:c>
      <x:c r="I713" s="14" t="n">
        <x:v>3</x:v>
      </x:c>
      <x:c r="J713" s="14" t="n">
        <x:v>8</x:v>
      </x:c>
      <x:c r="K713" s="14" t="n">
        <x:v>4</x:v>
      </x:c>
      <x:c r="L713" s="15" t="n">
        <x:f>IF(J713=0,"해당 없음",K713/J713)</x:f>
        <x:v>0.5</x:v>
      </x:c>
      <x:c r="M713" s="14" t="n">
        <x:v>7</x:v>
      </x:c>
      <x:c r="N713" s="14" t="n">
        <x:v>6</x:v>
      </x:c>
      <x:c r="O713" s="15" t="n">
        <x:f>IF(M713=0,"해당 없음",N713/M713)</x:f>
        <x:v>0.8571428571428571</x:v>
      </x:c>
      <x:c r="P713" s="14" t="n">
        <x:v>106</x:v>
      </x:c>
    </x:row>
    <x:row r="714" ht="22" customHeight="1">
      <x:c r="A714" s="14" t="n">
        <x:v>355</x:v>
      </x:c>
      <x:c r="B714" s="14" t="n">
        <x:v>9</x:v>
      </x:c>
      <x:c r="C714" s="14" t="n">
        <x:v>76017</x:v>
      </x:c>
      <x:c r="D714" s="2" t="str">
        <x:v>RED</x:v>
      </x:c>
      <x:c r="E714" s="2" t="str">
        <x:v>0만</x:v>
      </x:c>
      <x:c r="F714" s="2" t="str">
        <x:v>80만</x:v>
      </x:c>
      <x:c r="G714" s="2" t="str">
        <x:v>패</x:v>
      </x:c>
      <x:c r="H714" s="14" t="n">
        <x:v>0</x:v>
      </x:c>
      <x:c r="I714" s="14" t="n">
        <x:v>9</x:v>
      </x:c>
      <x:c r="J714" s="14" t="n">
        <x:v>2</x:v>
      </x:c>
      <x:c r="K714" s="14" t="n">
        <x:v>0</x:v>
      </x:c>
      <x:c r="L714" s="15" t="n">
        <x:f>IF(J714=0,"해당 없음",K714/J714)</x:f>
        <x:v>0</x:v>
      </x:c>
      <x:c r="M714" s="14" t="n">
        <x:v>9</x:v>
      </x:c>
      <x:c r="N714" s="14" t="n">
        <x:v>6</x:v>
      </x:c>
      <x:c r="O714" s="15" t="n">
        <x:f>IF(M714=0,"해당 없음",N714/M714)</x:f>
        <x:v>0.6666666666666666</x:v>
      </x:c>
      <x:c r="P714" s="14" t="n">
        <x:v>104</x:v>
      </x:c>
    </x:row>
    <x:row r="715" ht="22" customHeight="1">
      <x:c r="A715" s="14" t="n">
        <x:v>355</x:v>
      </x:c>
      <x:c r="B715" s="14" t="n">
        <x:v>9</x:v>
      </x:c>
      <x:c r="C715" s="14" t="n">
        <x:v>76017</x:v>
      </x:c>
      <x:c r="D715" s="2" t="str">
        <x:v>NAVY</x:v>
      </x:c>
      <x:c r="E715" s="2" t="str">
        <x:v>80만</x:v>
      </x:c>
      <x:c r="F715" s="2" t="str">
        <x:v>0만</x:v>
      </x:c>
      <x:c r="G715" s="2" t="str">
        <x:v>승</x:v>
      </x:c>
      <x:c r="H715" s="14" t="n">
        <x:v>9</x:v>
      </x:c>
      <x:c r="I715" s="14" t="n">
        <x:v>0</x:v>
      </x:c>
      <x:c r="J715" s="14" t="n">
        <x:v>15</x:v>
      </x:c>
      <x:c r="K715" s="14" t="n">
        <x:v>9</x:v>
      </x:c>
      <x:c r="L715" s="15" t="n">
        <x:f>IF(J715=0,"해당 없음",K715/J715)</x:f>
        <x:v>0.6</x:v>
      </x:c>
      <x:c r="M715" s="14" t="n">
        <x:v>8</x:v>
      </x:c>
      <x:c r="N715" s="14" t="n">
        <x:v>7</x:v>
      </x:c>
      <x:c r="O715" s="15" t="n">
        <x:f>IF(M715=0,"해당 없음",N715/M715)</x:f>
        <x:v>0.875</x:v>
      </x:c>
      <x:c r="P715" s="14" t="n">
        <x:v>105</x:v>
      </x:c>
    </x:row>
    <x:row r="716" ht="22" customHeight="1">
      <x:c r="A716" s="14" t="n">
        <x:v>356</x:v>
      </x:c>
      <x:c r="B716" s="14" t="n">
        <x:v>9</x:v>
      </x:c>
      <x:c r="C716" s="14" t="n">
        <x:v>76017</x:v>
      </x:c>
      <x:c r="D716" s="2" t="str">
        <x:v>RED</x:v>
      </x:c>
      <x:c r="E716" s="2" t="str">
        <x:v>80만</x:v>
      </x:c>
      <x:c r="F716" s="2" t="str">
        <x:v>0만</x:v>
      </x:c>
      <x:c r="G716" s="2" t="str">
        <x:v>승</x:v>
      </x:c>
      <x:c r="H716" s="14" t="n">
        <x:v>6</x:v>
      </x:c>
      <x:c r="I716" s="14" t="n">
        <x:v>1</x:v>
      </x:c>
      <x:c r="J716" s="14" t="n">
        <x:v>11</x:v>
      </x:c>
      <x:c r="K716" s="14" t="n">
        <x:v>6</x:v>
      </x:c>
      <x:c r="L716" s="15" t="n">
        <x:f>IF(J716=0,"해당 없음",K716/J716)</x:f>
        <x:v>0.5454545454545454</x:v>
      </x:c>
      <x:c r="M716" s="14" t="n">
        <x:v>8</x:v>
      </x:c>
      <x:c r="N716" s="14" t="n">
        <x:v>7</x:v>
      </x:c>
      <x:c r="O716" s="15" t="n">
        <x:f>IF(M716=0,"해당 없음",N716/M716)</x:f>
        <x:v>0.875</x:v>
      </x:c>
      <x:c r="P716" s="14" t="n">
        <x:v>103</x:v>
      </x:c>
    </x:row>
    <x:row r="717" ht="22" customHeight="1">
      <x:c r="A717" s="14" t="n">
        <x:v>356</x:v>
      </x:c>
      <x:c r="B717" s="14" t="n">
        <x:v>9</x:v>
      </x:c>
      <x:c r="C717" s="14" t="n">
        <x:v>76017</x:v>
      </x:c>
      <x:c r="D717" s="2" t="str">
        <x:v>NAVY</x:v>
      </x:c>
      <x:c r="E717" s="2" t="str">
        <x:v>0만</x:v>
      </x:c>
      <x:c r="F717" s="2" t="str">
        <x:v>80만</x:v>
      </x:c>
      <x:c r="G717" s="2" t="str">
        <x:v>패</x:v>
      </x:c>
      <x:c r="H717" s="14" t="n">
        <x:v>1</x:v>
      </x:c>
      <x:c r="I717" s="14" t="n">
        <x:v>6</x:v>
      </x:c>
      <x:c r="J717" s="14" t="n">
        <x:v>3</x:v>
      </x:c>
      <x:c r="K717" s="14" t="n">
        <x:v>1</x:v>
      </x:c>
      <x:c r="L717" s="15" t="n">
        <x:f>IF(J717=0,"해당 없음",K717/J717)</x:f>
        <x:v>0.3333333333333333</x:v>
      </x:c>
      <x:c r="M717" s="14" t="n">
        <x:v>7</x:v>
      </x:c>
      <x:c r="N717" s="14" t="n">
        <x:v>6</x:v>
      </x:c>
      <x:c r="O717" s="15" t="n">
        <x:f>IF(M717=0,"해당 없음",N717/M717)</x:f>
        <x:v>0.8571428571428571</x:v>
      </x:c>
      <x:c r="P717" s="14" t="n">
        <x:v>104</x:v>
      </x:c>
    </x:row>
    <x:row r="718" ht="22" customHeight="1">
      <x:c r="A718" s="14" t="n">
        <x:v>357</x:v>
      </x:c>
      <x:c r="B718" s="14" t="n">
        <x:v>9</x:v>
      </x:c>
      <x:c r="C718" s="14" t="n">
        <x:v>76018</x:v>
      </x:c>
      <x:c r="D718" s="2" t="str">
        <x:v>RED</x:v>
      </x:c>
      <x:c r="E718" s="2" t="str">
        <x:v>0만</x:v>
      </x:c>
      <x:c r="F718" s="2" t="str">
        <x:v>80만</x:v>
      </x:c>
      <x:c r="G718" s="2" t="str">
        <x:v>패</x:v>
      </x:c>
      <x:c r="H718" s="14" t="n">
        <x:v>3</x:v>
      </x:c>
      <x:c r="I718" s="14" t="n">
        <x:v>6</x:v>
      </x:c>
      <x:c r="J718" s="14" t="n">
        <x:v>5</x:v>
      </x:c>
      <x:c r="K718" s="14" t="n">
        <x:v>3</x:v>
      </x:c>
      <x:c r="L718" s="15" t="n">
        <x:f>IF(J718=0,"해당 없음",K718/J718)</x:f>
        <x:v>0.6</x:v>
      </x:c>
      <x:c r="M718" s="14" t="n">
        <x:v>3</x:v>
      </x:c>
      <x:c r="N718" s="14" t="n">
        <x:v>3</x:v>
      </x:c>
      <x:c r="O718" s="15" t="n">
        <x:f>IF(M718=0,"해당 없음",N718/M718)</x:f>
        <x:v>1</x:v>
      </x:c>
      <x:c r="P718" s="14" t="n">
        <x:v>106</x:v>
      </x:c>
    </x:row>
    <x:row r="719" ht="22" customHeight="1">
      <x:c r="A719" s="14" t="n">
        <x:v>357</x:v>
      </x:c>
      <x:c r="B719" s="14" t="n">
        <x:v>9</x:v>
      </x:c>
      <x:c r="C719" s="14" t="n">
        <x:v>76018</x:v>
      </x:c>
      <x:c r="D719" s="2" t="str">
        <x:v>NAVY</x:v>
      </x:c>
      <x:c r="E719" s="2" t="str">
        <x:v>80만</x:v>
      </x:c>
      <x:c r="F719" s="2" t="str">
        <x:v>0만</x:v>
      </x:c>
      <x:c r="G719" s="2" t="str">
        <x:v>승</x:v>
      </x:c>
      <x:c r="H719" s="14" t="n">
        <x:v>6</x:v>
      </x:c>
      <x:c r="I719" s="14" t="n">
        <x:v>3</x:v>
      </x:c>
      <x:c r="J719" s="14" t="n">
        <x:v>10</x:v>
      </x:c>
      <x:c r="K719" s="14" t="n">
        <x:v>6</x:v>
      </x:c>
      <x:c r="L719" s="15" t="n">
        <x:f>IF(J719=0,"해당 없음",K719/J719)</x:f>
        <x:v>0.6</x:v>
      </x:c>
      <x:c r="M719" s="14" t="n">
        <x:v>4</x:v>
      </x:c>
      <x:c r="N719" s="14" t="n">
        <x:v>4</x:v>
      </x:c>
      <x:c r="O719" s="15" t="n">
        <x:f>IF(M719=0,"해당 없음",N719/M719)</x:f>
        <x:v>1</x:v>
      </x:c>
      <x:c r="P719" s="14" t="n">
        <x:v>106</x:v>
      </x:c>
    </x:row>
    <x:row r="720" ht="22" customHeight="1">
      <x:c r="A720" s="14" t="n">
        <x:v>358</x:v>
      </x:c>
      <x:c r="B720" s="14" t="n">
        <x:v>9</x:v>
      </x:c>
      <x:c r="C720" s="14" t="n">
        <x:v>76018</x:v>
      </x:c>
      <x:c r="D720" s="2" t="str">
        <x:v>RED</x:v>
      </x:c>
      <x:c r="E720" s="2" t="str">
        <x:v>80만</x:v>
      </x:c>
      <x:c r="F720" s="2" t="str">
        <x:v>0만</x:v>
      </x:c>
      <x:c r="G720" s="2" t="str">
        <x:v>승</x:v>
      </x:c>
      <x:c r="H720" s="14" t="n">
        <x:v>6</x:v>
      </x:c>
      <x:c r="I720" s="14" t="n">
        <x:v>0</x:v>
      </x:c>
      <x:c r="J720" s="14" t="n">
        <x:v>13</x:v>
      </x:c>
      <x:c r="K720" s="14" t="n">
        <x:v>6</x:v>
      </x:c>
      <x:c r="L720" s="15" t="n">
        <x:f>IF(J720=0,"해당 없음",K720/J720)</x:f>
        <x:v>0.46153846153846156</x:v>
      </x:c>
      <x:c r="M720" s="14" t="n">
        <x:v>10</x:v>
      </x:c>
      <x:c r="N720" s="14" t="n">
        <x:v>9</x:v>
      </x:c>
      <x:c r="O720" s="15" t="n">
        <x:f>IF(M720=0,"해당 없음",N720/M720)</x:f>
        <x:v>0.9</x:v>
      </x:c>
      <x:c r="P720" s="14" t="n">
        <x:v>104</x:v>
      </x:c>
    </x:row>
    <x:row r="721" ht="22" customHeight="1">
      <x:c r="A721" s="14" t="n">
        <x:v>358</x:v>
      </x:c>
      <x:c r="B721" s="14" t="n">
        <x:v>9</x:v>
      </x:c>
      <x:c r="C721" s="14" t="n">
        <x:v>76018</x:v>
      </x:c>
      <x:c r="D721" s="2" t="str">
        <x:v>NAVY</x:v>
      </x:c>
      <x:c r="E721" s="2" t="str">
        <x:v>0만</x:v>
      </x:c>
      <x:c r="F721" s="2" t="str">
        <x:v>80만</x:v>
      </x:c>
      <x:c r="G721" s="2" t="str">
        <x:v>패</x:v>
      </x:c>
      <x:c r="H721" s="14" t="n">
        <x:v>0</x:v>
      </x:c>
      <x:c r="I721" s="14" t="n">
        <x:v>6</x:v>
      </x:c>
      <x:c r="J721" s="14" t="n">
        <x:v>8</x:v>
      </x:c>
      <x:c r="K721" s="14" t="n">
        <x:v>0</x:v>
      </x:c>
      <x:c r="L721" s="15" t="n">
        <x:f>IF(J721=0,"해당 없음",K721/J721)</x:f>
        <x:v>0</x:v>
      </x:c>
      <x:c r="M721" s="14" t="n">
        <x:v>8</x:v>
      </x:c>
      <x:c r="N721" s="14" t="n">
        <x:v>7</x:v>
      </x:c>
      <x:c r="O721" s="15" t="n">
        <x:f>IF(M721=0,"해당 없음",N721/M721)</x:f>
        <x:v>0.875</x:v>
      </x:c>
      <x:c r="P721" s="14" t="n">
        <x:v>104</x:v>
      </x:c>
    </x:row>
    <x:row r="722" ht="22" customHeight="1">
      <x:c r="A722" s="14" t="n">
        <x:v>359</x:v>
      </x:c>
      <x:c r="B722" s="14" t="n">
        <x:v>9</x:v>
      </x:c>
      <x:c r="C722" s="14" t="n">
        <x:v>76019</x:v>
      </x:c>
      <x:c r="D722" s="2" t="str">
        <x:v>RED</x:v>
      </x:c>
      <x:c r="E722" s="2" t="str">
        <x:v>0만</x:v>
      </x:c>
      <x:c r="F722" s="2" t="str">
        <x:v>80만</x:v>
      </x:c>
      <x:c r="G722" s="2" t="str">
        <x:v>패</x:v>
      </x:c>
      <x:c r="H722" s="14" t="n">
        <x:v>1</x:v>
      </x:c>
      <x:c r="I722" s="14" t="n">
        <x:v>8</x:v>
      </x:c>
      <x:c r="J722" s="14" t="n">
        <x:v>2</x:v>
      </x:c>
      <x:c r="K722" s="14" t="n">
        <x:v>1</x:v>
      </x:c>
      <x:c r="L722" s="15" t="n">
        <x:f>IF(J722=0,"해당 없음",K722/J722)</x:f>
        <x:v>0.5</x:v>
      </x:c>
      <x:c r="M722" s="14" t="n">
        <x:v>6</x:v>
      </x:c>
      <x:c r="N722" s="14" t="n">
        <x:v>6</x:v>
      </x:c>
      <x:c r="O722" s="15" t="n">
        <x:f>IF(M722=0,"해당 없음",N722/M722)</x:f>
        <x:v>1</x:v>
      </x:c>
      <x:c r="P722" s="14" t="n">
        <x:v>105</x:v>
      </x:c>
    </x:row>
    <x:row r="723" ht="22" customHeight="1">
      <x:c r="A723" s="14" t="n">
        <x:v>359</x:v>
      </x:c>
      <x:c r="B723" s="14" t="n">
        <x:v>9</x:v>
      </x:c>
      <x:c r="C723" s="14" t="n">
        <x:v>76019</x:v>
      </x:c>
      <x:c r="D723" s="2" t="str">
        <x:v>NAVY</x:v>
      </x:c>
      <x:c r="E723" s="2" t="str">
        <x:v>80만</x:v>
      </x:c>
      <x:c r="F723" s="2" t="str">
        <x:v>0만</x:v>
      </x:c>
      <x:c r="G723" s="2" t="str">
        <x:v>승</x:v>
      </x:c>
      <x:c r="H723" s="14" t="n">
        <x:v>8</x:v>
      </x:c>
      <x:c r="I723" s="14" t="n">
        <x:v>1</x:v>
      </x:c>
      <x:c r="J723" s="14" t="n">
        <x:v>14</x:v>
      </x:c>
      <x:c r="K723" s="14" t="n">
        <x:v>8</x:v>
      </x:c>
      <x:c r="L723" s="15" t="n">
        <x:f>IF(J723=0,"해당 없음",K723/J723)</x:f>
        <x:v>0.5714285714285714</x:v>
      </x:c>
      <x:c r="M723" s="14" t="n">
        <x:v>8</x:v>
      </x:c>
      <x:c r="N723" s="14" t="n">
        <x:v>6</x:v>
      </x:c>
      <x:c r="O723" s="15" t="n">
        <x:f>IF(M723=0,"해당 없음",N723/M723)</x:f>
        <x:v>0.75</x:v>
      </x:c>
      <x:c r="P723" s="14" t="n">
        <x:v>102</x:v>
      </x:c>
    </x:row>
    <x:row r="724" ht="22" customHeight="1">
      <x:c r="A724" s="14" t="n">
        <x:v>360</x:v>
      </x:c>
      <x:c r="B724" s="14" t="n">
        <x:v>9</x:v>
      </x:c>
      <x:c r="C724" s="14" t="n">
        <x:v>76019</x:v>
      </x:c>
      <x:c r="D724" s="2" t="str">
        <x:v>RED</x:v>
      </x:c>
      <x:c r="E724" s="2" t="str">
        <x:v>80만</x:v>
      </x:c>
      <x:c r="F724" s="2" t="str">
        <x:v>0만</x:v>
      </x:c>
      <x:c r="G724" s="2" t="str">
        <x:v>패</x:v>
      </x:c>
      <x:c r="H724" s="14" t="n">
        <x:v>1</x:v>
      </x:c>
      <x:c r="I724" s="14" t="n">
        <x:v>3</x:v>
      </x:c>
      <x:c r="J724" s="14" t="n">
        <x:v>8</x:v>
      </x:c>
      <x:c r="K724" s="14" t="n">
        <x:v>1</x:v>
      </x:c>
      <x:c r="L724" s="15" t="n">
        <x:f>IF(J724=0,"해당 없음",K724/J724)</x:f>
        <x:v>0.125</x:v>
      </x:c>
      <x:c r="M724" s="14" t="n">
        <x:v>7</x:v>
      </x:c>
      <x:c r="N724" s="14" t="n">
        <x:v>6</x:v>
      </x:c>
      <x:c r="O724" s="15" t="n">
        <x:f>IF(M724=0,"해당 없음",N724/M724)</x:f>
        <x:v>0.8571428571428571</x:v>
      </x:c>
      <x:c r="P724" s="14" t="n">
        <x:v>103</x:v>
      </x:c>
    </x:row>
    <x:row r="725" ht="22" customHeight="1">
      <x:c r="A725" s="14" t="n">
        <x:v>360</x:v>
      </x:c>
      <x:c r="B725" s="14" t="n">
        <x:v>9</x:v>
      </x:c>
      <x:c r="C725" s="14" t="n">
        <x:v>76019</x:v>
      </x:c>
      <x:c r="D725" s="2" t="str">
        <x:v>NAVY</x:v>
      </x:c>
      <x:c r="E725" s="2" t="str">
        <x:v>0만</x:v>
      </x:c>
      <x:c r="F725" s="2" t="str">
        <x:v>80만</x:v>
      </x:c>
      <x:c r="G725" s="2" t="str">
        <x:v>승</x:v>
      </x:c>
      <x:c r="H725" s="14" t="n">
        <x:v>3</x:v>
      </x:c>
      <x:c r="I725" s="14" t="n">
        <x:v>1</x:v>
      </x:c>
      <x:c r="J725" s="14" t="n">
        <x:v>8</x:v>
      </x:c>
      <x:c r="K725" s="14" t="n">
        <x:v>3</x:v>
      </x:c>
      <x:c r="L725" s="15" t="n">
        <x:f>IF(J725=0,"해당 없음",K725/J725)</x:f>
        <x:v>0.375</x:v>
      </x:c>
      <x:c r="M725" s="14" t="n">
        <x:v>7</x:v>
      </x:c>
      <x:c r="N725" s="14" t="n">
        <x:v>7</x:v>
      </x:c>
      <x:c r="O725" s="15" t="n">
        <x:f>IF(M725=0,"해당 없음",N725/M725)</x:f>
        <x:v>1</x:v>
      </x:c>
      <x:c r="P725" s="14" t="n">
        <x:v>102</x:v>
      </x:c>
    </x:row>
    <x:row r="726" ht="22" customHeight="1">
      <x:c r="A726" s="14" t="n">
        <x:v>361</x:v>
      </x:c>
      <x:c r="B726" s="14" t="n">
        <x:v>10</x:v>
      </x:c>
      <x:c r="C726" s="14" t="n">
        <x:v>76000</x:v>
      </x:c>
      <x:c r="D726" s="2" t="str">
        <x:v>RED</x:v>
      </x:c>
      <x:c r="E726" s="2" t="str">
        <x:v>0만</x:v>
      </x:c>
      <x:c r="F726" s="2" t="str">
        <x:v>120만</x:v>
      </x:c>
      <x:c r="G726" s="2" t="str">
        <x:v>패</x:v>
      </x:c>
      <x:c r="H726" s="14" t="n">
        <x:v>1</x:v>
      </x:c>
      <x:c r="I726" s="14" t="n">
        <x:v>7</x:v>
      </x:c>
      <x:c r="J726" s="14" t="n">
        <x:v>7</x:v>
      </x:c>
      <x:c r="K726" s="14" t="n">
        <x:v>1</x:v>
      </x:c>
      <x:c r="L726" s="15" t="n">
        <x:f>IF(J726=0,"해당 없음",K726/J726)</x:f>
        <x:v>0.14285714285714285</x:v>
      </x:c>
      <x:c r="M726" s="14" t="n">
        <x:v>6</x:v>
      </x:c>
      <x:c r="N726" s="14" t="n">
        <x:v>4</x:v>
      </x:c>
      <x:c r="O726" s="15" t="n">
        <x:f>IF(M726=0,"해당 없음",N726/M726)</x:f>
        <x:v>0.6666666666666666</x:v>
      </x:c>
      <x:c r="P726" s="14" t="n">
        <x:v>105</x:v>
      </x:c>
    </x:row>
    <x:row r="727" ht="22" customHeight="1">
      <x:c r="A727" s="14" t="n">
        <x:v>361</x:v>
      </x:c>
      <x:c r="B727" s="14" t="n">
        <x:v>10</x:v>
      </x:c>
      <x:c r="C727" s="14" t="n">
        <x:v>76000</x:v>
      </x:c>
      <x:c r="D727" s="2" t="str">
        <x:v>NAVY</x:v>
      </x:c>
      <x:c r="E727" s="2" t="str">
        <x:v>120만</x:v>
      </x:c>
      <x:c r="F727" s="2" t="str">
        <x:v>0만</x:v>
      </x:c>
      <x:c r="G727" s="2" t="str">
        <x:v>승</x:v>
      </x:c>
      <x:c r="H727" s="14" t="n">
        <x:v>7</x:v>
      </x:c>
      <x:c r="I727" s="14" t="n">
        <x:v>1</x:v>
      </x:c>
      <x:c r="J727" s="14" t="n">
        <x:v>12</x:v>
      </x:c>
      <x:c r="K727" s="14" t="n">
        <x:v>7</x:v>
      </x:c>
      <x:c r="L727" s="15" t="n">
        <x:f>IF(J727=0,"해당 없음",K727/J727)</x:f>
        <x:v>0.5833333333333334</x:v>
      </x:c>
      <x:c r="M727" s="14" t="n">
        <x:v>13</x:v>
      </x:c>
      <x:c r="N727" s="14" t="n">
        <x:v>9</x:v>
      </x:c>
      <x:c r="O727" s="15" t="n">
        <x:f>IF(M727=0,"해당 없음",N727/M727)</x:f>
        <x:v>0.6923076923076923</x:v>
      </x:c>
      <x:c r="P727" s="14" t="n">
        <x:v>104</x:v>
      </x:c>
    </x:row>
    <x:row r="728" ht="22" customHeight="1">
      <x:c r="A728" s="14" t="n">
        <x:v>362</x:v>
      </x:c>
      <x:c r="B728" s="14" t="n">
        <x:v>10</x:v>
      </x:c>
      <x:c r="C728" s="14" t="n">
        <x:v>76000</x:v>
      </x:c>
      <x:c r="D728" s="2" t="str">
        <x:v>RED</x:v>
      </x:c>
      <x:c r="E728" s="2" t="str">
        <x:v>120만</x:v>
      </x:c>
      <x:c r="F728" s="2" t="str">
        <x:v>0만</x:v>
      </x:c>
      <x:c r="G728" s="2" t="str">
        <x:v>승</x:v>
      </x:c>
      <x:c r="H728" s="14" t="n">
        <x:v>9</x:v>
      </x:c>
      <x:c r="I728" s="14" t="n">
        <x:v>2</x:v>
      </x:c>
      <x:c r="J728" s="14" t="n">
        <x:v>14</x:v>
      </x:c>
      <x:c r="K728" s="14" t="n">
        <x:v>9</x:v>
      </x:c>
      <x:c r="L728" s="15" t="n">
        <x:f>IF(J728=0,"해당 없음",K728/J728)</x:f>
        <x:v>0.6428571428571429</x:v>
      </x:c>
      <x:c r="M728" s="14" t="n">
        <x:v>6</x:v>
      </x:c>
      <x:c r="N728" s="14" t="n">
        <x:v>5</x:v>
      </x:c>
      <x:c r="O728" s="15" t="n">
        <x:f>IF(M728=0,"해당 없음",N728/M728)</x:f>
        <x:v>0.8333333333333334</x:v>
      </x:c>
      <x:c r="P728" s="14" t="n">
        <x:v>107</x:v>
      </x:c>
    </x:row>
    <x:row r="729" ht="22" customHeight="1">
      <x:c r="A729" s="14" t="n">
        <x:v>362</x:v>
      </x:c>
      <x:c r="B729" s="14" t="n">
        <x:v>10</x:v>
      </x:c>
      <x:c r="C729" s="14" t="n">
        <x:v>76000</x:v>
      </x:c>
      <x:c r="D729" s="2" t="str">
        <x:v>NAVY</x:v>
      </x:c>
      <x:c r="E729" s="2" t="str">
        <x:v>0만</x:v>
      </x:c>
      <x:c r="F729" s="2" t="str">
        <x:v>120만</x:v>
      </x:c>
      <x:c r="G729" s="2" t="str">
        <x:v>패</x:v>
      </x:c>
      <x:c r="H729" s="14" t="n">
        <x:v>2</x:v>
      </x:c>
      <x:c r="I729" s="14" t="n">
        <x:v>9</x:v>
      </x:c>
      <x:c r="J729" s="14" t="n">
        <x:v>3</x:v>
      </x:c>
      <x:c r="K729" s="14" t="n">
        <x:v>2</x:v>
      </x:c>
      <x:c r="L729" s="15" t="n">
        <x:f>IF(J729=0,"해당 없음",K729/J729)</x:f>
        <x:v>0.6666666666666666</x:v>
      </x:c>
      <x:c r="M729" s="14" t="n">
        <x:v>4</x:v>
      </x:c>
      <x:c r="N729" s="14" t="n">
        <x:v>4</x:v>
      </x:c>
      <x:c r="O729" s="15" t="n">
        <x:f>IF(M729=0,"해당 없음",N729/M729)</x:f>
        <x:v>1</x:v>
      </x:c>
      <x:c r="P729" s="14" t="n">
        <x:v>107</x:v>
      </x:c>
    </x:row>
    <x:row r="730" ht="22" customHeight="1">
      <x:c r="A730" s="14" t="n">
        <x:v>363</x:v>
      </x:c>
      <x:c r="B730" s="14" t="n">
        <x:v>10</x:v>
      </x:c>
      <x:c r="C730" s="14" t="n">
        <x:v>76001</x:v>
      </x:c>
      <x:c r="D730" s="2" t="str">
        <x:v>RED</x:v>
      </x:c>
      <x:c r="E730" s="2" t="str">
        <x:v>0만</x:v>
      </x:c>
      <x:c r="F730" s="2" t="str">
        <x:v>120만</x:v>
      </x:c>
      <x:c r="G730" s="2" t="str">
        <x:v>패</x:v>
      </x:c>
      <x:c r="H730" s="14" t="n">
        <x:v>0</x:v>
      </x:c>
      <x:c r="I730" s="14" t="n">
        <x:v>8</x:v>
      </x:c>
      <x:c r="J730" s="14" t="n">
        <x:v>3</x:v>
      </x:c>
      <x:c r="K730" s="14" t="n">
        <x:v>0</x:v>
      </x:c>
      <x:c r="L730" s="15" t="n">
        <x:f>IF(J730=0,"해당 없음",K730/J730)</x:f>
        <x:v>0</x:v>
      </x:c>
      <x:c r="M730" s="14" t="n">
        <x:v>7</x:v>
      </x:c>
      <x:c r="N730" s="14" t="n">
        <x:v>6</x:v>
      </x:c>
      <x:c r="O730" s="15" t="n">
        <x:f>IF(M730=0,"해당 없음",N730/M730)</x:f>
        <x:v>0.8571428571428571</x:v>
      </x:c>
      <x:c r="P730" s="14" t="n">
        <x:v>104</x:v>
      </x:c>
    </x:row>
    <x:row r="731" ht="22" customHeight="1">
      <x:c r="A731" s="14" t="n">
        <x:v>363</x:v>
      </x:c>
      <x:c r="B731" s="14" t="n">
        <x:v>10</x:v>
      </x:c>
      <x:c r="C731" s="14" t="n">
        <x:v>76001</x:v>
      </x:c>
      <x:c r="D731" s="2" t="str">
        <x:v>NAVY</x:v>
      </x:c>
      <x:c r="E731" s="2" t="str">
        <x:v>120만</x:v>
      </x:c>
      <x:c r="F731" s="2" t="str">
        <x:v>0만</x:v>
      </x:c>
      <x:c r="G731" s="2" t="str">
        <x:v>승</x:v>
      </x:c>
      <x:c r="H731" s="14" t="n">
        <x:v>8</x:v>
      </x:c>
      <x:c r="I731" s="14" t="n">
        <x:v>0</x:v>
      </x:c>
      <x:c r="J731" s="14" t="n">
        <x:v>14</x:v>
      </x:c>
      <x:c r="K731" s="14" t="n">
        <x:v>8</x:v>
      </x:c>
      <x:c r="L731" s="15" t="n">
        <x:f>IF(J731=0,"해당 없음",K731/J731)</x:f>
        <x:v>0.5714285714285714</x:v>
      </x:c>
      <x:c r="M731" s="14" t="n">
        <x:v>7</x:v>
      </x:c>
      <x:c r="N731" s="14" t="n">
        <x:v>7</x:v>
      </x:c>
      <x:c r="O731" s="15" t="n">
        <x:f>IF(M731=0,"해당 없음",N731/M731)</x:f>
        <x:v>1</x:v>
      </x:c>
      <x:c r="P731" s="14" t="n">
        <x:v>103</x:v>
      </x:c>
    </x:row>
    <x:row r="732" ht="22" customHeight="1">
      <x:c r="A732" s="14" t="n">
        <x:v>364</x:v>
      </x:c>
      <x:c r="B732" s="14" t="n">
        <x:v>10</x:v>
      </x:c>
      <x:c r="C732" s="14" t="n">
        <x:v>76001</x:v>
      </x:c>
      <x:c r="D732" s="2" t="str">
        <x:v>RED</x:v>
      </x:c>
      <x:c r="E732" s="2" t="str">
        <x:v>120만</x:v>
      </x:c>
      <x:c r="F732" s="2" t="str">
        <x:v>0만</x:v>
      </x:c>
      <x:c r="G732" s="2" t="str">
        <x:v>승</x:v>
      </x:c>
      <x:c r="H732" s="14" t="n">
        <x:v>5</x:v>
      </x:c>
      <x:c r="I732" s="14" t="n">
        <x:v>1</x:v>
      </x:c>
      <x:c r="J732" s="14" t="n">
        <x:v>10</x:v>
      </x:c>
      <x:c r="K732" s="14" t="n">
        <x:v>5</x:v>
      </x:c>
      <x:c r="L732" s="15" t="n">
        <x:f>IF(J732=0,"해당 없음",K732/J732)</x:f>
        <x:v>0.5</x:v>
      </x:c>
      <x:c r="M732" s="14" t="n">
        <x:v>5</x:v>
      </x:c>
      <x:c r="N732" s="14" t="n">
        <x:v>2</x:v>
      </x:c>
      <x:c r="O732" s="15" t="n">
        <x:f>IF(M732=0,"해당 없음",N732/M732)</x:f>
        <x:v>0.4</x:v>
      </x:c>
      <x:c r="P732" s="14" t="n">
        <x:v>102</x:v>
      </x:c>
    </x:row>
    <x:row r="733" ht="22" customHeight="1">
      <x:c r="A733" s="14" t="n">
        <x:v>364</x:v>
      </x:c>
      <x:c r="B733" s="14" t="n">
        <x:v>10</x:v>
      </x:c>
      <x:c r="C733" s="14" t="n">
        <x:v>76001</x:v>
      </x:c>
      <x:c r="D733" s="2" t="str">
        <x:v>NAVY</x:v>
      </x:c>
      <x:c r="E733" s="2" t="str">
        <x:v>0만</x:v>
      </x:c>
      <x:c r="F733" s="2" t="str">
        <x:v>120만</x:v>
      </x:c>
      <x:c r="G733" s="2" t="str">
        <x:v>패</x:v>
      </x:c>
      <x:c r="H733" s="14" t="n">
        <x:v>1</x:v>
      </x:c>
      <x:c r="I733" s="14" t="n">
        <x:v>5</x:v>
      </x:c>
      <x:c r="J733" s="14" t="n">
        <x:v>5</x:v>
      </x:c>
      <x:c r="K733" s="14" t="n">
        <x:v>1</x:v>
      </x:c>
      <x:c r="L733" s="15" t="n">
        <x:f>IF(J733=0,"해당 없음",K733/J733)</x:f>
        <x:v>0.2</x:v>
      </x:c>
      <x:c r="M733" s="14" t="n">
        <x:v>7</x:v>
      </x:c>
      <x:c r="N733" s="14" t="n">
        <x:v>5</x:v>
      </x:c>
      <x:c r="O733" s="15" t="n">
        <x:f>IF(M733=0,"해당 없음",N733/M733)</x:f>
        <x:v>0.7142857142857143</x:v>
      </x:c>
      <x:c r="P733" s="14" t="n">
        <x:v>105</x:v>
      </x:c>
    </x:row>
    <x:row r="734" ht="22" customHeight="1">
      <x:c r="A734" s="14" t="n">
        <x:v>365</x:v>
      </x:c>
      <x:c r="B734" s="14" t="n">
        <x:v>10</x:v>
      </x:c>
      <x:c r="C734" s="14" t="n">
        <x:v>76002</x:v>
      </x:c>
      <x:c r="D734" s="2" t="str">
        <x:v>RED</x:v>
      </x:c>
      <x:c r="E734" s="2" t="str">
        <x:v>0만</x:v>
      </x:c>
      <x:c r="F734" s="2" t="str">
        <x:v>120만</x:v>
      </x:c>
      <x:c r="G734" s="2" t="str">
        <x:v>패</x:v>
      </x:c>
      <x:c r="H734" s="14" t="n">
        <x:v>0</x:v>
      </x:c>
      <x:c r="I734" s="14" t="n">
        <x:v>7</x:v>
      </x:c>
      <x:c r="J734" s="14" t="n">
        <x:v>5</x:v>
      </x:c>
      <x:c r="K734" s="14" t="n">
        <x:v>0</x:v>
      </x:c>
      <x:c r="L734" s="15" t="n">
        <x:f>IF(J734=0,"해당 없음",K734/J734)</x:f>
        <x:v>0</x:v>
      </x:c>
      <x:c r="M734" s="14" t="n">
        <x:v>7</x:v>
      </x:c>
      <x:c r="N734" s="14" t="n">
        <x:v>4</x:v>
      </x:c>
      <x:c r="O734" s="15" t="n">
        <x:f>IF(M734=0,"해당 없음",N734/M734)</x:f>
        <x:v>0.5714285714285714</x:v>
      </x:c>
      <x:c r="P734" s="14" t="n">
        <x:v>104</x:v>
      </x:c>
    </x:row>
    <x:row r="735" ht="22" customHeight="1">
      <x:c r="A735" s="14" t="n">
        <x:v>365</x:v>
      </x:c>
      <x:c r="B735" s="14" t="n">
        <x:v>10</x:v>
      </x:c>
      <x:c r="C735" s="14" t="n">
        <x:v>76002</x:v>
      </x:c>
      <x:c r="D735" s="2" t="str">
        <x:v>NAVY</x:v>
      </x:c>
      <x:c r="E735" s="2" t="str">
        <x:v>120만</x:v>
      </x:c>
      <x:c r="F735" s="2" t="str">
        <x:v>0만</x:v>
      </x:c>
      <x:c r="G735" s="2" t="str">
        <x:v>승</x:v>
      </x:c>
      <x:c r="H735" s="14" t="n">
        <x:v>7</x:v>
      </x:c>
      <x:c r="I735" s="14" t="n">
        <x:v>0</x:v>
      </x:c>
      <x:c r="J735" s="14" t="n">
        <x:v>11</x:v>
      </x:c>
      <x:c r="K735" s="14" t="n">
        <x:v>7</x:v>
      </x:c>
      <x:c r="L735" s="15" t="n">
        <x:f>IF(J735=0,"해당 없음",K735/J735)</x:f>
        <x:v>0.6363636363636364</x:v>
      </x:c>
      <x:c r="M735" s="14" t="n">
        <x:v>13</x:v>
      </x:c>
      <x:c r="N735" s="14" t="n">
        <x:v>10</x:v>
      </x:c>
      <x:c r="O735" s="15" t="n">
        <x:f>IF(M735=0,"해당 없음",N735/M735)</x:f>
        <x:v>0.7692307692307693</x:v>
      </x:c>
      <x:c r="P735" s="14" t="n">
        <x:v>105</x:v>
      </x:c>
    </x:row>
    <x:row r="736" ht="22" customHeight="1">
      <x:c r="A736" s="14" t="n">
        <x:v>366</x:v>
      </x:c>
      <x:c r="B736" s="14" t="n">
        <x:v>10</x:v>
      </x:c>
      <x:c r="C736" s="14" t="n">
        <x:v>76002</x:v>
      </x:c>
      <x:c r="D736" s="2" t="str">
        <x:v>RED</x:v>
      </x:c>
      <x:c r="E736" s="2" t="str">
        <x:v>120만</x:v>
      </x:c>
      <x:c r="F736" s="2" t="str">
        <x:v>0만</x:v>
      </x:c>
      <x:c r="G736" s="2" t="str">
        <x:v>승</x:v>
      </x:c>
      <x:c r="H736" s="14" t="n">
        <x:v>8</x:v>
      </x:c>
      <x:c r="I736" s="14" t="n">
        <x:v>1</x:v>
      </x:c>
      <x:c r="J736" s="14" t="n">
        <x:v>12</x:v>
      </x:c>
      <x:c r="K736" s="14" t="n">
        <x:v>8</x:v>
      </x:c>
      <x:c r="L736" s="15" t="n">
        <x:f>IF(J736=0,"해당 없음",K736/J736)</x:f>
        <x:v>0.6666666666666666</x:v>
      </x:c>
      <x:c r="M736" s="14" t="n">
        <x:v>3</x:v>
      </x:c>
      <x:c r="N736" s="14" t="n">
        <x:v>3</x:v>
      </x:c>
      <x:c r="O736" s="15" t="n">
        <x:f>IF(M736=0,"해당 없음",N736/M736)</x:f>
        <x:v>1</x:v>
      </x:c>
      <x:c r="P736" s="14" t="n">
        <x:v>104</x:v>
      </x:c>
    </x:row>
    <x:row r="737" ht="22" customHeight="1">
      <x:c r="A737" s="14" t="n">
        <x:v>366</x:v>
      </x:c>
      <x:c r="B737" s="14" t="n">
        <x:v>10</x:v>
      </x:c>
      <x:c r="C737" s="14" t="n">
        <x:v>76002</x:v>
      </x:c>
      <x:c r="D737" s="2" t="str">
        <x:v>NAVY</x:v>
      </x:c>
      <x:c r="E737" s="2" t="str">
        <x:v>0만</x:v>
      </x:c>
      <x:c r="F737" s="2" t="str">
        <x:v>120만</x:v>
      </x:c>
      <x:c r="G737" s="2" t="str">
        <x:v>패</x:v>
      </x:c>
      <x:c r="H737" s="14" t="n">
        <x:v>1</x:v>
      </x:c>
      <x:c r="I737" s="14" t="n">
        <x:v>8</x:v>
      </x:c>
      <x:c r="J737" s="14" t="n">
        <x:v>5</x:v>
      </x:c>
      <x:c r="K737" s="14" t="n">
        <x:v>1</x:v>
      </x:c>
      <x:c r="L737" s="15" t="n">
        <x:f>IF(J737=0,"해당 없음",K737/J737)</x:f>
        <x:v>0.2</x:v>
      </x:c>
      <x:c r="M737" s="14" t="n">
        <x:v>4</x:v>
      </x:c>
      <x:c r="N737" s="14" t="n">
        <x:v>2</x:v>
      </x:c>
      <x:c r="O737" s="15" t="n">
        <x:f>IF(M737=0,"해당 없음",N737/M737)</x:f>
        <x:v>0.5</x:v>
      </x:c>
      <x:c r="P737" s="14" t="n">
        <x:v>104</x:v>
      </x:c>
    </x:row>
    <x:row r="738" ht="22" customHeight="1">
      <x:c r="A738" s="14" t="n">
        <x:v>367</x:v>
      </x:c>
      <x:c r="B738" s="14" t="n">
        <x:v>10</x:v>
      </x:c>
      <x:c r="C738" s="14" t="n">
        <x:v>76003</x:v>
      </x:c>
      <x:c r="D738" s="2" t="str">
        <x:v>RED</x:v>
      </x:c>
      <x:c r="E738" s="2" t="str">
        <x:v>0만</x:v>
      </x:c>
      <x:c r="F738" s="2" t="str">
        <x:v>120만</x:v>
      </x:c>
      <x:c r="G738" s="2" t="str">
        <x:v>패</x:v>
      </x:c>
      <x:c r="H738" s="14" t="n">
        <x:v>1</x:v>
      </x:c>
      <x:c r="I738" s="14" t="n">
        <x:v>7</x:v>
      </x:c>
      <x:c r="J738" s="14" t="n">
        <x:v>4</x:v>
      </x:c>
      <x:c r="K738" s="14" t="n">
        <x:v>1</x:v>
      </x:c>
      <x:c r="L738" s="15" t="n">
        <x:f>IF(J738=0,"해당 없음",K738/J738)</x:f>
        <x:v>0.25</x:v>
      </x:c>
      <x:c r="M738" s="14" t="n">
        <x:v>5</x:v>
      </x:c>
      <x:c r="N738" s="14" t="n">
        <x:v>4</x:v>
      </x:c>
      <x:c r="O738" s="15" t="n">
        <x:f>IF(M738=0,"해당 없음",N738/M738)</x:f>
        <x:v>0.8</x:v>
      </x:c>
      <x:c r="P738" s="14" t="n">
        <x:v>105</x:v>
      </x:c>
    </x:row>
    <x:row r="739" ht="22" customHeight="1">
      <x:c r="A739" s="14" t="n">
        <x:v>367</x:v>
      </x:c>
      <x:c r="B739" s="14" t="n">
        <x:v>10</x:v>
      </x:c>
      <x:c r="C739" s="14" t="n">
        <x:v>76003</x:v>
      </x:c>
      <x:c r="D739" s="2" t="str">
        <x:v>NAVY</x:v>
      </x:c>
      <x:c r="E739" s="2" t="str">
        <x:v>120만</x:v>
      </x:c>
      <x:c r="F739" s="2" t="str">
        <x:v>0만</x:v>
      </x:c>
      <x:c r="G739" s="2" t="str">
        <x:v>승</x:v>
      </x:c>
      <x:c r="H739" s="14" t="n">
        <x:v>7</x:v>
      </x:c>
      <x:c r="I739" s="14" t="n">
        <x:v>1</x:v>
      </x:c>
      <x:c r="J739" s="14" t="n">
        <x:v>13</x:v>
      </x:c>
      <x:c r="K739" s="14" t="n">
        <x:v>7</x:v>
      </x:c>
      <x:c r="L739" s="15" t="n">
        <x:f>IF(J739=0,"해당 없음",K739/J739)</x:f>
        <x:v>0.5384615384615384</x:v>
      </x:c>
      <x:c r="M739" s="14" t="n">
        <x:v>8</x:v>
      </x:c>
      <x:c r="N739" s="14" t="n">
        <x:v>6</x:v>
      </x:c>
      <x:c r="O739" s="15" t="n">
        <x:f>IF(M739=0,"해당 없음",N739/M739)</x:f>
        <x:v>0.75</x:v>
      </x:c>
      <x:c r="P739" s="14" t="n">
        <x:v>103</x:v>
      </x:c>
    </x:row>
    <x:row r="740" ht="22" customHeight="1">
      <x:c r="A740" s="14" t="n">
        <x:v>368</x:v>
      </x:c>
      <x:c r="B740" s="14" t="n">
        <x:v>10</x:v>
      </x:c>
      <x:c r="C740" s="14" t="n">
        <x:v>76003</x:v>
      </x:c>
      <x:c r="D740" s="2" t="str">
        <x:v>RED</x:v>
      </x:c>
      <x:c r="E740" s="2" t="str">
        <x:v>120만</x:v>
      </x:c>
      <x:c r="F740" s="2" t="str">
        <x:v>0만</x:v>
      </x:c>
      <x:c r="G740" s="2" t="str">
        <x:v>승</x:v>
      </x:c>
      <x:c r="H740" s="14" t="n">
        <x:v>5</x:v>
      </x:c>
      <x:c r="I740" s="14" t="n">
        <x:v>0</x:v>
      </x:c>
      <x:c r="J740" s="14" t="n">
        <x:v>11</x:v>
      </x:c>
      <x:c r="K740" s="14" t="n">
        <x:v>5</x:v>
      </x:c>
      <x:c r="L740" s="15" t="n">
        <x:f>IF(J740=0,"해당 없음",K740/J740)</x:f>
        <x:v>0.45454545454545453</x:v>
      </x:c>
      <x:c r="M740" s="14" t="n">
        <x:v>6</x:v>
      </x:c>
      <x:c r="N740" s="14" t="n">
        <x:v>4</x:v>
      </x:c>
      <x:c r="O740" s="15" t="n">
        <x:f>IF(M740=0,"해당 없음",N740/M740)</x:f>
        <x:v>0.6666666666666666</x:v>
      </x:c>
      <x:c r="P740" s="14" t="n">
        <x:v>102</x:v>
      </x:c>
    </x:row>
    <x:row r="741" ht="22" customHeight="1">
      <x:c r="A741" s="14" t="n">
        <x:v>368</x:v>
      </x:c>
      <x:c r="B741" s="14" t="n">
        <x:v>10</x:v>
      </x:c>
      <x:c r="C741" s="14" t="n">
        <x:v>76003</x:v>
      </x:c>
      <x:c r="D741" s="2" t="str">
        <x:v>NAVY</x:v>
      </x:c>
      <x:c r="E741" s="2" t="str">
        <x:v>0만</x:v>
      </x:c>
      <x:c r="F741" s="2" t="str">
        <x:v>120만</x:v>
      </x:c>
      <x:c r="G741" s="2" t="str">
        <x:v>패</x:v>
      </x:c>
      <x:c r="H741" s="14" t="n">
        <x:v>0</x:v>
      </x:c>
      <x:c r="I741" s="14" t="n">
        <x:v>5</x:v>
      </x:c>
      <x:c r="J741" s="14" t="n">
        <x:v>5</x:v>
      </x:c>
      <x:c r="K741" s="14" t="n">
        <x:v>0</x:v>
      </x:c>
      <x:c r="L741" s="15" t="n">
        <x:f>IF(J741=0,"해당 없음",K741/J741)</x:f>
        <x:v>0</x:v>
      </x:c>
      <x:c r="M741" s="14" t="n">
        <x:v>8</x:v>
      </x:c>
      <x:c r="N741" s="14" t="n">
        <x:v>7</x:v>
      </x:c>
      <x:c r="O741" s="15" t="n">
        <x:f>IF(M741=0,"해당 없음",N741/M741)</x:f>
        <x:v>0.875</x:v>
      </x:c>
      <x:c r="P741" s="14" t="n">
        <x:v>104</x:v>
      </x:c>
    </x:row>
    <x:row r="742" ht="22" customHeight="1">
      <x:c r="A742" s="14" t="n">
        <x:v>369</x:v>
      </x:c>
      <x:c r="B742" s="14" t="n">
        <x:v>10</x:v>
      </x:c>
      <x:c r="C742" s="14" t="n">
        <x:v>76004</x:v>
      </x:c>
      <x:c r="D742" s="2" t="str">
        <x:v>RED</x:v>
      </x:c>
      <x:c r="E742" s="2" t="str">
        <x:v>0만</x:v>
      </x:c>
      <x:c r="F742" s="2" t="str">
        <x:v>120만</x:v>
      </x:c>
      <x:c r="G742" s="2" t="str">
        <x:v>패</x:v>
      </x:c>
      <x:c r="H742" s="14" t="n">
        <x:v>3</x:v>
      </x:c>
      <x:c r="I742" s="14" t="n">
        <x:v>4</x:v>
      </x:c>
      <x:c r="J742" s="14" t="n">
        <x:v>5</x:v>
      </x:c>
      <x:c r="K742" s="14" t="n">
        <x:v>3</x:v>
      </x:c>
      <x:c r="L742" s="15" t="n">
        <x:f>IF(J742=0,"해당 없음",K742/J742)</x:f>
        <x:v>0.6</x:v>
      </x:c>
      <x:c r="M742" s="14" t="n">
        <x:v>9</x:v>
      </x:c>
      <x:c r="N742" s="14" t="n">
        <x:v>8</x:v>
      </x:c>
      <x:c r="O742" s="15" t="n">
        <x:f>IF(M742=0,"해당 없음",N742/M742)</x:f>
        <x:v>0.8888888888888888</x:v>
      </x:c>
      <x:c r="P742" s="14" t="n">
        <x:v>105</x:v>
      </x:c>
    </x:row>
    <x:row r="743" ht="22" customHeight="1">
      <x:c r="A743" s="14" t="n">
        <x:v>369</x:v>
      </x:c>
      <x:c r="B743" s="14" t="n">
        <x:v>10</x:v>
      </x:c>
      <x:c r="C743" s="14" t="n">
        <x:v>76004</x:v>
      </x:c>
      <x:c r="D743" s="2" t="str">
        <x:v>NAVY</x:v>
      </x:c>
      <x:c r="E743" s="2" t="str">
        <x:v>120만</x:v>
      </x:c>
      <x:c r="F743" s="2" t="str">
        <x:v>0만</x:v>
      </x:c>
      <x:c r="G743" s="2" t="str">
        <x:v>승</x:v>
      </x:c>
      <x:c r="H743" s="14" t="n">
        <x:v>4</x:v>
      </x:c>
      <x:c r="I743" s="14" t="n">
        <x:v>3</x:v>
      </x:c>
      <x:c r="J743" s="14" t="n">
        <x:v>12</x:v>
      </x:c>
      <x:c r="K743" s="14" t="n">
        <x:v>4</x:v>
      </x:c>
      <x:c r="L743" s="15" t="n">
        <x:f>IF(J743=0,"해당 없음",K743/J743)</x:f>
        <x:v>0.3333333333333333</x:v>
      </x:c>
      <x:c r="M743" s="14" t="n">
        <x:v>6</x:v>
      </x:c>
      <x:c r="N743" s="14" t="n">
        <x:v>5</x:v>
      </x:c>
      <x:c r="O743" s="15" t="n">
        <x:f>IF(M743=0,"해당 없음",N743/M743)</x:f>
        <x:v>0.8333333333333334</x:v>
      </x:c>
      <x:c r="P743" s="14" t="n">
        <x:v>104</x:v>
      </x:c>
    </x:row>
    <x:row r="744" ht="22" customHeight="1">
      <x:c r="A744" s="14" t="n">
        <x:v>370</x:v>
      </x:c>
      <x:c r="B744" s="14" t="n">
        <x:v>10</x:v>
      </x:c>
      <x:c r="C744" s="14" t="n">
        <x:v>76004</x:v>
      </x:c>
      <x:c r="D744" s="2" t="str">
        <x:v>RED</x:v>
      </x:c>
      <x:c r="E744" s="2" t="str">
        <x:v>120만</x:v>
      </x:c>
      <x:c r="F744" s="2" t="str">
        <x:v>0만</x:v>
      </x:c>
      <x:c r="G744" s="2" t="str">
        <x:v>승</x:v>
      </x:c>
      <x:c r="H744" s="14" t="n">
        <x:v>3</x:v>
      </x:c>
      <x:c r="I744" s="14" t="n">
        <x:v>2</x:v>
      </x:c>
      <x:c r="J744" s="14" t="n">
        <x:v>7</x:v>
      </x:c>
      <x:c r="K744" s="14" t="n">
        <x:v>3</x:v>
      </x:c>
      <x:c r="L744" s="15" t="n">
        <x:f>IF(J744=0,"해당 없음",K744/J744)</x:f>
        <x:v>0.42857142857142855</x:v>
      </x:c>
      <x:c r="M744" s="14" t="n">
        <x:v>9</x:v>
      </x:c>
      <x:c r="N744" s="14" t="n">
        <x:v>5</x:v>
      </x:c>
      <x:c r="O744" s="15" t="n">
        <x:f>IF(M744=0,"해당 없음",N744/M744)</x:f>
        <x:v>0.5555555555555556</x:v>
      </x:c>
      <x:c r="P744" s="14" t="n">
        <x:v>103</x:v>
      </x:c>
    </x:row>
    <x:row r="745" ht="22" customHeight="1">
      <x:c r="A745" s="14" t="n">
        <x:v>370</x:v>
      </x:c>
      <x:c r="B745" s="14" t="n">
        <x:v>10</x:v>
      </x:c>
      <x:c r="C745" s="14" t="n">
        <x:v>76004</x:v>
      </x:c>
      <x:c r="D745" s="2" t="str">
        <x:v>NAVY</x:v>
      </x:c>
      <x:c r="E745" s="2" t="str">
        <x:v>0만</x:v>
      </x:c>
      <x:c r="F745" s="2" t="str">
        <x:v>120만</x:v>
      </x:c>
      <x:c r="G745" s="2" t="str">
        <x:v>패</x:v>
      </x:c>
      <x:c r="H745" s="14" t="n">
        <x:v>2</x:v>
      </x:c>
      <x:c r="I745" s="14" t="n">
        <x:v>3</x:v>
      </x:c>
      <x:c r="J745" s="14" t="n">
        <x:v>8</x:v>
      </x:c>
      <x:c r="K745" s="14" t="n">
        <x:v>2</x:v>
      </x:c>
      <x:c r="L745" s="15" t="n">
        <x:f>IF(J745=0,"해당 없음",K745/J745)</x:f>
        <x:v>0.25</x:v>
      </x:c>
      <x:c r="M745" s="14" t="n">
        <x:v>8</x:v>
      </x:c>
      <x:c r="N745" s="14" t="n">
        <x:v>8</x:v>
      </x:c>
      <x:c r="O745" s="15" t="n">
        <x:f>IF(M745=0,"해당 없음",N745/M745)</x:f>
        <x:v>1</x:v>
      </x:c>
      <x:c r="P745" s="14" t="n">
        <x:v>104</x:v>
      </x:c>
    </x:row>
    <x:row r="746" ht="22" customHeight="1">
      <x:c r="A746" s="14" t="n">
        <x:v>371</x:v>
      </x:c>
      <x:c r="B746" s="14" t="n">
        <x:v>10</x:v>
      </x:c>
      <x:c r="C746" s="14" t="n">
        <x:v>76005</x:v>
      </x:c>
      <x:c r="D746" s="2" t="str">
        <x:v>RED</x:v>
      </x:c>
      <x:c r="E746" s="2" t="str">
        <x:v>0만</x:v>
      </x:c>
      <x:c r="F746" s="2" t="str">
        <x:v>120만</x:v>
      </x:c>
      <x:c r="G746" s="2" t="str">
        <x:v>패</x:v>
      </x:c>
      <x:c r="H746" s="14" t="n">
        <x:v>2</x:v>
      </x:c>
      <x:c r="I746" s="14" t="n">
        <x:v>10</x:v>
      </x:c>
      <x:c r="J746" s="14" t="n">
        <x:v>2</x:v>
      </x:c>
      <x:c r="K746" s="14" t="n">
        <x:v>2</x:v>
      </x:c>
      <x:c r="L746" s="15" t="n">
        <x:f>IF(J746=0,"해당 없음",K746/J746)</x:f>
        <x:v>1</x:v>
      </x:c>
      <x:c r="M746" s="14" t="n">
        <x:v>6</x:v>
      </x:c>
      <x:c r="N746" s="14" t="n">
        <x:v>4</x:v>
      </x:c>
      <x:c r="O746" s="15" t="n">
        <x:f>IF(M746=0,"해당 없음",N746/M746)</x:f>
        <x:v>0.6666666666666666</x:v>
      </x:c>
      <x:c r="P746" s="14" t="n">
        <x:v>108</x:v>
      </x:c>
    </x:row>
    <x:row r="747" ht="22" customHeight="1">
      <x:c r="A747" s="14" t="n">
        <x:v>371</x:v>
      </x:c>
      <x:c r="B747" s="14" t="n">
        <x:v>10</x:v>
      </x:c>
      <x:c r="C747" s="14" t="n">
        <x:v>76005</x:v>
      </x:c>
      <x:c r="D747" s="2" t="str">
        <x:v>NAVY</x:v>
      </x:c>
      <x:c r="E747" s="2" t="str">
        <x:v>120만</x:v>
      </x:c>
      <x:c r="F747" s="2" t="str">
        <x:v>0만</x:v>
      </x:c>
      <x:c r="G747" s="2" t="str">
        <x:v>승</x:v>
      </x:c>
      <x:c r="H747" s="14" t="n">
        <x:v>10</x:v>
      </x:c>
      <x:c r="I747" s="14" t="n">
        <x:v>2</x:v>
      </x:c>
      <x:c r="J747" s="14" t="n">
        <x:v>20</x:v>
      </x:c>
      <x:c r="K747" s="14" t="n">
        <x:v>10</x:v>
      </x:c>
      <x:c r="L747" s="15" t="n">
        <x:f>IF(J747=0,"해당 없음",K747/J747)</x:f>
        <x:v>0.5</x:v>
      </x:c>
      <x:c r="M747" s="14" t="n">
        <x:v>4</x:v>
      </x:c>
      <x:c r="N747" s="14" t="n">
        <x:v>3</x:v>
      </x:c>
      <x:c r="O747" s="15" t="n">
        <x:f>IF(M747=0,"해당 없음",N747/M747)</x:f>
        <x:v>0.75</x:v>
      </x:c>
      <x:c r="P747" s="14" t="n">
        <x:v>107</x:v>
      </x:c>
    </x:row>
    <x:row r="748" ht="22" customHeight="1">
      <x:c r="A748" s="14" t="n">
        <x:v>372</x:v>
      </x:c>
      <x:c r="B748" s="14" t="n">
        <x:v>10</x:v>
      </x:c>
      <x:c r="C748" s="14" t="n">
        <x:v>76005</x:v>
      </x:c>
      <x:c r="D748" s="2" t="str">
        <x:v>RED</x:v>
      </x:c>
      <x:c r="E748" s="2" t="str">
        <x:v>120만</x:v>
      </x:c>
      <x:c r="F748" s="2" t="str">
        <x:v>0만</x:v>
      </x:c>
      <x:c r="G748" s="2" t="str">
        <x:v>승</x:v>
      </x:c>
      <x:c r="H748" s="14" t="n">
        <x:v>4</x:v>
      </x:c>
      <x:c r="I748" s="14" t="n">
        <x:v>1</x:v>
      </x:c>
      <x:c r="J748" s="14" t="n">
        <x:v>12</x:v>
      </x:c>
      <x:c r="K748" s="14" t="n">
        <x:v>4</x:v>
      </x:c>
      <x:c r="L748" s="15" t="n">
        <x:f>IF(J748=0,"해당 없음",K748/J748)</x:f>
        <x:v>0.3333333333333333</x:v>
      </x:c>
      <x:c r="M748" s="14" t="n">
        <x:v>4</x:v>
      </x:c>
      <x:c r="N748" s="14" t="n">
        <x:v>4</x:v>
      </x:c>
      <x:c r="O748" s="15" t="n">
        <x:f>IF(M748=0,"해당 없음",N748/M748)</x:f>
        <x:v>1</x:v>
      </x:c>
      <x:c r="P748" s="14" t="n">
        <x:v>104</x:v>
      </x:c>
    </x:row>
    <x:row r="749" ht="22" customHeight="1">
      <x:c r="A749" s="14" t="n">
        <x:v>372</x:v>
      </x:c>
      <x:c r="B749" s="14" t="n">
        <x:v>10</x:v>
      </x:c>
      <x:c r="C749" s="14" t="n">
        <x:v>76005</x:v>
      </x:c>
      <x:c r="D749" s="2" t="str">
        <x:v>NAVY</x:v>
      </x:c>
      <x:c r="E749" s="2" t="str">
        <x:v>0만</x:v>
      </x:c>
      <x:c r="F749" s="2" t="str">
        <x:v>120만</x:v>
      </x:c>
      <x:c r="G749" s="2" t="str">
        <x:v>패</x:v>
      </x:c>
      <x:c r="H749" s="14" t="n">
        <x:v>1</x:v>
      </x:c>
      <x:c r="I749" s="14" t="n">
        <x:v>4</x:v>
      </x:c>
      <x:c r="J749" s="14" t="n">
        <x:v>1</x:v>
      </x:c>
      <x:c r="K749" s="14" t="n">
        <x:v>1</x:v>
      </x:c>
      <x:c r="L749" s="15" t="n">
        <x:f>IF(J749=0,"해당 없음",K749/J749)</x:f>
        <x:v>1</x:v>
      </x:c>
      <x:c r="M749" s="14" t="n">
        <x:v>9</x:v>
      </x:c>
      <x:c r="N749" s="14" t="n">
        <x:v>7</x:v>
      </x:c>
      <x:c r="O749" s="15" t="n">
        <x:f>IF(M749=0,"해당 없음",N749/M749)</x:f>
        <x:v>0.7777777777777778</x:v>
      </x:c>
      <x:c r="P749" s="14" t="n">
        <x:v>103</x:v>
      </x:c>
    </x:row>
    <x:row r="750" ht="22" customHeight="1">
      <x:c r="A750" s="14" t="n">
        <x:v>373</x:v>
      </x:c>
      <x:c r="B750" s="14" t="n">
        <x:v>10</x:v>
      </x:c>
      <x:c r="C750" s="14" t="n">
        <x:v>76006</x:v>
      </x:c>
      <x:c r="D750" s="2" t="str">
        <x:v>RED</x:v>
      </x:c>
      <x:c r="E750" s="2" t="str">
        <x:v>0만</x:v>
      </x:c>
      <x:c r="F750" s="2" t="str">
        <x:v>120만</x:v>
      </x:c>
      <x:c r="G750" s="2" t="str">
        <x:v>무</x:v>
      </x:c>
      <x:c r="H750" s="14" t="n">
        <x:v>3</x:v>
      </x:c>
      <x:c r="I750" s="14" t="n">
        <x:v>3</x:v>
      </x:c>
      <x:c r="J750" s="14" t="n">
        <x:v>5</x:v>
      </x:c>
      <x:c r="K750" s="14" t="n">
        <x:v>3</x:v>
      </x:c>
      <x:c r="L750" s="15" t="n">
        <x:f>IF(J750=0,"해당 없음",K750/J750)</x:f>
        <x:v>0.6</x:v>
      </x:c>
      <x:c r="M750" s="14" t="n">
        <x:v>5</x:v>
      </x:c>
      <x:c r="N750" s="14" t="n">
        <x:v>5</x:v>
      </x:c>
      <x:c r="O750" s="15" t="n">
        <x:f>IF(M750=0,"해당 없음",N750/M750)</x:f>
        <x:v>1</x:v>
      </x:c>
      <x:c r="P750" s="14" t="n">
        <x:v>105</x:v>
      </x:c>
    </x:row>
    <x:row r="751" ht="22" customHeight="1">
      <x:c r="A751" s="14" t="n">
        <x:v>373</x:v>
      </x:c>
      <x:c r="B751" s="14" t="n">
        <x:v>10</x:v>
      </x:c>
      <x:c r="C751" s="14" t="n">
        <x:v>76006</x:v>
      </x:c>
      <x:c r="D751" s="2" t="str">
        <x:v>NAVY</x:v>
      </x:c>
      <x:c r="E751" s="2" t="str">
        <x:v>120만</x:v>
      </x:c>
      <x:c r="F751" s="2" t="str">
        <x:v>0만</x:v>
      </x:c>
      <x:c r="G751" s="2" t="str">
        <x:v>무</x:v>
      </x:c>
      <x:c r="H751" s="14" t="n">
        <x:v>3</x:v>
      </x:c>
      <x:c r="I751" s="14" t="n">
        <x:v>3</x:v>
      </x:c>
      <x:c r="J751" s="14" t="n">
        <x:v>8</x:v>
      </x:c>
      <x:c r="K751" s="14" t="n">
        <x:v>3</x:v>
      </x:c>
      <x:c r="L751" s="15" t="n">
        <x:f>IF(J751=0,"해당 없음",K751/J751)</x:f>
        <x:v>0.375</x:v>
      </x:c>
      <x:c r="M751" s="14" t="n">
        <x:v>5</x:v>
      </x:c>
      <x:c r="N751" s="14" t="n">
        <x:v>3</x:v>
      </x:c>
      <x:c r="O751" s="15" t="n">
        <x:f>IF(M751=0,"해당 없음",N751/M751)</x:f>
        <x:v>0.6</x:v>
      </x:c>
      <x:c r="P751" s="14" t="n">
        <x:v>105</x:v>
      </x:c>
    </x:row>
    <x:row r="752" ht="22" customHeight="1">
      <x:c r="A752" s="14" t="n">
        <x:v>374</x:v>
      </x:c>
      <x:c r="B752" s="14" t="n">
        <x:v>10</x:v>
      </x:c>
      <x:c r="C752" s="14" t="n">
        <x:v>76006</x:v>
      </x:c>
      <x:c r="D752" s="2" t="str">
        <x:v>RED</x:v>
      </x:c>
      <x:c r="E752" s="2" t="str">
        <x:v>120만</x:v>
      </x:c>
      <x:c r="F752" s="2" t="str">
        <x:v>0만</x:v>
      </x:c>
      <x:c r="G752" s="2" t="str">
        <x:v>승</x:v>
      </x:c>
      <x:c r="H752" s="14" t="n">
        <x:v>6</x:v>
      </x:c>
      <x:c r="I752" s="14" t="n">
        <x:v>1</x:v>
      </x:c>
      <x:c r="J752" s="14" t="n">
        <x:v>12</x:v>
      </x:c>
      <x:c r="K752" s="14" t="n">
        <x:v>6</x:v>
      </x:c>
      <x:c r="L752" s="15" t="n">
        <x:f>IF(J752=0,"해당 없음",K752/J752)</x:f>
        <x:v>0.5</x:v>
      </x:c>
      <x:c r="M752" s="14" t="n">
        <x:v>6</x:v>
      </x:c>
      <x:c r="N752" s="14" t="n">
        <x:v>5</x:v>
      </x:c>
      <x:c r="O752" s="15" t="n">
        <x:f>IF(M752=0,"해당 없음",N752/M752)</x:f>
        <x:v>0.8333333333333334</x:v>
      </x:c>
      <x:c r="P752" s="14" t="n">
        <x:v>106</x:v>
      </x:c>
    </x:row>
    <x:row r="753" ht="22" customHeight="1">
      <x:c r="A753" s="14" t="n">
        <x:v>374</x:v>
      </x:c>
      <x:c r="B753" s="14" t="n">
        <x:v>10</x:v>
      </x:c>
      <x:c r="C753" s="14" t="n">
        <x:v>76006</x:v>
      </x:c>
      <x:c r="D753" s="2" t="str">
        <x:v>NAVY</x:v>
      </x:c>
      <x:c r="E753" s="2" t="str">
        <x:v>0만</x:v>
      </x:c>
      <x:c r="F753" s="2" t="str">
        <x:v>120만</x:v>
      </x:c>
      <x:c r="G753" s="2" t="str">
        <x:v>패</x:v>
      </x:c>
      <x:c r="H753" s="14" t="n">
        <x:v>1</x:v>
      </x:c>
      <x:c r="I753" s="14" t="n">
        <x:v>6</x:v>
      </x:c>
      <x:c r="J753" s="14" t="n">
        <x:v>6</x:v>
      </x:c>
      <x:c r="K753" s="14" t="n">
        <x:v>1</x:v>
      </x:c>
      <x:c r="L753" s="15" t="n">
        <x:f>IF(J753=0,"해당 없음",K753/J753)</x:f>
        <x:v>0.16666666666666666</x:v>
      </x:c>
      <x:c r="M753" s="14" t="n">
        <x:v>9</x:v>
      </x:c>
      <x:c r="N753" s="14" t="n">
        <x:v>8</x:v>
      </x:c>
      <x:c r="O753" s="15" t="n">
        <x:f>IF(M753=0,"해당 없음",N753/M753)</x:f>
        <x:v>0.8888888888888888</x:v>
      </x:c>
      <x:c r="P753" s="14" t="n">
        <x:v>105</x:v>
      </x:c>
    </x:row>
    <x:row r="754" ht="22" customHeight="1">
      <x:c r="A754" s="14" t="n">
        <x:v>375</x:v>
      </x:c>
      <x:c r="B754" s="14" t="n">
        <x:v>10</x:v>
      </x:c>
      <x:c r="C754" s="14" t="n">
        <x:v>76007</x:v>
      </x:c>
      <x:c r="D754" s="2" t="str">
        <x:v>RED</x:v>
      </x:c>
      <x:c r="E754" s="2" t="str">
        <x:v>0만</x:v>
      </x:c>
      <x:c r="F754" s="2" t="str">
        <x:v>120만</x:v>
      </x:c>
      <x:c r="G754" s="2" t="str">
        <x:v>패</x:v>
      </x:c>
      <x:c r="H754" s="14" t="n">
        <x:v>0</x:v>
      </x:c>
      <x:c r="I754" s="14" t="n">
        <x:v>14</x:v>
      </x:c>
      <x:c r="J754" s="14" t="n">
        <x:v>2</x:v>
      </x:c>
      <x:c r="K754" s="14" t="n">
        <x:v>0</x:v>
      </x:c>
      <x:c r="L754" s="15" t="n">
        <x:f>IF(J754=0,"해당 없음",K754/J754)</x:f>
        <x:v>0</x:v>
      </x:c>
      <x:c r="M754" s="14" t="n">
        <x:v>4</x:v>
      </x:c>
      <x:c r="N754" s="14" t="n">
        <x:v>3</x:v>
      </x:c>
      <x:c r="O754" s="15" t="n">
        <x:f>IF(M754=0,"해당 없음",N754/M754)</x:f>
        <x:v>0.75</x:v>
      </x:c>
      <x:c r="P754" s="14" t="n">
        <x:v>107</x:v>
      </x:c>
    </x:row>
    <x:row r="755" ht="22" customHeight="1">
      <x:c r="A755" s="14" t="n">
        <x:v>375</x:v>
      </x:c>
      <x:c r="B755" s="14" t="n">
        <x:v>10</x:v>
      </x:c>
      <x:c r="C755" s="14" t="n">
        <x:v>76007</x:v>
      </x:c>
      <x:c r="D755" s="2" t="str">
        <x:v>NAVY</x:v>
      </x:c>
      <x:c r="E755" s="2" t="str">
        <x:v>120만</x:v>
      </x:c>
      <x:c r="F755" s="2" t="str">
        <x:v>0만</x:v>
      </x:c>
      <x:c r="G755" s="2" t="str">
        <x:v>승</x:v>
      </x:c>
      <x:c r="H755" s="14" t="n">
        <x:v>14</x:v>
      </x:c>
      <x:c r="I755" s="14" t="n">
        <x:v>0</x:v>
      </x:c>
      <x:c r="J755" s="14" t="n">
        <x:v>17</x:v>
      </x:c>
      <x:c r="K755" s="14" t="n">
        <x:v>14</x:v>
      </x:c>
      <x:c r="L755" s="15" t="n">
        <x:f>IF(J755=0,"해당 없음",K755/J755)</x:f>
        <x:v>0.8235294117647058</x:v>
      </x:c>
      <x:c r="M755" s="14" t="n">
        <x:v>9</x:v>
      </x:c>
      <x:c r="N755" s="14" t="n">
        <x:v>6</x:v>
      </x:c>
      <x:c r="O755" s="15" t="n">
        <x:f>IF(M755=0,"해당 없음",N755/M755)</x:f>
        <x:v>0.6666666666666666</x:v>
      </x:c>
      <x:c r="P755" s="14" t="n">
        <x:v>108</x:v>
      </x:c>
    </x:row>
    <x:row r="756" ht="22" customHeight="1">
      <x:c r="A756" s="14" t="n">
        <x:v>376</x:v>
      </x:c>
      <x:c r="B756" s="14" t="n">
        <x:v>10</x:v>
      </x:c>
      <x:c r="C756" s="14" t="n">
        <x:v>76007</x:v>
      </x:c>
      <x:c r="D756" s="2" t="str">
        <x:v>RED</x:v>
      </x:c>
      <x:c r="E756" s="2" t="str">
        <x:v>120만</x:v>
      </x:c>
      <x:c r="F756" s="2" t="str">
        <x:v>0만</x:v>
      </x:c>
      <x:c r="G756" s="2" t="str">
        <x:v>승</x:v>
      </x:c>
      <x:c r="H756" s="14" t="n">
        <x:v>10</x:v>
      </x:c>
      <x:c r="I756" s="14" t="n">
        <x:v>1</x:v>
      </x:c>
      <x:c r="J756" s="14" t="n">
        <x:v>16</x:v>
      </x:c>
      <x:c r="K756" s="14" t="n">
        <x:v>10</x:v>
      </x:c>
      <x:c r="L756" s="15" t="n">
        <x:f>IF(J756=0,"해당 없음",K756/J756)</x:f>
        <x:v>0.625</x:v>
      </x:c>
      <x:c r="M756" s="14" t="n">
        <x:v>5</x:v>
      </x:c>
      <x:c r="N756" s="14" t="n">
        <x:v>5</x:v>
      </x:c>
      <x:c r="O756" s="15" t="n">
        <x:f>IF(M756=0,"해당 없음",N756/M756)</x:f>
        <x:v>1</x:v>
      </x:c>
      <x:c r="P756" s="14" t="n">
        <x:v>106</x:v>
      </x:c>
    </x:row>
    <x:row r="757" ht="22" customHeight="1">
      <x:c r="A757" s="14" t="n">
        <x:v>376</x:v>
      </x:c>
      <x:c r="B757" s="14" t="n">
        <x:v>10</x:v>
      </x:c>
      <x:c r="C757" s="14" t="n">
        <x:v>76007</x:v>
      </x:c>
      <x:c r="D757" s="2" t="str">
        <x:v>NAVY</x:v>
      </x:c>
      <x:c r="E757" s="2" t="str">
        <x:v>0만</x:v>
      </x:c>
      <x:c r="F757" s="2" t="str">
        <x:v>120만</x:v>
      </x:c>
      <x:c r="G757" s="2" t="str">
        <x:v>패</x:v>
      </x:c>
      <x:c r="H757" s="14" t="n">
        <x:v>1</x:v>
      </x:c>
      <x:c r="I757" s="14" t="n">
        <x:v>10</x:v>
      </x:c>
      <x:c r="J757" s="14" t="n">
        <x:v>2</x:v>
      </x:c>
      <x:c r="K757" s="14" t="n">
        <x:v>1</x:v>
      </x:c>
      <x:c r="L757" s="15" t="n">
        <x:f>IF(J757=0,"해당 없음",K757/J757)</x:f>
        <x:v>0.5</x:v>
      </x:c>
      <x:c r="M757" s="14" t="n">
        <x:v>5</x:v>
      </x:c>
      <x:c r="N757" s="14" t="n">
        <x:v>5</x:v>
      </x:c>
      <x:c r="O757" s="15" t="n">
        <x:f>IF(M757=0,"해당 없음",N757/M757)</x:f>
        <x:v>1</x:v>
      </x:c>
      <x:c r="P757" s="14" t="n">
        <x:v>105</x:v>
      </x:c>
    </x:row>
    <x:row r="758" ht="22" customHeight="1">
      <x:c r="A758" s="14" t="n">
        <x:v>377</x:v>
      </x:c>
      <x:c r="B758" s="14" t="n">
        <x:v>10</x:v>
      </x:c>
      <x:c r="C758" s="14" t="n">
        <x:v>76008</x:v>
      </x:c>
      <x:c r="D758" s="2" t="str">
        <x:v>RED</x:v>
      </x:c>
      <x:c r="E758" s="2" t="str">
        <x:v>0만</x:v>
      </x:c>
      <x:c r="F758" s="2" t="str">
        <x:v>120만</x:v>
      </x:c>
      <x:c r="G758" s="2" t="str">
        <x:v>패</x:v>
      </x:c>
      <x:c r="H758" s="14" t="n">
        <x:v>1</x:v>
      </x:c>
      <x:c r="I758" s="14" t="n">
        <x:v>6</x:v>
      </x:c>
      <x:c r="J758" s="14" t="n">
        <x:v>5</x:v>
      </x:c>
      <x:c r="K758" s="14" t="n">
        <x:v>1</x:v>
      </x:c>
      <x:c r="L758" s="15" t="n">
        <x:f>IF(J758=0,"해당 없음",K758/J758)</x:f>
        <x:v>0.2</x:v>
      </x:c>
      <x:c r="M758" s="14" t="n">
        <x:v>7</x:v>
      </x:c>
      <x:c r="N758" s="14" t="n">
        <x:v>5</x:v>
      </x:c>
      <x:c r="O758" s="15" t="n">
        <x:f>IF(M758=0,"해당 없음",N758/M758)</x:f>
        <x:v>0.7142857142857143</x:v>
      </x:c>
      <x:c r="P758" s="14" t="n">
        <x:v>104</x:v>
      </x:c>
    </x:row>
    <x:row r="759" ht="22" customHeight="1">
      <x:c r="A759" s="14" t="n">
        <x:v>377</x:v>
      </x:c>
      <x:c r="B759" s="14" t="n">
        <x:v>10</x:v>
      </x:c>
      <x:c r="C759" s="14" t="n">
        <x:v>76008</x:v>
      </x:c>
      <x:c r="D759" s="2" t="str">
        <x:v>NAVY</x:v>
      </x:c>
      <x:c r="E759" s="2" t="str">
        <x:v>120만</x:v>
      </x:c>
      <x:c r="F759" s="2" t="str">
        <x:v>0만</x:v>
      </x:c>
      <x:c r="G759" s="2" t="str">
        <x:v>승</x:v>
      </x:c>
      <x:c r="H759" s="14" t="n">
        <x:v>6</x:v>
      </x:c>
      <x:c r="I759" s="14" t="n">
        <x:v>1</x:v>
      </x:c>
      <x:c r="J759" s="14" t="n">
        <x:v>10</x:v>
      </x:c>
      <x:c r="K759" s="14" t="n">
        <x:v>6</x:v>
      </x:c>
      <x:c r="L759" s="15" t="n">
        <x:f>IF(J759=0,"해당 없음",K759/J759)</x:f>
        <x:v>0.6</x:v>
      </x:c>
      <x:c r="M759" s="14" t="n">
        <x:v>6</x:v>
      </x:c>
      <x:c r="N759" s="14" t="n">
        <x:v>3</x:v>
      </x:c>
      <x:c r="O759" s="15" t="n">
        <x:f>IF(M759=0,"해당 없음",N759/M759)</x:f>
        <x:v>0.5</x:v>
      </x:c>
      <x:c r="P759" s="14" t="n">
        <x:v>103</x:v>
      </x:c>
    </x:row>
    <x:row r="760" ht="22" customHeight="1">
      <x:c r="A760" s="14" t="n">
        <x:v>378</x:v>
      </x:c>
      <x:c r="B760" s="14" t="n">
        <x:v>10</x:v>
      </x:c>
      <x:c r="C760" s="14" t="n">
        <x:v>76008</x:v>
      </x:c>
      <x:c r="D760" s="2" t="str">
        <x:v>RED</x:v>
      </x:c>
      <x:c r="E760" s="2" t="str">
        <x:v>120만</x:v>
      </x:c>
      <x:c r="F760" s="2" t="str">
        <x:v>0만</x:v>
      </x:c>
      <x:c r="G760" s="2" t="str">
        <x:v>승</x:v>
      </x:c>
      <x:c r="H760" s="14" t="n">
        <x:v>8</x:v>
      </x:c>
      <x:c r="I760" s="14" t="n">
        <x:v>1</x:v>
      </x:c>
      <x:c r="J760" s="14" t="n">
        <x:v>17</x:v>
      </x:c>
      <x:c r="K760" s="14" t="n">
        <x:v>8</x:v>
      </x:c>
      <x:c r="L760" s="15" t="n">
        <x:f>IF(J760=0,"해당 없음",K760/J760)</x:f>
        <x:v>0.47058823529411764</x:v>
      </x:c>
      <x:c r="M760" s="14" t="n">
        <x:v>8</x:v>
      </x:c>
      <x:c r="N760" s="14" t="n">
        <x:v>6</x:v>
      </x:c>
      <x:c r="O760" s="15" t="n">
        <x:f>IF(M760=0,"해당 없음",N760/M760)</x:f>
        <x:v>0.75</x:v>
      </x:c>
      <x:c r="P760" s="14" t="n">
        <x:v>106</x:v>
      </x:c>
    </x:row>
    <x:row r="761" ht="22" customHeight="1">
      <x:c r="A761" s="14" t="n">
        <x:v>378</x:v>
      </x:c>
      <x:c r="B761" s="14" t="n">
        <x:v>10</x:v>
      </x:c>
      <x:c r="C761" s="14" t="n">
        <x:v>76008</x:v>
      </x:c>
      <x:c r="D761" s="2" t="str">
        <x:v>NAVY</x:v>
      </x:c>
      <x:c r="E761" s="2" t="str">
        <x:v>0만</x:v>
      </x:c>
      <x:c r="F761" s="2" t="str">
        <x:v>120만</x:v>
      </x:c>
      <x:c r="G761" s="2" t="str">
        <x:v>패</x:v>
      </x:c>
      <x:c r="H761" s="14" t="n">
        <x:v>1</x:v>
      </x:c>
      <x:c r="I761" s="14" t="n">
        <x:v>8</x:v>
      </x:c>
      <x:c r="J761" s="14" t="n">
        <x:v>2</x:v>
      </x:c>
      <x:c r="K761" s="14" t="n">
        <x:v>1</x:v>
      </x:c>
      <x:c r="L761" s="15" t="n">
        <x:f>IF(J761=0,"해당 없음",K761/J761)</x:f>
        <x:v>0.5</x:v>
      </x:c>
      <x:c r="M761" s="14" t="n">
        <x:v>5</x:v>
      </x:c>
      <x:c r="N761" s="14" t="n">
        <x:v>2</x:v>
      </x:c>
      <x:c r="O761" s="15" t="n">
        <x:f>IF(M761=0,"해당 없음",N761/M761)</x:f>
        <x:v>0.4</x:v>
      </x:c>
      <x:c r="P761" s="14" t="n">
        <x:v>103</x:v>
      </x:c>
    </x:row>
    <x:row r="762" ht="22" customHeight="1">
      <x:c r="A762" s="14" t="n">
        <x:v>379</x:v>
      </x:c>
      <x:c r="B762" s="14" t="n">
        <x:v>10</x:v>
      </x:c>
      <x:c r="C762" s="14" t="n">
        <x:v>76009</x:v>
      </x:c>
      <x:c r="D762" s="2" t="str">
        <x:v>RED</x:v>
      </x:c>
      <x:c r="E762" s="2" t="str">
        <x:v>0만</x:v>
      </x:c>
      <x:c r="F762" s="2" t="str">
        <x:v>120만</x:v>
      </x:c>
      <x:c r="G762" s="2" t="str">
        <x:v>패</x:v>
      </x:c>
      <x:c r="H762" s="14" t="n">
        <x:v>2</x:v>
      </x:c>
      <x:c r="I762" s="14" t="n">
        <x:v>3</x:v>
      </x:c>
      <x:c r="J762" s="14" t="n">
        <x:v>4</x:v>
      </x:c>
      <x:c r="K762" s="14" t="n">
        <x:v>2</x:v>
      </x:c>
      <x:c r="L762" s="15" t="n">
        <x:f>IF(J762=0,"해당 없음",K762/J762)</x:f>
        <x:v>0.5</x:v>
      </x:c>
      <x:c r="M762" s="14" t="n">
        <x:v>3</x:v>
      </x:c>
      <x:c r="N762" s="14" t="n">
        <x:v>3</x:v>
      </x:c>
      <x:c r="O762" s="15" t="n">
        <x:f>IF(M762=0,"해당 없음",N762/M762)</x:f>
        <x:v>1</x:v>
      </x:c>
      <x:c r="P762" s="14" t="n">
        <x:v>102</x:v>
      </x:c>
    </x:row>
    <x:row r="763" ht="22" customHeight="1">
      <x:c r="A763" s="14" t="n">
        <x:v>379</x:v>
      </x:c>
      <x:c r="B763" s="14" t="n">
        <x:v>10</x:v>
      </x:c>
      <x:c r="C763" s="14" t="n">
        <x:v>76009</x:v>
      </x:c>
      <x:c r="D763" s="2" t="str">
        <x:v>NAVY</x:v>
      </x:c>
      <x:c r="E763" s="2" t="str">
        <x:v>120만</x:v>
      </x:c>
      <x:c r="F763" s="2" t="str">
        <x:v>0만</x:v>
      </x:c>
      <x:c r="G763" s="2" t="str">
        <x:v>승</x:v>
      </x:c>
      <x:c r="H763" s="14" t="n">
        <x:v>3</x:v>
      </x:c>
      <x:c r="I763" s="14" t="n">
        <x:v>2</x:v>
      </x:c>
      <x:c r="J763" s="14" t="n">
        <x:v>12</x:v>
      </x:c>
      <x:c r="K763" s="14" t="n">
        <x:v>3</x:v>
      </x:c>
      <x:c r="L763" s="15" t="n">
        <x:f>IF(J763=0,"해당 없음",K763/J763)</x:f>
        <x:v>0.25</x:v>
      </x:c>
      <x:c r="M763" s="14" t="n">
        <x:v>8</x:v>
      </x:c>
      <x:c r="N763" s="14" t="n">
        <x:v>8</x:v>
      </x:c>
      <x:c r="O763" s="15" t="n">
        <x:f>IF(M763=0,"해당 없음",N763/M763)</x:f>
        <x:v>1</x:v>
      </x:c>
      <x:c r="P763" s="14" t="n">
        <x:v>101</x:v>
      </x:c>
    </x:row>
    <x:row r="764" ht="22" customHeight="1">
      <x:c r="A764" s="14" t="n">
        <x:v>380</x:v>
      </x:c>
      <x:c r="B764" s="14" t="n">
        <x:v>10</x:v>
      </x:c>
      <x:c r="C764" s="14" t="n">
        <x:v>76009</x:v>
      </x:c>
      <x:c r="D764" s="2" t="str">
        <x:v>RED</x:v>
      </x:c>
      <x:c r="E764" s="2" t="str">
        <x:v>120만</x:v>
      </x:c>
      <x:c r="F764" s="2" t="str">
        <x:v>0만</x:v>
      </x:c>
      <x:c r="G764" s="2" t="str">
        <x:v>승</x:v>
      </x:c>
      <x:c r="H764" s="14" t="n">
        <x:v>11</x:v>
      </x:c>
      <x:c r="I764" s="14" t="n">
        <x:v>0</x:v>
      </x:c>
      <x:c r="J764" s="14" t="n">
        <x:v>18</x:v>
      </x:c>
      <x:c r="K764" s="14" t="n">
        <x:v>11</x:v>
      </x:c>
      <x:c r="L764" s="15" t="n">
        <x:f>IF(J764=0,"해당 없음",K764/J764)</x:f>
        <x:v>0.6111111111111112</x:v>
      </x:c>
      <x:c r="M764" s="14" t="n">
        <x:v>8</x:v>
      </x:c>
      <x:c r="N764" s="14" t="n">
        <x:v>8</x:v>
      </x:c>
      <x:c r="O764" s="15" t="n">
        <x:f>IF(M764=0,"해당 없음",N764/M764)</x:f>
        <x:v>1</x:v>
      </x:c>
      <x:c r="P764" s="14" t="n">
        <x:v>107</x:v>
      </x:c>
    </x:row>
    <x:row r="765" ht="22" customHeight="1">
      <x:c r="A765" s="14" t="n">
        <x:v>380</x:v>
      </x:c>
      <x:c r="B765" s="14" t="n">
        <x:v>10</x:v>
      </x:c>
      <x:c r="C765" s="14" t="n">
        <x:v>76009</x:v>
      </x:c>
      <x:c r="D765" s="2" t="str">
        <x:v>NAVY</x:v>
      </x:c>
      <x:c r="E765" s="2" t="str">
        <x:v>0만</x:v>
      </x:c>
      <x:c r="F765" s="2" t="str">
        <x:v>120만</x:v>
      </x:c>
      <x:c r="G765" s="2" t="str">
        <x:v>패</x:v>
      </x:c>
      <x:c r="H765" s="14" t="n">
        <x:v>0</x:v>
      </x:c>
      <x:c r="I765" s="14" t="n">
        <x:v>11</x:v>
      </x:c>
      <x:c r="J765" s="14" t="n">
        <x:v>3</x:v>
      </x:c>
      <x:c r="K765" s="14" t="n">
        <x:v>0</x:v>
      </x:c>
      <x:c r="L765" s="15" t="n">
        <x:f>IF(J765=0,"해당 없음",K765/J765)</x:f>
        <x:v>0</x:v>
      </x:c>
      <x:c r="M765" s="14" t="n">
        <x:v>4</x:v>
      </x:c>
      <x:c r="N765" s="14" t="n">
        <x:v>0</x:v>
      </x:c>
      <x:c r="O765" s="15" t="n">
        <x:f>IF(M765=0,"해당 없음",N765/M765)</x:f>
        <x:v>0</x:v>
      </x:c>
      <x:c r="P765" s="14" t="n">
        <x:v>106</x:v>
      </x:c>
    </x:row>
    <x:row r="766" ht="22" customHeight="1">
      <x:c r="A766" s="14" t="n">
        <x:v>381</x:v>
      </x:c>
      <x:c r="B766" s="14" t="n">
        <x:v>10</x:v>
      </x:c>
      <x:c r="C766" s="14" t="n">
        <x:v>76010</x:v>
      </x:c>
      <x:c r="D766" s="2" t="str">
        <x:v>RED</x:v>
      </x:c>
      <x:c r="E766" s="2" t="str">
        <x:v>0만</x:v>
      </x:c>
      <x:c r="F766" s="2" t="str">
        <x:v>120만</x:v>
      </x:c>
      <x:c r="G766" s="2" t="str">
        <x:v>패</x:v>
      </x:c>
      <x:c r="H766" s="14" t="n">
        <x:v>3</x:v>
      </x:c>
      <x:c r="I766" s="14" t="n">
        <x:v>7</x:v>
      </x:c>
      <x:c r="J766" s="14" t="n">
        <x:v>5</x:v>
      </x:c>
      <x:c r="K766" s="14" t="n">
        <x:v>3</x:v>
      </x:c>
      <x:c r="L766" s="15" t="n">
        <x:f>IF(J766=0,"해당 없음",K766/J766)</x:f>
        <x:v>0.6</x:v>
      </x:c>
      <x:c r="M766" s="14" t="n">
        <x:v>3</x:v>
      </x:c>
      <x:c r="N766" s="14" t="n">
        <x:v>2</x:v>
      </x:c>
      <x:c r="O766" s="15" t="n">
        <x:f>IF(M766=0,"해당 없음",N766/M766)</x:f>
        <x:v>0.6666666666666666</x:v>
      </x:c>
      <x:c r="P766" s="14" t="n">
        <x:v>106</x:v>
      </x:c>
    </x:row>
    <x:row r="767" ht="22" customHeight="1">
      <x:c r="A767" s="14" t="n">
        <x:v>381</x:v>
      </x:c>
      <x:c r="B767" s="14" t="n">
        <x:v>10</x:v>
      </x:c>
      <x:c r="C767" s="14" t="n">
        <x:v>76010</x:v>
      </x:c>
      <x:c r="D767" s="2" t="str">
        <x:v>NAVY</x:v>
      </x:c>
      <x:c r="E767" s="2" t="str">
        <x:v>120만</x:v>
      </x:c>
      <x:c r="F767" s="2" t="str">
        <x:v>0만</x:v>
      </x:c>
      <x:c r="G767" s="2" t="str">
        <x:v>승</x:v>
      </x:c>
      <x:c r="H767" s="14" t="n">
        <x:v>7</x:v>
      </x:c>
      <x:c r="I767" s="14" t="n">
        <x:v>3</x:v>
      </x:c>
      <x:c r="J767" s="14" t="n">
        <x:v>13</x:v>
      </x:c>
      <x:c r="K767" s="14" t="n">
        <x:v>7</x:v>
      </x:c>
      <x:c r="L767" s="15" t="n">
        <x:f>IF(J767=0,"해당 없음",K767/J767)</x:f>
        <x:v>0.5384615384615384</x:v>
      </x:c>
      <x:c r="M767" s="14" t="n">
        <x:v>6</x:v>
      </x:c>
      <x:c r="N767" s="14" t="n">
        <x:v>4</x:v>
      </x:c>
      <x:c r="O767" s="15" t="n">
        <x:f>IF(M767=0,"해당 없음",N767/M767)</x:f>
        <x:v>0.6666666666666666</x:v>
      </x:c>
      <x:c r="P767" s="14" t="n">
        <x:v>106</x:v>
      </x:c>
    </x:row>
    <x:row r="768" ht="22" customHeight="1">
      <x:c r="A768" s="14" t="n">
        <x:v>382</x:v>
      </x:c>
      <x:c r="B768" s="14" t="n">
        <x:v>10</x:v>
      </x:c>
      <x:c r="C768" s="14" t="n">
        <x:v>76010</x:v>
      </x:c>
      <x:c r="D768" s="2" t="str">
        <x:v>RED</x:v>
      </x:c>
      <x:c r="E768" s="2" t="str">
        <x:v>120만</x:v>
      </x:c>
      <x:c r="F768" s="2" t="str">
        <x:v>0만</x:v>
      </x:c>
      <x:c r="G768" s="2" t="str">
        <x:v>승</x:v>
      </x:c>
      <x:c r="H768" s="14" t="n">
        <x:v>7</x:v>
      </x:c>
      <x:c r="I768" s="14" t="n">
        <x:v>0</x:v>
      </x:c>
      <x:c r="J768" s="14" t="n">
        <x:v>14</x:v>
      </x:c>
      <x:c r="K768" s="14" t="n">
        <x:v>7</x:v>
      </x:c>
      <x:c r="L768" s="15" t="n">
        <x:f>IF(J768=0,"해당 없음",K768/J768)</x:f>
        <x:v>0.5</x:v>
      </x:c>
      <x:c r="M768" s="14" t="n">
        <x:v>5</x:v>
      </x:c>
      <x:c r="N768" s="14" t="n">
        <x:v>5</x:v>
      </x:c>
      <x:c r="O768" s="15" t="n">
        <x:f>IF(M768=0,"해당 없음",N768/M768)</x:f>
        <x:v>1</x:v>
      </x:c>
      <x:c r="P768" s="14" t="n">
        <x:v>104</x:v>
      </x:c>
    </x:row>
    <x:row r="769" ht="22" customHeight="1">
      <x:c r="A769" s="14" t="n">
        <x:v>382</x:v>
      </x:c>
      <x:c r="B769" s="14" t="n">
        <x:v>10</x:v>
      </x:c>
      <x:c r="C769" s="14" t="n">
        <x:v>76010</x:v>
      </x:c>
      <x:c r="D769" s="2" t="str">
        <x:v>NAVY</x:v>
      </x:c>
      <x:c r="E769" s="2" t="str">
        <x:v>0만</x:v>
      </x:c>
      <x:c r="F769" s="2" t="str">
        <x:v>120만</x:v>
      </x:c>
      <x:c r="G769" s="2" t="str">
        <x:v>패</x:v>
      </x:c>
      <x:c r="H769" s="14" t="n">
        <x:v>0</x:v>
      </x:c>
      <x:c r="I769" s="14" t="n">
        <x:v>7</x:v>
      </x:c>
      <x:c r="J769" s="14" t="n">
        <x:v>5</x:v>
      </x:c>
      <x:c r="K769" s="14" t="n">
        <x:v>0</x:v>
      </x:c>
      <x:c r="L769" s="15" t="n">
        <x:f>IF(J769=0,"해당 없음",K769/J769)</x:f>
        <x:v>0</x:v>
      </x:c>
      <x:c r="M769" s="14" t="n">
        <x:v>6</x:v>
      </x:c>
      <x:c r="N769" s="14" t="n">
        <x:v>5</x:v>
      </x:c>
      <x:c r="O769" s="15" t="n">
        <x:f>IF(M769=0,"해당 없음",N769/M769)</x:f>
        <x:v>0.8333333333333334</x:v>
      </x:c>
      <x:c r="P769" s="14" t="n">
        <x:v>104</x:v>
      </x:c>
    </x:row>
    <x:row r="770" ht="22" customHeight="1">
      <x:c r="A770" s="14" t="n">
        <x:v>383</x:v>
      </x:c>
      <x:c r="B770" s="14" t="n">
        <x:v>10</x:v>
      </x:c>
      <x:c r="C770" s="14" t="n">
        <x:v>76011</x:v>
      </x:c>
      <x:c r="D770" s="2" t="str">
        <x:v>RED</x:v>
      </x:c>
      <x:c r="E770" s="2" t="str">
        <x:v>0만</x:v>
      </x:c>
      <x:c r="F770" s="2" t="str">
        <x:v>120만</x:v>
      </x:c>
      <x:c r="G770" s="2" t="str">
        <x:v>패</x:v>
      </x:c>
      <x:c r="H770" s="14" t="n">
        <x:v>1</x:v>
      </x:c>
      <x:c r="I770" s="14" t="n">
        <x:v>7</x:v>
      </x:c>
      <x:c r="J770" s="14" t="n">
        <x:v>5</x:v>
      </x:c>
      <x:c r="K770" s="14" t="n">
        <x:v>1</x:v>
      </x:c>
      <x:c r="L770" s="15" t="n">
        <x:f>IF(J770=0,"해당 없음",K770/J770)</x:f>
        <x:v>0.2</x:v>
      </x:c>
      <x:c r="M770" s="14" t="n">
        <x:v>6</x:v>
      </x:c>
      <x:c r="N770" s="14" t="n">
        <x:v>5</x:v>
      </x:c>
      <x:c r="O770" s="15" t="n">
        <x:f>IF(M770=0,"해당 없음",N770/M770)</x:f>
        <x:v>0.8333333333333334</x:v>
      </x:c>
      <x:c r="P770" s="14" t="n">
        <x:v>106</x:v>
      </x:c>
    </x:row>
    <x:row r="771" ht="22" customHeight="1">
      <x:c r="A771" s="14" t="n">
        <x:v>383</x:v>
      </x:c>
      <x:c r="B771" s="14" t="n">
        <x:v>10</x:v>
      </x:c>
      <x:c r="C771" s="14" t="n">
        <x:v>76011</x:v>
      </x:c>
      <x:c r="D771" s="2" t="str">
        <x:v>NAVY</x:v>
      </x:c>
      <x:c r="E771" s="2" t="str">
        <x:v>120만</x:v>
      </x:c>
      <x:c r="F771" s="2" t="str">
        <x:v>0만</x:v>
      </x:c>
      <x:c r="G771" s="2" t="str">
        <x:v>승</x:v>
      </x:c>
      <x:c r="H771" s="14" t="n">
        <x:v>7</x:v>
      </x:c>
      <x:c r="I771" s="14" t="n">
        <x:v>1</x:v>
      </x:c>
      <x:c r="J771" s="14" t="n">
        <x:v>12</x:v>
      </x:c>
      <x:c r="K771" s="14" t="n">
        <x:v>7</x:v>
      </x:c>
      <x:c r="L771" s="15" t="n">
        <x:f>IF(J771=0,"해당 없음",K771/J771)</x:f>
        <x:v>0.5833333333333334</x:v>
      </x:c>
      <x:c r="M771" s="14" t="n">
        <x:v>6</x:v>
      </x:c>
      <x:c r="N771" s="14" t="n">
        <x:v>6</x:v>
      </x:c>
      <x:c r="O771" s="15" t="n">
        <x:f>IF(M771=0,"해당 없음",N771/M771)</x:f>
        <x:v>1</x:v>
      </x:c>
      <x:c r="P771" s="14" t="n">
        <x:v>106</x:v>
      </x:c>
    </x:row>
    <x:row r="772" ht="22" customHeight="1">
      <x:c r="A772" s="14" t="n">
        <x:v>384</x:v>
      </x:c>
      <x:c r="B772" s="14" t="n">
        <x:v>10</x:v>
      </x:c>
      <x:c r="C772" s="14" t="n">
        <x:v>76011</x:v>
      </x:c>
      <x:c r="D772" s="2" t="str">
        <x:v>RED</x:v>
      </x:c>
      <x:c r="E772" s="2" t="str">
        <x:v>120만</x:v>
      </x:c>
      <x:c r="F772" s="2" t="str">
        <x:v>0만</x:v>
      </x:c>
      <x:c r="G772" s="2" t="str">
        <x:v>승</x:v>
      </x:c>
      <x:c r="H772" s="14" t="n">
        <x:v>4</x:v>
      </x:c>
      <x:c r="I772" s="14" t="n">
        <x:v>2</x:v>
      </x:c>
      <x:c r="J772" s="14" t="n">
        <x:v>12</x:v>
      </x:c>
      <x:c r="K772" s="14" t="n">
        <x:v>4</x:v>
      </x:c>
      <x:c r="L772" s="15" t="n">
        <x:f>IF(J772=0,"해당 없음",K772/J772)</x:f>
        <x:v>0.3333333333333333</x:v>
      </x:c>
      <x:c r="M772" s="14" t="n">
        <x:v>8</x:v>
      </x:c>
      <x:c r="N772" s="14" t="n">
        <x:v>7</x:v>
      </x:c>
      <x:c r="O772" s="15" t="n">
        <x:f>IF(M772=0,"해당 없음",N772/M772)</x:f>
        <x:v>0.875</x:v>
      </x:c>
      <x:c r="P772" s="14" t="n">
        <x:v>103</x:v>
      </x:c>
    </x:row>
    <x:row r="773" ht="22" customHeight="1">
      <x:c r="A773" s="14" t="n">
        <x:v>384</x:v>
      </x:c>
      <x:c r="B773" s="14" t="n">
        <x:v>10</x:v>
      </x:c>
      <x:c r="C773" s="14" t="n">
        <x:v>76011</x:v>
      </x:c>
      <x:c r="D773" s="2" t="str">
        <x:v>NAVY</x:v>
      </x:c>
      <x:c r="E773" s="2" t="str">
        <x:v>0만</x:v>
      </x:c>
      <x:c r="F773" s="2" t="str">
        <x:v>120만</x:v>
      </x:c>
      <x:c r="G773" s="2" t="str">
        <x:v>패</x:v>
      </x:c>
      <x:c r="H773" s="14" t="n">
        <x:v>2</x:v>
      </x:c>
      <x:c r="I773" s="14" t="n">
        <x:v>4</x:v>
      </x:c>
      <x:c r="J773" s="14" t="n">
        <x:v>7</x:v>
      </x:c>
      <x:c r="K773" s="14" t="n">
        <x:v>2</x:v>
      </x:c>
      <x:c r="L773" s="15" t="n">
        <x:f>IF(J773=0,"해당 없음",K773/J773)</x:f>
        <x:v>0.2857142857142857</x:v>
      </x:c>
      <x:c r="M773" s="14" t="n">
        <x:v>6</x:v>
      </x:c>
      <x:c r="N773" s="14" t="n">
        <x:v>4</x:v>
      </x:c>
      <x:c r="O773" s="15" t="n">
        <x:f>IF(M773=0,"해당 없음",N773/M773)</x:f>
        <x:v>0.6666666666666666</x:v>
      </x:c>
      <x:c r="P773" s="14" t="n">
        <x:v>104</x:v>
      </x:c>
    </x:row>
    <x:row r="774" ht="22" customHeight="1">
      <x:c r="A774" s="14" t="n">
        <x:v>385</x:v>
      </x:c>
      <x:c r="B774" s="14" t="n">
        <x:v>10</x:v>
      </x:c>
      <x:c r="C774" s="14" t="n">
        <x:v>76012</x:v>
      </x:c>
      <x:c r="D774" s="2" t="str">
        <x:v>RED</x:v>
      </x:c>
      <x:c r="E774" s="2" t="str">
        <x:v>0만</x:v>
      </x:c>
      <x:c r="F774" s="2" t="str">
        <x:v>120만</x:v>
      </x:c>
      <x:c r="G774" s="2" t="str">
        <x:v>패</x:v>
      </x:c>
      <x:c r="H774" s="14" t="n">
        <x:v>2</x:v>
      </x:c>
      <x:c r="I774" s="14" t="n">
        <x:v>7</x:v>
      </x:c>
      <x:c r="J774" s="14" t="n">
        <x:v>5</x:v>
      </x:c>
      <x:c r="K774" s="14" t="n">
        <x:v>2</x:v>
      </x:c>
      <x:c r="L774" s="15" t="n">
        <x:f>IF(J774=0,"해당 없음",K774/J774)</x:f>
        <x:v>0.4</x:v>
      </x:c>
      <x:c r="M774" s="14" t="n">
        <x:v>12</x:v>
      </x:c>
      <x:c r="N774" s="14" t="n">
        <x:v>8</x:v>
      </x:c>
      <x:c r="O774" s="15" t="n">
        <x:f>IF(M774=0,"해당 없음",N774/M774)</x:f>
        <x:v>0.6666666666666666</x:v>
      </x:c>
      <x:c r="P774" s="14" t="n">
        <x:v>106</x:v>
      </x:c>
    </x:row>
    <x:row r="775" ht="22" customHeight="1">
      <x:c r="A775" s="14" t="n">
        <x:v>385</x:v>
      </x:c>
      <x:c r="B775" s="14" t="n">
        <x:v>10</x:v>
      </x:c>
      <x:c r="C775" s="14" t="n">
        <x:v>76012</x:v>
      </x:c>
      <x:c r="D775" s="2" t="str">
        <x:v>NAVY</x:v>
      </x:c>
      <x:c r="E775" s="2" t="str">
        <x:v>120만</x:v>
      </x:c>
      <x:c r="F775" s="2" t="str">
        <x:v>0만</x:v>
      </x:c>
      <x:c r="G775" s="2" t="str">
        <x:v>승</x:v>
      </x:c>
      <x:c r="H775" s="14" t="n">
        <x:v>7</x:v>
      </x:c>
      <x:c r="I775" s="14" t="n">
        <x:v>2</x:v>
      </x:c>
      <x:c r="J775" s="14" t="n">
        <x:v>15</x:v>
      </x:c>
      <x:c r="K775" s="14" t="n">
        <x:v>7</x:v>
      </x:c>
      <x:c r="L775" s="15" t="n">
        <x:f>IF(J775=0,"해당 없음",K775/J775)</x:f>
        <x:v>0.4666666666666667</x:v>
      </x:c>
      <x:c r="M775" s="14" t="n">
        <x:v>6</x:v>
      </x:c>
      <x:c r="N775" s="14" t="n">
        <x:v>6</x:v>
      </x:c>
      <x:c r="O775" s="15" t="n">
        <x:f>IF(M775=0,"해당 없음",N775/M775)</x:f>
        <x:v>1</x:v>
      </x:c>
      <x:c r="P775" s="14" t="n">
        <x:v>104</x:v>
      </x:c>
    </x:row>
    <x:row r="776" ht="22" customHeight="1">
      <x:c r="A776" s="14" t="n">
        <x:v>386</x:v>
      </x:c>
      <x:c r="B776" s="14" t="n">
        <x:v>10</x:v>
      </x:c>
      <x:c r="C776" s="14" t="n">
        <x:v>76012</x:v>
      </x:c>
      <x:c r="D776" s="2" t="str">
        <x:v>RED</x:v>
      </x:c>
      <x:c r="E776" s="2" t="str">
        <x:v>120만</x:v>
      </x:c>
      <x:c r="F776" s="2" t="str">
        <x:v>0만</x:v>
      </x:c>
      <x:c r="G776" s="2" t="str">
        <x:v>승</x:v>
      </x:c>
      <x:c r="H776" s="14" t="n">
        <x:v>7</x:v>
      </x:c>
      <x:c r="I776" s="14" t="n">
        <x:v>2</x:v>
      </x:c>
      <x:c r="J776" s="14" t="n">
        <x:v>13</x:v>
      </x:c>
      <x:c r="K776" s="14" t="n">
        <x:v>6</x:v>
      </x:c>
      <x:c r="L776" s="15" t="n">
        <x:f>IF(J776=0,"해당 없음",K776/J776)</x:f>
        <x:v>0.46153846153846156</x:v>
      </x:c>
      <x:c r="M776" s="14" t="n">
        <x:v>6</x:v>
      </x:c>
      <x:c r="N776" s="14" t="n">
        <x:v>6</x:v>
      </x:c>
      <x:c r="O776" s="15" t="n">
        <x:f>IF(M776=0,"해당 없음",N776/M776)</x:f>
        <x:v>1</x:v>
      </x:c>
      <x:c r="P776" s="14" t="n">
        <x:v>107</x:v>
      </x:c>
    </x:row>
    <x:row r="777" ht="22" customHeight="1">
      <x:c r="A777" s="14" t="n">
        <x:v>386</x:v>
      </x:c>
      <x:c r="B777" s="14" t="n">
        <x:v>10</x:v>
      </x:c>
      <x:c r="C777" s="14" t="n">
        <x:v>76012</x:v>
      </x:c>
      <x:c r="D777" s="2" t="str">
        <x:v>NAVY</x:v>
      </x:c>
      <x:c r="E777" s="2" t="str">
        <x:v>0만</x:v>
      </x:c>
      <x:c r="F777" s="2" t="str">
        <x:v>120만</x:v>
      </x:c>
      <x:c r="G777" s="2" t="str">
        <x:v>패</x:v>
      </x:c>
      <x:c r="H777" s="14" t="n">
        <x:v>2</x:v>
      </x:c>
      <x:c r="I777" s="14" t="n">
        <x:v>7</x:v>
      </x:c>
      <x:c r="J777" s="14" t="n">
        <x:v>4</x:v>
      </x:c>
      <x:c r="K777" s="14" t="n">
        <x:v>2</x:v>
      </x:c>
      <x:c r="L777" s="15" t="n">
        <x:f>IF(J777=0,"해당 없음",K777/J777)</x:f>
        <x:v>0.5</x:v>
      </x:c>
      <x:c r="M777" s="14" t="n">
        <x:v>9</x:v>
      </x:c>
      <x:c r="N777" s="14" t="n">
        <x:v>6</x:v>
      </x:c>
      <x:c r="O777" s="15" t="n">
        <x:f>IF(M777=0,"해당 없음",N777/M777)</x:f>
        <x:v>0.6666666666666666</x:v>
      </x:c>
      <x:c r="P777" s="14" t="n">
        <x:v>105</x:v>
      </x:c>
    </x:row>
    <x:row r="778" ht="22" customHeight="1">
      <x:c r="A778" s="14" t="n">
        <x:v>387</x:v>
      </x:c>
      <x:c r="B778" s="14" t="n">
        <x:v>10</x:v>
      </x:c>
      <x:c r="C778" s="14" t="n">
        <x:v>76013</x:v>
      </x:c>
      <x:c r="D778" s="2" t="str">
        <x:v>RED</x:v>
      </x:c>
      <x:c r="E778" s="2" t="str">
        <x:v>0만</x:v>
      </x:c>
      <x:c r="F778" s="2" t="str">
        <x:v>120만</x:v>
      </x:c>
      <x:c r="G778" s="2" t="str">
        <x:v>패</x:v>
      </x:c>
      <x:c r="H778" s="14" t="n">
        <x:v>0</x:v>
      </x:c>
      <x:c r="I778" s="14" t="n">
        <x:v>4</x:v>
      </x:c>
      <x:c r="J778" s="14" t="n">
        <x:v>6</x:v>
      </x:c>
      <x:c r="K778" s="14" t="n">
        <x:v>0</x:v>
      </x:c>
      <x:c r="L778" s="15" t="n">
        <x:f>IF(J778=0,"해당 없음",K778/J778)</x:f>
        <x:v>0</x:v>
      </x:c>
      <x:c r="M778" s="14" t="n">
        <x:v>8</x:v>
      </x:c>
      <x:c r="N778" s="14" t="n">
        <x:v>7</x:v>
      </x:c>
      <x:c r="O778" s="15" t="n">
        <x:f>IF(M778=0,"해당 없음",N778/M778)</x:f>
        <x:v>0.875</x:v>
      </x:c>
      <x:c r="P778" s="14" t="n">
        <x:v>102</x:v>
      </x:c>
    </x:row>
    <x:row r="779" ht="22" customHeight="1">
      <x:c r="A779" s="14" t="n">
        <x:v>387</x:v>
      </x:c>
      <x:c r="B779" s="14" t="n">
        <x:v>10</x:v>
      </x:c>
      <x:c r="C779" s="14" t="n">
        <x:v>76013</x:v>
      </x:c>
      <x:c r="D779" s="2" t="str">
        <x:v>NAVY</x:v>
      </x:c>
      <x:c r="E779" s="2" t="str">
        <x:v>120만</x:v>
      </x:c>
      <x:c r="F779" s="2" t="str">
        <x:v>0만</x:v>
      </x:c>
      <x:c r="G779" s="2" t="str">
        <x:v>승</x:v>
      </x:c>
      <x:c r="H779" s="14" t="n">
        <x:v>4</x:v>
      </x:c>
      <x:c r="I779" s="14" t="n">
        <x:v>0</x:v>
      </x:c>
      <x:c r="J779" s="14" t="n">
        <x:v>10</x:v>
      </x:c>
      <x:c r="K779" s="14" t="n">
        <x:v>4</x:v>
      </x:c>
      <x:c r="L779" s="15" t="n">
        <x:f>IF(J779=0,"해당 없음",K779/J779)</x:f>
        <x:v>0.4</x:v>
      </x:c>
      <x:c r="M779" s="14" t="n">
        <x:v>7</x:v>
      </x:c>
      <x:c r="N779" s="14" t="n">
        <x:v>6</x:v>
      </x:c>
      <x:c r="O779" s="15" t="n">
        <x:f>IF(M779=0,"해당 없음",N779/M779)</x:f>
        <x:v>0.8571428571428571</x:v>
      </x:c>
      <x:c r="P779" s="14" t="n">
        <x:v>105</x:v>
      </x:c>
    </x:row>
    <x:row r="780" ht="22" customHeight="1">
      <x:c r="A780" s="14" t="n">
        <x:v>388</x:v>
      </x:c>
      <x:c r="B780" s="14" t="n">
        <x:v>10</x:v>
      </x:c>
      <x:c r="C780" s="14" t="n">
        <x:v>76013</x:v>
      </x:c>
      <x:c r="D780" s="2" t="str">
        <x:v>RED</x:v>
      </x:c>
      <x:c r="E780" s="2" t="str">
        <x:v>120만</x:v>
      </x:c>
      <x:c r="F780" s="2" t="str">
        <x:v>0만</x:v>
      </x:c>
      <x:c r="G780" s="2" t="str">
        <x:v>승</x:v>
      </x:c>
      <x:c r="H780" s="14" t="n">
        <x:v>4</x:v>
      </x:c>
      <x:c r="I780" s="14" t="n">
        <x:v>3</x:v>
      </x:c>
      <x:c r="J780" s="14" t="n">
        <x:v>9</x:v>
      </x:c>
      <x:c r="K780" s="14" t="n">
        <x:v>4</x:v>
      </x:c>
      <x:c r="L780" s="15" t="n">
        <x:f>IF(J780=0,"해당 없음",K780/J780)</x:f>
        <x:v>0.4444444444444444</x:v>
      </x:c>
      <x:c r="M780" s="14" t="n">
        <x:v>4</x:v>
      </x:c>
      <x:c r="N780" s="14" t="n">
        <x:v>2</x:v>
      </x:c>
      <x:c r="O780" s="15" t="n">
        <x:f>IF(M780=0,"해당 없음",N780/M780)</x:f>
        <x:v>0.5</x:v>
      </x:c>
      <x:c r="P780" s="14" t="n">
        <x:v>105</x:v>
      </x:c>
    </x:row>
    <x:row r="781" ht="22" customHeight="1">
      <x:c r="A781" s="14" t="n">
        <x:v>388</x:v>
      </x:c>
      <x:c r="B781" s="14" t="n">
        <x:v>10</x:v>
      </x:c>
      <x:c r="C781" s="14" t="n">
        <x:v>76013</x:v>
      </x:c>
      <x:c r="D781" s="2" t="str">
        <x:v>NAVY</x:v>
      </x:c>
      <x:c r="E781" s="2" t="str">
        <x:v>0만</x:v>
      </x:c>
      <x:c r="F781" s="2" t="str">
        <x:v>120만</x:v>
      </x:c>
      <x:c r="G781" s="2" t="str">
        <x:v>패</x:v>
      </x:c>
      <x:c r="H781" s="14" t="n">
        <x:v>3</x:v>
      </x:c>
      <x:c r="I781" s="14" t="n">
        <x:v>4</x:v>
      </x:c>
      <x:c r="J781" s="14" t="n">
        <x:v>8</x:v>
      </x:c>
      <x:c r="K781" s="14" t="n">
        <x:v>3</x:v>
      </x:c>
      <x:c r="L781" s="15" t="n">
        <x:f>IF(J781=0,"해당 없음",K781/J781)</x:f>
        <x:v>0.375</x:v>
      </x:c>
      <x:c r="M781" s="14" t="n">
        <x:v>10</x:v>
      </x:c>
      <x:c r="N781" s="14" t="n">
        <x:v>7</x:v>
      </x:c>
      <x:c r="O781" s="15" t="n">
        <x:f>IF(M781=0,"해당 없음",N781/M781)</x:f>
        <x:v>0.7</x:v>
      </x:c>
      <x:c r="P781" s="14" t="n">
        <x:v>105</x:v>
      </x:c>
    </x:row>
    <x:row r="782" ht="22" customHeight="1">
      <x:c r="A782" s="14" t="n">
        <x:v>389</x:v>
      </x:c>
      <x:c r="B782" s="14" t="n">
        <x:v>10</x:v>
      </x:c>
      <x:c r="C782" s="14" t="n">
        <x:v>76014</x:v>
      </x:c>
      <x:c r="D782" s="2" t="str">
        <x:v>RED</x:v>
      </x:c>
      <x:c r="E782" s="2" t="str">
        <x:v>0만</x:v>
      </x:c>
      <x:c r="F782" s="2" t="str">
        <x:v>120만</x:v>
      </x:c>
      <x:c r="G782" s="2" t="str">
        <x:v>패</x:v>
      </x:c>
      <x:c r="H782" s="14" t="n">
        <x:v>0</x:v>
      </x:c>
      <x:c r="I782" s="14" t="n">
        <x:v>10</x:v>
      </x:c>
      <x:c r="J782" s="14" t="n">
        <x:v>4</x:v>
      </x:c>
      <x:c r="K782" s="14" t="n">
        <x:v>0</x:v>
      </x:c>
      <x:c r="L782" s="15" t="n">
        <x:f>IF(J782=0,"해당 없음",K782/J782)</x:f>
        <x:v>0</x:v>
      </x:c>
      <x:c r="M782" s="14" t="n">
        <x:v>5</x:v>
      </x:c>
      <x:c r="N782" s="14" t="n">
        <x:v>5</x:v>
      </x:c>
      <x:c r="O782" s="15" t="n">
        <x:f>IF(M782=0,"해당 없음",N782/M782)</x:f>
        <x:v>1</x:v>
      </x:c>
      <x:c r="P782" s="14" t="n">
        <x:v>103</x:v>
      </x:c>
    </x:row>
    <x:row r="783" ht="22" customHeight="1">
      <x:c r="A783" s="14" t="n">
        <x:v>389</x:v>
      </x:c>
      <x:c r="B783" s="14" t="n">
        <x:v>10</x:v>
      </x:c>
      <x:c r="C783" s="14" t="n">
        <x:v>76014</x:v>
      </x:c>
      <x:c r="D783" s="2" t="str">
        <x:v>NAVY</x:v>
      </x:c>
      <x:c r="E783" s="2" t="str">
        <x:v>120만</x:v>
      </x:c>
      <x:c r="F783" s="2" t="str">
        <x:v>0만</x:v>
      </x:c>
      <x:c r="G783" s="2" t="str">
        <x:v>승</x:v>
      </x:c>
      <x:c r="H783" s="14" t="n">
        <x:v>10</x:v>
      </x:c>
      <x:c r="I783" s="14" t="n">
        <x:v>0</x:v>
      </x:c>
      <x:c r="J783" s="14" t="n">
        <x:v>18</x:v>
      </x:c>
      <x:c r="K783" s="14" t="n">
        <x:v>10</x:v>
      </x:c>
      <x:c r="L783" s="15" t="n">
        <x:f>IF(J783=0,"해당 없음",K783/J783)</x:f>
        <x:v>0.5555555555555556</x:v>
      </x:c>
      <x:c r="M783" s="14" t="n">
        <x:v>8</x:v>
      </x:c>
      <x:c r="N783" s="14" t="n">
        <x:v>5</x:v>
      </x:c>
      <x:c r="O783" s="15" t="n">
        <x:f>IF(M783=0,"해당 없음",N783/M783)</x:f>
        <x:v>0.625</x:v>
      </x:c>
      <x:c r="P783" s="14" t="n">
        <x:v>103</x:v>
      </x:c>
    </x:row>
    <x:row r="784" ht="22" customHeight="1">
      <x:c r="A784" s="14" t="n">
        <x:v>390</x:v>
      </x:c>
      <x:c r="B784" s="14" t="n">
        <x:v>10</x:v>
      </x:c>
      <x:c r="C784" s="14" t="n">
        <x:v>76014</x:v>
      </x:c>
      <x:c r="D784" s="2" t="str">
        <x:v>RED</x:v>
      </x:c>
      <x:c r="E784" s="2" t="str">
        <x:v>120만</x:v>
      </x:c>
      <x:c r="F784" s="2" t="str">
        <x:v>0만</x:v>
      </x:c>
      <x:c r="G784" s="2" t="str">
        <x:v>승</x:v>
      </x:c>
      <x:c r="H784" s="14" t="n">
        <x:v>7</x:v>
      </x:c>
      <x:c r="I784" s="14" t="n">
        <x:v>3</x:v>
      </x:c>
      <x:c r="J784" s="14" t="n">
        <x:v>13</x:v>
      </x:c>
      <x:c r="K784" s="14" t="n">
        <x:v>7</x:v>
      </x:c>
      <x:c r="L784" s="15" t="n">
        <x:f>IF(J784=0,"해당 없음",K784/J784)</x:f>
        <x:v>0.5384615384615384</x:v>
      </x:c>
      <x:c r="M784" s="14" t="n">
        <x:v>9</x:v>
      </x:c>
      <x:c r="N784" s="14" t="n">
        <x:v>6</x:v>
      </x:c>
      <x:c r="O784" s="15" t="n">
        <x:f>IF(M784=0,"해당 없음",N784/M784)</x:f>
        <x:v>0.6666666666666666</x:v>
      </x:c>
      <x:c r="P784" s="14" t="n">
        <x:v>106</x:v>
      </x:c>
    </x:row>
    <x:row r="785" ht="22" customHeight="1">
      <x:c r="A785" s="14" t="n">
        <x:v>390</x:v>
      </x:c>
      <x:c r="B785" s="14" t="n">
        <x:v>10</x:v>
      </x:c>
      <x:c r="C785" s="14" t="n">
        <x:v>76014</x:v>
      </x:c>
      <x:c r="D785" s="2" t="str">
        <x:v>NAVY</x:v>
      </x:c>
      <x:c r="E785" s="2" t="str">
        <x:v>0만</x:v>
      </x:c>
      <x:c r="F785" s="2" t="str">
        <x:v>120만</x:v>
      </x:c>
      <x:c r="G785" s="2" t="str">
        <x:v>패</x:v>
      </x:c>
      <x:c r="H785" s="14" t="n">
        <x:v>3</x:v>
      </x:c>
      <x:c r="I785" s="14" t="n">
        <x:v>7</x:v>
      </x:c>
      <x:c r="J785" s="14" t="n">
        <x:v>5</x:v>
      </x:c>
      <x:c r="K785" s="14" t="n">
        <x:v>3</x:v>
      </x:c>
      <x:c r="L785" s="15" t="n">
        <x:f>IF(J785=0,"해당 없음",K785/J785)</x:f>
        <x:v>0.6</x:v>
      </x:c>
      <x:c r="M785" s="14" t="n">
        <x:v>6</x:v>
      </x:c>
      <x:c r="N785" s="14" t="n">
        <x:v>5</x:v>
      </x:c>
      <x:c r="O785" s="15" t="n">
        <x:f>IF(M785=0,"해당 없음",N785/M785)</x:f>
        <x:v>0.8333333333333334</x:v>
      </x:c>
      <x:c r="P785" s="14" t="n">
        <x:v>107</x:v>
      </x:c>
    </x:row>
    <x:row r="786" ht="22" customHeight="1">
      <x:c r="A786" s="14" t="n">
        <x:v>391</x:v>
      </x:c>
      <x:c r="B786" s="14" t="n">
        <x:v>10</x:v>
      </x:c>
      <x:c r="C786" s="14" t="n">
        <x:v>76015</x:v>
      </x:c>
      <x:c r="D786" s="2" t="str">
        <x:v>RED</x:v>
      </x:c>
      <x:c r="E786" s="2" t="str">
        <x:v>0만</x:v>
      </x:c>
      <x:c r="F786" s="2" t="str">
        <x:v>120만</x:v>
      </x:c>
      <x:c r="G786" s="2" t="str">
        <x:v>패</x:v>
      </x:c>
      <x:c r="H786" s="14" t="n">
        <x:v>1</x:v>
      </x:c>
      <x:c r="I786" s="14" t="n">
        <x:v>6</x:v>
      </x:c>
      <x:c r="J786" s="14" t="n">
        <x:v>4</x:v>
      </x:c>
      <x:c r="K786" s="14" t="n">
        <x:v>1</x:v>
      </x:c>
      <x:c r="L786" s="15" t="n">
        <x:f>IF(J786=0,"해당 없음",K786/J786)</x:f>
        <x:v>0.25</x:v>
      </x:c>
      <x:c r="M786" s="14" t="n">
        <x:v>10</x:v>
      </x:c>
      <x:c r="N786" s="14" t="n">
        <x:v>8</x:v>
      </x:c>
      <x:c r="O786" s="15" t="n">
        <x:f>IF(M786=0,"해당 없음",N786/M786)</x:f>
        <x:v>0.8</x:v>
      </x:c>
      <x:c r="P786" s="14" t="n">
        <x:v>103</x:v>
      </x:c>
    </x:row>
    <x:row r="787" ht="22" customHeight="1">
      <x:c r="A787" s="14" t="n">
        <x:v>391</x:v>
      </x:c>
      <x:c r="B787" s="14" t="n">
        <x:v>10</x:v>
      </x:c>
      <x:c r="C787" s="14" t="n">
        <x:v>76015</x:v>
      </x:c>
      <x:c r="D787" s="2" t="str">
        <x:v>NAVY</x:v>
      </x:c>
      <x:c r="E787" s="2" t="str">
        <x:v>120만</x:v>
      </x:c>
      <x:c r="F787" s="2" t="str">
        <x:v>0만</x:v>
      </x:c>
      <x:c r="G787" s="2" t="str">
        <x:v>승</x:v>
      </x:c>
      <x:c r="H787" s="14" t="n">
        <x:v>6</x:v>
      </x:c>
      <x:c r="I787" s="14" t="n">
        <x:v>1</x:v>
      </x:c>
      <x:c r="J787" s="14" t="n">
        <x:v>12</x:v>
      </x:c>
      <x:c r="K787" s="14" t="n">
        <x:v>6</x:v>
      </x:c>
      <x:c r="L787" s="15" t="n">
        <x:f>IF(J787=0,"해당 없음",K787/J787)</x:f>
        <x:v>0.5</x:v>
      </x:c>
      <x:c r="M787" s="14" t="n">
        <x:v>6</x:v>
      </x:c>
      <x:c r="N787" s="14" t="n">
        <x:v>5</x:v>
      </x:c>
      <x:c r="O787" s="15" t="n">
        <x:f>IF(M787=0,"해당 없음",N787/M787)</x:f>
        <x:v>0.8333333333333334</x:v>
      </x:c>
      <x:c r="P787" s="14" t="n">
        <x:v>103</x:v>
      </x:c>
    </x:row>
    <x:row r="788" ht="22" customHeight="1">
      <x:c r="A788" s="14" t="n">
        <x:v>392</x:v>
      </x:c>
      <x:c r="B788" s="14" t="n">
        <x:v>10</x:v>
      </x:c>
      <x:c r="C788" s="14" t="n">
        <x:v>76015</x:v>
      </x:c>
      <x:c r="D788" s="2" t="str">
        <x:v>RED</x:v>
      </x:c>
      <x:c r="E788" s="2" t="str">
        <x:v>120만</x:v>
      </x:c>
      <x:c r="F788" s="2" t="str">
        <x:v>0만</x:v>
      </x:c>
      <x:c r="G788" s="2" t="str">
        <x:v>승</x:v>
      </x:c>
      <x:c r="H788" s="14" t="n">
        <x:v>5</x:v>
      </x:c>
      <x:c r="I788" s="14" t="n">
        <x:v>4</x:v>
      </x:c>
      <x:c r="J788" s="14" t="n">
        <x:v>12</x:v>
      </x:c>
      <x:c r="K788" s="14" t="n">
        <x:v>5</x:v>
      </x:c>
      <x:c r="L788" s="15" t="n">
        <x:f>IF(J788=0,"해당 없음",K788/J788)</x:f>
        <x:v>0.4166666666666667</x:v>
      </x:c>
      <x:c r="M788" s="14" t="n">
        <x:v>3</x:v>
      </x:c>
      <x:c r="N788" s="14" t="n">
        <x:v>3</x:v>
      </x:c>
      <x:c r="O788" s="15" t="n">
        <x:f>IF(M788=0,"해당 없음",N788/M788)</x:f>
        <x:v>1</x:v>
      </x:c>
      <x:c r="P788" s="14" t="n">
        <x:v>106</x:v>
      </x:c>
    </x:row>
    <x:row r="789" ht="22" customHeight="1">
      <x:c r="A789" s="14" t="n">
        <x:v>392</x:v>
      </x:c>
      <x:c r="B789" s="14" t="n">
        <x:v>10</x:v>
      </x:c>
      <x:c r="C789" s="14" t="n">
        <x:v>76015</x:v>
      </x:c>
      <x:c r="D789" s="2" t="str">
        <x:v>NAVY</x:v>
      </x:c>
      <x:c r="E789" s="2" t="str">
        <x:v>0만</x:v>
      </x:c>
      <x:c r="F789" s="2" t="str">
        <x:v>120만</x:v>
      </x:c>
      <x:c r="G789" s="2" t="str">
        <x:v>패</x:v>
      </x:c>
      <x:c r="H789" s="14" t="n">
        <x:v>4</x:v>
      </x:c>
      <x:c r="I789" s="14" t="n">
        <x:v>5</x:v>
      </x:c>
      <x:c r="J789" s="14" t="n">
        <x:v>5</x:v>
      </x:c>
      <x:c r="K789" s="14" t="n">
        <x:v>4</x:v>
      </x:c>
      <x:c r="L789" s="15" t="n">
        <x:f>IF(J789=0,"해당 없음",K789/J789)</x:f>
        <x:v>0.8</x:v>
      </x:c>
      <x:c r="M789" s="14" t="n">
        <x:v>8</x:v>
      </x:c>
      <x:c r="N789" s="14" t="n">
        <x:v>6</x:v>
      </x:c>
      <x:c r="O789" s="15" t="n">
        <x:f>IF(M789=0,"해당 없음",N789/M789)</x:f>
        <x:v>0.75</x:v>
      </x:c>
      <x:c r="P789" s="14" t="n">
        <x:v>105</x:v>
      </x:c>
    </x:row>
    <x:row r="790" ht="22" customHeight="1">
      <x:c r="A790" s="14" t="n">
        <x:v>393</x:v>
      </x:c>
      <x:c r="B790" s="14" t="n">
        <x:v>10</x:v>
      </x:c>
      <x:c r="C790" s="14" t="n">
        <x:v>76016</x:v>
      </x:c>
      <x:c r="D790" s="2" t="str">
        <x:v>RED</x:v>
      </x:c>
      <x:c r="E790" s="2" t="str">
        <x:v>0만</x:v>
      </x:c>
      <x:c r="F790" s="2" t="str">
        <x:v>120만</x:v>
      </x:c>
      <x:c r="G790" s="2" t="str">
        <x:v>패</x:v>
      </x:c>
      <x:c r="H790" s="14" t="n">
        <x:v>2</x:v>
      </x:c>
      <x:c r="I790" s="14" t="n">
        <x:v>6</x:v>
      </x:c>
      <x:c r="J790" s="14" t="n">
        <x:v>5</x:v>
      </x:c>
      <x:c r="K790" s="14" t="n">
        <x:v>2</x:v>
      </x:c>
      <x:c r="L790" s="15" t="n">
        <x:f>IF(J790=0,"해당 없음",K790/J790)</x:f>
        <x:v>0.4</x:v>
      </x:c>
      <x:c r="M790" s="14" t="n">
        <x:v>6</x:v>
      </x:c>
      <x:c r="N790" s="14" t="n">
        <x:v>5</x:v>
      </x:c>
      <x:c r="O790" s="15" t="n">
        <x:f>IF(M790=0,"해당 없음",N790/M790)</x:f>
        <x:v>0.8333333333333334</x:v>
      </x:c>
      <x:c r="P790" s="14" t="n">
        <x:v>106</x:v>
      </x:c>
    </x:row>
    <x:row r="791" ht="22" customHeight="1">
      <x:c r="A791" s="14" t="n">
        <x:v>393</x:v>
      </x:c>
      <x:c r="B791" s="14" t="n">
        <x:v>10</x:v>
      </x:c>
      <x:c r="C791" s="14" t="n">
        <x:v>76016</x:v>
      </x:c>
      <x:c r="D791" s="2" t="str">
        <x:v>NAVY</x:v>
      </x:c>
      <x:c r="E791" s="2" t="str">
        <x:v>120만</x:v>
      </x:c>
      <x:c r="F791" s="2" t="str">
        <x:v>0만</x:v>
      </x:c>
      <x:c r="G791" s="2" t="str">
        <x:v>승</x:v>
      </x:c>
      <x:c r="H791" s="14" t="n">
        <x:v>6</x:v>
      </x:c>
      <x:c r="I791" s="14" t="n">
        <x:v>2</x:v>
      </x:c>
      <x:c r="J791" s="14" t="n">
        <x:v>12</x:v>
      </x:c>
      <x:c r="K791" s="14" t="n">
        <x:v>6</x:v>
      </x:c>
      <x:c r="L791" s="15" t="n">
        <x:f>IF(J791=0,"해당 없음",K791/J791)</x:f>
        <x:v>0.5</x:v>
      </x:c>
      <x:c r="M791" s="14" t="n">
        <x:v>9</x:v>
      </x:c>
      <x:c r="N791" s="14" t="n">
        <x:v>7</x:v>
      </x:c>
      <x:c r="O791" s="15" t="n">
        <x:f>IF(M791=0,"해당 없음",N791/M791)</x:f>
        <x:v>0.7777777777777778</x:v>
      </x:c>
      <x:c r="P791" s="14" t="n">
        <x:v>105</x:v>
      </x:c>
    </x:row>
    <x:row r="792" ht="22" customHeight="1">
      <x:c r="A792" s="14" t="n">
        <x:v>394</x:v>
      </x:c>
      <x:c r="B792" s="14" t="n">
        <x:v>10</x:v>
      </x:c>
      <x:c r="C792" s="14" t="n">
        <x:v>76016</x:v>
      </x:c>
      <x:c r="D792" s="2" t="str">
        <x:v>RED</x:v>
      </x:c>
      <x:c r="E792" s="2" t="str">
        <x:v>120만</x:v>
      </x:c>
      <x:c r="F792" s="2" t="str">
        <x:v>0만</x:v>
      </x:c>
      <x:c r="G792" s="2" t="str">
        <x:v>승</x:v>
      </x:c>
      <x:c r="H792" s="14" t="n">
        <x:v>9</x:v>
      </x:c>
      <x:c r="I792" s="14" t="n">
        <x:v>4</x:v>
      </x:c>
      <x:c r="J792" s="14" t="n">
        <x:v>17</x:v>
      </x:c>
      <x:c r="K792" s="14" t="n">
        <x:v>9</x:v>
      </x:c>
      <x:c r="L792" s="15" t="n">
        <x:f>IF(J792=0,"해당 없음",K792/J792)</x:f>
        <x:v>0.5294117647058824</x:v>
      </x:c>
      <x:c r="M792" s="14" t="n">
        <x:v>4</x:v>
      </x:c>
      <x:c r="N792" s="14" t="n">
        <x:v>4</x:v>
      </x:c>
      <x:c r="O792" s="15" t="n">
        <x:f>IF(M792=0,"해당 없음",N792/M792)</x:f>
        <x:v>1</x:v>
      </x:c>
      <x:c r="P792" s="14" t="n">
        <x:v>105</x:v>
      </x:c>
    </x:row>
    <x:row r="793" ht="22" customHeight="1">
      <x:c r="A793" s="14" t="n">
        <x:v>394</x:v>
      </x:c>
      <x:c r="B793" s="14" t="n">
        <x:v>10</x:v>
      </x:c>
      <x:c r="C793" s="14" t="n">
        <x:v>76016</x:v>
      </x:c>
      <x:c r="D793" s="2" t="str">
        <x:v>NAVY</x:v>
      </x:c>
      <x:c r="E793" s="2" t="str">
        <x:v>0만</x:v>
      </x:c>
      <x:c r="F793" s="2" t="str">
        <x:v>120만</x:v>
      </x:c>
      <x:c r="G793" s="2" t="str">
        <x:v>패</x:v>
      </x:c>
      <x:c r="H793" s="14" t="n">
        <x:v>4</x:v>
      </x:c>
      <x:c r="I793" s="14" t="n">
        <x:v>9</x:v>
      </x:c>
      <x:c r="J793" s="14" t="n">
        <x:v>4</x:v>
      </x:c>
      <x:c r="K793" s="14" t="n">
        <x:v>4</x:v>
      </x:c>
      <x:c r="L793" s="15" t="n">
        <x:f>IF(J793=0,"해당 없음",K793/J793)</x:f>
        <x:v>1</x:v>
      </x:c>
      <x:c r="M793" s="14" t="n">
        <x:v>7</x:v>
      </x:c>
      <x:c r="N793" s="14" t="n">
        <x:v>6</x:v>
      </x:c>
      <x:c r="O793" s="15" t="n">
        <x:f>IF(M793=0,"해당 없음",N793/M793)</x:f>
        <x:v>0.8571428571428571</x:v>
      </x:c>
      <x:c r="P793" s="14" t="n">
        <x:v>106</x:v>
      </x:c>
    </x:row>
    <x:row r="794" ht="22" customHeight="1">
      <x:c r="A794" s="14" t="n">
        <x:v>395</x:v>
      </x:c>
      <x:c r="B794" s="14" t="n">
        <x:v>10</x:v>
      </x:c>
      <x:c r="C794" s="14" t="n">
        <x:v>76017</x:v>
      </x:c>
      <x:c r="D794" s="2" t="str">
        <x:v>RED</x:v>
      </x:c>
      <x:c r="E794" s="2" t="str">
        <x:v>0만</x:v>
      </x:c>
      <x:c r="F794" s="2" t="str">
        <x:v>120만</x:v>
      </x:c>
      <x:c r="G794" s="2" t="str">
        <x:v>패</x:v>
      </x:c>
      <x:c r="H794" s="14" t="n">
        <x:v>1</x:v>
      </x:c>
      <x:c r="I794" s="14" t="n">
        <x:v>5</x:v>
      </x:c>
      <x:c r="J794" s="14" t="n">
        <x:v>3</x:v>
      </x:c>
      <x:c r="K794" s="14" t="n">
        <x:v>1</x:v>
      </x:c>
      <x:c r="L794" s="15" t="n">
        <x:f>IF(J794=0,"해당 없음",K794/J794)</x:f>
        <x:v>0.3333333333333333</x:v>
      </x:c>
      <x:c r="M794" s="14" t="n">
        <x:v>6</x:v>
      </x:c>
      <x:c r="N794" s="14" t="n">
        <x:v>4</x:v>
      </x:c>
      <x:c r="O794" s="15" t="n">
        <x:f>IF(M794=0,"해당 없음",N794/M794)</x:f>
        <x:v>0.6666666666666666</x:v>
      </x:c>
      <x:c r="P794" s="14" t="n">
        <x:v>102</x:v>
      </x:c>
    </x:row>
    <x:row r="795" ht="22" customHeight="1">
      <x:c r="A795" s="14" t="n">
        <x:v>395</x:v>
      </x:c>
      <x:c r="B795" s="14" t="n">
        <x:v>10</x:v>
      </x:c>
      <x:c r="C795" s="14" t="n">
        <x:v>76017</x:v>
      </x:c>
      <x:c r="D795" s="2" t="str">
        <x:v>NAVY</x:v>
      </x:c>
      <x:c r="E795" s="2" t="str">
        <x:v>120만</x:v>
      </x:c>
      <x:c r="F795" s="2" t="str">
        <x:v>0만</x:v>
      </x:c>
      <x:c r="G795" s="2" t="str">
        <x:v>승</x:v>
      </x:c>
      <x:c r="H795" s="14" t="n">
        <x:v>5</x:v>
      </x:c>
      <x:c r="I795" s="14" t="n">
        <x:v>1</x:v>
      </x:c>
      <x:c r="J795" s="14" t="n">
        <x:v>11</x:v>
      </x:c>
      <x:c r="K795" s="14" t="n">
        <x:v>5</x:v>
      </x:c>
      <x:c r="L795" s="15" t="n">
        <x:f>IF(J795=0,"해당 없음",K795/J795)</x:f>
        <x:v>0.45454545454545453</x:v>
      </x:c>
      <x:c r="M795" s="14" t="n">
        <x:v>2</x:v>
      </x:c>
      <x:c r="N795" s="14" t="n">
        <x:v>2</x:v>
      </x:c>
      <x:c r="O795" s="15" t="n">
        <x:f>IF(M795=0,"해당 없음",N795/M795)</x:f>
        <x:v>1</x:v>
      </x:c>
      <x:c r="P795" s="14" t="n">
        <x:v>103</x:v>
      </x:c>
    </x:row>
    <x:row r="796" ht="22" customHeight="1">
      <x:c r="A796" s="14" t="n">
        <x:v>396</x:v>
      </x:c>
      <x:c r="B796" s="14" t="n">
        <x:v>10</x:v>
      </x:c>
      <x:c r="C796" s="14" t="n">
        <x:v>76017</x:v>
      </x:c>
      <x:c r="D796" s="2" t="str">
        <x:v>RED</x:v>
      </x:c>
      <x:c r="E796" s="2" t="str">
        <x:v>120만</x:v>
      </x:c>
      <x:c r="F796" s="2" t="str">
        <x:v>0만</x:v>
      </x:c>
      <x:c r="G796" s="2" t="str">
        <x:v>승</x:v>
      </x:c>
      <x:c r="H796" s="14" t="n">
        <x:v>5</x:v>
      </x:c>
      <x:c r="I796" s="14" t="n">
        <x:v>0</x:v>
      </x:c>
      <x:c r="J796" s="14" t="n">
        <x:v>12</x:v>
      </x:c>
      <x:c r="K796" s="14" t="n">
        <x:v>5</x:v>
      </x:c>
      <x:c r="L796" s="15" t="n">
        <x:f>IF(J796=0,"해당 없음",K796/J796)</x:f>
        <x:v>0.4166666666666667</x:v>
      </x:c>
      <x:c r="M796" s="14" t="n">
        <x:v>6</x:v>
      </x:c>
      <x:c r="N796" s="14" t="n">
        <x:v>3</x:v>
      </x:c>
      <x:c r="O796" s="15" t="n">
        <x:f>IF(M796=0,"해당 없음",N796/M796)</x:f>
        <x:v>0.5</x:v>
      </x:c>
      <x:c r="P796" s="14" t="n">
        <x:v>103</x:v>
      </x:c>
    </x:row>
    <x:row r="797" ht="22" customHeight="1">
      <x:c r="A797" s="14" t="n">
        <x:v>396</x:v>
      </x:c>
      <x:c r="B797" s="14" t="n">
        <x:v>10</x:v>
      </x:c>
      <x:c r="C797" s="14" t="n">
        <x:v>76017</x:v>
      </x:c>
      <x:c r="D797" s="2" t="str">
        <x:v>NAVY</x:v>
      </x:c>
      <x:c r="E797" s="2" t="str">
        <x:v>0만</x:v>
      </x:c>
      <x:c r="F797" s="2" t="str">
        <x:v>120만</x:v>
      </x:c>
      <x:c r="G797" s="2" t="str">
        <x:v>패</x:v>
      </x:c>
      <x:c r="H797" s="14" t="n">
        <x:v>0</x:v>
      </x:c>
      <x:c r="I797" s="14" t="n">
        <x:v>5</x:v>
      </x:c>
      <x:c r="J797" s="14" t="n">
        <x:v>2</x:v>
      </x:c>
      <x:c r="K797" s="14" t="n">
        <x:v>0</x:v>
      </x:c>
      <x:c r="L797" s="15" t="n">
        <x:f>IF(J797=0,"해당 없음",K797/J797)</x:f>
        <x:v>0</x:v>
      </x:c>
      <x:c r="M797" s="14" t="n">
        <x:v>10</x:v>
      </x:c>
      <x:c r="N797" s="14" t="n">
        <x:v>10</x:v>
      </x:c>
      <x:c r="O797" s="15" t="n">
        <x:f>IF(M797=0,"해당 없음",N797/M797)</x:f>
        <x:v>1</x:v>
      </x:c>
      <x:c r="P797" s="14" t="n">
        <x:v>103</x:v>
      </x:c>
    </x:row>
    <x:row r="798" ht="22" customHeight="1">
      <x:c r="A798" s="14" t="n">
        <x:v>397</x:v>
      </x:c>
      <x:c r="B798" s="14" t="n">
        <x:v>10</x:v>
      </x:c>
      <x:c r="C798" s="14" t="n">
        <x:v>76018</x:v>
      </x:c>
      <x:c r="D798" s="2" t="str">
        <x:v>RED</x:v>
      </x:c>
      <x:c r="E798" s="2" t="str">
        <x:v>0만</x:v>
      </x:c>
      <x:c r="F798" s="2" t="str">
        <x:v>120만</x:v>
      </x:c>
      <x:c r="G798" s="2" t="str">
        <x:v>패</x:v>
      </x:c>
      <x:c r="H798" s="14" t="n">
        <x:v>2</x:v>
      </x:c>
      <x:c r="I798" s="14" t="n">
        <x:v>6</x:v>
      </x:c>
      <x:c r="J798" s="14" t="n">
        <x:v>6</x:v>
      </x:c>
      <x:c r="K798" s="14" t="n">
        <x:v>2</x:v>
      </x:c>
      <x:c r="L798" s="15" t="n">
        <x:f>IF(J798=0,"해당 없음",K798/J798)</x:f>
        <x:v>0.3333333333333333</x:v>
      </x:c>
      <x:c r="M798" s="14" t="n">
        <x:v>9</x:v>
      </x:c>
      <x:c r="N798" s="14" t="n">
        <x:v>6</x:v>
      </x:c>
      <x:c r="O798" s="15" t="n">
        <x:f>IF(M798=0,"해당 없음",N798/M798)</x:f>
        <x:v>0.6666666666666666</x:v>
      </x:c>
      <x:c r="P798" s="14" t="n">
        <x:v>106</x:v>
      </x:c>
    </x:row>
    <x:row r="799" ht="22" customHeight="1">
      <x:c r="A799" s="14" t="n">
        <x:v>397</x:v>
      </x:c>
      <x:c r="B799" s="14" t="n">
        <x:v>10</x:v>
      </x:c>
      <x:c r="C799" s="14" t="n">
        <x:v>76018</x:v>
      </x:c>
      <x:c r="D799" s="2" t="str">
        <x:v>NAVY</x:v>
      </x:c>
      <x:c r="E799" s="2" t="str">
        <x:v>120만</x:v>
      </x:c>
      <x:c r="F799" s="2" t="str">
        <x:v>0만</x:v>
      </x:c>
      <x:c r="G799" s="2" t="str">
        <x:v>승</x:v>
      </x:c>
      <x:c r="H799" s="14" t="n">
        <x:v>6</x:v>
      </x:c>
      <x:c r="I799" s="14" t="n">
        <x:v>2</x:v>
      </x:c>
      <x:c r="J799" s="14" t="n">
        <x:v>13</x:v>
      </x:c>
      <x:c r="K799" s="14" t="n">
        <x:v>6</x:v>
      </x:c>
      <x:c r="L799" s="15" t="n">
        <x:f>IF(J799=0,"해당 없음",K799/J799)</x:f>
        <x:v>0.46153846153846156</x:v>
      </x:c>
      <x:c r="M799" s="14" t="n">
        <x:v>3</x:v>
      </x:c>
      <x:c r="N799" s="14" t="n">
        <x:v>2</x:v>
      </x:c>
      <x:c r="O799" s="15" t="n">
        <x:f>IF(M799=0,"해당 없음",N799/M799)</x:f>
        <x:v>0.6666666666666666</x:v>
      </x:c>
      <x:c r="P799" s="14" t="n">
        <x:v>105</x:v>
      </x:c>
    </x:row>
    <x:row r="800" ht="22" customHeight="1">
      <x:c r="A800" s="14" t="n">
        <x:v>398</x:v>
      </x:c>
      <x:c r="B800" s="14" t="n">
        <x:v>10</x:v>
      </x:c>
      <x:c r="C800" s="14" t="n">
        <x:v>76018</x:v>
      </x:c>
      <x:c r="D800" s="2" t="str">
        <x:v>RED</x:v>
      </x:c>
      <x:c r="E800" s="2" t="str">
        <x:v>120만</x:v>
      </x:c>
      <x:c r="F800" s="2" t="str">
        <x:v>0만</x:v>
      </x:c>
      <x:c r="G800" s="2" t="str">
        <x:v>승</x:v>
      </x:c>
      <x:c r="H800" s="14" t="n">
        <x:v>8</x:v>
      </x:c>
      <x:c r="I800" s="14" t="n">
        <x:v>2</x:v>
      </x:c>
      <x:c r="J800" s="14" t="n">
        <x:v>12</x:v>
      </x:c>
      <x:c r="K800" s="14" t="n">
        <x:v>8</x:v>
      </x:c>
      <x:c r="L800" s="15" t="n">
        <x:f>IF(J800=0,"해당 없음",K800/J800)</x:f>
        <x:v>0.6666666666666666</x:v>
      </x:c>
      <x:c r="M800" s="14" t="n">
        <x:v>7</x:v>
      </x:c>
      <x:c r="N800" s="14" t="n">
        <x:v>6</x:v>
      </x:c>
      <x:c r="O800" s="15" t="n">
        <x:f>IF(M800=0,"해당 없음",N800/M800)</x:f>
        <x:v>0.8571428571428571</x:v>
      </x:c>
      <x:c r="P800" s="14" t="n">
        <x:v>107</x:v>
      </x:c>
    </x:row>
    <x:row r="801" ht="22" customHeight="1">
      <x:c r="A801" s="14" t="n">
        <x:v>398</x:v>
      </x:c>
      <x:c r="B801" s="14" t="n">
        <x:v>10</x:v>
      </x:c>
      <x:c r="C801" s="14" t="n">
        <x:v>76018</x:v>
      </x:c>
      <x:c r="D801" s="2" t="str">
        <x:v>NAVY</x:v>
      </x:c>
      <x:c r="E801" s="2" t="str">
        <x:v>0만</x:v>
      </x:c>
      <x:c r="F801" s="2" t="str">
        <x:v>120만</x:v>
      </x:c>
      <x:c r="G801" s="2" t="str">
        <x:v>패</x:v>
      </x:c>
      <x:c r="H801" s="14" t="n">
        <x:v>2</x:v>
      </x:c>
      <x:c r="I801" s="14" t="n">
        <x:v>8</x:v>
      </x:c>
      <x:c r="J801" s="14" t="n">
        <x:v>6</x:v>
      </x:c>
      <x:c r="K801" s="14" t="n">
        <x:v>2</x:v>
      </x:c>
      <x:c r="L801" s="15" t="n">
        <x:f>IF(J801=0,"해당 없음",K801/J801)</x:f>
        <x:v>0.3333333333333333</x:v>
      </x:c>
      <x:c r="M801" s="14" t="n">
        <x:v>7</x:v>
      </x:c>
      <x:c r="N801" s="14" t="n">
        <x:v>7</x:v>
      </x:c>
      <x:c r="O801" s="15" t="n">
        <x:f>IF(M801=0,"해당 없음",N801/M801)</x:f>
        <x:v>1</x:v>
      </x:c>
      <x:c r="P801" s="14" t="n">
        <x:v>106</x:v>
      </x:c>
    </x:row>
    <x:row r="802" ht="22" customHeight="1">
      <x:c r="A802" s="14" t="n">
        <x:v>399</x:v>
      </x:c>
      <x:c r="B802" s="14" t="n">
        <x:v>10</x:v>
      </x:c>
      <x:c r="C802" s="14" t="n">
        <x:v>76019</x:v>
      </x:c>
      <x:c r="D802" s="2" t="str">
        <x:v>RED</x:v>
      </x:c>
      <x:c r="E802" s="2" t="str">
        <x:v>0만</x:v>
      </x:c>
      <x:c r="F802" s="2" t="str">
        <x:v>120만</x:v>
      </x:c>
      <x:c r="G802" s="2" t="str">
        <x:v>패</x:v>
      </x:c>
      <x:c r="H802" s="14" t="n">
        <x:v>2</x:v>
      </x:c>
      <x:c r="I802" s="14" t="n">
        <x:v>4</x:v>
      </x:c>
      <x:c r="J802" s="14" t="n">
        <x:v>2</x:v>
      </x:c>
      <x:c r="K802" s="14" t="n">
        <x:v>2</x:v>
      </x:c>
      <x:c r="L802" s="15" t="n">
        <x:f>IF(J802=0,"해당 없음",K802/J802)</x:f>
        <x:v>1</x:v>
      </x:c>
      <x:c r="M802" s="14" t="n">
        <x:v>5</x:v>
      </x:c>
      <x:c r="N802" s="14" t="n">
        <x:v>4</x:v>
      </x:c>
      <x:c r="O802" s="15" t="n">
        <x:f>IF(M802=0,"해당 없음",N802/M802)</x:f>
        <x:v>0.8</x:v>
      </x:c>
      <x:c r="P802" s="14" t="n">
        <x:v>103</x:v>
      </x:c>
    </x:row>
    <x:row r="803" ht="22" customHeight="1">
      <x:c r="A803" s="14" t="n">
        <x:v>399</x:v>
      </x:c>
      <x:c r="B803" s="14" t="n">
        <x:v>10</x:v>
      </x:c>
      <x:c r="C803" s="14" t="n">
        <x:v>76019</x:v>
      </x:c>
      <x:c r="D803" s="2" t="str">
        <x:v>NAVY</x:v>
      </x:c>
      <x:c r="E803" s="2" t="str">
        <x:v>120만</x:v>
      </x:c>
      <x:c r="F803" s="2" t="str">
        <x:v>0만</x:v>
      </x:c>
      <x:c r="G803" s="2" t="str">
        <x:v>승</x:v>
      </x:c>
      <x:c r="H803" s="14" t="n">
        <x:v>4</x:v>
      </x:c>
      <x:c r="I803" s="14" t="n">
        <x:v>2</x:v>
      </x:c>
      <x:c r="J803" s="14" t="n">
        <x:v>12</x:v>
      </x:c>
      <x:c r="K803" s="14" t="n">
        <x:v>4</x:v>
      </x:c>
      <x:c r="L803" s="15" t="n">
        <x:f>IF(J803=0,"해당 없음",K803/J803)</x:f>
        <x:v>0.3333333333333333</x:v>
      </x:c>
      <x:c r="M803" s="14" t="n">
        <x:v>3</x:v>
      </x:c>
      <x:c r="N803" s="14" t="n">
        <x:v>3</x:v>
      </x:c>
      <x:c r="O803" s="15" t="n">
        <x:f>IF(M803=0,"해당 없음",N803/M803)</x:f>
        <x:v>1</x:v>
      </x:c>
      <x:c r="P803" s="14" t="n">
        <x:v>103</x:v>
      </x:c>
    </x:row>
    <x:row r="804" ht="22" customHeight="1">
      <x:c r="A804" s="14" t="n">
        <x:v>400</x:v>
      </x:c>
      <x:c r="B804" s="14" t="n">
        <x:v>10</x:v>
      </x:c>
      <x:c r="C804" s="14" t="n">
        <x:v>76019</x:v>
      </x:c>
      <x:c r="D804" s="2" t="str">
        <x:v>RED</x:v>
      </x:c>
      <x:c r="E804" s="2" t="str">
        <x:v>120만</x:v>
      </x:c>
      <x:c r="F804" s="2" t="str">
        <x:v>0만</x:v>
      </x:c>
      <x:c r="G804" s="2" t="str">
        <x:v>승</x:v>
      </x:c>
      <x:c r="H804" s="14" t="n">
        <x:v>5</x:v>
      </x:c>
      <x:c r="I804" s="14" t="n">
        <x:v>2</x:v>
      </x:c>
      <x:c r="J804" s="14" t="n">
        <x:v>8</x:v>
      </x:c>
      <x:c r="K804" s="14" t="n">
        <x:v>5</x:v>
      </x:c>
      <x:c r="L804" s="15" t="n">
        <x:f>IF(J804=0,"해당 없음",K804/J804)</x:f>
        <x:v>0.625</x:v>
      </x:c>
      <x:c r="M804" s="14" t="n">
        <x:v>9</x:v>
      </x:c>
      <x:c r="N804" s="14" t="n">
        <x:v>5</x:v>
      </x:c>
      <x:c r="O804" s="15" t="n">
        <x:f>IF(M804=0,"해당 없음",N804/M804)</x:f>
        <x:v>0.5555555555555556</x:v>
      </x:c>
      <x:c r="P804" s="14" t="n">
        <x:v>103</x:v>
      </x:c>
    </x:row>
    <x:row r="805" ht="22" customHeight="1">
      <x:c r="A805" s="14" t="n">
        <x:v>400</x:v>
      </x:c>
      <x:c r="B805" s="14" t="n">
        <x:v>10</x:v>
      </x:c>
      <x:c r="C805" s="14" t="n">
        <x:v>76019</x:v>
      </x:c>
      <x:c r="D805" s="2" t="str">
        <x:v>NAVY</x:v>
      </x:c>
      <x:c r="E805" s="2" t="str">
        <x:v>0만</x:v>
      </x:c>
      <x:c r="F805" s="2" t="str">
        <x:v>120만</x:v>
      </x:c>
      <x:c r="G805" s="2" t="str">
        <x:v>패</x:v>
      </x:c>
      <x:c r="H805" s="14" t="n">
        <x:v>2</x:v>
      </x:c>
      <x:c r="I805" s="14" t="n">
        <x:v>5</x:v>
      </x:c>
      <x:c r="J805" s="14" t="n">
        <x:v>10</x:v>
      </x:c>
      <x:c r="K805" s="14" t="n">
        <x:v>2</x:v>
      </x:c>
      <x:c r="L805" s="15" t="n">
        <x:f>IF(J805=0,"해당 없음",K805/J805)</x:f>
        <x:v>0.2</x:v>
      </x:c>
      <x:c r="M805" s="14" t="n">
        <x:v>4</x:v>
      </x:c>
      <x:c r="N805" s="14" t="n">
        <x:v>4</x:v>
      </x:c>
      <x:c r="O805" s="15" t="n">
        <x:f>IF(M805=0,"해당 없음",N805/M805)</x:f>
        <x:v>1</x:v>
      </x:c>
      <x:c r="P805" s="14" t="n">
        <x:v>103</x:v>
      </x:c>
    </x:row>
    <x:row r="806" ht="22" customHeight="1">
      <x:c r="A806" s="14" t="n">
        <x:v>401</x:v>
      </x:c>
      <x:c r="B806" s="14" t="n">
        <x:v>11</x:v>
      </x:c>
      <x:c r="C806" s="14" t="n">
        <x:v>76000</x:v>
      </x:c>
      <x:c r="D806" s="2" t="str">
        <x:v>RED</x:v>
      </x:c>
      <x:c r="E806" s="2" t="str">
        <x:v>0만</x:v>
      </x:c>
      <x:c r="F806" s="2" t="str">
        <x:v>160만</x:v>
      </x:c>
      <x:c r="G806" s="2" t="str">
        <x:v>패</x:v>
      </x:c>
      <x:c r="H806" s="14" t="n">
        <x:v>0</x:v>
      </x:c>
      <x:c r="I806" s="14" t="n">
        <x:v>6</x:v>
      </x:c>
      <x:c r="J806" s="14" t="n">
        <x:v>3</x:v>
      </x:c>
      <x:c r="K806" s="14" t="n">
        <x:v>0</x:v>
      </x:c>
      <x:c r="L806" s="15" t="n">
        <x:f>IF(J806=0,"해당 없음",K806/J806)</x:f>
        <x:v>0</x:v>
      </x:c>
      <x:c r="M806" s="14" t="n">
        <x:v>4</x:v>
      </x:c>
      <x:c r="N806" s="14" t="n">
        <x:v>4</x:v>
      </x:c>
      <x:c r="O806" s="15" t="n">
        <x:f>IF(M806=0,"해당 없음",N806/M806)</x:f>
        <x:v>1</x:v>
      </x:c>
      <x:c r="P806" s="14" t="n">
        <x:v>105</x:v>
      </x:c>
    </x:row>
    <x:row r="807" ht="22" customHeight="1">
      <x:c r="A807" s="14" t="n">
        <x:v>401</x:v>
      </x:c>
      <x:c r="B807" s="14" t="n">
        <x:v>11</x:v>
      </x:c>
      <x:c r="C807" s="14" t="n">
        <x:v>76000</x:v>
      </x:c>
      <x:c r="D807" s="2" t="str">
        <x:v>NAVY</x:v>
      </x:c>
      <x:c r="E807" s="2" t="str">
        <x:v>160만</x:v>
      </x:c>
      <x:c r="F807" s="2" t="str">
        <x:v>0만</x:v>
      </x:c>
      <x:c r="G807" s="2" t="str">
        <x:v>승</x:v>
      </x:c>
      <x:c r="H807" s="14" t="n">
        <x:v>6</x:v>
      </x:c>
      <x:c r="I807" s="14" t="n">
        <x:v>0</x:v>
      </x:c>
      <x:c r="J807" s="14" t="n">
        <x:v>11</x:v>
      </x:c>
      <x:c r="K807" s="14" t="n">
        <x:v>6</x:v>
      </x:c>
      <x:c r="L807" s="15" t="n">
        <x:f>IF(J807=0,"해당 없음",K807/J807)</x:f>
        <x:v>0.5454545454545454</x:v>
      </x:c>
      <x:c r="M807" s="14" t="n">
        <x:v>15</x:v>
      </x:c>
      <x:c r="N807" s="14" t="n">
        <x:v>10</x:v>
      </x:c>
      <x:c r="O807" s="15" t="n">
        <x:f>IF(M807=0,"해당 없음",N807/M807)</x:f>
        <x:v>0.6666666666666666</x:v>
      </x:c>
      <x:c r="P807" s="14" t="n">
        <x:v>104</x:v>
      </x:c>
    </x:row>
    <x:row r="808" ht="22" customHeight="1">
      <x:c r="A808" s="14" t="n">
        <x:v>402</x:v>
      </x:c>
      <x:c r="B808" s="14" t="n">
        <x:v>11</x:v>
      </x:c>
      <x:c r="C808" s="14" t="n">
        <x:v>76000</x:v>
      </x:c>
      <x:c r="D808" s="2" t="str">
        <x:v>RED</x:v>
      </x:c>
      <x:c r="E808" s="2" t="str">
        <x:v>160만</x:v>
      </x:c>
      <x:c r="F808" s="2" t="str">
        <x:v>0만</x:v>
      </x:c>
      <x:c r="G808" s="2" t="str">
        <x:v>승</x:v>
      </x:c>
      <x:c r="H808" s="14" t="n">
        <x:v>4</x:v>
      </x:c>
      <x:c r="I808" s="14" t="n">
        <x:v>2</x:v>
      </x:c>
      <x:c r="J808" s="14" t="n">
        <x:v>9</x:v>
      </x:c>
      <x:c r="K808" s="14" t="n">
        <x:v>3</x:v>
      </x:c>
      <x:c r="L808" s="15" t="n">
        <x:f>IF(J808=0,"해당 없음",K808/J808)</x:f>
        <x:v>0.3333333333333333</x:v>
      </x:c>
      <x:c r="M808" s="14" t="n">
        <x:v>9</x:v>
      </x:c>
      <x:c r="N808" s="14" t="n">
        <x:v>5</x:v>
      </x:c>
      <x:c r="O808" s="15" t="n">
        <x:f>IF(M808=0,"해당 없음",N808/M808)</x:f>
        <x:v>0.5555555555555556</x:v>
      </x:c>
      <x:c r="P808" s="14" t="n">
        <x:v>104</x:v>
      </x:c>
    </x:row>
    <x:row r="809" ht="22" customHeight="1">
      <x:c r="A809" s="14" t="n">
        <x:v>402</x:v>
      </x:c>
      <x:c r="B809" s="14" t="n">
        <x:v>11</x:v>
      </x:c>
      <x:c r="C809" s="14" t="n">
        <x:v>76000</x:v>
      </x:c>
      <x:c r="D809" s="2" t="str">
        <x:v>NAVY</x:v>
      </x:c>
      <x:c r="E809" s="2" t="str">
        <x:v>0만</x:v>
      </x:c>
      <x:c r="F809" s="2" t="str">
        <x:v>160만</x:v>
      </x:c>
      <x:c r="G809" s="2" t="str">
        <x:v>패</x:v>
      </x:c>
      <x:c r="H809" s="14" t="n">
        <x:v>2</x:v>
      </x:c>
      <x:c r="I809" s="14" t="n">
        <x:v>4</x:v>
      </x:c>
      <x:c r="J809" s="14" t="n">
        <x:v>7</x:v>
      </x:c>
      <x:c r="K809" s="14" t="n">
        <x:v>2</x:v>
      </x:c>
      <x:c r="L809" s="15" t="n">
        <x:f>IF(J809=0,"해당 없음",K809/J809)</x:f>
        <x:v>0.2857142857142857</x:v>
      </x:c>
      <x:c r="M809" s="14" t="n">
        <x:v>6</x:v>
      </x:c>
      <x:c r="N809" s="14" t="n">
        <x:v>5</x:v>
      </x:c>
      <x:c r="O809" s="15" t="n">
        <x:f>IF(M809=0,"해당 없음",N809/M809)</x:f>
        <x:v>0.8333333333333334</x:v>
      </x:c>
      <x:c r="P809" s="14" t="n">
        <x:v>105</x:v>
      </x:c>
    </x:row>
    <x:row r="810" ht="22" customHeight="1">
      <x:c r="A810" s="14" t="n">
        <x:v>403</x:v>
      </x:c>
      <x:c r="B810" s="14" t="n">
        <x:v>11</x:v>
      </x:c>
      <x:c r="C810" s="14" t="n">
        <x:v>76001</x:v>
      </x:c>
      <x:c r="D810" s="2" t="str">
        <x:v>RED</x:v>
      </x:c>
      <x:c r="E810" s="2" t="str">
        <x:v>0만</x:v>
      </x:c>
      <x:c r="F810" s="2" t="str">
        <x:v>160만</x:v>
      </x:c>
      <x:c r="G810" s="2" t="str">
        <x:v>패</x:v>
      </x:c>
      <x:c r="H810" s="14" t="n">
        <x:v>1</x:v>
      </x:c>
      <x:c r="I810" s="14" t="n">
        <x:v>5</x:v>
      </x:c>
      <x:c r="J810" s="14" t="n">
        <x:v>6</x:v>
      </x:c>
      <x:c r="K810" s="14" t="n">
        <x:v>1</x:v>
      </x:c>
      <x:c r="L810" s="15" t="n">
        <x:f>IF(J810=0,"해당 없음",K810/J810)</x:f>
        <x:v>0.16666666666666666</x:v>
      </x:c>
      <x:c r="M810" s="14" t="n">
        <x:v>10</x:v>
      </x:c>
      <x:c r="N810" s="14" t="n">
        <x:v>9</x:v>
      </x:c>
      <x:c r="O810" s="15" t="n">
        <x:f>IF(M810=0,"해당 없음",N810/M810)</x:f>
        <x:v>0.9</x:v>
      </x:c>
      <x:c r="P810" s="14" t="n">
        <x:v>103</x:v>
      </x:c>
    </x:row>
    <x:row r="811" ht="22" customHeight="1">
      <x:c r="A811" s="14" t="n">
        <x:v>403</x:v>
      </x:c>
      <x:c r="B811" s="14" t="n">
        <x:v>11</x:v>
      </x:c>
      <x:c r="C811" s="14" t="n">
        <x:v>76001</x:v>
      </x:c>
      <x:c r="D811" s="2" t="str">
        <x:v>NAVY</x:v>
      </x:c>
      <x:c r="E811" s="2" t="str">
        <x:v>160만</x:v>
      </x:c>
      <x:c r="F811" s="2" t="str">
        <x:v>0만</x:v>
      </x:c>
      <x:c r="G811" s="2" t="str">
        <x:v>승</x:v>
      </x:c>
      <x:c r="H811" s="14" t="n">
        <x:v>5</x:v>
      </x:c>
      <x:c r="I811" s="14" t="n">
        <x:v>1</x:v>
      </x:c>
      <x:c r="J811" s="14" t="n">
        <x:v>9</x:v>
      </x:c>
      <x:c r="K811" s="14" t="n">
        <x:v>5</x:v>
      </x:c>
      <x:c r="L811" s="15" t="n">
        <x:f>IF(J811=0,"해당 없음",K811/J811)</x:f>
        <x:v>0.5555555555555556</x:v>
      </x:c>
      <x:c r="M811" s="14" t="n">
        <x:v>8</x:v>
      </x:c>
      <x:c r="N811" s="14" t="n">
        <x:v>6</x:v>
      </x:c>
      <x:c r="O811" s="15" t="n">
        <x:f>IF(M811=0,"해당 없음",N811/M811)</x:f>
        <x:v>0.75</x:v>
      </x:c>
      <x:c r="P811" s="14" t="n">
        <x:v>104</x:v>
      </x:c>
    </x:row>
    <x:row r="812" ht="22" customHeight="1">
      <x:c r="A812" s="14" t="n">
        <x:v>404</x:v>
      </x:c>
      <x:c r="B812" s="14" t="n">
        <x:v>11</x:v>
      </x:c>
      <x:c r="C812" s="14" t="n">
        <x:v>76001</x:v>
      </x:c>
      <x:c r="D812" s="2" t="str">
        <x:v>RED</x:v>
      </x:c>
      <x:c r="E812" s="2" t="str">
        <x:v>160만</x:v>
      </x:c>
      <x:c r="F812" s="2" t="str">
        <x:v>0만</x:v>
      </x:c>
      <x:c r="G812" s="2" t="str">
        <x:v>승</x:v>
      </x:c>
      <x:c r="H812" s="14" t="n">
        <x:v>6</x:v>
      </x:c>
      <x:c r="I812" s="14" t="n">
        <x:v>2</x:v>
      </x:c>
      <x:c r="J812" s="14" t="n">
        <x:v>13</x:v>
      </x:c>
      <x:c r="K812" s="14" t="n">
        <x:v>6</x:v>
      </x:c>
      <x:c r="L812" s="15" t="n">
        <x:f>IF(J812=0,"해당 없음",K812/J812)</x:f>
        <x:v>0.46153846153846156</x:v>
      </x:c>
      <x:c r="M812" s="14" t="n">
        <x:v>4</x:v>
      </x:c>
      <x:c r="N812" s="14" t="n">
        <x:v>3</x:v>
      </x:c>
      <x:c r="O812" s="15" t="n">
        <x:f>IF(M812=0,"해당 없음",N812/M812)</x:f>
        <x:v>0.75</x:v>
      </x:c>
      <x:c r="P812" s="14" t="n">
        <x:v>102</x:v>
      </x:c>
    </x:row>
    <x:row r="813" ht="22" customHeight="1">
      <x:c r="A813" s="14" t="n">
        <x:v>404</x:v>
      </x:c>
      <x:c r="B813" s="14" t="n">
        <x:v>11</x:v>
      </x:c>
      <x:c r="C813" s="14" t="n">
        <x:v>76001</x:v>
      </x:c>
      <x:c r="D813" s="2" t="str">
        <x:v>NAVY</x:v>
      </x:c>
      <x:c r="E813" s="2" t="str">
        <x:v>0만</x:v>
      </x:c>
      <x:c r="F813" s="2" t="str">
        <x:v>160만</x:v>
      </x:c>
      <x:c r="G813" s="2" t="str">
        <x:v>패</x:v>
      </x:c>
      <x:c r="H813" s="14" t="n">
        <x:v>2</x:v>
      </x:c>
      <x:c r="I813" s="14" t="n">
        <x:v>6</x:v>
      </x:c>
      <x:c r="J813" s="14" t="n">
        <x:v>3</x:v>
      </x:c>
      <x:c r="K813" s="14" t="n">
        <x:v>2</x:v>
      </x:c>
      <x:c r="L813" s="15" t="n">
        <x:f>IF(J813=0,"해당 없음",K813/J813)</x:f>
        <x:v>0.6666666666666666</x:v>
      </x:c>
      <x:c r="M813" s="14" t="n">
        <x:v>11</x:v>
      </x:c>
      <x:c r="N813" s="14" t="n">
        <x:v>10</x:v>
      </x:c>
      <x:c r="O813" s="15" t="n">
        <x:f>IF(M813=0,"해당 없음",N813/M813)</x:f>
        <x:v>0.9090909090909091</x:v>
      </x:c>
      <x:c r="P813" s="14" t="n">
        <x:v>105</x:v>
      </x:c>
    </x:row>
    <x:row r="814" ht="22" customHeight="1">
      <x:c r="A814" s="14" t="n">
        <x:v>405</x:v>
      </x:c>
      <x:c r="B814" s="14" t="n">
        <x:v>11</x:v>
      </x:c>
      <x:c r="C814" s="14" t="n">
        <x:v>76002</x:v>
      </x:c>
      <x:c r="D814" s="2" t="str">
        <x:v>RED</x:v>
      </x:c>
      <x:c r="E814" s="2" t="str">
        <x:v>0만</x:v>
      </x:c>
      <x:c r="F814" s="2" t="str">
        <x:v>160만</x:v>
      </x:c>
      <x:c r="G814" s="2" t="str">
        <x:v>패</x:v>
      </x:c>
      <x:c r="H814" s="14" t="n">
        <x:v>0</x:v>
      </x:c>
      <x:c r="I814" s="14" t="n">
        <x:v>8</x:v>
      </x:c>
      <x:c r="J814" s="14" t="n">
        <x:v>7</x:v>
      </x:c>
      <x:c r="K814" s="14" t="n">
        <x:v>0</x:v>
      </x:c>
      <x:c r="L814" s="15" t="n">
        <x:f>IF(J814=0,"해당 없음",K814/J814)</x:f>
        <x:v>0</x:v>
      </x:c>
      <x:c r="M814" s="14" t="n">
        <x:v>11</x:v>
      </x:c>
      <x:c r="N814" s="14" t="n">
        <x:v>9</x:v>
      </x:c>
      <x:c r="O814" s="15" t="n">
        <x:f>IF(M814=0,"해당 없음",N814/M814)</x:f>
        <x:v>0.8181818181818182</x:v>
      </x:c>
      <x:c r="P814" s="14" t="n">
        <x:v>105</x:v>
      </x:c>
    </x:row>
    <x:row r="815" ht="22" customHeight="1">
      <x:c r="A815" s="14" t="n">
        <x:v>405</x:v>
      </x:c>
      <x:c r="B815" s="14" t="n">
        <x:v>11</x:v>
      </x:c>
      <x:c r="C815" s="14" t="n">
        <x:v>76002</x:v>
      </x:c>
      <x:c r="D815" s="2" t="str">
        <x:v>NAVY</x:v>
      </x:c>
      <x:c r="E815" s="2" t="str">
        <x:v>160만</x:v>
      </x:c>
      <x:c r="F815" s="2" t="str">
        <x:v>0만</x:v>
      </x:c>
      <x:c r="G815" s="2" t="str">
        <x:v>승</x:v>
      </x:c>
      <x:c r="H815" s="14" t="n">
        <x:v>8</x:v>
      </x:c>
      <x:c r="I815" s="14" t="n">
        <x:v>0</x:v>
      </x:c>
      <x:c r="J815" s="14" t="n">
        <x:v>12</x:v>
      </x:c>
      <x:c r="K815" s="14" t="n">
        <x:v>8</x:v>
      </x:c>
      <x:c r="L815" s="15" t="n">
        <x:f>IF(J815=0,"해당 없음",K815/J815)</x:f>
        <x:v>0.6666666666666666</x:v>
      </x:c>
      <x:c r="M815" s="14" t="n">
        <x:v>14</x:v>
      </x:c>
      <x:c r="N815" s="14" t="n">
        <x:v>10</x:v>
      </x:c>
      <x:c r="O815" s="15" t="n">
        <x:f>IF(M815=0,"해당 없음",N815/M815)</x:f>
        <x:v>0.7142857142857143</x:v>
      </x:c>
      <x:c r="P815" s="14" t="n">
        <x:v>105</x:v>
      </x:c>
    </x:row>
    <x:row r="816" ht="22" customHeight="1">
      <x:c r="A816" s="14" t="n">
        <x:v>406</x:v>
      </x:c>
      <x:c r="B816" s="14" t="n">
        <x:v>11</x:v>
      </x:c>
      <x:c r="C816" s="14" t="n">
        <x:v>76002</x:v>
      </x:c>
      <x:c r="D816" s="2" t="str">
        <x:v>RED</x:v>
      </x:c>
      <x:c r="E816" s="2" t="str">
        <x:v>160만</x:v>
      </x:c>
      <x:c r="F816" s="2" t="str">
        <x:v>0만</x:v>
      </x:c>
      <x:c r="G816" s="2" t="str">
        <x:v>승</x:v>
      </x:c>
      <x:c r="H816" s="14" t="n">
        <x:v>10</x:v>
      </x:c>
      <x:c r="I816" s="14" t="n">
        <x:v>2</x:v>
      </x:c>
      <x:c r="J816" s="14" t="n">
        <x:v>15</x:v>
      </x:c>
      <x:c r="K816" s="14" t="n">
        <x:v>10</x:v>
      </x:c>
      <x:c r="L816" s="15" t="n">
        <x:f>IF(J816=0,"해당 없음",K816/J816)</x:f>
        <x:v>0.6666666666666666</x:v>
      </x:c>
      <x:c r="M816" s="14" t="n">
        <x:v>7</x:v>
      </x:c>
      <x:c r="N816" s="14" t="n">
        <x:v>6</x:v>
      </x:c>
      <x:c r="O816" s="15" t="n">
        <x:f>IF(M816=0,"해당 없음",N816/M816)</x:f>
        <x:v>0.8571428571428571</x:v>
      </x:c>
      <x:c r="P816" s="14" t="n">
        <x:v>105</x:v>
      </x:c>
    </x:row>
    <x:row r="817" ht="22" customHeight="1">
      <x:c r="A817" s="14" t="n">
        <x:v>406</x:v>
      </x:c>
      <x:c r="B817" s="14" t="n">
        <x:v>11</x:v>
      </x:c>
      <x:c r="C817" s="14" t="n">
        <x:v>76002</x:v>
      </x:c>
      <x:c r="D817" s="2" t="str">
        <x:v>NAVY</x:v>
      </x:c>
      <x:c r="E817" s="2" t="str">
        <x:v>0만</x:v>
      </x:c>
      <x:c r="F817" s="2" t="str">
        <x:v>160만</x:v>
      </x:c>
      <x:c r="G817" s="2" t="str">
        <x:v>패</x:v>
      </x:c>
      <x:c r="H817" s="14" t="n">
        <x:v>2</x:v>
      </x:c>
      <x:c r="I817" s="14" t="n">
        <x:v>10</x:v>
      </x:c>
      <x:c r="J817" s="14" t="n">
        <x:v>6</x:v>
      </x:c>
      <x:c r="K817" s="14" t="n">
        <x:v>1</x:v>
      </x:c>
      <x:c r="L817" s="15" t="n">
        <x:f>IF(J817=0,"해당 없음",K817/J817)</x:f>
        <x:v>0.16666666666666666</x:v>
      </x:c>
      <x:c r="M817" s="14" t="n">
        <x:v>4</x:v>
      </x:c>
      <x:c r="N817" s="14" t="n">
        <x:v>4</x:v>
      </x:c>
      <x:c r="O817" s="15" t="n">
        <x:f>IF(M817=0,"해당 없음",N817/M817)</x:f>
        <x:v>1</x:v>
      </x:c>
      <x:c r="P817" s="14" t="n">
        <x:v>105</x:v>
      </x:c>
    </x:row>
    <x:row r="818" ht="22" customHeight="1">
      <x:c r="A818" s="14" t="n">
        <x:v>407</x:v>
      </x:c>
      <x:c r="B818" s="14" t="n">
        <x:v>11</x:v>
      </x:c>
      <x:c r="C818" s="14" t="n">
        <x:v>76003</x:v>
      </x:c>
      <x:c r="D818" s="2" t="str">
        <x:v>RED</x:v>
      </x:c>
      <x:c r="E818" s="2" t="str">
        <x:v>0만</x:v>
      </x:c>
      <x:c r="F818" s="2" t="str">
        <x:v>160만</x:v>
      </x:c>
      <x:c r="G818" s="2" t="str">
        <x:v>패</x:v>
      </x:c>
      <x:c r="H818" s="14" t="n">
        <x:v>2</x:v>
      </x:c>
      <x:c r="I818" s="14" t="n">
        <x:v>4</x:v>
      </x:c>
      <x:c r="J818" s="14" t="n">
        <x:v>5</x:v>
      </x:c>
      <x:c r="K818" s="14" t="n">
        <x:v>2</x:v>
      </x:c>
      <x:c r="L818" s="15" t="n">
        <x:f>IF(J818=0,"해당 없음",K818/J818)</x:f>
        <x:v>0.4</x:v>
      </x:c>
      <x:c r="M818" s="14" t="n">
        <x:v>11</x:v>
      </x:c>
      <x:c r="N818" s="14" t="n">
        <x:v>8</x:v>
      </x:c>
      <x:c r="O818" s="15" t="n">
        <x:f>IF(M818=0,"해당 없음",N818/M818)</x:f>
        <x:v>0.7272727272727273</x:v>
      </x:c>
      <x:c r="P818" s="14" t="n">
        <x:v>104</x:v>
      </x:c>
    </x:row>
    <x:row r="819" ht="22" customHeight="1">
      <x:c r="A819" s="14" t="n">
        <x:v>407</x:v>
      </x:c>
      <x:c r="B819" s="14" t="n">
        <x:v>11</x:v>
      </x:c>
      <x:c r="C819" s="14" t="n">
        <x:v>76003</x:v>
      </x:c>
      <x:c r="D819" s="2" t="str">
        <x:v>NAVY</x:v>
      </x:c>
      <x:c r="E819" s="2" t="str">
        <x:v>160만</x:v>
      </x:c>
      <x:c r="F819" s="2" t="str">
        <x:v>0만</x:v>
      </x:c>
      <x:c r="G819" s="2" t="str">
        <x:v>승</x:v>
      </x:c>
      <x:c r="H819" s="14" t="n">
        <x:v>4</x:v>
      </x:c>
      <x:c r="I819" s="14" t="n">
        <x:v>2</x:v>
      </x:c>
      <x:c r="J819" s="14" t="n">
        <x:v>11</x:v>
      </x:c>
      <x:c r="K819" s="14" t="n">
        <x:v>4</x:v>
      </x:c>
      <x:c r="L819" s="15" t="n">
        <x:f>IF(J819=0,"해당 없음",K819/J819)</x:f>
        <x:v>0.36363636363636365</x:v>
      </x:c>
      <x:c r="M819" s="14" t="n">
        <x:v>9</x:v>
      </x:c>
      <x:c r="N819" s="14" t="n">
        <x:v>9</x:v>
      </x:c>
      <x:c r="O819" s="15" t="n">
        <x:f>IF(M819=0,"해당 없음",N819/M819)</x:f>
        <x:v>1</x:v>
      </x:c>
      <x:c r="P819" s="14" t="n">
        <x:v>105</x:v>
      </x:c>
    </x:row>
    <x:row r="820" ht="22" customHeight="1">
      <x:c r="A820" s="14" t="n">
        <x:v>408</x:v>
      </x:c>
      <x:c r="B820" s="14" t="n">
        <x:v>11</x:v>
      </x:c>
      <x:c r="C820" s="14" t="n">
        <x:v>76003</x:v>
      </x:c>
      <x:c r="D820" s="2" t="str">
        <x:v>RED</x:v>
      </x:c>
      <x:c r="E820" s="2" t="str">
        <x:v>160만</x:v>
      </x:c>
      <x:c r="F820" s="2" t="str">
        <x:v>0만</x:v>
      </x:c>
      <x:c r="G820" s="2" t="str">
        <x:v>승</x:v>
      </x:c>
      <x:c r="H820" s="14" t="n">
        <x:v>9</x:v>
      </x:c>
      <x:c r="I820" s="14" t="n">
        <x:v>1</x:v>
      </x:c>
      <x:c r="J820" s="14" t="n">
        <x:v>15</x:v>
      </x:c>
      <x:c r="K820" s="14" t="n">
        <x:v>9</x:v>
      </x:c>
      <x:c r="L820" s="15" t="n">
        <x:f>IF(J820=0,"해당 없음",K820/J820)</x:f>
        <x:v>0.6</x:v>
      </x:c>
      <x:c r="M820" s="14" t="n">
        <x:v>7</x:v>
      </x:c>
      <x:c r="N820" s="14" t="n">
        <x:v>7</x:v>
      </x:c>
      <x:c r="O820" s="15" t="n">
        <x:f>IF(M820=0,"해당 없음",N820/M820)</x:f>
        <x:v>1</x:v>
      </x:c>
      <x:c r="P820" s="14" t="n">
        <x:v>107</x:v>
      </x:c>
    </x:row>
    <x:row r="821" ht="22" customHeight="1">
      <x:c r="A821" s="14" t="n">
        <x:v>408</x:v>
      </x:c>
      <x:c r="B821" s="14" t="n">
        <x:v>11</x:v>
      </x:c>
      <x:c r="C821" s="14" t="n">
        <x:v>76003</x:v>
      </x:c>
      <x:c r="D821" s="2" t="str">
        <x:v>NAVY</x:v>
      </x:c>
      <x:c r="E821" s="2" t="str">
        <x:v>0만</x:v>
      </x:c>
      <x:c r="F821" s="2" t="str">
        <x:v>160만</x:v>
      </x:c>
      <x:c r="G821" s="2" t="str">
        <x:v>패</x:v>
      </x:c>
      <x:c r="H821" s="14" t="n">
        <x:v>1</x:v>
      </x:c>
      <x:c r="I821" s="14" t="n">
        <x:v>9</x:v>
      </x:c>
      <x:c r="J821" s="14" t="n">
        <x:v>4</x:v>
      </x:c>
      <x:c r="K821" s="14" t="n">
        <x:v>1</x:v>
      </x:c>
      <x:c r="L821" s="15" t="n">
        <x:f>IF(J821=0,"해당 없음",K821/J821)</x:f>
        <x:v>0.25</x:v>
      </x:c>
      <x:c r="M821" s="14" t="n">
        <x:v>7</x:v>
      </x:c>
      <x:c r="N821" s="14" t="n">
        <x:v>6</x:v>
      </x:c>
      <x:c r="O821" s="15" t="n">
        <x:f>IF(M821=0,"해당 없음",N821/M821)</x:f>
        <x:v>0.8571428571428571</x:v>
      </x:c>
      <x:c r="P821" s="14" t="n">
        <x:v>107</x:v>
      </x:c>
    </x:row>
    <x:row r="822" ht="22" customHeight="1">
      <x:c r="A822" s="14" t="n">
        <x:v>409</x:v>
      </x:c>
      <x:c r="B822" s="14" t="n">
        <x:v>11</x:v>
      </x:c>
      <x:c r="C822" s="14" t="n">
        <x:v>76004</x:v>
      </x:c>
      <x:c r="D822" s="2" t="str">
        <x:v>RED</x:v>
      </x:c>
      <x:c r="E822" s="2" t="str">
        <x:v>0만</x:v>
      </x:c>
      <x:c r="F822" s="2" t="str">
        <x:v>160만</x:v>
      </x:c>
      <x:c r="G822" s="2" t="str">
        <x:v>패</x:v>
      </x:c>
      <x:c r="H822" s="14" t="n">
        <x:v>1</x:v>
      </x:c>
      <x:c r="I822" s="14" t="n">
        <x:v>12</x:v>
      </x:c>
      <x:c r="J822" s="14" t="n">
        <x:v>4</x:v>
      </x:c>
      <x:c r="K822" s="14" t="n">
        <x:v>1</x:v>
      </x:c>
      <x:c r="L822" s="15" t="n">
        <x:f>IF(J822=0,"해당 없음",K822/J822)</x:f>
        <x:v>0.25</x:v>
      </x:c>
      <x:c r="M822" s="14" t="n">
        <x:v>2</x:v>
      </x:c>
      <x:c r="N822" s="14" t="n">
        <x:v>2</x:v>
      </x:c>
      <x:c r="O822" s="15" t="n">
        <x:f>IF(M822=0,"해당 없음",N822/M822)</x:f>
        <x:v>1</x:v>
      </x:c>
      <x:c r="P822" s="14" t="n">
        <x:v>108</x:v>
      </x:c>
    </x:row>
    <x:row r="823" ht="22" customHeight="1">
      <x:c r="A823" s="14" t="n">
        <x:v>409</x:v>
      </x:c>
      <x:c r="B823" s="14" t="n">
        <x:v>11</x:v>
      </x:c>
      <x:c r="C823" s="14" t="n">
        <x:v>76004</x:v>
      </x:c>
      <x:c r="D823" s="2" t="str">
        <x:v>NAVY</x:v>
      </x:c>
      <x:c r="E823" s="2" t="str">
        <x:v>160만</x:v>
      </x:c>
      <x:c r="F823" s="2" t="str">
        <x:v>0만</x:v>
      </x:c>
      <x:c r="G823" s="2" t="str">
        <x:v>승</x:v>
      </x:c>
      <x:c r="H823" s="14" t="n">
        <x:v>12</x:v>
      </x:c>
      <x:c r="I823" s="14" t="n">
        <x:v>1</x:v>
      </x:c>
      <x:c r="J823" s="14" t="n">
        <x:v>16</x:v>
      </x:c>
      <x:c r="K823" s="14" t="n">
        <x:v>12</x:v>
      </x:c>
      <x:c r="L823" s="15" t="n">
        <x:f>IF(J823=0,"해당 없음",K823/J823)</x:f>
        <x:v>0.75</x:v>
      </x:c>
      <x:c r="M823" s="14" t="n">
        <x:v>2</x:v>
      </x:c>
      <x:c r="N823" s="14" t="n">
        <x:v>2</x:v>
      </x:c>
      <x:c r="O823" s="15" t="n">
        <x:f>IF(M823=0,"해당 없음",N823/M823)</x:f>
        <x:v>1</x:v>
      </x:c>
      <x:c r="P823" s="14" t="n">
        <x:v>108</x:v>
      </x:c>
    </x:row>
    <x:row r="824" ht="22" customHeight="1">
      <x:c r="A824" s="14" t="n">
        <x:v>410</x:v>
      </x:c>
      <x:c r="B824" s="14" t="n">
        <x:v>11</x:v>
      </x:c>
      <x:c r="C824" s="14" t="n">
        <x:v>76004</x:v>
      </x:c>
      <x:c r="D824" s="2" t="str">
        <x:v>RED</x:v>
      </x:c>
      <x:c r="E824" s="2" t="str">
        <x:v>160만</x:v>
      </x:c>
      <x:c r="F824" s="2" t="str">
        <x:v>0만</x:v>
      </x:c>
      <x:c r="G824" s="2" t="str">
        <x:v>승</x:v>
      </x:c>
      <x:c r="H824" s="14" t="n">
        <x:v>9</x:v>
      </x:c>
      <x:c r="I824" s="14" t="n">
        <x:v>2</x:v>
      </x:c>
      <x:c r="J824" s="14" t="n">
        <x:v>14</x:v>
      </x:c>
      <x:c r="K824" s="14" t="n">
        <x:v>9</x:v>
      </x:c>
      <x:c r="L824" s="15" t="n">
        <x:f>IF(J824=0,"해당 없음",K824/J824)</x:f>
        <x:v>0.6428571428571429</x:v>
      </x:c>
      <x:c r="M824" s="14" t="n">
        <x:v>5</x:v>
      </x:c>
      <x:c r="N824" s="14" t="n">
        <x:v>3</x:v>
      </x:c>
      <x:c r="O824" s="15" t="n">
        <x:f>IF(M824=0,"해당 없음",N824/M824)</x:f>
        <x:v>0.6</x:v>
      </x:c>
      <x:c r="P824" s="14" t="n">
        <x:v>106</x:v>
      </x:c>
    </x:row>
    <x:row r="825" ht="22" customHeight="1">
      <x:c r="A825" s="14" t="n">
        <x:v>410</x:v>
      </x:c>
      <x:c r="B825" s="14" t="n">
        <x:v>11</x:v>
      </x:c>
      <x:c r="C825" s="14" t="n">
        <x:v>76004</x:v>
      </x:c>
      <x:c r="D825" s="2" t="str">
        <x:v>NAVY</x:v>
      </x:c>
      <x:c r="E825" s="2" t="str">
        <x:v>0만</x:v>
      </x:c>
      <x:c r="F825" s="2" t="str">
        <x:v>160만</x:v>
      </x:c>
      <x:c r="G825" s="2" t="str">
        <x:v>패</x:v>
      </x:c>
      <x:c r="H825" s="14" t="n">
        <x:v>2</x:v>
      </x:c>
      <x:c r="I825" s="14" t="n">
        <x:v>9</x:v>
      </x:c>
      <x:c r="J825" s="14" t="n">
        <x:v>4</x:v>
      </x:c>
      <x:c r="K825" s="14" t="n">
        <x:v>2</x:v>
      </x:c>
      <x:c r="L825" s="15" t="n">
        <x:f>IF(J825=0,"해당 없음",K825/J825)</x:f>
        <x:v>0.5</x:v>
      </x:c>
      <x:c r="M825" s="14" t="n">
        <x:v>2</x:v>
      </x:c>
      <x:c r="N825" s="14" t="n">
        <x:v>1</x:v>
      </x:c>
      <x:c r="O825" s="15" t="n">
        <x:f>IF(M825=0,"해당 없음",N825/M825)</x:f>
        <x:v>0.5</x:v>
      </x:c>
      <x:c r="P825" s="14" t="n">
        <x:v>106</x:v>
      </x:c>
    </x:row>
    <x:row r="826" ht="22" customHeight="1">
      <x:c r="A826" s="14" t="n">
        <x:v>411</x:v>
      </x:c>
      <x:c r="B826" s="14" t="n">
        <x:v>11</x:v>
      </x:c>
      <x:c r="C826" s="14" t="n">
        <x:v>76005</x:v>
      </x:c>
      <x:c r="D826" s="2" t="str">
        <x:v>RED</x:v>
      </x:c>
      <x:c r="E826" s="2" t="str">
        <x:v>0만</x:v>
      </x:c>
      <x:c r="F826" s="2" t="str">
        <x:v>160만</x:v>
      </x:c>
      <x:c r="G826" s="2" t="str">
        <x:v>무</x:v>
      </x:c>
      <x:c r="H826" s="14" t="n">
        <x:v>2</x:v>
      </x:c>
      <x:c r="I826" s="14" t="n">
        <x:v>2</x:v>
      </x:c>
      <x:c r="J826" s="14" t="n">
        <x:v>7</x:v>
      </x:c>
      <x:c r="K826" s="14" t="n">
        <x:v>2</x:v>
      </x:c>
      <x:c r="L826" s="15" t="n">
        <x:f>IF(J826=0,"해당 없음",K826/J826)</x:f>
        <x:v>0.2857142857142857</x:v>
      </x:c>
      <x:c r="M826" s="14" t="n">
        <x:v>13</x:v>
      </x:c>
      <x:c r="N826" s="14" t="n">
        <x:v>12</x:v>
      </x:c>
      <x:c r="O826" s="15" t="n">
        <x:f>IF(M826=0,"해당 없음",N826/M826)</x:f>
        <x:v>0.9230769230769231</x:v>
      </x:c>
      <x:c r="P826" s="14" t="n">
        <x:v>103</x:v>
      </x:c>
    </x:row>
    <x:row r="827" ht="22" customHeight="1">
      <x:c r="A827" s="14" t="n">
        <x:v>411</x:v>
      </x:c>
      <x:c r="B827" s="14" t="n">
        <x:v>11</x:v>
      </x:c>
      <x:c r="C827" s="14" t="n">
        <x:v>76005</x:v>
      </x:c>
      <x:c r="D827" s="2" t="str">
        <x:v>NAVY</x:v>
      </x:c>
      <x:c r="E827" s="2" t="str">
        <x:v>160만</x:v>
      </x:c>
      <x:c r="F827" s="2" t="str">
        <x:v>0만</x:v>
      </x:c>
      <x:c r="G827" s="2" t="str">
        <x:v>무</x:v>
      </x:c>
      <x:c r="H827" s="14" t="n">
        <x:v>2</x:v>
      </x:c>
      <x:c r="I827" s="14" t="n">
        <x:v>2</x:v>
      </x:c>
      <x:c r="J827" s="14" t="n">
        <x:v>11</x:v>
      </x:c>
      <x:c r="K827" s="14" t="n">
        <x:v>2</x:v>
      </x:c>
      <x:c r="L827" s="15" t="n">
        <x:f>IF(J827=0,"해당 없음",K827/J827)</x:f>
        <x:v>0.18181818181818182</x:v>
      </x:c>
      <x:c r="M827" s="14" t="n">
        <x:v>5</x:v>
      </x:c>
      <x:c r="N827" s="14" t="n">
        <x:v>3</x:v>
      </x:c>
      <x:c r="O827" s="15" t="n">
        <x:f>IF(M827=0,"해당 없음",N827/M827)</x:f>
        <x:v>0.6</x:v>
      </x:c>
      <x:c r="P827" s="14" t="n">
        <x:v>101</x:v>
      </x:c>
    </x:row>
    <x:row r="828" ht="22" customHeight="1">
      <x:c r="A828" s="14" t="n">
        <x:v>412</x:v>
      </x:c>
      <x:c r="B828" s="14" t="n">
        <x:v>11</x:v>
      </x:c>
      <x:c r="C828" s="14" t="n">
        <x:v>76005</x:v>
      </x:c>
      <x:c r="D828" s="2" t="str">
        <x:v>RED</x:v>
      </x:c>
      <x:c r="E828" s="2" t="str">
        <x:v>160만</x:v>
      </x:c>
      <x:c r="F828" s="2" t="str">
        <x:v>0만</x:v>
      </x:c>
      <x:c r="G828" s="2" t="str">
        <x:v>승</x:v>
      </x:c>
      <x:c r="H828" s="14" t="n">
        <x:v>10</x:v>
      </x:c>
      <x:c r="I828" s="14" t="n">
        <x:v>0</x:v>
      </x:c>
      <x:c r="J828" s="14" t="n">
        <x:v>15</x:v>
      </x:c>
      <x:c r="K828" s="14" t="n">
        <x:v>10</x:v>
      </x:c>
      <x:c r="L828" s="15" t="n">
        <x:f>IF(J828=0,"해당 없음",K828/J828)</x:f>
        <x:v>0.6666666666666666</x:v>
      </x:c>
      <x:c r="M828" s="14" t="n">
        <x:v>8</x:v>
      </x:c>
      <x:c r="N828" s="14" t="n">
        <x:v>6</x:v>
      </x:c>
      <x:c r="O828" s="15" t="n">
        <x:f>IF(M828=0,"해당 없음",N828/M828)</x:f>
        <x:v>0.75</x:v>
      </x:c>
      <x:c r="P828" s="14" t="n">
        <x:v>107</x:v>
      </x:c>
    </x:row>
    <x:row r="829" ht="22" customHeight="1">
      <x:c r="A829" s="14" t="n">
        <x:v>412</x:v>
      </x:c>
      <x:c r="B829" s="14" t="n">
        <x:v>11</x:v>
      </x:c>
      <x:c r="C829" s="14" t="n">
        <x:v>76005</x:v>
      </x:c>
      <x:c r="D829" s="2" t="str">
        <x:v>NAVY</x:v>
      </x:c>
      <x:c r="E829" s="2" t="str">
        <x:v>0만</x:v>
      </x:c>
      <x:c r="F829" s="2" t="str">
        <x:v>160만</x:v>
      </x:c>
      <x:c r="G829" s="2" t="str">
        <x:v>패</x:v>
      </x:c>
      <x:c r="H829" s="14" t="n">
        <x:v>0</x:v>
      </x:c>
      <x:c r="I829" s="14" t="n">
        <x:v>10</x:v>
      </x:c>
      <x:c r="J829" s="14" t="n">
        <x:v>4</x:v>
      </x:c>
      <x:c r="K829" s="14" t="n">
        <x:v>0</x:v>
      </x:c>
      <x:c r="L829" s="15" t="n">
        <x:f>IF(J829=0,"해당 없음",K829/J829)</x:f>
        <x:v>0</x:v>
      </x:c>
      <x:c r="M829" s="14" t="n">
        <x:v>5</x:v>
      </x:c>
      <x:c r="N829" s="14" t="n">
        <x:v>4</x:v>
      </x:c>
      <x:c r="O829" s="15" t="n">
        <x:f>IF(M829=0,"해당 없음",N829/M829)</x:f>
        <x:v>0.8</x:v>
      </x:c>
      <x:c r="P829" s="14" t="n">
        <x:v>106</x:v>
      </x:c>
    </x:row>
    <x:row r="830" ht="22" customHeight="1">
      <x:c r="A830" s="14" t="n">
        <x:v>413</x:v>
      </x:c>
      <x:c r="B830" s="14" t="n">
        <x:v>11</x:v>
      </x:c>
      <x:c r="C830" s="14" t="n">
        <x:v>76006</x:v>
      </x:c>
      <x:c r="D830" s="2" t="str">
        <x:v>RED</x:v>
      </x:c>
      <x:c r="E830" s="2" t="str">
        <x:v>0만</x:v>
      </x:c>
      <x:c r="F830" s="2" t="str">
        <x:v>160만</x:v>
      </x:c>
      <x:c r="G830" s="2" t="str">
        <x:v>패</x:v>
      </x:c>
      <x:c r="H830" s="14" t="n">
        <x:v>1</x:v>
      </x:c>
      <x:c r="I830" s="14" t="n">
        <x:v>3</x:v>
      </x:c>
      <x:c r="J830" s="14" t="n">
        <x:v>4</x:v>
      </x:c>
      <x:c r="K830" s="14" t="n">
        <x:v>1</x:v>
      </x:c>
      <x:c r="L830" s="15" t="n">
        <x:f>IF(J830=0,"해당 없음",K830/J830)</x:f>
        <x:v>0.25</x:v>
      </x:c>
      <x:c r="M830" s="14" t="n">
        <x:v>8</x:v>
      </x:c>
      <x:c r="N830" s="14" t="n">
        <x:v>6</x:v>
      </x:c>
      <x:c r="O830" s="15" t="n">
        <x:f>IF(M830=0,"해당 없음",N830/M830)</x:f>
        <x:v>0.75</x:v>
      </x:c>
      <x:c r="P830" s="14" t="n">
        <x:v>103</x:v>
      </x:c>
    </x:row>
    <x:row r="831" ht="22" customHeight="1">
      <x:c r="A831" s="14" t="n">
        <x:v>413</x:v>
      </x:c>
      <x:c r="B831" s="14" t="n">
        <x:v>11</x:v>
      </x:c>
      <x:c r="C831" s="14" t="n">
        <x:v>76006</x:v>
      </x:c>
      <x:c r="D831" s="2" t="str">
        <x:v>NAVY</x:v>
      </x:c>
      <x:c r="E831" s="2" t="str">
        <x:v>160만</x:v>
      </x:c>
      <x:c r="F831" s="2" t="str">
        <x:v>0만</x:v>
      </x:c>
      <x:c r="G831" s="2" t="str">
        <x:v>승</x:v>
      </x:c>
      <x:c r="H831" s="14" t="n">
        <x:v>3</x:v>
      </x:c>
      <x:c r="I831" s="14" t="n">
        <x:v>1</x:v>
      </x:c>
      <x:c r="J831" s="14" t="n">
        <x:v>12</x:v>
      </x:c>
      <x:c r="K831" s="14" t="n">
        <x:v>3</x:v>
      </x:c>
      <x:c r="L831" s="15" t="n">
        <x:f>IF(J831=0,"해당 없음",K831/J831)</x:f>
        <x:v>0.25</x:v>
      </x:c>
      <x:c r="M831" s="14" t="n">
        <x:v>8</x:v>
      </x:c>
      <x:c r="N831" s="14" t="n">
        <x:v>5</x:v>
      </x:c>
      <x:c r="O831" s="15" t="n">
        <x:f>IF(M831=0,"해당 없음",N831/M831)</x:f>
        <x:v>0.625</x:v>
      </x:c>
      <x:c r="P831" s="14" t="n">
        <x:v>102</x:v>
      </x:c>
    </x:row>
    <x:row r="832" ht="22" customHeight="1">
      <x:c r="A832" s="14" t="n">
        <x:v>414</x:v>
      </x:c>
      <x:c r="B832" s="14" t="n">
        <x:v>11</x:v>
      </x:c>
      <x:c r="C832" s="14" t="n">
        <x:v>76006</x:v>
      </x:c>
      <x:c r="D832" s="2" t="str">
        <x:v>RED</x:v>
      </x:c>
      <x:c r="E832" s="2" t="str">
        <x:v>160만</x:v>
      </x:c>
      <x:c r="F832" s="2" t="str">
        <x:v>0만</x:v>
      </x:c>
      <x:c r="G832" s="2" t="str">
        <x:v>승</x:v>
      </x:c>
      <x:c r="H832" s="14" t="n">
        <x:v>8</x:v>
      </x:c>
      <x:c r="I832" s="14" t="n">
        <x:v>0</x:v>
      </x:c>
      <x:c r="J832" s="14" t="n">
        <x:v>15</x:v>
      </x:c>
      <x:c r="K832" s="14" t="n">
        <x:v>8</x:v>
      </x:c>
      <x:c r="L832" s="15" t="n">
        <x:f>IF(J832=0,"해당 없음",K832/J832)</x:f>
        <x:v>0.5333333333333333</x:v>
      </x:c>
      <x:c r="M832" s="14" t="n">
        <x:v>8</x:v>
      </x:c>
      <x:c r="N832" s="14" t="n">
        <x:v>7</x:v>
      </x:c>
      <x:c r="O832" s="15" t="n">
        <x:f>IF(M832=0,"해당 없음",N832/M832)</x:f>
        <x:v>0.875</x:v>
      </x:c>
      <x:c r="P832" s="14" t="n">
        <x:v>105</x:v>
      </x:c>
    </x:row>
    <x:row r="833" ht="22" customHeight="1">
      <x:c r="A833" s="14" t="n">
        <x:v>414</x:v>
      </x:c>
      <x:c r="B833" s="14" t="n">
        <x:v>11</x:v>
      </x:c>
      <x:c r="C833" s="14" t="n">
        <x:v>76006</x:v>
      </x:c>
      <x:c r="D833" s="2" t="str">
        <x:v>NAVY</x:v>
      </x:c>
      <x:c r="E833" s="2" t="str">
        <x:v>0만</x:v>
      </x:c>
      <x:c r="F833" s="2" t="str">
        <x:v>160만</x:v>
      </x:c>
      <x:c r="G833" s="2" t="str">
        <x:v>패</x:v>
      </x:c>
      <x:c r="H833" s="14" t="n">
        <x:v>0</x:v>
      </x:c>
      <x:c r="I833" s="14" t="n">
        <x:v>8</x:v>
      </x:c>
      <x:c r="J833" s="14" t="n">
        <x:v>3</x:v>
      </x:c>
      <x:c r="K833" s="14" t="n">
        <x:v>0</x:v>
      </x:c>
      <x:c r="L833" s="15" t="n">
        <x:f>IF(J833=0,"해당 없음",K833/J833)</x:f>
        <x:v>0</x:v>
      </x:c>
      <x:c r="M833" s="14" t="n">
        <x:v>8</x:v>
      </x:c>
      <x:c r="N833" s="14" t="n">
        <x:v>7</x:v>
      </x:c>
      <x:c r="O833" s="15" t="n">
        <x:f>IF(M833=0,"해당 없음",N833/M833)</x:f>
        <x:v>0.875</x:v>
      </x:c>
      <x:c r="P833" s="14" t="n">
        <x:v>106</x:v>
      </x:c>
    </x:row>
    <x:row r="834" ht="22" customHeight="1">
      <x:c r="A834" s="14" t="n">
        <x:v>415</x:v>
      </x:c>
      <x:c r="B834" s="14" t="n">
        <x:v>11</x:v>
      </x:c>
      <x:c r="C834" s="14" t="n">
        <x:v>76007</x:v>
      </x:c>
      <x:c r="D834" s="2" t="str">
        <x:v>RED</x:v>
      </x:c>
      <x:c r="E834" s="2" t="str">
        <x:v>0만</x:v>
      </x:c>
      <x:c r="F834" s="2" t="str">
        <x:v>160만</x:v>
      </x:c>
      <x:c r="G834" s="2" t="str">
        <x:v>패</x:v>
      </x:c>
      <x:c r="H834" s="14" t="n">
        <x:v>0</x:v>
      </x:c>
      <x:c r="I834" s="14" t="n">
        <x:v>7</x:v>
      </x:c>
      <x:c r="J834" s="14" t="n">
        <x:v>4</x:v>
      </x:c>
      <x:c r="K834" s="14" t="n">
        <x:v>0</x:v>
      </x:c>
      <x:c r="L834" s="15" t="n">
        <x:f>IF(J834=0,"해당 없음",K834/J834)</x:f>
        <x:v>0</x:v>
      </x:c>
      <x:c r="M834" s="14" t="n">
        <x:v>7</x:v>
      </x:c>
      <x:c r="N834" s="14" t="n">
        <x:v>6</x:v>
      </x:c>
      <x:c r="O834" s="15" t="n">
        <x:f>IF(M834=0,"해당 없음",N834/M834)</x:f>
        <x:v>0.8571428571428571</x:v>
      </x:c>
      <x:c r="P834" s="14" t="n">
        <x:v>105</x:v>
      </x:c>
    </x:row>
    <x:row r="835" ht="22" customHeight="1">
      <x:c r="A835" s="14" t="n">
        <x:v>415</x:v>
      </x:c>
      <x:c r="B835" s="14" t="n">
        <x:v>11</x:v>
      </x:c>
      <x:c r="C835" s="14" t="n">
        <x:v>76007</x:v>
      </x:c>
      <x:c r="D835" s="2" t="str">
        <x:v>NAVY</x:v>
      </x:c>
      <x:c r="E835" s="2" t="str">
        <x:v>160만</x:v>
      </x:c>
      <x:c r="F835" s="2" t="str">
        <x:v>0만</x:v>
      </x:c>
      <x:c r="G835" s="2" t="str">
        <x:v>승</x:v>
      </x:c>
      <x:c r="H835" s="14" t="n">
        <x:v>7</x:v>
      </x:c>
      <x:c r="I835" s="14" t="n">
        <x:v>0</x:v>
      </x:c>
      <x:c r="J835" s="14" t="n">
        <x:v>13</x:v>
      </x:c>
      <x:c r="K835" s="14" t="n">
        <x:v>7</x:v>
      </x:c>
      <x:c r="L835" s="15" t="n">
        <x:f>IF(J835=0,"해당 없음",K835/J835)</x:f>
        <x:v>0.5384615384615384</x:v>
      </x:c>
      <x:c r="M835" s="14" t="n">
        <x:v>8</x:v>
      </x:c>
      <x:c r="N835" s="14" t="n">
        <x:v>7</x:v>
      </x:c>
      <x:c r="O835" s="15" t="n">
        <x:f>IF(M835=0,"해당 없음",N835/M835)</x:f>
        <x:v>0.875</x:v>
      </x:c>
      <x:c r="P835" s="14" t="n">
        <x:v>104</x:v>
      </x:c>
    </x:row>
    <x:row r="836" ht="22" customHeight="1">
      <x:c r="A836" s="14" t="n">
        <x:v>416</x:v>
      </x:c>
      <x:c r="B836" s="14" t="n">
        <x:v>11</x:v>
      </x:c>
      <x:c r="C836" s="14" t="n">
        <x:v>76007</x:v>
      </x:c>
      <x:c r="D836" s="2" t="str">
        <x:v>RED</x:v>
      </x:c>
      <x:c r="E836" s="2" t="str">
        <x:v>160만</x:v>
      </x:c>
      <x:c r="F836" s="2" t="str">
        <x:v>0만</x:v>
      </x:c>
      <x:c r="G836" s="2" t="str">
        <x:v>승</x:v>
      </x:c>
      <x:c r="H836" s="14" t="n">
        <x:v>9</x:v>
      </x:c>
      <x:c r="I836" s="14" t="n">
        <x:v>0</x:v>
      </x:c>
      <x:c r="J836" s="14" t="n">
        <x:v>13</x:v>
      </x:c>
      <x:c r="K836" s="14" t="n">
        <x:v>9</x:v>
      </x:c>
      <x:c r="L836" s="15" t="n">
        <x:f>IF(J836=0,"해당 없음",K836/J836)</x:f>
        <x:v>0.6923076923076923</x:v>
      </x:c>
      <x:c r="M836" s="14" t="n">
        <x:v>12</x:v>
      </x:c>
      <x:c r="N836" s="14" t="n">
        <x:v>8</x:v>
      </x:c>
      <x:c r="O836" s="15" t="n">
        <x:f>IF(M836=0,"해당 없음",N836/M836)</x:f>
        <x:v>0.6666666666666666</x:v>
      </x:c>
      <x:c r="P836" s="14" t="n">
        <x:v>105</x:v>
      </x:c>
    </x:row>
    <x:row r="837" ht="22" customHeight="1">
      <x:c r="A837" s="14" t="n">
        <x:v>416</x:v>
      </x:c>
      <x:c r="B837" s="14" t="n">
        <x:v>11</x:v>
      </x:c>
      <x:c r="C837" s="14" t="n">
        <x:v>76007</x:v>
      </x:c>
      <x:c r="D837" s="2" t="str">
        <x:v>NAVY</x:v>
      </x:c>
      <x:c r="E837" s="2" t="str">
        <x:v>0만</x:v>
      </x:c>
      <x:c r="F837" s="2" t="str">
        <x:v>160만</x:v>
      </x:c>
      <x:c r="G837" s="2" t="str">
        <x:v>패</x:v>
      </x:c>
      <x:c r="H837" s="14" t="n">
        <x:v>0</x:v>
      </x:c>
      <x:c r="I837" s="14" t="n">
        <x:v>9</x:v>
      </x:c>
      <x:c r="J837" s="14" t="n">
        <x:v>5</x:v>
      </x:c>
      <x:c r="K837" s="14" t="n">
        <x:v>0</x:v>
      </x:c>
      <x:c r="L837" s="15" t="n">
        <x:f>IF(J837=0,"해당 없음",K837/J837)</x:f>
        <x:v>0</x:v>
      </x:c>
      <x:c r="M837" s="14" t="n">
        <x:v>7</x:v>
      </x:c>
      <x:c r="N837" s="14" t="n">
        <x:v>5</x:v>
      </x:c>
      <x:c r="O837" s="15" t="n">
        <x:f>IF(M837=0,"해당 없음",N837/M837)</x:f>
        <x:v>0.7142857142857143</x:v>
      </x:c>
      <x:c r="P837" s="14" t="n">
        <x:v>106</x:v>
      </x:c>
    </x:row>
    <x:row r="838" ht="22" customHeight="1">
      <x:c r="A838" s="14" t="n">
        <x:v>417</x:v>
      </x:c>
      <x:c r="B838" s="14" t="n">
        <x:v>11</x:v>
      </x:c>
      <x:c r="C838" s="14" t="n">
        <x:v>76008</x:v>
      </x:c>
      <x:c r="D838" s="2" t="str">
        <x:v>RED</x:v>
      </x:c>
      <x:c r="E838" s="2" t="str">
        <x:v>0만</x:v>
      </x:c>
      <x:c r="F838" s="2" t="str">
        <x:v>160만</x:v>
      </x:c>
      <x:c r="G838" s="2" t="str">
        <x:v>패</x:v>
      </x:c>
      <x:c r="H838" s="14" t="n">
        <x:v>1</x:v>
      </x:c>
      <x:c r="I838" s="14" t="n">
        <x:v>6</x:v>
      </x:c>
      <x:c r="J838" s="14" t="n">
        <x:v>6</x:v>
      </x:c>
      <x:c r="K838" s="14" t="n">
        <x:v>1</x:v>
      </x:c>
      <x:c r="L838" s="15" t="n">
        <x:f>IF(J838=0,"해당 없음",K838/J838)</x:f>
        <x:v>0.16666666666666666</x:v>
      </x:c>
      <x:c r="M838" s="14" t="n">
        <x:v>5</x:v>
      </x:c>
      <x:c r="N838" s="14" t="n">
        <x:v>4</x:v>
      </x:c>
      <x:c r="O838" s="15" t="n">
        <x:f>IF(M838=0,"해당 없음",N838/M838)</x:f>
        <x:v>0.8</x:v>
      </x:c>
      <x:c r="P838" s="14" t="n">
        <x:v>103</x:v>
      </x:c>
    </x:row>
    <x:row r="839" ht="22" customHeight="1">
      <x:c r="A839" s="14" t="n">
        <x:v>417</x:v>
      </x:c>
      <x:c r="B839" s="14" t="n">
        <x:v>11</x:v>
      </x:c>
      <x:c r="C839" s="14" t="n">
        <x:v>76008</x:v>
      </x:c>
      <x:c r="D839" s="2" t="str">
        <x:v>NAVY</x:v>
      </x:c>
      <x:c r="E839" s="2" t="str">
        <x:v>160만</x:v>
      </x:c>
      <x:c r="F839" s="2" t="str">
        <x:v>0만</x:v>
      </x:c>
      <x:c r="G839" s="2" t="str">
        <x:v>승</x:v>
      </x:c>
      <x:c r="H839" s="14" t="n">
        <x:v>6</x:v>
      </x:c>
      <x:c r="I839" s="14" t="n">
        <x:v>1</x:v>
      </x:c>
      <x:c r="J839" s="14" t="n">
        <x:v>12</x:v>
      </x:c>
      <x:c r="K839" s="14" t="n">
        <x:v>6</x:v>
      </x:c>
      <x:c r="L839" s="15" t="n">
        <x:f>IF(J839=0,"해당 없음",K839/J839)</x:f>
        <x:v>0.5</x:v>
      </x:c>
      <x:c r="M839" s="14" t="n">
        <x:v>9</x:v>
      </x:c>
      <x:c r="N839" s="14" t="n">
        <x:v>7</x:v>
      </x:c>
      <x:c r="O839" s="15" t="n">
        <x:f>IF(M839=0,"해당 없음",N839/M839)</x:f>
        <x:v>0.7777777777777778</x:v>
      </x:c>
      <x:c r="P839" s="14" t="n">
        <x:v>103</x:v>
      </x:c>
    </x:row>
    <x:row r="840" ht="22" customHeight="1">
      <x:c r="A840" s="14" t="n">
        <x:v>418</x:v>
      </x:c>
      <x:c r="B840" s="14" t="n">
        <x:v>11</x:v>
      </x:c>
      <x:c r="C840" s="14" t="n">
        <x:v>76008</x:v>
      </x:c>
      <x:c r="D840" s="2" t="str">
        <x:v>RED</x:v>
      </x:c>
      <x:c r="E840" s="2" t="str">
        <x:v>160만</x:v>
      </x:c>
      <x:c r="F840" s="2" t="str">
        <x:v>0만</x:v>
      </x:c>
      <x:c r="G840" s="2" t="str">
        <x:v>승</x:v>
      </x:c>
      <x:c r="H840" s="14" t="n">
        <x:v>4</x:v>
      </x:c>
      <x:c r="I840" s="14" t="n">
        <x:v>1</x:v>
      </x:c>
      <x:c r="J840" s="14" t="n">
        <x:v>16</x:v>
      </x:c>
      <x:c r="K840" s="14" t="n">
        <x:v>4</x:v>
      </x:c>
      <x:c r="L840" s="15" t="n">
        <x:f>IF(J840=0,"해당 없음",K840/J840)</x:f>
        <x:v>0.25</x:v>
      </x:c>
      <x:c r="M840" s="14" t="n">
        <x:v>8</x:v>
      </x:c>
      <x:c r="N840" s="14" t="n">
        <x:v>8</x:v>
      </x:c>
      <x:c r="O840" s="15" t="n">
        <x:f>IF(M840=0,"해당 없음",N840/M840)</x:f>
        <x:v>1</x:v>
      </x:c>
      <x:c r="P840" s="14" t="n">
        <x:v>102</x:v>
      </x:c>
    </x:row>
    <x:row r="841" ht="22" customHeight="1">
      <x:c r="A841" s="14" t="n">
        <x:v>418</x:v>
      </x:c>
      <x:c r="B841" s="14" t="n">
        <x:v>11</x:v>
      </x:c>
      <x:c r="C841" s="14" t="n">
        <x:v>76008</x:v>
      </x:c>
      <x:c r="D841" s="2" t="str">
        <x:v>NAVY</x:v>
      </x:c>
      <x:c r="E841" s="2" t="str">
        <x:v>0만</x:v>
      </x:c>
      <x:c r="F841" s="2" t="str">
        <x:v>160만</x:v>
      </x:c>
      <x:c r="G841" s="2" t="str">
        <x:v>패</x:v>
      </x:c>
      <x:c r="H841" s="14" t="n">
        <x:v>1</x:v>
      </x:c>
      <x:c r="I841" s="14" t="n">
        <x:v>4</x:v>
      </x:c>
      <x:c r="J841" s="14" t="n">
        <x:v>5</x:v>
      </x:c>
      <x:c r="K841" s="14" t="n">
        <x:v>1</x:v>
      </x:c>
      <x:c r="L841" s="15" t="n">
        <x:f>IF(J841=0,"해당 없음",K841/J841)</x:f>
        <x:v>0.2</x:v>
      </x:c>
      <x:c r="M841" s="14" t="n">
        <x:v>8</x:v>
      </x:c>
      <x:c r="N841" s="14" t="n">
        <x:v>7</x:v>
      </x:c>
      <x:c r="O841" s="15" t="n">
        <x:f>IF(M841=0,"해당 없음",N841/M841)</x:f>
        <x:v>0.875</x:v>
      </x:c>
      <x:c r="P841" s="14" t="n">
        <x:v>102</x:v>
      </x:c>
    </x:row>
    <x:row r="842" ht="22" customHeight="1">
      <x:c r="A842" s="14" t="n">
        <x:v>419</x:v>
      </x:c>
      <x:c r="B842" s="14" t="n">
        <x:v>11</x:v>
      </x:c>
      <x:c r="C842" s="14" t="n">
        <x:v>76009</x:v>
      </x:c>
      <x:c r="D842" s="2" t="str">
        <x:v>RED</x:v>
      </x:c>
      <x:c r="E842" s="2" t="str">
        <x:v>0만</x:v>
      </x:c>
      <x:c r="F842" s="2" t="str">
        <x:v>160만</x:v>
      </x:c>
      <x:c r="G842" s="2" t="str">
        <x:v>패</x:v>
      </x:c>
      <x:c r="H842" s="14" t="n">
        <x:v>2</x:v>
      </x:c>
      <x:c r="I842" s="14" t="n">
        <x:v>3</x:v>
      </x:c>
      <x:c r="J842" s="14" t="n">
        <x:v>5</x:v>
      </x:c>
      <x:c r="K842" s="14" t="n">
        <x:v>2</x:v>
      </x:c>
      <x:c r="L842" s="15" t="n">
        <x:f>IF(J842=0,"해당 없음",K842/J842)</x:f>
        <x:v>0.4</x:v>
      </x:c>
      <x:c r="M842" s="14" t="n">
        <x:v>9</x:v>
      </x:c>
      <x:c r="N842" s="14" t="n">
        <x:v>8</x:v>
      </x:c>
      <x:c r="O842" s="15" t="n">
        <x:f>IF(M842=0,"해당 없음",N842/M842)</x:f>
        <x:v>0.8888888888888888</x:v>
      </x:c>
      <x:c r="P842" s="14" t="n">
        <x:v>103</x:v>
      </x:c>
    </x:row>
    <x:row r="843" ht="22" customHeight="1">
      <x:c r="A843" s="14" t="n">
        <x:v>419</x:v>
      </x:c>
      <x:c r="B843" s="14" t="n">
        <x:v>11</x:v>
      </x:c>
      <x:c r="C843" s="14" t="n">
        <x:v>76009</x:v>
      </x:c>
      <x:c r="D843" s="2" t="str">
        <x:v>NAVY</x:v>
      </x:c>
      <x:c r="E843" s="2" t="str">
        <x:v>160만</x:v>
      </x:c>
      <x:c r="F843" s="2" t="str">
        <x:v>0만</x:v>
      </x:c>
      <x:c r="G843" s="2" t="str">
        <x:v>승</x:v>
      </x:c>
      <x:c r="H843" s="14" t="n">
        <x:v>3</x:v>
      </x:c>
      <x:c r="I843" s="14" t="n">
        <x:v>2</x:v>
      </x:c>
      <x:c r="J843" s="14" t="n">
        <x:v>10</x:v>
      </x:c>
      <x:c r="K843" s="14" t="n">
        <x:v>3</x:v>
      </x:c>
      <x:c r="L843" s="15" t="n">
        <x:f>IF(J843=0,"해당 없음",K843/J843)</x:f>
        <x:v>0.3</x:v>
      </x:c>
      <x:c r="M843" s="14" t="n">
        <x:v>12</x:v>
      </x:c>
      <x:c r="N843" s="14" t="n">
        <x:v>9</x:v>
      </x:c>
      <x:c r="O843" s="15" t="n">
        <x:f>IF(M843=0,"해당 없음",N843/M843)</x:f>
        <x:v>0.75</x:v>
      </x:c>
      <x:c r="P843" s="14" t="n">
        <x:v>104</x:v>
      </x:c>
    </x:row>
    <x:row r="844" ht="22" customHeight="1">
      <x:c r="A844" s="14" t="n">
        <x:v>420</x:v>
      </x:c>
      <x:c r="B844" s="14" t="n">
        <x:v>11</x:v>
      </x:c>
      <x:c r="C844" s="14" t="n">
        <x:v>76009</x:v>
      </x:c>
      <x:c r="D844" s="2" t="str">
        <x:v>RED</x:v>
      </x:c>
      <x:c r="E844" s="2" t="str">
        <x:v>160만</x:v>
      </x:c>
      <x:c r="F844" s="2" t="str">
        <x:v>0만</x:v>
      </x:c>
      <x:c r="G844" s="2" t="str">
        <x:v>승</x:v>
      </x:c>
      <x:c r="H844" s="14" t="n">
        <x:v>8</x:v>
      </x:c>
      <x:c r="I844" s="14" t="n">
        <x:v>2</x:v>
      </x:c>
      <x:c r="J844" s="14" t="n">
        <x:v>13</x:v>
      </x:c>
      <x:c r="K844" s="14" t="n">
        <x:v>8</x:v>
      </x:c>
      <x:c r="L844" s="15" t="n">
        <x:f>IF(J844=0,"해당 없음",K844/J844)</x:f>
        <x:v>0.6153846153846154</x:v>
      </x:c>
      <x:c r="M844" s="14" t="n">
        <x:v>3</x:v>
      </x:c>
      <x:c r="N844" s="14" t="n">
        <x:v>3</x:v>
      </x:c>
      <x:c r="O844" s="15" t="n">
        <x:f>IF(M844=0,"해당 없음",N844/M844)</x:f>
        <x:v>1</x:v>
      </x:c>
      <x:c r="P844" s="14" t="n">
        <x:v>102</x:v>
      </x:c>
    </x:row>
    <x:row r="845" ht="22" customHeight="1">
      <x:c r="A845" s="14" t="n">
        <x:v>420</x:v>
      </x:c>
      <x:c r="B845" s="14" t="n">
        <x:v>11</x:v>
      </x:c>
      <x:c r="C845" s="14" t="n">
        <x:v>76009</x:v>
      </x:c>
      <x:c r="D845" s="2" t="str">
        <x:v>NAVY</x:v>
      </x:c>
      <x:c r="E845" s="2" t="str">
        <x:v>0만</x:v>
      </x:c>
      <x:c r="F845" s="2" t="str">
        <x:v>160만</x:v>
      </x:c>
      <x:c r="G845" s="2" t="str">
        <x:v>패</x:v>
      </x:c>
      <x:c r="H845" s="14" t="n">
        <x:v>2</x:v>
      </x:c>
      <x:c r="I845" s="14" t="n">
        <x:v>8</x:v>
      </x:c>
      <x:c r="J845" s="14" t="n">
        <x:v>5</x:v>
      </x:c>
      <x:c r="K845" s="14" t="n">
        <x:v>2</x:v>
      </x:c>
      <x:c r="L845" s="15" t="n">
        <x:f>IF(J845=0,"해당 없음",K845/J845)</x:f>
        <x:v>0.4</x:v>
      </x:c>
      <x:c r="M845" s="14" t="n">
        <x:v>4</x:v>
      </x:c>
      <x:c r="N845" s="14" t="n">
        <x:v>3</x:v>
      </x:c>
      <x:c r="O845" s="15" t="n">
        <x:f>IF(M845=0,"해당 없음",N845/M845)</x:f>
        <x:v>0.75</x:v>
      </x:c>
      <x:c r="P845" s="14" t="n">
        <x:v>104</x:v>
      </x:c>
    </x:row>
    <x:row r="846" ht="22" customHeight="1">
      <x:c r="A846" s="14" t="n">
        <x:v>421</x:v>
      </x:c>
      <x:c r="B846" s="14" t="n">
        <x:v>11</x:v>
      </x:c>
      <x:c r="C846" s="14" t="n">
        <x:v>76010</x:v>
      </x:c>
      <x:c r="D846" s="2" t="str">
        <x:v>RED</x:v>
      </x:c>
      <x:c r="E846" s="2" t="str">
        <x:v>0만</x:v>
      </x:c>
      <x:c r="F846" s="2" t="str">
        <x:v>160만</x:v>
      </x:c>
      <x:c r="G846" s="2" t="str">
        <x:v>패</x:v>
      </x:c>
      <x:c r="H846" s="14" t="n">
        <x:v>1</x:v>
      </x:c>
      <x:c r="I846" s="14" t="n">
        <x:v>7</x:v>
      </x:c>
      <x:c r="J846" s="14" t="n">
        <x:v>5</x:v>
      </x:c>
      <x:c r="K846" s="14" t="n">
        <x:v>1</x:v>
      </x:c>
      <x:c r="L846" s="15" t="n">
        <x:f>IF(J846=0,"해당 없음",K846/J846)</x:f>
        <x:v>0.2</x:v>
      </x:c>
      <x:c r="M846" s="14" t="n">
        <x:v>7</x:v>
      </x:c>
      <x:c r="N846" s="14" t="n">
        <x:v>5</x:v>
      </x:c>
      <x:c r="O846" s="15" t="n">
        <x:f>IF(M846=0,"해당 없음",N846/M846)</x:f>
        <x:v>0.7142857142857143</x:v>
      </x:c>
      <x:c r="P846" s="14" t="n">
        <x:v>106</x:v>
      </x:c>
    </x:row>
    <x:row r="847" ht="22" customHeight="1">
      <x:c r="A847" s="14" t="n">
        <x:v>421</x:v>
      </x:c>
      <x:c r="B847" s="14" t="n">
        <x:v>11</x:v>
      </x:c>
      <x:c r="C847" s="14" t="n">
        <x:v>76010</x:v>
      </x:c>
      <x:c r="D847" s="2" t="str">
        <x:v>NAVY</x:v>
      </x:c>
      <x:c r="E847" s="2" t="str">
        <x:v>160만</x:v>
      </x:c>
      <x:c r="F847" s="2" t="str">
        <x:v>0만</x:v>
      </x:c>
      <x:c r="G847" s="2" t="str">
        <x:v>승</x:v>
      </x:c>
      <x:c r="H847" s="14" t="n">
        <x:v>7</x:v>
      </x:c>
      <x:c r="I847" s="14" t="n">
        <x:v>1</x:v>
      </x:c>
      <x:c r="J847" s="14" t="n">
        <x:v>13</x:v>
      </x:c>
      <x:c r="K847" s="14" t="n">
        <x:v>7</x:v>
      </x:c>
      <x:c r="L847" s="15" t="n">
        <x:f>IF(J847=0,"해당 없음",K847/J847)</x:f>
        <x:v>0.5384615384615384</x:v>
      </x:c>
      <x:c r="M847" s="14" t="n">
        <x:v>4</x:v>
      </x:c>
      <x:c r="N847" s="14" t="n">
        <x:v>4</x:v>
      </x:c>
      <x:c r="O847" s="15" t="n">
        <x:f>IF(M847=0,"해당 없음",N847/M847)</x:f>
        <x:v>1</x:v>
      </x:c>
      <x:c r="P847" s="14" t="n">
        <x:v>106</x:v>
      </x:c>
    </x:row>
    <x:row r="848" ht="22" customHeight="1">
      <x:c r="A848" s="14" t="n">
        <x:v>422</x:v>
      </x:c>
      <x:c r="B848" s="14" t="n">
        <x:v>11</x:v>
      </x:c>
      <x:c r="C848" s="14" t="n">
        <x:v>76010</x:v>
      </x:c>
      <x:c r="D848" s="2" t="str">
        <x:v>RED</x:v>
      </x:c>
      <x:c r="E848" s="2" t="str">
        <x:v>160만</x:v>
      </x:c>
      <x:c r="F848" s="2" t="str">
        <x:v>0만</x:v>
      </x:c>
      <x:c r="G848" s="2" t="str">
        <x:v>승</x:v>
      </x:c>
      <x:c r="H848" s="14" t="n">
        <x:v>3</x:v>
      </x:c>
      <x:c r="I848" s="14" t="n">
        <x:v>1</x:v>
      </x:c>
      <x:c r="J848" s="14" t="n">
        <x:v>13</x:v>
      </x:c>
      <x:c r="K848" s="14" t="n">
        <x:v>3</x:v>
      </x:c>
      <x:c r="L848" s="15" t="n">
        <x:f>IF(J848=0,"해당 없음",K848/J848)</x:f>
        <x:v>0.23076923076923078</x:v>
      </x:c>
      <x:c r="M848" s="14" t="n">
        <x:v>13</x:v>
      </x:c>
      <x:c r="N848" s="14" t="n">
        <x:v>9</x:v>
      </x:c>
      <x:c r="O848" s="15" t="n">
        <x:f>IF(M848=0,"해당 없음",N848/M848)</x:f>
        <x:v>0.6923076923076923</x:v>
      </x:c>
      <x:c r="P848" s="14" t="n">
        <x:v>100</x:v>
      </x:c>
    </x:row>
    <x:row r="849" ht="22" customHeight="1">
      <x:c r="A849" s="14" t="n">
        <x:v>422</x:v>
      </x:c>
      <x:c r="B849" s="14" t="n">
        <x:v>11</x:v>
      </x:c>
      <x:c r="C849" s="14" t="n">
        <x:v>76010</x:v>
      </x:c>
      <x:c r="D849" s="2" t="str">
        <x:v>NAVY</x:v>
      </x:c>
      <x:c r="E849" s="2" t="str">
        <x:v>0만</x:v>
      </x:c>
      <x:c r="F849" s="2" t="str">
        <x:v>160만</x:v>
      </x:c>
      <x:c r="G849" s="2" t="str">
        <x:v>패</x:v>
      </x:c>
      <x:c r="H849" s="14" t="n">
        <x:v>1</x:v>
      </x:c>
      <x:c r="I849" s="14" t="n">
        <x:v>3</x:v>
      </x:c>
      <x:c r="J849" s="14" t="n">
        <x:v>10</x:v>
      </x:c>
      <x:c r="K849" s="14" t="n">
        <x:v>1</x:v>
      </x:c>
      <x:c r="L849" s="15" t="n">
        <x:f>IF(J849=0,"해당 없음",K849/J849)</x:f>
        <x:v>0.1</x:v>
      </x:c>
      <x:c r="M849" s="14" t="n">
        <x:v>7</x:v>
      </x:c>
      <x:c r="N849" s="14" t="n">
        <x:v>5</x:v>
      </x:c>
      <x:c r="O849" s="15" t="n">
        <x:f>IF(M849=0,"해당 없음",N849/M849)</x:f>
        <x:v>0.7142857142857143</x:v>
      </x:c>
      <x:c r="P849" s="14" t="n">
        <x:v>102</x:v>
      </x:c>
    </x:row>
    <x:row r="850" ht="22" customHeight="1">
      <x:c r="A850" s="14" t="n">
        <x:v>423</x:v>
      </x:c>
      <x:c r="B850" s="14" t="n">
        <x:v>11</x:v>
      </x:c>
      <x:c r="C850" s="14" t="n">
        <x:v>76011</x:v>
      </x:c>
      <x:c r="D850" s="2" t="str">
        <x:v>RED</x:v>
      </x:c>
      <x:c r="E850" s="2" t="str">
        <x:v>0만</x:v>
      </x:c>
      <x:c r="F850" s="2" t="str">
        <x:v>160만</x:v>
      </x:c>
      <x:c r="G850" s="2" t="str">
        <x:v>무</x:v>
      </x:c>
      <x:c r="H850" s="14" t="n">
        <x:v>3</x:v>
      </x:c>
      <x:c r="I850" s="14" t="n">
        <x:v>3</x:v>
      </x:c>
      <x:c r="J850" s="14" t="n">
        <x:v>5</x:v>
      </x:c>
      <x:c r="K850" s="14" t="n">
        <x:v>3</x:v>
      </x:c>
      <x:c r="L850" s="15" t="n">
        <x:f>IF(J850=0,"해당 없음",K850/J850)</x:f>
        <x:v>0.6</x:v>
      </x:c>
      <x:c r="M850" s="14" t="n">
        <x:v>14</x:v>
      </x:c>
      <x:c r="N850" s="14" t="n">
        <x:v>10</x:v>
      </x:c>
      <x:c r="O850" s="15" t="n">
        <x:f>IF(M850=0,"해당 없음",N850/M850)</x:f>
        <x:v>0.7142857142857143</x:v>
      </x:c>
      <x:c r="P850" s="14" t="n">
        <x:v>103</x:v>
      </x:c>
    </x:row>
    <x:row r="851" ht="22" customHeight="1">
      <x:c r="A851" s="14" t="n">
        <x:v>423</x:v>
      </x:c>
      <x:c r="B851" s="14" t="n">
        <x:v>11</x:v>
      </x:c>
      <x:c r="C851" s="14" t="n">
        <x:v>76011</x:v>
      </x:c>
      <x:c r="D851" s="2" t="str">
        <x:v>NAVY</x:v>
      </x:c>
      <x:c r="E851" s="2" t="str">
        <x:v>160만</x:v>
      </x:c>
      <x:c r="F851" s="2" t="str">
        <x:v>0만</x:v>
      </x:c>
      <x:c r="G851" s="2" t="str">
        <x:v>무</x:v>
      </x:c>
      <x:c r="H851" s="14" t="n">
        <x:v>3</x:v>
      </x:c>
      <x:c r="I851" s="14" t="n">
        <x:v>3</x:v>
      </x:c>
      <x:c r="J851" s="14" t="n">
        <x:v>13</x:v>
      </x:c>
      <x:c r="K851" s="14" t="n">
        <x:v>3</x:v>
      </x:c>
      <x:c r="L851" s="15" t="n">
        <x:f>IF(J851=0,"해당 없음",K851/J851)</x:f>
        <x:v>0.23076923076923078</x:v>
      </x:c>
      <x:c r="M851" s="14" t="n">
        <x:v>5</x:v>
      </x:c>
      <x:c r="N851" s="14" t="n">
        <x:v>4</x:v>
      </x:c>
      <x:c r="O851" s="15" t="n">
        <x:f>IF(M851=0,"해당 없음",N851/M851)</x:f>
        <x:v>0.8</x:v>
      </x:c>
      <x:c r="P851" s="14" t="n">
        <x:v>105</x:v>
      </x:c>
    </x:row>
    <x:row r="852" ht="22" customHeight="1">
      <x:c r="A852" s="14" t="n">
        <x:v>424</x:v>
      </x:c>
      <x:c r="B852" s="14" t="n">
        <x:v>11</x:v>
      </x:c>
      <x:c r="C852" s="14" t="n">
        <x:v>76011</x:v>
      </x:c>
      <x:c r="D852" s="2" t="str">
        <x:v>RED</x:v>
      </x:c>
      <x:c r="E852" s="2" t="str">
        <x:v>160만</x:v>
      </x:c>
      <x:c r="F852" s="2" t="str">
        <x:v>0만</x:v>
      </x:c>
      <x:c r="G852" s="2" t="str">
        <x:v>승</x:v>
      </x:c>
      <x:c r="H852" s="14" t="n">
        <x:v>6</x:v>
      </x:c>
      <x:c r="I852" s="14" t="n">
        <x:v>3</x:v>
      </x:c>
      <x:c r="J852" s="14" t="n">
        <x:v>11</x:v>
      </x:c>
      <x:c r="K852" s="14" t="n">
        <x:v>6</x:v>
      </x:c>
      <x:c r="L852" s="15" t="n">
        <x:f>IF(J852=0,"해당 없음",K852/J852)</x:f>
        <x:v>0.5454545454545454</x:v>
      </x:c>
      <x:c r="M852" s="14" t="n">
        <x:v>6</x:v>
      </x:c>
      <x:c r="N852" s="14" t="n">
        <x:v>3</x:v>
      </x:c>
      <x:c r="O852" s="15" t="n">
        <x:f>IF(M852=0,"해당 없음",N852/M852)</x:f>
        <x:v>0.5</x:v>
      </x:c>
      <x:c r="P852" s="14" t="n">
        <x:v>105</x:v>
      </x:c>
    </x:row>
    <x:row r="853" ht="22" customHeight="1">
      <x:c r="A853" s="14" t="n">
        <x:v>424</x:v>
      </x:c>
      <x:c r="B853" s="14" t="n">
        <x:v>11</x:v>
      </x:c>
      <x:c r="C853" s="14" t="n">
        <x:v>76011</x:v>
      </x:c>
      <x:c r="D853" s="2" t="str">
        <x:v>NAVY</x:v>
      </x:c>
      <x:c r="E853" s="2" t="str">
        <x:v>0만</x:v>
      </x:c>
      <x:c r="F853" s="2" t="str">
        <x:v>160만</x:v>
      </x:c>
      <x:c r="G853" s="2" t="str">
        <x:v>패</x:v>
      </x:c>
      <x:c r="H853" s="14" t="n">
        <x:v>3</x:v>
      </x:c>
      <x:c r="I853" s="14" t="n">
        <x:v>6</x:v>
      </x:c>
      <x:c r="J853" s="14" t="n">
        <x:v>6</x:v>
      </x:c>
      <x:c r="K853" s="14" t="n">
        <x:v>3</x:v>
      </x:c>
      <x:c r="L853" s="15" t="n">
        <x:f>IF(J853=0,"해당 없음",K853/J853)</x:f>
        <x:v>0.5</x:v>
      </x:c>
      <x:c r="M853" s="14" t="n">
        <x:v>8</x:v>
      </x:c>
      <x:c r="N853" s="14" t="n">
        <x:v>7</x:v>
      </x:c>
      <x:c r="O853" s="15" t="n">
        <x:f>IF(M853=0,"해당 없음",N853/M853)</x:f>
        <x:v>0.875</x:v>
      </x:c>
      <x:c r="P853" s="14" t="n">
        <x:v>105</x:v>
      </x:c>
    </x:row>
    <x:row r="854" ht="22" customHeight="1">
      <x:c r="A854" s="14" t="n">
        <x:v>425</x:v>
      </x:c>
      <x:c r="B854" s="14" t="n">
        <x:v>11</x:v>
      </x:c>
      <x:c r="C854" s="14" t="n">
        <x:v>76012</x:v>
      </x:c>
      <x:c r="D854" s="2" t="str">
        <x:v>RED</x:v>
      </x:c>
      <x:c r="E854" s="2" t="str">
        <x:v>0만</x:v>
      </x:c>
      <x:c r="F854" s="2" t="str">
        <x:v>160만</x:v>
      </x:c>
      <x:c r="G854" s="2" t="str">
        <x:v>패</x:v>
      </x:c>
      <x:c r="H854" s="14" t="n">
        <x:v>2</x:v>
      </x:c>
      <x:c r="I854" s="14" t="n">
        <x:v>5</x:v>
      </x:c>
      <x:c r="J854" s="14" t="n">
        <x:v>3</x:v>
      </x:c>
      <x:c r="K854" s="14" t="n">
        <x:v>2</x:v>
      </x:c>
      <x:c r="L854" s="15" t="n">
        <x:f>IF(J854=0,"해당 없음",K854/J854)</x:f>
        <x:v>0.6666666666666666</x:v>
      </x:c>
      <x:c r="M854" s="14" t="n">
        <x:v>6</x:v>
      </x:c>
      <x:c r="N854" s="14" t="n">
        <x:v>4</x:v>
      </x:c>
      <x:c r="O854" s="15" t="n">
        <x:f>IF(M854=0,"해당 없음",N854/M854)</x:f>
        <x:v>0.6666666666666666</x:v>
      </x:c>
      <x:c r="P854" s="14" t="n">
        <x:v>103</x:v>
      </x:c>
    </x:row>
    <x:row r="855" ht="22" customHeight="1">
      <x:c r="A855" s="14" t="n">
        <x:v>425</x:v>
      </x:c>
      <x:c r="B855" s="14" t="n">
        <x:v>11</x:v>
      </x:c>
      <x:c r="C855" s="14" t="n">
        <x:v>76012</x:v>
      </x:c>
      <x:c r="D855" s="2" t="str">
        <x:v>NAVY</x:v>
      </x:c>
      <x:c r="E855" s="2" t="str">
        <x:v>160만</x:v>
      </x:c>
      <x:c r="F855" s="2" t="str">
        <x:v>0만</x:v>
      </x:c>
      <x:c r="G855" s="2" t="str">
        <x:v>승</x:v>
      </x:c>
      <x:c r="H855" s="14" t="n">
        <x:v>5</x:v>
      </x:c>
      <x:c r="I855" s="14" t="n">
        <x:v>2</x:v>
      </x:c>
      <x:c r="J855" s="14" t="n">
        <x:v>16</x:v>
      </x:c>
      <x:c r="K855" s="14" t="n">
        <x:v>5</x:v>
      </x:c>
      <x:c r="L855" s="15" t="n">
        <x:f>IF(J855=0,"해당 없음",K855/J855)</x:f>
        <x:v>0.3125</x:v>
      </x:c>
      <x:c r="M855" s="14" t="n">
        <x:v>3</x:v>
      </x:c>
      <x:c r="N855" s="14" t="n">
        <x:v>2</x:v>
      </x:c>
      <x:c r="O855" s="15" t="n">
        <x:f>IF(M855=0,"해당 없음",N855/M855)</x:f>
        <x:v>0.6666666666666666</x:v>
      </x:c>
      <x:c r="P855" s="14" t="n">
        <x:v>103</x:v>
      </x:c>
    </x:row>
    <x:row r="856" ht="22" customHeight="1">
      <x:c r="A856" s="14" t="n">
        <x:v>426</x:v>
      </x:c>
      <x:c r="B856" s="14" t="n">
        <x:v>11</x:v>
      </x:c>
      <x:c r="C856" s="14" t="n">
        <x:v>76012</x:v>
      </x:c>
      <x:c r="D856" s="2" t="str">
        <x:v>RED</x:v>
      </x:c>
      <x:c r="E856" s="2" t="str">
        <x:v>160만</x:v>
      </x:c>
      <x:c r="F856" s="2" t="str">
        <x:v>0만</x:v>
      </x:c>
      <x:c r="G856" s="2" t="str">
        <x:v>승</x:v>
      </x:c>
      <x:c r="H856" s="14" t="n">
        <x:v>6</x:v>
      </x:c>
      <x:c r="I856" s="14" t="n">
        <x:v>0</x:v>
      </x:c>
      <x:c r="J856" s="14" t="n">
        <x:v>12</x:v>
      </x:c>
      <x:c r="K856" s="14" t="n">
        <x:v>6</x:v>
      </x:c>
      <x:c r="L856" s="15" t="n">
        <x:f>IF(J856=0,"해당 없음",K856/J856)</x:f>
        <x:v>0.5</x:v>
      </x:c>
      <x:c r="M856" s="14" t="n">
        <x:v>10</x:v>
      </x:c>
      <x:c r="N856" s="14" t="n">
        <x:v>8</x:v>
      </x:c>
      <x:c r="O856" s="15" t="n">
        <x:f>IF(M856=0,"해당 없음",N856/M856)</x:f>
        <x:v>0.8</x:v>
      </x:c>
      <x:c r="P856" s="14" t="n">
        <x:v>101</x:v>
      </x:c>
    </x:row>
    <x:row r="857" ht="22" customHeight="1">
      <x:c r="A857" s="14" t="n">
        <x:v>426</x:v>
      </x:c>
      <x:c r="B857" s="14" t="n">
        <x:v>11</x:v>
      </x:c>
      <x:c r="C857" s="14" t="n">
        <x:v>76012</x:v>
      </x:c>
      <x:c r="D857" s="2" t="str">
        <x:v>NAVY</x:v>
      </x:c>
      <x:c r="E857" s="2" t="str">
        <x:v>0만</x:v>
      </x:c>
      <x:c r="F857" s="2" t="str">
        <x:v>160만</x:v>
      </x:c>
      <x:c r="G857" s="2" t="str">
        <x:v>패</x:v>
      </x:c>
      <x:c r="H857" s="14" t="n">
        <x:v>0</x:v>
      </x:c>
      <x:c r="I857" s="14" t="n">
        <x:v>6</x:v>
      </x:c>
      <x:c r="J857" s="14" t="n">
        <x:v>3</x:v>
      </x:c>
      <x:c r="K857" s="14" t="n">
        <x:v>0</x:v>
      </x:c>
      <x:c r="L857" s="15" t="n">
        <x:f>IF(J857=0,"해당 없음",K857/J857)</x:f>
        <x:v>0</x:v>
      </x:c>
      <x:c r="M857" s="14" t="n">
        <x:v>6</x:v>
      </x:c>
      <x:c r="N857" s="14" t="n">
        <x:v>4</x:v>
      </x:c>
      <x:c r="O857" s="15" t="n">
        <x:f>IF(M857=0,"해당 없음",N857/M857)</x:f>
        <x:v>0.6666666666666666</x:v>
      </x:c>
      <x:c r="P857" s="14" t="n">
        <x:v>103</x:v>
      </x:c>
    </x:row>
    <x:row r="858" ht="22" customHeight="1">
      <x:c r="A858" s="14" t="n">
        <x:v>427</x:v>
      </x:c>
      <x:c r="B858" s="14" t="n">
        <x:v>11</x:v>
      </x:c>
      <x:c r="C858" s="14" t="n">
        <x:v>76013</x:v>
      </x:c>
      <x:c r="D858" s="2" t="str">
        <x:v>RED</x:v>
      </x:c>
      <x:c r="E858" s="2" t="str">
        <x:v>0만</x:v>
      </x:c>
      <x:c r="F858" s="2" t="str">
        <x:v>160만</x:v>
      </x:c>
      <x:c r="G858" s="2" t="str">
        <x:v>패</x:v>
      </x:c>
      <x:c r="H858" s="14" t="n">
        <x:v>1</x:v>
      </x:c>
      <x:c r="I858" s="14" t="n">
        <x:v>5</x:v>
      </x:c>
      <x:c r="J858" s="14" t="n">
        <x:v>5</x:v>
      </x:c>
      <x:c r="K858" s="14" t="n">
        <x:v>1</x:v>
      </x:c>
      <x:c r="L858" s="15" t="n">
        <x:f>IF(J858=0,"해당 없음",K858/J858)</x:f>
        <x:v>0.2</x:v>
      </x:c>
      <x:c r="M858" s="14" t="n">
        <x:v>9</x:v>
      </x:c>
      <x:c r="N858" s="14" t="n">
        <x:v>6</x:v>
      </x:c>
      <x:c r="O858" s="15" t="n">
        <x:f>IF(M858=0,"해당 없음",N858/M858)</x:f>
        <x:v>0.6666666666666666</x:v>
      </x:c>
      <x:c r="P858" s="14" t="n">
        <x:v>103</x:v>
      </x:c>
    </x:row>
    <x:row r="859" ht="22" customHeight="1">
      <x:c r="A859" s="14" t="n">
        <x:v>427</x:v>
      </x:c>
      <x:c r="B859" s="14" t="n">
        <x:v>11</x:v>
      </x:c>
      <x:c r="C859" s="14" t="n">
        <x:v>76013</x:v>
      </x:c>
      <x:c r="D859" s="2" t="str">
        <x:v>NAVY</x:v>
      </x:c>
      <x:c r="E859" s="2" t="str">
        <x:v>160만</x:v>
      </x:c>
      <x:c r="F859" s="2" t="str">
        <x:v>0만</x:v>
      </x:c>
      <x:c r="G859" s="2" t="str">
        <x:v>승</x:v>
      </x:c>
      <x:c r="H859" s="14" t="n">
        <x:v>5</x:v>
      </x:c>
      <x:c r="I859" s="14" t="n">
        <x:v>1</x:v>
      </x:c>
      <x:c r="J859" s="14" t="n">
        <x:v>14</x:v>
      </x:c>
      <x:c r="K859" s="14" t="n">
        <x:v>5</x:v>
      </x:c>
      <x:c r="L859" s="15" t="n">
        <x:f>IF(J859=0,"해당 없음",K859/J859)</x:f>
        <x:v>0.35714285714285715</x:v>
      </x:c>
      <x:c r="M859" s="14" t="n">
        <x:v>9</x:v>
      </x:c>
      <x:c r="N859" s="14" t="n">
        <x:v>5</x:v>
      </x:c>
      <x:c r="O859" s="15" t="n">
        <x:f>IF(M859=0,"해당 없음",N859/M859)</x:f>
        <x:v>0.5555555555555556</x:v>
      </x:c>
      <x:c r="P859" s="14" t="n">
        <x:v>105</x:v>
      </x:c>
    </x:row>
    <x:row r="860" ht="22" customHeight="1">
      <x:c r="A860" s="14" t="n">
        <x:v>428</x:v>
      </x:c>
      <x:c r="B860" s="14" t="n">
        <x:v>11</x:v>
      </x:c>
      <x:c r="C860" s="14" t="n">
        <x:v>76013</x:v>
      </x:c>
      <x:c r="D860" s="2" t="str">
        <x:v>RED</x:v>
      </x:c>
      <x:c r="E860" s="2" t="str">
        <x:v>160만</x:v>
      </x:c>
      <x:c r="F860" s="2" t="str">
        <x:v>0만</x:v>
      </x:c>
      <x:c r="G860" s="2" t="str">
        <x:v>승</x:v>
      </x:c>
      <x:c r="H860" s="14" t="n">
        <x:v>6</x:v>
      </x:c>
      <x:c r="I860" s="14" t="n">
        <x:v>2</x:v>
      </x:c>
      <x:c r="J860" s="14" t="n">
        <x:v>11</x:v>
      </x:c>
      <x:c r="K860" s="14" t="n">
        <x:v>6</x:v>
      </x:c>
      <x:c r="L860" s="15" t="n">
        <x:f>IF(J860=0,"해당 없음",K860/J860)</x:f>
        <x:v>0.5454545454545454</x:v>
      </x:c>
      <x:c r="M860" s="14" t="n">
        <x:v>6</x:v>
      </x:c>
      <x:c r="N860" s="14" t="n">
        <x:v>6</x:v>
      </x:c>
      <x:c r="O860" s="15" t="n">
        <x:f>IF(M860=0,"해당 없음",N860/M860)</x:f>
        <x:v>1</x:v>
      </x:c>
      <x:c r="P860" s="14" t="n">
        <x:v>105</x:v>
      </x:c>
    </x:row>
    <x:row r="861" ht="22" customHeight="1">
      <x:c r="A861" s="14" t="n">
        <x:v>428</x:v>
      </x:c>
      <x:c r="B861" s="14" t="n">
        <x:v>11</x:v>
      </x:c>
      <x:c r="C861" s="14" t="n">
        <x:v>76013</x:v>
      </x:c>
      <x:c r="D861" s="2" t="str">
        <x:v>NAVY</x:v>
      </x:c>
      <x:c r="E861" s="2" t="str">
        <x:v>0만</x:v>
      </x:c>
      <x:c r="F861" s="2" t="str">
        <x:v>160만</x:v>
      </x:c>
      <x:c r="G861" s="2" t="str">
        <x:v>패</x:v>
      </x:c>
      <x:c r="H861" s="14" t="n">
        <x:v>2</x:v>
      </x:c>
      <x:c r="I861" s="14" t="n">
        <x:v>6</x:v>
      </x:c>
      <x:c r="J861" s="14" t="n">
        <x:v>6</x:v>
      </x:c>
      <x:c r="K861" s="14" t="n">
        <x:v>2</x:v>
      </x:c>
      <x:c r="L861" s="15" t="n">
        <x:f>IF(J861=0,"해당 없음",K861/J861)</x:f>
        <x:v>0.3333333333333333</x:v>
      </x:c>
      <x:c r="M861" s="14" t="n">
        <x:v>10</x:v>
      </x:c>
      <x:c r="N861" s="14" t="n">
        <x:v>8</x:v>
      </x:c>
      <x:c r="O861" s="15" t="n">
        <x:f>IF(M861=0,"해당 없음",N861/M861)</x:f>
        <x:v>0.8</x:v>
      </x:c>
      <x:c r="P861" s="14" t="n">
        <x:v>105</x:v>
      </x:c>
    </x:row>
    <x:row r="862" ht="22" customHeight="1">
      <x:c r="A862" s="14" t="n">
        <x:v>429</x:v>
      </x:c>
      <x:c r="B862" s="14" t="n">
        <x:v>11</x:v>
      </x:c>
      <x:c r="C862" s="14" t="n">
        <x:v>76014</x:v>
      </x:c>
      <x:c r="D862" s="2" t="str">
        <x:v>RED</x:v>
      </x:c>
      <x:c r="E862" s="2" t="str">
        <x:v>0만</x:v>
      </x:c>
      <x:c r="F862" s="2" t="str">
        <x:v>160만</x:v>
      </x:c>
      <x:c r="G862" s="2" t="str">
        <x:v>패</x:v>
      </x:c>
      <x:c r="H862" s="14" t="n">
        <x:v>0</x:v>
      </x:c>
      <x:c r="I862" s="14" t="n">
        <x:v>7</x:v>
      </x:c>
      <x:c r="J862" s="14" t="n">
        <x:v>5</x:v>
      </x:c>
      <x:c r="K862" s="14" t="n">
        <x:v>0</x:v>
      </x:c>
      <x:c r="L862" s="15" t="n">
        <x:f>IF(J862=0,"해당 없음",K862/J862)</x:f>
        <x:v>0</x:v>
      </x:c>
      <x:c r="M862" s="14" t="n">
        <x:v>7</x:v>
      </x:c>
      <x:c r="N862" s="14" t="n">
        <x:v>6</x:v>
      </x:c>
      <x:c r="O862" s="15" t="n">
        <x:f>IF(M862=0,"해당 없음",N862/M862)</x:f>
        <x:v>0.8571428571428571</x:v>
      </x:c>
      <x:c r="P862" s="14" t="n">
        <x:v>104</x:v>
      </x:c>
    </x:row>
    <x:row r="863" ht="22" customHeight="1">
      <x:c r="A863" s="14" t="n">
        <x:v>429</x:v>
      </x:c>
      <x:c r="B863" s="14" t="n">
        <x:v>11</x:v>
      </x:c>
      <x:c r="C863" s="14" t="n">
        <x:v>76014</x:v>
      </x:c>
      <x:c r="D863" s="2" t="str">
        <x:v>NAVY</x:v>
      </x:c>
      <x:c r="E863" s="2" t="str">
        <x:v>160만</x:v>
      </x:c>
      <x:c r="F863" s="2" t="str">
        <x:v>0만</x:v>
      </x:c>
      <x:c r="G863" s="2" t="str">
        <x:v>승</x:v>
      </x:c>
      <x:c r="H863" s="14" t="n">
        <x:v>7</x:v>
      </x:c>
      <x:c r="I863" s="14" t="n">
        <x:v>0</x:v>
      </x:c>
      <x:c r="J863" s="14" t="n">
        <x:v>13</x:v>
      </x:c>
      <x:c r="K863" s="14" t="n">
        <x:v>7</x:v>
      </x:c>
      <x:c r="L863" s="15" t="n">
        <x:f>IF(J863=0,"해당 없음",K863/J863)</x:f>
        <x:v>0.5384615384615384</x:v>
      </x:c>
      <x:c r="M863" s="14" t="n">
        <x:v>9</x:v>
      </x:c>
      <x:c r="N863" s="14" t="n">
        <x:v>9</x:v>
      </x:c>
      <x:c r="O863" s="15" t="n">
        <x:f>IF(M863=0,"해당 없음",N863/M863)</x:f>
        <x:v>1</x:v>
      </x:c>
      <x:c r="P863" s="14" t="n">
        <x:v>103</x:v>
      </x:c>
    </x:row>
    <x:row r="864" ht="22" customHeight="1">
      <x:c r="A864" s="14" t="n">
        <x:v>430</x:v>
      </x:c>
      <x:c r="B864" s="14" t="n">
        <x:v>11</x:v>
      </x:c>
      <x:c r="C864" s="14" t="n">
        <x:v>76014</x:v>
      </x:c>
      <x:c r="D864" s="2" t="str">
        <x:v>RED</x:v>
      </x:c>
      <x:c r="E864" s="2" t="str">
        <x:v>160만</x:v>
      </x:c>
      <x:c r="F864" s="2" t="str">
        <x:v>0만</x:v>
      </x:c>
      <x:c r="G864" s="2" t="str">
        <x:v>승</x:v>
      </x:c>
      <x:c r="H864" s="14" t="n">
        <x:v>5</x:v>
      </x:c>
      <x:c r="I864" s="14" t="n">
        <x:v>1</x:v>
      </x:c>
      <x:c r="J864" s="14" t="n">
        <x:v>11</x:v>
      </x:c>
      <x:c r="K864" s="14" t="n">
        <x:v>5</x:v>
      </x:c>
      <x:c r="L864" s="15" t="n">
        <x:f>IF(J864=0,"해당 없음",K864/J864)</x:f>
        <x:v>0.45454545454545453</x:v>
      </x:c>
      <x:c r="M864" s="14" t="n">
        <x:v>8</x:v>
      </x:c>
      <x:c r="N864" s="14" t="n">
        <x:v>5</x:v>
      </x:c>
      <x:c r="O864" s="15" t="n">
        <x:f>IF(M864=0,"해당 없음",N864/M864)</x:f>
        <x:v>0.625</x:v>
      </x:c>
      <x:c r="P864" s="14" t="n">
        <x:v>104</x:v>
      </x:c>
    </x:row>
    <x:row r="865" ht="22" customHeight="1">
      <x:c r="A865" s="14" t="n">
        <x:v>430</x:v>
      </x:c>
      <x:c r="B865" s="14" t="n">
        <x:v>11</x:v>
      </x:c>
      <x:c r="C865" s="14" t="n">
        <x:v>76014</x:v>
      </x:c>
      <x:c r="D865" s="2" t="str">
        <x:v>NAVY</x:v>
      </x:c>
      <x:c r="E865" s="2" t="str">
        <x:v>0만</x:v>
      </x:c>
      <x:c r="F865" s="2" t="str">
        <x:v>160만</x:v>
      </x:c>
      <x:c r="G865" s="2" t="str">
        <x:v>패</x:v>
      </x:c>
      <x:c r="H865" s="14" t="n">
        <x:v>1</x:v>
      </x:c>
      <x:c r="I865" s="14" t="n">
        <x:v>5</x:v>
      </x:c>
      <x:c r="J865" s="14" t="n">
        <x:v>6</x:v>
      </x:c>
      <x:c r="K865" s="14" t="n">
        <x:v>1</x:v>
      </x:c>
      <x:c r="L865" s="15" t="n">
        <x:f>IF(J865=0,"해당 없음",K865/J865)</x:f>
        <x:v>0.16666666666666666</x:v>
      </x:c>
      <x:c r="M865" s="14" t="n">
        <x:v>10</x:v>
      </x:c>
      <x:c r="N865" s="14" t="n">
        <x:v>7</x:v>
      </x:c>
      <x:c r="O865" s="15" t="n">
        <x:f>IF(M865=0,"해당 없음",N865/M865)</x:f>
        <x:v>0.7</x:v>
      </x:c>
      <x:c r="P865" s="14" t="n">
        <x:v>104</x:v>
      </x:c>
    </x:row>
    <x:row r="866" ht="22" customHeight="1">
      <x:c r="A866" s="14" t="n">
        <x:v>431</x:v>
      </x:c>
      <x:c r="B866" s="14" t="n">
        <x:v>11</x:v>
      </x:c>
      <x:c r="C866" s="14" t="n">
        <x:v>76015</x:v>
      </x:c>
      <x:c r="D866" s="2" t="str">
        <x:v>RED</x:v>
      </x:c>
      <x:c r="E866" s="2" t="str">
        <x:v>0만</x:v>
      </x:c>
      <x:c r="F866" s="2" t="str">
        <x:v>160만</x:v>
      </x:c>
      <x:c r="G866" s="2" t="str">
        <x:v>패</x:v>
      </x:c>
      <x:c r="H866" s="14" t="n">
        <x:v>0</x:v>
      </x:c>
      <x:c r="I866" s="14" t="n">
        <x:v>6</x:v>
      </x:c>
      <x:c r="J866" s="14" t="n">
        <x:v>3</x:v>
      </x:c>
      <x:c r="K866" s="14" t="n">
        <x:v>0</x:v>
      </x:c>
      <x:c r="L866" s="15" t="n">
        <x:f>IF(J866=0,"해당 없음",K866/J866)</x:f>
        <x:v>0</x:v>
      </x:c>
      <x:c r="M866" s="14" t="n">
        <x:v>8</x:v>
      </x:c>
      <x:c r="N866" s="14" t="n">
        <x:v>7</x:v>
      </x:c>
      <x:c r="O866" s="15" t="n">
        <x:f>IF(M866=0,"해당 없음",N866/M866)</x:f>
        <x:v>0.875</x:v>
      </x:c>
      <x:c r="P866" s="14" t="n">
        <x:v>103</x:v>
      </x:c>
    </x:row>
    <x:row r="867" ht="22" customHeight="1">
      <x:c r="A867" s="14" t="n">
        <x:v>431</x:v>
      </x:c>
      <x:c r="B867" s="14" t="n">
        <x:v>11</x:v>
      </x:c>
      <x:c r="C867" s="14" t="n">
        <x:v>76015</x:v>
      </x:c>
      <x:c r="D867" s="2" t="str">
        <x:v>NAVY</x:v>
      </x:c>
      <x:c r="E867" s="2" t="str">
        <x:v>160만</x:v>
      </x:c>
      <x:c r="F867" s="2" t="str">
        <x:v>0만</x:v>
      </x:c>
      <x:c r="G867" s="2" t="str">
        <x:v>승</x:v>
      </x:c>
      <x:c r="H867" s="14" t="n">
        <x:v>6</x:v>
      </x:c>
      <x:c r="I867" s="14" t="n">
        <x:v>0</x:v>
      </x:c>
      <x:c r="J867" s="14" t="n">
        <x:v>15</x:v>
      </x:c>
      <x:c r="K867" s="14" t="n">
        <x:v>6</x:v>
      </x:c>
      <x:c r="L867" s="15" t="n">
        <x:f>IF(J867=0,"해당 없음",K867/J867)</x:f>
        <x:v>0.4</x:v>
      </x:c>
      <x:c r="M867" s="14" t="n">
        <x:v>7</x:v>
      </x:c>
      <x:c r="N867" s="14" t="n">
        <x:v>5</x:v>
      </x:c>
      <x:c r="O867" s="15" t="n">
        <x:f>IF(M867=0,"해당 없음",N867/M867)</x:f>
        <x:v>0.7142857142857143</x:v>
      </x:c>
      <x:c r="P867" s="14" t="n">
        <x:v>102</x:v>
      </x:c>
    </x:row>
    <x:row r="868" ht="22" customHeight="1">
      <x:c r="A868" s="14" t="n">
        <x:v>432</x:v>
      </x:c>
      <x:c r="B868" s="14" t="n">
        <x:v>11</x:v>
      </x:c>
      <x:c r="C868" s="14" t="n">
        <x:v>76015</x:v>
      </x:c>
      <x:c r="D868" s="2" t="str">
        <x:v>RED</x:v>
      </x:c>
      <x:c r="E868" s="2" t="str">
        <x:v>160만</x:v>
      </x:c>
      <x:c r="F868" s="2" t="str">
        <x:v>0만</x:v>
      </x:c>
      <x:c r="G868" s="2" t="str">
        <x:v>승</x:v>
      </x:c>
      <x:c r="H868" s="14" t="n">
        <x:v>6</x:v>
      </x:c>
      <x:c r="I868" s="14" t="n">
        <x:v>1</x:v>
      </x:c>
      <x:c r="J868" s="14" t="n">
        <x:v>15</x:v>
      </x:c>
      <x:c r="K868" s="14" t="n">
        <x:v>6</x:v>
      </x:c>
      <x:c r="L868" s="15" t="n">
        <x:f>IF(J868=0,"해당 없음",K868/J868)</x:f>
        <x:v>0.4</x:v>
      </x:c>
      <x:c r="M868" s="14" t="n">
        <x:v>7</x:v>
      </x:c>
      <x:c r="N868" s="14" t="n">
        <x:v>7</x:v>
      </x:c>
      <x:c r="O868" s="15" t="n">
        <x:f>IF(M868=0,"해당 없음",N868/M868)</x:f>
        <x:v>1</x:v>
      </x:c>
      <x:c r="P868" s="14" t="n">
        <x:v>101</x:v>
      </x:c>
    </x:row>
    <x:row r="869" ht="22" customHeight="1">
      <x:c r="A869" s="14" t="n">
        <x:v>432</x:v>
      </x:c>
      <x:c r="B869" s="14" t="n">
        <x:v>11</x:v>
      </x:c>
      <x:c r="C869" s="14" t="n">
        <x:v>76015</x:v>
      </x:c>
      <x:c r="D869" s="2" t="str">
        <x:v>NAVY</x:v>
      </x:c>
      <x:c r="E869" s="2" t="str">
        <x:v>0만</x:v>
      </x:c>
      <x:c r="F869" s="2" t="str">
        <x:v>160만</x:v>
      </x:c>
      <x:c r="G869" s="2" t="str">
        <x:v>패</x:v>
      </x:c>
      <x:c r="H869" s="14" t="n">
        <x:v>1</x:v>
      </x:c>
      <x:c r="I869" s="14" t="n">
        <x:v>6</x:v>
      </x:c>
      <x:c r="J869" s="14" t="n">
        <x:v>6</x:v>
      </x:c>
      <x:c r="K869" s="14" t="n">
        <x:v>1</x:v>
      </x:c>
      <x:c r="L869" s="15" t="n">
        <x:f>IF(J869=0,"해당 없음",K869/J869)</x:f>
        <x:v>0.16666666666666666</x:v>
      </x:c>
      <x:c r="M869" s="14" t="n">
        <x:v>11</x:v>
      </x:c>
      <x:c r="N869" s="14" t="n">
        <x:v>10</x:v>
      </x:c>
      <x:c r="O869" s="15" t="n">
        <x:f>IF(M869=0,"해당 없음",N869/M869)</x:f>
        <x:v>0.9090909090909091</x:v>
      </x:c>
      <x:c r="P869" s="14" t="n">
        <x:v>102</x:v>
      </x:c>
    </x:row>
    <x:row r="870" ht="22" customHeight="1">
      <x:c r="A870" s="14" t="n">
        <x:v>433</x:v>
      </x:c>
      <x:c r="B870" s="14" t="n">
        <x:v>11</x:v>
      </x:c>
      <x:c r="C870" s="14" t="n">
        <x:v>76016</x:v>
      </x:c>
      <x:c r="D870" s="2" t="str">
        <x:v>RED</x:v>
      </x:c>
      <x:c r="E870" s="2" t="str">
        <x:v>0만</x:v>
      </x:c>
      <x:c r="F870" s="2" t="str">
        <x:v>160만</x:v>
      </x:c>
      <x:c r="G870" s="2" t="str">
        <x:v>패</x:v>
      </x:c>
      <x:c r="H870" s="14" t="n">
        <x:v>0</x:v>
      </x:c>
      <x:c r="I870" s="14" t="n">
        <x:v>5</x:v>
      </x:c>
      <x:c r="J870" s="14" t="n">
        <x:v>4</x:v>
      </x:c>
      <x:c r="K870" s="14" t="n">
        <x:v>0</x:v>
      </x:c>
      <x:c r="L870" s="15" t="n">
        <x:f>IF(J870=0,"해당 없음",K870/J870)</x:f>
        <x:v>0</x:v>
      </x:c>
      <x:c r="M870" s="14" t="n">
        <x:v>9</x:v>
      </x:c>
      <x:c r="N870" s="14" t="n">
        <x:v>6</x:v>
      </x:c>
      <x:c r="O870" s="15" t="n">
        <x:f>IF(M870=0,"해당 없음",N870/M870)</x:f>
        <x:v>0.6666666666666666</x:v>
      </x:c>
      <x:c r="P870" s="14" t="n">
        <x:v>102</x:v>
      </x:c>
    </x:row>
    <x:row r="871" ht="22" customHeight="1">
      <x:c r="A871" s="14" t="n">
        <x:v>433</x:v>
      </x:c>
      <x:c r="B871" s="14" t="n">
        <x:v>11</x:v>
      </x:c>
      <x:c r="C871" s="14" t="n">
        <x:v>76016</x:v>
      </x:c>
      <x:c r="D871" s="2" t="str">
        <x:v>NAVY</x:v>
      </x:c>
      <x:c r="E871" s="2" t="str">
        <x:v>160만</x:v>
      </x:c>
      <x:c r="F871" s="2" t="str">
        <x:v>0만</x:v>
      </x:c>
      <x:c r="G871" s="2" t="str">
        <x:v>승</x:v>
      </x:c>
      <x:c r="H871" s="14" t="n">
        <x:v>5</x:v>
      </x:c>
      <x:c r="I871" s="14" t="n">
        <x:v>0</x:v>
      </x:c>
      <x:c r="J871" s="14" t="n">
        <x:v>11</x:v>
      </x:c>
      <x:c r="K871" s="14" t="n">
        <x:v>5</x:v>
      </x:c>
      <x:c r="L871" s="15" t="n">
        <x:f>IF(J871=0,"해당 없음",K871/J871)</x:f>
        <x:v>0.45454545454545453</x:v>
      </x:c>
      <x:c r="M871" s="14" t="n">
        <x:v>7</x:v>
      </x:c>
      <x:c r="N871" s="14" t="n">
        <x:v>7</x:v>
      </x:c>
      <x:c r="O871" s="15" t="n">
        <x:f>IF(M871=0,"해당 없음",N871/M871)</x:f>
        <x:v>1</x:v>
      </x:c>
      <x:c r="P871" s="14" t="n">
        <x:v>101</x:v>
      </x:c>
    </x:row>
    <x:row r="872" ht="22" customHeight="1">
      <x:c r="A872" s="14" t="n">
        <x:v>434</x:v>
      </x:c>
      <x:c r="B872" s="14" t="n">
        <x:v>11</x:v>
      </x:c>
      <x:c r="C872" s="14" t="n">
        <x:v>76016</x:v>
      </x:c>
      <x:c r="D872" s="2" t="str">
        <x:v>RED</x:v>
      </x:c>
      <x:c r="E872" s="2" t="str">
        <x:v>160만</x:v>
      </x:c>
      <x:c r="F872" s="2" t="str">
        <x:v>0만</x:v>
      </x:c>
      <x:c r="G872" s="2" t="str">
        <x:v>승</x:v>
      </x:c>
      <x:c r="H872" s="14" t="n">
        <x:v>9</x:v>
      </x:c>
      <x:c r="I872" s="14" t="n">
        <x:v>3</x:v>
      </x:c>
      <x:c r="J872" s="14" t="n">
        <x:v>12</x:v>
      </x:c>
      <x:c r="K872" s="14" t="n">
        <x:v>9</x:v>
      </x:c>
      <x:c r="L872" s="15" t="n">
        <x:f>IF(J872=0,"해당 없음",K872/J872)</x:f>
        <x:v>0.75</x:v>
      </x:c>
      <x:c r="M872" s="14" t="n">
        <x:v>6</x:v>
      </x:c>
      <x:c r="N872" s="14" t="n">
        <x:v>4</x:v>
      </x:c>
      <x:c r="O872" s="15" t="n">
        <x:f>IF(M872=0,"해당 없음",N872/M872)</x:f>
        <x:v>0.6666666666666666</x:v>
      </x:c>
      <x:c r="P872" s="14" t="n">
        <x:v>105</x:v>
      </x:c>
    </x:row>
    <x:row r="873" ht="22" customHeight="1">
      <x:c r="A873" s="14" t="n">
        <x:v>434</x:v>
      </x:c>
      <x:c r="B873" s="14" t="n">
        <x:v>11</x:v>
      </x:c>
      <x:c r="C873" s="14" t="n">
        <x:v>76016</x:v>
      </x:c>
      <x:c r="D873" s="2" t="str">
        <x:v>NAVY</x:v>
      </x:c>
      <x:c r="E873" s="2" t="str">
        <x:v>0만</x:v>
      </x:c>
      <x:c r="F873" s="2" t="str">
        <x:v>160만</x:v>
      </x:c>
      <x:c r="G873" s="2" t="str">
        <x:v>패</x:v>
      </x:c>
      <x:c r="H873" s="14" t="n">
        <x:v>3</x:v>
      </x:c>
      <x:c r="I873" s="14" t="n">
        <x:v>9</x:v>
      </x:c>
      <x:c r="J873" s="14" t="n">
        <x:v>6</x:v>
      </x:c>
      <x:c r="K873" s="14" t="n">
        <x:v>3</x:v>
      </x:c>
      <x:c r="L873" s="15" t="n">
        <x:f>IF(J873=0,"해당 없음",K873/J873)</x:f>
        <x:v>0.5</x:v>
      </x:c>
      <x:c r="M873" s="14" t="n">
        <x:v>2</x:v>
      </x:c>
      <x:c r="N873" s="14" t="n">
        <x:v>2</x:v>
      </x:c>
      <x:c r="O873" s="15" t="n">
        <x:f>IF(M873=0,"해당 없음",N873/M873)</x:f>
        <x:v>1</x:v>
      </x:c>
      <x:c r="P873" s="14" t="n">
        <x:v>104</x:v>
      </x:c>
    </x:row>
    <x:row r="874" ht="22" customHeight="1">
      <x:c r="A874" s="14" t="n">
        <x:v>435</x:v>
      </x:c>
      <x:c r="B874" s="14" t="n">
        <x:v>11</x:v>
      </x:c>
      <x:c r="C874" s="14" t="n">
        <x:v>76017</x:v>
      </x:c>
      <x:c r="D874" s="2" t="str">
        <x:v>RED</x:v>
      </x:c>
      <x:c r="E874" s="2" t="str">
        <x:v>0만</x:v>
      </x:c>
      <x:c r="F874" s="2" t="str">
        <x:v>160만</x:v>
      </x:c>
      <x:c r="G874" s="2" t="str">
        <x:v>패</x:v>
      </x:c>
      <x:c r="H874" s="14" t="n">
        <x:v>1</x:v>
      </x:c>
      <x:c r="I874" s="14" t="n">
        <x:v>5</x:v>
      </x:c>
      <x:c r="J874" s="14" t="n">
        <x:v>7</x:v>
      </x:c>
      <x:c r="K874" s="14" t="n">
        <x:v>1</x:v>
      </x:c>
      <x:c r="L874" s="15" t="n">
        <x:f>IF(J874=0,"해당 없음",K874/J874)</x:f>
        <x:v>0.14285714285714285</x:v>
      </x:c>
      <x:c r="M874" s="14" t="n">
        <x:v>9</x:v>
      </x:c>
      <x:c r="N874" s="14" t="n">
        <x:v>4</x:v>
      </x:c>
      <x:c r="O874" s="15" t="n">
        <x:f>IF(M874=0,"해당 없음",N874/M874)</x:f>
        <x:v>0.4444444444444444</x:v>
      </x:c>
      <x:c r="P874" s="14" t="n">
        <x:v>104</x:v>
      </x:c>
    </x:row>
    <x:row r="875" ht="22" customHeight="1">
      <x:c r="A875" s="14" t="n">
        <x:v>435</x:v>
      </x:c>
      <x:c r="B875" s="14" t="n">
        <x:v>11</x:v>
      </x:c>
      <x:c r="C875" s="14" t="n">
        <x:v>76017</x:v>
      </x:c>
      <x:c r="D875" s="2" t="str">
        <x:v>NAVY</x:v>
      </x:c>
      <x:c r="E875" s="2" t="str">
        <x:v>160만</x:v>
      </x:c>
      <x:c r="F875" s="2" t="str">
        <x:v>0만</x:v>
      </x:c>
      <x:c r="G875" s="2" t="str">
        <x:v>승</x:v>
      </x:c>
      <x:c r="H875" s="14" t="n">
        <x:v>5</x:v>
      </x:c>
      <x:c r="I875" s="14" t="n">
        <x:v>1</x:v>
      </x:c>
      <x:c r="J875" s="14" t="n">
        <x:v>8</x:v>
      </x:c>
      <x:c r="K875" s="14" t="n">
        <x:v>5</x:v>
      </x:c>
      <x:c r="L875" s="15" t="n">
        <x:f>IF(J875=0,"해당 없음",K875/J875)</x:f>
        <x:v>0.625</x:v>
      </x:c>
      <x:c r="M875" s="14" t="n">
        <x:v>5</x:v>
      </x:c>
      <x:c r="N875" s="14" t="n">
        <x:v>5</x:v>
      </x:c>
      <x:c r="O875" s="15" t="n">
        <x:f>IF(M875=0,"해당 없음",N875/M875)</x:f>
        <x:v>1</x:v>
      </x:c>
      <x:c r="P875" s="14" t="n">
        <x:v>104</x:v>
      </x:c>
    </x:row>
    <x:row r="876" ht="22" customHeight="1">
      <x:c r="A876" s="14" t="n">
        <x:v>436</x:v>
      </x:c>
      <x:c r="B876" s="14" t="n">
        <x:v>11</x:v>
      </x:c>
      <x:c r="C876" s="14" t="n">
        <x:v>76017</x:v>
      </x:c>
      <x:c r="D876" s="2" t="str">
        <x:v>RED</x:v>
      </x:c>
      <x:c r="E876" s="2" t="str">
        <x:v>160만</x:v>
      </x:c>
      <x:c r="F876" s="2" t="str">
        <x:v>0만</x:v>
      </x:c>
      <x:c r="G876" s="2" t="str">
        <x:v>승</x:v>
      </x:c>
      <x:c r="H876" s="14" t="n">
        <x:v>5</x:v>
      </x:c>
      <x:c r="I876" s="14" t="n">
        <x:v>3</x:v>
      </x:c>
      <x:c r="J876" s="14" t="n">
        <x:v>9</x:v>
      </x:c>
      <x:c r="K876" s="14" t="n">
        <x:v>5</x:v>
      </x:c>
      <x:c r="L876" s="15" t="n">
        <x:f>IF(J876=0,"해당 없음",K876/J876)</x:f>
        <x:v>0.5555555555555556</x:v>
      </x:c>
      <x:c r="M876" s="14" t="n">
        <x:v>5</x:v>
      </x:c>
      <x:c r="N876" s="14" t="n">
        <x:v>4</x:v>
      </x:c>
      <x:c r="O876" s="15" t="n">
        <x:f>IF(M876=0,"해당 없음",N876/M876)</x:f>
        <x:v>0.8</x:v>
      </x:c>
      <x:c r="P876" s="14" t="n">
        <x:v>105</x:v>
      </x:c>
    </x:row>
    <x:row r="877" ht="22" customHeight="1">
      <x:c r="A877" s="14" t="n">
        <x:v>436</x:v>
      </x:c>
      <x:c r="B877" s="14" t="n">
        <x:v>11</x:v>
      </x:c>
      <x:c r="C877" s="14" t="n">
        <x:v>76017</x:v>
      </x:c>
      <x:c r="D877" s="2" t="str">
        <x:v>NAVY</x:v>
      </x:c>
      <x:c r="E877" s="2" t="str">
        <x:v>0만</x:v>
      </x:c>
      <x:c r="F877" s="2" t="str">
        <x:v>160만</x:v>
      </x:c>
      <x:c r="G877" s="2" t="str">
        <x:v>패</x:v>
      </x:c>
      <x:c r="H877" s="14" t="n">
        <x:v>3</x:v>
      </x:c>
      <x:c r="I877" s="14" t="n">
        <x:v>5</x:v>
      </x:c>
      <x:c r="J877" s="14" t="n">
        <x:v>8</x:v>
      </x:c>
      <x:c r="K877" s="14" t="n">
        <x:v>3</x:v>
      </x:c>
      <x:c r="L877" s="15" t="n">
        <x:f>IF(J877=0,"해당 없음",K877/J877)</x:f>
        <x:v>0.375</x:v>
      </x:c>
      <x:c r="M877" s="14" t="n">
        <x:v>5</x:v>
      </x:c>
      <x:c r="N877" s="14" t="n">
        <x:v>5</x:v>
      </x:c>
      <x:c r="O877" s="15" t="n">
        <x:f>IF(M877=0,"해당 없음",N877/M877)</x:f>
        <x:v>1</x:v>
      </x:c>
      <x:c r="P877" s="14" t="n">
        <x:v>104</x:v>
      </x:c>
    </x:row>
    <x:row r="878" ht="22" customHeight="1">
      <x:c r="A878" s="14" t="n">
        <x:v>437</x:v>
      </x:c>
      <x:c r="B878" s="14" t="n">
        <x:v>11</x:v>
      </x:c>
      <x:c r="C878" s="14" t="n">
        <x:v>76018</x:v>
      </x:c>
      <x:c r="D878" s="2" t="str">
        <x:v>RED</x:v>
      </x:c>
      <x:c r="E878" s="2" t="str">
        <x:v>0만</x:v>
      </x:c>
      <x:c r="F878" s="2" t="str">
        <x:v>160만</x:v>
      </x:c>
      <x:c r="G878" s="2" t="str">
        <x:v>패</x:v>
      </x:c>
      <x:c r="H878" s="14" t="n">
        <x:v>3</x:v>
      </x:c>
      <x:c r="I878" s="14" t="n">
        <x:v>12</x:v>
      </x:c>
      <x:c r="J878" s="14" t="n">
        <x:v>7</x:v>
      </x:c>
      <x:c r="K878" s="14" t="n">
        <x:v>3</x:v>
      </x:c>
      <x:c r="L878" s="15" t="n">
        <x:f>IF(J878=0,"해당 없음",K878/J878)</x:f>
        <x:v>0.42857142857142855</x:v>
      </x:c>
      <x:c r="M878" s="14" t="n">
        <x:v>3</x:v>
      </x:c>
      <x:c r="N878" s="14" t="n">
        <x:v>3</x:v>
      </x:c>
      <x:c r="O878" s="15" t="n">
        <x:f>IF(M878=0,"해당 없음",N878/M878)</x:f>
        <x:v>1</x:v>
      </x:c>
      <x:c r="P878" s="14" t="n">
        <x:v>106</x:v>
      </x:c>
    </x:row>
    <x:row r="879" ht="22" customHeight="1">
      <x:c r="A879" s="14" t="n">
        <x:v>437</x:v>
      </x:c>
      <x:c r="B879" s="14" t="n">
        <x:v>11</x:v>
      </x:c>
      <x:c r="C879" s="14" t="n">
        <x:v>76018</x:v>
      </x:c>
      <x:c r="D879" s="2" t="str">
        <x:v>NAVY</x:v>
      </x:c>
      <x:c r="E879" s="2" t="str">
        <x:v>160만</x:v>
      </x:c>
      <x:c r="F879" s="2" t="str">
        <x:v>0만</x:v>
      </x:c>
      <x:c r="G879" s="2" t="str">
        <x:v>승</x:v>
      </x:c>
      <x:c r="H879" s="14" t="n">
        <x:v>12</x:v>
      </x:c>
      <x:c r="I879" s="14" t="n">
        <x:v>3</x:v>
      </x:c>
      <x:c r="J879" s="14" t="n">
        <x:v>14</x:v>
      </x:c>
      <x:c r="K879" s="14" t="n">
        <x:v>12</x:v>
      </x:c>
      <x:c r="L879" s="15" t="n">
        <x:f>IF(J879=0,"해당 없음",K879/J879)</x:f>
        <x:v>0.8571428571428571</x:v>
      </x:c>
      <x:c r="M879" s="14" t="n">
        <x:v>5</x:v>
      </x:c>
      <x:c r="N879" s="14" t="n">
        <x:v>4</x:v>
      </x:c>
      <x:c r="O879" s="15" t="n">
        <x:f>IF(M879=0,"해당 없음",N879/M879)</x:f>
        <x:v>0.8</x:v>
      </x:c>
      <x:c r="P879" s="14" t="n">
        <x:v>105</x:v>
      </x:c>
    </x:row>
    <x:row r="880" ht="22" customHeight="1">
      <x:c r="A880" s="14" t="n">
        <x:v>438</x:v>
      </x:c>
      <x:c r="B880" s="14" t="n">
        <x:v>11</x:v>
      </x:c>
      <x:c r="C880" s="14" t="n">
        <x:v>76018</x:v>
      </x:c>
      <x:c r="D880" s="2" t="str">
        <x:v>RED</x:v>
      </x:c>
      <x:c r="E880" s="2" t="str">
        <x:v>160만</x:v>
      </x:c>
      <x:c r="F880" s="2" t="str">
        <x:v>0만</x:v>
      </x:c>
      <x:c r="G880" s="2" t="str">
        <x:v>승</x:v>
      </x:c>
      <x:c r="H880" s="14" t="n">
        <x:v>5</x:v>
      </x:c>
      <x:c r="I880" s="14" t="n">
        <x:v>2</x:v>
      </x:c>
      <x:c r="J880" s="14" t="n">
        <x:v>11</x:v>
      </x:c>
      <x:c r="K880" s="14" t="n">
        <x:v>5</x:v>
      </x:c>
      <x:c r="L880" s="15" t="n">
        <x:f>IF(J880=0,"해당 없음",K880/J880)</x:f>
        <x:v>0.45454545454545453</x:v>
      </x:c>
      <x:c r="M880" s="14" t="n">
        <x:v>6</x:v>
      </x:c>
      <x:c r="N880" s="14" t="n">
        <x:v>5</x:v>
      </x:c>
      <x:c r="O880" s="15" t="n">
        <x:f>IF(M880=0,"해당 없음",N880/M880)</x:f>
        <x:v>0.8333333333333334</x:v>
      </x:c>
      <x:c r="P880" s="14" t="n">
        <x:v>106</x:v>
      </x:c>
    </x:row>
    <x:row r="881" ht="22" customHeight="1">
      <x:c r="A881" s="14" t="n">
        <x:v>438</x:v>
      </x:c>
      <x:c r="B881" s="14" t="n">
        <x:v>11</x:v>
      </x:c>
      <x:c r="C881" s="14" t="n">
        <x:v>76018</x:v>
      </x:c>
      <x:c r="D881" s="2" t="str">
        <x:v>NAVY</x:v>
      </x:c>
      <x:c r="E881" s="2" t="str">
        <x:v>0만</x:v>
      </x:c>
      <x:c r="F881" s="2" t="str">
        <x:v>160만</x:v>
      </x:c>
      <x:c r="G881" s="2" t="str">
        <x:v>패</x:v>
      </x:c>
      <x:c r="H881" s="14" t="n">
        <x:v>2</x:v>
      </x:c>
      <x:c r="I881" s="14" t="n">
        <x:v>5</x:v>
      </x:c>
      <x:c r="J881" s="14" t="n">
        <x:v>4</x:v>
      </x:c>
      <x:c r="K881" s="14" t="n">
        <x:v>2</x:v>
      </x:c>
      <x:c r="L881" s="15" t="n">
        <x:f>IF(J881=0,"해당 없음",K881/J881)</x:f>
        <x:v>0.5</x:v>
      </x:c>
      <x:c r="M881" s="14" t="n">
        <x:v>10</x:v>
      </x:c>
      <x:c r="N881" s="14" t="n">
        <x:v>7</x:v>
      </x:c>
      <x:c r="O881" s="15" t="n">
        <x:f>IF(M881=0,"해당 없음",N881/M881)</x:f>
        <x:v>0.7</x:v>
      </x:c>
      <x:c r="P881" s="14" t="n">
        <x:v>104</x:v>
      </x:c>
    </x:row>
    <x:row r="882" ht="22" customHeight="1">
      <x:c r="A882" s="14" t="n">
        <x:v>439</x:v>
      </x:c>
      <x:c r="B882" s="14" t="n">
        <x:v>11</x:v>
      </x:c>
      <x:c r="C882" s="14" t="n">
        <x:v>76019</x:v>
      </x:c>
      <x:c r="D882" s="2" t="str">
        <x:v>RED</x:v>
      </x:c>
      <x:c r="E882" s="2" t="str">
        <x:v>0만</x:v>
      </x:c>
      <x:c r="F882" s="2" t="str">
        <x:v>160만</x:v>
      </x:c>
      <x:c r="G882" s="2" t="str">
        <x:v>패</x:v>
      </x:c>
      <x:c r="H882" s="14" t="n">
        <x:v>3</x:v>
      </x:c>
      <x:c r="I882" s="14" t="n">
        <x:v>4</x:v>
      </x:c>
      <x:c r="J882" s="14" t="n">
        <x:v>7</x:v>
      </x:c>
      <x:c r="K882" s="14" t="n">
        <x:v>3</x:v>
      </x:c>
      <x:c r="L882" s="15" t="n">
        <x:f>IF(J882=0,"해당 없음",K882/J882)</x:f>
        <x:v>0.42857142857142855</x:v>
      </x:c>
      <x:c r="M882" s="14" t="n">
        <x:v>11</x:v>
      </x:c>
      <x:c r="N882" s="14" t="n">
        <x:v>9</x:v>
      </x:c>
      <x:c r="O882" s="15" t="n">
        <x:f>IF(M882=0,"해당 없음",N882/M882)</x:f>
        <x:v>0.8181818181818182</x:v>
      </x:c>
      <x:c r="P882" s="14" t="n">
        <x:v>104</x:v>
      </x:c>
    </x:row>
    <x:row r="883" ht="22" customHeight="1">
      <x:c r="A883" s="14" t="n">
        <x:v>439</x:v>
      </x:c>
      <x:c r="B883" s="14" t="n">
        <x:v>11</x:v>
      </x:c>
      <x:c r="C883" s="14" t="n">
        <x:v>76019</x:v>
      </x:c>
      <x:c r="D883" s="2" t="str">
        <x:v>NAVY</x:v>
      </x:c>
      <x:c r="E883" s="2" t="str">
        <x:v>160만</x:v>
      </x:c>
      <x:c r="F883" s="2" t="str">
        <x:v>0만</x:v>
      </x:c>
      <x:c r="G883" s="2" t="str">
        <x:v>승</x:v>
      </x:c>
      <x:c r="H883" s="14" t="n">
        <x:v>4</x:v>
      </x:c>
      <x:c r="I883" s="14" t="n">
        <x:v>3</x:v>
      </x:c>
      <x:c r="J883" s="14" t="n">
        <x:v>10</x:v>
      </x:c>
      <x:c r="K883" s="14" t="n">
        <x:v>4</x:v>
      </x:c>
      <x:c r="L883" s="15" t="n">
        <x:f>IF(J883=0,"해당 없음",K883/J883)</x:f>
        <x:v>0.4</x:v>
      </x:c>
      <x:c r="M883" s="14" t="n">
        <x:v>9</x:v>
      </x:c>
      <x:c r="N883" s="14" t="n">
        <x:v>9</x:v>
      </x:c>
      <x:c r="O883" s="15" t="n">
        <x:f>IF(M883=0,"해당 없음",N883/M883)</x:f>
        <x:v>1</x:v>
      </x:c>
      <x:c r="P883" s="14" t="n">
        <x:v>105</x:v>
      </x:c>
    </x:row>
    <x:row r="884" ht="22" customHeight="1">
      <x:c r="A884" s="14" t="n">
        <x:v>440</x:v>
      </x:c>
      <x:c r="B884" s="14" t="n">
        <x:v>11</x:v>
      </x:c>
      <x:c r="C884" s="14" t="n">
        <x:v>76019</x:v>
      </x:c>
      <x:c r="D884" s="2" t="str">
        <x:v>RED</x:v>
      </x:c>
      <x:c r="E884" s="2" t="str">
        <x:v>160만</x:v>
      </x:c>
      <x:c r="F884" s="2" t="str">
        <x:v>0만</x:v>
      </x:c>
      <x:c r="G884" s="2" t="str">
        <x:v>승</x:v>
      </x:c>
      <x:c r="H884" s="14" t="n">
        <x:v>8</x:v>
      </x:c>
      <x:c r="I884" s="14" t="n">
        <x:v>1</x:v>
      </x:c>
      <x:c r="J884" s="14" t="n">
        <x:v>11</x:v>
      </x:c>
      <x:c r="K884" s="14" t="n">
        <x:v>8</x:v>
      </x:c>
      <x:c r="L884" s="15" t="n">
        <x:f>IF(J884=0,"해당 없음",K884/J884)</x:f>
        <x:v>0.7272727272727273</x:v>
      </x:c>
      <x:c r="M884" s="14" t="n">
        <x:v>9</x:v>
      </x:c>
      <x:c r="N884" s="14" t="n">
        <x:v>7</x:v>
      </x:c>
      <x:c r="O884" s="15" t="n">
        <x:f>IF(M884=0,"해당 없음",N884/M884)</x:f>
        <x:v>0.7777777777777778</x:v>
      </x:c>
      <x:c r="P884" s="14" t="n">
        <x:v>104</x:v>
      </x:c>
    </x:row>
    <x:row r="885" ht="22" customHeight="1">
      <x:c r="A885" s="14" t="n">
        <x:v>440</x:v>
      </x:c>
      <x:c r="B885" s="14" t="n">
        <x:v>11</x:v>
      </x:c>
      <x:c r="C885" s="14" t="n">
        <x:v>76019</x:v>
      </x:c>
      <x:c r="D885" s="2" t="str">
        <x:v>NAVY</x:v>
      </x:c>
      <x:c r="E885" s="2" t="str">
        <x:v>0만</x:v>
      </x:c>
      <x:c r="F885" s="2" t="str">
        <x:v>160만</x:v>
      </x:c>
      <x:c r="G885" s="2" t="str">
        <x:v>패</x:v>
      </x:c>
      <x:c r="H885" s="14" t="n">
        <x:v>1</x:v>
      </x:c>
      <x:c r="I885" s="14" t="n">
        <x:v>8</x:v>
      </x:c>
      <x:c r="J885" s="14" t="n">
        <x:v>6</x:v>
      </x:c>
      <x:c r="K885" s="14" t="n">
        <x:v>1</x:v>
      </x:c>
      <x:c r="L885" s="15" t="n">
        <x:f>IF(J885=0,"해당 없음",K885/J885)</x:f>
        <x:v>0.16666666666666666</x:v>
      </x:c>
      <x:c r="M885" s="14" t="n">
        <x:v>6</x:v>
      </x:c>
      <x:c r="N885" s="14" t="n">
        <x:v>5</x:v>
      </x:c>
      <x:c r="O885" s="15" t="n">
        <x:f>IF(M885=0,"해당 없음",N885/M885)</x:f>
        <x:v>0.8333333333333334</x:v>
      </x:c>
      <x:c r="P885" s="14" t="n">
        <x:v>105</x:v>
      </x:c>
    </x:row>
    <x:row r="886" ht="22" customHeight="1">
      <x:c r="A886" s="14" t="n">
        <x:v>441</x:v>
      </x:c>
      <x:c r="B886" s="14" t="n">
        <x:v>12</x:v>
      </x:c>
      <x:c r="C886" s="14" t="n">
        <x:v>76000</x:v>
      </x:c>
      <x:c r="D886" s="2" t="str">
        <x:v>RED</x:v>
      </x:c>
      <x:c r="E886" s="2" t="str">
        <x:v>0만</x:v>
      </x:c>
      <x:c r="F886" s="2" t="str">
        <x:v>200만</x:v>
      </x:c>
      <x:c r="G886" s="2" t="str">
        <x:v>패</x:v>
      </x:c>
      <x:c r="H886" s="14" t="n">
        <x:v>2</x:v>
      </x:c>
      <x:c r="I886" s="14" t="n">
        <x:v>5</x:v>
      </x:c>
      <x:c r="J886" s="14" t="n">
        <x:v>4</x:v>
      </x:c>
      <x:c r="K886" s="14" t="n">
        <x:v>2</x:v>
      </x:c>
      <x:c r="L886" s="15" t="n">
        <x:f>IF(J886=0,"해당 없음",K886/J886)</x:f>
        <x:v>0.5</x:v>
      </x:c>
      <x:c r="M886" s="14" t="n">
        <x:v>9</x:v>
      </x:c>
      <x:c r="N886" s="14" t="n">
        <x:v>6</x:v>
      </x:c>
      <x:c r="O886" s="15" t="n">
        <x:f>IF(M886=0,"해당 없음",N886/M886)</x:f>
        <x:v>0.6666666666666666</x:v>
      </x:c>
      <x:c r="P886" s="14" t="n">
        <x:v>104</x:v>
      </x:c>
    </x:row>
    <x:row r="887" ht="22" customHeight="1">
      <x:c r="A887" s="14" t="n">
        <x:v>441</x:v>
      </x:c>
      <x:c r="B887" s="14" t="n">
        <x:v>12</x:v>
      </x:c>
      <x:c r="C887" s="14" t="n">
        <x:v>76000</x:v>
      </x:c>
      <x:c r="D887" s="2" t="str">
        <x:v>NAVY</x:v>
      </x:c>
      <x:c r="E887" s="2" t="str">
        <x:v>200만</x:v>
      </x:c>
      <x:c r="F887" s="2" t="str">
        <x:v>0만</x:v>
      </x:c>
      <x:c r="G887" s="2" t="str">
        <x:v>승</x:v>
      </x:c>
      <x:c r="H887" s="14" t="n">
        <x:v>5</x:v>
      </x:c>
      <x:c r="I887" s="14" t="n">
        <x:v>2</x:v>
      </x:c>
      <x:c r="J887" s="14" t="n">
        <x:v>11</x:v>
      </x:c>
      <x:c r="K887" s="14" t="n">
        <x:v>5</x:v>
      </x:c>
      <x:c r="L887" s="15" t="n">
        <x:f>IF(J887=0,"해당 없음",K887/J887)</x:f>
        <x:v>0.45454545454545453</x:v>
      </x:c>
      <x:c r="M887" s="14" t="n">
        <x:v>6</x:v>
      </x:c>
      <x:c r="N887" s="14" t="n">
        <x:v>5</x:v>
      </x:c>
      <x:c r="O887" s="15" t="n">
        <x:f>IF(M887=0,"해당 없음",N887/M887)</x:f>
        <x:v>0.8333333333333334</x:v>
      </x:c>
      <x:c r="P887" s="14" t="n">
        <x:v>104</x:v>
      </x:c>
    </x:row>
    <x:row r="888" ht="22" customHeight="1">
      <x:c r="A888" s="14" t="n">
        <x:v>442</x:v>
      </x:c>
      <x:c r="B888" s="14" t="n">
        <x:v>12</x:v>
      </x:c>
      <x:c r="C888" s="14" t="n">
        <x:v>76000</x:v>
      </x:c>
      <x:c r="D888" s="2" t="str">
        <x:v>RED</x:v>
      </x:c>
      <x:c r="E888" s="2" t="str">
        <x:v>200만</x:v>
      </x:c>
      <x:c r="F888" s="2" t="str">
        <x:v>0만</x:v>
      </x:c>
      <x:c r="G888" s="2" t="str">
        <x:v>패</x:v>
      </x:c>
      <x:c r="H888" s="14" t="n">
        <x:v>0</x:v>
      </x:c>
      <x:c r="I888" s="14" t="n">
        <x:v>2</x:v>
      </x:c>
      <x:c r="J888" s="14" t="n">
        <x:v>7</x:v>
      </x:c>
      <x:c r="K888" s="14" t="n">
        <x:v>0</x:v>
      </x:c>
      <x:c r="L888" s="15" t="n">
        <x:f>IF(J888=0,"해당 없음",K888/J888)</x:f>
        <x:v>0</x:v>
      </x:c>
      <x:c r="M888" s="14" t="n">
        <x:v>7</x:v>
      </x:c>
      <x:c r="N888" s="14" t="n">
        <x:v>4</x:v>
      </x:c>
      <x:c r="O888" s="15" t="n">
        <x:f>IF(M888=0,"해당 없음",N888/M888)</x:f>
        <x:v>0.5714285714285714</x:v>
      </x:c>
      <x:c r="P888" s="14" t="n">
        <x:v>102</x:v>
      </x:c>
    </x:row>
    <x:row r="889" ht="22" customHeight="1">
      <x:c r="A889" s="14" t="n">
        <x:v>442</x:v>
      </x:c>
      <x:c r="B889" s="14" t="n">
        <x:v>12</x:v>
      </x:c>
      <x:c r="C889" s="14" t="n">
        <x:v>76000</x:v>
      </x:c>
      <x:c r="D889" s="2" t="str">
        <x:v>NAVY</x:v>
      </x:c>
      <x:c r="E889" s="2" t="str">
        <x:v>0만</x:v>
      </x:c>
      <x:c r="F889" s="2" t="str">
        <x:v>200만</x:v>
      </x:c>
      <x:c r="G889" s="2" t="str">
        <x:v>승</x:v>
      </x:c>
      <x:c r="H889" s="14" t="n">
        <x:v>2</x:v>
      </x:c>
      <x:c r="I889" s="14" t="n">
        <x:v>0</x:v>
      </x:c>
      <x:c r="J889" s="14" t="n">
        <x:v>8</x:v>
      </x:c>
      <x:c r="K889" s="14" t="n">
        <x:v>2</x:v>
      </x:c>
      <x:c r="L889" s="15" t="n">
        <x:f>IF(J889=0,"해당 없음",K889/J889)</x:f>
        <x:v>0.25</x:v>
      </x:c>
      <x:c r="M889" s="14" t="n">
        <x:v>8</x:v>
      </x:c>
      <x:c r="N889" s="14" t="n">
        <x:v>6</x:v>
      </x:c>
      <x:c r="O889" s="15" t="n">
        <x:f>IF(M889=0,"해당 없음",N889/M889)</x:f>
        <x:v>0.75</x:v>
      </x:c>
      <x:c r="P889" s="14" t="n">
        <x:v>102</x:v>
      </x:c>
    </x:row>
    <x:row r="890" ht="22" customHeight="1">
      <x:c r="A890" s="14" t="n">
        <x:v>443</x:v>
      </x:c>
      <x:c r="B890" s="14" t="n">
        <x:v>12</x:v>
      </x:c>
      <x:c r="C890" s="14" t="n">
        <x:v>76001</x:v>
      </x:c>
      <x:c r="D890" s="2" t="str">
        <x:v>RED</x:v>
      </x:c>
      <x:c r="E890" s="2" t="str">
        <x:v>0만</x:v>
      </x:c>
      <x:c r="F890" s="2" t="str">
        <x:v>200만</x:v>
      </x:c>
      <x:c r="G890" s="2" t="str">
        <x:v>패</x:v>
      </x:c>
      <x:c r="H890" s="14" t="n">
        <x:v>4</x:v>
      </x:c>
      <x:c r="I890" s="14" t="n">
        <x:v>5</x:v>
      </x:c>
      <x:c r="J890" s="14" t="n">
        <x:v>9</x:v>
      </x:c>
      <x:c r="K890" s="14" t="n">
        <x:v>4</x:v>
      </x:c>
      <x:c r="L890" s="15" t="n">
        <x:f>IF(J890=0,"해당 없음",K890/J890)</x:f>
        <x:v>0.4444444444444444</x:v>
      </x:c>
      <x:c r="M890" s="14" t="n">
        <x:v>8</x:v>
      </x:c>
      <x:c r="N890" s="14" t="n">
        <x:v>8</x:v>
      </x:c>
      <x:c r="O890" s="15" t="n">
        <x:f>IF(M890=0,"해당 없음",N890/M890)</x:f>
        <x:v>1</x:v>
      </x:c>
      <x:c r="P890" s="14" t="n">
        <x:v>105</x:v>
      </x:c>
    </x:row>
    <x:row r="891" ht="22" customHeight="1">
      <x:c r="A891" s="14" t="n">
        <x:v>443</x:v>
      </x:c>
      <x:c r="B891" s="14" t="n">
        <x:v>12</x:v>
      </x:c>
      <x:c r="C891" s="14" t="n">
        <x:v>76001</x:v>
      </x:c>
      <x:c r="D891" s="2" t="str">
        <x:v>NAVY</x:v>
      </x:c>
      <x:c r="E891" s="2" t="str">
        <x:v>200만</x:v>
      </x:c>
      <x:c r="F891" s="2" t="str">
        <x:v>0만</x:v>
      </x:c>
      <x:c r="G891" s="2" t="str">
        <x:v>승</x:v>
      </x:c>
      <x:c r="H891" s="14" t="n">
        <x:v>5</x:v>
      </x:c>
      <x:c r="I891" s="14" t="n">
        <x:v>4</x:v>
      </x:c>
      <x:c r="J891" s="14" t="n">
        <x:v>10</x:v>
      </x:c>
      <x:c r="K891" s="14" t="n">
        <x:v>5</x:v>
      </x:c>
      <x:c r="L891" s="15" t="n">
        <x:f>IF(J891=0,"해당 없음",K891/J891)</x:f>
        <x:v>0.5</x:v>
      </x:c>
      <x:c r="M891" s="14" t="n">
        <x:v>9</x:v>
      </x:c>
      <x:c r="N891" s="14" t="n">
        <x:v>5</x:v>
      </x:c>
      <x:c r="O891" s="15" t="n">
        <x:f>IF(M891=0,"해당 없음",N891/M891)</x:f>
        <x:v>0.5555555555555556</x:v>
      </x:c>
      <x:c r="P891" s="14" t="n">
        <x:v>104</x:v>
      </x:c>
    </x:row>
    <x:row r="892" ht="22" customHeight="1">
      <x:c r="A892" s="14" t="n">
        <x:v>444</x:v>
      </x:c>
      <x:c r="B892" s="14" t="n">
        <x:v>12</x:v>
      </x:c>
      <x:c r="C892" s="14" t="n">
        <x:v>76001</x:v>
      </x:c>
      <x:c r="D892" s="2" t="str">
        <x:v>RED</x:v>
      </x:c>
      <x:c r="E892" s="2" t="str">
        <x:v>200만</x:v>
      </x:c>
      <x:c r="F892" s="2" t="str">
        <x:v>0만</x:v>
      </x:c>
      <x:c r="G892" s="2" t="str">
        <x:v>승</x:v>
      </x:c>
      <x:c r="H892" s="14" t="n">
        <x:v>4</x:v>
      </x:c>
      <x:c r="I892" s="14" t="n">
        <x:v>2</x:v>
      </x:c>
      <x:c r="J892" s="14" t="n">
        <x:v>10</x:v>
      </x:c>
      <x:c r="K892" s="14" t="n">
        <x:v>4</x:v>
      </x:c>
      <x:c r="L892" s="15" t="n">
        <x:f>IF(J892=0,"해당 없음",K892/J892)</x:f>
        <x:v>0.4</x:v>
      </x:c>
      <x:c r="M892" s="14" t="n">
        <x:v>6</x:v>
      </x:c>
      <x:c r="N892" s="14" t="n">
        <x:v>4</x:v>
      </x:c>
      <x:c r="O892" s="15" t="n">
        <x:f>IF(M892=0,"해당 없음",N892/M892)</x:f>
        <x:v>0.6666666666666666</x:v>
      </x:c>
      <x:c r="P892" s="14" t="n">
        <x:v>106</x:v>
      </x:c>
    </x:row>
    <x:row r="893" ht="22" customHeight="1">
      <x:c r="A893" s="14" t="n">
        <x:v>444</x:v>
      </x:c>
      <x:c r="B893" s="14" t="n">
        <x:v>12</x:v>
      </x:c>
      <x:c r="C893" s="14" t="n">
        <x:v>76001</x:v>
      </x:c>
      <x:c r="D893" s="2" t="str">
        <x:v>NAVY</x:v>
      </x:c>
      <x:c r="E893" s="2" t="str">
        <x:v>0만</x:v>
      </x:c>
      <x:c r="F893" s="2" t="str">
        <x:v>200만</x:v>
      </x:c>
      <x:c r="G893" s="2" t="str">
        <x:v>패</x:v>
      </x:c>
      <x:c r="H893" s="14" t="n">
        <x:v>2</x:v>
      </x:c>
      <x:c r="I893" s="14" t="n">
        <x:v>4</x:v>
      </x:c>
      <x:c r="J893" s="14" t="n">
        <x:v>8</x:v>
      </x:c>
      <x:c r="K893" s="14" t="n">
        <x:v>2</x:v>
      </x:c>
      <x:c r="L893" s="15" t="n">
        <x:f>IF(J893=0,"해당 없음",K893/J893)</x:f>
        <x:v>0.25</x:v>
      </x:c>
      <x:c r="M893" s="14" t="n">
        <x:v>8</x:v>
      </x:c>
      <x:c r="N893" s="14" t="n">
        <x:v>5</x:v>
      </x:c>
      <x:c r="O893" s="15" t="n">
        <x:f>IF(M893=0,"해당 없음",N893/M893)</x:f>
        <x:v>0.625</x:v>
      </x:c>
      <x:c r="P893" s="14" t="n">
        <x:v>102</x:v>
      </x:c>
    </x:row>
    <x:row r="894" ht="22" customHeight="1">
      <x:c r="A894" s="14" t="n">
        <x:v>445</x:v>
      </x:c>
      <x:c r="B894" s="14" t="n">
        <x:v>12</x:v>
      </x:c>
      <x:c r="C894" s="14" t="n">
        <x:v>76002</x:v>
      </x:c>
      <x:c r="D894" s="2" t="str">
        <x:v>RED</x:v>
      </x:c>
      <x:c r="E894" s="2" t="str">
        <x:v>0만</x:v>
      </x:c>
      <x:c r="F894" s="2" t="str">
        <x:v>200만</x:v>
      </x:c>
      <x:c r="G894" s="2" t="str">
        <x:v>패</x:v>
      </x:c>
      <x:c r="H894" s="14" t="n">
        <x:v>3</x:v>
      </x:c>
      <x:c r="I894" s="14" t="n">
        <x:v>5</x:v>
      </x:c>
      <x:c r="J894" s="14" t="n">
        <x:v>5</x:v>
      </x:c>
      <x:c r="K894" s="14" t="n">
        <x:v>3</x:v>
      </x:c>
      <x:c r="L894" s="15" t="n">
        <x:f>IF(J894=0,"해당 없음",K894/J894)</x:f>
        <x:v>0.6</x:v>
      </x:c>
      <x:c r="M894" s="14" t="n">
        <x:v>11</x:v>
      </x:c>
      <x:c r="N894" s="14" t="n">
        <x:v>7</x:v>
      </x:c>
      <x:c r="O894" s="15" t="n">
        <x:f>IF(M894=0,"해당 없음",N894/M894)</x:f>
        <x:v>0.6363636363636364</x:v>
      </x:c>
      <x:c r="P894" s="14" t="n">
        <x:v>102</x:v>
      </x:c>
    </x:row>
    <x:row r="895" ht="22" customHeight="1">
      <x:c r="A895" s="14" t="n">
        <x:v>445</x:v>
      </x:c>
      <x:c r="B895" s="14" t="n">
        <x:v>12</x:v>
      </x:c>
      <x:c r="C895" s="14" t="n">
        <x:v>76002</x:v>
      </x:c>
      <x:c r="D895" s="2" t="str">
        <x:v>NAVY</x:v>
      </x:c>
      <x:c r="E895" s="2" t="str">
        <x:v>200만</x:v>
      </x:c>
      <x:c r="F895" s="2" t="str">
        <x:v>0만</x:v>
      </x:c>
      <x:c r="G895" s="2" t="str">
        <x:v>승</x:v>
      </x:c>
      <x:c r="H895" s="14" t="n">
        <x:v>5</x:v>
      </x:c>
      <x:c r="I895" s="14" t="n">
        <x:v>3</x:v>
      </x:c>
      <x:c r="J895" s="14" t="n">
        <x:v>12</x:v>
      </x:c>
      <x:c r="K895" s="14" t="n">
        <x:v>5</x:v>
      </x:c>
      <x:c r="L895" s="15" t="n">
        <x:f>IF(J895=0,"해당 없음",K895/J895)</x:f>
        <x:v>0.4166666666666667</x:v>
      </x:c>
      <x:c r="M895" s="14" t="n">
        <x:v>9</x:v>
      </x:c>
      <x:c r="N895" s="14" t="n">
        <x:v>6</x:v>
      </x:c>
      <x:c r="O895" s="15" t="n">
        <x:f>IF(M895=0,"해당 없음",N895/M895)</x:f>
        <x:v>0.6666666666666666</x:v>
      </x:c>
      <x:c r="P895" s="14" t="n">
        <x:v>103</x:v>
      </x:c>
    </x:row>
    <x:row r="896" ht="22" customHeight="1">
      <x:c r="A896" s="14" t="n">
        <x:v>446</x:v>
      </x:c>
      <x:c r="B896" s="14" t="n">
        <x:v>12</x:v>
      </x:c>
      <x:c r="C896" s="14" t="n">
        <x:v>76002</x:v>
      </x:c>
      <x:c r="D896" s="2" t="str">
        <x:v>RED</x:v>
      </x:c>
      <x:c r="E896" s="2" t="str">
        <x:v>200만</x:v>
      </x:c>
      <x:c r="F896" s="2" t="str">
        <x:v>0만</x:v>
      </x:c>
      <x:c r="G896" s="2" t="str">
        <x:v>승</x:v>
      </x:c>
      <x:c r="H896" s="14" t="n">
        <x:v>9</x:v>
      </x:c>
      <x:c r="I896" s="14" t="n">
        <x:v>0</x:v>
      </x:c>
      <x:c r="J896" s="14" t="n">
        <x:v>13</x:v>
      </x:c>
      <x:c r="K896" s="14" t="n">
        <x:v>9</x:v>
      </x:c>
      <x:c r="L896" s="15" t="n">
        <x:f>IF(J896=0,"해당 없음",K896/J896)</x:f>
        <x:v>0.6923076923076923</x:v>
      </x:c>
      <x:c r="M896" s="14" t="n">
        <x:v>7</x:v>
      </x:c>
      <x:c r="N896" s="14" t="n">
        <x:v>6</x:v>
      </x:c>
      <x:c r="O896" s="15" t="n">
        <x:f>IF(M896=0,"해당 없음",N896/M896)</x:f>
        <x:v>0.8571428571428571</x:v>
      </x:c>
      <x:c r="P896" s="14" t="n">
        <x:v>104</x:v>
      </x:c>
    </x:row>
    <x:row r="897" ht="22" customHeight="1">
      <x:c r="A897" s="14" t="n">
        <x:v>446</x:v>
      </x:c>
      <x:c r="B897" s="14" t="n">
        <x:v>12</x:v>
      </x:c>
      <x:c r="C897" s="14" t="n">
        <x:v>76002</x:v>
      </x:c>
      <x:c r="D897" s="2" t="str">
        <x:v>NAVY</x:v>
      </x:c>
      <x:c r="E897" s="2" t="str">
        <x:v>0만</x:v>
      </x:c>
      <x:c r="F897" s="2" t="str">
        <x:v>200만</x:v>
      </x:c>
      <x:c r="G897" s="2" t="str">
        <x:v>패</x:v>
      </x:c>
      <x:c r="H897" s="14" t="n">
        <x:v>0</x:v>
      </x:c>
      <x:c r="I897" s="14" t="n">
        <x:v>9</x:v>
      </x:c>
      <x:c r="J897" s="14" t="n">
        <x:v>5</x:v>
      </x:c>
      <x:c r="K897" s="14" t="n">
        <x:v>0</x:v>
      </x:c>
      <x:c r="L897" s="15" t="n">
        <x:f>IF(J897=0,"해당 없음",K897/J897)</x:f>
        <x:v>0</x:v>
      </x:c>
      <x:c r="M897" s="14" t="n">
        <x:v>6</x:v>
      </x:c>
      <x:c r="N897" s="14" t="n">
        <x:v>6</x:v>
      </x:c>
      <x:c r="O897" s="15" t="n">
        <x:f>IF(M897=0,"해당 없음",N897/M897)</x:f>
        <x:v>1</x:v>
      </x:c>
      <x:c r="P897" s="14" t="n">
        <x:v>105</x:v>
      </x:c>
    </x:row>
    <x:row r="898" ht="22" customHeight="1">
      <x:c r="A898" s="14" t="n">
        <x:v>447</x:v>
      </x:c>
      <x:c r="B898" s="14" t="n">
        <x:v>12</x:v>
      </x:c>
      <x:c r="C898" s="14" t="n">
        <x:v>76003</x:v>
      </x:c>
      <x:c r="D898" s="2" t="str">
        <x:v>RED</x:v>
      </x:c>
      <x:c r="E898" s="2" t="str">
        <x:v>0만</x:v>
      </x:c>
      <x:c r="F898" s="2" t="str">
        <x:v>200만</x:v>
      </x:c>
      <x:c r="G898" s="2" t="str">
        <x:v>패</x:v>
      </x:c>
      <x:c r="H898" s="14" t="n">
        <x:v>1</x:v>
      </x:c>
      <x:c r="I898" s="14" t="n">
        <x:v>5</x:v>
      </x:c>
      <x:c r="J898" s="14" t="n">
        <x:v>4</x:v>
      </x:c>
      <x:c r="K898" s="14" t="n">
        <x:v>1</x:v>
      </x:c>
      <x:c r="L898" s="15" t="n">
        <x:f>IF(J898=0,"해당 없음",K898/J898)</x:f>
        <x:v>0.25</x:v>
      </x:c>
      <x:c r="M898" s="14" t="n">
        <x:v>6</x:v>
      </x:c>
      <x:c r="N898" s="14" t="n">
        <x:v>5</x:v>
      </x:c>
      <x:c r="O898" s="15" t="n">
        <x:f>IF(M898=0,"해당 없음",N898/M898)</x:f>
        <x:v>0.8333333333333334</x:v>
      </x:c>
      <x:c r="P898" s="14" t="n">
        <x:v>104</x:v>
      </x:c>
    </x:row>
    <x:row r="899" ht="22" customHeight="1">
      <x:c r="A899" s="14" t="n">
        <x:v>447</x:v>
      </x:c>
      <x:c r="B899" s="14" t="n">
        <x:v>12</x:v>
      </x:c>
      <x:c r="C899" s="14" t="n">
        <x:v>76003</x:v>
      </x:c>
      <x:c r="D899" s="2" t="str">
        <x:v>NAVY</x:v>
      </x:c>
      <x:c r="E899" s="2" t="str">
        <x:v>200만</x:v>
      </x:c>
      <x:c r="F899" s="2" t="str">
        <x:v>0만</x:v>
      </x:c>
      <x:c r="G899" s="2" t="str">
        <x:v>승</x:v>
      </x:c>
      <x:c r="H899" s="14" t="n">
        <x:v>5</x:v>
      </x:c>
      <x:c r="I899" s="14" t="n">
        <x:v>1</x:v>
      </x:c>
      <x:c r="J899" s="14" t="n">
        <x:v>12</x:v>
      </x:c>
      <x:c r="K899" s="14" t="n">
        <x:v>5</x:v>
      </x:c>
      <x:c r="L899" s="15" t="n">
        <x:f>IF(J899=0,"해당 없음",K899/J899)</x:f>
        <x:v>0.4166666666666667</x:v>
      </x:c>
      <x:c r="M899" s="14" t="n">
        <x:v>11</x:v>
      </x:c>
      <x:c r="N899" s="14" t="n">
        <x:v>8</x:v>
      </x:c>
      <x:c r="O899" s="15" t="n">
        <x:f>IF(M899=0,"해당 없음",N899/M899)</x:f>
        <x:v>0.7272727272727273</x:v>
      </x:c>
      <x:c r="P899" s="14" t="n">
        <x:v>105</x:v>
      </x:c>
    </x:row>
    <x:row r="900" ht="22" customHeight="1">
      <x:c r="A900" s="14" t="n">
        <x:v>448</x:v>
      </x:c>
      <x:c r="B900" s="14" t="n">
        <x:v>12</x:v>
      </x:c>
      <x:c r="C900" s="14" t="n">
        <x:v>76003</x:v>
      </x:c>
      <x:c r="D900" s="2" t="str">
        <x:v>RED</x:v>
      </x:c>
      <x:c r="E900" s="2" t="str">
        <x:v>200만</x:v>
      </x:c>
      <x:c r="F900" s="2" t="str">
        <x:v>0만</x:v>
      </x:c>
      <x:c r="G900" s="2" t="str">
        <x:v>승</x:v>
      </x:c>
      <x:c r="H900" s="14" t="n">
        <x:v>5</x:v>
      </x:c>
      <x:c r="I900" s="14" t="n">
        <x:v>0</x:v>
      </x:c>
      <x:c r="J900" s="14" t="n">
        <x:v>13</x:v>
      </x:c>
      <x:c r="K900" s="14" t="n">
        <x:v>5</x:v>
      </x:c>
      <x:c r="L900" s="15" t="n">
        <x:f>IF(J900=0,"해당 없음",K900/J900)</x:f>
        <x:v>0.38461538461538464</x:v>
      </x:c>
      <x:c r="M900" s="14" t="n">
        <x:v>9</x:v>
      </x:c>
      <x:c r="N900" s="14" t="n">
        <x:v>5</x:v>
      </x:c>
      <x:c r="O900" s="15" t="n">
        <x:f>IF(M900=0,"해당 없음",N900/M900)</x:f>
        <x:v>0.5555555555555556</x:v>
      </x:c>
      <x:c r="P900" s="14" t="n">
        <x:v>104</x:v>
      </x:c>
    </x:row>
    <x:row r="901" ht="22" customHeight="1">
      <x:c r="A901" s="14" t="n">
        <x:v>448</x:v>
      </x:c>
      <x:c r="B901" s="14" t="n">
        <x:v>12</x:v>
      </x:c>
      <x:c r="C901" s="14" t="n">
        <x:v>76003</x:v>
      </x:c>
      <x:c r="D901" s="2" t="str">
        <x:v>NAVY</x:v>
      </x:c>
      <x:c r="E901" s="2" t="str">
        <x:v>0만</x:v>
      </x:c>
      <x:c r="F901" s="2" t="str">
        <x:v>200만</x:v>
      </x:c>
      <x:c r="G901" s="2" t="str">
        <x:v>패</x:v>
      </x:c>
      <x:c r="H901" s="14" t="n">
        <x:v>0</x:v>
      </x:c>
      <x:c r="I901" s="14" t="n">
        <x:v>5</x:v>
      </x:c>
      <x:c r="J901" s="14" t="n">
        <x:v>2</x:v>
      </x:c>
      <x:c r="K901" s="14" t="n">
        <x:v>0</x:v>
      </x:c>
      <x:c r="L901" s="15" t="n">
        <x:f>IF(J901=0,"해당 없음",K901/J901)</x:f>
        <x:v>0</x:v>
      </x:c>
      <x:c r="M901" s="14" t="n">
        <x:v>14</x:v>
      </x:c>
      <x:c r="N901" s="14" t="n">
        <x:v>11</x:v>
      </x:c>
      <x:c r="O901" s="15" t="n">
        <x:f>IF(M901=0,"해당 없음",N901/M901)</x:f>
        <x:v>0.7857142857142857</x:v>
      </x:c>
      <x:c r="P901" s="14" t="n">
        <x:v>103</x:v>
      </x:c>
    </x:row>
    <x:row r="902" ht="22" customHeight="1">
      <x:c r="A902" s="14" t="n">
        <x:v>449</x:v>
      </x:c>
      <x:c r="B902" s="14" t="n">
        <x:v>12</x:v>
      </x:c>
      <x:c r="C902" s="14" t="n">
        <x:v>76004</x:v>
      </x:c>
      <x:c r="D902" s="2" t="str">
        <x:v>RED</x:v>
      </x:c>
      <x:c r="E902" s="2" t="str">
        <x:v>0만</x:v>
      </x:c>
      <x:c r="F902" s="2" t="str">
        <x:v>200만</x:v>
      </x:c>
      <x:c r="G902" s="2" t="str">
        <x:v>패</x:v>
      </x:c>
      <x:c r="H902" s="14" t="n">
        <x:v>1</x:v>
      </x:c>
      <x:c r="I902" s="14" t="n">
        <x:v>9</x:v>
      </x:c>
      <x:c r="J902" s="14" t="n">
        <x:v>3</x:v>
      </x:c>
      <x:c r="K902" s="14" t="n">
        <x:v>1</x:v>
      </x:c>
      <x:c r="L902" s="15" t="n">
        <x:f>IF(J902=0,"해당 없음",K902/J902)</x:f>
        <x:v>0.3333333333333333</x:v>
      </x:c>
      <x:c r="M902" s="14" t="n">
        <x:v>8</x:v>
      </x:c>
      <x:c r="N902" s="14" t="n">
        <x:v>5</x:v>
      </x:c>
      <x:c r="O902" s="15" t="n">
        <x:f>IF(M902=0,"해당 없음",N902/M902)</x:f>
        <x:v>0.625</x:v>
      </x:c>
      <x:c r="P902" s="14" t="n">
        <x:v>106</x:v>
      </x:c>
    </x:row>
    <x:row r="903" ht="22" customHeight="1">
      <x:c r="A903" s="14" t="n">
        <x:v>449</x:v>
      </x:c>
      <x:c r="B903" s="14" t="n">
        <x:v>12</x:v>
      </x:c>
      <x:c r="C903" s="14" t="n">
        <x:v>76004</x:v>
      </x:c>
      <x:c r="D903" s="2" t="str">
        <x:v>NAVY</x:v>
      </x:c>
      <x:c r="E903" s="2" t="str">
        <x:v>200만</x:v>
      </x:c>
      <x:c r="F903" s="2" t="str">
        <x:v>0만</x:v>
      </x:c>
      <x:c r="G903" s="2" t="str">
        <x:v>승</x:v>
      </x:c>
      <x:c r="H903" s="14" t="n">
        <x:v>9</x:v>
      </x:c>
      <x:c r="I903" s="14" t="n">
        <x:v>1</x:v>
      </x:c>
      <x:c r="J903" s="14" t="n">
        <x:v>18</x:v>
      </x:c>
      <x:c r="K903" s="14" t="n">
        <x:v>9</x:v>
      </x:c>
      <x:c r="L903" s="15" t="n">
        <x:f>IF(J903=0,"해당 없음",K903/J903)</x:f>
        <x:v>0.5</x:v>
      </x:c>
      <x:c r="M903" s="14" t="n">
        <x:v>4</x:v>
      </x:c>
      <x:c r="N903" s="14" t="n">
        <x:v>4</x:v>
      </x:c>
      <x:c r="O903" s="15" t="n">
        <x:f>IF(M903=0,"해당 없음",N903/M903)</x:f>
        <x:v>1</x:v>
      </x:c>
      <x:c r="P903" s="14" t="n">
        <x:v>106</x:v>
      </x:c>
    </x:row>
    <x:row r="904" ht="22" customHeight="1">
      <x:c r="A904" s="14" t="n">
        <x:v>450</x:v>
      </x:c>
      <x:c r="B904" s="14" t="n">
        <x:v>12</x:v>
      </x:c>
      <x:c r="C904" s="14" t="n">
        <x:v>76004</x:v>
      </x:c>
      <x:c r="D904" s="2" t="str">
        <x:v>RED</x:v>
      </x:c>
      <x:c r="E904" s="2" t="str">
        <x:v>200만</x:v>
      </x:c>
      <x:c r="F904" s="2" t="str">
        <x:v>0만</x:v>
      </x:c>
      <x:c r="G904" s="2" t="str">
        <x:v>승</x:v>
      </x:c>
      <x:c r="H904" s="14" t="n">
        <x:v>9</x:v>
      </x:c>
      <x:c r="I904" s="14" t="n">
        <x:v>0</x:v>
      </x:c>
      <x:c r="J904" s="14" t="n">
        <x:v>18</x:v>
      </x:c>
      <x:c r="K904" s="14" t="n">
        <x:v>9</x:v>
      </x:c>
      <x:c r="L904" s="15" t="n">
        <x:f>IF(J904=0,"해당 없음",K904/J904)</x:f>
        <x:v>0.5</x:v>
      </x:c>
      <x:c r="M904" s="14" t="n">
        <x:v>7</x:v>
      </x:c>
      <x:c r="N904" s="14" t="n">
        <x:v>5</x:v>
      </x:c>
      <x:c r="O904" s="15" t="n">
        <x:f>IF(M904=0,"해당 없음",N904/M904)</x:f>
        <x:v>0.7142857142857143</x:v>
      </x:c>
      <x:c r="P904" s="14" t="n">
        <x:v>104</x:v>
      </x:c>
    </x:row>
    <x:row r="905" ht="22" customHeight="1">
      <x:c r="A905" s="14" t="n">
        <x:v>450</x:v>
      </x:c>
      <x:c r="B905" s="14" t="n">
        <x:v>12</x:v>
      </x:c>
      <x:c r="C905" s="14" t="n">
        <x:v>76004</x:v>
      </x:c>
      <x:c r="D905" s="2" t="str">
        <x:v>NAVY</x:v>
      </x:c>
      <x:c r="E905" s="2" t="str">
        <x:v>0만</x:v>
      </x:c>
      <x:c r="F905" s="2" t="str">
        <x:v>200만</x:v>
      </x:c>
      <x:c r="G905" s="2" t="str">
        <x:v>패</x:v>
      </x:c>
      <x:c r="H905" s="14" t="n">
        <x:v>0</x:v>
      </x:c>
      <x:c r="I905" s="14" t="n">
        <x:v>9</x:v>
      </x:c>
      <x:c r="J905" s="14" t="n">
        <x:v>4</x:v>
      </x:c>
      <x:c r="K905" s="14" t="n">
        <x:v>0</x:v>
      </x:c>
      <x:c r="L905" s="15" t="n">
        <x:f>IF(J905=0,"해당 없음",K905/J905)</x:f>
        <x:v>0</x:v>
      </x:c>
      <x:c r="M905" s="14" t="n">
        <x:v>5</x:v>
      </x:c>
      <x:c r="N905" s="14" t="n">
        <x:v>4</x:v>
      </x:c>
      <x:c r="O905" s="15" t="n">
        <x:f>IF(M905=0,"해당 없음",N905/M905)</x:f>
        <x:v>0.8</x:v>
      </x:c>
      <x:c r="P905" s="14" t="n">
        <x:v>106</x:v>
      </x:c>
    </x:row>
    <x:row r="906" ht="22" customHeight="1">
      <x:c r="A906" s="14" t="n">
        <x:v>451</x:v>
      </x:c>
      <x:c r="B906" s="14" t="n">
        <x:v>12</x:v>
      </x:c>
      <x:c r="C906" s="14" t="n">
        <x:v>76005</x:v>
      </x:c>
      <x:c r="D906" s="2" t="str">
        <x:v>RED</x:v>
      </x:c>
      <x:c r="E906" s="2" t="str">
        <x:v>0만</x:v>
      </x:c>
      <x:c r="F906" s="2" t="str">
        <x:v>200만</x:v>
      </x:c>
      <x:c r="G906" s="2" t="str">
        <x:v>패</x:v>
      </x:c>
      <x:c r="H906" s="14" t="n">
        <x:v>2</x:v>
      </x:c>
      <x:c r="I906" s="14" t="n">
        <x:v>4</x:v>
      </x:c>
      <x:c r="J906" s="14" t="n">
        <x:v>7</x:v>
      </x:c>
      <x:c r="K906" s="14" t="n">
        <x:v>2</x:v>
      </x:c>
      <x:c r="L906" s="15" t="n">
        <x:f>IF(J906=0,"해당 없음",K906/J906)</x:f>
        <x:v>0.2857142857142857</x:v>
      </x:c>
      <x:c r="M906" s="14" t="n">
        <x:v>6</x:v>
      </x:c>
      <x:c r="N906" s="14" t="n">
        <x:v>4</x:v>
      </x:c>
      <x:c r="O906" s="15" t="n">
        <x:f>IF(M906=0,"해당 없음",N906/M906)</x:f>
        <x:v>0.6666666666666666</x:v>
      </x:c>
      <x:c r="P906" s="14" t="n">
        <x:v>104</x:v>
      </x:c>
    </x:row>
    <x:row r="907" ht="22" customHeight="1">
      <x:c r="A907" s="14" t="n">
        <x:v>451</x:v>
      </x:c>
      <x:c r="B907" s="14" t="n">
        <x:v>12</x:v>
      </x:c>
      <x:c r="C907" s="14" t="n">
        <x:v>76005</x:v>
      </x:c>
      <x:c r="D907" s="2" t="str">
        <x:v>NAVY</x:v>
      </x:c>
      <x:c r="E907" s="2" t="str">
        <x:v>200만</x:v>
      </x:c>
      <x:c r="F907" s="2" t="str">
        <x:v>0만</x:v>
      </x:c>
      <x:c r="G907" s="2" t="str">
        <x:v>승</x:v>
      </x:c>
      <x:c r="H907" s="14" t="n">
        <x:v>4</x:v>
      </x:c>
      <x:c r="I907" s="14" t="n">
        <x:v>2</x:v>
      </x:c>
      <x:c r="J907" s="14" t="n">
        <x:v>10</x:v>
      </x:c>
      <x:c r="K907" s="14" t="n">
        <x:v>4</x:v>
      </x:c>
      <x:c r="L907" s="15" t="n">
        <x:f>IF(J907=0,"해당 없음",K907/J907)</x:f>
        <x:v>0.4</x:v>
      </x:c>
      <x:c r="M907" s="14" t="n">
        <x:v>11</x:v>
      </x:c>
      <x:c r="N907" s="14" t="n">
        <x:v>4</x:v>
      </x:c>
      <x:c r="O907" s="15" t="n">
        <x:f>IF(M907=0,"해당 없음",N907/M907)</x:f>
        <x:v>0.36363636363636365</x:v>
      </x:c>
      <x:c r="P907" s="14" t="n">
        <x:v>102</x:v>
      </x:c>
    </x:row>
    <x:row r="908" ht="22" customHeight="1">
      <x:c r="A908" s="14" t="n">
        <x:v>452</x:v>
      </x:c>
      <x:c r="B908" s="14" t="n">
        <x:v>12</x:v>
      </x:c>
      <x:c r="C908" s="14" t="n">
        <x:v>76005</x:v>
      </x:c>
      <x:c r="D908" s="2" t="str">
        <x:v>RED</x:v>
      </x:c>
      <x:c r="E908" s="2" t="str">
        <x:v>200만</x:v>
      </x:c>
      <x:c r="F908" s="2" t="str">
        <x:v>0만</x:v>
      </x:c>
      <x:c r="G908" s="2" t="str">
        <x:v>승</x:v>
      </x:c>
      <x:c r="H908" s="14" t="n">
        <x:v>6</x:v>
      </x:c>
      <x:c r="I908" s="14" t="n">
        <x:v>2</x:v>
      </x:c>
      <x:c r="J908" s="14" t="n">
        <x:v>11</x:v>
      </x:c>
      <x:c r="K908" s="14" t="n">
        <x:v>6</x:v>
      </x:c>
      <x:c r="L908" s="15" t="n">
        <x:f>IF(J908=0,"해당 없음",K908/J908)</x:f>
        <x:v>0.5454545454545454</x:v>
      </x:c>
      <x:c r="M908" s="14" t="n">
        <x:v>2</x:v>
      </x:c>
      <x:c r="N908" s="14" t="n">
        <x:v>2</x:v>
      </x:c>
      <x:c r="O908" s="15" t="n">
        <x:f>IF(M908=0,"해당 없음",N908/M908)</x:f>
        <x:v>1</x:v>
      </x:c>
      <x:c r="P908" s="14" t="n">
        <x:v>105</x:v>
      </x:c>
    </x:row>
    <x:row r="909" ht="22" customHeight="1">
      <x:c r="A909" s="14" t="n">
        <x:v>452</x:v>
      </x:c>
      <x:c r="B909" s="14" t="n">
        <x:v>12</x:v>
      </x:c>
      <x:c r="C909" s="14" t="n">
        <x:v>76005</x:v>
      </x:c>
      <x:c r="D909" s="2" t="str">
        <x:v>NAVY</x:v>
      </x:c>
      <x:c r="E909" s="2" t="str">
        <x:v>0만</x:v>
      </x:c>
      <x:c r="F909" s="2" t="str">
        <x:v>200만</x:v>
      </x:c>
      <x:c r="G909" s="2" t="str">
        <x:v>패</x:v>
      </x:c>
      <x:c r="H909" s="14" t="n">
        <x:v>2</x:v>
      </x:c>
      <x:c r="I909" s="14" t="n">
        <x:v>6</x:v>
      </x:c>
      <x:c r="J909" s="14" t="n">
        <x:v>9</x:v>
      </x:c>
      <x:c r="K909" s="14" t="n">
        <x:v>2</x:v>
      </x:c>
      <x:c r="L909" s="15" t="n">
        <x:f>IF(J909=0,"해당 없음",K909/J909)</x:f>
        <x:v>0.2222222222222222</x:v>
      </x:c>
      <x:c r="M909" s="14" t="n">
        <x:v>10</x:v>
      </x:c>
      <x:c r="N909" s="14" t="n">
        <x:v>8</x:v>
      </x:c>
      <x:c r="O909" s="15" t="n">
        <x:f>IF(M909=0,"해당 없음",N909/M909)</x:f>
        <x:v>0.8</x:v>
      </x:c>
      <x:c r="P909" s="14" t="n">
        <x:v>105</x:v>
      </x:c>
    </x:row>
    <x:row r="910" ht="22" customHeight="1">
      <x:c r="A910" s="14" t="n">
        <x:v>453</x:v>
      </x:c>
      <x:c r="B910" s="14" t="n">
        <x:v>12</x:v>
      </x:c>
      <x:c r="C910" s="14" t="n">
        <x:v>76006</x:v>
      </x:c>
      <x:c r="D910" s="2" t="str">
        <x:v>RED</x:v>
      </x:c>
      <x:c r="E910" s="2" t="str">
        <x:v>0만</x:v>
      </x:c>
      <x:c r="F910" s="2" t="str">
        <x:v>200만</x:v>
      </x:c>
      <x:c r="G910" s="2" t="str">
        <x:v>패</x:v>
      </x:c>
      <x:c r="H910" s="14" t="n">
        <x:v>2</x:v>
      </x:c>
      <x:c r="I910" s="14" t="n">
        <x:v>6</x:v>
      </x:c>
      <x:c r="J910" s="14" t="n">
        <x:v>6</x:v>
      </x:c>
      <x:c r="K910" s="14" t="n">
        <x:v>2</x:v>
      </x:c>
      <x:c r="L910" s="15" t="n">
        <x:f>IF(J910=0,"해당 없음",K910/J910)</x:f>
        <x:v>0.3333333333333333</x:v>
      </x:c>
      <x:c r="M910" s="14" t="n">
        <x:v>7</x:v>
      </x:c>
      <x:c r="N910" s="14" t="n">
        <x:v>6</x:v>
      </x:c>
      <x:c r="O910" s="15" t="n">
        <x:f>IF(M910=0,"해당 없음",N910/M910)</x:f>
        <x:v>0.8571428571428571</x:v>
      </x:c>
      <x:c r="P910" s="14" t="n">
        <x:v>104</x:v>
      </x:c>
    </x:row>
    <x:row r="911" ht="22" customHeight="1">
      <x:c r="A911" s="14" t="n">
        <x:v>453</x:v>
      </x:c>
      <x:c r="B911" s="14" t="n">
        <x:v>12</x:v>
      </x:c>
      <x:c r="C911" s="14" t="n">
        <x:v>76006</x:v>
      </x:c>
      <x:c r="D911" s="2" t="str">
        <x:v>NAVY</x:v>
      </x:c>
      <x:c r="E911" s="2" t="str">
        <x:v>200만</x:v>
      </x:c>
      <x:c r="F911" s="2" t="str">
        <x:v>0만</x:v>
      </x:c>
      <x:c r="G911" s="2" t="str">
        <x:v>승</x:v>
      </x:c>
      <x:c r="H911" s="14" t="n">
        <x:v>6</x:v>
      </x:c>
      <x:c r="I911" s="14" t="n">
        <x:v>2</x:v>
      </x:c>
      <x:c r="J911" s="14" t="n">
        <x:v>13</x:v>
      </x:c>
      <x:c r="K911" s="14" t="n">
        <x:v>6</x:v>
      </x:c>
      <x:c r="L911" s="15" t="n">
        <x:f>IF(J911=0,"해당 없음",K911/J911)</x:f>
        <x:v>0.46153846153846156</x:v>
      </x:c>
      <x:c r="M911" s="14" t="n">
        <x:v>3</x:v>
      </x:c>
      <x:c r="N911" s="14" t="n">
        <x:v>3</x:v>
      </x:c>
      <x:c r="O911" s="15" t="n">
        <x:f>IF(M911=0,"해당 없음",N911/M911)</x:f>
        <x:v>1</x:v>
      </x:c>
      <x:c r="P911" s="14" t="n">
        <x:v>104</x:v>
      </x:c>
    </x:row>
    <x:row r="912" ht="22" customHeight="1">
      <x:c r="A912" s="14" t="n">
        <x:v>454</x:v>
      </x:c>
      <x:c r="B912" s="14" t="n">
        <x:v>12</x:v>
      </x:c>
      <x:c r="C912" s="14" t="n">
        <x:v>76006</x:v>
      </x:c>
      <x:c r="D912" s="2" t="str">
        <x:v>RED</x:v>
      </x:c>
      <x:c r="E912" s="2" t="str">
        <x:v>200만</x:v>
      </x:c>
      <x:c r="F912" s="2" t="str">
        <x:v>0만</x:v>
      </x:c>
      <x:c r="G912" s="2" t="str">
        <x:v>승</x:v>
      </x:c>
      <x:c r="H912" s="14" t="n">
        <x:v>5</x:v>
      </x:c>
      <x:c r="I912" s="14" t="n">
        <x:v>2</x:v>
      </x:c>
      <x:c r="J912" s="14" t="n">
        <x:v>10</x:v>
      </x:c>
      <x:c r="K912" s="14" t="n">
        <x:v>5</x:v>
      </x:c>
      <x:c r="L912" s="15" t="n">
        <x:f>IF(J912=0,"해당 없음",K912/J912)</x:f>
        <x:v>0.5</x:v>
      </x:c>
      <x:c r="M912" s="14" t="n">
        <x:v>4</x:v>
      </x:c>
      <x:c r="N912" s="14" t="n">
        <x:v>3</x:v>
      </x:c>
      <x:c r="O912" s="15" t="n">
        <x:f>IF(M912=0,"해당 없음",N912/M912)</x:f>
        <x:v>0.75</x:v>
      </x:c>
      <x:c r="P912" s="14" t="n">
        <x:v>106</x:v>
      </x:c>
    </x:row>
    <x:row r="913" ht="22" customHeight="1">
      <x:c r="A913" s="14" t="n">
        <x:v>454</x:v>
      </x:c>
      <x:c r="B913" s="14" t="n">
        <x:v>12</x:v>
      </x:c>
      <x:c r="C913" s="14" t="n">
        <x:v>76006</x:v>
      </x:c>
      <x:c r="D913" s="2" t="str">
        <x:v>NAVY</x:v>
      </x:c>
      <x:c r="E913" s="2" t="str">
        <x:v>0만</x:v>
      </x:c>
      <x:c r="F913" s="2" t="str">
        <x:v>200만</x:v>
      </x:c>
      <x:c r="G913" s="2" t="str">
        <x:v>패</x:v>
      </x:c>
      <x:c r="H913" s="14" t="n">
        <x:v>2</x:v>
      </x:c>
      <x:c r="I913" s="14" t="n">
        <x:v>5</x:v>
      </x:c>
      <x:c r="J913" s="14" t="n">
        <x:v>4</x:v>
      </x:c>
      <x:c r="K913" s="14" t="n">
        <x:v>2</x:v>
      </x:c>
      <x:c r="L913" s="15" t="n">
        <x:f>IF(J913=0,"해당 없음",K913/J913)</x:f>
        <x:v>0.5</x:v>
      </x:c>
      <x:c r="M913" s="14" t="n">
        <x:v>7</x:v>
      </x:c>
      <x:c r="N913" s="14" t="n">
        <x:v>7</x:v>
      </x:c>
      <x:c r="O913" s="15" t="n">
        <x:f>IF(M913=0,"해당 없음",N913/M913)</x:f>
        <x:v>1</x:v>
      </x:c>
      <x:c r="P913" s="14" t="n">
        <x:v>104</x:v>
      </x:c>
    </x:row>
    <x:row r="914" ht="22" customHeight="1">
      <x:c r="A914" s="14" t="n">
        <x:v>455</x:v>
      </x:c>
      <x:c r="B914" s="14" t="n">
        <x:v>12</x:v>
      </x:c>
      <x:c r="C914" s="14" t="n">
        <x:v>76007</x:v>
      </x:c>
      <x:c r="D914" s="2" t="str">
        <x:v>RED</x:v>
      </x:c>
      <x:c r="E914" s="2" t="str">
        <x:v>0만</x:v>
      </x:c>
      <x:c r="F914" s="2" t="str">
        <x:v>200만</x:v>
      </x:c>
      <x:c r="G914" s="2" t="str">
        <x:v>패</x:v>
      </x:c>
      <x:c r="H914" s="14" t="n">
        <x:v>0</x:v>
      </x:c>
      <x:c r="I914" s="14" t="n">
        <x:v>8</x:v>
      </x:c>
      <x:c r="J914" s="14" t="n">
        <x:v>2</x:v>
      </x:c>
      <x:c r="K914" s="14" t="n">
        <x:v>0</x:v>
      </x:c>
      <x:c r="L914" s="15" t="n">
        <x:f>IF(J914=0,"해당 없음",K914/J914)</x:f>
        <x:v>0</x:v>
      </x:c>
      <x:c r="M914" s="14" t="n">
        <x:v>7</x:v>
      </x:c>
      <x:c r="N914" s="14" t="n">
        <x:v>4</x:v>
      </x:c>
      <x:c r="O914" s="15" t="n">
        <x:f>IF(M914=0,"해당 없음",N914/M914)</x:f>
        <x:v>0.5714285714285714</x:v>
      </x:c>
      <x:c r="P914" s="14" t="n">
        <x:v>105</x:v>
      </x:c>
    </x:row>
    <x:row r="915" ht="22" customHeight="1">
      <x:c r="A915" s="14" t="n">
        <x:v>455</x:v>
      </x:c>
      <x:c r="B915" s="14" t="n">
        <x:v>12</x:v>
      </x:c>
      <x:c r="C915" s="14" t="n">
        <x:v>76007</x:v>
      </x:c>
      <x:c r="D915" s="2" t="str">
        <x:v>NAVY</x:v>
      </x:c>
      <x:c r="E915" s="2" t="str">
        <x:v>200만</x:v>
      </x:c>
      <x:c r="F915" s="2" t="str">
        <x:v>0만</x:v>
      </x:c>
      <x:c r="G915" s="2" t="str">
        <x:v>승</x:v>
      </x:c>
      <x:c r="H915" s="14" t="n">
        <x:v>8</x:v>
      </x:c>
      <x:c r="I915" s="14" t="n">
        <x:v>0</x:v>
      </x:c>
      <x:c r="J915" s="14" t="n">
        <x:v>23</x:v>
      </x:c>
      <x:c r="K915" s="14" t="n">
        <x:v>8</x:v>
      </x:c>
      <x:c r="L915" s="15" t="n">
        <x:f>IF(J915=0,"해당 없음",K915/J915)</x:f>
        <x:v>0.34782608695652173</x:v>
      </x:c>
      <x:c r="M915" s="14" t="n">
        <x:v>5</x:v>
      </x:c>
      <x:c r="N915" s="14" t="n">
        <x:v>4</x:v>
      </x:c>
      <x:c r="O915" s="15" t="n">
        <x:f>IF(M915=0,"해당 없음",N915/M915)</x:f>
        <x:v>0.8</x:v>
      </x:c>
      <x:c r="P915" s="14" t="n">
        <x:v>102</x:v>
      </x:c>
    </x:row>
    <x:row r="916" ht="22" customHeight="1">
      <x:c r="A916" s="14" t="n">
        <x:v>456</x:v>
      </x:c>
      <x:c r="B916" s="14" t="n">
        <x:v>12</x:v>
      </x:c>
      <x:c r="C916" s="14" t="n">
        <x:v>76007</x:v>
      </x:c>
      <x:c r="D916" s="2" t="str">
        <x:v>RED</x:v>
      </x:c>
      <x:c r="E916" s="2" t="str">
        <x:v>200만</x:v>
      </x:c>
      <x:c r="F916" s="2" t="str">
        <x:v>0만</x:v>
      </x:c>
      <x:c r="G916" s="2" t="str">
        <x:v>승</x:v>
      </x:c>
      <x:c r="H916" s="14" t="n">
        <x:v>11</x:v>
      </x:c>
      <x:c r="I916" s="14" t="n">
        <x:v>1</x:v>
      </x:c>
      <x:c r="J916" s="14" t="n">
        <x:v>15</x:v>
      </x:c>
      <x:c r="K916" s="14" t="n">
        <x:v>11</x:v>
      </x:c>
      <x:c r="L916" s="15" t="n">
        <x:f>IF(J916=0,"해당 없음",K916/J916)</x:f>
        <x:v>0.7333333333333333</x:v>
      </x:c>
      <x:c r="M916" s="14" t="n">
        <x:v>4</x:v>
      </x:c>
      <x:c r="N916" s="14" t="n">
        <x:v>3</x:v>
      </x:c>
      <x:c r="O916" s="15" t="n">
        <x:f>IF(M916=0,"해당 없음",N916/M916)</x:f>
        <x:v>0.75</x:v>
      </x:c>
      <x:c r="P916" s="14" t="n">
        <x:v>107</x:v>
      </x:c>
    </x:row>
    <x:row r="917" ht="22" customHeight="1">
      <x:c r="A917" s="14" t="n">
        <x:v>456</x:v>
      </x:c>
      <x:c r="B917" s="14" t="n">
        <x:v>12</x:v>
      </x:c>
      <x:c r="C917" s="14" t="n">
        <x:v>76007</x:v>
      </x:c>
      <x:c r="D917" s="2" t="str">
        <x:v>NAVY</x:v>
      </x:c>
      <x:c r="E917" s="2" t="str">
        <x:v>0만</x:v>
      </x:c>
      <x:c r="F917" s="2" t="str">
        <x:v>200만</x:v>
      </x:c>
      <x:c r="G917" s="2" t="str">
        <x:v>패</x:v>
      </x:c>
      <x:c r="H917" s="14" t="n">
        <x:v>1</x:v>
      </x:c>
      <x:c r="I917" s="14" t="n">
        <x:v>11</x:v>
      </x:c>
      <x:c r="J917" s="14" t="n">
        <x:v>8</x:v>
      </x:c>
      <x:c r="K917" s="14" t="n">
        <x:v>1</x:v>
      </x:c>
      <x:c r="L917" s="15" t="n">
        <x:f>IF(J917=0,"해당 없음",K917/J917)</x:f>
        <x:v>0.125</x:v>
      </x:c>
      <x:c r="M917" s="14" t="n">
        <x:v>4</x:v>
      </x:c>
      <x:c r="N917" s="14" t="n">
        <x:v>4</x:v>
      </x:c>
      <x:c r="O917" s="15" t="n">
        <x:f>IF(M917=0,"해당 없음",N917/M917)</x:f>
        <x:v>1</x:v>
      </x:c>
      <x:c r="P917" s="14" t="n">
        <x:v>107</x:v>
      </x:c>
    </x:row>
    <x:row r="918" ht="22" customHeight="1">
      <x:c r="A918" s="14" t="n">
        <x:v>457</x:v>
      </x:c>
      <x:c r="B918" s="14" t="n">
        <x:v>12</x:v>
      </x:c>
      <x:c r="C918" s="14" t="n">
        <x:v>76008</x:v>
      </x:c>
      <x:c r="D918" s="2" t="str">
        <x:v>RED</x:v>
      </x:c>
      <x:c r="E918" s="2" t="str">
        <x:v>0만</x:v>
      </x:c>
      <x:c r="F918" s="2" t="str">
        <x:v>200만</x:v>
      </x:c>
      <x:c r="G918" s="2" t="str">
        <x:v>패</x:v>
      </x:c>
      <x:c r="H918" s="14" t="n">
        <x:v>0</x:v>
      </x:c>
      <x:c r="I918" s="14" t="n">
        <x:v>8</x:v>
      </x:c>
      <x:c r="J918" s="14" t="n">
        <x:v>6</x:v>
      </x:c>
      <x:c r="K918" s="14" t="n">
        <x:v>0</x:v>
      </x:c>
      <x:c r="L918" s="15" t="n">
        <x:f>IF(J918=0,"해당 없음",K918/J918)</x:f>
        <x:v>0</x:v>
      </x:c>
      <x:c r="M918" s="14" t="n">
        <x:v>7</x:v>
      </x:c>
      <x:c r="N918" s="14" t="n">
        <x:v>4</x:v>
      </x:c>
      <x:c r="O918" s="15" t="n">
        <x:f>IF(M918=0,"해당 없음",N918/M918)</x:f>
        <x:v>0.5714285714285714</x:v>
      </x:c>
      <x:c r="P918" s="14" t="n">
        <x:v>105</x:v>
      </x:c>
    </x:row>
    <x:row r="919" ht="22" customHeight="1">
      <x:c r="A919" s="14" t="n">
        <x:v>457</x:v>
      </x:c>
      <x:c r="B919" s="14" t="n">
        <x:v>12</x:v>
      </x:c>
      <x:c r="C919" s="14" t="n">
        <x:v>76008</x:v>
      </x:c>
      <x:c r="D919" s="2" t="str">
        <x:v>NAVY</x:v>
      </x:c>
      <x:c r="E919" s="2" t="str">
        <x:v>200만</x:v>
      </x:c>
      <x:c r="F919" s="2" t="str">
        <x:v>0만</x:v>
      </x:c>
      <x:c r="G919" s="2" t="str">
        <x:v>승</x:v>
      </x:c>
      <x:c r="H919" s="14" t="n">
        <x:v>8</x:v>
      </x:c>
      <x:c r="I919" s="14" t="n">
        <x:v>0</x:v>
      </x:c>
      <x:c r="J919" s="14" t="n">
        <x:v>14</x:v>
      </x:c>
      <x:c r="K919" s="14" t="n">
        <x:v>8</x:v>
      </x:c>
      <x:c r="L919" s="15" t="n">
        <x:f>IF(J919=0,"해당 없음",K919/J919)</x:f>
        <x:v>0.5714285714285714</x:v>
      </x:c>
      <x:c r="M919" s="14" t="n">
        <x:v>13</x:v>
      </x:c>
      <x:c r="N919" s="14" t="n">
        <x:v>9</x:v>
      </x:c>
      <x:c r="O919" s="15" t="n">
        <x:f>IF(M919=0,"해당 없음",N919/M919)</x:f>
        <x:v>0.6923076923076923</x:v>
      </x:c>
      <x:c r="P919" s="14" t="n">
        <x:v>104</x:v>
      </x:c>
    </x:row>
    <x:row r="920" ht="22" customHeight="1">
      <x:c r="A920" s="14" t="n">
        <x:v>458</x:v>
      </x:c>
      <x:c r="B920" s="14" t="n">
        <x:v>12</x:v>
      </x:c>
      <x:c r="C920" s="14" t="n">
        <x:v>76008</x:v>
      </x:c>
      <x:c r="D920" s="2" t="str">
        <x:v>RED</x:v>
      </x:c>
      <x:c r="E920" s="2" t="str">
        <x:v>200만</x:v>
      </x:c>
      <x:c r="F920" s="2" t="str">
        <x:v>0만</x:v>
      </x:c>
      <x:c r="G920" s="2" t="str">
        <x:v>승</x:v>
      </x:c>
      <x:c r="H920" s="14" t="n">
        <x:v>5</x:v>
      </x:c>
      <x:c r="I920" s="14" t="n">
        <x:v>2</x:v>
      </x:c>
      <x:c r="J920" s="14" t="n">
        <x:v>13</x:v>
      </x:c>
      <x:c r="K920" s="14" t="n">
        <x:v>5</x:v>
      </x:c>
      <x:c r="L920" s="15" t="n">
        <x:f>IF(J920=0,"해당 없음",K920/J920)</x:f>
        <x:v>0.38461538461538464</x:v>
      </x:c>
      <x:c r="M920" s="14" t="n">
        <x:v>6</x:v>
      </x:c>
      <x:c r="N920" s="14" t="n">
        <x:v>5</x:v>
      </x:c>
      <x:c r="O920" s="15" t="n">
        <x:f>IF(M920=0,"해당 없음",N920/M920)</x:f>
        <x:v>0.8333333333333334</x:v>
      </x:c>
      <x:c r="P920" s="14" t="n">
        <x:v>105</x:v>
      </x:c>
    </x:row>
    <x:row r="921" ht="22" customHeight="1">
      <x:c r="A921" s="14" t="n">
        <x:v>458</x:v>
      </x:c>
      <x:c r="B921" s="14" t="n">
        <x:v>12</x:v>
      </x:c>
      <x:c r="C921" s="14" t="n">
        <x:v>76008</x:v>
      </x:c>
      <x:c r="D921" s="2" t="str">
        <x:v>NAVY</x:v>
      </x:c>
      <x:c r="E921" s="2" t="str">
        <x:v>0만</x:v>
      </x:c>
      <x:c r="F921" s="2" t="str">
        <x:v>200만</x:v>
      </x:c>
      <x:c r="G921" s="2" t="str">
        <x:v>패</x:v>
      </x:c>
      <x:c r="H921" s="14" t="n">
        <x:v>2</x:v>
      </x:c>
      <x:c r="I921" s="14" t="n">
        <x:v>5</x:v>
      </x:c>
      <x:c r="J921" s="14" t="n">
        <x:v>4</x:v>
      </x:c>
      <x:c r="K921" s="14" t="n">
        <x:v>2</x:v>
      </x:c>
      <x:c r="L921" s="15" t="n">
        <x:f>IF(J921=0,"해당 없음",K921/J921)</x:f>
        <x:v>0.5</x:v>
      </x:c>
      <x:c r="M921" s="14" t="n">
        <x:v>11</x:v>
      </x:c>
      <x:c r="N921" s="14" t="n">
        <x:v>8</x:v>
      </x:c>
      <x:c r="O921" s="15" t="n">
        <x:f>IF(M921=0,"해당 없음",N921/M921)</x:f>
        <x:v>0.7272727272727273</x:v>
      </x:c>
      <x:c r="P921" s="14" t="n">
        <x:v>105</x:v>
      </x:c>
    </x:row>
    <x:row r="922" ht="22" customHeight="1">
      <x:c r="A922" s="14" t="n">
        <x:v>459</x:v>
      </x:c>
      <x:c r="B922" s="14" t="n">
        <x:v>12</x:v>
      </x:c>
      <x:c r="C922" s="14" t="n">
        <x:v>76009</x:v>
      </x:c>
      <x:c r="D922" s="2" t="str">
        <x:v>RED</x:v>
      </x:c>
      <x:c r="E922" s="2" t="str">
        <x:v>0만</x:v>
      </x:c>
      <x:c r="F922" s="2" t="str">
        <x:v>200만</x:v>
      </x:c>
      <x:c r="G922" s="2" t="str">
        <x:v>패</x:v>
      </x:c>
      <x:c r="H922" s="14" t="n">
        <x:v>3</x:v>
      </x:c>
      <x:c r="I922" s="14" t="n">
        <x:v>6</x:v>
      </x:c>
      <x:c r="J922" s="14" t="n">
        <x:v>8</x:v>
      </x:c>
      <x:c r="K922" s="14" t="n">
        <x:v>3</x:v>
      </x:c>
      <x:c r="L922" s="15" t="n">
        <x:f>IF(J922=0,"해당 없음",K922/J922)</x:f>
        <x:v>0.375</x:v>
      </x:c>
      <x:c r="M922" s="14" t="n">
        <x:v>9</x:v>
      </x:c>
      <x:c r="N922" s="14" t="n">
        <x:v>7</x:v>
      </x:c>
      <x:c r="O922" s="15" t="n">
        <x:f>IF(M922=0,"해당 없음",N922/M922)</x:f>
        <x:v>0.7777777777777778</x:v>
      </x:c>
      <x:c r="P922" s="14" t="n">
        <x:v>104</x:v>
      </x:c>
    </x:row>
    <x:row r="923" ht="22" customHeight="1">
      <x:c r="A923" s="14" t="n">
        <x:v>459</x:v>
      </x:c>
      <x:c r="B923" s="14" t="n">
        <x:v>12</x:v>
      </x:c>
      <x:c r="C923" s="14" t="n">
        <x:v>76009</x:v>
      </x:c>
      <x:c r="D923" s="2" t="str">
        <x:v>NAVY</x:v>
      </x:c>
      <x:c r="E923" s="2" t="str">
        <x:v>200만</x:v>
      </x:c>
      <x:c r="F923" s="2" t="str">
        <x:v>0만</x:v>
      </x:c>
      <x:c r="G923" s="2" t="str">
        <x:v>승</x:v>
      </x:c>
      <x:c r="H923" s="14" t="n">
        <x:v>6</x:v>
      </x:c>
      <x:c r="I923" s="14" t="n">
        <x:v>3</x:v>
      </x:c>
      <x:c r="J923" s="14" t="n">
        <x:v>11</x:v>
      </x:c>
      <x:c r="K923" s="14" t="n">
        <x:v>5</x:v>
      </x:c>
      <x:c r="L923" s="15" t="n">
        <x:f>IF(J923=0,"해당 없음",K923/J923)</x:f>
        <x:v>0.45454545454545453</x:v>
      </x:c>
      <x:c r="M923" s="14" t="n">
        <x:v>6</x:v>
      </x:c>
      <x:c r="N923" s="14" t="n">
        <x:v>4</x:v>
      </x:c>
      <x:c r="O923" s="15" t="n">
        <x:f>IF(M923=0,"해당 없음",N923/M923)</x:f>
        <x:v>0.6666666666666666</x:v>
      </x:c>
      <x:c r="P923" s="14" t="n">
        <x:v>104</x:v>
      </x:c>
    </x:row>
    <x:row r="924" ht="22" customHeight="1">
      <x:c r="A924" s="14" t="n">
        <x:v>460</x:v>
      </x:c>
      <x:c r="B924" s="14" t="n">
        <x:v>12</x:v>
      </x:c>
      <x:c r="C924" s="14" t="n">
        <x:v>76009</x:v>
      </x:c>
      <x:c r="D924" s="2" t="str">
        <x:v>RED</x:v>
      </x:c>
      <x:c r="E924" s="2" t="str">
        <x:v>200만</x:v>
      </x:c>
      <x:c r="F924" s="2" t="str">
        <x:v>0만</x:v>
      </x:c>
      <x:c r="G924" s="2" t="str">
        <x:v>무</x:v>
      </x:c>
      <x:c r="H924" s="14" t="n">
        <x:v>2</x:v>
      </x:c>
      <x:c r="I924" s="14" t="n">
        <x:v>2</x:v>
      </x:c>
      <x:c r="J924" s="14" t="n">
        <x:v>11</x:v>
      </x:c>
      <x:c r="K924" s="14" t="n">
        <x:v>2</x:v>
      </x:c>
      <x:c r="L924" s="15" t="n">
        <x:f>IF(J924=0,"해당 없음",K924/J924)</x:f>
        <x:v>0.18181818181818182</x:v>
      </x:c>
      <x:c r="M924" s="14" t="n">
        <x:v>8</x:v>
      </x:c>
      <x:c r="N924" s="14" t="n">
        <x:v>6</x:v>
      </x:c>
      <x:c r="O924" s="15" t="n">
        <x:f>IF(M924=0,"해당 없음",N924/M924)</x:f>
        <x:v>0.75</x:v>
      </x:c>
      <x:c r="P924" s="14" t="n">
        <x:v>102</x:v>
      </x:c>
    </x:row>
    <x:row r="925" ht="22" customHeight="1">
      <x:c r="A925" s="14" t="n">
        <x:v>460</x:v>
      </x:c>
      <x:c r="B925" s="14" t="n">
        <x:v>12</x:v>
      </x:c>
      <x:c r="C925" s="14" t="n">
        <x:v>76009</x:v>
      </x:c>
      <x:c r="D925" s="2" t="str">
        <x:v>NAVY</x:v>
      </x:c>
      <x:c r="E925" s="2" t="str">
        <x:v>0만</x:v>
      </x:c>
      <x:c r="F925" s="2" t="str">
        <x:v>200만</x:v>
      </x:c>
      <x:c r="G925" s="2" t="str">
        <x:v>무</x:v>
      </x:c>
      <x:c r="H925" s="14" t="n">
        <x:v>2</x:v>
      </x:c>
      <x:c r="I925" s="14" t="n">
        <x:v>2</x:v>
      </x:c>
      <x:c r="J925" s="14" t="n">
        <x:v>8</x:v>
      </x:c>
      <x:c r="K925" s="14" t="n">
        <x:v>2</x:v>
      </x:c>
      <x:c r="L925" s="15" t="n">
        <x:f>IF(J925=0,"해당 없음",K925/J925)</x:f>
        <x:v>0.25</x:v>
      </x:c>
      <x:c r="M925" s="14" t="n">
        <x:v>9</x:v>
      </x:c>
      <x:c r="N925" s="14" t="n">
        <x:v>8</x:v>
      </x:c>
      <x:c r="O925" s="15" t="n">
        <x:f>IF(M925=0,"해당 없음",N925/M925)</x:f>
        <x:v>0.8888888888888888</x:v>
      </x:c>
      <x:c r="P925" s="14" t="n">
        <x:v>102</x:v>
      </x:c>
    </x:row>
    <x:row r="926" ht="22" customHeight="1">
      <x:c r="A926" s="14" t="n">
        <x:v>461</x:v>
      </x:c>
      <x:c r="B926" s="14" t="n">
        <x:v>12</x:v>
      </x:c>
      <x:c r="C926" s="14" t="n">
        <x:v>76010</x:v>
      </x:c>
      <x:c r="D926" s="2" t="str">
        <x:v>RED</x:v>
      </x:c>
      <x:c r="E926" s="2" t="str">
        <x:v>0만</x:v>
      </x:c>
      <x:c r="F926" s="2" t="str">
        <x:v>200만</x:v>
      </x:c>
      <x:c r="G926" s="2" t="str">
        <x:v>패</x:v>
      </x:c>
      <x:c r="H926" s="14" t="n">
        <x:v>1</x:v>
      </x:c>
      <x:c r="I926" s="14" t="n">
        <x:v>5</x:v>
      </x:c>
      <x:c r="J926" s="14" t="n">
        <x:v>4</x:v>
      </x:c>
      <x:c r="K926" s="14" t="n">
        <x:v>0</x:v>
      </x:c>
      <x:c r="L926" s="15" t="n">
        <x:f>IF(J926=0,"해당 없음",K926/J926)</x:f>
        <x:v>0</x:v>
      </x:c>
      <x:c r="M926" s="14" t="n">
        <x:v>3</x:v>
      </x:c>
      <x:c r="N926" s="14" t="n">
        <x:v>3</x:v>
      </x:c>
      <x:c r="O926" s="15" t="n">
        <x:f>IF(M926=0,"해당 없음",N926/M926)</x:f>
        <x:v>1</x:v>
      </x:c>
      <x:c r="P926" s="14" t="n">
        <x:v>104</x:v>
      </x:c>
    </x:row>
    <x:row r="927" ht="22" customHeight="1">
      <x:c r="A927" s="14" t="n">
        <x:v>461</x:v>
      </x:c>
      <x:c r="B927" s="14" t="n">
        <x:v>12</x:v>
      </x:c>
      <x:c r="C927" s="14" t="n">
        <x:v>76010</x:v>
      </x:c>
      <x:c r="D927" s="2" t="str">
        <x:v>NAVY</x:v>
      </x:c>
      <x:c r="E927" s="2" t="str">
        <x:v>200만</x:v>
      </x:c>
      <x:c r="F927" s="2" t="str">
        <x:v>0만</x:v>
      </x:c>
      <x:c r="G927" s="2" t="str">
        <x:v>승</x:v>
      </x:c>
      <x:c r="H927" s="14" t="n">
        <x:v>5</x:v>
      </x:c>
      <x:c r="I927" s="14" t="n">
        <x:v>1</x:v>
      </x:c>
      <x:c r="J927" s="14" t="n">
        <x:v>9</x:v>
      </x:c>
      <x:c r="K927" s="14" t="n">
        <x:v>5</x:v>
      </x:c>
      <x:c r="L927" s="15" t="n">
        <x:f>IF(J927=0,"해당 없음",K927/J927)</x:f>
        <x:v>0.5555555555555556</x:v>
      </x:c>
      <x:c r="M927" s="14" t="n">
        <x:v>7</x:v>
      </x:c>
      <x:c r="N927" s="14" t="n">
        <x:v>4</x:v>
      </x:c>
      <x:c r="O927" s="15" t="n">
        <x:f>IF(M927=0,"해당 없음",N927/M927)</x:f>
        <x:v>0.5714285714285714</x:v>
      </x:c>
      <x:c r="P927" s="14" t="n">
        <x:v>103</x:v>
      </x:c>
    </x:row>
    <x:row r="928" ht="22" customHeight="1">
      <x:c r="A928" s="14" t="n">
        <x:v>462</x:v>
      </x:c>
      <x:c r="B928" s="14" t="n">
        <x:v>12</x:v>
      </x:c>
      <x:c r="C928" s="14" t="n">
        <x:v>76010</x:v>
      </x:c>
      <x:c r="D928" s="2" t="str">
        <x:v>RED</x:v>
      </x:c>
      <x:c r="E928" s="2" t="str">
        <x:v>200만</x:v>
      </x:c>
      <x:c r="F928" s="2" t="str">
        <x:v>0만</x:v>
      </x:c>
      <x:c r="G928" s="2" t="str">
        <x:v>승</x:v>
      </x:c>
      <x:c r="H928" s="14" t="n">
        <x:v>6</x:v>
      </x:c>
      <x:c r="I928" s="14" t="n">
        <x:v>1</x:v>
      </x:c>
      <x:c r="J928" s="14" t="n">
        <x:v>15</x:v>
      </x:c>
      <x:c r="K928" s="14" t="n">
        <x:v>6</x:v>
      </x:c>
      <x:c r="L928" s="15" t="n">
        <x:f>IF(J928=0,"해당 없음",K928/J928)</x:f>
        <x:v>0.4</x:v>
      </x:c>
      <x:c r="M928" s="14" t="n">
        <x:v>8</x:v>
      </x:c>
      <x:c r="N928" s="14" t="n">
        <x:v>4</x:v>
      </x:c>
      <x:c r="O928" s="15" t="n">
        <x:f>IF(M928=0,"해당 없음",N928/M928)</x:f>
        <x:v>0.5</x:v>
      </x:c>
      <x:c r="P928" s="14" t="n">
        <x:v>105</x:v>
      </x:c>
    </x:row>
    <x:row r="929" ht="22" customHeight="1">
      <x:c r="A929" s="14" t="n">
        <x:v>462</x:v>
      </x:c>
      <x:c r="B929" s="14" t="n">
        <x:v>12</x:v>
      </x:c>
      <x:c r="C929" s="14" t="n">
        <x:v>76010</x:v>
      </x:c>
      <x:c r="D929" s="2" t="str">
        <x:v>NAVY</x:v>
      </x:c>
      <x:c r="E929" s="2" t="str">
        <x:v>0만</x:v>
      </x:c>
      <x:c r="F929" s="2" t="str">
        <x:v>200만</x:v>
      </x:c>
      <x:c r="G929" s="2" t="str">
        <x:v>패</x:v>
      </x:c>
      <x:c r="H929" s="14" t="n">
        <x:v>1</x:v>
      </x:c>
      <x:c r="I929" s="14" t="n">
        <x:v>6</x:v>
      </x:c>
      <x:c r="J929" s="14" t="n">
        <x:v>5</x:v>
      </x:c>
      <x:c r="K929" s="14" t="n">
        <x:v>1</x:v>
      </x:c>
      <x:c r="L929" s="15" t="n">
        <x:f>IF(J929=0,"해당 없음",K929/J929)</x:f>
        <x:v>0.2</x:v>
      </x:c>
      <x:c r="M929" s="14" t="n">
        <x:v>10</x:v>
      </x:c>
      <x:c r="N929" s="14" t="n">
        <x:v>6</x:v>
      </x:c>
      <x:c r="O929" s="15" t="n">
        <x:f>IF(M929=0,"해당 없음",N929/M929)</x:f>
        <x:v>0.6</x:v>
      </x:c>
      <x:c r="P929" s="14" t="n">
        <x:v>104</x:v>
      </x:c>
    </x:row>
    <x:row r="930" ht="22" customHeight="1">
      <x:c r="A930" s="14" t="n">
        <x:v>463</x:v>
      </x:c>
      <x:c r="B930" s="14" t="n">
        <x:v>12</x:v>
      </x:c>
      <x:c r="C930" s="14" t="n">
        <x:v>76011</x:v>
      </x:c>
      <x:c r="D930" s="2" t="str">
        <x:v>RED</x:v>
      </x:c>
      <x:c r="E930" s="2" t="str">
        <x:v>0만</x:v>
      </x:c>
      <x:c r="F930" s="2" t="str">
        <x:v>200만</x:v>
      </x:c>
      <x:c r="G930" s="2" t="str">
        <x:v>패</x:v>
      </x:c>
      <x:c r="H930" s="14" t="n">
        <x:v>1</x:v>
      </x:c>
      <x:c r="I930" s="14" t="n">
        <x:v>7</x:v>
      </x:c>
      <x:c r="J930" s="14" t="n">
        <x:v>4</x:v>
      </x:c>
      <x:c r="K930" s="14" t="n">
        <x:v>1</x:v>
      </x:c>
      <x:c r="L930" s="15" t="n">
        <x:f>IF(J930=0,"해당 없음",K930/J930)</x:f>
        <x:v>0.25</x:v>
      </x:c>
      <x:c r="M930" s="14" t="n">
        <x:v>13</x:v>
      </x:c>
      <x:c r="N930" s="14" t="n">
        <x:v>12</x:v>
      </x:c>
      <x:c r="O930" s="15" t="n">
        <x:f>IF(M930=0,"해당 없음",N930/M930)</x:f>
        <x:v>0.9230769230769231</x:v>
      </x:c>
      <x:c r="P930" s="14" t="n">
        <x:v>105</x:v>
      </x:c>
    </x:row>
    <x:row r="931" ht="22" customHeight="1">
      <x:c r="A931" s="14" t="n">
        <x:v>463</x:v>
      </x:c>
      <x:c r="B931" s="14" t="n">
        <x:v>12</x:v>
      </x:c>
      <x:c r="C931" s="14" t="n">
        <x:v>76011</x:v>
      </x:c>
      <x:c r="D931" s="2" t="str">
        <x:v>NAVY</x:v>
      </x:c>
      <x:c r="E931" s="2" t="str">
        <x:v>200만</x:v>
      </x:c>
      <x:c r="F931" s="2" t="str">
        <x:v>0만</x:v>
      </x:c>
      <x:c r="G931" s="2" t="str">
        <x:v>승</x:v>
      </x:c>
      <x:c r="H931" s="14" t="n">
        <x:v>7</x:v>
      </x:c>
      <x:c r="I931" s="14" t="n">
        <x:v>1</x:v>
      </x:c>
      <x:c r="J931" s="14" t="n">
        <x:v>13</x:v>
      </x:c>
      <x:c r="K931" s="14" t="n">
        <x:v>7</x:v>
      </x:c>
      <x:c r="L931" s="15" t="n">
        <x:f>IF(J931=0,"해당 없음",K931/J931)</x:f>
        <x:v>0.5384615384615384</x:v>
      </x:c>
      <x:c r="M931" s="14" t="n">
        <x:v>9</x:v>
      </x:c>
      <x:c r="N931" s="14" t="n">
        <x:v>6</x:v>
      </x:c>
      <x:c r="O931" s="15" t="n">
        <x:f>IF(M931=0,"해당 없음",N931/M931)</x:f>
        <x:v>0.6666666666666666</x:v>
      </x:c>
      <x:c r="P931" s="14" t="n">
        <x:v>104</x:v>
      </x:c>
    </x:row>
    <x:row r="932" ht="22" customHeight="1">
      <x:c r="A932" s="14" t="n">
        <x:v>464</x:v>
      </x:c>
      <x:c r="B932" s="14" t="n">
        <x:v>12</x:v>
      </x:c>
      <x:c r="C932" s="14" t="n">
        <x:v>76011</x:v>
      </x:c>
      <x:c r="D932" s="2" t="str">
        <x:v>RED</x:v>
      </x:c>
      <x:c r="E932" s="2" t="str">
        <x:v>200만</x:v>
      </x:c>
      <x:c r="F932" s="2" t="str">
        <x:v>0만</x:v>
      </x:c>
      <x:c r="G932" s="2" t="str">
        <x:v>승</x:v>
      </x:c>
      <x:c r="H932" s="14" t="n">
        <x:v>6</x:v>
      </x:c>
      <x:c r="I932" s="14" t="n">
        <x:v>2</x:v>
      </x:c>
      <x:c r="J932" s="14" t="n">
        <x:v>12</x:v>
      </x:c>
      <x:c r="K932" s="14" t="n">
        <x:v>6</x:v>
      </x:c>
      <x:c r="L932" s="15" t="n">
        <x:f>IF(J932=0,"해당 없음",K932/J932)</x:f>
        <x:v>0.5</x:v>
      </x:c>
      <x:c r="M932" s="14" t="n">
        <x:v>7</x:v>
      </x:c>
      <x:c r="N932" s="14" t="n">
        <x:v>5</x:v>
      </x:c>
      <x:c r="O932" s="15" t="n">
        <x:f>IF(M932=0,"해당 없음",N932/M932)</x:f>
        <x:v>0.7142857142857143</x:v>
      </x:c>
      <x:c r="P932" s="14" t="n">
        <x:v>105</x:v>
      </x:c>
    </x:row>
    <x:row r="933" ht="22" customHeight="1">
      <x:c r="A933" s="14" t="n">
        <x:v>464</x:v>
      </x:c>
      <x:c r="B933" s="14" t="n">
        <x:v>12</x:v>
      </x:c>
      <x:c r="C933" s="14" t="n">
        <x:v>76011</x:v>
      </x:c>
      <x:c r="D933" s="2" t="str">
        <x:v>NAVY</x:v>
      </x:c>
      <x:c r="E933" s="2" t="str">
        <x:v>0만</x:v>
      </x:c>
      <x:c r="F933" s="2" t="str">
        <x:v>200만</x:v>
      </x:c>
      <x:c r="G933" s="2" t="str">
        <x:v>패</x:v>
      </x:c>
      <x:c r="H933" s="14" t="n">
        <x:v>2</x:v>
      </x:c>
      <x:c r="I933" s="14" t="n">
        <x:v>6</x:v>
      </x:c>
      <x:c r="J933" s="14" t="n">
        <x:v>8</x:v>
      </x:c>
      <x:c r="K933" s="14" t="n">
        <x:v>2</x:v>
      </x:c>
      <x:c r="L933" s="15" t="n">
        <x:f>IF(J933=0,"해당 없음",K933/J933)</x:f>
        <x:v>0.25</x:v>
      </x:c>
      <x:c r="M933" s="14" t="n">
        <x:v>11</x:v>
      </x:c>
      <x:c r="N933" s="14" t="n">
        <x:v>10</x:v>
      </x:c>
      <x:c r="O933" s="15" t="n">
        <x:f>IF(M933=0,"해당 없음",N933/M933)</x:f>
        <x:v>0.9090909090909091</x:v>
      </x:c>
      <x:c r="P933" s="14" t="n">
        <x:v>104</x:v>
      </x:c>
    </x:row>
    <x:row r="934" ht="22" customHeight="1">
      <x:c r="A934" s="14" t="n">
        <x:v>465</x:v>
      </x:c>
      <x:c r="B934" s="14" t="n">
        <x:v>12</x:v>
      </x:c>
      <x:c r="C934" s="14" t="n">
        <x:v>76012</x:v>
      </x:c>
      <x:c r="D934" s="2" t="str">
        <x:v>RED</x:v>
      </x:c>
      <x:c r="E934" s="2" t="str">
        <x:v>0만</x:v>
      </x:c>
      <x:c r="F934" s="2" t="str">
        <x:v>200만</x:v>
      </x:c>
      <x:c r="G934" s="2" t="str">
        <x:v>승</x:v>
      </x:c>
      <x:c r="H934" s="14" t="n">
        <x:v>3</x:v>
      </x:c>
      <x:c r="I934" s="14" t="n">
        <x:v>2</x:v>
      </x:c>
      <x:c r="J934" s="14" t="n">
        <x:v>5</x:v>
      </x:c>
      <x:c r="K934" s="14" t="n">
        <x:v>3</x:v>
      </x:c>
      <x:c r="L934" s="15" t="n">
        <x:f>IF(J934=0,"해당 없음",K934/J934)</x:f>
        <x:v>0.6</x:v>
      </x:c>
      <x:c r="M934" s="14" t="n">
        <x:v>8</x:v>
      </x:c>
      <x:c r="N934" s="14" t="n">
        <x:v>6</x:v>
      </x:c>
      <x:c r="O934" s="15" t="n">
        <x:f>IF(M934=0,"해당 없음",N934/M934)</x:f>
        <x:v>0.75</x:v>
      </x:c>
      <x:c r="P934" s="14" t="n">
        <x:v>103</x:v>
      </x:c>
    </x:row>
    <x:row r="935" ht="22" customHeight="1">
      <x:c r="A935" s="14" t="n">
        <x:v>465</x:v>
      </x:c>
      <x:c r="B935" s="14" t="n">
        <x:v>12</x:v>
      </x:c>
      <x:c r="C935" s="14" t="n">
        <x:v>76012</x:v>
      </x:c>
      <x:c r="D935" s="2" t="str">
        <x:v>NAVY</x:v>
      </x:c>
      <x:c r="E935" s="2" t="str">
        <x:v>200만</x:v>
      </x:c>
      <x:c r="F935" s="2" t="str">
        <x:v>0만</x:v>
      </x:c>
      <x:c r="G935" s="2" t="str">
        <x:v>패</x:v>
      </x:c>
      <x:c r="H935" s="14" t="n">
        <x:v>2</x:v>
      </x:c>
      <x:c r="I935" s="14" t="n">
        <x:v>3</x:v>
      </x:c>
      <x:c r="J935" s="14" t="n">
        <x:v>12</x:v>
      </x:c>
      <x:c r="K935" s="14" t="n">
        <x:v>2</x:v>
      </x:c>
      <x:c r="L935" s="15" t="n">
        <x:f>IF(J935=0,"해당 없음",K935/J935)</x:f>
        <x:v>0.16666666666666666</x:v>
      </x:c>
      <x:c r="M935" s="14" t="n">
        <x:v>4</x:v>
      </x:c>
      <x:c r="N935" s="14" t="n">
        <x:v>3</x:v>
      </x:c>
      <x:c r="O935" s="15" t="n">
        <x:f>IF(M935=0,"해당 없음",N935/M935)</x:f>
        <x:v>0.75</x:v>
      </x:c>
      <x:c r="P935" s="14" t="n">
        <x:v>105</x:v>
      </x:c>
    </x:row>
    <x:row r="936" ht="22" customHeight="1">
      <x:c r="A936" s="14" t="n">
        <x:v>466</x:v>
      </x:c>
      <x:c r="B936" s="14" t="n">
        <x:v>12</x:v>
      </x:c>
      <x:c r="C936" s="14" t="n">
        <x:v>76012</x:v>
      </x:c>
      <x:c r="D936" s="2" t="str">
        <x:v>RED</x:v>
      </x:c>
      <x:c r="E936" s="2" t="str">
        <x:v>200만</x:v>
      </x:c>
      <x:c r="F936" s="2" t="str">
        <x:v>0만</x:v>
      </x:c>
      <x:c r="G936" s="2" t="str">
        <x:v>승</x:v>
      </x:c>
      <x:c r="H936" s="14" t="n">
        <x:v>3</x:v>
      </x:c>
      <x:c r="I936" s="14" t="n">
        <x:v>2</x:v>
      </x:c>
      <x:c r="J936" s="14" t="n">
        <x:v>8</x:v>
      </x:c>
      <x:c r="K936" s="14" t="n">
        <x:v>3</x:v>
      </x:c>
      <x:c r="L936" s="15" t="n">
        <x:f>IF(J936=0,"해당 없음",K936/J936)</x:f>
        <x:v>0.375</x:v>
      </x:c>
      <x:c r="M936" s="14" t="n">
        <x:v>5</x:v>
      </x:c>
      <x:c r="N936" s="14" t="n">
        <x:v>5</x:v>
      </x:c>
      <x:c r="O936" s="15" t="n">
        <x:f>IF(M936=0,"해당 없음",N936/M936)</x:f>
        <x:v>1</x:v>
      </x:c>
      <x:c r="P936" s="14" t="n">
        <x:v>102</x:v>
      </x:c>
    </x:row>
    <x:row r="937" ht="22" customHeight="1">
      <x:c r="A937" s="14" t="n">
        <x:v>466</x:v>
      </x:c>
      <x:c r="B937" s="14" t="n">
        <x:v>12</x:v>
      </x:c>
      <x:c r="C937" s="14" t="n">
        <x:v>76012</x:v>
      </x:c>
      <x:c r="D937" s="2" t="str">
        <x:v>NAVY</x:v>
      </x:c>
      <x:c r="E937" s="2" t="str">
        <x:v>0만</x:v>
      </x:c>
      <x:c r="F937" s="2" t="str">
        <x:v>200만</x:v>
      </x:c>
      <x:c r="G937" s="2" t="str">
        <x:v>패</x:v>
      </x:c>
      <x:c r="H937" s="14" t="n">
        <x:v>2</x:v>
      </x:c>
      <x:c r="I937" s="14" t="n">
        <x:v>3</x:v>
      </x:c>
      <x:c r="J937" s="14" t="n">
        <x:v>6</x:v>
      </x:c>
      <x:c r="K937" s="14" t="n">
        <x:v>2</x:v>
      </x:c>
      <x:c r="L937" s="15" t="n">
        <x:f>IF(J937=0,"해당 없음",K937/J937)</x:f>
        <x:v>0.3333333333333333</x:v>
      </x:c>
      <x:c r="M937" s="14" t="n">
        <x:v>6</x:v>
      </x:c>
      <x:c r="N937" s="14" t="n">
        <x:v>6</x:v>
      </x:c>
      <x:c r="O937" s="15" t="n">
        <x:f>IF(M937=0,"해당 없음",N937/M937)</x:f>
        <x:v>1</x:v>
      </x:c>
      <x:c r="P937" s="14" t="n">
        <x:v>103</x:v>
      </x:c>
    </x:row>
    <x:row r="938" ht="22" customHeight="1">
      <x:c r="A938" s="14" t="n">
        <x:v>467</x:v>
      </x:c>
      <x:c r="B938" s="14" t="n">
        <x:v>12</x:v>
      </x:c>
      <x:c r="C938" s="14" t="n">
        <x:v>76013</x:v>
      </x:c>
      <x:c r="D938" s="2" t="str">
        <x:v>RED</x:v>
      </x:c>
      <x:c r="E938" s="2" t="str">
        <x:v>0만</x:v>
      </x:c>
      <x:c r="F938" s="2" t="str">
        <x:v>200만</x:v>
      </x:c>
      <x:c r="G938" s="2" t="str">
        <x:v>패</x:v>
      </x:c>
      <x:c r="H938" s="14" t="n">
        <x:v>2</x:v>
      </x:c>
      <x:c r="I938" s="14" t="n">
        <x:v>6</x:v>
      </x:c>
      <x:c r="J938" s="14" t="n">
        <x:v>10</x:v>
      </x:c>
      <x:c r="K938" s="14" t="n">
        <x:v>2</x:v>
      </x:c>
      <x:c r="L938" s="15" t="n">
        <x:f>IF(J938=0,"해당 없음",K938/J938)</x:f>
        <x:v>0.2</x:v>
      </x:c>
      <x:c r="M938" s="14" t="n">
        <x:v>6</x:v>
      </x:c>
      <x:c r="N938" s="14" t="n">
        <x:v>6</x:v>
      </x:c>
      <x:c r="O938" s="15" t="n">
        <x:f>IF(M938=0,"해당 없음",N938/M938)</x:f>
        <x:v>1</x:v>
      </x:c>
      <x:c r="P938" s="14" t="n">
        <x:v>104</x:v>
      </x:c>
    </x:row>
    <x:row r="939" ht="22" customHeight="1">
      <x:c r="A939" s="14" t="n">
        <x:v>467</x:v>
      </x:c>
      <x:c r="B939" s="14" t="n">
        <x:v>12</x:v>
      </x:c>
      <x:c r="C939" s="14" t="n">
        <x:v>76013</x:v>
      </x:c>
      <x:c r="D939" s="2" t="str">
        <x:v>NAVY</x:v>
      </x:c>
      <x:c r="E939" s="2" t="str">
        <x:v>200만</x:v>
      </x:c>
      <x:c r="F939" s="2" t="str">
        <x:v>0만</x:v>
      </x:c>
      <x:c r="G939" s="2" t="str">
        <x:v>승</x:v>
      </x:c>
      <x:c r="H939" s="14" t="n">
        <x:v>6</x:v>
      </x:c>
      <x:c r="I939" s="14" t="n">
        <x:v>2</x:v>
      </x:c>
      <x:c r="J939" s="14" t="n">
        <x:v>11</x:v>
      </x:c>
      <x:c r="K939" s="14" t="n">
        <x:v>6</x:v>
      </x:c>
      <x:c r="L939" s="15" t="n">
        <x:f>IF(J939=0,"해당 없음",K939/J939)</x:f>
        <x:v>0.5454545454545454</x:v>
      </x:c>
      <x:c r="M939" s="14" t="n">
        <x:v>9</x:v>
      </x:c>
      <x:c r="N939" s="14" t="n">
        <x:v>7</x:v>
      </x:c>
      <x:c r="O939" s="15" t="n">
        <x:f>IF(M939=0,"해당 없음",N939/M939)</x:f>
        <x:v>0.7777777777777778</x:v>
      </x:c>
      <x:c r="P939" s="14" t="n">
        <x:v>105</x:v>
      </x:c>
    </x:row>
    <x:row r="940" ht="22" customHeight="1">
      <x:c r="A940" s="14" t="n">
        <x:v>468</x:v>
      </x:c>
      <x:c r="B940" s="14" t="n">
        <x:v>12</x:v>
      </x:c>
      <x:c r="C940" s="14" t="n">
        <x:v>76013</x:v>
      </x:c>
      <x:c r="D940" s="2" t="str">
        <x:v>RED</x:v>
      </x:c>
      <x:c r="E940" s="2" t="str">
        <x:v>200만</x:v>
      </x:c>
      <x:c r="F940" s="2" t="str">
        <x:v>0만</x:v>
      </x:c>
      <x:c r="G940" s="2" t="str">
        <x:v>승</x:v>
      </x:c>
      <x:c r="H940" s="14" t="n">
        <x:v>4</x:v>
      </x:c>
      <x:c r="I940" s="14" t="n">
        <x:v>1</x:v>
      </x:c>
      <x:c r="J940" s="14" t="n">
        <x:v>12</x:v>
      </x:c>
      <x:c r="K940" s="14" t="n">
        <x:v>4</x:v>
      </x:c>
      <x:c r="L940" s="15" t="n">
        <x:f>IF(J940=0,"해당 없음",K940/J940)</x:f>
        <x:v>0.3333333333333333</x:v>
      </x:c>
      <x:c r="M940" s="14" t="n">
        <x:v>8</x:v>
      </x:c>
      <x:c r="N940" s="14" t="n">
        <x:v>6</x:v>
      </x:c>
      <x:c r="O940" s="15" t="n">
        <x:f>IF(M940=0,"해당 없음",N940/M940)</x:f>
        <x:v>0.75</x:v>
      </x:c>
      <x:c r="P940" s="14" t="n">
        <x:v>103</x:v>
      </x:c>
    </x:row>
    <x:row r="941" ht="22" customHeight="1">
      <x:c r="A941" s="14" t="n">
        <x:v>468</x:v>
      </x:c>
      <x:c r="B941" s="14" t="n">
        <x:v>12</x:v>
      </x:c>
      <x:c r="C941" s="14" t="n">
        <x:v>76013</x:v>
      </x:c>
      <x:c r="D941" s="2" t="str">
        <x:v>NAVY</x:v>
      </x:c>
      <x:c r="E941" s="2" t="str">
        <x:v>0만</x:v>
      </x:c>
      <x:c r="F941" s="2" t="str">
        <x:v>200만</x:v>
      </x:c>
      <x:c r="G941" s="2" t="str">
        <x:v>패</x:v>
      </x:c>
      <x:c r="H941" s="14" t="n">
        <x:v>1</x:v>
      </x:c>
      <x:c r="I941" s="14" t="n">
        <x:v>4</x:v>
      </x:c>
      <x:c r="J941" s="14" t="n">
        <x:v>7</x:v>
      </x:c>
      <x:c r="K941" s="14" t="n">
        <x:v>1</x:v>
      </x:c>
      <x:c r="L941" s="15" t="n">
        <x:f>IF(J941=0,"해당 없음",K941/J941)</x:f>
        <x:v>0.14285714285714285</x:v>
      </x:c>
      <x:c r="M941" s="14" t="n">
        <x:v>7</x:v>
      </x:c>
      <x:c r="N941" s="14" t="n">
        <x:v>6</x:v>
      </x:c>
      <x:c r="O941" s="15" t="n">
        <x:f>IF(M941=0,"해당 없음",N941/M941)</x:f>
        <x:v>0.8571428571428571</x:v>
      </x:c>
      <x:c r="P941" s="14" t="n">
        <x:v>102</x:v>
      </x:c>
    </x:row>
    <x:row r="942" ht="22" customHeight="1">
      <x:c r="A942" s="14" t="n">
        <x:v>469</x:v>
      </x:c>
      <x:c r="B942" s="14" t="n">
        <x:v>12</x:v>
      </x:c>
      <x:c r="C942" s="14" t="n">
        <x:v>76014</x:v>
      </x:c>
      <x:c r="D942" s="2" t="str">
        <x:v>RED</x:v>
      </x:c>
      <x:c r="E942" s="2" t="str">
        <x:v>0만</x:v>
      </x:c>
      <x:c r="F942" s="2" t="str">
        <x:v>200만</x:v>
      </x:c>
      <x:c r="G942" s="2" t="str">
        <x:v>패</x:v>
      </x:c>
      <x:c r="H942" s="14" t="n">
        <x:v>1</x:v>
      </x:c>
      <x:c r="I942" s="14" t="n">
        <x:v>10</x:v>
      </x:c>
      <x:c r="J942" s="14" t="n">
        <x:v>5</x:v>
      </x:c>
      <x:c r="K942" s="14" t="n">
        <x:v>1</x:v>
      </x:c>
      <x:c r="L942" s="15" t="n">
        <x:f>IF(J942=0,"해당 없음",K942/J942)</x:f>
        <x:v>0.2</x:v>
      </x:c>
      <x:c r="M942" s="14" t="n">
        <x:v>2</x:v>
      </x:c>
      <x:c r="N942" s="14" t="n">
        <x:v>2</x:v>
      </x:c>
      <x:c r="O942" s="15" t="n">
        <x:f>IF(M942=0,"해당 없음",N942/M942)</x:f>
        <x:v>1</x:v>
      </x:c>
      <x:c r="P942" s="14" t="n">
        <x:v>106</x:v>
      </x:c>
    </x:row>
    <x:row r="943" ht="22" customHeight="1">
      <x:c r="A943" s="14" t="n">
        <x:v>469</x:v>
      </x:c>
      <x:c r="B943" s="14" t="n">
        <x:v>12</x:v>
      </x:c>
      <x:c r="C943" s="14" t="n">
        <x:v>76014</x:v>
      </x:c>
      <x:c r="D943" s="2" t="str">
        <x:v>NAVY</x:v>
      </x:c>
      <x:c r="E943" s="2" t="str">
        <x:v>200만</x:v>
      </x:c>
      <x:c r="F943" s="2" t="str">
        <x:v>0만</x:v>
      </x:c>
      <x:c r="G943" s="2" t="str">
        <x:v>승</x:v>
      </x:c>
      <x:c r="H943" s="14" t="n">
        <x:v>10</x:v>
      </x:c>
      <x:c r="I943" s="14" t="n">
        <x:v>1</x:v>
      </x:c>
      <x:c r="J943" s="14" t="n">
        <x:v>17</x:v>
      </x:c>
      <x:c r="K943" s="14" t="n">
        <x:v>10</x:v>
      </x:c>
      <x:c r="L943" s="15" t="n">
        <x:f>IF(J943=0,"해당 없음",K943/J943)</x:f>
        <x:v>0.5882352941176471</x:v>
      </x:c>
      <x:c r="M943" s="14" t="n">
        <x:v>7</x:v>
      </x:c>
      <x:c r="N943" s="14" t="n">
        <x:v>7</x:v>
      </x:c>
      <x:c r="O943" s="15" t="n">
        <x:f>IF(M943=0,"해당 없음",N943/M943)</x:f>
        <x:v>1</x:v>
      </x:c>
      <x:c r="P943" s="14" t="n">
        <x:v>104</x:v>
      </x:c>
    </x:row>
    <x:row r="944" ht="22" customHeight="1">
      <x:c r="A944" s="14" t="n">
        <x:v>470</x:v>
      </x:c>
      <x:c r="B944" s="14" t="n">
        <x:v>12</x:v>
      </x:c>
      <x:c r="C944" s="14" t="n">
        <x:v>76014</x:v>
      </x:c>
      <x:c r="D944" s="2" t="str">
        <x:v>RED</x:v>
      </x:c>
      <x:c r="E944" s="2" t="str">
        <x:v>200만</x:v>
      </x:c>
      <x:c r="F944" s="2" t="str">
        <x:v>0만</x:v>
      </x:c>
      <x:c r="G944" s="2" t="str">
        <x:v>패</x:v>
      </x:c>
      <x:c r="H944" s="14" t="n">
        <x:v>3</x:v>
      </x:c>
      <x:c r="I944" s="14" t="n">
        <x:v>5</x:v>
      </x:c>
      <x:c r="J944" s="14" t="n">
        <x:v>7</x:v>
      </x:c>
      <x:c r="K944" s="14" t="n">
        <x:v>3</x:v>
      </x:c>
      <x:c r="L944" s="15" t="n">
        <x:f>IF(J944=0,"해당 없음",K944/J944)</x:f>
        <x:v>0.42857142857142855</x:v>
      </x:c>
      <x:c r="M944" s="14" t="n">
        <x:v>6</x:v>
      </x:c>
      <x:c r="N944" s="14" t="n">
        <x:v>4</x:v>
      </x:c>
      <x:c r="O944" s="15" t="n">
        <x:f>IF(M944=0,"해당 없음",N944/M944)</x:f>
        <x:v>0.6666666666666666</x:v>
      </x:c>
      <x:c r="P944" s="14" t="n">
        <x:v>106</x:v>
      </x:c>
    </x:row>
    <x:row r="945" ht="22" customHeight="1">
      <x:c r="A945" s="14" t="n">
        <x:v>470</x:v>
      </x:c>
      <x:c r="B945" s="14" t="n">
        <x:v>12</x:v>
      </x:c>
      <x:c r="C945" s="14" t="n">
        <x:v>76014</x:v>
      </x:c>
      <x:c r="D945" s="2" t="str">
        <x:v>NAVY</x:v>
      </x:c>
      <x:c r="E945" s="2" t="str">
        <x:v>0만</x:v>
      </x:c>
      <x:c r="F945" s="2" t="str">
        <x:v>200만</x:v>
      </x:c>
      <x:c r="G945" s="2" t="str">
        <x:v>승</x:v>
      </x:c>
      <x:c r="H945" s="14" t="n">
        <x:v>5</x:v>
      </x:c>
      <x:c r="I945" s="14" t="n">
        <x:v>3</x:v>
      </x:c>
      <x:c r="J945" s="14" t="n">
        <x:v>12</x:v>
      </x:c>
      <x:c r="K945" s="14" t="n">
        <x:v>5</x:v>
      </x:c>
      <x:c r="L945" s="15" t="n">
        <x:f>IF(J945=0,"해당 없음",K945/J945)</x:f>
        <x:v>0.4166666666666667</x:v>
      </x:c>
      <x:c r="M945" s="14" t="n">
        <x:v>7</x:v>
      </x:c>
      <x:c r="N945" s="14" t="n">
        <x:v>7</x:v>
      </x:c>
      <x:c r="O945" s="15" t="n">
        <x:f>IF(M945=0,"해당 없음",N945/M945)</x:f>
        <x:v>1</x:v>
      </x:c>
      <x:c r="P945" s="14" t="n">
        <x:v>104</x:v>
      </x:c>
    </x:row>
    <x:row r="946" ht="22" customHeight="1">
      <x:c r="A946" s="14" t="n">
        <x:v>471</x:v>
      </x:c>
      <x:c r="B946" s="14" t="n">
        <x:v>12</x:v>
      </x:c>
      <x:c r="C946" s="14" t="n">
        <x:v>76015</x:v>
      </x:c>
      <x:c r="D946" s="2" t="str">
        <x:v>RED</x:v>
      </x:c>
      <x:c r="E946" s="2" t="str">
        <x:v>0만</x:v>
      </x:c>
      <x:c r="F946" s="2" t="str">
        <x:v>200만</x:v>
      </x:c>
      <x:c r="G946" s="2" t="str">
        <x:v>패</x:v>
      </x:c>
      <x:c r="H946" s="14" t="n">
        <x:v>0</x:v>
      </x:c>
      <x:c r="I946" s="14" t="n">
        <x:v>2</x:v>
      </x:c>
      <x:c r="J946" s="14" t="n">
        <x:v>7</x:v>
      </x:c>
      <x:c r="K946" s="14" t="n">
        <x:v>0</x:v>
      </x:c>
      <x:c r="L946" s="15" t="n">
        <x:f>IF(J946=0,"해당 없음",K946/J946)</x:f>
        <x:v>0</x:v>
      </x:c>
      <x:c r="M946" s="14" t="n">
        <x:v>13</x:v>
      </x:c>
      <x:c r="N946" s="14" t="n">
        <x:v>9</x:v>
      </x:c>
      <x:c r="O946" s="15" t="n">
        <x:f>IF(M946=0,"해당 없음",N946/M946)</x:f>
        <x:v>0.6923076923076923</x:v>
      </x:c>
      <x:c r="P946" s="14" t="n">
        <x:v>101</x:v>
      </x:c>
    </x:row>
    <x:row r="947" ht="22" customHeight="1">
      <x:c r="A947" s="14" t="n">
        <x:v>471</x:v>
      </x:c>
      <x:c r="B947" s="14" t="n">
        <x:v>12</x:v>
      </x:c>
      <x:c r="C947" s="14" t="n">
        <x:v>76015</x:v>
      </x:c>
      <x:c r="D947" s="2" t="str">
        <x:v>NAVY</x:v>
      </x:c>
      <x:c r="E947" s="2" t="str">
        <x:v>200만</x:v>
      </x:c>
      <x:c r="F947" s="2" t="str">
        <x:v>0만</x:v>
      </x:c>
      <x:c r="G947" s="2" t="str">
        <x:v>승</x:v>
      </x:c>
      <x:c r="H947" s="14" t="n">
        <x:v>2</x:v>
      </x:c>
      <x:c r="I947" s="14" t="n">
        <x:v>0</x:v>
      </x:c>
      <x:c r="J947" s="14" t="n">
        <x:v>13</x:v>
      </x:c>
      <x:c r="K947" s="14" t="n">
        <x:v>2</x:v>
      </x:c>
      <x:c r="L947" s="15" t="n">
        <x:f>IF(J947=0,"해당 없음",K947/J947)</x:f>
        <x:v>0.15384615384615385</x:v>
      </x:c>
      <x:c r="M947" s="14" t="n">
        <x:v>9</x:v>
      </x:c>
      <x:c r="N947" s="14" t="n">
        <x:v>7</x:v>
      </x:c>
      <x:c r="O947" s="15" t="n">
        <x:f>IF(M947=0,"해당 없음",N947/M947)</x:f>
        <x:v>0.7777777777777778</x:v>
      </x:c>
      <x:c r="P947" s="14" t="n">
        <x:v>99</x:v>
      </x:c>
    </x:row>
    <x:row r="948" ht="22" customHeight="1">
      <x:c r="A948" s="14" t="n">
        <x:v>472</x:v>
      </x:c>
      <x:c r="B948" s="14" t="n">
        <x:v>12</x:v>
      </x:c>
      <x:c r="C948" s="14" t="n">
        <x:v>76015</x:v>
      </x:c>
      <x:c r="D948" s="2" t="str">
        <x:v>RED</x:v>
      </x:c>
      <x:c r="E948" s="2" t="str">
        <x:v>200만</x:v>
      </x:c>
      <x:c r="F948" s="2" t="str">
        <x:v>0만</x:v>
      </x:c>
      <x:c r="G948" s="2" t="str">
        <x:v>승</x:v>
      </x:c>
      <x:c r="H948" s="14" t="n">
        <x:v>4</x:v>
      </x:c>
      <x:c r="I948" s="14" t="n">
        <x:v>2</x:v>
      </x:c>
      <x:c r="J948" s="14" t="n">
        <x:v>9</x:v>
      </x:c>
      <x:c r="K948" s="14" t="n">
        <x:v>4</x:v>
      </x:c>
      <x:c r="L948" s="15" t="n">
        <x:f>IF(J948=0,"해당 없음",K948/J948)</x:f>
        <x:v>0.4444444444444444</x:v>
      </x:c>
      <x:c r="M948" s="14" t="n">
        <x:v>6</x:v>
      </x:c>
      <x:c r="N948" s="14" t="n">
        <x:v>5</x:v>
      </x:c>
      <x:c r="O948" s="15" t="n">
        <x:f>IF(M948=0,"해당 없음",N948/M948)</x:f>
        <x:v>0.8333333333333334</x:v>
      </x:c>
      <x:c r="P948" s="14" t="n">
        <x:v>104</x:v>
      </x:c>
    </x:row>
    <x:row r="949" ht="22" customHeight="1">
      <x:c r="A949" s="14" t="n">
        <x:v>472</x:v>
      </x:c>
      <x:c r="B949" s="14" t="n">
        <x:v>12</x:v>
      </x:c>
      <x:c r="C949" s="14" t="n">
        <x:v>76015</x:v>
      </x:c>
      <x:c r="D949" s="2" t="str">
        <x:v>NAVY</x:v>
      </x:c>
      <x:c r="E949" s="2" t="str">
        <x:v>0만</x:v>
      </x:c>
      <x:c r="F949" s="2" t="str">
        <x:v>200만</x:v>
      </x:c>
      <x:c r="G949" s="2" t="str">
        <x:v>패</x:v>
      </x:c>
      <x:c r="H949" s="14" t="n">
        <x:v>2</x:v>
      </x:c>
      <x:c r="I949" s="14" t="n">
        <x:v>4</x:v>
      </x:c>
      <x:c r="J949" s="14" t="n">
        <x:v>6</x:v>
      </x:c>
      <x:c r="K949" s="14" t="n">
        <x:v>2</x:v>
      </x:c>
      <x:c r="L949" s="15" t="n">
        <x:f>IF(J949=0,"해당 없음",K949/J949)</x:f>
        <x:v>0.3333333333333333</x:v>
      </x:c>
      <x:c r="M949" s="14" t="n">
        <x:v>7</x:v>
      </x:c>
      <x:c r="N949" s="14" t="n">
        <x:v>6</x:v>
      </x:c>
      <x:c r="O949" s="15" t="n">
        <x:f>IF(M949=0,"해당 없음",N949/M949)</x:f>
        <x:v>0.8571428571428571</x:v>
      </x:c>
      <x:c r="P949" s="14" t="n">
        <x:v>104</x:v>
      </x:c>
    </x:row>
    <x:row r="950" ht="22" customHeight="1">
      <x:c r="A950" s="14" t="n">
        <x:v>473</x:v>
      </x:c>
      <x:c r="B950" s="14" t="n">
        <x:v>12</x:v>
      </x:c>
      <x:c r="C950" s="14" t="n">
        <x:v>76016</x:v>
      </x:c>
      <x:c r="D950" s="2" t="str">
        <x:v>RED</x:v>
      </x:c>
      <x:c r="E950" s="2" t="str">
        <x:v>0만</x:v>
      </x:c>
      <x:c r="F950" s="2" t="str">
        <x:v>200만</x:v>
      </x:c>
      <x:c r="G950" s="2" t="str">
        <x:v>패</x:v>
      </x:c>
      <x:c r="H950" s="14" t="n">
        <x:v>4</x:v>
      </x:c>
      <x:c r="I950" s="14" t="n">
        <x:v>5</x:v>
      </x:c>
      <x:c r="J950" s="14" t="n">
        <x:v>7</x:v>
      </x:c>
      <x:c r="K950" s="14" t="n">
        <x:v>4</x:v>
      </x:c>
      <x:c r="L950" s="15" t="n">
        <x:f>IF(J950=0,"해당 없음",K950/J950)</x:f>
        <x:v>0.5714285714285714</x:v>
      </x:c>
      <x:c r="M950" s="14" t="n">
        <x:v>6</x:v>
      </x:c>
      <x:c r="N950" s="14" t="n">
        <x:v>3</x:v>
      </x:c>
      <x:c r="O950" s="15" t="n">
        <x:f>IF(M950=0,"해당 없음",N950/M950)</x:f>
        <x:v>0.5</x:v>
      </x:c>
      <x:c r="P950" s="14" t="n">
        <x:v>105</x:v>
      </x:c>
    </x:row>
    <x:row r="951" ht="22" customHeight="1">
      <x:c r="A951" s="14" t="n">
        <x:v>473</x:v>
      </x:c>
      <x:c r="B951" s="14" t="n">
        <x:v>12</x:v>
      </x:c>
      <x:c r="C951" s="14" t="n">
        <x:v>76016</x:v>
      </x:c>
      <x:c r="D951" s="2" t="str">
        <x:v>NAVY</x:v>
      </x:c>
      <x:c r="E951" s="2" t="str">
        <x:v>200만</x:v>
      </x:c>
      <x:c r="F951" s="2" t="str">
        <x:v>0만</x:v>
      </x:c>
      <x:c r="G951" s="2" t="str">
        <x:v>승</x:v>
      </x:c>
      <x:c r="H951" s="14" t="n">
        <x:v>5</x:v>
      </x:c>
      <x:c r="I951" s="14" t="n">
        <x:v>4</x:v>
      </x:c>
      <x:c r="J951" s="14" t="n">
        <x:v>10</x:v>
      </x:c>
      <x:c r="K951" s="14" t="n">
        <x:v>5</x:v>
      </x:c>
      <x:c r="L951" s="15" t="n">
        <x:f>IF(J951=0,"해당 없음",K951/J951)</x:f>
        <x:v>0.5</x:v>
      </x:c>
      <x:c r="M951" s="14" t="n">
        <x:v>5</x:v>
      </x:c>
      <x:c r="N951" s="14" t="n">
        <x:v>4</x:v>
      </x:c>
      <x:c r="O951" s="15" t="n">
        <x:f>IF(M951=0,"해당 없음",N951/M951)</x:f>
        <x:v>0.8</x:v>
      </x:c>
      <x:c r="P951" s="14" t="n">
        <x:v>105</x:v>
      </x:c>
    </x:row>
    <x:row r="952" ht="22" customHeight="1">
      <x:c r="A952" s="14" t="n">
        <x:v>474</x:v>
      </x:c>
      <x:c r="B952" s="14" t="n">
        <x:v>12</x:v>
      </x:c>
      <x:c r="C952" s="14" t="n">
        <x:v>76016</x:v>
      </x:c>
      <x:c r="D952" s="2" t="str">
        <x:v>RED</x:v>
      </x:c>
      <x:c r="E952" s="2" t="str">
        <x:v>200만</x:v>
      </x:c>
      <x:c r="F952" s="2" t="str">
        <x:v>0만</x:v>
      </x:c>
      <x:c r="G952" s="2" t="str">
        <x:v>승</x:v>
      </x:c>
      <x:c r="H952" s="14" t="n">
        <x:v>7</x:v>
      </x:c>
      <x:c r="I952" s="14" t="n">
        <x:v>2</x:v>
      </x:c>
      <x:c r="J952" s="14" t="n">
        <x:v>14</x:v>
      </x:c>
      <x:c r="K952" s="14" t="n">
        <x:v>7</x:v>
      </x:c>
      <x:c r="L952" s="15" t="n">
        <x:f>IF(J952=0,"해당 없음",K952/J952)</x:f>
        <x:v>0.5</x:v>
      </x:c>
      <x:c r="M952" s="14" t="n">
        <x:v>7</x:v>
      </x:c>
      <x:c r="N952" s="14" t="n">
        <x:v>4</x:v>
      </x:c>
      <x:c r="O952" s="15" t="n">
        <x:f>IF(M952=0,"해당 없음",N952/M952)</x:f>
        <x:v>0.5714285714285714</x:v>
      </x:c>
      <x:c r="P952" s="14" t="n">
        <x:v>106</x:v>
      </x:c>
    </x:row>
    <x:row r="953" ht="22" customHeight="1">
      <x:c r="A953" s="14" t="n">
        <x:v>474</x:v>
      </x:c>
      <x:c r="B953" s="14" t="n">
        <x:v>12</x:v>
      </x:c>
      <x:c r="C953" s="14" t="n">
        <x:v>76016</x:v>
      </x:c>
      <x:c r="D953" s="2" t="str">
        <x:v>NAVY</x:v>
      </x:c>
      <x:c r="E953" s="2" t="str">
        <x:v>0만</x:v>
      </x:c>
      <x:c r="F953" s="2" t="str">
        <x:v>200만</x:v>
      </x:c>
      <x:c r="G953" s="2" t="str">
        <x:v>패</x:v>
      </x:c>
      <x:c r="H953" s="14" t="n">
        <x:v>2</x:v>
      </x:c>
      <x:c r="I953" s="14" t="n">
        <x:v>7</x:v>
      </x:c>
      <x:c r="J953" s="14" t="n">
        <x:v>7</x:v>
      </x:c>
      <x:c r="K953" s="14" t="n">
        <x:v>2</x:v>
      </x:c>
      <x:c r="L953" s="15" t="n">
        <x:f>IF(J953=0,"해당 없음",K953/J953)</x:f>
        <x:v>0.2857142857142857</x:v>
      </x:c>
      <x:c r="M953" s="14" t="n">
        <x:v>6</x:v>
      </x:c>
      <x:c r="N953" s="14" t="n">
        <x:v>4</x:v>
      </x:c>
      <x:c r="O953" s="15" t="n">
        <x:f>IF(M953=0,"해당 없음",N953/M953)</x:f>
        <x:v>0.6666666666666666</x:v>
      </x:c>
      <x:c r="P953" s="14" t="n">
        <x:v>103</x:v>
      </x:c>
    </x:row>
    <x:row r="954" ht="22" customHeight="1">
      <x:c r="A954" s="14" t="n">
        <x:v>475</x:v>
      </x:c>
      <x:c r="B954" s="14" t="n">
        <x:v>12</x:v>
      </x:c>
      <x:c r="C954" s="14" t="n">
        <x:v>76017</x:v>
      </x:c>
      <x:c r="D954" s="2" t="str">
        <x:v>RED</x:v>
      </x:c>
      <x:c r="E954" s="2" t="str">
        <x:v>0만</x:v>
      </x:c>
      <x:c r="F954" s="2" t="str">
        <x:v>200만</x:v>
      </x:c>
      <x:c r="G954" s="2" t="str">
        <x:v>패</x:v>
      </x:c>
      <x:c r="H954" s="14" t="n">
        <x:v>0</x:v>
      </x:c>
      <x:c r="I954" s="14" t="n">
        <x:v>6</x:v>
      </x:c>
      <x:c r="J954" s="14" t="n">
        <x:v>3</x:v>
      </x:c>
      <x:c r="K954" s="14" t="n">
        <x:v>0</x:v>
      </x:c>
      <x:c r="L954" s="15" t="n">
        <x:f>IF(J954=0,"해당 없음",K954/J954)</x:f>
        <x:v>0</x:v>
      </x:c>
      <x:c r="M954" s="14" t="n">
        <x:v>8</x:v>
      </x:c>
      <x:c r="N954" s="14" t="n">
        <x:v>7</x:v>
      </x:c>
      <x:c r="O954" s="15" t="n">
        <x:f>IF(M954=0,"해당 없음",N954/M954)</x:f>
        <x:v>0.875</x:v>
      </x:c>
      <x:c r="P954" s="14" t="n">
        <x:v>104</x:v>
      </x:c>
    </x:row>
    <x:row r="955" ht="22" customHeight="1">
      <x:c r="A955" s="14" t="n">
        <x:v>475</x:v>
      </x:c>
      <x:c r="B955" s="14" t="n">
        <x:v>12</x:v>
      </x:c>
      <x:c r="C955" s="14" t="n">
        <x:v>76017</x:v>
      </x:c>
      <x:c r="D955" s="2" t="str">
        <x:v>NAVY</x:v>
      </x:c>
      <x:c r="E955" s="2" t="str">
        <x:v>200만</x:v>
      </x:c>
      <x:c r="F955" s="2" t="str">
        <x:v>0만</x:v>
      </x:c>
      <x:c r="G955" s="2" t="str">
        <x:v>승</x:v>
      </x:c>
      <x:c r="H955" s="14" t="n">
        <x:v>6</x:v>
      </x:c>
      <x:c r="I955" s="14" t="n">
        <x:v>0</x:v>
      </x:c>
      <x:c r="J955" s="14" t="n">
        <x:v>14</x:v>
      </x:c>
      <x:c r="K955" s="14" t="n">
        <x:v>6</x:v>
      </x:c>
      <x:c r="L955" s="15" t="n">
        <x:f>IF(J955=0,"해당 없음",K955/J955)</x:f>
        <x:v>0.42857142857142855</x:v>
      </x:c>
      <x:c r="M955" s="14" t="n">
        <x:v>9</x:v>
      </x:c>
      <x:c r="N955" s="14" t="n">
        <x:v>9</x:v>
      </x:c>
      <x:c r="O955" s="15" t="n">
        <x:f>IF(M955=0,"해당 없음",N955/M955)</x:f>
        <x:v>1</x:v>
      </x:c>
      <x:c r="P955" s="14" t="n">
        <x:v>105</x:v>
      </x:c>
    </x:row>
    <x:row r="956" ht="22" customHeight="1">
      <x:c r="A956" s="14" t="n">
        <x:v>476</x:v>
      </x:c>
      <x:c r="B956" s="14" t="n">
        <x:v>12</x:v>
      </x:c>
      <x:c r="C956" s="14" t="n">
        <x:v>76017</x:v>
      </x:c>
      <x:c r="D956" s="2" t="str">
        <x:v>RED</x:v>
      </x:c>
      <x:c r="E956" s="2" t="str">
        <x:v>200만</x:v>
      </x:c>
      <x:c r="F956" s="2" t="str">
        <x:v>0만</x:v>
      </x:c>
      <x:c r="G956" s="2" t="str">
        <x:v>승</x:v>
      </x:c>
      <x:c r="H956" s="14" t="n">
        <x:v>4</x:v>
      </x:c>
      <x:c r="I956" s="14" t="n">
        <x:v>0</x:v>
      </x:c>
      <x:c r="J956" s="14" t="n">
        <x:v>8</x:v>
      </x:c>
      <x:c r="K956" s="14" t="n">
        <x:v>4</x:v>
      </x:c>
      <x:c r="L956" s="15" t="n">
        <x:f>IF(J956=0,"해당 없음",K956/J956)</x:f>
        <x:v>0.5</x:v>
      </x:c>
      <x:c r="M956" s="14" t="n">
        <x:v>12</x:v>
      </x:c>
      <x:c r="N956" s="14" t="n">
        <x:v>9</x:v>
      </x:c>
      <x:c r="O956" s="15" t="n">
        <x:f>IF(M956=0,"해당 없음",N956/M956)</x:f>
        <x:v>0.75</x:v>
      </x:c>
      <x:c r="P956" s="14" t="n">
        <x:v>102</x:v>
      </x:c>
    </x:row>
    <x:row r="957" ht="22" customHeight="1">
      <x:c r="A957" s="14" t="n">
        <x:v>476</x:v>
      </x:c>
      <x:c r="B957" s="14" t="n">
        <x:v>12</x:v>
      </x:c>
      <x:c r="C957" s="14" t="n">
        <x:v>76017</x:v>
      </x:c>
      <x:c r="D957" s="2" t="str">
        <x:v>NAVY</x:v>
      </x:c>
      <x:c r="E957" s="2" t="str">
        <x:v>0만</x:v>
      </x:c>
      <x:c r="F957" s="2" t="str">
        <x:v>200만</x:v>
      </x:c>
      <x:c r="G957" s="2" t="str">
        <x:v>패</x:v>
      </x:c>
      <x:c r="H957" s="14" t="n">
        <x:v>0</x:v>
      </x:c>
      <x:c r="I957" s="14" t="n">
        <x:v>4</x:v>
      </x:c>
      <x:c r="J957" s="14" t="n">
        <x:v>7</x:v>
      </x:c>
      <x:c r="K957" s="14" t="n">
        <x:v>0</x:v>
      </x:c>
      <x:c r="L957" s="15" t="n">
        <x:f>IF(J957=0,"해당 없음",K957/J957)</x:f>
        <x:v>0</x:v>
      </x:c>
      <x:c r="M957" s="14" t="n">
        <x:v>13</x:v>
      </x:c>
      <x:c r="N957" s="14" t="n">
        <x:v>13</x:v>
      </x:c>
      <x:c r="O957" s="15" t="n">
        <x:f>IF(M957=0,"해당 없음",N957/M957)</x:f>
        <x:v>1</x:v>
      </x:c>
      <x:c r="P957" s="14" t="n">
        <x:v>103</x:v>
      </x:c>
    </x:row>
    <x:row r="958" ht="22" customHeight="1">
      <x:c r="A958" s="14" t="n">
        <x:v>477</x:v>
      </x:c>
      <x:c r="B958" s="14" t="n">
        <x:v>12</x:v>
      </x:c>
      <x:c r="C958" s="14" t="n">
        <x:v>76018</x:v>
      </x:c>
      <x:c r="D958" s="2" t="str">
        <x:v>RED</x:v>
      </x:c>
      <x:c r="E958" s="2" t="str">
        <x:v>0만</x:v>
      </x:c>
      <x:c r="F958" s="2" t="str">
        <x:v>200만</x:v>
      </x:c>
      <x:c r="G958" s="2" t="str">
        <x:v>패</x:v>
      </x:c>
      <x:c r="H958" s="14" t="n">
        <x:v>3</x:v>
      </x:c>
      <x:c r="I958" s="14" t="n">
        <x:v>6</x:v>
      </x:c>
      <x:c r="J958" s="14" t="n">
        <x:v>5</x:v>
      </x:c>
      <x:c r="K958" s="14" t="n">
        <x:v>3</x:v>
      </x:c>
      <x:c r="L958" s="15" t="n">
        <x:f>IF(J958=0,"해당 없음",K958/J958)</x:f>
        <x:v>0.6</x:v>
      </x:c>
      <x:c r="M958" s="14" t="n">
        <x:v>6</x:v>
      </x:c>
      <x:c r="N958" s="14" t="n">
        <x:v>6</x:v>
      </x:c>
      <x:c r="O958" s="15" t="n">
        <x:f>IF(M958=0,"해당 없음",N958/M958)</x:f>
        <x:v>1</x:v>
      </x:c>
      <x:c r="P958" s="14" t="n">
        <x:v>106</x:v>
      </x:c>
    </x:row>
    <x:row r="959" ht="22" customHeight="1">
      <x:c r="A959" s="14" t="n">
        <x:v>477</x:v>
      </x:c>
      <x:c r="B959" s="14" t="n">
        <x:v>12</x:v>
      </x:c>
      <x:c r="C959" s="14" t="n">
        <x:v>76018</x:v>
      </x:c>
      <x:c r="D959" s="2" t="str">
        <x:v>NAVY</x:v>
      </x:c>
      <x:c r="E959" s="2" t="str">
        <x:v>200만</x:v>
      </x:c>
      <x:c r="F959" s="2" t="str">
        <x:v>0만</x:v>
      </x:c>
      <x:c r="G959" s="2" t="str">
        <x:v>승</x:v>
      </x:c>
      <x:c r="H959" s="14" t="n">
        <x:v>6</x:v>
      </x:c>
      <x:c r="I959" s="14" t="n">
        <x:v>3</x:v>
      </x:c>
      <x:c r="J959" s="14" t="n">
        <x:v>11</x:v>
      </x:c>
      <x:c r="K959" s="14" t="n">
        <x:v>6</x:v>
      </x:c>
      <x:c r="L959" s="15" t="n">
        <x:f>IF(J959=0,"해당 없음",K959/J959)</x:f>
        <x:v>0.5454545454545454</x:v>
      </x:c>
      <x:c r="M959" s="14" t="n">
        <x:v>4</x:v>
      </x:c>
      <x:c r="N959" s="14" t="n">
        <x:v>4</x:v>
      </x:c>
      <x:c r="O959" s="15" t="n">
        <x:f>IF(M959=0,"해당 없음",N959/M959)</x:f>
        <x:v>1</x:v>
      </x:c>
      <x:c r="P959" s="14" t="n">
        <x:v>104</x:v>
      </x:c>
    </x:row>
    <x:row r="960" ht="22" customHeight="1">
      <x:c r="A960" s="14" t="n">
        <x:v>478</x:v>
      </x:c>
      <x:c r="B960" s="14" t="n">
        <x:v>12</x:v>
      </x:c>
      <x:c r="C960" s="14" t="n">
        <x:v>76018</x:v>
      </x:c>
      <x:c r="D960" s="2" t="str">
        <x:v>RED</x:v>
      </x:c>
      <x:c r="E960" s="2" t="str">
        <x:v>200만</x:v>
      </x:c>
      <x:c r="F960" s="2" t="str">
        <x:v>0만</x:v>
      </x:c>
      <x:c r="G960" s="2" t="str">
        <x:v>승</x:v>
      </x:c>
      <x:c r="H960" s="14" t="n">
        <x:v>6</x:v>
      </x:c>
      <x:c r="I960" s="14" t="n">
        <x:v>3</x:v>
      </x:c>
      <x:c r="J960" s="14" t="n">
        <x:v>11</x:v>
      </x:c>
      <x:c r="K960" s="14" t="n">
        <x:v>6</x:v>
      </x:c>
      <x:c r="L960" s="15" t="n">
        <x:f>IF(J960=0,"해당 없음",K960/J960)</x:f>
        <x:v>0.5454545454545454</x:v>
      </x:c>
      <x:c r="M960" s="14" t="n">
        <x:v>4</x:v>
      </x:c>
      <x:c r="N960" s="14" t="n">
        <x:v>4</x:v>
      </x:c>
      <x:c r="O960" s="15" t="n">
        <x:f>IF(M960=0,"해당 없음",N960/M960)</x:f>
        <x:v>1</x:v>
      </x:c>
      <x:c r="P960" s="14" t="n">
        <x:v>105</x:v>
      </x:c>
    </x:row>
    <x:row r="961" ht="22" customHeight="1">
      <x:c r="A961" s="14" t="n">
        <x:v>478</x:v>
      </x:c>
      <x:c r="B961" s="14" t="n">
        <x:v>12</x:v>
      </x:c>
      <x:c r="C961" s="14" t="n">
        <x:v>76018</x:v>
      </x:c>
      <x:c r="D961" s="2" t="str">
        <x:v>NAVY</x:v>
      </x:c>
      <x:c r="E961" s="2" t="str">
        <x:v>0만</x:v>
      </x:c>
      <x:c r="F961" s="2" t="str">
        <x:v>200만</x:v>
      </x:c>
      <x:c r="G961" s="2" t="str">
        <x:v>패</x:v>
      </x:c>
      <x:c r="H961" s="14" t="n">
        <x:v>3</x:v>
      </x:c>
      <x:c r="I961" s="14" t="n">
        <x:v>6</x:v>
      </x:c>
      <x:c r="J961" s="14" t="n">
        <x:v>5</x:v>
      </x:c>
      <x:c r="K961" s="14" t="n">
        <x:v>3</x:v>
      </x:c>
      <x:c r="L961" s="15" t="n">
        <x:f>IF(J961=0,"해당 없음",K961/J961)</x:f>
        <x:v>0.6</x:v>
      </x:c>
      <x:c r="M961" s="14" t="n">
        <x:v>8</x:v>
      </x:c>
      <x:c r="N961" s="14" t="n">
        <x:v>6</x:v>
      </x:c>
      <x:c r="O961" s="15" t="n">
        <x:f>IF(M961=0,"해당 없음",N961/M961)</x:f>
        <x:v>0.75</x:v>
      </x:c>
      <x:c r="P961" s="14" t="n">
        <x:v>105</x:v>
      </x:c>
    </x:row>
    <x:row r="962" ht="22" customHeight="1">
      <x:c r="A962" s="14" t="n">
        <x:v>479</x:v>
      </x:c>
      <x:c r="B962" s="14" t="n">
        <x:v>12</x:v>
      </x:c>
      <x:c r="C962" s="14" t="n">
        <x:v>76019</x:v>
      </x:c>
      <x:c r="D962" s="2" t="str">
        <x:v>RED</x:v>
      </x:c>
      <x:c r="E962" s="2" t="str">
        <x:v>0만</x:v>
      </x:c>
      <x:c r="F962" s="2" t="str">
        <x:v>200만</x:v>
      </x:c>
      <x:c r="G962" s="2" t="str">
        <x:v>패</x:v>
      </x:c>
      <x:c r="H962" s="14" t="n">
        <x:v>0</x:v>
      </x:c>
      <x:c r="I962" s="14" t="n">
        <x:v>7</x:v>
      </x:c>
      <x:c r="J962" s="14" t="n">
        <x:v>3</x:v>
      </x:c>
      <x:c r="K962" s="14" t="n">
        <x:v>0</x:v>
      </x:c>
      <x:c r="L962" s="15" t="n">
        <x:f>IF(J962=0,"해당 없음",K962/J962)</x:f>
        <x:v>0</x:v>
      </x:c>
      <x:c r="M962" s="14" t="n">
        <x:v>7</x:v>
      </x:c>
      <x:c r="N962" s="14" t="n">
        <x:v>5</x:v>
      </x:c>
      <x:c r="O962" s="15" t="n">
        <x:f>IF(M962=0,"해당 없음",N962/M962)</x:f>
        <x:v>0.7142857142857143</x:v>
      </x:c>
      <x:c r="P962" s="14" t="n">
        <x:v>106</x:v>
      </x:c>
    </x:row>
    <x:row r="963" ht="22" customHeight="1">
      <x:c r="A963" s="14" t="n">
        <x:v>479</x:v>
      </x:c>
      <x:c r="B963" s="14" t="n">
        <x:v>12</x:v>
      </x:c>
      <x:c r="C963" s="14" t="n">
        <x:v>76019</x:v>
      </x:c>
      <x:c r="D963" s="2" t="str">
        <x:v>NAVY</x:v>
      </x:c>
      <x:c r="E963" s="2" t="str">
        <x:v>200만</x:v>
      </x:c>
      <x:c r="F963" s="2" t="str">
        <x:v>0만</x:v>
      </x:c>
      <x:c r="G963" s="2" t="str">
        <x:v>승</x:v>
      </x:c>
      <x:c r="H963" s="14" t="n">
        <x:v>7</x:v>
      </x:c>
      <x:c r="I963" s="14" t="n">
        <x:v>0</x:v>
      </x:c>
      <x:c r="J963" s="14" t="n">
        <x:v>14</x:v>
      </x:c>
      <x:c r="K963" s="14" t="n">
        <x:v>7</x:v>
      </x:c>
      <x:c r="L963" s="15" t="n">
        <x:f>IF(J963=0,"해당 없음",K963/J963)</x:f>
        <x:v>0.5</x:v>
      </x:c>
      <x:c r="M963" s="14" t="n">
        <x:v>7</x:v>
      </x:c>
      <x:c r="N963" s="14" t="n">
        <x:v>6</x:v>
      </x:c>
      <x:c r="O963" s="15" t="n">
        <x:f>IF(M963=0,"해당 없음",N963/M963)</x:f>
        <x:v>0.8571428571428571</x:v>
      </x:c>
      <x:c r="P963" s="14" t="n">
        <x:v>106</x:v>
      </x:c>
    </x:row>
    <x:row r="964" ht="22" customHeight="1">
      <x:c r="A964" s="14" t="n">
        <x:v>480</x:v>
      </x:c>
      <x:c r="B964" s="14" t="n">
        <x:v>12</x:v>
      </x:c>
      <x:c r="C964" s="14" t="n">
        <x:v>76019</x:v>
      </x:c>
      <x:c r="D964" s="2" t="str">
        <x:v>RED</x:v>
      </x:c>
      <x:c r="E964" s="2" t="str">
        <x:v>200만</x:v>
      </x:c>
      <x:c r="F964" s="2" t="str">
        <x:v>0만</x:v>
      </x:c>
      <x:c r="G964" s="2" t="str">
        <x:v>승</x:v>
      </x:c>
      <x:c r="H964" s="14" t="n">
        <x:v>6</x:v>
      </x:c>
      <x:c r="I964" s="14" t="n">
        <x:v>1</x:v>
      </x:c>
      <x:c r="J964" s="14" t="n">
        <x:v>9</x:v>
      </x:c>
      <x:c r="K964" s="14" t="n">
        <x:v>6</x:v>
      </x:c>
      <x:c r="L964" s="15" t="n">
        <x:f>IF(J964=0,"해당 없음",K964/J964)</x:f>
        <x:v>0.6666666666666666</x:v>
      </x:c>
      <x:c r="M964" s="14" t="n">
        <x:v>11</x:v>
      </x:c>
      <x:c r="N964" s="14" t="n">
        <x:v>10</x:v>
      </x:c>
      <x:c r="O964" s="15" t="n">
        <x:f>IF(M964=0,"해당 없음",N964/M964)</x:f>
        <x:v>0.9090909090909091</x:v>
      </x:c>
      <x:c r="P964" s="14" t="n">
        <x:v>105</x:v>
      </x:c>
    </x:row>
    <x:row r="965" ht="22" customHeight="1">
      <x:c r="A965" s="14" t="n">
        <x:v>480</x:v>
      </x:c>
      <x:c r="B965" s="14" t="n">
        <x:v>12</x:v>
      </x:c>
      <x:c r="C965" s="14" t="n">
        <x:v>76019</x:v>
      </x:c>
      <x:c r="D965" s="2" t="str">
        <x:v>NAVY</x:v>
      </x:c>
      <x:c r="E965" s="2" t="str">
        <x:v>0만</x:v>
      </x:c>
      <x:c r="F965" s="2" t="str">
        <x:v>200만</x:v>
      </x:c>
      <x:c r="G965" s="2" t="str">
        <x:v>패</x:v>
      </x:c>
      <x:c r="H965" s="14" t="n">
        <x:v>1</x:v>
      </x:c>
      <x:c r="I965" s="14" t="n">
        <x:v>6</x:v>
      </x:c>
      <x:c r="J965" s="14" t="n">
        <x:v>5</x:v>
      </x:c>
      <x:c r="K965" s="14" t="n">
        <x:v>1</x:v>
      </x:c>
      <x:c r="L965" s="15" t="n">
        <x:f>IF(J965=0,"해당 없음",K965/J965)</x:f>
        <x:v>0.2</x:v>
      </x:c>
      <x:c r="M965" s="14" t="n">
        <x:v>9</x:v>
      </x:c>
      <x:c r="N965" s="14" t="n">
        <x:v>9</x:v>
      </x:c>
      <x:c r="O965" s="15" t="n">
        <x:f>IF(M965=0,"해당 없음",N965/M965)</x:f>
        <x:v>1</x:v>
      </x:c>
      <x:c r="P965" s="14" t="n">
        <x:v>104</x:v>
      </x:c>
    </x:row>
    <x:row r="966" ht="22" customHeight="1">
      <x:c r="A966" s="14" t="n">
        <x:v>481</x:v>
      </x:c>
      <x:c r="B966" s="14" t="n">
        <x:v>13</x:v>
      </x:c>
      <x:c r="C966" s="14" t="n">
        <x:v>76000</x:v>
      </x:c>
      <x:c r="D966" s="2" t="str">
        <x:v>RED</x:v>
      </x:c>
      <x:c r="E966" s="2" t="str">
        <x:v>0만</x:v>
      </x:c>
      <x:c r="F966" s="2" t="str">
        <x:v>240만</x:v>
      </x:c>
      <x:c r="G966" s="2" t="str">
        <x:v>패</x:v>
      </x:c>
      <x:c r="H966" s="14" t="n">
        <x:v>1</x:v>
      </x:c>
      <x:c r="I966" s="14" t="n">
        <x:v>4</x:v>
      </x:c>
      <x:c r="J966" s="14" t="n">
        <x:v>6</x:v>
      </x:c>
      <x:c r="K966" s="14" t="n">
        <x:v>1</x:v>
      </x:c>
      <x:c r="L966" s="15" t="n">
        <x:f>IF(J966=0,"해당 없음",K966/J966)</x:f>
        <x:v>0.16666666666666666</x:v>
      </x:c>
      <x:c r="M966" s="14" t="n">
        <x:v>9</x:v>
      </x:c>
      <x:c r="N966" s="14" t="n">
        <x:v>9</x:v>
      </x:c>
      <x:c r="O966" s="15" t="n">
        <x:f>IF(M966=0,"해당 없음",N966/M966)</x:f>
        <x:v>1</x:v>
      </x:c>
      <x:c r="P966" s="14" t="n">
        <x:v>103</x:v>
      </x:c>
    </x:row>
    <x:row r="967" ht="22" customHeight="1">
      <x:c r="A967" s="14" t="n">
        <x:v>481</x:v>
      </x:c>
      <x:c r="B967" s="14" t="n">
        <x:v>13</x:v>
      </x:c>
      <x:c r="C967" s="14" t="n">
        <x:v>76000</x:v>
      </x:c>
      <x:c r="D967" s="2" t="str">
        <x:v>NAVY</x:v>
      </x:c>
      <x:c r="E967" s="2" t="str">
        <x:v>240만</x:v>
      </x:c>
      <x:c r="F967" s="2" t="str">
        <x:v>0만</x:v>
      </x:c>
      <x:c r="G967" s="2" t="str">
        <x:v>승</x:v>
      </x:c>
      <x:c r="H967" s="14" t="n">
        <x:v>4</x:v>
      </x:c>
      <x:c r="I967" s="14" t="n">
        <x:v>1</x:v>
      </x:c>
      <x:c r="J967" s="14" t="n">
        <x:v>9</x:v>
      </x:c>
      <x:c r="K967" s="14" t="n">
        <x:v>4</x:v>
      </x:c>
      <x:c r="L967" s="15" t="n">
        <x:f>IF(J967=0,"해당 없음",K967/J967)</x:f>
        <x:v>0.4444444444444444</x:v>
      </x:c>
      <x:c r="M967" s="14" t="n">
        <x:v>4</x:v>
      </x:c>
      <x:c r="N967" s="14" t="n">
        <x:v>3</x:v>
      </x:c>
      <x:c r="O967" s="15" t="n">
        <x:f>IF(M967=0,"해당 없음",N967/M967)</x:f>
        <x:v>0.75</x:v>
      </x:c>
      <x:c r="P967" s="14" t="n">
        <x:v>104</x:v>
      </x:c>
    </x:row>
    <x:row r="968" ht="22" customHeight="1">
      <x:c r="A968" s="14" t="n">
        <x:v>482</x:v>
      </x:c>
      <x:c r="B968" s="14" t="n">
        <x:v>13</x:v>
      </x:c>
      <x:c r="C968" s="14" t="n">
        <x:v>76000</x:v>
      </x:c>
      <x:c r="D968" s="2" t="str">
        <x:v>RED</x:v>
      </x:c>
      <x:c r="E968" s="2" t="str">
        <x:v>240만</x:v>
      </x:c>
      <x:c r="F968" s="2" t="str">
        <x:v>0만</x:v>
      </x:c>
      <x:c r="G968" s="2" t="str">
        <x:v>패</x:v>
      </x:c>
      <x:c r="H968" s="14" t="n">
        <x:v>1</x:v>
      </x:c>
      <x:c r="I968" s="14" t="n">
        <x:v>2</x:v>
      </x:c>
      <x:c r="J968" s="14" t="n">
        <x:v>7</x:v>
      </x:c>
      <x:c r="K968" s="14" t="n">
        <x:v>1</x:v>
      </x:c>
      <x:c r="L968" s="15" t="n">
        <x:f>IF(J968=0,"해당 없음",K968/J968)</x:f>
        <x:v>0.14285714285714285</x:v>
      </x:c>
      <x:c r="M968" s="14" t="n">
        <x:v>10</x:v>
      </x:c>
      <x:c r="N968" s="14" t="n">
        <x:v>5</x:v>
      </x:c>
      <x:c r="O968" s="15" t="n">
        <x:f>IF(M968=0,"해당 없음",N968/M968)</x:f>
        <x:v>0.5</x:v>
      </x:c>
      <x:c r="P968" s="14" t="n">
        <x:v>102</x:v>
      </x:c>
    </x:row>
    <x:row r="969" ht="22" customHeight="1">
      <x:c r="A969" s="14" t="n">
        <x:v>482</x:v>
      </x:c>
      <x:c r="B969" s="14" t="n">
        <x:v>13</x:v>
      </x:c>
      <x:c r="C969" s="14" t="n">
        <x:v>76000</x:v>
      </x:c>
      <x:c r="D969" s="2" t="str">
        <x:v>NAVY</x:v>
      </x:c>
      <x:c r="E969" s="2" t="str">
        <x:v>0만</x:v>
      </x:c>
      <x:c r="F969" s="2" t="str">
        <x:v>240만</x:v>
      </x:c>
      <x:c r="G969" s="2" t="str">
        <x:v>승</x:v>
      </x:c>
      <x:c r="H969" s="14" t="n">
        <x:v>2</x:v>
      </x:c>
      <x:c r="I969" s="14" t="n">
        <x:v>1</x:v>
      </x:c>
      <x:c r="J969" s="14" t="n">
        <x:v>10</x:v>
      </x:c>
      <x:c r="K969" s="14" t="n">
        <x:v>2</x:v>
      </x:c>
      <x:c r="L969" s="15" t="n">
        <x:f>IF(J969=0,"해당 없음",K969/J969)</x:f>
        <x:v>0.2</x:v>
      </x:c>
      <x:c r="M969" s="14" t="n">
        <x:v>12</x:v>
      </x:c>
      <x:c r="N969" s="14" t="n">
        <x:v>12</x:v>
      </x:c>
      <x:c r="O969" s="15" t="n">
        <x:f>IF(M969=0,"해당 없음",N969/M969)</x:f>
        <x:v>1</x:v>
      </x:c>
      <x:c r="P969" s="14" t="n">
        <x:v>102</x:v>
      </x:c>
    </x:row>
    <x:row r="970" ht="22" customHeight="1">
      <x:c r="A970" s="14" t="n">
        <x:v>483</x:v>
      </x:c>
      <x:c r="B970" s="14" t="n">
        <x:v>13</x:v>
      </x:c>
      <x:c r="C970" s="14" t="n">
        <x:v>76001</x:v>
      </x:c>
      <x:c r="D970" s="2" t="str">
        <x:v>RED</x:v>
      </x:c>
      <x:c r="E970" s="2" t="str">
        <x:v>0만</x:v>
      </x:c>
      <x:c r="F970" s="2" t="str">
        <x:v>240만</x:v>
      </x:c>
      <x:c r="G970" s="2" t="str">
        <x:v>패</x:v>
      </x:c>
      <x:c r="H970" s="14" t="n">
        <x:v>3</x:v>
      </x:c>
      <x:c r="I970" s="14" t="n">
        <x:v>8</x:v>
      </x:c>
      <x:c r="J970" s="14" t="n">
        <x:v>4</x:v>
      </x:c>
      <x:c r="K970" s="14" t="n">
        <x:v>3</x:v>
      </x:c>
      <x:c r="L970" s="15" t="n">
        <x:f>IF(J970=0,"해당 없음",K970/J970)</x:f>
        <x:v>0.75</x:v>
      </x:c>
      <x:c r="M970" s="14" t="n">
        <x:v>9</x:v>
      </x:c>
      <x:c r="N970" s="14" t="n">
        <x:v>7</x:v>
      </x:c>
      <x:c r="O970" s="15" t="n">
        <x:f>IF(M970=0,"해당 없음",N970/M970)</x:f>
        <x:v>0.7777777777777778</x:v>
      </x:c>
      <x:c r="P970" s="14" t="n">
        <x:v>105</x:v>
      </x:c>
    </x:row>
    <x:row r="971" ht="22" customHeight="1">
      <x:c r="A971" s="14" t="n">
        <x:v>483</x:v>
      </x:c>
      <x:c r="B971" s="14" t="n">
        <x:v>13</x:v>
      </x:c>
      <x:c r="C971" s="14" t="n">
        <x:v>76001</x:v>
      </x:c>
      <x:c r="D971" s="2" t="str">
        <x:v>NAVY</x:v>
      </x:c>
      <x:c r="E971" s="2" t="str">
        <x:v>240만</x:v>
      </x:c>
      <x:c r="F971" s="2" t="str">
        <x:v>0만</x:v>
      </x:c>
      <x:c r="G971" s="2" t="str">
        <x:v>승</x:v>
      </x:c>
      <x:c r="H971" s="14" t="n">
        <x:v>8</x:v>
      </x:c>
      <x:c r="I971" s="14" t="n">
        <x:v>3</x:v>
      </x:c>
      <x:c r="J971" s="14" t="n">
        <x:v>16</x:v>
      </x:c>
      <x:c r="K971" s="14" t="n">
        <x:v>8</x:v>
      </x:c>
      <x:c r="L971" s="15" t="n">
        <x:f>IF(J971=0,"해당 없음",K971/J971)</x:f>
        <x:v>0.5</x:v>
      </x:c>
      <x:c r="M971" s="14" t="n">
        <x:v>5</x:v>
      </x:c>
      <x:c r="N971" s="14" t="n">
        <x:v>5</x:v>
      </x:c>
      <x:c r="O971" s="15" t="n">
        <x:f>IF(M971=0,"해당 없음",N971/M971)</x:f>
        <x:v>1</x:v>
      </x:c>
      <x:c r="P971" s="14" t="n">
        <x:v>106</x:v>
      </x:c>
    </x:row>
    <x:row r="972" ht="22" customHeight="1">
      <x:c r="A972" s="14" t="n">
        <x:v>484</x:v>
      </x:c>
      <x:c r="B972" s="14" t="n">
        <x:v>13</x:v>
      </x:c>
      <x:c r="C972" s="14" t="n">
        <x:v>76001</x:v>
      </x:c>
      <x:c r="D972" s="2" t="str">
        <x:v>RED</x:v>
      </x:c>
      <x:c r="E972" s="2" t="str">
        <x:v>240만</x:v>
      </x:c>
      <x:c r="F972" s="2" t="str">
        <x:v>0만</x:v>
      </x:c>
      <x:c r="G972" s="2" t="str">
        <x:v>승</x:v>
      </x:c>
      <x:c r="H972" s="14" t="n">
        <x:v>2</x:v>
      </x:c>
      <x:c r="I972" s="14" t="n">
        <x:v>0</x:v>
      </x:c>
      <x:c r="J972" s="14" t="n">
        <x:v>7</x:v>
      </x:c>
      <x:c r="K972" s="14" t="n">
        <x:v>2</x:v>
      </x:c>
      <x:c r="L972" s="15" t="n">
        <x:f>IF(J972=0,"해당 없음",K972/J972)</x:f>
        <x:v>0.2857142857142857</x:v>
      </x:c>
      <x:c r="M972" s="14" t="n">
        <x:v>6</x:v>
      </x:c>
      <x:c r="N972" s="14" t="n">
        <x:v>4</x:v>
      </x:c>
      <x:c r="O972" s="15" t="n">
        <x:f>IF(M972=0,"해당 없음",N972/M972)</x:f>
        <x:v>0.6666666666666666</x:v>
      </x:c>
      <x:c r="P972" s="14" t="n">
        <x:v>101</x:v>
      </x:c>
    </x:row>
    <x:row r="973" ht="22" customHeight="1">
      <x:c r="A973" s="14" t="n">
        <x:v>484</x:v>
      </x:c>
      <x:c r="B973" s="14" t="n">
        <x:v>13</x:v>
      </x:c>
      <x:c r="C973" s="14" t="n">
        <x:v>76001</x:v>
      </x:c>
      <x:c r="D973" s="2" t="str">
        <x:v>NAVY</x:v>
      </x:c>
      <x:c r="E973" s="2" t="str">
        <x:v>0만</x:v>
      </x:c>
      <x:c r="F973" s="2" t="str">
        <x:v>240만</x:v>
      </x:c>
      <x:c r="G973" s="2" t="str">
        <x:v>패</x:v>
      </x:c>
      <x:c r="H973" s="14" t="n">
        <x:v>0</x:v>
      </x:c>
      <x:c r="I973" s="14" t="n">
        <x:v>2</x:v>
      </x:c>
      <x:c r="J973" s="14" t="n">
        <x:v>8</x:v>
      </x:c>
      <x:c r="K973" s="14" t="n">
        <x:v>0</x:v>
      </x:c>
      <x:c r="L973" s="15" t="n">
        <x:f>IF(J973=0,"해당 없음",K973/J973)</x:f>
        <x:v>0</x:v>
      </x:c>
      <x:c r="M973" s="14" t="n">
        <x:v>10</x:v>
      </x:c>
      <x:c r="N973" s="14" t="n">
        <x:v>9</x:v>
      </x:c>
      <x:c r="O973" s="15" t="n">
        <x:f>IF(M973=0,"해당 없음",N973/M973)</x:f>
        <x:v>0.9</x:v>
      </x:c>
      <x:c r="P973" s="14" t="n">
        <x:v>102</x:v>
      </x:c>
    </x:row>
    <x:row r="974" ht="22" customHeight="1">
      <x:c r="A974" s="14" t="n">
        <x:v>485</x:v>
      </x:c>
      <x:c r="B974" s="14" t="n">
        <x:v>13</x:v>
      </x:c>
      <x:c r="C974" s="14" t="n">
        <x:v>76002</x:v>
      </x:c>
      <x:c r="D974" s="2" t="str">
        <x:v>RED</x:v>
      </x:c>
      <x:c r="E974" s="2" t="str">
        <x:v>0만</x:v>
      </x:c>
      <x:c r="F974" s="2" t="str">
        <x:v>240만</x:v>
      </x:c>
      <x:c r="G974" s="2" t="str">
        <x:v>패</x:v>
      </x:c>
      <x:c r="H974" s="14" t="n">
        <x:v>1</x:v>
      </x:c>
      <x:c r="I974" s="14" t="n">
        <x:v>7</x:v>
      </x:c>
      <x:c r="J974" s="14" t="n">
        <x:v>7</x:v>
      </x:c>
      <x:c r="K974" s="14" t="n">
        <x:v>1</x:v>
      </x:c>
      <x:c r="L974" s="15" t="n">
        <x:f>IF(J974=0,"해당 없음",K974/J974)</x:f>
        <x:v>0.14285714285714285</x:v>
      </x:c>
      <x:c r="M974" s="14" t="n">
        <x:v>8</x:v>
      </x:c>
      <x:c r="N974" s="14" t="n">
        <x:v>8</x:v>
      </x:c>
      <x:c r="O974" s="15" t="n">
        <x:f>IF(M974=0,"해당 없음",N974/M974)</x:f>
        <x:v>1</x:v>
      </x:c>
      <x:c r="P974" s="14" t="n">
        <x:v>103</x:v>
      </x:c>
    </x:row>
    <x:row r="975" ht="22" customHeight="1">
      <x:c r="A975" s="14" t="n">
        <x:v>485</x:v>
      </x:c>
      <x:c r="B975" s="14" t="n">
        <x:v>13</x:v>
      </x:c>
      <x:c r="C975" s="14" t="n">
        <x:v>76002</x:v>
      </x:c>
      <x:c r="D975" s="2" t="str">
        <x:v>NAVY</x:v>
      </x:c>
      <x:c r="E975" s="2" t="str">
        <x:v>240만</x:v>
      </x:c>
      <x:c r="F975" s="2" t="str">
        <x:v>0만</x:v>
      </x:c>
      <x:c r="G975" s="2" t="str">
        <x:v>승</x:v>
      </x:c>
      <x:c r="H975" s="14" t="n">
        <x:v>7</x:v>
      </x:c>
      <x:c r="I975" s="14" t="n">
        <x:v>1</x:v>
      </x:c>
      <x:c r="J975" s="14" t="n">
        <x:v>13</x:v>
      </x:c>
      <x:c r="K975" s="14" t="n">
        <x:v>7</x:v>
      </x:c>
      <x:c r="L975" s="15" t="n">
        <x:f>IF(J975=0,"해당 없음",K975/J975)</x:f>
        <x:v>0.5384615384615384</x:v>
      </x:c>
      <x:c r="M975" s="14" t="n">
        <x:v>5</x:v>
      </x:c>
      <x:c r="N975" s="14" t="n">
        <x:v>4</x:v>
      </x:c>
      <x:c r="O975" s="15" t="n">
        <x:f>IF(M975=0,"해당 없음",N975/M975)</x:f>
        <x:v>0.8</x:v>
      </x:c>
      <x:c r="P975" s="14" t="n">
        <x:v>105</x:v>
      </x:c>
    </x:row>
    <x:row r="976" ht="22" customHeight="1">
      <x:c r="A976" s="14" t="n">
        <x:v>486</x:v>
      </x:c>
      <x:c r="B976" s="14" t="n">
        <x:v>13</x:v>
      </x:c>
      <x:c r="C976" s="14" t="n">
        <x:v>76002</x:v>
      </x:c>
      <x:c r="D976" s="2" t="str">
        <x:v>RED</x:v>
      </x:c>
      <x:c r="E976" s="2" t="str">
        <x:v>240만</x:v>
      </x:c>
      <x:c r="F976" s="2" t="str">
        <x:v>0만</x:v>
      </x:c>
      <x:c r="G976" s="2" t="str">
        <x:v>승</x:v>
      </x:c>
      <x:c r="H976" s="14" t="n">
        <x:v>7</x:v>
      </x:c>
      <x:c r="I976" s="14" t="n">
        <x:v>0</x:v>
      </x:c>
      <x:c r="J976" s="14" t="n">
        <x:v>12</x:v>
      </x:c>
      <x:c r="K976" s="14" t="n">
        <x:v>7</x:v>
      </x:c>
      <x:c r="L976" s="15" t="n">
        <x:f>IF(J976=0,"해당 없음",K976/J976)</x:f>
        <x:v>0.5833333333333334</x:v>
      </x:c>
      <x:c r="M976" s="14" t="n">
        <x:v>6</x:v>
      </x:c>
      <x:c r="N976" s="14" t="n">
        <x:v>5</x:v>
      </x:c>
      <x:c r="O976" s="15" t="n">
        <x:f>IF(M976=0,"해당 없음",N976/M976)</x:f>
        <x:v>0.8333333333333334</x:v>
      </x:c>
      <x:c r="P976" s="14" t="n">
        <x:v>104</x:v>
      </x:c>
    </x:row>
    <x:row r="977" ht="22" customHeight="1">
      <x:c r="A977" s="14" t="n">
        <x:v>486</x:v>
      </x:c>
      <x:c r="B977" s="14" t="n">
        <x:v>13</x:v>
      </x:c>
      <x:c r="C977" s="14" t="n">
        <x:v>76002</x:v>
      </x:c>
      <x:c r="D977" s="2" t="str">
        <x:v>NAVY</x:v>
      </x:c>
      <x:c r="E977" s="2" t="str">
        <x:v>0만</x:v>
      </x:c>
      <x:c r="F977" s="2" t="str">
        <x:v>240만</x:v>
      </x:c>
      <x:c r="G977" s="2" t="str">
        <x:v>패</x:v>
      </x:c>
      <x:c r="H977" s="14" t="n">
        <x:v>0</x:v>
      </x:c>
      <x:c r="I977" s="14" t="n">
        <x:v>7</x:v>
      </x:c>
      <x:c r="J977" s="14" t="n">
        <x:v>8</x:v>
      </x:c>
      <x:c r="K977" s="14" t="n">
        <x:v>0</x:v>
      </x:c>
      <x:c r="L977" s="15" t="n">
        <x:f>IF(J977=0,"해당 없음",K977/J977)</x:f>
        <x:v>0</x:v>
      </x:c>
      <x:c r="M977" s="14" t="n">
        <x:v>6</x:v>
      </x:c>
      <x:c r="N977" s="14" t="n">
        <x:v>6</x:v>
      </x:c>
      <x:c r="O977" s="15" t="n">
        <x:f>IF(M977=0,"해당 없음",N977/M977)</x:f>
        <x:v>1</x:v>
      </x:c>
      <x:c r="P977" s="14" t="n">
        <x:v>104</x:v>
      </x:c>
    </x:row>
    <x:row r="978" ht="22" customHeight="1">
      <x:c r="A978" s="14" t="n">
        <x:v>487</x:v>
      </x:c>
      <x:c r="B978" s="14" t="n">
        <x:v>13</x:v>
      </x:c>
      <x:c r="C978" s="14" t="n">
        <x:v>76003</x:v>
      </x:c>
      <x:c r="D978" s="2" t="str">
        <x:v>RED</x:v>
      </x:c>
      <x:c r="E978" s="2" t="str">
        <x:v>0만</x:v>
      </x:c>
      <x:c r="F978" s="2" t="str">
        <x:v>240만</x:v>
      </x:c>
      <x:c r="G978" s="2" t="str">
        <x:v>패</x:v>
      </x:c>
      <x:c r="H978" s="14" t="n">
        <x:v>0</x:v>
      </x:c>
      <x:c r="I978" s="14" t="n">
        <x:v>8</x:v>
      </x:c>
      <x:c r="J978" s="14" t="n">
        <x:v>4</x:v>
      </x:c>
      <x:c r="K978" s="14" t="n">
        <x:v>0</x:v>
      </x:c>
      <x:c r="L978" s="15" t="n">
        <x:f>IF(J978=0,"해당 없음",K978/J978)</x:f>
        <x:v>0</x:v>
      </x:c>
      <x:c r="M978" s="14" t="n">
        <x:v>8</x:v>
      </x:c>
      <x:c r="N978" s="14" t="n">
        <x:v>6</x:v>
      </x:c>
      <x:c r="O978" s="15" t="n">
        <x:f>IF(M978=0,"해당 없음",N978/M978)</x:f>
        <x:v>0.75</x:v>
      </x:c>
      <x:c r="P978" s="14" t="n">
        <x:v>104</x:v>
      </x:c>
    </x:row>
    <x:row r="979" ht="22" customHeight="1">
      <x:c r="A979" s="14" t="n">
        <x:v>487</x:v>
      </x:c>
      <x:c r="B979" s="14" t="n">
        <x:v>13</x:v>
      </x:c>
      <x:c r="C979" s="14" t="n">
        <x:v>76003</x:v>
      </x:c>
      <x:c r="D979" s="2" t="str">
        <x:v>NAVY</x:v>
      </x:c>
      <x:c r="E979" s="2" t="str">
        <x:v>240만</x:v>
      </x:c>
      <x:c r="F979" s="2" t="str">
        <x:v>0만</x:v>
      </x:c>
      <x:c r="G979" s="2" t="str">
        <x:v>승</x:v>
      </x:c>
      <x:c r="H979" s="14" t="n">
        <x:v>8</x:v>
      </x:c>
      <x:c r="I979" s="14" t="n">
        <x:v>0</x:v>
      </x:c>
      <x:c r="J979" s="14" t="n">
        <x:v>16</x:v>
      </x:c>
      <x:c r="K979" s="14" t="n">
        <x:v>8</x:v>
      </x:c>
      <x:c r="L979" s="15" t="n">
        <x:f>IF(J979=0,"해당 없음",K979/J979)</x:f>
        <x:v>0.5</x:v>
      </x:c>
      <x:c r="M979" s="14" t="n">
        <x:v>10</x:v>
      </x:c>
      <x:c r="N979" s="14" t="n">
        <x:v>8</x:v>
      </x:c>
      <x:c r="O979" s="15" t="n">
        <x:f>IF(M979=0,"해당 없음",N979/M979)</x:f>
        <x:v>0.8</x:v>
      </x:c>
      <x:c r="P979" s="14" t="n">
        <x:v>107</x:v>
      </x:c>
    </x:row>
    <x:row r="980" ht="22" customHeight="1">
      <x:c r="A980" s="14" t="n">
        <x:v>488</x:v>
      </x:c>
      <x:c r="B980" s="14" t="n">
        <x:v>13</x:v>
      </x:c>
      <x:c r="C980" s="14" t="n">
        <x:v>76003</x:v>
      </x:c>
      <x:c r="D980" s="2" t="str">
        <x:v>RED</x:v>
      </x:c>
      <x:c r="E980" s="2" t="str">
        <x:v>240만</x:v>
      </x:c>
      <x:c r="F980" s="2" t="str">
        <x:v>0만</x:v>
      </x:c>
      <x:c r="G980" s="2" t="str">
        <x:v>승</x:v>
      </x:c>
      <x:c r="H980" s="14" t="n">
        <x:v>4</x:v>
      </x:c>
      <x:c r="I980" s="14" t="n">
        <x:v>0</x:v>
      </x:c>
      <x:c r="J980" s="14" t="n">
        <x:v>10</x:v>
      </x:c>
      <x:c r="K980" s="14" t="n">
        <x:v>4</x:v>
      </x:c>
      <x:c r="L980" s="15" t="n">
        <x:f>IF(J980=0,"해당 없음",K980/J980)</x:f>
        <x:v>0.4</x:v>
      </x:c>
      <x:c r="M980" s="14" t="n">
        <x:v>11</x:v>
      </x:c>
      <x:c r="N980" s="14" t="n">
        <x:v>8</x:v>
      </x:c>
      <x:c r="O980" s="15" t="n">
        <x:f>IF(M980=0,"해당 없음",N980/M980)</x:f>
        <x:v>0.7272727272727273</x:v>
      </x:c>
      <x:c r="P980" s="14" t="n">
        <x:v>101</x:v>
      </x:c>
    </x:row>
    <x:row r="981" ht="22" customHeight="1">
      <x:c r="A981" s="14" t="n">
        <x:v>488</x:v>
      </x:c>
      <x:c r="B981" s="14" t="n">
        <x:v>13</x:v>
      </x:c>
      <x:c r="C981" s="14" t="n">
        <x:v>76003</x:v>
      </x:c>
      <x:c r="D981" s="2" t="str">
        <x:v>NAVY</x:v>
      </x:c>
      <x:c r="E981" s="2" t="str">
        <x:v>0만</x:v>
      </x:c>
      <x:c r="F981" s="2" t="str">
        <x:v>240만</x:v>
      </x:c>
      <x:c r="G981" s="2" t="str">
        <x:v>패</x:v>
      </x:c>
      <x:c r="H981" s="14" t="n">
        <x:v>0</x:v>
      </x:c>
      <x:c r="I981" s="14" t="n">
        <x:v>4</x:v>
      </x:c>
      <x:c r="J981" s="14" t="n">
        <x:v>6</x:v>
      </x:c>
      <x:c r="K981" s="14" t="n">
        <x:v>0</x:v>
      </x:c>
      <x:c r="L981" s="15" t="n">
        <x:f>IF(J981=0,"해당 없음",K981/J981)</x:f>
        <x:v>0</x:v>
      </x:c>
      <x:c r="M981" s="14" t="n">
        <x:v>13</x:v>
      </x:c>
      <x:c r="N981" s="14" t="n">
        <x:v>11</x:v>
      </x:c>
      <x:c r="O981" s="15" t="n">
        <x:f>IF(M981=0,"해당 없음",N981/M981)</x:f>
        <x:v>0.8461538461538461</x:v>
      </x:c>
      <x:c r="P981" s="14" t="n">
        <x:v>104</x:v>
      </x:c>
    </x:row>
    <x:row r="982" ht="22" customHeight="1">
      <x:c r="A982" s="14" t="n">
        <x:v>489</x:v>
      </x:c>
      <x:c r="B982" s="14" t="n">
        <x:v>13</x:v>
      </x:c>
      <x:c r="C982" s="14" t="n">
        <x:v>76004</x:v>
      </x:c>
      <x:c r="D982" s="2" t="str">
        <x:v>RED</x:v>
      </x:c>
      <x:c r="E982" s="2" t="str">
        <x:v>0만</x:v>
      </x:c>
      <x:c r="F982" s="2" t="str">
        <x:v>240만</x:v>
      </x:c>
      <x:c r="G982" s="2" t="str">
        <x:v>패</x:v>
      </x:c>
      <x:c r="H982" s="14" t="n">
        <x:v>2</x:v>
      </x:c>
      <x:c r="I982" s="14" t="n">
        <x:v>10</x:v>
      </x:c>
      <x:c r="J982" s="14" t="n">
        <x:v>6</x:v>
      </x:c>
      <x:c r="K982" s="14" t="n">
        <x:v>1</x:v>
      </x:c>
      <x:c r="L982" s="15" t="n">
        <x:f>IF(J982=0,"해당 없음",K982/J982)</x:f>
        <x:v>0.16666666666666666</x:v>
      </x:c>
      <x:c r="M982" s="14" t="n">
        <x:v>9</x:v>
      </x:c>
      <x:c r="N982" s="14" t="n">
        <x:v>7</x:v>
      </x:c>
      <x:c r="O982" s="15" t="n">
        <x:f>IF(M982=0,"해당 없음",N982/M982)</x:f>
        <x:v>0.7777777777777778</x:v>
      </x:c>
      <x:c r="P982" s="14" t="n">
        <x:v>106</x:v>
      </x:c>
    </x:row>
    <x:row r="983" ht="22" customHeight="1">
      <x:c r="A983" s="14" t="n">
        <x:v>489</x:v>
      </x:c>
      <x:c r="B983" s="14" t="n">
        <x:v>13</x:v>
      </x:c>
      <x:c r="C983" s="14" t="n">
        <x:v>76004</x:v>
      </x:c>
      <x:c r="D983" s="2" t="str">
        <x:v>NAVY</x:v>
      </x:c>
      <x:c r="E983" s="2" t="str">
        <x:v>240만</x:v>
      </x:c>
      <x:c r="F983" s="2" t="str">
        <x:v>0만</x:v>
      </x:c>
      <x:c r="G983" s="2" t="str">
        <x:v>승</x:v>
      </x:c>
      <x:c r="H983" s="14" t="n">
        <x:v>10</x:v>
      </x:c>
      <x:c r="I983" s="14" t="n">
        <x:v>2</x:v>
      </x:c>
      <x:c r="J983" s="14" t="n">
        <x:v>15</x:v>
      </x:c>
      <x:c r="K983" s="14" t="n">
        <x:v>10</x:v>
      </x:c>
      <x:c r="L983" s="15" t="n">
        <x:f>IF(J983=0,"해당 없음",K983/J983)</x:f>
        <x:v>0.6666666666666666</x:v>
      </x:c>
      <x:c r="M983" s="14" t="n">
        <x:v>9</x:v>
      </x:c>
      <x:c r="N983" s="14" t="n">
        <x:v>6</x:v>
      </x:c>
      <x:c r="O983" s="15" t="n">
        <x:f>IF(M983=0,"해당 없음",N983/M983)</x:f>
        <x:v>0.6666666666666666</x:v>
      </x:c>
      <x:c r="P983" s="14" t="n">
        <x:v>105</x:v>
      </x:c>
    </x:row>
    <x:row r="984" ht="22" customHeight="1">
      <x:c r="A984" s="14" t="n">
        <x:v>490</x:v>
      </x:c>
      <x:c r="B984" s="14" t="n">
        <x:v>13</x:v>
      </x:c>
      <x:c r="C984" s="14" t="n">
        <x:v>76004</x:v>
      </x:c>
      <x:c r="D984" s="2" t="str">
        <x:v>RED</x:v>
      </x:c>
      <x:c r="E984" s="2" t="str">
        <x:v>240만</x:v>
      </x:c>
      <x:c r="F984" s="2" t="str">
        <x:v>0만</x:v>
      </x:c>
      <x:c r="G984" s="2" t="str">
        <x:v>승</x:v>
      </x:c>
      <x:c r="H984" s="14" t="n">
        <x:v>9</x:v>
      </x:c>
      <x:c r="I984" s="14" t="n">
        <x:v>1</x:v>
      </x:c>
      <x:c r="J984" s="14" t="n">
        <x:v>17</x:v>
      </x:c>
      <x:c r="K984" s="14" t="n">
        <x:v>9</x:v>
      </x:c>
      <x:c r="L984" s="15" t="n">
        <x:f>IF(J984=0,"해당 없음",K984/J984)</x:f>
        <x:v>0.5294117647058824</x:v>
      </x:c>
      <x:c r="M984" s="14" t="n">
        <x:v>6</x:v>
      </x:c>
      <x:c r="N984" s="14" t="n">
        <x:v>6</x:v>
      </x:c>
      <x:c r="O984" s="15" t="n">
        <x:f>IF(M984=0,"해당 없음",N984/M984)</x:f>
        <x:v>1</x:v>
      </x:c>
      <x:c r="P984" s="14" t="n">
        <x:v>105</x:v>
      </x:c>
    </x:row>
    <x:row r="985" ht="22" customHeight="1">
      <x:c r="A985" s="14" t="n">
        <x:v>490</x:v>
      </x:c>
      <x:c r="B985" s="14" t="n">
        <x:v>13</x:v>
      </x:c>
      <x:c r="C985" s="14" t="n">
        <x:v>76004</x:v>
      </x:c>
      <x:c r="D985" s="2" t="str">
        <x:v>NAVY</x:v>
      </x:c>
      <x:c r="E985" s="2" t="str">
        <x:v>0만</x:v>
      </x:c>
      <x:c r="F985" s="2" t="str">
        <x:v>240만</x:v>
      </x:c>
      <x:c r="G985" s="2" t="str">
        <x:v>패</x:v>
      </x:c>
      <x:c r="H985" s="14" t="n">
        <x:v>1</x:v>
      </x:c>
      <x:c r="I985" s="14" t="n">
        <x:v>9</x:v>
      </x:c>
      <x:c r="J985" s="14" t="n">
        <x:v>4</x:v>
      </x:c>
      <x:c r="K985" s="14" t="n">
        <x:v>1</x:v>
      </x:c>
      <x:c r="L985" s="15" t="n">
        <x:f>IF(J985=0,"해당 없음",K985/J985)</x:f>
        <x:v>0.25</x:v>
      </x:c>
      <x:c r="M985" s="14" t="n">
        <x:v>5</x:v>
      </x:c>
      <x:c r="N985" s="14" t="n">
        <x:v>5</x:v>
      </x:c>
      <x:c r="O985" s="15" t="n">
        <x:f>IF(M985=0,"해당 없음",N985/M985)</x:f>
        <x:v>1</x:v>
      </x:c>
      <x:c r="P985" s="14" t="n">
        <x:v>107</x:v>
      </x:c>
    </x:row>
    <x:row r="986" ht="22" customHeight="1">
      <x:c r="A986" s="14" t="n">
        <x:v>491</x:v>
      </x:c>
      <x:c r="B986" s="14" t="n">
        <x:v>13</x:v>
      </x:c>
      <x:c r="C986" s="14" t="n">
        <x:v>76005</x:v>
      </x:c>
      <x:c r="D986" s="2" t="str">
        <x:v>RED</x:v>
      </x:c>
      <x:c r="E986" s="2" t="str">
        <x:v>0만</x:v>
      </x:c>
      <x:c r="F986" s="2" t="str">
        <x:v>240만</x:v>
      </x:c>
      <x:c r="G986" s="2" t="str">
        <x:v>패</x:v>
      </x:c>
      <x:c r="H986" s="14" t="n">
        <x:v>1</x:v>
      </x:c>
      <x:c r="I986" s="14" t="n">
        <x:v>8</x:v>
      </x:c>
      <x:c r="J986" s="14" t="n">
        <x:v>9</x:v>
      </x:c>
      <x:c r="K986" s="14" t="n">
        <x:v>1</x:v>
      </x:c>
      <x:c r="L986" s="15" t="n">
        <x:f>IF(J986=0,"해당 없음",K986/J986)</x:f>
        <x:v>0.1111111111111111</x:v>
      </x:c>
      <x:c r="M986" s="14" t="n">
        <x:v>6</x:v>
      </x:c>
      <x:c r="N986" s="14" t="n">
        <x:v>5</x:v>
      </x:c>
      <x:c r="O986" s="15" t="n">
        <x:f>IF(M986=0,"해당 없음",N986/M986)</x:f>
        <x:v>0.8333333333333334</x:v>
      </x:c>
      <x:c r="P986" s="14" t="n">
        <x:v>106</x:v>
      </x:c>
    </x:row>
    <x:row r="987" ht="22" customHeight="1">
      <x:c r="A987" s="14" t="n">
        <x:v>491</x:v>
      </x:c>
      <x:c r="B987" s="14" t="n">
        <x:v>13</x:v>
      </x:c>
      <x:c r="C987" s="14" t="n">
        <x:v>76005</x:v>
      </x:c>
      <x:c r="D987" s="2" t="str">
        <x:v>NAVY</x:v>
      </x:c>
      <x:c r="E987" s="2" t="str">
        <x:v>240만</x:v>
      </x:c>
      <x:c r="F987" s="2" t="str">
        <x:v>0만</x:v>
      </x:c>
      <x:c r="G987" s="2" t="str">
        <x:v>승</x:v>
      </x:c>
      <x:c r="H987" s="14" t="n">
        <x:v>8</x:v>
      </x:c>
      <x:c r="I987" s="14" t="n">
        <x:v>1</x:v>
      </x:c>
      <x:c r="J987" s="14" t="n">
        <x:v>12</x:v>
      </x:c>
      <x:c r="K987" s="14" t="n">
        <x:v>8</x:v>
      </x:c>
      <x:c r="L987" s="15" t="n">
        <x:f>IF(J987=0,"해당 없음",K987/J987)</x:f>
        <x:v>0.6666666666666666</x:v>
      </x:c>
      <x:c r="M987" s="14" t="n">
        <x:v>13</x:v>
      </x:c>
      <x:c r="N987" s="14" t="n">
        <x:v>10</x:v>
      </x:c>
      <x:c r="O987" s="15" t="n">
        <x:f>IF(M987=0,"해당 없음",N987/M987)</x:f>
        <x:v>0.7692307692307693</x:v>
      </x:c>
      <x:c r="P987" s="14" t="n">
        <x:v>106</x:v>
      </x:c>
    </x:row>
    <x:row r="988" ht="22" customHeight="1">
      <x:c r="A988" s="14" t="n">
        <x:v>492</x:v>
      </x:c>
      <x:c r="B988" s="14" t="n">
        <x:v>13</x:v>
      </x:c>
      <x:c r="C988" s="14" t="n">
        <x:v>76005</x:v>
      </x:c>
      <x:c r="D988" s="2" t="str">
        <x:v>RED</x:v>
      </x:c>
      <x:c r="E988" s="2" t="str">
        <x:v>240만</x:v>
      </x:c>
      <x:c r="F988" s="2" t="str">
        <x:v>0만</x:v>
      </x:c>
      <x:c r="G988" s="2" t="str">
        <x:v>승</x:v>
      </x:c>
      <x:c r="H988" s="14" t="n">
        <x:v>7</x:v>
      </x:c>
      <x:c r="I988" s="14" t="n">
        <x:v>2</x:v>
      </x:c>
      <x:c r="J988" s="14" t="n">
        <x:v>12</x:v>
      </x:c>
      <x:c r="K988" s="14" t="n">
        <x:v>7</x:v>
      </x:c>
      <x:c r="L988" s="15" t="n">
        <x:f>IF(J988=0,"해당 없음",K988/J988)</x:f>
        <x:v>0.5833333333333334</x:v>
      </x:c>
      <x:c r="M988" s="14" t="n">
        <x:v>5</x:v>
      </x:c>
      <x:c r="N988" s="14" t="n">
        <x:v>5</x:v>
      </x:c>
      <x:c r="O988" s="15" t="n">
        <x:f>IF(M988=0,"해당 없음",N988/M988)</x:f>
        <x:v>1</x:v>
      </x:c>
      <x:c r="P988" s="14" t="n">
        <x:v>105</x:v>
      </x:c>
    </x:row>
    <x:row r="989" ht="22" customHeight="1">
      <x:c r="A989" s="14" t="n">
        <x:v>492</x:v>
      </x:c>
      <x:c r="B989" s="14" t="n">
        <x:v>13</x:v>
      </x:c>
      <x:c r="C989" s="14" t="n">
        <x:v>76005</x:v>
      </x:c>
      <x:c r="D989" s="2" t="str">
        <x:v>NAVY</x:v>
      </x:c>
      <x:c r="E989" s="2" t="str">
        <x:v>0만</x:v>
      </x:c>
      <x:c r="F989" s="2" t="str">
        <x:v>240만</x:v>
      </x:c>
      <x:c r="G989" s="2" t="str">
        <x:v>패</x:v>
      </x:c>
      <x:c r="H989" s="14" t="n">
        <x:v>2</x:v>
      </x:c>
      <x:c r="I989" s="14" t="n">
        <x:v>7</x:v>
      </x:c>
      <x:c r="J989" s="14" t="n">
        <x:v>5</x:v>
      </x:c>
      <x:c r="K989" s="14" t="n">
        <x:v>2</x:v>
      </x:c>
      <x:c r="L989" s="15" t="n">
        <x:f>IF(J989=0,"해당 없음",K989/J989)</x:f>
        <x:v>0.4</x:v>
      </x:c>
      <x:c r="M989" s="14" t="n">
        <x:v>4</x:v>
      </x:c>
      <x:c r="N989" s="14" t="n">
        <x:v>4</x:v>
      </x:c>
      <x:c r="O989" s="15" t="n">
        <x:f>IF(M989=0,"해당 없음",N989/M989)</x:f>
        <x:v>1</x:v>
      </x:c>
      <x:c r="P989" s="14" t="n">
        <x:v>104</x:v>
      </x:c>
    </x:row>
    <x:row r="990" ht="22" customHeight="1">
      <x:c r="A990" s="14" t="n">
        <x:v>493</x:v>
      </x:c>
      <x:c r="B990" s="14" t="n">
        <x:v>13</x:v>
      </x:c>
      <x:c r="C990" s="14" t="n">
        <x:v>76006</x:v>
      </x:c>
      <x:c r="D990" s="2" t="str">
        <x:v>RED</x:v>
      </x:c>
      <x:c r="E990" s="2" t="str">
        <x:v>0만</x:v>
      </x:c>
      <x:c r="F990" s="2" t="str">
        <x:v>240만</x:v>
      </x:c>
      <x:c r="G990" s="2" t="str">
        <x:v>패</x:v>
      </x:c>
      <x:c r="H990" s="14" t="n">
        <x:v>1</x:v>
      </x:c>
      <x:c r="I990" s="14" t="n">
        <x:v>8</x:v>
      </x:c>
      <x:c r="J990" s="14" t="n">
        <x:v>6</x:v>
      </x:c>
      <x:c r="K990" s="14" t="n">
        <x:v>0</x:v>
      </x:c>
      <x:c r="L990" s="15" t="n">
        <x:f>IF(J990=0,"해당 없음",K990/J990)</x:f>
        <x:v>0</x:v>
      </x:c>
      <x:c r="M990" s="14" t="n">
        <x:v>3</x:v>
      </x:c>
      <x:c r="N990" s="14" t="n">
        <x:v>3</x:v>
      </x:c>
      <x:c r="O990" s="15" t="n">
        <x:f>IF(M990=0,"해당 없음",N990/M990)</x:f>
        <x:v>1</x:v>
      </x:c>
      <x:c r="P990" s="14" t="n">
        <x:v>106</x:v>
      </x:c>
    </x:row>
    <x:row r="991" ht="22" customHeight="1">
      <x:c r="A991" s="14" t="n">
        <x:v>493</x:v>
      </x:c>
      <x:c r="B991" s="14" t="n">
        <x:v>13</x:v>
      </x:c>
      <x:c r="C991" s="14" t="n">
        <x:v>76006</x:v>
      </x:c>
      <x:c r="D991" s="2" t="str">
        <x:v>NAVY</x:v>
      </x:c>
      <x:c r="E991" s="2" t="str">
        <x:v>240만</x:v>
      </x:c>
      <x:c r="F991" s="2" t="str">
        <x:v>0만</x:v>
      </x:c>
      <x:c r="G991" s="2" t="str">
        <x:v>승</x:v>
      </x:c>
      <x:c r="H991" s="14" t="n">
        <x:v>8</x:v>
      </x:c>
      <x:c r="I991" s="14" t="n">
        <x:v>1</x:v>
      </x:c>
      <x:c r="J991" s="14" t="n">
        <x:v>11</x:v>
      </x:c>
      <x:c r="K991" s="14" t="n">
        <x:v>8</x:v>
      </x:c>
      <x:c r="L991" s="15" t="n">
        <x:f>IF(J991=0,"해당 없음",K991/J991)</x:f>
        <x:v>0.7272727272727273</x:v>
      </x:c>
      <x:c r="M991" s="14" t="n">
        <x:v>7</x:v>
      </x:c>
      <x:c r="N991" s="14" t="n">
        <x:v>5</x:v>
      </x:c>
      <x:c r="O991" s="15" t="n">
        <x:f>IF(M991=0,"해당 없음",N991/M991)</x:f>
        <x:v>0.7142857142857143</x:v>
      </x:c>
      <x:c r="P991" s="14" t="n">
        <x:v>105</x:v>
      </x:c>
    </x:row>
    <x:row r="992" ht="22" customHeight="1">
      <x:c r="A992" s="14" t="n">
        <x:v>494</x:v>
      </x:c>
      <x:c r="B992" s="14" t="n">
        <x:v>13</x:v>
      </x:c>
      <x:c r="C992" s="14" t="n">
        <x:v>76006</x:v>
      </x:c>
      <x:c r="D992" s="2" t="str">
        <x:v>RED</x:v>
      </x:c>
      <x:c r="E992" s="2" t="str">
        <x:v>240만</x:v>
      </x:c>
      <x:c r="F992" s="2" t="str">
        <x:v>0만</x:v>
      </x:c>
      <x:c r="G992" s="2" t="str">
        <x:v>승</x:v>
      </x:c>
      <x:c r="H992" s="14" t="n">
        <x:v>8</x:v>
      </x:c>
      <x:c r="I992" s="14" t="n">
        <x:v>0</x:v>
      </x:c>
      <x:c r="J992" s="14" t="n">
        <x:v>16</x:v>
      </x:c>
      <x:c r="K992" s="14" t="n">
        <x:v>8</x:v>
      </x:c>
      <x:c r="L992" s="15" t="n">
        <x:f>IF(J992=0,"해당 없음",K992/J992)</x:f>
        <x:v>0.5</x:v>
      </x:c>
      <x:c r="M992" s="14" t="n">
        <x:v>8</x:v>
      </x:c>
      <x:c r="N992" s="14" t="n">
        <x:v>6</x:v>
      </x:c>
      <x:c r="O992" s="15" t="n">
        <x:f>IF(M992=0,"해당 없음",N992/M992)</x:f>
        <x:v>0.75</x:v>
      </x:c>
      <x:c r="P992" s="14" t="n">
        <x:v>104</x:v>
      </x:c>
    </x:row>
    <x:row r="993" ht="22" customHeight="1">
      <x:c r="A993" s="14" t="n">
        <x:v>494</x:v>
      </x:c>
      <x:c r="B993" s="14" t="n">
        <x:v>13</x:v>
      </x:c>
      <x:c r="C993" s="14" t="n">
        <x:v>76006</x:v>
      </x:c>
      <x:c r="D993" s="2" t="str">
        <x:v>NAVY</x:v>
      </x:c>
      <x:c r="E993" s="2" t="str">
        <x:v>0만</x:v>
      </x:c>
      <x:c r="F993" s="2" t="str">
        <x:v>240만</x:v>
      </x:c>
      <x:c r="G993" s="2" t="str">
        <x:v>패</x:v>
      </x:c>
      <x:c r="H993" s="14" t="n">
        <x:v>0</x:v>
      </x:c>
      <x:c r="I993" s="14" t="n">
        <x:v>8</x:v>
      </x:c>
      <x:c r="J993" s="14" t="n">
        <x:v>5</x:v>
      </x:c>
      <x:c r="K993" s="14" t="n">
        <x:v>0</x:v>
      </x:c>
      <x:c r="L993" s="15" t="n">
        <x:f>IF(J993=0,"해당 없음",K993/J993)</x:f>
        <x:v>0</x:v>
      </x:c>
      <x:c r="M993" s="14" t="n">
        <x:v>11</x:v>
      </x:c>
      <x:c r="N993" s="14" t="n">
        <x:v>9</x:v>
      </x:c>
      <x:c r="O993" s="15" t="n">
        <x:f>IF(M993=0,"해당 없음",N993/M993)</x:f>
        <x:v>0.8181818181818182</x:v>
      </x:c>
      <x:c r="P993" s="14" t="n">
        <x:v>105</x:v>
      </x:c>
    </x:row>
    <x:row r="994" ht="22" customHeight="1">
      <x:c r="A994" s="14" t="n">
        <x:v>495</x:v>
      </x:c>
      <x:c r="B994" s="14" t="n">
        <x:v>13</x:v>
      </x:c>
      <x:c r="C994" s="14" t="n">
        <x:v>76007</x:v>
      </x:c>
      <x:c r="D994" s="2" t="str">
        <x:v>RED</x:v>
      </x:c>
      <x:c r="E994" s="2" t="str">
        <x:v>0만</x:v>
      </x:c>
      <x:c r="F994" s="2" t="str">
        <x:v>240만</x:v>
      </x:c>
      <x:c r="G994" s="2" t="str">
        <x:v>패</x:v>
      </x:c>
      <x:c r="H994" s="14" t="n">
        <x:v>0</x:v>
      </x:c>
      <x:c r="I994" s="14" t="n">
        <x:v>7</x:v>
      </x:c>
      <x:c r="J994" s="14" t="n">
        <x:v>6</x:v>
      </x:c>
      <x:c r="K994" s="14" t="n">
        <x:v>0</x:v>
      </x:c>
      <x:c r="L994" s="15" t="n">
        <x:f>IF(J994=0,"해당 없음",K994/J994)</x:f>
        <x:v>0</x:v>
      </x:c>
      <x:c r="M994" s="14" t="n">
        <x:v>5</x:v>
      </x:c>
      <x:c r="N994" s="14" t="n">
        <x:v>5</x:v>
      </x:c>
      <x:c r="O994" s="15" t="n">
        <x:f>IF(M994=0,"해당 없음",N994/M994)</x:f>
        <x:v>1</x:v>
      </x:c>
      <x:c r="P994" s="14" t="n">
        <x:v>104</x:v>
      </x:c>
    </x:row>
    <x:row r="995" ht="22" customHeight="1">
      <x:c r="A995" s="14" t="n">
        <x:v>495</x:v>
      </x:c>
      <x:c r="B995" s="14" t="n">
        <x:v>13</x:v>
      </x:c>
      <x:c r="C995" s="14" t="n">
        <x:v>76007</x:v>
      </x:c>
      <x:c r="D995" s="2" t="str">
        <x:v>NAVY</x:v>
      </x:c>
      <x:c r="E995" s="2" t="str">
        <x:v>240만</x:v>
      </x:c>
      <x:c r="F995" s="2" t="str">
        <x:v>0만</x:v>
      </x:c>
      <x:c r="G995" s="2" t="str">
        <x:v>승</x:v>
      </x:c>
      <x:c r="H995" s="14" t="n">
        <x:v>7</x:v>
      </x:c>
      <x:c r="I995" s="14" t="n">
        <x:v>0</x:v>
      </x:c>
      <x:c r="J995" s="14" t="n">
        <x:v>14</x:v>
      </x:c>
      <x:c r="K995" s="14" t="n">
        <x:v>7</x:v>
      </x:c>
      <x:c r="L995" s="15" t="n">
        <x:f>IF(J995=0,"해당 없음",K995/J995)</x:f>
        <x:v>0.5</x:v>
      </x:c>
      <x:c r="M995" s="14" t="n">
        <x:v>9</x:v>
      </x:c>
      <x:c r="N995" s="14" t="n">
        <x:v>7</x:v>
      </x:c>
      <x:c r="O995" s="15" t="n">
        <x:f>IF(M995=0,"해당 없음",N995/M995)</x:f>
        <x:v>0.7777777777777778</x:v>
      </x:c>
      <x:c r="P995" s="14" t="n">
        <x:v>104</x:v>
      </x:c>
    </x:row>
    <x:row r="996" ht="22" customHeight="1">
      <x:c r="A996" s="14" t="n">
        <x:v>496</x:v>
      </x:c>
      <x:c r="B996" s="14" t="n">
        <x:v>13</x:v>
      </x:c>
      <x:c r="C996" s="14" t="n">
        <x:v>76007</x:v>
      </x:c>
      <x:c r="D996" s="2" t="str">
        <x:v>RED</x:v>
      </x:c>
      <x:c r="E996" s="2" t="str">
        <x:v>240만</x:v>
      </x:c>
      <x:c r="F996" s="2" t="str">
        <x:v>0만</x:v>
      </x:c>
      <x:c r="G996" s="2" t="str">
        <x:v>승</x:v>
      </x:c>
      <x:c r="H996" s="14" t="n">
        <x:v>7</x:v>
      </x:c>
      <x:c r="I996" s="14" t="n">
        <x:v>1</x:v>
      </x:c>
      <x:c r="J996" s="14" t="n">
        <x:v>12</x:v>
      </x:c>
      <x:c r="K996" s="14" t="n">
        <x:v>7</x:v>
      </x:c>
      <x:c r="L996" s="15" t="n">
        <x:f>IF(J996=0,"해당 없음",K996/J996)</x:f>
        <x:v>0.5833333333333334</x:v>
      </x:c>
      <x:c r="M996" s="14" t="n">
        <x:v>8</x:v>
      </x:c>
      <x:c r="N996" s="14" t="n">
        <x:v>5</x:v>
      </x:c>
      <x:c r="O996" s="15" t="n">
        <x:f>IF(M996=0,"해당 없음",N996/M996)</x:f>
        <x:v>0.625</x:v>
      </x:c>
      <x:c r="P996" s="14" t="n">
        <x:v>105</x:v>
      </x:c>
    </x:row>
    <x:row r="997" ht="22" customHeight="1">
      <x:c r="A997" s="14" t="n">
        <x:v>496</x:v>
      </x:c>
      <x:c r="B997" s="14" t="n">
        <x:v>13</x:v>
      </x:c>
      <x:c r="C997" s="14" t="n">
        <x:v>76007</x:v>
      </x:c>
      <x:c r="D997" s="2" t="str">
        <x:v>NAVY</x:v>
      </x:c>
      <x:c r="E997" s="2" t="str">
        <x:v>0만</x:v>
      </x:c>
      <x:c r="F997" s="2" t="str">
        <x:v>240만</x:v>
      </x:c>
      <x:c r="G997" s="2" t="str">
        <x:v>패</x:v>
      </x:c>
      <x:c r="H997" s="14" t="n">
        <x:v>1</x:v>
      </x:c>
      <x:c r="I997" s="14" t="n">
        <x:v>7</x:v>
      </x:c>
      <x:c r="J997" s="14" t="n">
        <x:v>5</x:v>
      </x:c>
      <x:c r="K997" s="14" t="n">
        <x:v>1</x:v>
      </x:c>
      <x:c r="L997" s="15" t="n">
        <x:f>IF(J997=0,"해당 없음",K997/J997)</x:f>
        <x:v>0.2</x:v>
      </x:c>
      <x:c r="M997" s="14" t="n">
        <x:v>4</x:v>
      </x:c>
      <x:c r="N997" s="14" t="n">
        <x:v>4</x:v>
      </x:c>
      <x:c r="O997" s="15" t="n">
        <x:f>IF(M997=0,"해당 없음",N997/M997)</x:f>
        <x:v>1</x:v>
      </x:c>
      <x:c r="P997" s="14" t="n">
        <x:v>106</x:v>
      </x:c>
    </x:row>
    <x:row r="998" ht="22" customHeight="1">
      <x:c r="A998" s="14" t="n">
        <x:v>497</x:v>
      </x:c>
      <x:c r="B998" s="14" t="n">
        <x:v>13</x:v>
      </x:c>
      <x:c r="C998" s="14" t="n">
        <x:v>76008</x:v>
      </x:c>
      <x:c r="D998" s="2" t="str">
        <x:v>RED</x:v>
      </x:c>
      <x:c r="E998" s="2" t="str">
        <x:v>0만</x:v>
      </x:c>
      <x:c r="F998" s="2" t="str">
        <x:v>240만</x:v>
      </x:c>
      <x:c r="G998" s="2" t="str">
        <x:v>패</x:v>
      </x:c>
      <x:c r="H998" s="14" t="n">
        <x:v>2</x:v>
      </x:c>
      <x:c r="I998" s="14" t="n">
        <x:v>3</x:v>
      </x:c>
      <x:c r="J998" s="14" t="n">
        <x:v>7</x:v>
      </x:c>
      <x:c r="K998" s="14" t="n">
        <x:v>2</x:v>
      </x:c>
      <x:c r="L998" s="15" t="n">
        <x:f>IF(J998=0,"해당 없음",K998/J998)</x:f>
        <x:v>0.2857142857142857</x:v>
      </x:c>
      <x:c r="M998" s="14" t="n">
        <x:v>12</x:v>
      </x:c>
      <x:c r="N998" s="14" t="n">
        <x:v>8</x:v>
      </x:c>
      <x:c r="O998" s="15" t="n">
        <x:f>IF(M998=0,"해당 없음",N998/M998)</x:f>
        <x:v>0.6666666666666666</x:v>
      </x:c>
      <x:c r="P998" s="14" t="n">
        <x:v>103</x:v>
      </x:c>
    </x:row>
    <x:row r="999" ht="22" customHeight="1">
      <x:c r="A999" s="14" t="n">
        <x:v>497</x:v>
      </x:c>
      <x:c r="B999" s="14" t="n">
        <x:v>13</x:v>
      </x:c>
      <x:c r="C999" s="14" t="n">
        <x:v>76008</x:v>
      </x:c>
      <x:c r="D999" s="2" t="str">
        <x:v>NAVY</x:v>
      </x:c>
      <x:c r="E999" s="2" t="str">
        <x:v>240만</x:v>
      </x:c>
      <x:c r="F999" s="2" t="str">
        <x:v>0만</x:v>
      </x:c>
      <x:c r="G999" s="2" t="str">
        <x:v>승</x:v>
      </x:c>
      <x:c r="H999" s="14" t="n">
        <x:v>3</x:v>
      </x:c>
      <x:c r="I999" s="14" t="n">
        <x:v>2</x:v>
      </x:c>
      <x:c r="J999" s="14" t="n">
        <x:v>10</x:v>
      </x:c>
      <x:c r="K999" s="14" t="n">
        <x:v>3</x:v>
      </x:c>
      <x:c r="L999" s="15" t="n">
        <x:f>IF(J999=0,"해당 없음",K999/J999)</x:f>
        <x:v>0.3</x:v>
      </x:c>
      <x:c r="M999" s="14" t="n">
        <x:v>9</x:v>
      </x:c>
      <x:c r="N999" s="14" t="n">
        <x:v>7</x:v>
      </x:c>
      <x:c r="O999" s="15" t="n">
        <x:f>IF(M999=0,"해당 없음",N999/M999)</x:f>
        <x:v>0.7777777777777778</x:v>
      </x:c>
      <x:c r="P999" s="14" t="n">
        <x:v>104</x:v>
      </x:c>
    </x:row>
    <x:row r="1000" ht="22" customHeight="1">
      <x:c r="A1000" s="14" t="n">
        <x:v>498</x:v>
      </x:c>
      <x:c r="B1000" s="14" t="n">
        <x:v>13</x:v>
      </x:c>
      <x:c r="C1000" s="14" t="n">
        <x:v>76008</x:v>
      </x:c>
      <x:c r="D1000" s="2" t="str">
        <x:v>RED</x:v>
      </x:c>
      <x:c r="E1000" s="2" t="str">
        <x:v>240만</x:v>
      </x:c>
      <x:c r="F1000" s="2" t="str">
        <x:v>0만</x:v>
      </x:c>
      <x:c r="G1000" s="2" t="str">
        <x:v>승</x:v>
      </x:c>
      <x:c r="H1000" s="14" t="n">
        <x:v>8</x:v>
      </x:c>
      <x:c r="I1000" s="14" t="n">
        <x:v>1</x:v>
      </x:c>
      <x:c r="J1000" s="14" t="n">
        <x:v>19</x:v>
      </x:c>
      <x:c r="K1000" s="14" t="n">
        <x:v>8</x:v>
      </x:c>
      <x:c r="L1000" s="15" t="n">
        <x:f>IF(J1000=0,"해당 없음",K1000/J1000)</x:f>
        <x:v>0.42105263157894735</x:v>
      </x:c>
      <x:c r="M1000" s="14" t="n">
        <x:v>3</x:v>
      </x:c>
      <x:c r="N1000" s="14" t="n">
        <x:v>3</x:v>
      </x:c>
      <x:c r="O1000" s="15" t="n">
        <x:f>IF(M1000=0,"해당 없음",N1000/M1000)</x:f>
        <x:v>1</x:v>
      </x:c>
      <x:c r="P1000" s="14" t="n">
        <x:v>105</x:v>
      </x:c>
    </x:row>
    <x:row r="1001" ht="22" customHeight="1">
      <x:c r="A1001" s="14" t="n">
        <x:v>498</x:v>
      </x:c>
      <x:c r="B1001" s="14" t="n">
        <x:v>13</x:v>
      </x:c>
      <x:c r="C1001" s="14" t="n">
        <x:v>76008</x:v>
      </x:c>
      <x:c r="D1001" s="2" t="str">
        <x:v>NAVY</x:v>
      </x:c>
      <x:c r="E1001" s="2" t="str">
        <x:v>0만</x:v>
      </x:c>
      <x:c r="F1001" s="2" t="str">
        <x:v>240만</x:v>
      </x:c>
      <x:c r="G1001" s="2" t="str">
        <x:v>패</x:v>
      </x:c>
      <x:c r="H1001" s="14" t="n">
        <x:v>1</x:v>
      </x:c>
      <x:c r="I1001" s="14" t="n">
        <x:v>8</x:v>
      </x:c>
      <x:c r="J1001" s="14" t="n">
        <x:v>4</x:v>
      </x:c>
      <x:c r="K1001" s="14" t="n">
        <x:v>1</x:v>
      </x:c>
      <x:c r="L1001" s="15" t="n">
        <x:f>IF(J1001=0,"해당 없음",K1001/J1001)</x:f>
        <x:v>0.25</x:v>
      </x:c>
      <x:c r="M1001" s="14" t="n">
        <x:v>7</x:v>
      </x:c>
      <x:c r="N1001" s="14" t="n">
        <x:v>4</x:v>
      </x:c>
      <x:c r="O1001" s="15" t="n">
        <x:f>IF(M1001=0,"해당 없음",N1001/M1001)</x:f>
        <x:v>0.5714285714285714</x:v>
      </x:c>
      <x:c r="P1001" s="14" t="n">
        <x:v>106</x:v>
      </x:c>
    </x:row>
    <x:row r="1002" ht="22" customHeight="1">
      <x:c r="A1002" s="14" t="n">
        <x:v>499</x:v>
      </x:c>
      <x:c r="B1002" s="14" t="n">
        <x:v>13</x:v>
      </x:c>
      <x:c r="C1002" s="14" t="n">
        <x:v>76009</x:v>
      </x:c>
      <x:c r="D1002" s="2" t="str">
        <x:v>RED</x:v>
      </x:c>
      <x:c r="E1002" s="2" t="str">
        <x:v>0만</x:v>
      </x:c>
      <x:c r="F1002" s="2" t="str">
        <x:v>240만</x:v>
      </x:c>
      <x:c r="G1002" s="2" t="str">
        <x:v>패</x:v>
      </x:c>
      <x:c r="H1002" s="14" t="n">
        <x:v>1</x:v>
      </x:c>
      <x:c r="I1002" s="14" t="n">
        <x:v>9</x:v>
      </x:c>
      <x:c r="J1002" s="14" t="n">
        <x:v>5</x:v>
      </x:c>
      <x:c r="K1002" s="14" t="n">
        <x:v>1</x:v>
      </x:c>
      <x:c r="L1002" s="15" t="n">
        <x:f>IF(J1002=0,"해당 없음",K1002/J1002)</x:f>
        <x:v>0.2</x:v>
      </x:c>
      <x:c r="M1002" s="14" t="n">
        <x:v>10</x:v>
      </x:c>
      <x:c r="N1002" s="14" t="n">
        <x:v>10</x:v>
      </x:c>
      <x:c r="O1002" s="15" t="n">
        <x:f>IF(M1002=0,"해당 없음",N1002/M1002)</x:f>
        <x:v>1</x:v>
      </x:c>
      <x:c r="P1002" s="14" t="n">
        <x:v>104</x:v>
      </x:c>
    </x:row>
    <x:row r="1003" ht="22" customHeight="1">
      <x:c r="A1003" s="14" t="n">
        <x:v>499</x:v>
      </x:c>
      <x:c r="B1003" s="14" t="n">
        <x:v>13</x:v>
      </x:c>
      <x:c r="C1003" s="14" t="n">
        <x:v>76009</x:v>
      </x:c>
      <x:c r="D1003" s="2" t="str">
        <x:v>NAVY</x:v>
      </x:c>
      <x:c r="E1003" s="2" t="str">
        <x:v>240만</x:v>
      </x:c>
      <x:c r="F1003" s="2" t="str">
        <x:v>0만</x:v>
      </x:c>
      <x:c r="G1003" s="2" t="str">
        <x:v>승</x:v>
      </x:c>
      <x:c r="H1003" s="14" t="n">
        <x:v>9</x:v>
      </x:c>
      <x:c r="I1003" s="14" t="n">
        <x:v>1</x:v>
      </x:c>
      <x:c r="J1003" s="14" t="n">
        <x:v>13</x:v>
      </x:c>
      <x:c r="K1003" s="14" t="n">
        <x:v>9</x:v>
      </x:c>
      <x:c r="L1003" s="15" t="n">
        <x:f>IF(J1003=0,"해당 없음",K1003/J1003)</x:f>
        <x:v>0.6923076923076923</x:v>
      </x:c>
      <x:c r="M1003" s="14" t="n">
        <x:v>7</x:v>
      </x:c>
      <x:c r="N1003" s="14" t="n">
        <x:v>6</x:v>
      </x:c>
      <x:c r="O1003" s="15" t="n">
        <x:f>IF(M1003=0,"해당 없음",N1003/M1003)</x:f>
        <x:v>0.8571428571428571</x:v>
      </x:c>
      <x:c r="P1003" s="14" t="n">
        <x:v>103</x:v>
      </x:c>
    </x:row>
    <x:row r="1004" ht="22" customHeight="1">
      <x:c r="A1004" s="14" t="n">
        <x:v>500</x:v>
      </x:c>
      <x:c r="B1004" s="14" t="n">
        <x:v>13</x:v>
      </x:c>
      <x:c r="C1004" s="14" t="n">
        <x:v>76009</x:v>
      </x:c>
      <x:c r="D1004" s="2" t="str">
        <x:v>RED</x:v>
      </x:c>
      <x:c r="E1004" s="2" t="str">
        <x:v>240만</x:v>
      </x:c>
      <x:c r="F1004" s="2" t="str">
        <x:v>0만</x:v>
      </x:c>
      <x:c r="G1004" s="2" t="str">
        <x:v>승</x:v>
      </x:c>
      <x:c r="H1004" s="14" t="n">
        <x:v>5</x:v>
      </x:c>
      <x:c r="I1004" s="14" t="n">
        <x:v>3</x:v>
      </x:c>
      <x:c r="J1004" s="14" t="n">
        <x:v>10</x:v>
      </x:c>
      <x:c r="K1004" s="14" t="n">
        <x:v>5</x:v>
      </x:c>
      <x:c r="L1004" s="15" t="n">
        <x:f>IF(J1004=0,"해당 없음",K1004/J1004)</x:f>
        <x:v>0.5</x:v>
      </x:c>
      <x:c r="M1004" s="14" t="n">
        <x:v>6</x:v>
      </x:c>
      <x:c r="N1004" s="14" t="n">
        <x:v>4</x:v>
      </x:c>
      <x:c r="O1004" s="15" t="n">
        <x:f>IF(M1004=0,"해당 없음",N1004/M1004)</x:f>
        <x:v>0.6666666666666666</x:v>
      </x:c>
      <x:c r="P1004" s="14" t="n">
        <x:v>105</x:v>
      </x:c>
    </x:row>
    <x:row r="1005" ht="22" customHeight="1">
      <x:c r="A1005" s="14" t="n">
        <x:v>500</x:v>
      </x:c>
      <x:c r="B1005" s="14" t="n">
        <x:v>13</x:v>
      </x:c>
      <x:c r="C1005" s="14" t="n">
        <x:v>76009</x:v>
      </x:c>
      <x:c r="D1005" s="2" t="str">
        <x:v>NAVY</x:v>
      </x:c>
      <x:c r="E1005" s="2" t="str">
        <x:v>0만</x:v>
      </x:c>
      <x:c r="F1005" s="2" t="str">
        <x:v>240만</x:v>
      </x:c>
      <x:c r="G1005" s="2" t="str">
        <x:v>패</x:v>
      </x:c>
      <x:c r="H1005" s="14" t="n">
        <x:v>3</x:v>
      </x:c>
      <x:c r="I1005" s="14" t="n">
        <x:v>5</x:v>
      </x:c>
      <x:c r="J1005" s="14" t="n">
        <x:v>6</x:v>
      </x:c>
      <x:c r="K1005" s="14" t="n">
        <x:v>3</x:v>
      </x:c>
      <x:c r="L1005" s="15" t="n">
        <x:f>IF(J1005=0,"해당 없음",K1005/J1005)</x:f>
        <x:v>0.5</x:v>
      </x:c>
      <x:c r="M1005" s="14" t="n">
        <x:v>9</x:v>
      </x:c>
      <x:c r="N1005" s="14" t="n">
        <x:v>7</x:v>
      </x:c>
      <x:c r="O1005" s="15" t="n">
        <x:f>IF(M1005=0,"해당 없음",N1005/M1005)</x:f>
        <x:v>0.7777777777777778</x:v>
      </x:c>
      <x:c r="P1005" s="14" t="n">
        <x:v>104</x:v>
      </x:c>
    </x:row>
    <x:row r="1006" ht="22" customHeight="1">
      <x:c r="A1006" s="14" t="n">
        <x:v>501</x:v>
      </x:c>
      <x:c r="B1006" s="14" t="n">
        <x:v>13</x:v>
      </x:c>
      <x:c r="C1006" s="14" t="n">
        <x:v>76010</x:v>
      </x:c>
      <x:c r="D1006" s="2" t="str">
        <x:v>RED</x:v>
      </x:c>
      <x:c r="E1006" s="2" t="str">
        <x:v>0만</x:v>
      </x:c>
      <x:c r="F1006" s="2" t="str">
        <x:v>240만</x:v>
      </x:c>
      <x:c r="G1006" s="2" t="str">
        <x:v>패</x:v>
      </x:c>
      <x:c r="H1006" s="14" t="n">
        <x:v>1</x:v>
      </x:c>
      <x:c r="I1006" s="14" t="n">
        <x:v>6</x:v>
      </x:c>
      <x:c r="J1006" s="14" t="n">
        <x:v>8</x:v>
      </x:c>
      <x:c r="K1006" s="14" t="n">
        <x:v>1</x:v>
      </x:c>
      <x:c r="L1006" s="15" t="n">
        <x:f>IF(J1006=0,"해당 없음",K1006/J1006)</x:f>
        <x:v>0.125</x:v>
      </x:c>
      <x:c r="M1006" s="14" t="n">
        <x:v>7</x:v>
      </x:c>
      <x:c r="N1006" s="14" t="n">
        <x:v>7</x:v>
      </x:c>
      <x:c r="O1006" s="15" t="n">
        <x:f>IF(M1006=0,"해당 없음",N1006/M1006)</x:f>
        <x:v>1</x:v>
      </x:c>
      <x:c r="P1006" s="14" t="n">
        <x:v>102</x:v>
      </x:c>
    </x:row>
    <x:row r="1007" ht="22" customHeight="1">
      <x:c r="A1007" s="14" t="n">
        <x:v>501</x:v>
      </x:c>
      <x:c r="B1007" s="14" t="n">
        <x:v>13</x:v>
      </x:c>
      <x:c r="C1007" s="14" t="n">
        <x:v>76010</x:v>
      </x:c>
      <x:c r="D1007" s="2" t="str">
        <x:v>NAVY</x:v>
      </x:c>
      <x:c r="E1007" s="2" t="str">
        <x:v>240만</x:v>
      </x:c>
      <x:c r="F1007" s="2" t="str">
        <x:v>0만</x:v>
      </x:c>
      <x:c r="G1007" s="2" t="str">
        <x:v>승</x:v>
      </x:c>
      <x:c r="H1007" s="14" t="n">
        <x:v>6</x:v>
      </x:c>
      <x:c r="I1007" s="14" t="n">
        <x:v>1</x:v>
      </x:c>
      <x:c r="J1007" s="14" t="n">
        <x:v>11</x:v>
      </x:c>
      <x:c r="K1007" s="14" t="n">
        <x:v>6</x:v>
      </x:c>
      <x:c r="L1007" s="15" t="n">
        <x:f>IF(J1007=0,"해당 없음",K1007/J1007)</x:f>
        <x:v>0.5454545454545454</x:v>
      </x:c>
      <x:c r="M1007" s="14" t="n">
        <x:v>10</x:v>
      </x:c>
      <x:c r="N1007" s="14" t="n">
        <x:v>9</x:v>
      </x:c>
      <x:c r="O1007" s="15" t="n">
        <x:f>IF(M1007=0,"해당 없음",N1007/M1007)</x:f>
        <x:v>0.9</x:v>
      </x:c>
      <x:c r="P1007" s="14" t="n">
        <x:v>104</x:v>
      </x:c>
    </x:row>
    <x:row r="1008" ht="22" customHeight="1">
      <x:c r="A1008" s="14" t="n">
        <x:v>502</x:v>
      </x:c>
      <x:c r="B1008" s="14" t="n">
        <x:v>13</x:v>
      </x:c>
      <x:c r="C1008" s="14" t="n">
        <x:v>76010</x:v>
      </x:c>
      <x:c r="D1008" s="2" t="str">
        <x:v>RED</x:v>
      </x:c>
      <x:c r="E1008" s="2" t="str">
        <x:v>240만</x:v>
      </x:c>
      <x:c r="F1008" s="2" t="str">
        <x:v>0만</x:v>
      </x:c>
      <x:c r="G1008" s="2" t="str">
        <x:v>승</x:v>
      </x:c>
      <x:c r="H1008" s="14" t="n">
        <x:v>9</x:v>
      </x:c>
      <x:c r="I1008" s="14" t="n">
        <x:v>0</x:v>
      </x:c>
      <x:c r="J1008" s="14" t="n">
        <x:v>13</x:v>
      </x:c>
      <x:c r="K1008" s="14" t="n">
        <x:v>9</x:v>
      </x:c>
      <x:c r="L1008" s="15" t="n">
        <x:f>IF(J1008=0,"해당 없음",K1008/J1008)</x:f>
        <x:v>0.6923076923076923</x:v>
      </x:c>
      <x:c r="M1008" s="14" t="n">
        <x:v>6</x:v>
      </x:c>
      <x:c r="N1008" s="14" t="n">
        <x:v>4</x:v>
      </x:c>
      <x:c r="O1008" s="15" t="n">
        <x:f>IF(M1008=0,"해당 없음",N1008/M1008)</x:f>
        <x:v>0.6666666666666666</x:v>
      </x:c>
      <x:c r="P1008" s="14" t="n">
        <x:v>105</x:v>
      </x:c>
    </x:row>
    <x:row r="1009" ht="22" customHeight="1">
      <x:c r="A1009" s="14" t="n">
        <x:v>502</x:v>
      </x:c>
      <x:c r="B1009" s="14" t="n">
        <x:v>13</x:v>
      </x:c>
      <x:c r="C1009" s="14" t="n">
        <x:v>76010</x:v>
      </x:c>
      <x:c r="D1009" s="2" t="str">
        <x:v>NAVY</x:v>
      </x:c>
      <x:c r="E1009" s="2" t="str">
        <x:v>0만</x:v>
      </x:c>
      <x:c r="F1009" s="2" t="str">
        <x:v>240만</x:v>
      </x:c>
      <x:c r="G1009" s="2" t="str">
        <x:v>패</x:v>
      </x:c>
      <x:c r="H1009" s="14" t="n">
        <x:v>0</x:v>
      </x:c>
      <x:c r="I1009" s="14" t="n">
        <x:v>9</x:v>
      </x:c>
      <x:c r="J1009" s="14" t="n">
        <x:v>3</x:v>
      </x:c>
      <x:c r="K1009" s="14" t="n">
        <x:v>0</x:v>
      </x:c>
      <x:c r="L1009" s="15" t="n">
        <x:f>IF(J1009=0,"해당 없음",K1009/J1009)</x:f>
        <x:v>0</x:v>
      </x:c>
      <x:c r="M1009" s="14" t="n">
        <x:v>7</x:v>
      </x:c>
      <x:c r="N1009" s="14" t="n">
        <x:v>6</x:v>
      </x:c>
      <x:c r="O1009" s="15" t="n">
        <x:f>IF(M1009=0,"해당 없음",N1009/M1009)</x:f>
        <x:v>0.8571428571428571</x:v>
      </x:c>
      <x:c r="P1009" s="14" t="n">
        <x:v>104</x:v>
      </x:c>
    </x:row>
    <x:row r="1010" ht="22" customHeight="1">
      <x:c r="A1010" s="14" t="n">
        <x:v>503</x:v>
      </x:c>
      <x:c r="B1010" s="14" t="n">
        <x:v>13</x:v>
      </x:c>
      <x:c r="C1010" s="14" t="n">
        <x:v>76011</x:v>
      </x:c>
      <x:c r="D1010" s="2" t="str">
        <x:v>RED</x:v>
      </x:c>
      <x:c r="E1010" s="2" t="str">
        <x:v>0만</x:v>
      </x:c>
      <x:c r="F1010" s="2" t="str">
        <x:v>240만</x:v>
      </x:c>
      <x:c r="G1010" s="2" t="str">
        <x:v>패</x:v>
      </x:c>
      <x:c r="H1010" s="14" t="n">
        <x:v>0</x:v>
      </x:c>
      <x:c r="I1010" s="14" t="n">
        <x:v>5</x:v>
      </x:c>
      <x:c r="J1010" s="14" t="n">
        <x:v>4</x:v>
      </x:c>
      <x:c r="K1010" s="14" t="n">
        <x:v>0</x:v>
      </x:c>
      <x:c r="L1010" s="15" t="n">
        <x:f>IF(J1010=0,"해당 없음",K1010/J1010)</x:f>
        <x:v>0</x:v>
      </x:c>
      <x:c r="M1010" s="14" t="n">
        <x:v>11</x:v>
      </x:c>
      <x:c r="N1010" s="14" t="n">
        <x:v>10</x:v>
      </x:c>
      <x:c r="O1010" s="15" t="n">
        <x:f>IF(M1010=0,"해당 없음",N1010/M1010)</x:f>
        <x:v>0.9090909090909091</x:v>
      </x:c>
      <x:c r="P1010" s="14" t="n">
        <x:v>102</x:v>
      </x:c>
    </x:row>
    <x:row r="1011" ht="22" customHeight="1">
      <x:c r="A1011" s="14" t="n">
        <x:v>503</x:v>
      </x:c>
      <x:c r="B1011" s="14" t="n">
        <x:v>13</x:v>
      </x:c>
      <x:c r="C1011" s="14" t="n">
        <x:v>76011</x:v>
      </x:c>
      <x:c r="D1011" s="2" t="str">
        <x:v>NAVY</x:v>
      </x:c>
      <x:c r="E1011" s="2" t="str">
        <x:v>240만</x:v>
      </x:c>
      <x:c r="F1011" s="2" t="str">
        <x:v>0만</x:v>
      </x:c>
      <x:c r="G1011" s="2" t="str">
        <x:v>승</x:v>
      </x:c>
      <x:c r="H1011" s="14" t="n">
        <x:v>5</x:v>
      </x:c>
      <x:c r="I1011" s="14" t="n">
        <x:v>0</x:v>
      </x:c>
      <x:c r="J1011" s="14" t="n">
        <x:v>12</x:v>
      </x:c>
      <x:c r="K1011" s="14" t="n">
        <x:v>5</x:v>
      </x:c>
      <x:c r="L1011" s="15" t="n">
        <x:f>IF(J1011=0,"해당 없음",K1011/J1011)</x:f>
        <x:v>0.4166666666666667</x:v>
      </x:c>
      <x:c r="M1011" s="14" t="n">
        <x:v>6</x:v>
      </x:c>
      <x:c r="N1011" s="14" t="n">
        <x:v>4</x:v>
      </x:c>
      <x:c r="O1011" s="15" t="n">
        <x:f>IF(M1011=0,"해당 없음",N1011/M1011)</x:f>
        <x:v>0.6666666666666666</x:v>
      </x:c>
      <x:c r="P1011" s="14" t="n">
        <x:v>103</x:v>
      </x:c>
    </x:row>
    <x:row r="1012" ht="22" customHeight="1">
      <x:c r="A1012" s="14" t="n">
        <x:v>504</x:v>
      </x:c>
      <x:c r="B1012" s="14" t="n">
        <x:v>13</x:v>
      </x:c>
      <x:c r="C1012" s="14" t="n">
        <x:v>76011</x:v>
      </x:c>
      <x:c r="D1012" s="2" t="str">
        <x:v>RED</x:v>
      </x:c>
      <x:c r="E1012" s="2" t="str">
        <x:v>240만</x:v>
      </x:c>
      <x:c r="F1012" s="2" t="str">
        <x:v>0만</x:v>
      </x:c>
      <x:c r="G1012" s="2" t="str">
        <x:v>승</x:v>
      </x:c>
      <x:c r="H1012" s="14" t="n">
        <x:v>5</x:v>
      </x:c>
      <x:c r="I1012" s="14" t="n">
        <x:v>1</x:v>
      </x:c>
      <x:c r="J1012" s="14" t="n">
        <x:v>10</x:v>
      </x:c>
      <x:c r="K1012" s="14" t="n">
        <x:v>5</x:v>
      </x:c>
      <x:c r="L1012" s="15" t="n">
        <x:f>IF(J1012=0,"해당 없음",K1012/J1012)</x:f>
        <x:v>0.5</x:v>
      </x:c>
      <x:c r="M1012" s="14" t="n">
        <x:v>11</x:v>
      </x:c>
      <x:c r="N1012" s="14" t="n">
        <x:v>4</x:v>
      </x:c>
      <x:c r="O1012" s="15" t="n">
        <x:f>IF(M1012=0,"해당 없음",N1012/M1012)</x:f>
        <x:v>0.36363636363636365</x:v>
      </x:c>
      <x:c r="P1012" s="14" t="n">
        <x:v>102</x:v>
      </x:c>
    </x:row>
    <x:row r="1013" ht="22" customHeight="1">
      <x:c r="A1013" s="14" t="n">
        <x:v>504</x:v>
      </x:c>
      <x:c r="B1013" s="14" t="n">
        <x:v>13</x:v>
      </x:c>
      <x:c r="C1013" s="14" t="n">
        <x:v>76011</x:v>
      </x:c>
      <x:c r="D1013" s="2" t="str">
        <x:v>NAVY</x:v>
      </x:c>
      <x:c r="E1013" s="2" t="str">
        <x:v>0만</x:v>
      </x:c>
      <x:c r="F1013" s="2" t="str">
        <x:v>240만</x:v>
      </x:c>
      <x:c r="G1013" s="2" t="str">
        <x:v>패</x:v>
      </x:c>
      <x:c r="H1013" s="14" t="n">
        <x:v>1</x:v>
      </x:c>
      <x:c r="I1013" s="14" t="n">
        <x:v>5</x:v>
      </x:c>
      <x:c r="J1013" s="14" t="n">
        <x:v>9</x:v>
      </x:c>
      <x:c r="K1013" s="14" t="n">
        <x:v>1</x:v>
      </x:c>
      <x:c r="L1013" s="15" t="n">
        <x:f>IF(J1013=0,"해당 없음",K1013/J1013)</x:f>
        <x:v>0.1111111111111111</x:v>
      </x:c>
      <x:c r="M1013" s="14" t="n">
        <x:v>10</x:v>
      </x:c>
      <x:c r="N1013" s="14" t="n">
        <x:v>6</x:v>
      </x:c>
      <x:c r="O1013" s="15" t="n">
        <x:f>IF(M1013=0,"해당 없음",N1013/M1013)</x:f>
        <x:v>0.6</x:v>
      </x:c>
      <x:c r="P1013" s="14" t="n">
        <x:v>105</x:v>
      </x:c>
    </x:row>
    <x:row r="1014" ht="22" customHeight="1">
      <x:c r="A1014" s="14" t="n">
        <x:v>505</x:v>
      </x:c>
      <x:c r="B1014" s="14" t="n">
        <x:v>13</x:v>
      </x:c>
      <x:c r="C1014" s="14" t="n">
        <x:v>76012</x:v>
      </x:c>
      <x:c r="D1014" s="2" t="str">
        <x:v>RED</x:v>
      </x:c>
      <x:c r="E1014" s="2" t="str">
        <x:v>0만</x:v>
      </x:c>
      <x:c r="F1014" s="2" t="str">
        <x:v>240만</x:v>
      </x:c>
      <x:c r="G1014" s="2" t="str">
        <x:v>패</x:v>
      </x:c>
      <x:c r="H1014" s="14" t="n">
        <x:v>1</x:v>
      </x:c>
      <x:c r="I1014" s="14" t="n">
        <x:v>5</x:v>
      </x:c>
      <x:c r="J1014" s="14" t="n">
        <x:v>7</x:v>
      </x:c>
      <x:c r="K1014" s="14" t="n">
        <x:v>1</x:v>
      </x:c>
      <x:c r="L1014" s="15" t="n">
        <x:f>IF(J1014=0,"해당 없음",K1014/J1014)</x:f>
        <x:v>0.14285714285714285</x:v>
      </x:c>
      <x:c r="M1014" s="14" t="n">
        <x:v>8</x:v>
      </x:c>
      <x:c r="N1014" s="14" t="n">
        <x:v>7</x:v>
      </x:c>
      <x:c r="O1014" s="15" t="n">
        <x:f>IF(M1014=0,"해당 없음",N1014/M1014)</x:f>
        <x:v>0.875</x:v>
      </x:c>
      <x:c r="P1014" s="14" t="n">
        <x:v>101</x:v>
      </x:c>
    </x:row>
    <x:row r="1015" ht="22" customHeight="1">
      <x:c r="A1015" s="14" t="n">
        <x:v>505</x:v>
      </x:c>
      <x:c r="B1015" s="14" t="n">
        <x:v>13</x:v>
      </x:c>
      <x:c r="C1015" s="14" t="n">
        <x:v>76012</x:v>
      </x:c>
      <x:c r="D1015" s="2" t="str">
        <x:v>NAVY</x:v>
      </x:c>
      <x:c r="E1015" s="2" t="str">
        <x:v>240만</x:v>
      </x:c>
      <x:c r="F1015" s="2" t="str">
        <x:v>0만</x:v>
      </x:c>
      <x:c r="G1015" s="2" t="str">
        <x:v>승</x:v>
      </x:c>
      <x:c r="H1015" s="14" t="n">
        <x:v>5</x:v>
      </x:c>
      <x:c r="I1015" s="14" t="n">
        <x:v>1</x:v>
      </x:c>
      <x:c r="J1015" s="14" t="n">
        <x:v>12</x:v>
      </x:c>
      <x:c r="K1015" s="14" t="n">
        <x:v>5</x:v>
      </x:c>
      <x:c r="L1015" s="15" t="n">
        <x:f>IF(J1015=0,"해당 없음",K1015/J1015)</x:f>
        <x:v>0.4166666666666667</x:v>
      </x:c>
      <x:c r="M1015" s="14" t="n">
        <x:v>8</x:v>
      </x:c>
      <x:c r="N1015" s="14" t="n">
        <x:v>6</x:v>
      </x:c>
      <x:c r="O1015" s="15" t="n">
        <x:f>IF(M1015=0,"해당 없음",N1015/M1015)</x:f>
        <x:v>0.75</x:v>
      </x:c>
      <x:c r="P1015" s="14" t="n">
        <x:v>103</x:v>
      </x:c>
    </x:row>
    <x:row r="1016" ht="22" customHeight="1">
      <x:c r="A1016" s="14" t="n">
        <x:v>506</x:v>
      </x:c>
      <x:c r="B1016" s="14" t="n">
        <x:v>13</x:v>
      </x:c>
      <x:c r="C1016" s="14" t="n">
        <x:v>76012</x:v>
      </x:c>
      <x:c r="D1016" s="2" t="str">
        <x:v>RED</x:v>
      </x:c>
      <x:c r="E1016" s="2" t="str">
        <x:v>240만</x:v>
      </x:c>
      <x:c r="F1016" s="2" t="str">
        <x:v>0만</x:v>
      </x:c>
      <x:c r="G1016" s="2" t="str">
        <x:v>승</x:v>
      </x:c>
      <x:c r="H1016" s="14" t="n">
        <x:v>12</x:v>
      </x:c>
      <x:c r="I1016" s="14" t="n">
        <x:v>1</x:v>
      </x:c>
      <x:c r="J1016" s="14" t="n">
        <x:v>15</x:v>
      </x:c>
      <x:c r="K1016" s="14" t="n">
        <x:v>12</x:v>
      </x:c>
      <x:c r="L1016" s="15" t="n">
        <x:f>IF(J1016=0,"해당 없음",K1016/J1016)</x:f>
        <x:v>0.8</x:v>
      </x:c>
      <x:c r="M1016" s="14" t="n">
        <x:v>4</x:v>
      </x:c>
      <x:c r="N1016" s="14" t="n">
        <x:v>4</x:v>
      </x:c>
      <x:c r="O1016" s="15" t="n">
        <x:f>IF(M1016=0,"해당 없음",N1016/M1016)</x:f>
        <x:v>1</x:v>
      </x:c>
      <x:c r="P1016" s="14" t="n">
        <x:v>107</x:v>
      </x:c>
    </x:row>
    <x:row r="1017" ht="22" customHeight="1">
      <x:c r="A1017" s="14" t="n">
        <x:v>506</x:v>
      </x:c>
      <x:c r="B1017" s="14" t="n">
        <x:v>13</x:v>
      </x:c>
      <x:c r="C1017" s="14" t="n">
        <x:v>76012</x:v>
      </x:c>
      <x:c r="D1017" s="2" t="str">
        <x:v>NAVY</x:v>
      </x:c>
      <x:c r="E1017" s="2" t="str">
        <x:v>0만</x:v>
      </x:c>
      <x:c r="F1017" s="2" t="str">
        <x:v>240만</x:v>
      </x:c>
      <x:c r="G1017" s="2" t="str">
        <x:v>패</x:v>
      </x:c>
      <x:c r="H1017" s="14" t="n">
        <x:v>1</x:v>
      </x:c>
      <x:c r="I1017" s="14" t="n">
        <x:v>12</x:v>
      </x:c>
      <x:c r="J1017" s="14" t="n">
        <x:v>3</x:v>
      </x:c>
      <x:c r="K1017" s="14" t="n">
        <x:v>1</x:v>
      </x:c>
      <x:c r="L1017" s="15" t="n">
        <x:f>IF(J1017=0,"해당 없음",K1017/J1017)</x:f>
        <x:v>0.3333333333333333</x:v>
      </x:c>
      <x:c r="M1017" s="14" t="n">
        <x:v>3</x:v>
      </x:c>
      <x:c r="N1017" s="14" t="n">
        <x:v>3</x:v>
      </x:c>
      <x:c r="O1017" s="15" t="n">
        <x:f>IF(M1017=0,"해당 없음",N1017/M1017)</x:f>
        <x:v>1</x:v>
      </x:c>
      <x:c r="P1017" s="14" t="n">
        <x:v>108</x:v>
      </x:c>
    </x:row>
    <x:row r="1018" ht="22" customHeight="1">
      <x:c r="A1018" s="14" t="n">
        <x:v>507</x:v>
      </x:c>
      <x:c r="B1018" s="14" t="n">
        <x:v>13</x:v>
      </x:c>
      <x:c r="C1018" s="14" t="n">
        <x:v>76013</x:v>
      </x:c>
      <x:c r="D1018" s="2" t="str">
        <x:v>RED</x:v>
      </x:c>
      <x:c r="E1018" s="2" t="str">
        <x:v>0만</x:v>
      </x:c>
      <x:c r="F1018" s="2" t="str">
        <x:v>240만</x:v>
      </x:c>
      <x:c r="G1018" s="2" t="str">
        <x:v>패</x:v>
      </x:c>
      <x:c r="H1018" s="14" t="n">
        <x:v>0</x:v>
      </x:c>
      <x:c r="I1018" s="14" t="n">
        <x:v>7</x:v>
      </x:c>
      <x:c r="J1018" s="14" t="n">
        <x:v>4</x:v>
      </x:c>
      <x:c r="K1018" s="14" t="n">
        <x:v>0</x:v>
      </x:c>
      <x:c r="L1018" s="15" t="n">
        <x:f>IF(J1018=0,"해당 없음",K1018/J1018)</x:f>
        <x:v>0</x:v>
      </x:c>
      <x:c r="M1018" s="14" t="n">
        <x:v>10</x:v>
      </x:c>
      <x:c r="N1018" s="14" t="n">
        <x:v>8</x:v>
      </x:c>
      <x:c r="O1018" s="15" t="n">
        <x:f>IF(M1018=0,"해당 없음",N1018/M1018)</x:f>
        <x:v>0.8</x:v>
      </x:c>
      <x:c r="P1018" s="14" t="n">
        <x:v>103</x:v>
      </x:c>
    </x:row>
    <x:row r="1019" ht="22" customHeight="1">
      <x:c r="A1019" s="14" t="n">
        <x:v>507</x:v>
      </x:c>
      <x:c r="B1019" s="14" t="n">
        <x:v>13</x:v>
      </x:c>
      <x:c r="C1019" s="14" t="n">
        <x:v>76013</x:v>
      </x:c>
      <x:c r="D1019" s="2" t="str">
        <x:v>NAVY</x:v>
      </x:c>
      <x:c r="E1019" s="2" t="str">
        <x:v>240만</x:v>
      </x:c>
      <x:c r="F1019" s="2" t="str">
        <x:v>0만</x:v>
      </x:c>
      <x:c r="G1019" s="2" t="str">
        <x:v>승</x:v>
      </x:c>
      <x:c r="H1019" s="14" t="n">
        <x:v>7</x:v>
      </x:c>
      <x:c r="I1019" s="14" t="n">
        <x:v>0</x:v>
      </x:c>
      <x:c r="J1019" s="14" t="n">
        <x:v>15</x:v>
      </x:c>
      <x:c r="K1019" s="14" t="n">
        <x:v>7</x:v>
      </x:c>
      <x:c r="L1019" s="15" t="n">
        <x:f>IF(J1019=0,"해당 없음",K1019/J1019)</x:f>
        <x:v>0.4666666666666667</x:v>
      </x:c>
      <x:c r="M1019" s="14" t="n">
        <x:v>4</x:v>
      </x:c>
      <x:c r="N1019" s="14" t="n">
        <x:v>4</x:v>
      </x:c>
      <x:c r="O1019" s="15" t="n">
        <x:f>IF(M1019=0,"해당 없음",N1019/M1019)</x:f>
        <x:v>1</x:v>
      </x:c>
      <x:c r="P1019" s="14" t="n">
        <x:v>103</x:v>
      </x:c>
    </x:row>
    <x:row r="1020" ht="22" customHeight="1">
      <x:c r="A1020" s="14" t="n">
        <x:v>508</x:v>
      </x:c>
      <x:c r="B1020" s="14" t="n">
        <x:v>13</x:v>
      </x:c>
      <x:c r="C1020" s="14" t="n">
        <x:v>76013</x:v>
      </x:c>
      <x:c r="D1020" s="2" t="str">
        <x:v>RED</x:v>
      </x:c>
      <x:c r="E1020" s="2" t="str">
        <x:v>240만</x:v>
      </x:c>
      <x:c r="F1020" s="2" t="str">
        <x:v>0만</x:v>
      </x:c>
      <x:c r="G1020" s="2" t="str">
        <x:v>승</x:v>
      </x:c>
      <x:c r="H1020" s="14" t="n">
        <x:v>3</x:v>
      </x:c>
      <x:c r="I1020" s="14" t="n">
        <x:v>0</x:v>
      </x:c>
      <x:c r="J1020" s="14" t="n">
        <x:v>10</x:v>
      </x:c>
      <x:c r="K1020" s="14" t="n">
        <x:v>3</x:v>
      </x:c>
      <x:c r="L1020" s="15" t="n">
        <x:f>IF(J1020=0,"해당 없음",K1020/J1020)</x:f>
        <x:v>0.3</x:v>
      </x:c>
      <x:c r="M1020" s="14" t="n">
        <x:v>8</x:v>
      </x:c>
      <x:c r="N1020" s="14" t="n">
        <x:v>6</x:v>
      </x:c>
      <x:c r="O1020" s="15" t="n">
        <x:f>IF(M1020=0,"해당 없음",N1020/M1020)</x:f>
        <x:v>0.75</x:v>
      </x:c>
      <x:c r="P1020" s="14" t="n">
        <x:v>103</x:v>
      </x:c>
    </x:row>
    <x:row r="1021" ht="22" customHeight="1">
      <x:c r="A1021" s="14" t="n">
        <x:v>508</x:v>
      </x:c>
      <x:c r="B1021" s="14" t="n">
        <x:v>13</x:v>
      </x:c>
      <x:c r="C1021" s="14" t="n">
        <x:v>76013</x:v>
      </x:c>
      <x:c r="D1021" s="2" t="str">
        <x:v>NAVY</x:v>
      </x:c>
      <x:c r="E1021" s="2" t="str">
        <x:v>0만</x:v>
      </x:c>
      <x:c r="F1021" s="2" t="str">
        <x:v>240만</x:v>
      </x:c>
      <x:c r="G1021" s="2" t="str">
        <x:v>패</x:v>
      </x:c>
      <x:c r="H1021" s="14" t="n">
        <x:v>0</x:v>
      </x:c>
      <x:c r="I1021" s="14" t="n">
        <x:v>3</x:v>
      </x:c>
      <x:c r="J1021" s="14" t="n">
        <x:v>5</x:v>
      </x:c>
      <x:c r="K1021" s="14" t="n">
        <x:v>0</x:v>
      </x:c>
      <x:c r="L1021" s="15" t="n">
        <x:f>IF(J1021=0,"해당 없음",K1021/J1021)</x:f>
        <x:v>0</x:v>
      </x:c>
      <x:c r="M1021" s="14" t="n">
        <x:v>7</x:v>
      </x:c>
      <x:c r="N1021" s="14" t="n">
        <x:v>5</x:v>
      </x:c>
      <x:c r="O1021" s="15" t="n">
        <x:f>IF(M1021=0,"해당 없음",N1021/M1021)</x:f>
        <x:v>0.7142857142857143</x:v>
      </x:c>
      <x:c r="P1021" s="14" t="n">
        <x:v>102</x:v>
      </x:c>
    </x:row>
    <x:row r="1022" ht="22" customHeight="1">
      <x:c r="A1022" s="14" t="n">
        <x:v>509</x:v>
      </x:c>
      <x:c r="B1022" s="14" t="n">
        <x:v>13</x:v>
      </x:c>
      <x:c r="C1022" s="14" t="n">
        <x:v>76014</x:v>
      </x:c>
      <x:c r="D1022" s="2" t="str">
        <x:v>RED</x:v>
      </x:c>
      <x:c r="E1022" s="2" t="str">
        <x:v>0만</x:v>
      </x:c>
      <x:c r="F1022" s="2" t="str">
        <x:v>240만</x:v>
      </x:c>
      <x:c r="G1022" s="2" t="str">
        <x:v>패</x:v>
      </x:c>
      <x:c r="H1022" s="14" t="n">
        <x:v>0</x:v>
      </x:c>
      <x:c r="I1022" s="14" t="n">
        <x:v>9</x:v>
      </x:c>
      <x:c r="J1022" s="14" t="n">
        <x:v>4</x:v>
      </x:c>
      <x:c r="K1022" s="14" t="n">
        <x:v>0</x:v>
      </x:c>
      <x:c r="L1022" s="15" t="n">
        <x:f>IF(J1022=0,"해당 없음",K1022/J1022)</x:f>
        <x:v>0</x:v>
      </x:c>
      <x:c r="M1022" s="14" t="n">
        <x:v>1</x:v>
      </x:c>
      <x:c r="N1022" s="14" t="n">
        <x:v>1</x:v>
      </x:c>
      <x:c r="O1022" s="15" t="n">
        <x:f>IF(M1022=0,"해당 없음",N1022/M1022)</x:f>
        <x:v>1</x:v>
      </x:c>
      <x:c r="P1022" s="14" t="n">
        <x:v>105</x:v>
      </x:c>
    </x:row>
    <x:row r="1023" ht="22" customHeight="1">
      <x:c r="A1023" s="14" t="n">
        <x:v>509</x:v>
      </x:c>
      <x:c r="B1023" s="14" t="n">
        <x:v>13</x:v>
      </x:c>
      <x:c r="C1023" s="14" t="n">
        <x:v>76014</x:v>
      </x:c>
      <x:c r="D1023" s="2" t="str">
        <x:v>NAVY</x:v>
      </x:c>
      <x:c r="E1023" s="2" t="str">
        <x:v>240만</x:v>
      </x:c>
      <x:c r="F1023" s="2" t="str">
        <x:v>0만</x:v>
      </x:c>
      <x:c r="G1023" s="2" t="str">
        <x:v>승</x:v>
      </x:c>
      <x:c r="H1023" s="14" t="n">
        <x:v>9</x:v>
      </x:c>
      <x:c r="I1023" s="14" t="n">
        <x:v>0</x:v>
      </x:c>
      <x:c r="J1023" s="14" t="n">
        <x:v>15</x:v>
      </x:c>
      <x:c r="K1023" s="14" t="n">
        <x:v>9</x:v>
      </x:c>
      <x:c r="L1023" s="15" t="n">
        <x:f>IF(J1023=0,"해당 없음",K1023/J1023)</x:f>
        <x:v>0.6</x:v>
      </x:c>
      <x:c r="M1023" s="14" t="n">
        <x:v>8</x:v>
      </x:c>
      <x:c r="N1023" s="14" t="n">
        <x:v>5</x:v>
      </x:c>
      <x:c r="O1023" s="15" t="n">
        <x:f>IF(M1023=0,"해당 없음",N1023/M1023)</x:f>
        <x:v>0.625</x:v>
      </x:c>
      <x:c r="P1023" s="14" t="n">
        <x:v>105</x:v>
      </x:c>
    </x:row>
    <x:row r="1024" ht="22" customHeight="1">
      <x:c r="A1024" s="14" t="n">
        <x:v>510</x:v>
      </x:c>
      <x:c r="B1024" s="14" t="n">
        <x:v>13</x:v>
      </x:c>
      <x:c r="C1024" s="14" t="n">
        <x:v>76014</x:v>
      </x:c>
      <x:c r="D1024" s="2" t="str">
        <x:v>RED</x:v>
      </x:c>
      <x:c r="E1024" s="2" t="str">
        <x:v>240만</x:v>
      </x:c>
      <x:c r="F1024" s="2" t="str">
        <x:v>0만</x:v>
      </x:c>
      <x:c r="G1024" s="2" t="str">
        <x:v>승</x:v>
      </x:c>
      <x:c r="H1024" s="14" t="n">
        <x:v>9</x:v>
      </x:c>
      <x:c r="I1024" s="14" t="n">
        <x:v>2</x:v>
      </x:c>
      <x:c r="J1024" s="14" t="n">
        <x:v>15</x:v>
      </x:c>
      <x:c r="K1024" s="14" t="n">
        <x:v>9</x:v>
      </x:c>
      <x:c r="L1024" s="15" t="n">
        <x:f>IF(J1024=0,"해당 없음",K1024/J1024)</x:f>
        <x:v>0.6</x:v>
      </x:c>
      <x:c r="M1024" s="14" t="n">
        <x:v>10</x:v>
      </x:c>
      <x:c r="N1024" s="14" t="n">
        <x:v>5</x:v>
      </x:c>
      <x:c r="O1024" s="15" t="n">
        <x:f>IF(M1024=0,"해당 없음",N1024/M1024)</x:f>
        <x:v>0.5</x:v>
      </x:c>
      <x:c r="P1024" s="14" t="n">
        <x:v>107</x:v>
      </x:c>
    </x:row>
    <x:row r="1025" ht="22" customHeight="1">
      <x:c r="A1025" s="14" t="n">
        <x:v>510</x:v>
      </x:c>
      <x:c r="B1025" s="14" t="n">
        <x:v>13</x:v>
      </x:c>
      <x:c r="C1025" s="14" t="n">
        <x:v>76014</x:v>
      </x:c>
      <x:c r="D1025" s="2" t="str">
        <x:v>NAVY</x:v>
      </x:c>
      <x:c r="E1025" s="2" t="str">
        <x:v>0만</x:v>
      </x:c>
      <x:c r="F1025" s="2" t="str">
        <x:v>240만</x:v>
      </x:c>
      <x:c r="G1025" s="2" t="str">
        <x:v>패</x:v>
      </x:c>
      <x:c r="H1025" s="14" t="n">
        <x:v>2</x:v>
      </x:c>
      <x:c r="I1025" s="14" t="n">
        <x:v>9</x:v>
      </x:c>
      <x:c r="J1025" s="14" t="n">
        <x:v>11</x:v>
      </x:c>
      <x:c r="K1025" s="14" t="n">
        <x:v>2</x:v>
      </x:c>
      <x:c r="L1025" s="15" t="n">
        <x:f>IF(J1025=0,"해당 없음",K1025/J1025)</x:f>
        <x:v>0.18181818181818182</x:v>
      </x:c>
      <x:c r="M1025" s="14" t="n">
        <x:v>5</x:v>
      </x:c>
      <x:c r="N1025" s="14" t="n">
        <x:v>4</x:v>
      </x:c>
      <x:c r="O1025" s="15" t="n">
        <x:f>IF(M1025=0,"해당 없음",N1025/M1025)</x:f>
        <x:v>0.8</x:v>
      </x:c>
      <x:c r="P1025" s="14" t="n">
        <x:v>107</x:v>
      </x:c>
    </x:row>
    <x:row r="1026" ht="22" customHeight="1">
      <x:c r="A1026" s="14" t="n">
        <x:v>511</x:v>
      </x:c>
      <x:c r="B1026" s="14" t="n">
        <x:v>13</x:v>
      </x:c>
      <x:c r="C1026" s="14" t="n">
        <x:v>76015</x:v>
      </x:c>
      <x:c r="D1026" s="2" t="str">
        <x:v>RED</x:v>
      </x:c>
      <x:c r="E1026" s="2" t="str">
        <x:v>0만</x:v>
      </x:c>
      <x:c r="F1026" s="2" t="str">
        <x:v>240만</x:v>
      </x:c>
      <x:c r="G1026" s="2" t="str">
        <x:v>패</x:v>
      </x:c>
      <x:c r="H1026" s="14" t="n">
        <x:v>1</x:v>
      </x:c>
      <x:c r="I1026" s="14" t="n">
        <x:v>12</x:v>
      </x:c>
      <x:c r="J1026" s="14" t="n">
        <x:v>2</x:v>
      </x:c>
      <x:c r="K1026" s="14" t="n">
        <x:v>1</x:v>
      </x:c>
      <x:c r="L1026" s="15" t="n">
        <x:f>IF(J1026=0,"해당 없음",K1026/J1026)</x:f>
        <x:v>0.5</x:v>
      </x:c>
      <x:c r="M1026" s="14" t="n">
        <x:v>8</x:v>
      </x:c>
      <x:c r="N1026" s="14" t="n">
        <x:v>7</x:v>
      </x:c>
      <x:c r="O1026" s="15" t="n">
        <x:f>IF(M1026=0,"해당 없음",N1026/M1026)</x:f>
        <x:v>0.875</x:v>
      </x:c>
      <x:c r="P1026" s="14" t="n">
        <x:v>105</x:v>
      </x:c>
    </x:row>
    <x:row r="1027" ht="22" customHeight="1">
      <x:c r="A1027" s="14" t="n">
        <x:v>511</x:v>
      </x:c>
      <x:c r="B1027" s="14" t="n">
        <x:v>13</x:v>
      </x:c>
      <x:c r="C1027" s="14" t="n">
        <x:v>76015</x:v>
      </x:c>
      <x:c r="D1027" s="2" t="str">
        <x:v>NAVY</x:v>
      </x:c>
      <x:c r="E1027" s="2" t="str">
        <x:v>240만</x:v>
      </x:c>
      <x:c r="F1027" s="2" t="str">
        <x:v>0만</x:v>
      </x:c>
      <x:c r="G1027" s="2" t="str">
        <x:v>승</x:v>
      </x:c>
      <x:c r="H1027" s="14" t="n">
        <x:v>12</x:v>
      </x:c>
      <x:c r="I1027" s="14" t="n">
        <x:v>1</x:v>
      </x:c>
      <x:c r="J1027" s="14" t="n">
        <x:v>19</x:v>
      </x:c>
      <x:c r="K1027" s="14" t="n">
        <x:v>11</x:v>
      </x:c>
      <x:c r="L1027" s="15" t="n">
        <x:f>IF(J1027=0,"해당 없음",K1027/J1027)</x:f>
        <x:v>0.5789473684210527</x:v>
      </x:c>
      <x:c r="M1027" s="14" t="n">
        <x:v>4</x:v>
      </x:c>
      <x:c r="N1027" s="14" t="n">
        <x:v>4</x:v>
      </x:c>
      <x:c r="O1027" s="15" t="n">
        <x:f>IF(M1027=0,"해당 없음",N1027/M1027)</x:f>
        <x:v>1</x:v>
      </x:c>
      <x:c r="P1027" s="14" t="n">
        <x:v>105</x:v>
      </x:c>
    </x:row>
    <x:row r="1028" ht="22" customHeight="1">
      <x:c r="A1028" s="14" t="n">
        <x:v>512</x:v>
      </x:c>
      <x:c r="B1028" s="14" t="n">
        <x:v>13</x:v>
      </x:c>
      <x:c r="C1028" s="14" t="n">
        <x:v>76015</x:v>
      </x:c>
      <x:c r="D1028" s="2" t="str">
        <x:v>RED</x:v>
      </x:c>
      <x:c r="E1028" s="2" t="str">
        <x:v>240만</x:v>
      </x:c>
      <x:c r="F1028" s="2" t="str">
        <x:v>0만</x:v>
      </x:c>
      <x:c r="G1028" s="2" t="str">
        <x:v>승</x:v>
      </x:c>
      <x:c r="H1028" s="14" t="n">
        <x:v>9</x:v>
      </x:c>
      <x:c r="I1028" s="14" t="n">
        <x:v>2</x:v>
      </x:c>
      <x:c r="J1028" s="14" t="n">
        <x:v>15</x:v>
      </x:c>
      <x:c r="K1028" s="14" t="n">
        <x:v>9</x:v>
      </x:c>
      <x:c r="L1028" s="15" t="n">
        <x:f>IF(J1028=0,"해당 없음",K1028/J1028)</x:f>
        <x:v>0.6</x:v>
      </x:c>
      <x:c r="M1028" s="14" t="n">
        <x:v>11</x:v>
      </x:c>
      <x:c r="N1028" s="14" t="n">
        <x:v>9</x:v>
      </x:c>
      <x:c r="O1028" s="15" t="n">
        <x:f>IF(M1028=0,"해당 없음",N1028/M1028)</x:f>
        <x:v>0.8181818181818182</x:v>
      </x:c>
      <x:c r="P1028" s="14" t="n">
        <x:v>106</x:v>
      </x:c>
    </x:row>
    <x:row r="1029" ht="22" customHeight="1">
      <x:c r="A1029" s="14" t="n">
        <x:v>512</x:v>
      </x:c>
      <x:c r="B1029" s="14" t="n">
        <x:v>13</x:v>
      </x:c>
      <x:c r="C1029" s="14" t="n">
        <x:v>76015</x:v>
      </x:c>
      <x:c r="D1029" s="2" t="str">
        <x:v>NAVY</x:v>
      </x:c>
      <x:c r="E1029" s="2" t="str">
        <x:v>0만</x:v>
      </x:c>
      <x:c r="F1029" s="2" t="str">
        <x:v>240만</x:v>
      </x:c>
      <x:c r="G1029" s="2" t="str">
        <x:v>패</x:v>
      </x:c>
      <x:c r="H1029" s="14" t="n">
        <x:v>2</x:v>
      </x:c>
      <x:c r="I1029" s="14" t="n">
        <x:v>9</x:v>
      </x:c>
      <x:c r="J1029" s="14" t="n">
        <x:v>4</x:v>
      </x:c>
      <x:c r="K1029" s="14" t="n">
        <x:v>2</x:v>
      </x:c>
      <x:c r="L1029" s="15" t="n">
        <x:f>IF(J1029=0,"해당 없음",K1029/J1029)</x:f>
        <x:v>0.5</x:v>
      </x:c>
      <x:c r="M1029" s="14" t="n">
        <x:v>8</x:v>
      </x:c>
      <x:c r="N1029" s="14" t="n">
        <x:v>7</x:v>
      </x:c>
      <x:c r="O1029" s="15" t="n">
        <x:f>IF(M1029=0,"해당 없음",N1029/M1029)</x:f>
        <x:v>0.875</x:v>
      </x:c>
      <x:c r="P1029" s="14" t="n">
        <x:v>106</x:v>
      </x:c>
    </x:row>
    <x:row r="1030" ht="22" customHeight="1">
      <x:c r="A1030" s="14" t="n">
        <x:v>513</x:v>
      </x:c>
      <x:c r="B1030" s="14" t="n">
        <x:v>13</x:v>
      </x:c>
      <x:c r="C1030" s="14" t="n">
        <x:v>76016</x:v>
      </x:c>
      <x:c r="D1030" s="2" t="str">
        <x:v>RED</x:v>
      </x:c>
      <x:c r="E1030" s="2" t="str">
        <x:v>0만</x:v>
      </x:c>
      <x:c r="F1030" s="2" t="str">
        <x:v>240만</x:v>
      </x:c>
      <x:c r="G1030" s="2" t="str">
        <x:v>패</x:v>
      </x:c>
      <x:c r="H1030" s="14" t="n">
        <x:v>0</x:v>
      </x:c>
      <x:c r="I1030" s="14" t="n">
        <x:v>6</x:v>
      </x:c>
      <x:c r="J1030" s="14" t="n">
        <x:v>8</x:v>
      </x:c>
      <x:c r="K1030" s="14" t="n">
        <x:v>0</x:v>
      </x:c>
      <x:c r="L1030" s="15" t="n">
        <x:f>IF(J1030=0,"해당 없음",K1030/J1030)</x:f>
        <x:v>0</x:v>
      </x:c>
      <x:c r="M1030" s="14" t="n">
        <x:v>8</x:v>
      </x:c>
      <x:c r="N1030" s="14" t="n">
        <x:v>7</x:v>
      </x:c>
      <x:c r="O1030" s="15" t="n">
        <x:f>IF(M1030=0,"해당 없음",N1030/M1030)</x:f>
        <x:v>0.875</x:v>
      </x:c>
      <x:c r="P1030" s="14" t="n">
        <x:v>104</x:v>
      </x:c>
    </x:row>
    <x:row r="1031" ht="22" customHeight="1">
      <x:c r="A1031" s="14" t="n">
        <x:v>513</x:v>
      </x:c>
      <x:c r="B1031" s="14" t="n">
        <x:v>13</x:v>
      </x:c>
      <x:c r="C1031" s="14" t="n">
        <x:v>76016</x:v>
      </x:c>
      <x:c r="D1031" s="2" t="str">
        <x:v>NAVY</x:v>
      </x:c>
      <x:c r="E1031" s="2" t="str">
        <x:v>240만</x:v>
      </x:c>
      <x:c r="F1031" s="2" t="str">
        <x:v>0만</x:v>
      </x:c>
      <x:c r="G1031" s="2" t="str">
        <x:v>승</x:v>
      </x:c>
      <x:c r="H1031" s="14" t="n">
        <x:v>6</x:v>
      </x:c>
      <x:c r="I1031" s="14" t="n">
        <x:v>0</x:v>
      </x:c>
      <x:c r="J1031" s="14" t="n">
        <x:v>8</x:v>
      </x:c>
      <x:c r="K1031" s="14" t="n">
        <x:v>6</x:v>
      </x:c>
      <x:c r="L1031" s="15" t="n">
        <x:f>IF(J1031=0,"해당 없음",K1031/J1031)</x:f>
        <x:v>0.75</x:v>
      </x:c>
      <x:c r="M1031" s="14" t="n">
        <x:v>9</x:v>
      </x:c>
      <x:c r="N1031" s="14" t="n">
        <x:v>5</x:v>
      </x:c>
      <x:c r="O1031" s="15" t="n">
        <x:f>IF(M1031=0,"해당 없음",N1031/M1031)</x:f>
        <x:v>0.5555555555555556</x:v>
      </x:c>
      <x:c r="P1031" s="14" t="n">
        <x:v>105</x:v>
      </x:c>
    </x:row>
    <x:row r="1032" ht="22" customHeight="1">
      <x:c r="A1032" s="14" t="n">
        <x:v>514</x:v>
      </x:c>
      <x:c r="B1032" s="14" t="n">
        <x:v>13</x:v>
      </x:c>
      <x:c r="C1032" s="14" t="n">
        <x:v>76016</x:v>
      </x:c>
      <x:c r="D1032" s="2" t="str">
        <x:v>RED</x:v>
      </x:c>
      <x:c r="E1032" s="2" t="str">
        <x:v>240만</x:v>
      </x:c>
      <x:c r="F1032" s="2" t="str">
        <x:v>0만</x:v>
      </x:c>
      <x:c r="G1032" s="2" t="str">
        <x:v>승</x:v>
      </x:c>
      <x:c r="H1032" s="14" t="n">
        <x:v>7</x:v>
      </x:c>
      <x:c r="I1032" s="14" t="n">
        <x:v>3</x:v>
      </x:c>
      <x:c r="J1032" s="14" t="n">
        <x:v>12</x:v>
      </x:c>
      <x:c r="K1032" s="14" t="n">
        <x:v>7</x:v>
      </x:c>
      <x:c r="L1032" s="15" t="n">
        <x:f>IF(J1032=0,"해당 없음",K1032/J1032)</x:f>
        <x:v>0.5833333333333334</x:v>
      </x:c>
      <x:c r="M1032" s="14" t="n">
        <x:v>7</x:v>
      </x:c>
      <x:c r="N1032" s="14" t="n">
        <x:v>5</x:v>
      </x:c>
      <x:c r="O1032" s="15" t="n">
        <x:f>IF(M1032=0,"해당 없음",N1032/M1032)</x:f>
        <x:v>0.7142857142857143</x:v>
      </x:c>
      <x:c r="P1032" s="14" t="n">
        <x:v>107</x:v>
      </x:c>
    </x:row>
    <x:row r="1033" ht="22" customHeight="1">
      <x:c r="A1033" s="14" t="n">
        <x:v>514</x:v>
      </x:c>
      <x:c r="B1033" s="14" t="n">
        <x:v>13</x:v>
      </x:c>
      <x:c r="C1033" s="14" t="n">
        <x:v>76016</x:v>
      </x:c>
      <x:c r="D1033" s="2" t="str">
        <x:v>NAVY</x:v>
      </x:c>
      <x:c r="E1033" s="2" t="str">
        <x:v>0만</x:v>
      </x:c>
      <x:c r="F1033" s="2" t="str">
        <x:v>240만</x:v>
      </x:c>
      <x:c r="G1033" s="2" t="str">
        <x:v>패</x:v>
      </x:c>
      <x:c r="H1033" s="14" t="n">
        <x:v>3</x:v>
      </x:c>
      <x:c r="I1033" s="14" t="n">
        <x:v>7</x:v>
      </x:c>
      <x:c r="J1033" s="14" t="n">
        <x:v>11</x:v>
      </x:c>
      <x:c r="K1033" s="14" t="n">
        <x:v>3</x:v>
      </x:c>
      <x:c r="L1033" s="15" t="n">
        <x:f>IF(J1033=0,"해당 없음",K1033/J1033)</x:f>
        <x:v>0.2727272727272727</x:v>
      </x:c>
      <x:c r="M1033" s="14" t="n">
        <x:v>5</x:v>
      </x:c>
      <x:c r="N1033" s="14" t="n">
        <x:v>2</x:v>
      </x:c>
      <x:c r="O1033" s="15" t="n">
        <x:f>IF(M1033=0,"해당 없음",N1033/M1033)</x:f>
        <x:v>0.4</x:v>
      </x:c>
      <x:c r="P1033" s="14" t="n">
        <x:v>104</x:v>
      </x:c>
    </x:row>
    <x:row r="1034" ht="22" customHeight="1">
      <x:c r="A1034" s="14" t="n">
        <x:v>515</x:v>
      </x:c>
      <x:c r="B1034" s="14" t="n">
        <x:v>13</x:v>
      </x:c>
      <x:c r="C1034" s="14" t="n">
        <x:v>76017</x:v>
      </x:c>
      <x:c r="D1034" s="2" t="str">
        <x:v>RED</x:v>
      </x:c>
      <x:c r="E1034" s="2" t="str">
        <x:v>0만</x:v>
      </x:c>
      <x:c r="F1034" s="2" t="str">
        <x:v>240만</x:v>
      </x:c>
      <x:c r="G1034" s="2" t="str">
        <x:v>패</x:v>
      </x:c>
      <x:c r="H1034" s="14" t="n">
        <x:v>2</x:v>
      </x:c>
      <x:c r="I1034" s="14" t="n">
        <x:v>9</x:v>
      </x:c>
      <x:c r="J1034" s="14" t="n">
        <x:v>6</x:v>
      </x:c>
      <x:c r="K1034" s="14" t="n">
        <x:v>2</x:v>
      </x:c>
      <x:c r="L1034" s="15" t="n">
        <x:f>IF(J1034=0,"해당 없음",K1034/J1034)</x:f>
        <x:v>0.3333333333333333</x:v>
      </x:c>
      <x:c r="M1034" s="14" t="n">
        <x:v>13</x:v>
      </x:c>
      <x:c r="N1034" s="14" t="n">
        <x:v>9</x:v>
      </x:c>
      <x:c r="O1034" s="15" t="n">
        <x:f>IF(M1034=0,"해당 없음",N1034/M1034)</x:f>
        <x:v>0.6923076923076923</x:v>
      </x:c>
      <x:c r="P1034" s="14" t="n">
        <x:v>105</x:v>
      </x:c>
    </x:row>
    <x:row r="1035" ht="22" customHeight="1">
      <x:c r="A1035" s="14" t="n">
        <x:v>515</x:v>
      </x:c>
      <x:c r="B1035" s="14" t="n">
        <x:v>13</x:v>
      </x:c>
      <x:c r="C1035" s="14" t="n">
        <x:v>76017</x:v>
      </x:c>
      <x:c r="D1035" s="2" t="str">
        <x:v>NAVY</x:v>
      </x:c>
      <x:c r="E1035" s="2" t="str">
        <x:v>240만</x:v>
      </x:c>
      <x:c r="F1035" s="2" t="str">
        <x:v>0만</x:v>
      </x:c>
      <x:c r="G1035" s="2" t="str">
        <x:v>승</x:v>
      </x:c>
      <x:c r="H1035" s="14" t="n">
        <x:v>9</x:v>
      </x:c>
      <x:c r="I1035" s="14" t="n">
        <x:v>2</x:v>
      </x:c>
      <x:c r="J1035" s="14" t="n">
        <x:v>16</x:v>
      </x:c>
      <x:c r="K1035" s="14" t="n">
        <x:v>9</x:v>
      </x:c>
      <x:c r="L1035" s="15" t="n">
        <x:f>IF(J1035=0,"해당 없음",K1035/J1035)</x:f>
        <x:v>0.5625</x:v>
      </x:c>
      <x:c r="M1035" s="14" t="n">
        <x:v>7</x:v>
      </x:c>
      <x:c r="N1035" s="14" t="n">
        <x:v>5</x:v>
      </x:c>
      <x:c r="O1035" s="15" t="n">
        <x:f>IF(M1035=0,"해당 없음",N1035/M1035)</x:f>
        <x:v>0.7142857142857143</x:v>
      </x:c>
      <x:c r="P1035" s="14" t="n">
        <x:v>106</x:v>
      </x:c>
    </x:row>
    <x:row r="1036" ht="22" customHeight="1">
      <x:c r="A1036" s="14" t="n">
        <x:v>516</x:v>
      </x:c>
      <x:c r="B1036" s="14" t="n">
        <x:v>13</x:v>
      </x:c>
      <x:c r="C1036" s="14" t="n">
        <x:v>76017</x:v>
      </x:c>
      <x:c r="D1036" s="2" t="str">
        <x:v>RED</x:v>
      </x:c>
      <x:c r="E1036" s="2" t="str">
        <x:v>240만</x:v>
      </x:c>
      <x:c r="F1036" s="2" t="str">
        <x:v>0만</x:v>
      </x:c>
      <x:c r="G1036" s="2" t="str">
        <x:v>승</x:v>
      </x:c>
      <x:c r="H1036" s="14" t="n">
        <x:v>4</x:v>
      </x:c>
      <x:c r="I1036" s="14" t="n">
        <x:v>2</x:v>
      </x:c>
      <x:c r="J1036" s="14" t="n">
        <x:v>11</x:v>
      </x:c>
      <x:c r="K1036" s="14" t="n">
        <x:v>4</x:v>
      </x:c>
      <x:c r="L1036" s="15" t="n">
        <x:f>IF(J1036=0,"해당 없음",K1036/J1036)</x:f>
        <x:v>0.36363636363636365</x:v>
      </x:c>
      <x:c r="M1036" s="14" t="n">
        <x:v>5</x:v>
      </x:c>
      <x:c r="N1036" s="14" t="n">
        <x:v>5</x:v>
      </x:c>
      <x:c r="O1036" s="15" t="n">
        <x:f>IF(M1036=0,"해당 없음",N1036/M1036)</x:f>
        <x:v>1</x:v>
      </x:c>
      <x:c r="P1036" s="14" t="n">
        <x:v>105</x:v>
      </x:c>
    </x:row>
    <x:row r="1037" ht="22" customHeight="1">
      <x:c r="A1037" s="14" t="n">
        <x:v>516</x:v>
      </x:c>
      <x:c r="B1037" s="14" t="n">
        <x:v>13</x:v>
      </x:c>
      <x:c r="C1037" s="14" t="n">
        <x:v>76017</x:v>
      </x:c>
      <x:c r="D1037" s="2" t="str">
        <x:v>NAVY</x:v>
      </x:c>
      <x:c r="E1037" s="2" t="str">
        <x:v>0만</x:v>
      </x:c>
      <x:c r="F1037" s="2" t="str">
        <x:v>240만</x:v>
      </x:c>
      <x:c r="G1037" s="2" t="str">
        <x:v>패</x:v>
      </x:c>
      <x:c r="H1037" s="14" t="n">
        <x:v>2</x:v>
      </x:c>
      <x:c r="I1037" s="14" t="n">
        <x:v>4</x:v>
      </x:c>
      <x:c r="J1037" s="14" t="n">
        <x:v>7</x:v>
      </x:c>
      <x:c r="K1037" s="14" t="n">
        <x:v>2</x:v>
      </x:c>
      <x:c r="L1037" s="15" t="n">
        <x:f>IF(J1037=0,"해당 없음",K1037/J1037)</x:f>
        <x:v>0.2857142857142857</x:v>
      </x:c>
      <x:c r="M1037" s="14" t="n">
        <x:v>9</x:v>
      </x:c>
      <x:c r="N1037" s="14" t="n">
        <x:v>8</x:v>
      </x:c>
      <x:c r="O1037" s="15" t="n">
        <x:f>IF(M1037=0,"해당 없음",N1037/M1037)</x:f>
        <x:v>0.8888888888888888</x:v>
      </x:c>
      <x:c r="P1037" s="14" t="n">
        <x:v>103</x:v>
      </x:c>
    </x:row>
    <x:row r="1038" ht="22" customHeight="1">
      <x:c r="A1038" s="14" t="n">
        <x:v>517</x:v>
      </x:c>
      <x:c r="B1038" s="14" t="n">
        <x:v>13</x:v>
      </x:c>
      <x:c r="C1038" s="14" t="n">
        <x:v>76018</x:v>
      </x:c>
      <x:c r="D1038" s="2" t="str">
        <x:v>RED</x:v>
      </x:c>
      <x:c r="E1038" s="2" t="str">
        <x:v>0만</x:v>
      </x:c>
      <x:c r="F1038" s="2" t="str">
        <x:v>240만</x:v>
      </x:c>
      <x:c r="G1038" s="2" t="str">
        <x:v>패</x:v>
      </x:c>
      <x:c r="H1038" s="14" t="n">
        <x:v>1</x:v>
      </x:c>
      <x:c r="I1038" s="14" t="n">
        <x:v>8</x:v>
      </x:c>
      <x:c r="J1038" s="14" t="n">
        <x:v>5</x:v>
      </x:c>
      <x:c r="K1038" s="14" t="n">
        <x:v>1</x:v>
      </x:c>
      <x:c r="L1038" s="15" t="n">
        <x:f>IF(J1038=0,"해당 없음",K1038/J1038)</x:f>
        <x:v>0.2</x:v>
      </x:c>
      <x:c r="M1038" s="14" t="n">
        <x:v>7</x:v>
      </x:c>
      <x:c r="N1038" s="14" t="n">
        <x:v>5</x:v>
      </x:c>
      <x:c r="O1038" s="15" t="n">
        <x:f>IF(M1038=0,"해당 없음",N1038/M1038)</x:f>
        <x:v>0.7142857142857143</x:v>
      </x:c>
      <x:c r="P1038" s="14" t="n">
        <x:v>105</x:v>
      </x:c>
    </x:row>
    <x:row r="1039" ht="22" customHeight="1">
      <x:c r="A1039" s="14" t="n">
        <x:v>517</x:v>
      </x:c>
      <x:c r="B1039" s="14" t="n">
        <x:v>13</x:v>
      </x:c>
      <x:c r="C1039" s="14" t="n">
        <x:v>76018</x:v>
      </x:c>
      <x:c r="D1039" s="2" t="str">
        <x:v>NAVY</x:v>
      </x:c>
      <x:c r="E1039" s="2" t="str">
        <x:v>240만</x:v>
      </x:c>
      <x:c r="F1039" s="2" t="str">
        <x:v>0만</x:v>
      </x:c>
      <x:c r="G1039" s="2" t="str">
        <x:v>승</x:v>
      </x:c>
      <x:c r="H1039" s="14" t="n">
        <x:v>8</x:v>
      </x:c>
      <x:c r="I1039" s="14" t="n">
        <x:v>1</x:v>
      </x:c>
      <x:c r="J1039" s="14" t="n">
        <x:v>12</x:v>
      </x:c>
      <x:c r="K1039" s="14" t="n">
        <x:v>7</x:v>
      </x:c>
      <x:c r="L1039" s="15" t="n">
        <x:f>IF(J1039=0,"해당 없음",K1039/J1039)</x:f>
        <x:v>0.5833333333333334</x:v>
      </x:c>
      <x:c r="M1039" s="14" t="n">
        <x:v>6</x:v>
      </x:c>
      <x:c r="N1039" s="14" t="n">
        <x:v>4</x:v>
      </x:c>
      <x:c r="O1039" s="15" t="n">
        <x:f>IF(M1039=0,"해당 없음",N1039/M1039)</x:f>
        <x:v>0.6666666666666666</x:v>
      </x:c>
      <x:c r="P1039" s="14" t="n">
        <x:v>102</x:v>
      </x:c>
    </x:row>
    <x:row r="1040" ht="22" customHeight="1">
      <x:c r="A1040" s="14" t="n">
        <x:v>518</x:v>
      </x:c>
      <x:c r="B1040" s="14" t="n">
        <x:v>13</x:v>
      </x:c>
      <x:c r="C1040" s="14" t="n">
        <x:v>76018</x:v>
      </x:c>
      <x:c r="D1040" s="2" t="str">
        <x:v>RED</x:v>
      </x:c>
      <x:c r="E1040" s="2" t="str">
        <x:v>240만</x:v>
      </x:c>
      <x:c r="F1040" s="2" t="str">
        <x:v>0만</x:v>
      </x:c>
      <x:c r="G1040" s="2" t="str">
        <x:v>패</x:v>
      </x:c>
      <x:c r="H1040" s="14" t="n">
        <x:v>3</x:v>
      </x:c>
      <x:c r="I1040" s="14" t="n">
        <x:v>4</x:v>
      </x:c>
      <x:c r="J1040" s="14" t="n">
        <x:v>9</x:v>
      </x:c>
      <x:c r="K1040" s="14" t="n">
        <x:v>3</x:v>
      </x:c>
      <x:c r="L1040" s="15" t="n">
        <x:f>IF(J1040=0,"해당 없음",K1040/J1040)</x:f>
        <x:v>0.3333333333333333</x:v>
      </x:c>
      <x:c r="M1040" s="14" t="n">
        <x:v>9</x:v>
      </x:c>
      <x:c r="N1040" s="14" t="n">
        <x:v>7</x:v>
      </x:c>
      <x:c r="O1040" s="15" t="n">
        <x:f>IF(M1040=0,"해당 없음",N1040/M1040)</x:f>
        <x:v>0.7777777777777778</x:v>
      </x:c>
      <x:c r="P1040" s="14" t="n">
        <x:v>102</x:v>
      </x:c>
    </x:row>
    <x:row r="1041" ht="22" customHeight="1">
      <x:c r="A1041" s="14" t="n">
        <x:v>518</x:v>
      </x:c>
      <x:c r="B1041" s="14" t="n">
        <x:v>13</x:v>
      </x:c>
      <x:c r="C1041" s="14" t="n">
        <x:v>76018</x:v>
      </x:c>
      <x:c r="D1041" s="2" t="str">
        <x:v>NAVY</x:v>
      </x:c>
      <x:c r="E1041" s="2" t="str">
        <x:v>0만</x:v>
      </x:c>
      <x:c r="F1041" s="2" t="str">
        <x:v>240만</x:v>
      </x:c>
      <x:c r="G1041" s="2" t="str">
        <x:v>승</x:v>
      </x:c>
      <x:c r="H1041" s="14" t="n">
        <x:v>4</x:v>
      </x:c>
      <x:c r="I1041" s="14" t="n">
        <x:v>3</x:v>
      </x:c>
      <x:c r="J1041" s="14" t="n">
        <x:v>10</x:v>
      </x:c>
      <x:c r="K1041" s="14" t="n">
        <x:v>4</x:v>
      </x:c>
      <x:c r="L1041" s="15" t="n">
        <x:f>IF(J1041=0,"해당 없음",K1041/J1041)</x:f>
        <x:v>0.4</x:v>
      </x:c>
      <x:c r="M1041" s="14" t="n">
        <x:v>6</x:v>
      </x:c>
      <x:c r="N1041" s="14" t="n">
        <x:v>6</x:v>
      </x:c>
      <x:c r="O1041" s="15" t="n">
        <x:f>IF(M1041=0,"해당 없음",N1041/M1041)</x:f>
        <x:v>1</x:v>
      </x:c>
      <x:c r="P1041" s="14" t="n">
        <x:v>101</x:v>
      </x:c>
    </x:row>
    <x:row r="1042" ht="22" customHeight="1">
      <x:c r="A1042" s="14" t="n">
        <x:v>519</x:v>
      </x:c>
      <x:c r="B1042" s="14" t="n">
        <x:v>13</x:v>
      </x:c>
      <x:c r="C1042" s="14" t="n">
        <x:v>76019</x:v>
      </x:c>
      <x:c r="D1042" s="2" t="str">
        <x:v>RED</x:v>
      </x:c>
      <x:c r="E1042" s="2" t="str">
        <x:v>0만</x:v>
      </x:c>
      <x:c r="F1042" s="2" t="str">
        <x:v>240만</x:v>
      </x:c>
      <x:c r="G1042" s="2" t="str">
        <x:v>패</x:v>
      </x:c>
      <x:c r="H1042" s="14" t="n">
        <x:v>2</x:v>
      </x:c>
      <x:c r="I1042" s="14" t="n">
        <x:v>6</x:v>
      </x:c>
      <x:c r="J1042" s="14" t="n">
        <x:v>4</x:v>
      </x:c>
      <x:c r="K1042" s="14" t="n">
        <x:v>2</x:v>
      </x:c>
      <x:c r="L1042" s="15" t="n">
        <x:f>IF(J1042=0,"해당 없음",K1042/J1042)</x:f>
        <x:v>0.5</x:v>
      </x:c>
      <x:c r="M1042" s="14" t="n">
        <x:v>9</x:v>
      </x:c>
      <x:c r="N1042" s="14" t="n">
        <x:v>8</x:v>
      </x:c>
      <x:c r="O1042" s="15" t="n">
        <x:f>IF(M1042=0,"해당 없음",N1042/M1042)</x:f>
        <x:v>0.8888888888888888</x:v>
      </x:c>
      <x:c r="P1042" s="14" t="n">
        <x:v>105</x:v>
      </x:c>
    </x:row>
    <x:row r="1043" ht="22" customHeight="1">
      <x:c r="A1043" s="14" t="n">
        <x:v>519</x:v>
      </x:c>
      <x:c r="B1043" s="14" t="n">
        <x:v>13</x:v>
      </x:c>
      <x:c r="C1043" s="14" t="n">
        <x:v>76019</x:v>
      </x:c>
      <x:c r="D1043" s="2" t="str">
        <x:v>NAVY</x:v>
      </x:c>
      <x:c r="E1043" s="2" t="str">
        <x:v>240만</x:v>
      </x:c>
      <x:c r="F1043" s="2" t="str">
        <x:v>0만</x:v>
      </x:c>
      <x:c r="G1043" s="2" t="str">
        <x:v>승</x:v>
      </x:c>
      <x:c r="H1043" s="14" t="n">
        <x:v>6</x:v>
      </x:c>
      <x:c r="I1043" s="14" t="n">
        <x:v>2</x:v>
      </x:c>
      <x:c r="J1043" s="14" t="n">
        <x:v>12</x:v>
      </x:c>
      <x:c r="K1043" s="14" t="n">
        <x:v>6</x:v>
      </x:c>
      <x:c r="L1043" s="15" t="n">
        <x:f>IF(J1043=0,"해당 없음",K1043/J1043)</x:f>
        <x:v>0.5</x:v>
      </x:c>
      <x:c r="M1043" s="14" t="n">
        <x:v>6</x:v>
      </x:c>
      <x:c r="N1043" s="14" t="n">
        <x:v>6</x:v>
      </x:c>
      <x:c r="O1043" s="15" t="n">
        <x:f>IF(M1043=0,"해당 없음",N1043/M1043)</x:f>
        <x:v>1</x:v>
      </x:c>
      <x:c r="P1043" s="14" t="n">
        <x:v>106</x:v>
      </x:c>
    </x:row>
    <x:row r="1044" ht="22" customHeight="1">
      <x:c r="A1044" s="14" t="n">
        <x:v>520</x:v>
      </x:c>
      <x:c r="B1044" s="14" t="n">
        <x:v>13</x:v>
      </x:c>
      <x:c r="C1044" s="14" t="n">
        <x:v>76019</x:v>
      </x:c>
      <x:c r="D1044" s="2" t="str">
        <x:v>RED</x:v>
      </x:c>
      <x:c r="E1044" s="2" t="str">
        <x:v>240만</x:v>
      </x:c>
      <x:c r="F1044" s="2" t="str">
        <x:v>0만</x:v>
      </x:c>
      <x:c r="G1044" s="2" t="str">
        <x:v>승</x:v>
      </x:c>
      <x:c r="H1044" s="14" t="n">
        <x:v>7</x:v>
      </x:c>
      <x:c r="I1044" s="14" t="n">
        <x:v>1</x:v>
      </x:c>
      <x:c r="J1044" s="14" t="n">
        <x:v>11</x:v>
      </x:c>
      <x:c r="K1044" s="14" t="n">
        <x:v>7</x:v>
      </x:c>
      <x:c r="L1044" s="15" t="n">
        <x:f>IF(J1044=0,"해당 없음",K1044/J1044)</x:f>
        <x:v>0.6363636363636364</x:v>
      </x:c>
      <x:c r="M1044" s="14" t="n">
        <x:v>6</x:v>
      </x:c>
      <x:c r="N1044" s="14" t="n">
        <x:v>4</x:v>
      </x:c>
      <x:c r="O1044" s="15" t="n">
        <x:f>IF(M1044=0,"해당 없음",N1044/M1044)</x:f>
        <x:v>0.6666666666666666</x:v>
      </x:c>
      <x:c r="P1044" s="14" t="n">
        <x:v>104</x:v>
      </x:c>
    </x:row>
    <x:row r="1045" ht="22" customHeight="1">
      <x:c r="A1045" s="14" t="n">
        <x:v>520</x:v>
      </x:c>
      <x:c r="B1045" s="14" t="n">
        <x:v>13</x:v>
      </x:c>
      <x:c r="C1045" s="14" t="n">
        <x:v>76019</x:v>
      </x:c>
      <x:c r="D1045" s="2" t="str">
        <x:v>NAVY</x:v>
      </x:c>
      <x:c r="E1045" s="2" t="str">
        <x:v>0만</x:v>
      </x:c>
      <x:c r="F1045" s="2" t="str">
        <x:v>240만</x:v>
      </x:c>
      <x:c r="G1045" s="2" t="str">
        <x:v>패</x:v>
      </x:c>
      <x:c r="H1045" s="14" t="n">
        <x:v>1</x:v>
      </x:c>
      <x:c r="I1045" s="14" t="n">
        <x:v>7</x:v>
      </x:c>
      <x:c r="J1045" s="14" t="n">
        <x:v>5</x:v>
      </x:c>
      <x:c r="K1045" s="14" t="n">
        <x:v>1</x:v>
      </x:c>
      <x:c r="L1045" s="15" t="n">
        <x:f>IF(J1045=0,"해당 없음",K1045/J1045)</x:f>
        <x:v>0.2</x:v>
      </x:c>
      <x:c r="M1045" s="14" t="n">
        <x:v>10</x:v>
      </x:c>
      <x:c r="N1045" s="14" t="n">
        <x:v>8</x:v>
      </x:c>
      <x:c r="O1045" s="15" t="n">
        <x:f>IF(M1045=0,"해당 없음",N1045/M1045)</x:f>
        <x:v>0.8</x:v>
      </x:c>
      <x:c r="P1045" s="14" t="n">
        <x:v>104</x:v>
      </x:c>
    </x:row>
    <x:row r="1046" ht="22" customHeight="1">
      <x:c r="A1046" s="14" t="n">
        <x:v>521</x:v>
      </x:c>
      <x:c r="B1046" s="14" t="n">
        <x:v>14</x:v>
      </x:c>
      <x:c r="C1046" s="14" t="n">
        <x:v>76000</x:v>
      </x:c>
      <x:c r="D1046" s="2" t="str">
        <x:v>RED</x:v>
      </x:c>
      <x:c r="E1046" s="2" t="str">
        <x:v>40만</x:v>
      </x:c>
      <x:c r="F1046" s="2" t="str">
        <x:v>80만</x:v>
      </x:c>
      <x:c r="G1046" s="2" t="str">
        <x:v>패</x:v>
      </x:c>
      <x:c r="H1046" s="14" t="n">
        <x:v>3</x:v>
      </x:c>
      <x:c r="I1046" s="14" t="n">
        <x:v>4</x:v>
      </x:c>
      <x:c r="J1046" s="14" t="n">
        <x:v>6</x:v>
      </x:c>
      <x:c r="K1046" s="14" t="n">
        <x:v>3</x:v>
      </x:c>
      <x:c r="L1046" s="15" t="n">
        <x:f>IF(J1046=0,"해당 없음",K1046/J1046)</x:f>
        <x:v>0.5</x:v>
      </x:c>
      <x:c r="M1046" s="14" t="n">
        <x:v>9</x:v>
      </x:c>
      <x:c r="N1046" s="14" t="n">
        <x:v>5</x:v>
      </x:c>
      <x:c r="O1046" s="15" t="n">
        <x:f>IF(M1046=0,"해당 없음",N1046/M1046)</x:f>
        <x:v>0.5555555555555556</x:v>
      </x:c>
      <x:c r="P1046" s="14" t="n">
        <x:v>104</x:v>
      </x:c>
    </x:row>
    <x:row r="1047" ht="22" customHeight="1">
      <x:c r="A1047" s="14" t="n">
        <x:v>521</x:v>
      </x:c>
      <x:c r="B1047" s="14" t="n">
        <x:v>14</x:v>
      </x:c>
      <x:c r="C1047" s="14" t="n">
        <x:v>76000</x:v>
      </x:c>
      <x:c r="D1047" s="2" t="str">
        <x:v>NAVY</x:v>
      </x:c>
      <x:c r="E1047" s="2" t="str">
        <x:v>80만</x:v>
      </x:c>
      <x:c r="F1047" s="2" t="str">
        <x:v>40만</x:v>
      </x:c>
      <x:c r="G1047" s="2" t="str">
        <x:v>승</x:v>
      </x:c>
      <x:c r="H1047" s="14" t="n">
        <x:v>4</x:v>
      </x:c>
      <x:c r="I1047" s="14" t="n">
        <x:v>3</x:v>
      </x:c>
      <x:c r="J1047" s="14" t="n">
        <x:v>7</x:v>
      </x:c>
      <x:c r="K1047" s="14" t="n">
        <x:v>4</x:v>
      </x:c>
      <x:c r="L1047" s="15" t="n">
        <x:f>IF(J1047=0,"해당 없음",K1047/J1047)</x:f>
        <x:v>0.5714285714285714</x:v>
      </x:c>
      <x:c r="M1047" s="14" t="n">
        <x:v>5</x:v>
      </x:c>
      <x:c r="N1047" s="14" t="n">
        <x:v>4</x:v>
      </x:c>
      <x:c r="O1047" s="15" t="n">
        <x:f>IF(M1047=0,"해당 없음",N1047/M1047)</x:f>
        <x:v>0.8</x:v>
      </x:c>
      <x:c r="P1047" s="14" t="n">
        <x:v>103</x:v>
      </x:c>
    </x:row>
    <x:row r="1048" ht="22" customHeight="1">
      <x:c r="A1048" s="14" t="n">
        <x:v>522</x:v>
      </x:c>
      <x:c r="B1048" s="14" t="n">
        <x:v>14</x:v>
      </x:c>
      <x:c r="C1048" s="14" t="n">
        <x:v>76000</x:v>
      </x:c>
      <x:c r="D1048" s="2" t="str">
        <x:v>RED</x:v>
      </x:c>
      <x:c r="E1048" s="2" t="str">
        <x:v>80만</x:v>
      </x:c>
      <x:c r="F1048" s="2" t="str">
        <x:v>40만</x:v>
      </x:c>
      <x:c r="G1048" s="2" t="str">
        <x:v>승</x:v>
      </x:c>
      <x:c r="H1048" s="14" t="n">
        <x:v>4</x:v>
      </x:c>
      <x:c r="I1048" s="14" t="n">
        <x:v>3</x:v>
      </x:c>
      <x:c r="J1048" s="14" t="n">
        <x:v>8</x:v>
      </x:c>
      <x:c r="K1048" s="14" t="n">
        <x:v>4</x:v>
      </x:c>
      <x:c r="L1048" s="15" t="n">
        <x:f>IF(J1048=0,"해당 없음",K1048/J1048)</x:f>
        <x:v>0.5</x:v>
      </x:c>
      <x:c r="M1048" s="14" t="n">
        <x:v>6</x:v>
      </x:c>
      <x:c r="N1048" s="14" t="n">
        <x:v>4</x:v>
      </x:c>
      <x:c r="O1048" s="15" t="n">
        <x:f>IF(M1048=0,"해당 없음",N1048/M1048)</x:f>
        <x:v>0.6666666666666666</x:v>
      </x:c>
      <x:c r="P1048" s="14" t="n">
        <x:v>103</x:v>
      </x:c>
    </x:row>
    <x:row r="1049" ht="22" customHeight="1">
      <x:c r="A1049" s="14" t="n">
        <x:v>522</x:v>
      </x:c>
      <x:c r="B1049" s="14" t="n">
        <x:v>14</x:v>
      </x:c>
      <x:c r="C1049" s="14" t="n">
        <x:v>76000</x:v>
      </x:c>
      <x:c r="D1049" s="2" t="str">
        <x:v>NAVY</x:v>
      </x:c>
      <x:c r="E1049" s="2" t="str">
        <x:v>40만</x:v>
      </x:c>
      <x:c r="F1049" s="2" t="str">
        <x:v>80만</x:v>
      </x:c>
      <x:c r="G1049" s="2" t="str">
        <x:v>패</x:v>
      </x:c>
      <x:c r="H1049" s="14" t="n">
        <x:v>3</x:v>
      </x:c>
      <x:c r="I1049" s="14" t="n">
        <x:v>4</x:v>
      </x:c>
      <x:c r="J1049" s="14" t="n">
        <x:v>6</x:v>
      </x:c>
      <x:c r="K1049" s="14" t="n">
        <x:v>3</x:v>
      </x:c>
      <x:c r="L1049" s="15" t="n">
        <x:f>IF(J1049=0,"해당 없음",K1049/J1049)</x:f>
        <x:v>0.5</x:v>
      </x:c>
      <x:c r="M1049" s="14" t="n">
        <x:v>9</x:v>
      </x:c>
      <x:c r="N1049" s="14" t="n">
        <x:v>8</x:v>
      </x:c>
      <x:c r="O1049" s="15" t="n">
        <x:f>IF(M1049=0,"해당 없음",N1049/M1049)</x:f>
        <x:v>0.8888888888888888</x:v>
      </x:c>
      <x:c r="P1049" s="14" t="n">
        <x:v>103</x:v>
      </x:c>
    </x:row>
    <x:row r="1050" ht="22" customHeight="1">
      <x:c r="A1050" s="14" t="n">
        <x:v>523</x:v>
      </x:c>
      <x:c r="B1050" s="14" t="n">
        <x:v>14</x:v>
      </x:c>
      <x:c r="C1050" s="14" t="n">
        <x:v>76001</x:v>
      </x:c>
      <x:c r="D1050" s="2" t="str">
        <x:v>RED</x:v>
      </x:c>
      <x:c r="E1050" s="2" t="str">
        <x:v>40만</x:v>
      </x:c>
      <x:c r="F1050" s="2" t="str">
        <x:v>80만</x:v>
      </x:c>
      <x:c r="G1050" s="2" t="str">
        <x:v>승</x:v>
      </x:c>
      <x:c r="H1050" s="14" t="n">
        <x:v>5</x:v>
      </x:c>
      <x:c r="I1050" s="14" t="n">
        <x:v>2</x:v>
      </x:c>
      <x:c r="J1050" s="14" t="n">
        <x:v>14</x:v>
      </x:c>
      <x:c r="K1050" s="14" t="n">
        <x:v>5</x:v>
      </x:c>
      <x:c r="L1050" s="15" t="n">
        <x:f>IF(J1050=0,"해당 없음",K1050/J1050)</x:f>
        <x:v>0.35714285714285715</x:v>
      </x:c>
      <x:c r="M1050" s="14" t="n">
        <x:v>6</x:v>
      </x:c>
      <x:c r="N1050" s="14" t="n">
        <x:v>5</x:v>
      </x:c>
      <x:c r="O1050" s="15" t="n">
        <x:f>IF(M1050=0,"해당 없음",N1050/M1050)</x:f>
        <x:v>0.8333333333333334</x:v>
      </x:c>
      <x:c r="P1050" s="14" t="n">
        <x:v>106</x:v>
      </x:c>
    </x:row>
    <x:row r="1051" ht="22" customHeight="1">
      <x:c r="A1051" s="14" t="n">
        <x:v>523</x:v>
      </x:c>
      <x:c r="B1051" s="14" t="n">
        <x:v>14</x:v>
      </x:c>
      <x:c r="C1051" s="14" t="n">
        <x:v>76001</x:v>
      </x:c>
      <x:c r="D1051" s="2" t="str">
        <x:v>NAVY</x:v>
      </x:c>
      <x:c r="E1051" s="2" t="str">
        <x:v>80만</x:v>
      </x:c>
      <x:c r="F1051" s="2" t="str">
        <x:v>40만</x:v>
      </x:c>
      <x:c r="G1051" s="2" t="str">
        <x:v>패</x:v>
      </x:c>
      <x:c r="H1051" s="14" t="n">
        <x:v>2</x:v>
      </x:c>
      <x:c r="I1051" s="14" t="n">
        <x:v>5</x:v>
      </x:c>
      <x:c r="J1051" s="14" t="n">
        <x:v>5</x:v>
      </x:c>
      <x:c r="K1051" s="14" t="n">
        <x:v>2</x:v>
      </x:c>
      <x:c r="L1051" s="15" t="n">
        <x:f>IF(J1051=0,"해당 없음",K1051/J1051)</x:f>
        <x:v>0.4</x:v>
      </x:c>
      <x:c r="M1051" s="14" t="n">
        <x:v>10</x:v>
      </x:c>
      <x:c r="N1051" s="14" t="n">
        <x:v>10</x:v>
      </x:c>
      <x:c r="O1051" s="15" t="n">
        <x:f>IF(M1051=0,"해당 없음",N1051/M1051)</x:f>
        <x:v>1</x:v>
      </x:c>
      <x:c r="P1051" s="14" t="n">
        <x:v>105</x:v>
      </x:c>
    </x:row>
    <x:row r="1052" ht="22" customHeight="1">
      <x:c r="A1052" s="14" t="n">
        <x:v>524</x:v>
      </x:c>
      <x:c r="B1052" s="14" t="n">
        <x:v>14</x:v>
      </x:c>
      <x:c r="C1052" s="14" t="n">
        <x:v>76001</x:v>
      </x:c>
      <x:c r="D1052" s="2" t="str">
        <x:v>RED</x:v>
      </x:c>
      <x:c r="E1052" s="2" t="str">
        <x:v>80만</x:v>
      </x:c>
      <x:c r="F1052" s="2" t="str">
        <x:v>40만</x:v>
      </x:c>
      <x:c r="G1052" s="2" t="str">
        <x:v>패</x:v>
      </x:c>
      <x:c r="H1052" s="14" t="n">
        <x:v>1</x:v>
      </x:c>
      <x:c r="I1052" s="14" t="n">
        <x:v>5</x:v>
      </x:c>
      <x:c r="J1052" s="14" t="n">
        <x:v>7</x:v>
      </x:c>
      <x:c r="K1052" s="14" t="n">
        <x:v>1</x:v>
      </x:c>
      <x:c r="L1052" s="15" t="n">
        <x:f>IF(J1052=0,"해당 없음",K1052/J1052)</x:f>
        <x:v>0.14285714285714285</x:v>
      </x:c>
      <x:c r="M1052" s="14" t="n">
        <x:v>12</x:v>
      </x:c>
      <x:c r="N1052" s="14" t="n">
        <x:v>7</x:v>
      </x:c>
      <x:c r="O1052" s="15" t="n">
        <x:f>IF(M1052=0,"해당 없음",N1052/M1052)</x:f>
        <x:v>0.5833333333333334</x:v>
      </x:c>
      <x:c r="P1052" s="14" t="n">
        <x:v>103</x:v>
      </x:c>
    </x:row>
    <x:row r="1053" ht="22" customHeight="1">
      <x:c r="A1053" s="14" t="n">
        <x:v>524</x:v>
      </x:c>
      <x:c r="B1053" s="14" t="n">
        <x:v>14</x:v>
      </x:c>
      <x:c r="C1053" s="14" t="n">
        <x:v>76001</x:v>
      </x:c>
      <x:c r="D1053" s="2" t="str">
        <x:v>NAVY</x:v>
      </x:c>
      <x:c r="E1053" s="2" t="str">
        <x:v>40만</x:v>
      </x:c>
      <x:c r="F1053" s="2" t="str">
        <x:v>80만</x:v>
      </x:c>
      <x:c r="G1053" s="2" t="str">
        <x:v>승</x:v>
      </x:c>
      <x:c r="H1053" s="14" t="n">
        <x:v>5</x:v>
      </x:c>
      <x:c r="I1053" s="14" t="n">
        <x:v>1</x:v>
      </x:c>
      <x:c r="J1053" s="14" t="n">
        <x:v>11</x:v>
      </x:c>
      <x:c r="K1053" s="14" t="n">
        <x:v>5</x:v>
      </x:c>
      <x:c r="L1053" s="15" t="n">
        <x:f>IF(J1053=0,"해당 없음",K1053/J1053)</x:f>
        <x:v>0.45454545454545453</x:v>
      </x:c>
      <x:c r="M1053" s="14" t="n">
        <x:v>9</x:v>
      </x:c>
      <x:c r="N1053" s="14" t="n">
        <x:v>7</x:v>
      </x:c>
      <x:c r="O1053" s="15" t="n">
        <x:f>IF(M1053=0,"해당 없음",N1053/M1053)</x:f>
        <x:v>0.7777777777777778</x:v>
      </x:c>
      <x:c r="P1053" s="14" t="n">
        <x:v>102</x:v>
      </x:c>
    </x:row>
    <x:row r="1054" ht="22" customHeight="1">
      <x:c r="A1054" s="14" t="n">
        <x:v>525</x:v>
      </x:c>
      <x:c r="B1054" s="14" t="n">
        <x:v>14</x:v>
      </x:c>
      <x:c r="C1054" s="14" t="n">
        <x:v>76002</x:v>
      </x:c>
      <x:c r="D1054" s="2" t="str">
        <x:v>RED</x:v>
      </x:c>
      <x:c r="E1054" s="2" t="str">
        <x:v>40만</x:v>
      </x:c>
      <x:c r="F1054" s="2" t="str">
        <x:v>80만</x:v>
      </x:c>
      <x:c r="G1054" s="2" t="str">
        <x:v>무</x:v>
      </x:c>
      <x:c r="H1054" s="14" t="n">
        <x:v>2</x:v>
      </x:c>
      <x:c r="I1054" s="14" t="n">
        <x:v>2</x:v>
      </x:c>
      <x:c r="J1054" s="14" t="n">
        <x:v>9</x:v>
      </x:c>
      <x:c r="K1054" s="14" t="n">
        <x:v>2</x:v>
      </x:c>
      <x:c r="L1054" s="15" t="n">
        <x:f>IF(J1054=0,"해당 없음",K1054/J1054)</x:f>
        <x:v>0.2222222222222222</x:v>
      </x:c>
      <x:c r="M1054" s="14" t="n">
        <x:v>7</x:v>
      </x:c>
      <x:c r="N1054" s="14" t="n">
        <x:v>5</x:v>
      </x:c>
      <x:c r="O1054" s="15" t="n">
        <x:f>IF(M1054=0,"해당 없음",N1054/M1054)</x:f>
        <x:v>0.7142857142857143</x:v>
      </x:c>
      <x:c r="P1054" s="14" t="n">
        <x:v>102</x:v>
      </x:c>
    </x:row>
    <x:row r="1055" ht="22" customHeight="1">
      <x:c r="A1055" s="14" t="n">
        <x:v>525</x:v>
      </x:c>
      <x:c r="B1055" s="14" t="n">
        <x:v>14</x:v>
      </x:c>
      <x:c r="C1055" s="14" t="n">
        <x:v>76002</x:v>
      </x:c>
      <x:c r="D1055" s="2" t="str">
        <x:v>NAVY</x:v>
      </x:c>
      <x:c r="E1055" s="2" t="str">
        <x:v>80만</x:v>
      </x:c>
      <x:c r="F1055" s="2" t="str">
        <x:v>40만</x:v>
      </x:c>
      <x:c r="G1055" s="2" t="str">
        <x:v>무</x:v>
      </x:c>
      <x:c r="H1055" s="14" t="n">
        <x:v>2</x:v>
      </x:c>
      <x:c r="I1055" s="14" t="n">
        <x:v>2</x:v>
      </x:c>
      <x:c r="J1055" s="14" t="n">
        <x:v>6</x:v>
      </x:c>
      <x:c r="K1055" s="14" t="n">
        <x:v>2</x:v>
      </x:c>
      <x:c r="L1055" s="15" t="n">
        <x:f>IF(J1055=0,"해당 없음",K1055/J1055)</x:f>
        <x:v>0.3333333333333333</x:v>
      </x:c>
      <x:c r="M1055" s="14" t="n">
        <x:v>9</x:v>
      </x:c>
      <x:c r="N1055" s="14" t="n">
        <x:v>5</x:v>
      </x:c>
      <x:c r="O1055" s="15" t="n">
        <x:f>IF(M1055=0,"해당 없음",N1055/M1055)</x:f>
        <x:v>0.5555555555555556</x:v>
      </x:c>
      <x:c r="P1055" s="14" t="n">
        <x:v>101</x:v>
      </x:c>
    </x:row>
    <x:row r="1056" ht="22" customHeight="1">
      <x:c r="A1056" s="14" t="n">
        <x:v>526</x:v>
      </x:c>
      <x:c r="B1056" s="14" t="n">
        <x:v>14</x:v>
      </x:c>
      <x:c r="C1056" s="14" t="n">
        <x:v>76002</x:v>
      </x:c>
      <x:c r="D1056" s="2" t="str">
        <x:v>RED</x:v>
      </x:c>
      <x:c r="E1056" s="2" t="str">
        <x:v>80만</x:v>
      </x:c>
      <x:c r="F1056" s="2" t="str">
        <x:v>40만</x:v>
      </x:c>
      <x:c r="G1056" s="2" t="str">
        <x:v>승</x:v>
      </x:c>
      <x:c r="H1056" s="14" t="n">
        <x:v>7</x:v>
      </x:c>
      <x:c r="I1056" s="14" t="n">
        <x:v>3</x:v>
      </x:c>
      <x:c r="J1056" s="14" t="n">
        <x:v>10</x:v>
      </x:c>
      <x:c r="K1056" s="14" t="n">
        <x:v>7</x:v>
      </x:c>
      <x:c r="L1056" s="15" t="n">
        <x:f>IF(J1056=0,"해당 없음",K1056/J1056)</x:f>
        <x:v>0.7</x:v>
      </x:c>
      <x:c r="M1056" s="14" t="n">
        <x:v>8</x:v>
      </x:c>
      <x:c r="N1056" s="14" t="n">
        <x:v>7</x:v>
      </x:c>
      <x:c r="O1056" s="15" t="n">
        <x:f>IF(M1056=0,"해당 없음",N1056/M1056)</x:f>
        <x:v>0.875</x:v>
      </x:c>
      <x:c r="P1056" s="14" t="n">
        <x:v>105</x:v>
      </x:c>
    </x:row>
    <x:row r="1057" ht="22" customHeight="1">
      <x:c r="A1057" s="14" t="n">
        <x:v>526</x:v>
      </x:c>
      <x:c r="B1057" s="14" t="n">
        <x:v>14</x:v>
      </x:c>
      <x:c r="C1057" s="14" t="n">
        <x:v>76002</x:v>
      </x:c>
      <x:c r="D1057" s="2" t="str">
        <x:v>NAVY</x:v>
      </x:c>
      <x:c r="E1057" s="2" t="str">
        <x:v>40만</x:v>
      </x:c>
      <x:c r="F1057" s="2" t="str">
        <x:v>80만</x:v>
      </x:c>
      <x:c r="G1057" s="2" t="str">
        <x:v>패</x:v>
      </x:c>
      <x:c r="H1057" s="14" t="n">
        <x:v>3</x:v>
      </x:c>
      <x:c r="I1057" s="14" t="n">
        <x:v>7</x:v>
      </x:c>
      <x:c r="J1057" s="14" t="n">
        <x:v>8</x:v>
      </x:c>
      <x:c r="K1057" s="14" t="n">
        <x:v>3</x:v>
      </x:c>
      <x:c r="L1057" s="15" t="n">
        <x:f>IF(J1057=0,"해당 없음",K1057/J1057)</x:f>
        <x:v>0.375</x:v>
      </x:c>
      <x:c r="M1057" s="14" t="n">
        <x:v>5</x:v>
      </x:c>
      <x:c r="N1057" s="14" t="n">
        <x:v>4</x:v>
      </x:c>
      <x:c r="O1057" s="15" t="n">
        <x:f>IF(M1057=0,"해당 없음",N1057/M1057)</x:f>
        <x:v>0.8</x:v>
      </x:c>
      <x:c r="P1057" s="14" t="n">
        <x:v>106</x:v>
      </x:c>
    </x:row>
    <x:row r="1058" ht="22" customHeight="1">
      <x:c r="A1058" s="14" t="n">
        <x:v>527</x:v>
      </x:c>
      <x:c r="B1058" s="14" t="n">
        <x:v>14</x:v>
      </x:c>
      <x:c r="C1058" s="14" t="n">
        <x:v>76003</x:v>
      </x:c>
      <x:c r="D1058" s="2" t="str">
        <x:v>RED</x:v>
      </x:c>
      <x:c r="E1058" s="2" t="str">
        <x:v>40만</x:v>
      </x:c>
      <x:c r="F1058" s="2" t="str">
        <x:v>80만</x:v>
      </x:c>
      <x:c r="G1058" s="2" t="str">
        <x:v>패</x:v>
      </x:c>
      <x:c r="H1058" s="14" t="n">
        <x:v>1</x:v>
      </x:c>
      <x:c r="I1058" s="14" t="n">
        <x:v>4</x:v>
      </x:c>
      <x:c r="J1058" s="14" t="n">
        <x:v>9</x:v>
      </x:c>
      <x:c r="K1058" s="14" t="n">
        <x:v>1</x:v>
      </x:c>
      <x:c r="L1058" s="15" t="n">
        <x:f>IF(J1058=0,"해당 없음",K1058/J1058)</x:f>
        <x:v>0.1111111111111111</x:v>
      </x:c>
      <x:c r="M1058" s="14" t="n">
        <x:v>7</x:v>
      </x:c>
      <x:c r="N1058" s="14" t="n">
        <x:v>3</x:v>
      </x:c>
      <x:c r="O1058" s="15" t="n">
        <x:f>IF(M1058=0,"해당 없음",N1058/M1058)</x:f>
        <x:v>0.42857142857142855</x:v>
      </x:c>
      <x:c r="P1058" s="14" t="n">
        <x:v>102</x:v>
      </x:c>
    </x:row>
    <x:row r="1059" ht="22" customHeight="1">
      <x:c r="A1059" s="14" t="n">
        <x:v>527</x:v>
      </x:c>
      <x:c r="B1059" s="14" t="n">
        <x:v>14</x:v>
      </x:c>
      <x:c r="C1059" s="14" t="n">
        <x:v>76003</x:v>
      </x:c>
      <x:c r="D1059" s="2" t="str">
        <x:v>NAVY</x:v>
      </x:c>
      <x:c r="E1059" s="2" t="str">
        <x:v>80만</x:v>
      </x:c>
      <x:c r="F1059" s="2" t="str">
        <x:v>40만</x:v>
      </x:c>
      <x:c r="G1059" s="2" t="str">
        <x:v>승</x:v>
      </x:c>
      <x:c r="H1059" s="14" t="n">
        <x:v>4</x:v>
      </x:c>
      <x:c r="I1059" s="14" t="n">
        <x:v>1</x:v>
      </x:c>
      <x:c r="J1059" s="14" t="n">
        <x:v>9</x:v>
      </x:c>
      <x:c r="K1059" s="14" t="n">
        <x:v>4</x:v>
      </x:c>
      <x:c r="L1059" s="15" t="n">
        <x:f>IF(J1059=0,"해당 없음",K1059/J1059)</x:f>
        <x:v>0.4444444444444444</x:v>
      </x:c>
      <x:c r="M1059" s="14" t="n">
        <x:v>11</x:v>
      </x:c>
      <x:c r="N1059" s="14" t="n">
        <x:v>9</x:v>
      </x:c>
      <x:c r="O1059" s="15" t="n">
        <x:f>IF(M1059=0,"해당 없음",N1059/M1059)</x:f>
        <x:v>0.8181818181818182</x:v>
      </x:c>
      <x:c r="P1059" s="14" t="n">
        <x:v>103</x:v>
      </x:c>
    </x:row>
    <x:row r="1060" ht="22" customHeight="1">
      <x:c r="A1060" s="14" t="n">
        <x:v>528</x:v>
      </x:c>
      <x:c r="B1060" s="14" t="n">
        <x:v>14</x:v>
      </x:c>
      <x:c r="C1060" s="14" t="n">
        <x:v>76003</x:v>
      </x:c>
      <x:c r="D1060" s="2" t="str">
        <x:v>RED</x:v>
      </x:c>
      <x:c r="E1060" s="2" t="str">
        <x:v>80만</x:v>
      </x:c>
      <x:c r="F1060" s="2" t="str">
        <x:v>40만</x:v>
      </x:c>
      <x:c r="G1060" s="2" t="str">
        <x:v>패</x:v>
      </x:c>
      <x:c r="H1060" s="14" t="n">
        <x:v>2</x:v>
      </x:c>
      <x:c r="I1060" s="14" t="n">
        <x:v>5</x:v>
      </x:c>
      <x:c r="J1060" s="14" t="n">
        <x:v>9</x:v>
      </x:c>
      <x:c r="K1060" s="14" t="n">
        <x:v>2</x:v>
      </x:c>
      <x:c r="L1060" s="15" t="n">
        <x:f>IF(J1060=0,"해당 없음",K1060/J1060)</x:f>
        <x:v>0.2222222222222222</x:v>
      </x:c>
      <x:c r="M1060" s="14" t="n">
        <x:v>2</x:v>
      </x:c>
      <x:c r="N1060" s="14" t="n">
        <x:v>2</x:v>
      </x:c>
      <x:c r="O1060" s="15" t="n">
        <x:f>IF(M1060=0,"해당 없음",N1060/M1060)</x:f>
        <x:v>1</x:v>
      </x:c>
      <x:c r="P1060" s="14" t="n">
        <x:v>103</x:v>
      </x:c>
    </x:row>
    <x:row r="1061" ht="22" customHeight="1">
      <x:c r="A1061" s="14" t="n">
        <x:v>528</x:v>
      </x:c>
      <x:c r="B1061" s="14" t="n">
        <x:v>14</x:v>
      </x:c>
      <x:c r="C1061" s="14" t="n">
        <x:v>76003</x:v>
      </x:c>
      <x:c r="D1061" s="2" t="str">
        <x:v>NAVY</x:v>
      </x:c>
      <x:c r="E1061" s="2" t="str">
        <x:v>40만</x:v>
      </x:c>
      <x:c r="F1061" s="2" t="str">
        <x:v>80만</x:v>
      </x:c>
      <x:c r="G1061" s="2" t="str">
        <x:v>승</x:v>
      </x:c>
      <x:c r="H1061" s="14" t="n">
        <x:v>5</x:v>
      </x:c>
      <x:c r="I1061" s="14" t="n">
        <x:v>2</x:v>
      </x:c>
      <x:c r="J1061" s="14" t="n">
        <x:v>8</x:v>
      </x:c>
      <x:c r="K1061" s="14" t="n">
        <x:v>5</x:v>
      </x:c>
      <x:c r="L1061" s="15" t="n">
        <x:f>IF(J1061=0,"해당 없음",K1061/J1061)</x:f>
        <x:v>0.625</x:v>
      </x:c>
      <x:c r="M1061" s="14" t="n">
        <x:v>7</x:v>
      </x:c>
      <x:c r="N1061" s="14" t="n">
        <x:v>3</x:v>
      </x:c>
      <x:c r="O1061" s="15" t="n">
        <x:f>IF(M1061=0,"해당 없음",N1061/M1061)</x:f>
        <x:v>0.42857142857142855</x:v>
      </x:c>
      <x:c r="P1061" s="14" t="n">
        <x:v>104</x:v>
      </x:c>
    </x:row>
    <x:row r="1062" ht="22" customHeight="1">
      <x:c r="A1062" s="14" t="n">
        <x:v>529</x:v>
      </x:c>
      <x:c r="B1062" s="14" t="n">
        <x:v>14</x:v>
      </x:c>
      <x:c r="C1062" s="14" t="n">
        <x:v>76004</x:v>
      </x:c>
      <x:c r="D1062" s="2" t="str">
        <x:v>RED</x:v>
      </x:c>
      <x:c r="E1062" s="2" t="str">
        <x:v>40만</x:v>
      </x:c>
      <x:c r="F1062" s="2" t="str">
        <x:v>80만</x:v>
      </x:c>
      <x:c r="G1062" s="2" t="str">
        <x:v>무</x:v>
      </x:c>
      <x:c r="H1062" s="14" t="n">
        <x:v>2</x:v>
      </x:c>
      <x:c r="I1062" s="14" t="n">
        <x:v>2</x:v>
      </x:c>
      <x:c r="J1062" s="14" t="n">
        <x:v>11</x:v>
      </x:c>
      <x:c r="K1062" s="14" t="n">
        <x:v>2</x:v>
      </x:c>
      <x:c r="L1062" s="15" t="n">
        <x:f>IF(J1062=0,"해당 없음",K1062/J1062)</x:f>
        <x:v>0.18181818181818182</x:v>
      </x:c>
      <x:c r="M1062" s="14" t="n">
        <x:v>4</x:v>
      </x:c>
      <x:c r="N1062" s="14" t="n">
        <x:v>4</x:v>
      </x:c>
      <x:c r="O1062" s="15" t="n">
        <x:f>IF(M1062=0,"해당 없음",N1062/M1062)</x:f>
        <x:v>1</x:v>
      </x:c>
      <x:c r="P1062" s="14" t="n">
        <x:v>103</x:v>
      </x:c>
    </x:row>
    <x:row r="1063" ht="22" customHeight="1">
      <x:c r="A1063" s="14" t="n">
        <x:v>529</x:v>
      </x:c>
      <x:c r="B1063" s="14" t="n">
        <x:v>14</x:v>
      </x:c>
      <x:c r="C1063" s="14" t="n">
        <x:v>76004</x:v>
      </x:c>
      <x:c r="D1063" s="2" t="str">
        <x:v>NAVY</x:v>
      </x:c>
      <x:c r="E1063" s="2" t="str">
        <x:v>80만</x:v>
      </x:c>
      <x:c r="F1063" s="2" t="str">
        <x:v>40만</x:v>
      </x:c>
      <x:c r="G1063" s="2" t="str">
        <x:v>무</x:v>
      </x:c>
      <x:c r="H1063" s="14" t="n">
        <x:v>2</x:v>
      </x:c>
      <x:c r="I1063" s="14" t="n">
        <x:v>2</x:v>
      </x:c>
      <x:c r="J1063" s="14" t="n">
        <x:v>5</x:v>
      </x:c>
      <x:c r="K1063" s="14" t="n">
        <x:v>2</x:v>
      </x:c>
      <x:c r="L1063" s="15" t="n">
        <x:f>IF(J1063=0,"해당 없음",K1063/J1063)</x:f>
        <x:v>0.4</x:v>
      </x:c>
      <x:c r="M1063" s="14" t="n">
        <x:v>9</x:v>
      </x:c>
      <x:c r="N1063" s="14" t="n">
        <x:v>7</x:v>
      </x:c>
      <x:c r="O1063" s="15" t="n">
        <x:f>IF(M1063=0,"해당 없음",N1063/M1063)</x:f>
        <x:v>0.7777777777777778</x:v>
      </x:c>
      <x:c r="P1063" s="14" t="n">
        <x:v>103</x:v>
      </x:c>
    </x:row>
    <x:row r="1064" ht="22" customHeight="1">
      <x:c r="A1064" s="14" t="n">
        <x:v>530</x:v>
      </x:c>
      <x:c r="B1064" s="14" t="n">
        <x:v>14</x:v>
      </x:c>
      <x:c r="C1064" s="14" t="n">
        <x:v>76004</x:v>
      </x:c>
      <x:c r="D1064" s="2" t="str">
        <x:v>RED</x:v>
      </x:c>
      <x:c r="E1064" s="2" t="str">
        <x:v>80만</x:v>
      </x:c>
      <x:c r="F1064" s="2" t="str">
        <x:v>40만</x:v>
      </x:c>
      <x:c r="G1064" s="2" t="str">
        <x:v>패</x:v>
      </x:c>
      <x:c r="H1064" s="14" t="n">
        <x:v>3</x:v>
      </x:c>
      <x:c r="I1064" s="14" t="n">
        <x:v>5</x:v>
      </x:c>
      <x:c r="J1064" s="14" t="n">
        <x:v>8</x:v>
      </x:c>
      <x:c r="K1064" s="14" t="n">
        <x:v>3</x:v>
      </x:c>
      <x:c r="L1064" s="15" t="n">
        <x:f>IF(J1064=0,"해당 없음",K1064/J1064)</x:f>
        <x:v>0.375</x:v>
      </x:c>
      <x:c r="M1064" s="14" t="n">
        <x:v>12</x:v>
      </x:c>
      <x:c r="N1064" s="14" t="n">
        <x:v>8</x:v>
      </x:c>
      <x:c r="O1064" s="15" t="n">
        <x:f>IF(M1064=0,"해당 없음",N1064/M1064)</x:f>
        <x:v>0.6666666666666666</x:v>
      </x:c>
      <x:c r="P1064" s="14" t="n">
        <x:v>105</x:v>
      </x:c>
    </x:row>
    <x:row r="1065" ht="22" customHeight="1">
      <x:c r="A1065" s="14" t="n">
        <x:v>530</x:v>
      </x:c>
      <x:c r="B1065" s="14" t="n">
        <x:v>14</x:v>
      </x:c>
      <x:c r="C1065" s="14" t="n">
        <x:v>76004</x:v>
      </x:c>
      <x:c r="D1065" s="2" t="str">
        <x:v>NAVY</x:v>
      </x:c>
      <x:c r="E1065" s="2" t="str">
        <x:v>40만</x:v>
      </x:c>
      <x:c r="F1065" s="2" t="str">
        <x:v>80만</x:v>
      </x:c>
      <x:c r="G1065" s="2" t="str">
        <x:v>승</x:v>
      </x:c>
      <x:c r="H1065" s="14" t="n">
        <x:v>5</x:v>
      </x:c>
      <x:c r="I1065" s="14" t="n">
        <x:v>3</x:v>
      </x:c>
      <x:c r="J1065" s="14" t="n">
        <x:v>11</x:v>
      </x:c>
      <x:c r="K1065" s="14" t="n">
        <x:v>5</x:v>
      </x:c>
      <x:c r="L1065" s="15" t="n">
        <x:f>IF(J1065=0,"해당 없음",K1065/J1065)</x:f>
        <x:v>0.45454545454545453</x:v>
      </x:c>
      <x:c r="M1065" s="14" t="n">
        <x:v>7</x:v>
      </x:c>
      <x:c r="N1065" s="14" t="n">
        <x:v>5</x:v>
      </x:c>
      <x:c r="O1065" s="15" t="n">
        <x:f>IF(M1065=0,"해당 없음",N1065/M1065)</x:f>
        <x:v>0.7142857142857143</x:v>
      </x:c>
      <x:c r="P1065" s="14" t="n">
        <x:v>105</x:v>
      </x:c>
    </x:row>
    <x:row r="1066" ht="22" customHeight="1">
      <x:c r="A1066" s="14" t="n">
        <x:v>531</x:v>
      </x:c>
      <x:c r="B1066" s="14" t="n">
        <x:v>14</x:v>
      </x:c>
      <x:c r="C1066" s="14" t="n">
        <x:v>76005</x:v>
      </x:c>
      <x:c r="D1066" s="2" t="str">
        <x:v>RED</x:v>
      </x:c>
      <x:c r="E1066" s="2" t="str">
        <x:v>40만</x:v>
      </x:c>
      <x:c r="F1066" s="2" t="str">
        <x:v>80만</x:v>
      </x:c>
      <x:c r="G1066" s="2" t="str">
        <x:v>패</x:v>
      </x:c>
      <x:c r="H1066" s="14" t="n">
        <x:v>0</x:v>
      </x:c>
      <x:c r="I1066" s="14" t="n">
        <x:v>6</x:v>
      </x:c>
      <x:c r="J1066" s="14" t="n">
        <x:v>7</x:v>
      </x:c>
      <x:c r="K1066" s="14" t="n">
        <x:v>0</x:v>
      </x:c>
      <x:c r="L1066" s="15" t="n">
        <x:f>IF(J1066=0,"해당 없음",K1066/J1066)</x:f>
        <x:v>0</x:v>
      </x:c>
      <x:c r="M1066" s="14" t="n">
        <x:v>5</x:v>
      </x:c>
      <x:c r="N1066" s="14" t="n">
        <x:v>5</x:v>
      </x:c>
      <x:c r="O1066" s="15" t="n">
        <x:f>IF(M1066=0,"해당 없음",N1066/M1066)</x:f>
        <x:v>1</x:v>
      </x:c>
      <x:c r="P1066" s="14" t="n">
        <x:v>105</x:v>
      </x:c>
    </x:row>
    <x:row r="1067" ht="22" customHeight="1">
      <x:c r="A1067" s="14" t="n">
        <x:v>531</x:v>
      </x:c>
      <x:c r="B1067" s="14" t="n">
        <x:v>14</x:v>
      </x:c>
      <x:c r="C1067" s="14" t="n">
        <x:v>76005</x:v>
      </x:c>
      <x:c r="D1067" s="2" t="str">
        <x:v>NAVY</x:v>
      </x:c>
      <x:c r="E1067" s="2" t="str">
        <x:v>80만</x:v>
      </x:c>
      <x:c r="F1067" s="2" t="str">
        <x:v>40만</x:v>
      </x:c>
      <x:c r="G1067" s="2" t="str">
        <x:v>승</x:v>
      </x:c>
      <x:c r="H1067" s="14" t="n">
        <x:v>6</x:v>
      </x:c>
      <x:c r="I1067" s="14" t="n">
        <x:v>0</x:v>
      </x:c>
      <x:c r="J1067" s="14" t="n">
        <x:v>8</x:v>
      </x:c>
      <x:c r="K1067" s="14" t="n">
        <x:v>6</x:v>
      </x:c>
      <x:c r="L1067" s="15" t="n">
        <x:f>IF(J1067=0,"해당 없음",K1067/J1067)</x:f>
        <x:v>0.75</x:v>
      </x:c>
      <x:c r="M1067" s="14" t="n">
        <x:v>11</x:v>
      </x:c>
      <x:c r="N1067" s="14" t="n">
        <x:v>8</x:v>
      </x:c>
      <x:c r="O1067" s="15" t="n">
        <x:f>IF(M1067=0,"해당 없음",N1067/M1067)</x:f>
        <x:v>0.7272727272727273</x:v>
      </x:c>
      <x:c r="P1067" s="14" t="n">
        <x:v>104</x:v>
      </x:c>
    </x:row>
    <x:row r="1068" ht="22" customHeight="1">
      <x:c r="A1068" s="14" t="n">
        <x:v>532</x:v>
      </x:c>
      <x:c r="B1068" s="14" t="n">
        <x:v>14</x:v>
      </x:c>
      <x:c r="C1068" s="14" t="n">
        <x:v>76005</x:v>
      </x:c>
      <x:c r="D1068" s="2" t="str">
        <x:v>RED</x:v>
      </x:c>
      <x:c r="E1068" s="2" t="str">
        <x:v>80만</x:v>
      </x:c>
      <x:c r="F1068" s="2" t="str">
        <x:v>40만</x:v>
      </x:c>
      <x:c r="G1068" s="2" t="str">
        <x:v>무</x:v>
      </x:c>
      <x:c r="H1068" s="14" t="n">
        <x:v>4</x:v>
      </x:c>
      <x:c r="I1068" s="14" t="n">
        <x:v>4</x:v>
      </x:c>
      <x:c r="J1068" s="14" t="n">
        <x:v>7</x:v>
      </x:c>
      <x:c r="K1068" s="14" t="n">
        <x:v>4</x:v>
      </x:c>
      <x:c r="L1068" s="15" t="n">
        <x:f>IF(J1068=0,"해당 없음",K1068/J1068)</x:f>
        <x:v>0.5714285714285714</x:v>
      </x:c>
      <x:c r="M1068" s="14" t="n">
        <x:v>9</x:v>
      </x:c>
      <x:c r="N1068" s="14" t="n">
        <x:v>5</x:v>
      </x:c>
      <x:c r="O1068" s="15" t="n">
        <x:f>IF(M1068=0,"해당 없음",N1068/M1068)</x:f>
        <x:v>0.5555555555555556</x:v>
      </x:c>
      <x:c r="P1068" s="14" t="n">
        <x:v>103</x:v>
      </x:c>
    </x:row>
    <x:row r="1069" ht="22" customHeight="1">
      <x:c r="A1069" s="14" t="n">
        <x:v>532</x:v>
      </x:c>
      <x:c r="B1069" s="14" t="n">
        <x:v>14</x:v>
      </x:c>
      <x:c r="C1069" s="14" t="n">
        <x:v>76005</x:v>
      </x:c>
      <x:c r="D1069" s="2" t="str">
        <x:v>NAVY</x:v>
      </x:c>
      <x:c r="E1069" s="2" t="str">
        <x:v>40만</x:v>
      </x:c>
      <x:c r="F1069" s="2" t="str">
        <x:v>80만</x:v>
      </x:c>
      <x:c r="G1069" s="2" t="str">
        <x:v>무</x:v>
      </x:c>
      <x:c r="H1069" s="14" t="n">
        <x:v>4</x:v>
      </x:c>
      <x:c r="I1069" s="14" t="n">
        <x:v>4</x:v>
      </x:c>
      <x:c r="J1069" s="14" t="n">
        <x:v>8</x:v>
      </x:c>
      <x:c r="K1069" s="14" t="n">
        <x:v>4</x:v>
      </x:c>
      <x:c r="L1069" s="15" t="n">
        <x:f>IF(J1069=0,"해당 없음",K1069/J1069)</x:f>
        <x:v>0.5</x:v>
      </x:c>
      <x:c r="M1069" s="14" t="n">
        <x:v>7</x:v>
      </x:c>
      <x:c r="N1069" s="14" t="n">
        <x:v>7</x:v>
      </x:c>
      <x:c r="O1069" s="15" t="n">
        <x:f>IF(M1069=0,"해당 없음",N1069/M1069)</x:f>
        <x:v>1</x:v>
      </x:c>
      <x:c r="P1069" s="14" t="n">
        <x:v>103</x:v>
      </x:c>
    </x:row>
    <x:row r="1070" ht="22" customHeight="1">
      <x:c r="A1070" s="14" t="n">
        <x:v>533</x:v>
      </x:c>
      <x:c r="B1070" s="14" t="n">
        <x:v>14</x:v>
      </x:c>
      <x:c r="C1070" s="14" t="n">
        <x:v>76006</x:v>
      </x:c>
      <x:c r="D1070" s="2" t="str">
        <x:v>RED</x:v>
      </x:c>
      <x:c r="E1070" s="2" t="str">
        <x:v>40만</x:v>
      </x:c>
      <x:c r="F1070" s="2" t="str">
        <x:v>80만</x:v>
      </x:c>
      <x:c r="G1070" s="2" t="str">
        <x:v>패</x:v>
      </x:c>
      <x:c r="H1070" s="14" t="n">
        <x:v>1</x:v>
      </x:c>
      <x:c r="I1070" s="14" t="n">
        <x:v>3</x:v>
      </x:c>
      <x:c r="J1070" s="14" t="n">
        <x:v>15</x:v>
      </x:c>
      <x:c r="K1070" s="14" t="n">
        <x:v>1</x:v>
      </x:c>
      <x:c r="L1070" s="15" t="n">
        <x:f>IF(J1070=0,"해당 없음",K1070/J1070)</x:f>
        <x:v>0.06666666666666667</x:v>
      </x:c>
      <x:c r="M1070" s="14" t="n">
        <x:v>7</x:v>
      </x:c>
      <x:c r="N1070" s="14" t="n">
        <x:v>5</x:v>
      </x:c>
      <x:c r="O1070" s="15" t="n">
        <x:f>IF(M1070=0,"해당 없음",N1070/M1070)</x:f>
        <x:v>0.7142857142857143</x:v>
      </x:c>
      <x:c r="P1070" s="14" t="n">
        <x:v>103</x:v>
      </x:c>
    </x:row>
    <x:row r="1071" ht="22" customHeight="1">
      <x:c r="A1071" s="14" t="n">
        <x:v>533</x:v>
      </x:c>
      <x:c r="B1071" s="14" t="n">
        <x:v>14</x:v>
      </x:c>
      <x:c r="C1071" s="14" t="n">
        <x:v>76006</x:v>
      </x:c>
      <x:c r="D1071" s="2" t="str">
        <x:v>NAVY</x:v>
      </x:c>
      <x:c r="E1071" s="2" t="str">
        <x:v>80만</x:v>
      </x:c>
      <x:c r="F1071" s="2" t="str">
        <x:v>40만</x:v>
      </x:c>
      <x:c r="G1071" s="2" t="str">
        <x:v>승</x:v>
      </x:c>
      <x:c r="H1071" s="14" t="n">
        <x:v>3</x:v>
      </x:c>
      <x:c r="I1071" s="14" t="n">
        <x:v>1</x:v>
      </x:c>
      <x:c r="J1071" s="14" t="n">
        <x:v>4</x:v>
      </x:c>
      <x:c r="K1071" s="14" t="n">
        <x:v>3</x:v>
      </x:c>
      <x:c r="L1071" s="15" t="n">
        <x:f>IF(J1071=0,"해당 없음",K1071/J1071)</x:f>
        <x:v>0.75</x:v>
      </x:c>
      <x:c r="M1071" s="14" t="n">
        <x:v>14</x:v>
      </x:c>
      <x:c r="N1071" s="14" t="n">
        <x:v>12</x:v>
      </x:c>
      <x:c r="O1071" s="15" t="n">
        <x:f>IF(M1071=0,"해당 없음",N1071/M1071)</x:f>
        <x:v>0.8571428571428571</x:v>
      </x:c>
      <x:c r="P1071" s="14" t="n">
        <x:v>102</x:v>
      </x:c>
    </x:row>
    <x:row r="1072" ht="22" customHeight="1">
      <x:c r="A1072" s="14" t="n">
        <x:v>534</x:v>
      </x:c>
      <x:c r="B1072" s="14" t="n">
        <x:v>14</x:v>
      </x:c>
      <x:c r="C1072" s="14" t="n">
        <x:v>76006</x:v>
      </x:c>
      <x:c r="D1072" s="2" t="str">
        <x:v>RED</x:v>
      </x:c>
      <x:c r="E1072" s="2" t="str">
        <x:v>80만</x:v>
      </x:c>
      <x:c r="F1072" s="2" t="str">
        <x:v>40만</x:v>
      </x:c>
      <x:c r="G1072" s="2" t="str">
        <x:v>패</x:v>
      </x:c>
      <x:c r="H1072" s="14" t="n">
        <x:v>4</x:v>
      </x:c>
      <x:c r="I1072" s="14" t="n">
        <x:v>5</x:v>
      </x:c>
      <x:c r="J1072" s="14" t="n">
        <x:v>7</x:v>
      </x:c>
      <x:c r="K1072" s="14" t="n">
        <x:v>4</x:v>
      </x:c>
      <x:c r="L1072" s="15" t="n">
        <x:f>IF(J1072=0,"해당 없음",K1072/J1072)</x:f>
        <x:v>0.5714285714285714</x:v>
      </x:c>
      <x:c r="M1072" s="14" t="n">
        <x:v>9</x:v>
      </x:c>
      <x:c r="N1072" s="14" t="n">
        <x:v>6</x:v>
      </x:c>
      <x:c r="O1072" s="15" t="n">
        <x:f>IF(M1072=0,"해당 없음",N1072/M1072)</x:f>
        <x:v>0.6666666666666666</x:v>
      </x:c>
      <x:c r="P1072" s="14" t="n">
        <x:v>105</x:v>
      </x:c>
    </x:row>
    <x:row r="1073" ht="22" customHeight="1">
      <x:c r="A1073" s="14" t="n">
        <x:v>534</x:v>
      </x:c>
      <x:c r="B1073" s="14" t="n">
        <x:v>14</x:v>
      </x:c>
      <x:c r="C1073" s="14" t="n">
        <x:v>76006</x:v>
      </x:c>
      <x:c r="D1073" s="2" t="str">
        <x:v>NAVY</x:v>
      </x:c>
      <x:c r="E1073" s="2" t="str">
        <x:v>40만</x:v>
      </x:c>
      <x:c r="F1073" s="2" t="str">
        <x:v>80만</x:v>
      </x:c>
      <x:c r="G1073" s="2" t="str">
        <x:v>승</x:v>
      </x:c>
      <x:c r="H1073" s="14" t="n">
        <x:v>5</x:v>
      </x:c>
      <x:c r="I1073" s="14" t="n">
        <x:v>4</x:v>
      </x:c>
      <x:c r="J1073" s="14" t="n">
        <x:v>11</x:v>
      </x:c>
      <x:c r="K1073" s="14" t="n">
        <x:v>5</x:v>
      </x:c>
      <x:c r="L1073" s="15" t="n">
        <x:f>IF(J1073=0,"해당 없음",K1073/J1073)</x:f>
        <x:v>0.45454545454545453</x:v>
      </x:c>
      <x:c r="M1073" s="14" t="n">
        <x:v>6</x:v>
      </x:c>
      <x:c r="N1073" s="14" t="n">
        <x:v>6</x:v>
      </x:c>
      <x:c r="O1073" s="15" t="n">
        <x:f>IF(M1073=0,"해당 없음",N1073/M1073)</x:f>
        <x:v>1</x:v>
      </x:c>
      <x:c r="P1073" s="14" t="n">
        <x:v>104</x:v>
      </x:c>
    </x:row>
    <x:row r="1074" ht="22" customHeight="1">
      <x:c r="A1074" s="14" t="n">
        <x:v>535</x:v>
      </x:c>
      <x:c r="B1074" s="14" t="n">
        <x:v>14</x:v>
      </x:c>
      <x:c r="C1074" s="14" t="n">
        <x:v>76007</x:v>
      </x:c>
      <x:c r="D1074" s="2" t="str">
        <x:v>RED</x:v>
      </x:c>
      <x:c r="E1074" s="2" t="str">
        <x:v>40만</x:v>
      </x:c>
      <x:c r="F1074" s="2" t="str">
        <x:v>80만</x:v>
      </x:c>
      <x:c r="G1074" s="2" t="str">
        <x:v>승</x:v>
      </x:c>
      <x:c r="H1074" s="14" t="n">
        <x:v>5</x:v>
      </x:c>
      <x:c r="I1074" s="14" t="n">
        <x:v>2</x:v>
      </x:c>
      <x:c r="J1074" s="14" t="n">
        <x:v>12</x:v>
      </x:c>
      <x:c r="K1074" s="14" t="n">
        <x:v>5</x:v>
      </x:c>
      <x:c r="L1074" s="15" t="n">
        <x:f>IF(J1074=0,"해당 없음",K1074/J1074)</x:f>
        <x:v>0.4166666666666667</x:v>
      </x:c>
      <x:c r="M1074" s="14" t="n">
        <x:v>8</x:v>
      </x:c>
      <x:c r="N1074" s="14" t="n">
        <x:v>7</x:v>
      </x:c>
      <x:c r="O1074" s="15" t="n">
        <x:f>IF(M1074=0,"해당 없음",N1074/M1074)</x:f>
        <x:v>0.875</x:v>
      </x:c>
      <x:c r="P1074" s="14" t="n">
        <x:v>103</x:v>
      </x:c>
    </x:row>
    <x:row r="1075" ht="22" customHeight="1">
      <x:c r="A1075" s="14" t="n">
        <x:v>535</x:v>
      </x:c>
      <x:c r="B1075" s="14" t="n">
        <x:v>14</x:v>
      </x:c>
      <x:c r="C1075" s="14" t="n">
        <x:v>76007</x:v>
      </x:c>
      <x:c r="D1075" s="2" t="str">
        <x:v>NAVY</x:v>
      </x:c>
      <x:c r="E1075" s="2" t="str">
        <x:v>80만</x:v>
      </x:c>
      <x:c r="F1075" s="2" t="str">
        <x:v>40만</x:v>
      </x:c>
      <x:c r="G1075" s="2" t="str">
        <x:v>패</x:v>
      </x:c>
      <x:c r="H1075" s="14" t="n">
        <x:v>2</x:v>
      </x:c>
      <x:c r="I1075" s="14" t="n">
        <x:v>5</x:v>
      </x:c>
      <x:c r="J1075" s="14" t="n">
        <x:v>7</x:v>
      </x:c>
      <x:c r="K1075" s="14" t="n">
        <x:v>2</x:v>
      </x:c>
      <x:c r="L1075" s="15" t="n">
        <x:f>IF(J1075=0,"해당 없음",K1075/J1075)</x:f>
        <x:v>0.2857142857142857</x:v>
      </x:c>
      <x:c r="M1075" s="14" t="n">
        <x:v>6</x:v>
      </x:c>
      <x:c r="N1075" s="14" t="n">
        <x:v>2</x:v>
      </x:c>
      <x:c r="O1075" s="15" t="n">
        <x:f>IF(M1075=0,"해당 없음",N1075/M1075)</x:f>
        <x:v>0.3333333333333333</x:v>
      </x:c>
      <x:c r="P1075" s="14" t="n">
        <x:v>103</x:v>
      </x:c>
    </x:row>
    <x:row r="1076" ht="22" customHeight="1">
      <x:c r="A1076" s="14" t="n">
        <x:v>536</x:v>
      </x:c>
      <x:c r="B1076" s="14" t="n">
        <x:v>14</x:v>
      </x:c>
      <x:c r="C1076" s="14" t="n">
        <x:v>76007</x:v>
      </x:c>
      <x:c r="D1076" s="2" t="str">
        <x:v>RED</x:v>
      </x:c>
      <x:c r="E1076" s="2" t="str">
        <x:v>80만</x:v>
      </x:c>
      <x:c r="F1076" s="2" t="str">
        <x:v>40만</x:v>
      </x:c>
      <x:c r="G1076" s="2" t="str">
        <x:v>패</x:v>
      </x:c>
      <x:c r="H1076" s="14" t="n">
        <x:v>2</x:v>
      </x:c>
      <x:c r="I1076" s="14" t="n">
        <x:v>6</x:v>
      </x:c>
      <x:c r="J1076" s="14" t="n">
        <x:v>5</x:v>
      </x:c>
      <x:c r="K1076" s="14" t="n">
        <x:v>2</x:v>
      </x:c>
      <x:c r="L1076" s="15" t="n">
        <x:f>IF(J1076=0,"해당 없음",K1076/J1076)</x:f>
        <x:v>0.4</x:v>
      </x:c>
      <x:c r="M1076" s="14" t="n">
        <x:v>3</x:v>
      </x:c>
      <x:c r="N1076" s="14" t="n">
        <x:v>2</x:v>
      </x:c>
      <x:c r="O1076" s="15" t="n">
        <x:f>IF(M1076=0,"해당 없음",N1076/M1076)</x:f>
        <x:v>0.6666666666666666</x:v>
      </x:c>
      <x:c r="P1076" s="14" t="n">
        <x:v>103</x:v>
      </x:c>
    </x:row>
    <x:row r="1077" ht="22" customHeight="1">
      <x:c r="A1077" s="14" t="n">
        <x:v>536</x:v>
      </x:c>
      <x:c r="B1077" s="14" t="n">
        <x:v>14</x:v>
      </x:c>
      <x:c r="C1077" s="14" t="n">
        <x:v>76007</x:v>
      </x:c>
      <x:c r="D1077" s="2" t="str">
        <x:v>NAVY</x:v>
      </x:c>
      <x:c r="E1077" s="2" t="str">
        <x:v>40만</x:v>
      </x:c>
      <x:c r="F1077" s="2" t="str">
        <x:v>80만</x:v>
      </x:c>
      <x:c r="G1077" s="2" t="str">
        <x:v>승</x:v>
      </x:c>
      <x:c r="H1077" s="14" t="n">
        <x:v>6</x:v>
      </x:c>
      <x:c r="I1077" s="14" t="n">
        <x:v>2</x:v>
      </x:c>
      <x:c r="J1077" s="14" t="n">
        <x:v>13</x:v>
      </x:c>
      <x:c r="K1077" s="14" t="n">
        <x:v>6</x:v>
      </x:c>
      <x:c r="L1077" s="15" t="n">
        <x:f>IF(J1077=0,"해당 없음",K1077/J1077)</x:f>
        <x:v>0.46153846153846156</x:v>
      </x:c>
      <x:c r="M1077" s="14" t="n">
        <x:v>5</x:v>
      </x:c>
      <x:c r="N1077" s="14" t="n">
        <x:v>5</x:v>
      </x:c>
      <x:c r="O1077" s="15" t="n">
        <x:f>IF(M1077=0,"해당 없음",N1077/M1077)</x:f>
        <x:v>1</x:v>
      </x:c>
      <x:c r="P1077" s="14" t="n">
        <x:v>105</x:v>
      </x:c>
    </x:row>
    <x:row r="1078" ht="22" customHeight="1">
      <x:c r="A1078" s="14" t="n">
        <x:v>537</x:v>
      </x:c>
      <x:c r="B1078" s="14" t="n">
        <x:v>14</x:v>
      </x:c>
      <x:c r="C1078" s="14" t="n">
        <x:v>76008</x:v>
      </x:c>
      <x:c r="D1078" s="2" t="str">
        <x:v>RED</x:v>
      </x:c>
      <x:c r="E1078" s="2" t="str">
        <x:v>40만</x:v>
      </x:c>
      <x:c r="F1078" s="2" t="str">
        <x:v>80만</x:v>
      </x:c>
      <x:c r="G1078" s="2" t="str">
        <x:v>승</x:v>
      </x:c>
      <x:c r="H1078" s="14" t="n">
        <x:v>3</x:v>
      </x:c>
      <x:c r="I1078" s="14" t="n">
        <x:v>2</x:v>
      </x:c>
      <x:c r="J1078" s="14" t="n">
        <x:v>6</x:v>
      </x:c>
      <x:c r="K1078" s="14" t="n">
        <x:v>3</x:v>
      </x:c>
      <x:c r="L1078" s="15" t="n">
        <x:f>IF(J1078=0,"해당 없음",K1078/J1078)</x:f>
        <x:v>0.5</x:v>
      </x:c>
      <x:c r="M1078" s="14" t="n">
        <x:v>10</x:v>
      </x:c>
      <x:c r="N1078" s="14" t="n">
        <x:v>8</x:v>
      </x:c>
      <x:c r="O1078" s="15" t="n">
        <x:f>IF(M1078=0,"해당 없음",N1078/M1078)</x:f>
        <x:v>0.8</x:v>
      </x:c>
      <x:c r="P1078" s="14" t="n">
        <x:v>103</x:v>
      </x:c>
    </x:row>
    <x:row r="1079" ht="22" customHeight="1">
      <x:c r="A1079" s="14" t="n">
        <x:v>537</x:v>
      </x:c>
      <x:c r="B1079" s="14" t="n">
        <x:v>14</x:v>
      </x:c>
      <x:c r="C1079" s="14" t="n">
        <x:v>76008</x:v>
      </x:c>
      <x:c r="D1079" s="2" t="str">
        <x:v>NAVY</x:v>
      </x:c>
      <x:c r="E1079" s="2" t="str">
        <x:v>80만</x:v>
      </x:c>
      <x:c r="F1079" s="2" t="str">
        <x:v>40만</x:v>
      </x:c>
      <x:c r="G1079" s="2" t="str">
        <x:v>패</x:v>
      </x:c>
      <x:c r="H1079" s="14" t="n">
        <x:v>2</x:v>
      </x:c>
      <x:c r="I1079" s="14" t="n">
        <x:v>3</x:v>
      </x:c>
      <x:c r="J1079" s="14" t="n">
        <x:v>8</x:v>
      </x:c>
      <x:c r="K1079" s="14" t="n">
        <x:v>2</x:v>
      </x:c>
      <x:c r="L1079" s="15" t="n">
        <x:f>IF(J1079=0,"해당 없음",K1079/J1079)</x:f>
        <x:v>0.25</x:v>
      </x:c>
      <x:c r="M1079" s="14" t="n">
        <x:v>7</x:v>
      </x:c>
      <x:c r="N1079" s="14" t="n">
        <x:v>5</x:v>
      </x:c>
      <x:c r="O1079" s="15" t="n">
        <x:f>IF(M1079=0,"해당 없음",N1079/M1079)</x:f>
        <x:v>0.7142857142857143</x:v>
      </x:c>
      <x:c r="P1079" s="14" t="n">
        <x:v>103</x:v>
      </x:c>
    </x:row>
    <x:row r="1080" ht="22" customHeight="1">
      <x:c r="A1080" s="14" t="n">
        <x:v>538</x:v>
      </x:c>
      <x:c r="B1080" s="14" t="n">
        <x:v>14</x:v>
      </x:c>
      <x:c r="C1080" s="14" t="n">
        <x:v>76008</x:v>
      </x:c>
      <x:c r="D1080" s="2" t="str">
        <x:v>RED</x:v>
      </x:c>
      <x:c r="E1080" s="2" t="str">
        <x:v>80만</x:v>
      </x:c>
      <x:c r="F1080" s="2" t="str">
        <x:v>40만</x:v>
      </x:c>
      <x:c r="G1080" s="2" t="str">
        <x:v>승</x:v>
      </x:c>
      <x:c r="H1080" s="14" t="n">
        <x:v>3</x:v>
      </x:c>
      <x:c r="I1080" s="14" t="n">
        <x:v>2</x:v>
      </x:c>
      <x:c r="J1080" s="14" t="n">
        <x:v>12</x:v>
      </x:c>
      <x:c r="K1080" s="14" t="n">
        <x:v>3</x:v>
      </x:c>
      <x:c r="L1080" s="15" t="n">
        <x:f>IF(J1080=0,"해당 없음",K1080/J1080)</x:f>
        <x:v>0.25</x:v>
      </x:c>
      <x:c r="M1080" s="14" t="n">
        <x:v>6</x:v>
      </x:c>
      <x:c r="N1080" s="14" t="n">
        <x:v>6</x:v>
      </x:c>
      <x:c r="O1080" s="15" t="n">
        <x:f>IF(M1080=0,"해당 없음",N1080/M1080)</x:f>
        <x:v>1</x:v>
      </x:c>
      <x:c r="P1080" s="14" t="n">
        <x:v>105</x:v>
      </x:c>
    </x:row>
    <x:row r="1081" ht="22" customHeight="1">
      <x:c r="A1081" s="14" t="n">
        <x:v>538</x:v>
      </x:c>
      <x:c r="B1081" s="14" t="n">
        <x:v>14</x:v>
      </x:c>
      <x:c r="C1081" s="14" t="n">
        <x:v>76008</x:v>
      </x:c>
      <x:c r="D1081" s="2" t="str">
        <x:v>NAVY</x:v>
      </x:c>
      <x:c r="E1081" s="2" t="str">
        <x:v>40만</x:v>
      </x:c>
      <x:c r="F1081" s="2" t="str">
        <x:v>80만</x:v>
      </x:c>
      <x:c r="G1081" s="2" t="str">
        <x:v>패</x:v>
      </x:c>
      <x:c r="H1081" s="14" t="n">
        <x:v>2</x:v>
      </x:c>
      <x:c r="I1081" s="14" t="n">
        <x:v>3</x:v>
      </x:c>
      <x:c r="J1081" s="14" t="n">
        <x:v>4</x:v>
      </x:c>
      <x:c r="K1081" s="14" t="n">
        <x:v>2</x:v>
      </x:c>
      <x:c r="L1081" s="15" t="n">
        <x:f>IF(J1081=0,"해당 없음",K1081/J1081)</x:f>
        <x:v>0.5</x:v>
      </x:c>
      <x:c r="M1081" s="14" t="n">
        <x:v>11</x:v>
      </x:c>
      <x:c r="N1081" s="14" t="n">
        <x:v>7</x:v>
      </x:c>
      <x:c r="O1081" s="15" t="n">
        <x:f>IF(M1081=0,"해당 없음",N1081/M1081)</x:f>
        <x:v>0.6363636363636364</x:v>
      </x:c>
      <x:c r="P1081" s="14" t="n">
        <x:v>103</x:v>
      </x:c>
    </x:row>
    <x:row r="1082" ht="22" customHeight="1">
      <x:c r="A1082" s="14" t="n">
        <x:v>539</x:v>
      </x:c>
      <x:c r="B1082" s="14" t="n">
        <x:v>14</x:v>
      </x:c>
      <x:c r="C1082" s="14" t="n">
        <x:v>76009</x:v>
      </x:c>
      <x:c r="D1082" s="2" t="str">
        <x:v>RED</x:v>
      </x:c>
      <x:c r="E1082" s="2" t="str">
        <x:v>40만</x:v>
      </x:c>
      <x:c r="F1082" s="2" t="str">
        <x:v>80만</x:v>
      </x:c>
      <x:c r="G1082" s="2" t="str">
        <x:v>패</x:v>
      </x:c>
      <x:c r="H1082" s="14" t="n">
        <x:v>2</x:v>
      </x:c>
      <x:c r="I1082" s="14" t="n">
        <x:v>3</x:v>
      </x:c>
      <x:c r="J1082" s="14" t="n">
        <x:v>7</x:v>
      </x:c>
      <x:c r="K1082" s="14" t="n">
        <x:v>2</x:v>
      </x:c>
      <x:c r="L1082" s="15" t="n">
        <x:f>IF(J1082=0,"해당 없음",K1082/J1082)</x:f>
        <x:v>0.2857142857142857</x:v>
      </x:c>
      <x:c r="M1082" s="14" t="n">
        <x:v>10</x:v>
      </x:c>
      <x:c r="N1082" s="14" t="n">
        <x:v>6</x:v>
      </x:c>
      <x:c r="O1082" s="15" t="n">
        <x:f>IF(M1082=0,"해당 없음",N1082/M1082)</x:f>
        <x:v>0.6</x:v>
      </x:c>
      <x:c r="P1082" s="14" t="n">
        <x:v>102</x:v>
      </x:c>
    </x:row>
    <x:row r="1083" ht="22" customHeight="1">
      <x:c r="A1083" s="14" t="n">
        <x:v>539</x:v>
      </x:c>
      <x:c r="B1083" s="14" t="n">
        <x:v>14</x:v>
      </x:c>
      <x:c r="C1083" s="14" t="n">
        <x:v>76009</x:v>
      </x:c>
      <x:c r="D1083" s="2" t="str">
        <x:v>NAVY</x:v>
      </x:c>
      <x:c r="E1083" s="2" t="str">
        <x:v>80만</x:v>
      </x:c>
      <x:c r="F1083" s="2" t="str">
        <x:v>40만</x:v>
      </x:c>
      <x:c r="G1083" s="2" t="str">
        <x:v>승</x:v>
      </x:c>
      <x:c r="H1083" s="14" t="n">
        <x:v>3</x:v>
      </x:c>
      <x:c r="I1083" s="14" t="n">
        <x:v>2</x:v>
      </x:c>
      <x:c r="J1083" s="14" t="n">
        <x:v>6</x:v>
      </x:c>
      <x:c r="K1083" s="14" t="n">
        <x:v>3</x:v>
      </x:c>
      <x:c r="L1083" s="15" t="n">
        <x:f>IF(J1083=0,"해당 없음",K1083/J1083)</x:f>
        <x:v>0.5</x:v>
      </x:c>
      <x:c r="M1083" s="14" t="n">
        <x:v>11</x:v>
      </x:c>
      <x:c r="N1083" s="14" t="n">
        <x:v>11</x:v>
      </x:c>
      <x:c r="O1083" s="15" t="n">
        <x:f>IF(M1083=0,"해당 없음",N1083/M1083)</x:f>
        <x:v>1</x:v>
      </x:c>
      <x:c r="P1083" s="14" t="n">
        <x:v>102</x:v>
      </x:c>
    </x:row>
    <x:row r="1084" ht="22" customHeight="1">
      <x:c r="A1084" s="14" t="n">
        <x:v>540</x:v>
      </x:c>
      <x:c r="B1084" s="14" t="n">
        <x:v>14</x:v>
      </x:c>
      <x:c r="C1084" s="14" t="n">
        <x:v>76009</x:v>
      </x:c>
      <x:c r="D1084" s="2" t="str">
        <x:v>RED</x:v>
      </x:c>
      <x:c r="E1084" s="2" t="str">
        <x:v>80만</x:v>
      </x:c>
      <x:c r="F1084" s="2" t="str">
        <x:v>40만</x:v>
      </x:c>
      <x:c r="G1084" s="2" t="str">
        <x:v>승</x:v>
      </x:c>
      <x:c r="H1084" s="14" t="n">
        <x:v>5</x:v>
      </x:c>
      <x:c r="I1084" s="14" t="n">
        <x:v>2</x:v>
      </x:c>
      <x:c r="J1084" s="14" t="n">
        <x:v>7</x:v>
      </x:c>
      <x:c r="K1084" s="14" t="n">
        <x:v>5</x:v>
      </x:c>
      <x:c r="L1084" s="15" t="n">
        <x:f>IF(J1084=0,"해당 없음",K1084/J1084)</x:f>
        <x:v>0.7142857142857143</x:v>
      </x:c>
      <x:c r="M1084" s="14" t="n">
        <x:v>9</x:v>
      </x:c>
      <x:c r="N1084" s="14" t="n">
        <x:v>5</x:v>
      </x:c>
      <x:c r="O1084" s="15" t="n">
        <x:f>IF(M1084=0,"해당 없음",N1084/M1084)</x:f>
        <x:v>0.5555555555555556</x:v>
      </x:c>
      <x:c r="P1084" s="14" t="n">
        <x:v>103</x:v>
      </x:c>
    </x:row>
    <x:row r="1085" ht="22" customHeight="1">
      <x:c r="A1085" s="14" t="n">
        <x:v>540</x:v>
      </x:c>
      <x:c r="B1085" s="14" t="n">
        <x:v>14</x:v>
      </x:c>
      <x:c r="C1085" s="14" t="n">
        <x:v>76009</x:v>
      </x:c>
      <x:c r="D1085" s="2" t="str">
        <x:v>NAVY</x:v>
      </x:c>
      <x:c r="E1085" s="2" t="str">
        <x:v>40만</x:v>
      </x:c>
      <x:c r="F1085" s="2" t="str">
        <x:v>80만</x:v>
      </x:c>
      <x:c r="G1085" s="2" t="str">
        <x:v>패</x:v>
      </x:c>
      <x:c r="H1085" s="14" t="n">
        <x:v>2</x:v>
      </x:c>
      <x:c r="I1085" s="14" t="n">
        <x:v>5</x:v>
      </x:c>
      <x:c r="J1085" s="14" t="n">
        <x:v>8</x:v>
      </x:c>
      <x:c r="K1085" s="14" t="n">
        <x:v>2</x:v>
      </x:c>
      <x:c r="L1085" s="15" t="n">
        <x:f>IF(J1085=0,"해당 없음",K1085/J1085)</x:f>
        <x:v>0.25</x:v>
      </x:c>
      <x:c r="M1085" s="14" t="n">
        <x:v>8</x:v>
      </x:c>
      <x:c r="N1085" s="14" t="n">
        <x:v>5</x:v>
      </x:c>
      <x:c r="O1085" s="15" t="n">
        <x:f>IF(M1085=0,"해당 없음",N1085/M1085)</x:f>
        <x:v>0.625</x:v>
      </x:c>
      <x:c r="P1085" s="14" t="n">
        <x:v>103</x:v>
      </x:c>
    </x:row>
    <x:row r="1086" ht="22" customHeight="1">
      <x:c r="A1086" s="14" t="n">
        <x:v>541</x:v>
      </x:c>
      <x:c r="B1086" s="14" t="n">
        <x:v>14</x:v>
      </x:c>
      <x:c r="C1086" s="14" t="n">
        <x:v>76010</x:v>
      </x:c>
      <x:c r="D1086" s="2" t="str">
        <x:v>RED</x:v>
      </x:c>
      <x:c r="E1086" s="2" t="str">
        <x:v>40만</x:v>
      </x:c>
      <x:c r="F1086" s="2" t="str">
        <x:v>80만</x:v>
      </x:c>
      <x:c r="G1086" s="2" t="str">
        <x:v>패</x:v>
      </x:c>
      <x:c r="H1086" s="14" t="n">
        <x:v>1</x:v>
      </x:c>
      <x:c r="I1086" s="14" t="n">
        <x:v>3</x:v>
      </x:c>
      <x:c r="J1086" s="14" t="n">
        <x:v>9</x:v>
      </x:c>
      <x:c r="K1086" s="14" t="n">
        <x:v>1</x:v>
      </x:c>
      <x:c r="L1086" s="15" t="n">
        <x:f>IF(J1086=0,"해당 없음",K1086/J1086)</x:f>
        <x:v>0.1111111111111111</x:v>
      </x:c>
      <x:c r="M1086" s="14" t="n">
        <x:v>7</x:v>
      </x:c>
      <x:c r="N1086" s="14" t="n">
        <x:v>6</x:v>
      </x:c>
      <x:c r="O1086" s="15" t="n">
        <x:f>IF(M1086=0,"해당 없음",N1086/M1086)</x:f>
        <x:v>0.8571428571428571</x:v>
      </x:c>
      <x:c r="P1086" s="14" t="n">
        <x:v>103</x:v>
      </x:c>
    </x:row>
    <x:row r="1087" ht="22" customHeight="1">
      <x:c r="A1087" s="14" t="n">
        <x:v>541</x:v>
      </x:c>
      <x:c r="B1087" s="14" t="n">
        <x:v>14</x:v>
      </x:c>
      <x:c r="C1087" s="14" t="n">
        <x:v>76010</x:v>
      </x:c>
      <x:c r="D1087" s="2" t="str">
        <x:v>NAVY</x:v>
      </x:c>
      <x:c r="E1087" s="2" t="str">
        <x:v>80만</x:v>
      </x:c>
      <x:c r="F1087" s="2" t="str">
        <x:v>40만</x:v>
      </x:c>
      <x:c r="G1087" s="2" t="str">
        <x:v>승</x:v>
      </x:c>
      <x:c r="H1087" s="14" t="n">
        <x:v>3</x:v>
      </x:c>
      <x:c r="I1087" s="14" t="n">
        <x:v>1</x:v>
      </x:c>
      <x:c r="J1087" s="14" t="n">
        <x:v>7</x:v>
      </x:c>
      <x:c r="K1087" s="14" t="n">
        <x:v>3</x:v>
      </x:c>
      <x:c r="L1087" s="15" t="n">
        <x:f>IF(J1087=0,"해당 없음",K1087/J1087)</x:f>
        <x:v>0.42857142857142855</x:v>
      </x:c>
      <x:c r="M1087" s="14" t="n">
        <x:v>10</x:v>
      </x:c>
      <x:c r="N1087" s="14" t="n">
        <x:v>6</x:v>
      </x:c>
      <x:c r="O1087" s="15" t="n">
        <x:f>IF(M1087=0,"해당 없음",N1087/M1087)</x:f>
        <x:v>0.6</x:v>
      </x:c>
      <x:c r="P1087" s="14" t="n">
        <x:v>104</x:v>
      </x:c>
    </x:row>
    <x:row r="1088" ht="22" customHeight="1">
      <x:c r="A1088" s="14" t="n">
        <x:v>542</x:v>
      </x:c>
      <x:c r="B1088" s="14" t="n">
        <x:v>14</x:v>
      </x:c>
      <x:c r="C1088" s="14" t="n">
        <x:v>76010</x:v>
      </x:c>
      <x:c r="D1088" s="2" t="str">
        <x:v>RED</x:v>
      </x:c>
      <x:c r="E1088" s="2" t="str">
        <x:v>80만</x:v>
      </x:c>
      <x:c r="F1088" s="2" t="str">
        <x:v>40만</x:v>
      </x:c>
      <x:c r="G1088" s="2" t="str">
        <x:v>승</x:v>
      </x:c>
      <x:c r="H1088" s="14" t="n">
        <x:v>3</x:v>
      </x:c>
      <x:c r="I1088" s="14" t="n">
        <x:v>2</x:v>
      </x:c>
      <x:c r="J1088" s="14" t="n">
        <x:v>8</x:v>
      </x:c>
      <x:c r="K1088" s="14" t="n">
        <x:v>3</x:v>
      </x:c>
      <x:c r="L1088" s="15" t="n">
        <x:f>IF(J1088=0,"해당 없음",K1088/J1088)</x:f>
        <x:v>0.375</x:v>
      </x:c>
      <x:c r="M1088" s="14" t="n">
        <x:v>12</x:v>
      </x:c>
      <x:c r="N1088" s="14" t="n">
        <x:v>9</x:v>
      </x:c>
      <x:c r="O1088" s="15" t="n">
        <x:f>IF(M1088=0,"해당 없음",N1088/M1088)</x:f>
        <x:v>0.75</x:v>
      </x:c>
      <x:c r="P1088" s="14" t="n">
        <x:v>105</x:v>
      </x:c>
    </x:row>
    <x:row r="1089" ht="22" customHeight="1">
      <x:c r="A1089" s="14" t="n">
        <x:v>542</x:v>
      </x:c>
      <x:c r="B1089" s="14" t="n">
        <x:v>14</x:v>
      </x:c>
      <x:c r="C1089" s="14" t="n">
        <x:v>76010</x:v>
      </x:c>
      <x:c r="D1089" s="2" t="str">
        <x:v>NAVY</x:v>
      </x:c>
      <x:c r="E1089" s="2" t="str">
        <x:v>40만</x:v>
      </x:c>
      <x:c r="F1089" s="2" t="str">
        <x:v>80만</x:v>
      </x:c>
      <x:c r="G1089" s="2" t="str">
        <x:v>패</x:v>
      </x:c>
      <x:c r="H1089" s="14" t="n">
        <x:v>2</x:v>
      </x:c>
      <x:c r="I1089" s="14" t="n">
        <x:v>3</x:v>
      </x:c>
      <x:c r="J1089" s="14" t="n">
        <x:v>10</x:v>
      </x:c>
      <x:c r="K1089" s="14" t="n">
        <x:v>2</x:v>
      </x:c>
      <x:c r="L1089" s="15" t="n">
        <x:f>IF(J1089=0,"해당 없음",K1089/J1089)</x:f>
        <x:v>0.2</x:v>
      </x:c>
      <x:c r="M1089" s="14" t="n">
        <x:v>10</x:v>
      </x:c>
      <x:c r="N1089" s="14" t="n">
        <x:v>10</x:v>
      </x:c>
      <x:c r="O1089" s="15" t="n">
        <x:f>IF(M1089=0,"해당 없음",N1089/M1089)</x:f>
        <x:v>1</x:v>
      </x:c>
      <x:c r="P1089" s="14" t="n">
        <x:v>104</x:v>
      </x:c>
    </x:row>
    <x:row r="1090" ht="22" customHeight="1">
      <x:c r="A1090" s="14" t="n">
        <x:v>543</x:v>
      </x:c>
      <x:c r="B1090" s="14" t="n">
        <x:v>14</x:v>
      </x:c>
      <x:c r="C1090" s="14" t="n">
        <x:v>76011</x:v>
      </x:c>
      <x:c r="D1090" s="2" t="str">
        <x:v>RED</x:v>
      </x:c>
      <x:c r="E1090" s="2" t="str">
        <x:v>40만</x:v>
      </x:c>
      <x:c r="F1090" s="2" t="str">
        <x:v>80만</x:v>
      </x:c>
      <x:c r="G1090" s="2" t="str">
        <x:v>패</x:v>
      </x:c>
      <x:c r="H1090" s="14" t="n">
        <x:v>1</x:v>
      </x:c>
      <x:c r="I1090" s="14" t="n">
        <x:v>4</x:v>
      </x:c>
      <x:c r="J1090" s="14" t="n">
        <x:v>12</x:v>
      </x:c>
      <x:c r="K1090" s="14" t="n">
        <x:v>1</x:v>
      </x:c>
      <x:c r="L1090" s="15" t="n">
        <x:f>IF(J1090=0,"해당 없음",K1090/J1090)</x:f>
        <x:v>0.08333333333333333</x:v>
      </x:c>
      <x:c r="M1090" s="14" t="n">
        <x:v>3</x:v>
      </x:c>
      <x:c r="N1090" s="14" t="n">
        <x:v>2</x:v>
      </x:c>
      <x:c r="O1090" s="15" t="n">
        <x:f>IF(M1090=0,"해당 없음",N1090/M1090)</x:f>
        <x:v>0.6666666666666666</x:v>
      </x:c>
      <x:c r="P1090" s="14" t="n">
        <x:v>104</x:v>
      </x:c>
    </x:row>
    <x:row r="1091" ht="22" customHeight="1">
      <x:c r="A1091" s="14" t="n">
        <x:v>543</x:v>
      </x:c>
      <x:c r="B1091" s="14" t="n">
        <x:v>14</x:v>
      </x:c>
      <x:c r="C1091" s="14" t="n">
        <x:v>76011</x:v>
      </x:c>
      <x:c r="D1091" s="2" t="str">
        <x:v>NAVY</x:v>
      </x:c>
      <x:c r="E1091" s="2" t="str">
        <x:v>80만</x:v>
      </x:c>
      <x:c r="F1091" s="2" t="str">
        <x:v>40만</x:v>
      </x:c>
      <x:c r="G1091" s="2" t="str">
        <x:v>승</x:v>
      </x:c>
      <x:c r="H1091" s="14" t="n">
        <x:v>4</x:v>
      </x:c>
      <x:c r="I1091" s="14" t="n">
        <x:v>1</x:v>
      </x:c>
      <x:c r="J1091" s="14" t="n">
        <x:v>7</x:v>
      </x:c>
      <x:c r="K1091" s="14" t="n">
        <x:v>4</x:v>
      </x:c>
      <x:c r="L1091" s="15" t="n">
        <x:f>IF(J1091=0,"해당 없음",K1091/J1091)</x:f>
        <x:v>0.5714285714285714</x:v>
      </x:c>
      <x:c r="M1091" s="14" t="n">
        <x:v>9</x:v>
      </x:c>
      <x:c r="N1091" s="14" t="n">
        <x:v>5</x:v>
      </x:c>
      <x:c r="O1091" s="15" t="n">
        <x:f>IF(M1091=0,"해당 없음",N1091/M1091)</x:f>
        <x:v>0.5555555555555556</x:v>
      </x:c>
      <x:c r="P1091" s="14" t="n">
        <x:v>103</x:v>
      </x:c>
    </x:row>
    <x:row r="1092" ht="22" customHeight="1">
      <x:c r="A1092" s="14" t="n">
        <x:v>544</x:v>
      </x:c>
      <x:c r="B1092" s="14" t="n">
        <x:v>14</x:v>
      </x:c>
      <x:c r="C1092" s="14" t="n">
        <x:v>76011</x:v>
      </x:c>
      <x:c r="D1092" s="2" t="str">
        <x:v>RED</x:v>
      </x:c>
      <x:c r="E1092" s="2" t="str">
        <x:v>80만</x:v>
      </x:c>
      <x:c r="F1092" s="2" t="str">
        <x:v>40만</x:v>
      </x:c>
      <x:c r="G1092" s="2" t="str">
        <x:v>패</x:v>
      </x:c>
      <x:c r="H1092" s="14" t="n">
        <x:v>1</x:v>
      </x:c>
      <x:c r="I1092" s="14" t="n">
        <x:v>2</x:v>
      </x:c>
      <x:c r="J1092" s="14" t="n">
        <x:v>9</x:v>
      </x:c>
      <x:c r="K1092" s="14" t="n">
        <x:v>1</x:v>
      </x:c>
      <x:c r="L1092" s="15" t="n">
        <x:f>IF(J1092=0,"해당 없음",K1092/J1092)</x:f>
        <x:v>0.1111111111111111</x:v>
      </x:c>
      <x:c r="M1092" s="14" t="n">
        <x:v>6</x:v>
      </x:c>
      <x:c r="N1092" s="14" t="n">
        <x:v>6</x:v>
      </x:c>
      <x:c r="O1092" s="15" t="n">
        <x:f>IF(M1092=0,"해당 없음",N1092/M1092)</x:f>
        <x:v>1</x:v>
      </x:c>
      <x:c r="P1092" s="14" t="n">
        <x:v>102</x:v>
      </x:c>
    </x:row>
    <x:row r="1093" ht="22" customHeight="1">
      <x:c r="A1093" s="14" t="n">
        <x:v>544</x:v>
      </x:c>
      <x:c r="B1093" s="14" t="n">
        <x:v>14</x:v>
      </x:c>
      <x:c r="C1093" s="14" t="n">
        <x:v>76011</x:v>
      </x:c>
      <x:c r="D1093" s="2" t="str">
        <x:v>NAVY</x:v>
      </x:c>
      <x:c r="E1093" s="2" t="str">
        <x:v>40만</x:v>
      </x:c>
      <x:c r="F1093" s="2" t="str">
        <x:v>80만</x:v>
      </x:c>
      <x:c r="G1093" s="2" t="str">
        <x:v>승</x:v>
      </x:c>
      <x:c r="H1093" s="14" t="n">
        <x:v>2</x:v>
      </x:c>
      <x:c r="I1093" s="14" t="n">
        <x:v>1</x:v>
      </x:c>
      <x:c r="J1093" s="14" t="n">
        <x:v>6</x:v>
      </x:c>
      <x:c r="K1093" s="14" t="n">
        <x:v>2</x:v>
      </x:c>
      <x:c r="L1093" s="15" t="n">
        <x:f>IF(J1093=0,"해당 없음",K1093/J1093)</x:f>
        <x:v>0.3333333333333333</x:v>
      </x:c>
      <x:c r="M1093" s="14" t="n">
        <x:v>9</x:v>
      </x:c>
      <x:c r="N1093" s="14" t="n">
        <x:v>6</x:v>
      </x:c>
      <x:c r="O1093" s="15" t="n">
        <x:f>IF(M1093=0,"해당 없음",N1093/M1093)</x:f>
        <x:v>0.6666666666666666</x:v>
      </x:c>
      <x:c r="P1093" s="14" t="n">
        <x:v>101</x:v>
      </x:c>
    </x:row>
    <x:row r="1094" ht="22" customHeight="1">
      <x:c r="A1094" s="14" t="n">
        <x:v>545</x:v>
      </x:c>
      <x:c r="B1094" s="14" t="n">
        <x:v>14</x:v>
      </x:c>
      <x:c r="C1094" s="14" t="n">
        <x:v>76012</x:v>
      </x:c>
      <x:c r="D1094" s="2" t="str">
        <x:v>RED</x:v>
      </x:c>
      <x:c r="E1094" s="2" t="str">
        <x:v>40만</x:v>
      </x:c>
      <x:c r="F1094" s="2" t="str">
        <x:v>80만</x:v>
      </x:c>
      <x:c r="G1094" s="2" t="str">
        <x:v>패</x:v>
      </x:c>
      <x:c r="H1094" s="14" t="n">
        <x:v>3</x:v>
      </x:c>
      <x:c r="I1094" s="14" t="n">
        <x:v>4</x:v>
      </x:c>
      <x:c r="J1094" s="14" t="n">
        <x:v>9</x:v>
      </x:c>
      <x:c r="K1094" s="14" t="n">
        <x:v>3</x:v>
      </x:c>
      <x:c r="L1094" s="15" t="n">
        <x:f>IF(J1094=0,"해당 없음",K1094/J1094)</x:f>
        <x:v>0.3333333333333333</x:v>
      </x:c>
      <x:c r="M1094" s="14" t="n">
        <x:v>5</x:v>
      </x:c>
      <x:c r="N1094" s="14" t="n">
        <x:v>4</x:v>
      </x:c>
      <x:c r="O1094" s="15" t="n">
        <x:f>IF(M1094=0,"해당 없음",N1094/M1094)</x:f>
        <x:v>0.8</x:v>
      </x:c>
      <x:c r="P1094" s="14" t="n">
        <x:v>104</x:v>
      </x:c>
    </x:row>
    <x:row r="1095" ht="22" customHeight="1">
      <x:c r="A1095" s="14" t="n">
        <x:v>545</x:v>
      </x:c>
      <x:c r="B1095" s="14" t="n">
        <x:v>14</x:v>
      </x:c>
      <x:c r="C1095" s="14" t="n">
        <x:v>76012</x:v>
      </x:c>
      <x:c r="D1095" s="2" t="str">
        <x:v>NAVY</x:v>
      </x:c>
      <x:c r="E1095" s="2" t="str">
        <x:v>80만</x:v>
      </x:c>
      <x:c r="F1095" s="2" t="str">
        <x:v>40만</x:v>
      </x:c>
      <x:c r="G1095" s="2" t="str">
        <x:v>승</x:v>
      </x:c>
      <x:c r="H1095" s="14" t="n">
        <x:v>4</x:v>
      </x:c>
      <x:c r="I1095" s="14" t="n">
        <x:v>3</x:v>
      </x:c>
      <x:c r="J1095" s="14" t="n">
        <x:v>11</x:v>
      </x:c>
      <x:c r="K1095" s="14" t="n">
        <x:v>4</x:v>
      </x:c>
      <x:c r="L1095" s="15" t="n">
        <x:f>IF(J1095=0,"해당 없음",K1095/J1095)</x:f>
        <x:v>0.36363636363636365</x:v>
      </x:c>
      <x:c r="M1095" s="14" t="n">
        <x:v>6</x:v>
      </x:c>
      <x:c r="N1095" s="14" t="n">
        <x:v>5</x:v>
      </x:c>
      <x:c r="O1095" s="15" t="n">
        <x:f>IF(M1095=0,"해당 없음",N1095/M1095)</x:f>
        <x:v>0.8333333333333334</x:v>
      </x:c>
      <x:c r="P1095" s="14" t="n">
        <x:v>102</x:v>
      </x:c>
    </x:row>
    <x:row r="1096" ht="22" customHeight="1">
      <x:c r="A1096" s="14" t="n">
        <x:v>546</x:v>
      </x:c>
      <x:c r="B1096" s="14" t="n">
        <x:v>14</x:v>
      </x:c>
      <x:c r="C1096" s="14" t="n">
        <x:v>76012</x:v>
      </x:c>
      <x:c r="D1096" s="2" t="str">
        <x:v>RED</x:v>
      </x:c>
      <x:c r="E1096" s="2" t="str">
        <x:v>80만</x:v>
      </x:c>
      <x:c r="F1096" s="2" t="str">
        <x:v>40만</x:v>
      </x:c>
      <x:c r="G1096" s="2" t="str">
        <x:v>패</x:v>
      </x:c>
      <x:c r="H1096" s="14" t="n">
        <x:v>2</x:v>
      </x:c>
      <x:c r="I1096" s="14" t="n">
        <x:v>4</x:v>
      </x:c>
      <x:c r="J1096" s="14" t="n">
        <x:v>9</x:v>
      </x:c>
      <x:c r="K1096" s="14" t="n">
        <x:v>2</x:v>
      </x:c>
      <x:c r="L1096" s="15" t="n">
        <x:f>IF(J1096=0,"해당 없음",K1096/J1096)</x:f>
        <x:v>0.2222222222222222</x:v>
      </x:c>
      <x:c r="M1096" s="14" t="n">
        <x:v>5</x:v>
      </x:c>
      <x:c r="N1096" s="14" t="n">
        <x:v>5</x:v>
      </x:c>
      <x:c r="O1096" s="15" t="n">
        <x:f>IF(M1096=0,"해당 없음",N1096/M1096)</x:f>
        <x:v>1</x:v>
      </x:c>
      <x:c r="P1096" s="14" t="n">
        <x:v>102</x:v>
      </x:c>
    </x:row>
    <x:row r="1097" ht="22" customHeight="1">
      <x:c r="A1097" s="14" t="n">
        <x:v>546</x:v>
      </x:c>
      <x:c r="B1097" s="14" t="n">
        <x:v>14</x:v>
      </x:c>
      <x:c r="C1097" s="14" t="n">
        <x:v>76012</x:v>
      </x:c>
      <x:c r="D1097" s="2" t="str">
        <x:v>NAVY</x:v>
      </x:c>
      <x:c r="E1097" s="2" t="str">
        <x:v>40만</x:v>
      </x:c>
      <x:c r="F1097" s="2" t="str">
        <x:v>80만</x:v>
      </x:c>
      <x:c r="G1097" s="2" t="str">
        <x:v>승</x:v>
      </x:c>
      <x:c r="H1097" s="14" t="n">
        <x:v>4</x:v>
      </x:c>
      <x:c r="I1097" s="14" t="n">
        <x:v>2</x:v>
      </x:c>
      <x:c r="J1097" s="14" t="n">
        <x:v>7</x:v>
      </x:c>
      <x:c r="K1097" s="14" t="n">
        <x:v>4</x:v>
      </x:c>
      <x:c r="L1097" s="15" t="n">
        <x:f>IF(J1097=0,"해당 없음",K1097/J1097)</x:f>
        <x:v>0.5714285714285714</x:v>
      </x:c>
      <x:c r="M1097" s="14" t="n">
        <x:v>8</x:v>
      </x:c>
      <x:c r="N1097" s="14" t="n">
        <x:v>4</x:v>
      </x:c>
      <x:c r="O1097" s="15" t="n">
        <x:f>IF(M1097=0,"해당 없음",N1097/M1097)</x:f>
        <x:v>0.5</x:v>
      </x:c>
      <x:c r="P1097" s="14" t="n">
        <x:v>103</x:v>
      </x:c>
    </x:row>
    <x:row r="1098" ht="22" customHeight="1">
      <x:c r="A1098" s="14" t="n">
        <x:v>547</x:v>
      </x:c>
      <x:c r="B1098" s="14" t="n">
        <x:v>14</x:v>
      </x:c>
      <x:c r="C1098" s="14" t="n">
        <x:v>76013</x:v>
      </x:c>
      <x:c r="D1098" s="2" t="str">
        <x:v>RED</x:v>
      </x:c>
      <x:c r="E1098" s="2" t="str">
        <x:v>40만</x:v>
      </x:c>
      <x:c r="F1098" s="2" t="str">
        <x:v>80만</x:v>
      </x:c>
      <x:c r="G1098" s="2" t="str">
        <x:v>승</x:v>
      </x:c>
      <x:c r="H1098" s="14" t="n">
        <x:v>5</x:v>
      </x:c>
      <x:c r="I1098" s="14" t="n">
        <x:v>1</x:v>
      </x:c>
      <x:c r="J1098" s="14" t="n">
        <x:v>11</x:v>
      </x:c>
      <x:c r="K1098" s="14" t="n">
        <x:v>5</x:v>
      </x:c>
      <x:c r="L1098" s="15" t="n">
        <x:f>IF(J1098=0,"해당 없음",K1098/J1098)</x:f>
        <x:v>0.45454545454545453</x:v>
      </x:c>
      <x:c r="M1098" s="14" t="n">
        <x:v>11</x:v>
      </x:c>
      <x:c r="N1098" s="14" t="n">
        <x:v>9</x:v>
      </x:c>
      <x:c r="O1098" s="15" t="n">
        <x:f>IF(M1098=0,"해당 없음",N1098/M1098)</x:f>
        <x:v>0.8181818181818182</x:v>
      </x:c>
      <x:c r="P1098" s="14" t="n">
        <x:v>104</x:v>
      </x:c>
    </x:row>
    <x:row r="1099" ht="22" customHeight="1">
      <x:c r="A1099" s="14" t="n">
        <x:v>547</x:v>
      </x:c>
      <x:c r="B1099" s="14" t="n">
        <x:v>14</x:v>
      </x:c>
      <x:c r="C1099" s="14" t="n">
        <x:v>76013</x:v>
      </x:c>
      <x:c r="D1099" s="2" t="str">
        <x:v>NAVY</x:v>
      </x:c>
      <x:c r="E1099" s="2" t="str">
        <x:v>80만</x:v>
      </x:c>
      <x:c r="F1099" s="2" t="str">
        <x:v>40만</x:v>
      </x:c>
      <x:c r="G1099" s="2" t="str">
        <x:v>패</x:v>
      </x:c>
      <x:c r="H1099" s="14" t="n">
        <x:v>1</x:v>
      </x:c>
      <x:c r="I1099" s="14" t="n">
        <x:v>5</x:v>
      </x:c>
      <x:c r="J1099" s="14" t="n">
        <x:v>6</x:v>
      </x:c>
      <x:c r="K1099" s="14" t="n">
        <x:v>1</x:v>
      </x:c>
      <x:c r="L1099" s="15" t="n">
        <x:f>IF(J1099=0,"해당 없음",K1099/J1099)</x:f>
        <x:v>0.16666666666666666</x:v>
      </x:c>
      <x:c r="M1099" s="14" t="n">
        <x:v>9</x:v>
      </x:c>
      <x:c r="N1099" s="14" t="n">
        <x:v>8</x:v>
      </x:c>
      <x:c r="O1099" s="15" t="n">
        <x:f>IF(M1099=0,"해당 없음",N1099/M1099)</x:f>
        <x:v>0.8888888888888888</x:v>
      </x:c>
      <x:c r="P1099" s="14" t="n">
        <x:v>104</x:v>
      </x:c>
    </x:row>
    <x:row r="1100" ht="22" customHeight="1">
      <x:c r="A1100" s="14" t="n">
        <x:v>548</x:v>
      </x:c>
      <x:c r="B1100" s="14" t="n">
        <x:v>14</x:v>
      </x:c>
      <x:c r="C1100" s="14" t="n">
        <x:v>76013</x:v>
      </x:c>
      <x:c r="D1100" s="2" t="str">
        <x:v>RED</x:v>
      </x:c>
      <x:c r="E1100" s="2" t="str">
        <x:v>80만</x:v>
      </x:c>
      <x:c r="F1100" s="2" t="str">
        <x:v>40만</x:v>
      </x:c>
      <x:c r="G1100" s="2" t="str">
        <x:v>승</x:v>
      </x:c>
      <x:c r="H1100" s="14" t="n">
        <x:v>3</x:v>
      </x:c>
      <x:c r="I1100" s="14" t="n">
        <x:v>2</x:v>
      </x:c>
      <x:c r="J1100" s="14" t="n">
        <x:v>12</x:v>
      </x:c>
      <x:c r="K1100" s="14" t="n">
        <x:v>3</x:v>
      </x:c>
      <x:c r="L1100" s="15" t="n">
        <x:f>IF(J1100=0,"해당 없음",K1100/J1100)</x:f>
        <x:v>0.25</x:v>
      </x:c>
      <x:c r="M1100" s="14" t="n">
        <x:v>13</x:v>
      </x:c>
      <x:c r="N1100" s="14" t="n">
        <x:v>4</x:v>
      </x:c>
      <x:c r="O1100" s="15" t="n">
        <x:f>IF(M1100=0,"해당 없음",N1100/M1100)</x:f>
        <x:v>0.3076923076923077</x:v>
      </x:c>
      <x:c r="P1100" s="14" t="n">
        <x:v>103</x:v>
      </x:c>
    </x:row>
    <x:row r="1101" ht="22" customHeight="1">
      <x:c r="A1101" s="14" t="n">
        <x:v>548</x:v>
      </x:c>
      <x:c r="B1101" s="14" t="n">
        <x:v>14</x:v>
      </x:c>
      <x:c r="C1101" s="14" t="n">
        <x:v>76013</x:v>
      </x:c>
      <x:c r="D1101" s="2" t="str">
        <x:v>NAVY</x:v>
      </x:c>
      <x:c r="E1101" s="2" t="str">
        <x:v>40만</x:v>
      </x:c>
      <x:c r="F1101" s="2" t="str">
        <x:v>80만</x:v>
      </x:c>
      <x:c r="G1101" s="2" t="str">
        <x:v>패</x:v>
      </x:c>
      <x:c r="H1101" s="14" t="n">
        <x:v>2</x:v>
      </x:c>
      <x:c r="I1101" s="14" t="n">
        <x:v>3</x:v>
      </x:c>
      <x:c r="J1101" s="14" t="n">
        <x:v>6</x:v>
      </x:c>
      <x:c r="K1101" s="14" t="n">
        <x:v>2</x:v>
      </x:c>
      <x:c r="L1101" s="15" t="n">
        <x:f>IF(J1101=0,"해당 없음",K1101/J1101)</x:f>
        <x:v>0.3333333333333333</x:v>
      </x:c>
      <x:c r="M1101" s="14" t="n">
        <x:v>6</x:v>
      </x:c>
      <x:c r="N1101" s="14" t="n">
        <x:v>4</x:v>
      </x:c>
      <x:c r="O1101" s="15" t="n">
        <x:f>IF(M1101=0,"해당 없음",N1101/M1101)</x:f>
        <x:v>0.6666666666666666</x:v>
      </x:c>
      <x:c r="P1101" s="14" t="n">
        <x:v>104</x:v>
      </x:c>
    </x:row>
    <x:row r="1102" ht="22" customHeight="1">
      <x:c r="A1102" s="14" t="n">
        <x:v>549</x:v>
      </x:c>
      <x:c r="B1102" s="14" t="n">
        <x:v>14</x:v>
      </x:c>
      <x:c r="C1102" s="14" t="n">
        <x:v>76014</x:v>
      </x:c>
      <x:c r="D1102" s="2" t="str">
        <x:v>RED</x:v>
      </x:c>
      <x:c r="E1102" s="2" t="str">
        <x:v>40만</x:v>
      </x:c>
      <x:c r="F1102" s="2" t="str">
        <x:v>80만</x:v>
      </x:c>
      <x:c r="G1102" s="2" t="str">
        <x:v>패</x:v>
      </x:c>
      <x:c r="H1102" s="14" t="n">
        <x:v>2</x:v>
      </x:c>
      <x:c r="I1102" s="14" t="n">
        <x:v>4</x:v>
      </x:c>
      <x:c r="J1102" s="14" t="n">
        <x:v>8</x:v>
      </x:c>
      <x:c r="K1102" s="14" t="n">
        <x:v>2</x:v>
      </x:c>
      <x:c r="L1102" s="15" t="n">
        <x:f>IF(J1102=0,"해당 없음",K1102/J1102)</x:f>
        <x:v>0.25</x:v>
      </x:c>
      <x:c r="M1102" s="14" t="n">
        <x:v>5</x:v>
      </x:c>
      <x:c r="N1102" s="14" t="n">
        <x:v>5</x:v>
      </x:c>
      <x:c r="O1102" s="15" t="n">
        <x:f>IF(M1102=0,"해당 없음",N1102/M1102)</x:f>
        <x:v>1</x:v>
      </x:c>
      <x:c r="P1102" s="14" t="n">
        <x:v>105</x:v>
      </x:c>
    </x:row>
    <x:row r="1103" ht="22" customHeight="1">
      <x:c r="A1103" s="14" t="n">
        <x:v>549</x:v>
      </x:c>
      <x:c r="B1103" s="14" t="n">
        <x:v>14</x:v>
      </x:c>
      <x:c r="C1103" s="14" t="n">
        <x:v>76014</x:v>
      </x:c>
      <x:c r="D1103" s="2" t="str">
        <x:v>NAVY</x:v>
      </x:c>
      <x:c r="E1103" s="2" t="str">
        <x:v>80만</x:v>
      </x:c>
      <x:c r="F1103" s="2" t="str">
        <x:v>40만</x:v>
      </x:c>
      <x:c r="G1103" s="2" t="str">
        <x:v>승</x:v>
      </x:c>
      <x:c r="H1103" s="14" t="n">
        <x:v>4</x:v>
      </x:c>
      <x:c r="I1103" s="14" t="n">
        <x:v>2</x:v>
      </x:c>
      <x:c r="J1103" s="14" t="n">
        <x:v>6</x:v>
      </x:c>
      <x:c r="K1103" s="14" t="n">
        <x:v>4</x:v>
      </x:c>
      <x:c r="L1103" s="15" t="n">
        <x:f>IF(J1103=0,"해당 없음",K1103/J1103)</x:f>
        <x:v>0.6666666666666666</x:v>
      </x:c>
      <x:c r="M1103" s="14" t="n">
        <x:v>10</x:v>
      </x:c>
      <x:c r="N1103" s="14" t="n">
        <x:v>5</x:v>
      </x:c>
      <x:c r="O1103" s="15" t="n">
        <x:f>IF(M1103=0,"해당 없음",N1103/M1103)</x:f>
        <x:v>0.5</x:v>
      </x:c>
      <x:c r="P1103" s="14" t="n">
        <x:v>104</x:v>
      </x:c>
    </x:row>
    <x:row r="1104" ht="22" customHeight="1">
      <x:c r="A1104" s="14" t="n">
        <x:v>550</x:v>
      </x:c>
      <x:c r="B1104" s="14" t="n">
        <x:v>14</x:v>
      </x:c>
      <x:c r="C1104" s="14" t="n">
        <x:v>76014</x:v>
      </x:c>
      <x:c r="D1104" s="2" t="str">
        <x:v>RED</x:v>
      </x:c>
      <x:c r="E1104" s="2" t="str">
        <x:v>80만</x:v>
      </x:c>
      <x:c r="F1104" s="2" t="str">
        <x:v>40만</x:v>
      </x:c>
      <x:c r="G1104" s="2" t="str">
        <x:v>승</x:v>
      </x:c>
      <x:c r="H1104" s="14" t="n">
        <x:v>4</x:v>
      </x:c>
      <x:c r="I1104" s="14" t="n">
        <x:v>1</x:v>
      </x:c>
      <x:c r="J1104" s="14" t="n">
        <x:v>10</x:v>
      </x:c>
      <x:c r="K1104" s="14" t="n">
        <x:v>4</x:v>
      </x:c>
      <x:c r="L1104" s="15" t="n">
        <x:f>IF(J1104=0,"해당 없음",K1104/J1104)</x:f>
        <x:v>0.4</x:v>
      </x:c>
      <x:c r="M1104" s="14" t="n">
        <x:v>7</x:v>
      </x:c>
      <x:c r="N1104" s="14" t="n">
        <x:v>5</x:v>
      </x:c>
      <x:c r="O1104" s="15" t="n">
        <x:f>IF(M1104=0,"해당 없음",N1104/M1104)</x:f>
        <x:v>0.7142857142857143</x:v>
      </x:c>
      <x:c r="P1104" s="14" t="n">
        <x:v>103</x:v>
      </x:c>
    </x:row>
    <x:row r="1105" ht="22" customHeight="1">
      <x:c r="A1105" s="14" t="n">
        <x:v>550</x:v>
      </x:c>
      <x:c r="B1105" s="14" t="n">
        <x:v>14</x:v>
      </x:c>
      <x:c r="C1105" s="14" t="n">
        <x:v>76014</x:v>
      </x:c>
      <x:c r="D1105" s="2" t="str">
        <x:v>NAVY</x:v>
      </x:c>
      <x:c r="E1105" s="2" t="str">
        <x:v>40만</x:v>
      </x:c>
      <x:c r="F1105" s="2" t="str">
        <x:v>80만</x:v>
      </x:c>
      <x:c r="G1105" s="2" t="str">
        <x:v>패</x:v>
      </x:c>
      <x:c r="H1105" s="14" t="n">
        <x:v>1</x:v>
      </x:c>
      <x:c r="I1105" s="14" t="n">
        <x:v>4</x:v>
      </x:c>
      <x:c r="J1105" s="14" t="n">
        <x:v>5</x:v>
      </x:c>
      <x:c r="K1105" s="14" t="n">
        <x:v>1</x:v>
      </x:c>
      <x:c r="L1105" s="15" t="n">
        <x:f>IF(J1105=0,"해당 없음",K1105/J1105)</x:f>
        <x:v>0.2</x:v>
      </x:c>
      <x:c r="M1105" s="14" t="n">
        <x:v>9</x:v>
      </x:c>
      <x:c r="N1105" s="14" t="n">
        <x:v>7</x:v>
      </x:c>
      <x:c r="O1105" s="15" t="n">
        <x:f>IF(M1105=0,"해당 없음",N1105/M1105)</x:f>
        <x:v>0.7777777777777778</x:v>
      </x:c>
      <x:c r="P1105" s="14" t="n">
        <x:v>103</x:v>
      </x:c>
    </x:row>
    <x:row r="1106" ht="22" customHeight="1">
      <x:c r="A1106" s="14" t="n">
        <x:v>551</x:v>
      </x:c>
      <x:c r="B1106" s="14" t="n">
        <x:v>14</x:v>
      </x:c>
      <x:c r="C1106" s="14" t="n">
        <x:v>76015</x:v>
      </x:c>
      <x:c r="D1106" s="2" t="str">
        <x:v>RED</x:v>
      </x:c>
      <x:c r="E1106" s="2" t="str">
        <x:v>40만</x:v>
      </x:c>
      <x:c r="F1106" s="2" t="str">
        <x:v>80만</x:v>
      </x:c>
      <x:c r="G1106" s="2" t="str">
        <x:v>패</x:v>
      </x:c>
      <x:c r="H1106" s="14" t="n">
        <x:v>1</x:v>
      </x:c>
      <x:c r="I1106" s="14" t="n">
        <x:v>7</x:v>
      </x:c>
      <x:c r="J1106" s="14" t="n">
        <x:v>6</x:v>
      </x:c>
      <x:c r="K1106" s="14" t="n">
        <x:v>1</x:v>
      </x:c>
      <x:c r="L1106" s="15" t="n">
        <x:f>IF(J1106=0,"해당 없음",K1106/J1106)</x:f>
        <x:v>0.16666666666666666</x:v>
      </x:c>
      <x:c r="M1106" s="14" t="n">
        <x:v>4</x:v>
      </x:c>
      <x:c r="N1106" s="14" t="n">
        <x:v>4</x:v>
      </x:c>
      <x:c r="O1106" s="15" t="n">
        <x:f>IF(M1106=0,"해당 없음",N1106/M1106)</x:f>
        <x:v>1</x:v>
      </x:c>
      <x:c r="P1106" s="14" t="n">
        <x:v>104</x:v>
      </x:c>
    </x:row>
    <x:row r="1107" ht="22" customHeight="1">
      <x:c r="A1107" s="14" t="n">
        <x:v>551</x:v>
      </x:c>
      <x:c r="B1107" s="14" t="n">
        <x:v>14</x:v>
      </x:c>
      <x:c r="C1107" s="14" t="n">
        <x:v>76015</x:v>
      </x:c>
      <x:c r="D1107" s="2" t="str">
        <x:v>NAVY</x:v>
      </x:c>
      <x:c r="E1107" s="2" t="str">
        <x:v>80만</x:v>
      </x:c>
      <x:c r="F1107" s="2" t="str">
        <x:v>40만</x:v>
      </x:c>
      <x:c r="G1107" s="2" t="str">
        <x:v>승</x:v>
      </x:c>
      <x:c r="H1107" s="14" t="n">
        <x:v>7</x:v>
      </x:c>
      <x:c r="I1107" s="14" t="n">
        <x:v>1</x:v>
      </x:c>
      <x:c r="J1107" s="14" t="n">
        <x:v>12</x:v>
      </x:c>
      <x:c r="K1107" s="14" t="n">
        <x:v>7</x:v>
      </x:c>
      <x:c r="L1107" s="15" t="n">
        <x:f>IF(J1107=0,"해당 없음",K1107/J1107)</x:f>
        <x:v>0.5833333333333334</x:v>
      </x:c>
      <x:c r="M1107" s="14" t="n">
        <x:v>7</x:v>
      </x:c>
      <x:c r="N1107" s="14" t="n">
        <x:v>2</x:v>
      </x:c>
      <x:c r="O1107" s="15" t="n">
        <x:f>IF(M1107=0,"해당 없음",N1107/M1107)</x:f>
        <x:v>0.2857142857142857</x:v>
      </x:c>
      <x:c r="P1107" s="14" t="n">
        <x:v>105</x:v>
      </x:c>
    </x:row>
    <x:row r="1108" ht="22" customHeight="1">
      <x:c r="A1108" s="14" t="n">
        <x:v>552</x:v>
      </x:c>
      <x:c r="B1108" s="14" t="n">
        <x:v>14</x:v>
      </x:c>
      <x:c r="C1108" s="14" t="n">
        <x:v>76015</x:v>
      </x:c>
      <x:c r="D1108" s="2" t="str">
        <x:v>RED</x:v>
      </x:c>
      <x:c r="E1108" s="2" t="str">
        <x:v>80만</x:v>
      </x:c>
      <x:c r="F1108" s="2" t="str">
        <x:v>40만</x:v>
      </x:c>
      <x:c r="G1108" s="2" t="str">
        <x:v>패</x:v>
      </x:c>
      <x:c r="H1108" s="14" t="n">
        <x:v>0</x:v>
      </x:c>
      <x:c r="I1108" s="14" t="n">
        <x:v>8</x:v>
      </x:c>
      <x:c r="J1108" s="14" t="n">
        <x:v>6</x:v>
      </x:c>
      <x:c r="K1108" s="14" t="n">
        <x:v>0</x:v>
      </x:c>
      <x:c r="L1108" s="15" t="n">
        <x:f>IF(J1108=0,"해당 없음",K1108/J1108)</x:f>
        <x:v>0</x:v>
      </x:c>
      <x:c r="M1108" s="14" t="n">
        <x:v>3</x:v>
      </x:c>
      <x:c r="N1108" s="14" t="n">
        <x:v>3</x:v>
      </x:c>
      <x:c r="O1108" s="15" t="n">
        <x:f>IF(M1108=0,"해당 없음",N1108/M1108)</x:f>
        <x:v>1</x:v>
      </x:c>
      <x:c r="P1108" s="14" t="n">
        <x:v>106</x:v>
      </x:c>
    </x:row>
    <x:row r="1109" ht="22" customHeight="1">
      <x:c r="A1109" s="14" t="n">
        <x:v>552</x:v>
      </x:c>
      <x:c r="B1109" s="14" t="n">
        <x:v>14</x:v>
      </x:c>
      <x:c r="C1109" s="14" t="n">
        <x:v>76015</x:v>
      </x:c>
      <x:c r="D1109" s="2" t="str">
        <x:v>NAVY</x:v>
      </x:c>
      <x:c r="E1109" s="2" t="str">
        <x:v>40만</x:v>
      </x:c>
      <x:c r="F1109" s="2" t="str">
        <x:v>80만</x:v>
      </x:c>
      <x:c r="G1109" s="2" t="str">
        <x:v>승</x:v>
      </x:c>
      <x:c r="H1109" s="14" t="n">
        <x:v>8</x:v>
      </x:c>
      <x:c r="I1109" s="14" t="n">
        <x:v>0</x:v>
      </x:c>
      <x:c r="J1109" s="14" t="n">
        <x:v>12</x:v>
      </x:c>
      <x:c r="K1109" s="14" t="n">
        <x:v>8</x:v>
      </x:c>
      <x:c r="L1109" s="15" t="n">
        <x:f>IF(J1109=0,"해당 없음",K1109/J1109)</x:f>
        <x:v>0.6666666666666666</x:v>
      </x:c>
      <x:c r="M1109" s="14" t="n">
        <x:v>11</x:v>
      </x:c>
      <x:c r="N1109" s="14" t="n">
        <x:v>10</x:v>
      </x:c>
      <x:c r="O1109" s="15" t="n">
        <x:f>IF(M1109=0,"해당 없음",N1109/M1109)</x:f>
        <x:v>0.9090909090909091</x:v>
      </x:c>
      <x:c r="P1109" s="14" t="n">
        <x:v>104</x:v>
      </x:c>
    </x:row>
    <x:row r="1110" ht="22" customHeight="1">
      <x:c r="A1110" s="14" t="n">
        <x:v>553</x:v>
      </x:c>
      <x:c r="B1110" s="14" t="n">
        <x:v>14</x:v>
      </x:c>
      <x:c r="C1110" s="14" t="n">
        <x:v>76016</x:v>
      </x:c>
      <x:c r="D1110" s="2" t="str">
        <x:v>RED</x:v>
      </x:c>
      <x:c r="E1110" s="2" t="str">
        <x:v>40만</x:v>
      </x:c>
      <x:c r="F1110" s="2" t="str">
        <x:v>80만</x:v>
      </x:c>
      <x:c r="G1110" s="2" t="str">
        <x:v>무</x:v>
      </x:c>
      <x:c r="H1110" s="14" t="n">
        <x:v>4</x:v>
      </x:c>
      <x:c r="I1110" s="14" t="n">
        <x:v>4</x:v>
      </x:c>
      <x:c r="J1110" s="14" t="n">
        <x:v>13</x:v>
      </x:c>
      <x:c r="K1110" s="14" t="n">
        <x:v>4</x:v>
      </x:c>
      <x:c r="L1110" s="15" t="n">
        <x:f>IF(J1110=0,"해당 없음",K1110/J1110)</x:f>
        <x:v>0.3076923076923077</x:v>
      </x:c>
      <x:c r="M1110" s="14" t="n">
        <x:v>9</x:v>
      </x:c>
      <x:c r="N1110" s="14" t="n">
        <x:v>8</x:v>
      </x:c>
      <x:c r="O1110" s="15" t="n">
        <x:f>IF(M1110=0,"해당 없음",N1110/M1110)</x:f>
        <x:v>0.8888888888888888</x:v>
      </x:c>
      <x:c r="P1110" s="14" t="n">
        <x:v>104</x:v>
      </x:c>
    </x:row>
    <x:row r="1111" ht="22" customHeight="1">
      <x:c r="A1111" s="14" t="n">
        <x:v>553</x:v>
      </x:c>
      <x:c r="B1111" s="14" t="n">
        <x:v>14</x:v>
      </x:c>
      <x:c r="C1111" s="14" t="n">
        <x:v>76016</x:v>
      </x:c>
      <x:c r="D1111" s="2" t="str">
        <x:v>NAVY</x:v>
      </x:c>
      <x:c r="E1111" s="2" t="str">
        <x:v>80만</x:v>
      </x:c>
      <x:c r="F1111" s="2" t="str">
        <x:v>40만</x:v>
      </x:c>
      <x:c r="G1111" s="2" t="str">
        <x:v>무</x:v>
      </x:c>
      <x:c r="H1111" s="14" t="n">
        <x:v>4</x:v>
      </x:c>
      <x:c r="I1111" s="14" t="n">
        <x:v>4</x:v>
      </x:c>
      <x:c r="J1111" s="14" t="n">
        <x:v>7</x:v>
      </x:c>
      <x:c r="K1111" s="14" t="n">
        <x:v>4</x:v>
      </x:c>
      <x:c r="L1111" s="15" t="n">
        <x:f>IF(J1111=0,"해당 없음",K1111/J1111)</x:f>
        <x:v>0.5714285714285714</x:v>
      </x:c>
      <x:c r="M1111" s="14" t="n">
        <x:v>7</x:v>
      </x:c>
      <x:c r="N1111" s="14" t="n">
        <x:v>3</x:v>
      </x:c>
      <x:c r="O1111" s="15" t="n">
        <x:f>IF(M1111=0,"해당 없음",N1111/M1111)</x:f>
        <x:v>0.42857142857142855</x:v>
      </x:c>
      <x:c r="P1111" s="14" t="n">
        <x:v>103</x:v>
      </x:c>
    </x:row>
    <x:row r="1112" ht="22" customHeight="1">
      <x:c r="A1112" s="14" t="n">
        <x:v>554</x:v>
      </x:c>
      <x:c r="B1112" s="14" t="n">
        <x:v>14</x:v>
      </x:c>
      <x:c r="C1112" s="14" t="n">
        <x:v>76016</x:v>
      </x:c>
      <x:c r="D1112" s="2" t="str">
        <x:v>RED</x:v>
      </x:c>
      <x:c r="E1112" s="2" t="str">
        <x:v>80만</x:v>
      </x:c>
      <x:c r="F1112" s="2" t="str">
        <x:v>40만</x:v>
      </x:c>
      <x:c r="G1112" s="2" t="str">
        <x:v>승</x:v>
      </x:c>
      <x:c r="H1112" s="14" t="n">
        <x:v>5</x:v>
      </x:c>
      <x:c r="I1112" s="14" t="n">
        <x:v>1</x:v>
      </x:c>
      <x:c r="J1112" s="14" t="n">
        <x:v>9</x:v>
      </x:c>
      <x:c r="K1112" s="14" t="n">
        <x:v>5</x:v>
      </x:c>
      <x:c r="L1112" s="15" t="n">
        <x:f>IF(J1112=0,"해당 없음",K1112/J1112)</x:f>
        <x:v>0.5555555555555556</x:v>
      </x:c>
      <x:c r="M1112" s="14" t="n">
        <x:v>5</x:v>
      </x:c>
      <x:c r="N1112" s="14" t="n">
        <x:v>5</x:v>
      </x:c>
      <x:c r="O1112" s="15" t="n">
        <x:f>IF(M1112=0,"해당 없음",N1112/M1112)</x:f>
        <x:v>1</x:v>
      </x:c>
      <x:c r="P1112" s="14" t="n">
        <x:v>104</x:v>
      </x:c>
    </x:row>
    <x:row r="1113" ht="22" customHeight="1">
      <x:c r="A1113" s="14" t="n">
        <x:v>554</x:v>
      </x:c>
      <x:c r="B1113" s="14" t="n">
        <x:v>14</x:v>
      </x:c>
      <x:c r="C1113" s="14" t="n">
        <x:v>76016</x:v>
      </x:c>
      <x:c r="D1113" s="2" t="str">
        <x:v>NAVY</x:v>
      </x:c>
      <x:c r="E1113" s="2" t="str">
        <x:v>40만</x:v>
      </x:c>
      <x:c r="F1113" s="2" t="str">
        <x:v>80만</x:v>
      </x:c>
      <x:c r="G1113" s="2" t="str">
        <x:v>패</x:v>
      </x:c>
      <x:c r="H1113" s="14" t="n">
        <x:v>1</x:v>
      </x:c>
      <x:c r="I1113" s="14" t="n">
        <x:v>5</x:v>
      </x:c>
      <x:c r="J1113" s="14" t="n">
        <x:v>7</x:v>
      </x:c>
      <x:c r="K1113" s="14" t="n">
        <x:v>1</x:v>
      </x:c>
      <x:c r="L1113" s="15" t="n">
        <x:f>IF(J1113=0,"해당 없음",K1113/J1113)</x:f>
        <x:v>0.14285714285714285</x:v>
      </x:c>
      <x:c r="M1113" s="14" t="n">
        <x:v>5</x:v>
      </x:c>
      <x:c r="N1113" s="14" t="n">
        <x:v>3</x:v>
      </x:c>
      <x:c r="O1113" s="15" t="n">
        <x:f>IF(M1113=0,"해당 없음",N1113/M1113)</x:f>
        <x:v>0.6</x:v>
      </x:c>
      <x:c r="P1113" s="14" t="n">
        <x:v>103</x:v>
      </x:c>
    </x:row>
    <x:row r="1114" ht="22" customHeight="1">
      <x:c r="A1114" s="14" t="n">
        <x:v>555</x:v>
      </x:c>
      <x:c r="B1114" s="14" t="n">
        <x:v>14</x:v>
      </x:c>
      <x:c r="C1114" s="14" t="n">
        <x:v>76017</x:v>
      </x:c>
      <x:c r="D1114" s="2" t="str">
        <x:v>RED</x:v>
      </x:c>
      <x:c r="E1114" s="2" t="str">
        <x:v>40만</x:v>
      </x:c>
      <x:c r="F1114" s="2" t="str">
        <x:v>80만</x:v>
      </x:c>
      <x:c r="G1114" s="2" t="str">
        <x:v>승</x:v>
      </x:c>
      <x:c r="H1114" s="14" t="n">
        <x:v>5</x:v>
      </x:c>
      <x:c r="I1114" s="14" t="n">
        <x:v>1</x:v>
      </x:c>
      <x:c r="J1114" s="14" t="n">
        <x:v>9</x:v>
      </x:c>
      <x:c r="K1114" s="14" t="n">
        <x:v>5</x:v>
      </x:c>
      <x:c r="L1114" s="15" t="n">
        <x:f>IF(J1114=0,"해당 없음",K1114/J1114)</x:f>
        <x:v>0.5555555555555556</x:v>
      </x:c>
      <x:c r="M1114" s="14" t="n">
        <x:v>12</x:v>
      </x:c>
      <x:c r="N1114" s="14" t="n">
        <x:v>12</x:v>
      </x:c>
      <x:c r="O1114" s="15" t="n">
        <x:f>IF(M1114=0,"해당 없음",N1114/M1114)</x:f>
        <x:v>1</x:v>
      </x:c>
      <x:c r="P1114" s="14" t="n">
        <x:v>105</x:v>
      </x:c>
    </x:row>
    <x:row r="1115" ht="22" customHeight="1">
      <x:c r="A1115" s="14" t="n">
        <x:v>555</x:v>
      </x:c>
      <x:c r="B1115" s="14" t="n">
        <x:v>14</x:v>
      </x:c>
      <x:c r="C1115" s="14" t="n">
        <x:v>76017</x:v>
      </x:c>
      <x:c r="D1115" s="2" t="str">
        <x:v>NAVY</x:v>
      </x:c>
      <x:c r="E1115" s="2" t="str">
        <x:v>80만</x:v>
      </x:c>
      <x:c r="F1115" s="2" t="str">
        <x:v>40만</x:v>
      </x:c>
      <x:c r="G1115" s="2" t="str">
        <x:v>패</x:v>
      </x:c>
      <x:c r="H1115" s="14" t="n">
        <x:v>1</x:v>
      </x:c>
      <x:c r="I1115" s="14" t="n">
        <x:v>5</x:v>
      </x:c>
      <x:c r="J1115" s="14" t="n">
        <x:v>7</x:v>
      </x:c>
      <x:c r="K1115" s="14" t="n">
        <x:v>1</x:v>
      </x:c>
      <x:c r="L1115" s="15" t="n">
        <x:f>IF(J1115=0,"해당 없음",K1115/J1115)</x:f>
        <x:v>0.14285714285714285</x:v>
      </x:c>
      <x:c r="M1115" s="14" t="n">
        <x:v>8</x:v>
      </x:c>
      <x:c r="N1115" s="14" t="n">
        <x:v>7</x:v>
      </x:c>
      <x:c r="O1115" s="15" t="n">
        <x:f>IF(M1115=0,"해당 없음",N1115/M1115)</x:f>
        <x:v>0.875</x:v>
      </x:c>
      <x:c r="P1115" s="14" t="n">
        <x:v>103</x:v>
      </x:c>
    </x:row>
    <x:row r="1116" ht="22" customHeight="1">
      <x:c r="A1116" s="14" t="n">
        <x:v>556</x:v>
      </x:c>
      <x:c r="B1116" s="14" t="n">
        <x:v>14</x:v>
      </x:c>
      <x:c r="C1116" s="14" t="n">
        <x:v>76017</x:v>
      </x:c>
      <x:c r="D1116" s="2" t="str">
        <x:v>RED</x:v>
      </x:c>
      <x:c r="E1116" s="2" t="str">
        <x:v>80만</x:v>
      </x:c>
      <x:c r="F1116" s="2" t="str">
        <x:v>40만</x:v>
      </x:c>
      <x:c r="G1116" s="2" t="str">
        <x:v>무</x:v>
      </x:c>
      <x:c r="H1116" s="14" t="n">
        <x:v>3</x:v>
      </x:c>
      <x:c r="I1116" s="14" t="n">
        <x:v>3</x:v>
      </x:c>
      <x:c r="J1116" s="14" t="n">
        <x:v>6</x:v>
      </x:c>
      <x:c r="K1116" s="14" t="n">
        <x:v>3</x:v>
      </x:c>
      <x:c r="L1116" s="15" t="n">
        <x:f>IF(J1116=0,"해당 없음",K1116/J1116)</x:f>
        <x:v>0.5</x:v>
      </x:c>
      <x:c r="M1116" s="14" t="n">
        <x:v>9</x:v>
      </x:c>
      <x:c r="N1116" s="14" t="n">
        <x:v>7</x:v>
      </x:c>
      <x:c r="O1116" s="15" t="n">
        <x:f>IF(M1116=0,"해당 없음",N1116/M1116)</x:f>
        <x:v>0.7777777777777778</x:v>
      </x:c>
      <x:c r="P1116" s="14" t="n">
        <x:v>104</x:v>
      </x:c>
    </x:row>
    <x:row r="1117" ht="22" customHeight="1">
      <x:c r="A1117" s="14" t="n">
        <x:v>556</x:v>
      </x:c>
      <x:c r="B1117" s="14" t="n">
        <x:v>14</x:v>
      </x:c>
      <x:c r="C1117" s="14" t="n">
        <x:v>76017</x:v>
      </x:c>
      <x:c r="D1117" s="2" t="str">
        <x:v>NAVY</x:v>
      </x:c>
      <x:c r="E1117" s="2" t="str">
        <x:v>40만</x:v>
      </x:c>
      <x:c r="F1117" s="2" t="str">
        <x:v>80만</x:v>
      </x:c>
      <x:c r="G1117" s="2" t="str">
        <x:v>무</x:v>
      </x:c>
      <x:c r="H1117" s="14" t="n">
        <x:v>3</x:v>
      </x:c>
      <x:c r="I1117" s="14" t="n">
        <x:v>3</x:v>
      </x:c>
      <x:c r="J1117" s="14" t="n">
        <x:v>9</x:v>
      </x:c>
      <x:c r="K1117" s="14" t="n">
        <x:v>3</x:v>
      </x:c>
      <x:c r="L1117" s="15" t="n">
        <x:f>IF(J1117=0,"해당 없음",K1117/J1117)</x:f>
        <x:v>0.3333333333333333</x:v>
      </x:c>
      <x:c r="M1117" s="14" t="n">
        <x:v>9</x:v>
      </x:c>
      <x:c r="N1117" s="14" t="n">
        <x:v>9</x:v>
      </x:c>
      <x:c r="O1117" s="15" t="n">
        <x:f>IF(M1117=0,"해당 없음",N1117/M1117)</x:f>
        <x:v>1</x:v>
      </x:c>
      <x:c r="P1117" s="14" t="n">
        <x:v>102</x:v>
      </x:c>
    </x:row>
    <x:row r="1118" ht="22" customHeight="1">
      <x:c r="A1118" s="14" t="n">
        <x:v>557</x:v>
      </x:c>
      <x:c r="B1118" s="14" t="n">
        <x:v>14</x:v>
      </x:c>
      <x:c r="C1118" s="14" t="n">
        <x:v>76018</x:v>
      </x:c>
      <x:c r="D1118" s="2" t="str">
        <x:v>RED</x:v>
      </x:c>
      <x:c r="E1118" s="2" t="str">
        <x:v>40만</x:v>
      </x:c>
      <x:c r="F1118" s="2" t="str">
        <x:v>80만</x:v>
      </x:c>
      <x:c r="G1118" s="2" t="str">
        <x:v>승</x:v>
      </x:c>
      <x:c r="H1118" s="14" t="n">
        <x:v>6</x:v>
      </x:c>
      <x:c r="I1118" s="14" t="n">
        <x:v>4</x:v>
      </x:c>
      <x:c r="J1118" s="14" t="n">
        <x:v>17</x:v>
      </x:c>
      <x:c r="K1118" s="14" t="n">
        <x:v>5</x:v>
      </x:c>
      <x:c r="L1118" s="15" t="n">
        <x:f>IF(J1118=0,"해당 없음",K1118/J1118)</x:f>
        <x:v>0.29411764705882354</x:v>
      </x:c>
      <x:c r="M1118" s="14" t="n">
        <x:v>3</x:v>
      </x:c>
      <x:c r="N1118" s="14" t="n">
        <x:v>3</x:v>
      </x:c>
      <x:c r="O1118" s="15" t="n">
        <x:f>IF(M1118=0,"해당 없음",N1118/M1118)</x:f>
        <x:v>1</x:v>
      </x:c>
      <x:c r="P1118" s="14" t="n">
        <x:v>105</x:v>
      </x:c>
    </x:row>
    <x:row r="1119" ht="22" customHeight="1">
      <x:c r="A1119" s="14" t="n">
        <x:v>557</x:v>
      </x:c>
      <x:c r="B1119" s="14" t="n">
        <x:v>14</x:v>
      </x:c>
      <x:c r="C1119" s="14" t="n">
        <x:v>76018</x:v>
      </x:c>
      <x:c r="D1119" s="2" t="str">
        <x:v>NAVY</x:v>
      </x:c>
      <x:c r="E1119" s="2" t="str">
        <x:v>80만</x:v>
      </x:c>
      <x:c r="F1119" s="2" t="str">
        <x:v>40만</x:v>
      </x:c>
      <x:c r="G1119" s="2" t="str">
        <x:v>패</x:v>
      </x:c>
      <x:c r="H1119" s="14" t="n">
        <x:v>4</x:v>
      </x:c>
      <x:c r="I1119" s="14" t="n">
        <x:v>6</x:v>
      </x:c>
      <x:c r="J1119" s="14" t="n">
        <x:v>4</x:v>
      </x:c>
      <x:c r="K1119" s="14" t="n">
        <x:v>4</x:v>
      </x:c>
      <x:c r="L1119" s="15" t="n">
        <x:f>IF(J1119=0,"해당 없음",K1119/J1119)</x:f>
        <x:v>1</x:v>
      </x:c>
      <x:c r="M1119" s="14" t="n">
        <x:v>10</x:v>
      </x:c>
      <x:c r="N1119" s="14" t="n">
        <x:v>7</x:v>
      </x:c>
      <x:c r="O1119" s="15" t="n">
        <x:f>IF(M1119=0,"해당 없음",N1119/M1119)</x:f>
        <x:v>0.7</x:v>
      </x:c>
      <x:c r="P1119" s="14" t="n">
        <x:v>105</x:v>
      </x:c>
    </x:row>
    <x:row r="1120" ht="22" customHeight="1">
      <x:c r="A1120" s="14" t="n">
        <x:v>558</x:v>
      </x:c>
      <x:c r="B1120" s="14" t="n">
        <x:v>14</x:v>
      </x:c>
      <x:c r="C1120" s="14" t="n">
        <x:v>76018</x:v>
      </x:c>
      <x:c r="D1120" s="2" t="str">
        <x:v>RED</x:v>
      </x:c>
      <x:c r="E1120" s="2" t="str">
        <x:v>80만</x:v>
      </x:c>
      <x:c r="F1120" s="2" t="str">
        <x:v>40만</x:v>
      </x:c>
      <x:c r="G1120" s="2" t="str">
        <x:v>승</x:v>
      </x:c>
      <x:c r="H1120" s="14" t="n">
        <x:v>6</x:v>
      </x:c>
      <x:c r="I1120" s="14" t="n">
        <x:v>4</x:v>
      </x:c>
      <x:c r="J1120" s="14" t="n">
        <x:v>8</x:v>
      </x:c>
      <x:c r="K1120" s="14" t="n">
        <x:v>6</x:v>
      </x:c>
      <x:c r="L1120" s="15" t="n">
        <x:f>IF(J1120=0,"해당 없음",K1120/J1120)</x:f>
        <x:v>0.75</x:v>
      </x:c>
      <x:c r="M1120" s="14" t="n">
        <x:v>5</x:v>
      </x:c>
      <x:c r="N1120" s="14" t="n">
        <x:v>4</x:v>
      </x:c>
      <x:c r="O1120" s="15" t="n">
        <x:f>IF(M1120=0,"해당 없음",N1120/M1120)</x:f>
        <x:v>0.8</x:v>
      </x:c>
      <x:c r="P1120" s="14" t="n">
        <x:v>104</x:v>
      </x:c>
    </x:row>
    <x:row r="1121" ht="22" customHeight="1">
      <x:c r="A1121" s="14" t="n">
        <x:v>558</x:v>
      </x:c>
      <x:c r="B1121" s="14" t="n">
        <x:v>14</x:v>
      </x:c>
      <x:c r="C1121" s="14" t="n">
        <x:v>76018</x:v>
      </x:c>
      <x:c r="D1121" s="2" t="str">
        <x:v>NAVY</x:v>
      </x:c>
      <x:c r="E1121" s="2" t="str">
        <x:v>40만</x:v>
      </x:c>
      <x:c r="F1121" s="2" t="str">
        <x:v>80만</x:v>
      </x:c>
      <x:c r="G1121" s="2" t="str">
        <x:v>패</x:v>
      </x:c>
      <x:c r="H1121" s="14" t="n">
        <x:v>4</x:v>
      </x:c>
      <x:c r="I1121" s="14" t="n">
        <x:v>6</x:v>
      </x:c>
      <x:c r="J1121" s="14" t="n">
        <x:v>6</x:v>
      </x:c>
      <x:c r="K1121" s="14" t="n">
        <x:v>4</x:v>
      </x:c>
      <x:c r="L1121" s="15" t="n">
        <x:f>IF(J1121=0,"해당 없음",K1121/J1121)</x:f>
        <x:v>0.6666666666666666</x:v>
      </x:c>
      <x:c r="M1121" s="14" t="n">
        <x:v>3</x:v>
      </x:c>
      <x:c r="N1121" s="14" t="n">
        <x:v>3</x:v>
      </x:c>
      <x:c r="O1121" s="15" t="n">
        <x:f>IF(M1121=0,"해당 없음",N1121/M1121)</x:f>
        <x:v>1</x:v>
      </x:c>
      <x:c r="P1121" s="14" t="n">
        <x:v>104</x:v>
      </x:c>
    </x:row>
    <x:row r="1122" ht="22" customHeight="1">
      <x:c r="A1122" s="14" t="n">
        <x:v>559</x:v>
      </x:c>
      <x:c r="B1122" s="14" t="n">
        <x:v>14</x:v>
      </x:c>
      <x:c r="C1122" s="14" t="n">
        <x:v>76019</x:v>
      </x:c>
      <x:c r="D1122" s="2" t="str">
        <x:v>RED</x:v>
      </x:c>
      <x:c r="E1122" s="2" t="str">
        <x:v>40만</x:v>
      </x:c>
      <x:c r="F1122" s="2" t="str">
        <x:v>80만</x:v>
      </x:c>
      <x:c r="G1122" s="2" t="str">
        <x:v>승</x:v>
      </x:c>
      <x:c r="H1122" s="14" t="n">
        <x:v>5</x:v>
      </x:c>
      <x:c r="I1122" s="14" t="n">
        <x:v>0</x:v>
      </x:c>
      <x:c r="J1122" s="14" t="n">
        <x:v>12</x:v>
      </x:c>
      <x:c r="K1122" s="14" t="n">
        <x:v>5</x:v>
      </x:c>
      <x:c r="L1122" s="15" t="n">
        <x:f>IF(J1122=0,"해당 없음",K1122/J1122)</x:f>
        <x:v>0.4166666666666667</x:v>
      </x:c>
      <x:c r="M1122" s="14" t="n">
        <x:v>8</x:v>
      </x:c>
      <x:c r="N1122" s="14" t="n">
        <x:v>6</x:v>
      </x:c>
      <x:c r="O1122" s="15" t="n">
        <x:f>IF(M1122=0,"해당 없음",N1122/M1122)</x:f>
        <x:v>0.75</x:v>
      </x:c>
      <x:c r="P1122" s="14" t="n">
        <x:v>103</x:v>
      </x:c>
    </x:row>
    <x:row r="1123" ht="22" customHeight="1">
      <x:c r="A1123" s="14" t="n">
        <x:v>559</x:v>
      </x:c>
      <x:c r="B1123" s="14" t="n">
        <x:v>14</x:v>
      </x:c>
      <x:c r="C1123" s="14" t="n">
        <x:v>76019</x:v>
      </x:c>
      <x:c r="D1123" s="2" t="str">
        <x:v>NAVY</x:v>
      </x:c>
      <x:c r="E1123" s="2" t="str">
        <x:v>80만</x:v>
      </x:c>
      <x:c r="F1123" s="2" t="str">
        <x:v>40만</x:v>
      </x:c>
      <x:c r="G1123" s="2" t="str">
        <x:v>패</x:v>
      </x:c>
      <x:c r="H1123" s="14" t="n">
        <x:v>0</x:v>
      </x:c>
      <x:c r="I1123" s="14" t="n">
        <x:v>5</x:v>
      </x:c>
      <x:c r="J1123" s="14" t="n">
        <x:v>7</x:v>
      </x:c>
      <x:c r="K1123" s="14" t="n">
        <x:v>0</x:v>
      </x:c>
      <x:c r="L1123" s="15" t="n">
        <x:f>IF(J1123=0,"해당 없음",K1123/J1123)</x:f>
        <x:v>0</x:v>
      </x:c>
      <x:c r="M1123" s="14" t="n">
        <x:v>10</x:v>
      </x:c>
      <x:c r="N1123" s="14" t="n">
        <x:v>8</x:v>
      </x:c>
      <x:c r="O1123" s="15" t="n">
        <x:f>IF(M1123=0,"해당 없음",N1123/M1123)</x:f>
        <x:v>0.8</x:v>
      </x:c>
      <x:c r="P1123" s="14" t="n">
        <x:v>104</x:v>
      </x:c>
    </x:row>
    <x:row r="1124" ht="22" customHeight="1">
      <x:c r="A1124" s="14" t="n">
        <x:v>560</x:v>
      </x:c>
      <x:c r="B1124" s="14" t="n">
        <x:v>14</x:v>
      </x:c>
      <x:c r="C1124" s="14" t="n">
        <x:v>76019</x:v>
      </x:c>
      <x:c r="D1124" s="2" t="str">
        <x:v>RED</x:v>
      </x:c>
      <x:c r="E1124" s="2" t="str">
        <x:v>80만</x:v>
      </x:c>
      <x:c r="F1124" s="2" t="str">
        <x:v>40만</x:v>
      </x:c>
      <x:c r="G1124" s="2" t="str">
        <x:v>패</x:v>
      </x:c>
      <x:c r="H1124" s="14" t="n">
        <x:v>1</x:v>
      </x:c>
      <x:c r="I1124" s="14" t="n">
        <x:v>2</x:v>
      </x:c>
      <x:c r="J1124" s="14" t="n">
        <x:v>9</x:v>
      </x:c>
      <x:c r="K1124" s="14" t="n">
        <x:v>1</x:v>
      </x:c>
      <x:c r="L1124" s="15" t="n">
        <x:f>IF(J1124=0,"해당 없음",K1124/J1124)</x:f>
        <x:v>0.1111111111111111</x:v>
      </x:c>
      <x:c r="M1124" s="14" t="n">
        <x:v>10</x:v>
      </x:c>
      <x:c r="N1124" s="14" t="n">
        <x:v>9</x:v>
      </x:c>
      <x:c r="O1124" s="15" t="n">
        <x:f>IF(M1124=0,"해당 없음",N1124/M1124)</x:f>
        <x:v>0.9</x:v>
      </x:c>
      <x:c r="P1124" s="14" t="n">
        <x:v>104</x:v>
      </x:c>
    </x:row>
    <x:row r="1125" ht="22" customHeight="1">
      <x:c r="A1125" s="14" t="n">
        <x:v>560</x:v>
      </x:c>
      <x:c r="B1125" s="14" t="n">
        <x:v>14</x:v>
      </x:c>
      <x:c r="C1125" s="14" t="n">
        <x:v>76019</x:v>
      </x:c>
      <x:c r="D1125" s="2" t="str">
        <x:v>NAVY</x:v>
      </x:c>
      <x:c r="E1125" s="2" t="str">
        <x:v>40만</x:v>
      </x:c>
      <x:c r="F1125" s="2" t="str">
        <x:v>80만</x:v>
      </x:c>
      <x:c r="G1125" s="2" t="str">
        <x:v>승</x:v>
      </x:c>
      <x:c r="H1125" s="14" t="n">
        <x:v>2</x:v>
      </x:c>
      <x:c r="I1125" s="14" t="n">
        <x:v>1</x:v>
      </x:c>
      <x:c r="J1125" s="14" t="n">
        <x:v>10</x:v>
      </x:c>
      <x:c r="K1125" s="14" t="n">
        <x:v>2</x:v>
      </x:c>
      <x:c r="L1125" s="15" t="n">
        <x:f>IF(J1125=0,"해당 없음",K1125/J1125)</x:f>
        <x:v>0.2</x:v>
      </x:c>
      <x:c r="M1125" s="14" t="n">
        <x:v>19</x:v>
      </x:c>
      <x:c r="N1125" s="14" t="n">
        <x:v>14</x:v>
      </x:c>
      <x:c r="O1125" s="15" t="n">
        <x:f>IF(M1125=0,"해당 없음",N1125/M1125)</x:f>
        <x:v>0.7368421052631579</x:v>
      </x:c>
      <x:c r="P1125" s="14" t="n">
        <x:v>103</x:v>
      </x:c>
    </x:row>
    <x:row r="1126" ht="22" customHeight="1">
      <x:c r="A1126" s="14" t="n">
        <x:v>561</x:v>
      </x:c>
      <x:c r="B1126" s="14" t="n">
        <x:v>15</x:v>
      </x:c>
      <x:c r="C1126" s="14" t="n">
        <x:v>76000</x:v>
      </x:c>
      <x:c r="D1126" s="2" t="str">
        <x:v>RED</x:v>
      </x:c>
      <x:c r="E1126" s="2" t="str">
        <x:v>40만</x:v>
      </x:c>
      <x:c r="F1126" s="2" t="str">
        <x:v>120만</x:v>
      </x:c>
      <x:c r="G1126" s="2" t="str">
        <x:v>패</x:v>
      </x:c>
      <x:c r="H1126" s="14" t="n">
        <x:v>3</x:v>
      </x:c>
      <x:c r="I1126" s="14" t="n">
        <x:v>5</x:v>
      </x:c>
      <x:c r="J1126" s="14" t="n">
        <x:v>8</x:v>
      </x:c>
      <x:c r="K1126" s="14" t="n">
        <x:v>3</x:v>
      </x:c>
      <x:c r="L1126" s="15" t="n">
        <x:f>IF(J1126=0,"해당 없음",K1126/J1126)</x:f>
        <x:v>0.375</x:v>
      </x:c>
      <x:c r="M1126" s="14" t="n">
        <x:v>1</x:v>
      </x:c>
      <x:c r="N1126" s="14" t="n">
        <x:v>1</x:v>
      </x:c>
      <x:c r="O1126" s="15" t="n">
        <x:f>IF(M1126=0,"해당 없음",N1126/M1126)</x:f>
        <x:v>1</x:v>
      </x:c>
      <x:c r="P1126" s="14" t="n">
        <x:v>105</x:v>
      </x:c>
    </x:row>
    <x:row r="1127" ht="22" customHeight="1">
      <x:c r="A1127" s="14" t="n">
        <x:v>561</x:v>
      </x:c>
      <x:c r="B1127" s="14" t="n">
        <x:v>15</x:v>
      </x:c>
      <x:c r="C1127" s="14" t="n">
        <x:v>76000</x:v>
      </x:c>
      <x:c r="D1127" s="2" t="str">
        <x:v>NAVY</x:v>
      </x:c>
      <x:c r="E1127" s="2" t="str">
        <x:v>120만</x:v>
      </x:c>
      <x:c r="F1127" s="2" t="str">
        <x:v>40만</x:v>
      </x:c>
      <x:c r="G1127" s="2" t="str">
        <x:v>승</x:v>
      </x:c>
      <x:c r="H1127" s="14" t="n">
        <x:v>5</x:v>
      </x:c>
      <x:c r="I1127" s="14" t="n">
        <x:v>3</x:v>
      </x:c>
      <x:c r="J1127" s="14" t="n">
        <x:v>7</x:v>
      </x:c>
      <x:c r="K1127" s="14" t="n">
        <x:v>5</x:v>
      </x:c>
      <x:c r="L1127" s="15" t="n">
        <x:f>IF(J1127=0,"해당 없음",K1127/J1127)</x:f>
        <x:v>0.7142857142857143</x:v>
      </x:c>
      <x:c r="M1127" s="14" t="n">
        <x:v>10</x:v>
      </x:c>
      <x:c r="N1127" s="14" t="n">
        <x:v>6</x:v>
      </x:c>
      <x:c r="O1127" s="15" t="n">
        <x:f>IF(M1127=0,"해당 없음",N1127/M1127)</x:f>
        <x:v>0.6</x:v>
      </x:c>
      <x:c r="P1127" s="14" t="n">
        <x:v>105</x:v>
      </x:c>
    </x:row>
    <x:row r="1128" ht="22" customHeight="1">
      <x:c r="A1128" s="14" t="n">
        <x:v>562</x:v>
      </x:c>
      <x:c r="B1128" s="14" t="n">
        <x:v>15</x:v>
      </x:c>
      <x:c r="C1128" s="14" t="n">
        <x:v>76000</x:v>
      </x:c>
      <x:c r="D1128" s="2" t="str">
        <x:v>RED</x:v>
      </x:c>
      <x:c r="E1128" s="2" t="str">
        <x:v>120만</x:v>
      </x:c>
      <x:c r="F1128" s="2" t="str">
        <x:v>40만</x:v>
      </x:c>
      <x:c r="G1128" s="2" t="str">
        <x:v>무</x:v>
      </x:c>
      <x:c r="H1128" s="14" t="n">
        <x:v>3</x:v>
      </x:c>
      <x:c r="I1128" s="14" t="n">
        <x:v>3</x:v>
      </x:c>
      <x:c r="J1128" s="14" t="n">
        <x:v>6</x:v>
      </x:c>
      <x:c r="K1128" s="14" t="n">
        <x:v>3</x:v>
      </x:c>
      <x:c r="L1128" s="15" t="n">
        <x:f>IF(J1128=0,"해당 없음",K1128/J1128)</x:f>
        <x:v>0.5</x:v>
      </x:c>
      <x:c r="M1128" s="14" t="n">
        <x:v>8</x:v>
      </x:c>
      <x:c r="N1128" s="14" t="n">
        <x:v>3</x:v>
      </x:c>
      <x:c r="O1128" s="15" t="n">
        <x:f>IF(M1128=0,"해당 없음",N1128/M1128)</x:f>
        <x:v>0.375</x:v>
      </x:c>
      <x:c r="P1128" s="14" t="n">
        <x:v>104</x:v>
      </x:c>
    </x:row>
    <x:row r="1129" ht="22" customHeight="1">
      <x:c r="A1129" s="14" t="n">
        <x:v>562</x:v>
      </x:c>
      <x:c r="B1129" s="14" t="n">
        <x:v>15</x:v>
      </x:c>
      <x:c r="C1129" s="14" t="n">
        <x:v>76000</x:v>
      </x:c>
      <x:c r="D1129" s="2" t="str">
        <x:v>NAVY</x:v>
      </x:c>
      <x:c r="E1129" s="2" t="str">
        <x:v>40만</x:v>
      </x:c>
      <x:c r="F1129" s="2" t="str">
        <x:v>120만</x:v>
      </x:c>
      <x:c r="G1129" s="2" t="str">
        <x:v>무</x:v>
      </x:c>
      <x:c r="H1129" s="14" t="n">
        <x:v>3</x:v>
      </x:c>
      <x:c r="I1129" s="14" t="n">
        <x:v>3</x:v>
      </x:c>
      <x:c r="J1129" s="14" t="n">
        <x:v>8</x:v>
      </x:c>
      <x:c r="K1129" s="14" t="n">
        <x:v>3</x:v>
      </x:c>
      <x:c r="L1129" s="15" t="n">
        <x:f>IF(J1129=0,"해당 없음",K1129/J1129)</x:f>
        <x:v>0.375</x:v>
      </x:c>
      <x:c r="M1129" s="14" t="n">
        <x:v>4</x:v>
      </x:c>
      <x:c r="N1129" s="14" t="n">
        <x:v>2</x:v>
      </x:c>
      <x:c r="O1129" s="15" t="n">
        <x:f>IF(M1129=0,"해당 없음",N1129/M1129)</x:f>
        <x:v>0.5</x:v>
      </x:c>
      <x:c r="P1129" s="14" t="n">
        <x:v>104</x:v>
      </x:c>
    </x:row>
    <x:row r="1130" ht="22" customHeight="1">
      <x:c r="A1130" s="14" t="n">
        <x:v>563</x:v>
      </x:c>
      <x:c r="B1130" s="14" t="n">
        <x:v>15</x:v>
      </x:c>
      <x:c r="C1130" s="14" t="n">
        <x:v>76001</x:v>
      </x:c>
      <x:c r="D1130" s="2" t="str">
        <x:v>RED</x:v>
      </x:c>
      <x:c r="E1130" s="2" t="str">
        <x:v>40만</x:v>
      </x:c>
      <x:c r="F1130" s="2" t="str">
        <x:v>120만</x:v>
      </x:c>
      <x:c r="G1130" s="2" t="str">
        <x:v>패</x:v>
      </x:c>
      <x:c r="H1130" s="14" t="n">
        <x:v>1</x:v>
      </x:c>
      <x:c r="I1130" s="14" t="n">
        <x:v>7</x:v>
      </x:c>
      <x:c r="J1130" s="14" t="n">
        <x:v>6</x:v>
      </x:c>
      <x:c r="K1130" s="14" t="n">
        <x:v>1</x:v>
      </x:c>
      <x:c r="L1130" s="15" t="n">
        <x:f>IF(J1130=0,"해당 없음",K1130/J1130)</x:f>
        <x:v>0.16666666666666666</x:v>
      </x:c>
      <x:c r="M1130" s="14" t="n">
        <x:v>2</x:v>
      </x:c>
      <x:c r="N1130" s="14" t="n">
        <x:v>2</x:v>
      </x:c>
      <x:c r="O1130" s="15" t="n">
        <x:f>IF(M1130=0,"해당 없음",N1130/M1130)</x:f>
        <x:v>1</x:v>
      </x:c>
      <x:c r="P1130" s="14" t="n">
        <x:v>105</x:v>
      </x:c>
    </x:row>
    <x:row r="1131" ht="22" customHeight="1">
      <x:c r="A1131" s="14" t="n">
        <x:v>563</x:v>
      </x:c>
      <x:c r="B1131" s="14" t="n">
        <x:v>15</x:v>
      </x:c>
      <x:c r="C1131" s="14" t="n">
        <x:v>76001</x:v>
      </x:c>
      <x:c r="D1131" s="2" t="str">
        <x:v>NAVY</x:v>
      </x:c>
      <x:c r="E1131" s="2" t="str">
        <x:v>120만</x:v>
      </x:c>
      <x:c r="F1131" s="2" t="str">
        <x:v>40만</x:v>
      </x:c>
      <x:c r="G1131" s="2" t="str">
        <x:v>승</x:v>
      </x:c>
      <x:c r="H1131" s="14" t="n">
        <x:v>7</x:v>
      </x:c>
      <x:c r="I1131" s="14" t="n">
        <x:v>1</x:v>
      </x:c>
      <x:c r="J1131" s="14" t="n">
        <x:v>9</x:v>
      </x:c>
      <x:c r="K1131" s="14" t="n">
        <x:v>7</x:v>
      </x:c>
      <x:c r="L1131" s="15" t="n">
        <x:f>IF(J1131=0,"해당 없음",K1131/J1131)</x:f>
        <x:v>0.7777777777777778</x:v>
      </x:c>
      <x:c r="M1131" s="14" t="n">
        <x:v>9</x:v>
      </x:c>
      <x:c r="N1131" s="14" t="n">
        <x:v>9</x:v>
      </x:c>
      <x:c r="O1131" s="15" t="n">
        <x:f>IF(M1131=0,"해당 없음",N1131/M1131)</x:f>
        <x:v>1</x:v>
      </x:c>
      <x:c r="P1131" s="14" t="n">
        <x:v>105</x:v>
      </x:c>
    </x:row>
    <x:row r="1132" ht="22" customHeight="1">
      <x:c r="A1132" s="14" t="n">
        <x:v>564</x:v>
      </x:c>
      <x:c r="B1132" s="14" t="n">
        <x:v>15</x:v>
      </x:c>
      <x:c r="C1132" s="14" t="n">
        <x:v>76001</x:v>
      </x:c>
      <x:c r="D1132" s="2" t="str">
        <x:v>RED</x:v>
      </x:c>
      <x:c r="E1132" s="2" t="str">
        <x:v>120만</x:v>
      </x:c>
      <x:c r="F1132" s="2" t="str">
        <x:v>40만</x:v>
      </x:c>
      <x:c r="G1132" s="2" t="str">
        <x:v>승</x:v>
      </x:c>
      <x:c r="H1132" s="14" t="n">
        <x:v>7</x:v>
      </x:c>
      <x:c r="I1132" s="14" t="n">
        <x:v>1</x:v>
      </x:c>
      <x:c r="J1132" s="14" t="n">
        <x:v>9</x:v>
      </x:c>
      <x:c r="K1132" s="14" t="n">
        <x:v>7</x:v>
      </x:c>
      <x:c r="L1132" s="15" t="n">
        <x:f>IF(J1132=0,"해당 없음",K1132/J1132)</x:f>
        <x:v>0.7777777777777778</x:v>
      </x:c>
      <x:c r="M1132" s="14" t="n">
        <x:v>9</x:v>
      </x:c>
      <x:c r="N1132" s="14" t="n">
        <x:v>8</x:v>
      </x:c>
      <x:c r="O1132" s="15" t="n">
        <x:f>IF(M1132=0,"해당 없음",N1132/M1132)</x:f>
        <x:v>0.8888888888888888</x:v>
      </x:c>
      <x:c r="P1132" s="14" t="n">
        <x:v>104</x:v>
      </x:c>
    </x:row>
    <x:row r="1133" ht="22" customHeight="1">
      <x:c r="A1133" s="14" t="n">
        <x:v>564</x:v>
      </x:c>
      <x:c r="B1133" s="14" t="n">
        <x:v>15</x:v>
      </x:c>
      <x:c r="C1133" s="14" t="n">
        <x:v>76001</x:v>
      </x:c>
      <x:c r="D1133" s="2" t="str">
        <x:v>NAVY</x:v>
      </x:c>
      <x:c r="E1133" s="2" t="str">
        <x:v>40만</x:v>
      </x:c>
      <x:c r="F1133" s="2" t="str">
        <x:v>120만</x:v>
      </x:c>
      <x:c r="G1133" s="2" t="str">
        <x:v>패</x:v>
      </x:c>
      <x:c r="H1133" s="14" t="n">
        <x:v>1</x:v>
      </x:c>
      <x:c r="I1133" s="14" t="n">
        <x:v>7</x:v>
      </x:c>
      <x:c r="J1133" s="14" t="n">
        <x:v>3</x:v>
      </x:c>
      <x:c r="K1133" s="14" t="n">
        <x:v>1</x:v>
      </x:c>
      <x:c r="L1133" s="15" t="n">
        <x:f>IF(J1133=0,"해당 없음",K1133/J1133)</x:f>
        <x:v>0.3333333333333333</x:v>
      </x:c>
      <x:c r="M1133" s="14" t="n">
        <x:v>5</x:v>
      </x:c>
      <x:c r="N1133" s="14" t="n">
        <x:v>5</x:v>
      </x:c>
      <x:c r="O1133" s="15" t="n">
        <x:f>IF(M1133=0,"해당 없음",N1133/M1133)</x:f>
        <x:v>1</x:v>
      </x:c>
      <x:c r="P1133" s="14" t="n">
        <x:v>104</x:v>
      </x:c>
    </x:row>
    <x:row r="1134" ht="22" customHeight="1">
      <x:c r="A1134" s="14" t="n">
        <x:v>565</x:v>
      </x:c>
      <x:c r="B1134" s="14" t="n">
        <x:v>15</x:v>
      </x:c>
      <x:c r="C1134" s="14" t="n">
        <x:v>76002</x:v>
      </x:c>
      <x:c r="D1134" s="2" t="str">
        <x:v>RED</x:v>
      </x:c>
      <x:c r="E1134" s="2" t="str">
        <x:v>40만</x:v>
      </x:c>
      <x:c r="F1134" s="2" t="str">
        <x:v>120만</x:v>
      </x:c>
      <x:c r="G1134" s="2" t="str">
        <x:v>패</x:v>
      </x:c>
      <x:c r="H1134" s="14" t="n">
        <x:v>3</x:v>
      </x:c>
      <x:c r="I1134" s="14" t="n">
        <x:v>6</x:v>
      </x:c>
      <x:c r="J1134" s="14" t="n">
        <x:v>7</x:v>
      </x:c>
      <x:c r="K1134" s="14" t="n">
        <x:v>3</x:v>
      </x:c>
      <x:c r="L1134" s="15" t="n">
        <x:f>IF(J1134=0,"해당 없음",K1134/J1134)</x:f>
        <x:v>0.42857142857142855</x:v>
      </x:c>
      <x:c r="M1134" s="14" t="n">
        <x:v>7</x:v>
      </x:c>
      <x:c r="N1134" s="14" t="n">
        <x:v>5</x:v>
      </x:c>
      <x:c r="O1134" s="15" t="n">
        <x:f>IF(M1134=0,"해당 없음",N1134/M1134)</x:f>
        <x:v>0.7142857142857143</x:v>
      </x:c>
      <x:c r="P1134" s="14" t="n">
        <x:v>103</x:v>
      </x:c>
    </x:row>
    <x:row r="1135" ht="22" customHeight="1">
      <x:c r="A1135" s="14" t="n">
        <x:v>565</x:v>
      </x:c>
      <x:c r="B1135" s="14" t="n">
        <x:v>15</x:v>
      </x:c>
      <x:c r="C1135" s="14" t="n">
        <x:v>76002</x:v>
      </x:c>
      <x:c r="D1135" s="2" t="str">
        <x:v>NAVY</x:v>
      </x:c>
      <x:c r="E1135" s="2" t="str">
        <x:v>120만</x:v>
      </x:c>
      <x:c r="F1135" s="2" t="str">
        <x:v>40만</x:v>
      </x:c>
      <x:c r="G1135" s="2" t="str">
        <x:v>승</x:v>
      </x:c>
      <x:c r="H1135" s="14" t="n">
        <x:v>6</x:v>
      </x:c>
      <x:c r="I1135" s="14" t="n">
        <x:v>3</x:v>
      </x:c>
      <x:c r="J1135" s="14" t="n">
        <x:v>10</x:v>
      </x:c>
      <x:c r="K1135" s="14" t="n">
        <x:v>6</x:v>
      </x:c>
      <x:c r="L1135" s="15" t="n">
        <x:f>IF(J1135=0,"해당 없음",K1135/J1135)</x:f>
        <x:v>0.6</x:v>
      </x:c>
      <x:c r="M1135" s="14" t="n">
        <x:v>7</x:v>
      </x:c>
      <x:c r="N1135" s="14" t="n">
        <x:v>6</x:v>
      </x:c>
      <x:c r="O1135" s="15" t="n">
        <x:f>IF(M1135=0,"해당 없음",N1135/M1135)</x:f>
        <x:v>0.8571428571428571</x:v>
      </x:c>
      <x:c r="P1135" s="14" t="n">
        <x:v>105</x:v>
      </x:c>
    </x:row>
    <x:row r="1136" ht="22" customHeight="1">
      <x:c r="A1136" s="14" t="n">
        <x:v>566</x:v>
      </x:c>
      <x:c r="B1136" s="14" t="n">
        <x:v>15</x:v>
      </x:c>
      <x:c r="C1136" s="14" t="n">
        <x:v>76002</x:v>
      </x:c>
      <x:c r="D1136" s="2" t="str">
        <x:v>RED</x:v>
      </x:c>
      <x:c r="E1136" s="2" t="str">
        <x:v>120만</x:v>
      </x:c>
      <x:c r="F1136" s="2" t="str">
        <x:v>40만</x:v>
      </x:c>
      <x:c r="G1136" s="2" t="str">
        <x:v>승</x:v>
      </x:c>
      <x:c r="H1136" s="14" t="n">
        <x:v>4</x:v>
      </x:c>
      <x:c r="I1136" s="14" t="n">
        <x:v>2</x:v>
      </x:c>
      <x:c r="J1136" s="14" t="n">
        <x:v>11</x:v>
      </x:c>
      <x:c r="K1136" s="14" t="n">
        <x:v>4</x:v>
      </x:c>
      <x:c r="L1136" s="15" t="n">
        <x:f>IF(J1136=0,"해당 없음",K1136/J1136)</x:f>
        <x:v>0.36363636363636365</x:v>
      </x:c>
      <x:c r="M1136" s="14" t="n">
        <x:v>8</x:v>
      </x:c>
      <x:c r="N1136" s="14" t="n">
        <x:v>6</x:v>
      </x:c>
      <x:c r="O1136" s="15" t="n">
        <x:f>IF(M1136=0,"해당 없음",N1136/M1136)</x:f>
        <x:v>0.75</x:v>
      </x:c>
      <x:c r="P1136" s="14" t="n">
        <x:v>103</x:v>
      </x:c>
    </x:row>
    <x:row r="1137" ht="22" customHeight="1">
      <x:c r="A1137" s="14" t="n">
        <x:v>566</x:v>
      </x:c>
      <x:c r="B1137" s="14" t="n">
        <x:v>15</x:v>
      </x:c>
      <x:c r="C1137" s="14" t="n">
        <x:v>76002</x:v>
      </x:c>
      <x:c r="D1137" s="2" t="str">
        <x:v>NAVY</x:v>
      </x:c>
      <x:c r="E1137" s="2" t="str">
        <x:v>40만</x:v>
      </x:c>
      <x:c r="F1137" s="2" t="str">
        <x:v>120만</x:v>
      </x:c>
      <x:c r="G1137" s="2" t="str">
        <x:v>패</x:v>
      </x:c>
      <x:c r="H1137" s="14" t="n">
        <x:v>2</x:v>
      </x:c>
      <x:c r="I1137" s="14" t="n">
        <x:v>4</x:v>
      </x:c>
      <x:c r="J1137" s="14" t="n">
        <x:v>5</x:v>
      </x:c>
      <x:c r="K1137" s="14" t="n">
        <x:v>2</x:v>
      </x:c>
      <x:c r="L1137" s="15" t="n">
        <x:f>IF(J1137=0,"해당 없음",K1137/J1137)</x:f>
        <x:v>0.4</x:v>
      </x:c>
      <x:c r="M1137" s="14" t="n">
        <x:v>7</x:v>
      </x:c>
      <x:c r="N1137" s="14" t="n">
        <x:v>4</x:v>
      </x:c>
      <x:c r="O1137" s="15" t="n">
        <x:f>IF(M1137=0,"해당 없음",N1137/M1137)</x:f>
        <x:v>0.5714285714285714</x:v>
      </x:c>
      <x:c r="P1137" s="14" t="n">
        <x:v>103</x:v>
      </x:c>
    </x:row>
    <x:row r="1138" ht="22" customHeight="1">
      <x:c r="A1138" s="14" t="n">
        <x:v>567</x:v>
      </x:c>
      <x:c r="B1138" s="14" t="n">
        <x:v>15</x:v>
      </x:c>
      <x:c r="C1138" s="14" t="n">
        <x:v>76003</x:v>
      </x:c>
      <x:c r="D1138" s="2" t="str">
        <x:v>RED</x:v>
      </x:c>
      <x:c r="E1138" s="2" t="str">
        <x:v>40만</x:v>
      </x:c>
      <x:c r="F1138" s="2" t="str">
        <x:v>120만</x:v>
      </x:c>
      <x:c r="G1138" s="2" t="str">
        <x:v>패</x:v>
      </x:c>
      <x:c r="H1138" s="14" t="n">
        <x:v>1</x:v>
      </x:c>
      <x:c r="I1138" s="14" t="n">
        <x:v>5</x:v>
      </x:c>
      <x:c r="J1138" s="14" t="n">
        <x:v>8</x:v>
      </x:c>
      <x:c r="K1138" s="14" t="n">
        <x:v>1</x:v>
      </x:c>
      <x:c r="L1138" s="15" t="n">
        <x:f>IF(J1138=0,"해당 없음",K1138/J1138)</x:f>
        <x:v>0.125</x:v>
      </x:c>
      <x:c r="M1138" s="14" t="n">
        <x:v>6</x:v>
      </x:c>
      <x:c r="N1138" s="14" t="n">
        <x:v>3</x:v>
      </x:c>
      <x:c r="O1138" s="15" t="n">
        <x:f>IF(M1138=0,"해당 없음",N1138/M1138)</x:f>
        <x:v>0.5</x:v>
      </x:c>
      <x:c r="P1138" s="14" t="n">
        <x:v>104</x:v>
      </x:c>
    </x:row>
    <x:row r="1139" ht="22" customHeight="1">
      <x:c r="A1139" s="14" t="n">
        <x:v>567</x:v>
      </x:c>
      <x:c r="B1139" s="14" t="n">
        <x:v>15</x:v>
      </x:c>
      <x:c r="C1139" s="14" t="n">
        <x:v>76003</x:v>
      </x:c>
      <x:c r="D1139" s="2" t="str">
        <x:v>NAVY</x:v>
      </x:c>
      <x:c r="E1139" s="2" t="str">
        <x:v>120만</x:v>
      </x:c>
      <x:c r="F1139" s="2" t="str">
        <x:v>40만</x:v>
      </x:c>
      <x:c r="G1139" s="2" t="str">
        <x:v>승</x:v>
      </x:c>
      <x:c r="H1139" s="14" t="n">
        <x:v>5</x:v>
      </x:c>
      <x:c r="I1139" s="14" t="n">
        <x:v>1</x:v>
      </x:c>
      <x:c r="J1139" s="14" t="n">
        <x:v>9</x:v>
      </x:c>
      <x:c r="K1139" s="14" t="n">
        <x:v>5</x:v>
      </x:c>
      <x:c r="L1139" s="15" t="n">
        <x:f>IF(J1139=0,"해당 없음",K1139/J1139)</x:f>
        <x:v>0.5555555555555556</x:v>
      </x:c>
      <x:c r="M1139" s="14" t="n">
        <x:v>7</x:v>
      </x:c>
      <x:c r="N1139" s="14" t="n">
        <x:v>6</x:v>
      </x:c>
      <x:c r="O1139" s="15" t="n">
        <x:f>IF(M1139=0,"해당 없음",N1139/M1139)</x:f>
        <x:v>0.8571428571428571</x:v>
      </x:c>
      <x:c r="P1139" s="14" t="n">
        <x:v>104</x:v>
      </x:c>
    </x:row>
    <x:row r="1140" ht="22" customHeight="1">
      <x:c r="A1140" s="14" t="n">
        <x:v>568</x:v>
      </x:c>
      <x:c r="B1140" s="14" t="n">
        <x:v>15</x:v>
      </x:c>
      <x:c r="C1140" s="14" t="n">
        <x:v>76003</x:v>
      </x:c>
      <x:c r="D1140" s="2" t="str">
        <x:v>RED</x:v>
      </x:c>
      <x:c r="E1140" s="2" t="str">
        <x:v>120만</x:v>
      </x:c>
      <x:c r="F1140" s="2" t="str">
        <x:v>40만</x:v>
      </x:c>
      <x:c r="G1140" s="2" t="str">
        <x:v>승</x:v>
      </x:c>
      <x:c r="H1140" s="14" t="n">
        <x:v>4</x:v>
      </x:c>
      <x:c r="I1140" s="14" t="n">
        <x:v>2</x:v>
      </x:c>
      <x:c r="J1140" s="14" t="n">
        <x:v>8</x:v>
      </x:c>
      <x:c r="K1140" s="14" t="n">
        <x:v>4</x:v>
      </x:c>
      <x:c r="L1140" s="15" t="n">
        <x:f>IF(J1140=0,"해당 없음",K1140/J1140)</x:f>
        <x:v>0.5</x:v>
      </x:c>
      <x:c r="M1140" s="14" t="n">
        <x:v>4</x:v>
      </x:c>
      <x:c r="N1140" s="14" t="n">
        <x:v>3</x:v>
      </x:c>
      <x:c r="O1140" s="15" t="n">
        <x:f>IF(M1140=0,"해당 없음",N1140/M1140)</x:f>
        <x:v>0.75</x:v>
      </x:c>
      <x:c r="P1140" s="14" t="n">
        <x:v>104</x:v>
      </x:c>
    </x:row>
    <x:row r="1141" ht="22" customHeight="1">
      <x:c r="A1141" s="14" t="n">
        <x:v>568</x:v>
      </x:c>
      <x:c r="B1141" s="14" t="n">
        <x:v>15</x:v>
      </x:c>
      <x:c r="C1141" s="14" t="n">
        <x:v>76003</x:v>
      </x:c>
      <x:c r="D1141" s="2" t="str">
        <x:v>NAVY</x:v>
      </x:c>
      <x:c r="E1141" s="2" t="str">
        <x:v>40만</x:v>
      </x:c>
      <x:c r="F1141" s="2" t="str">
        <x:v>120만</x:v>
      </x:c>
      <x:c r="G1141" s="2" t="str">
        <x:v>패</x:v>
      </x:c>
      <x:c r="H1141" s="14" t="n">
        <x:v>2</x:v>
      </x:c>
      <x:c r="I1141" s="14" t="n">
        <x:v>4</x:v>
      </x:c>
      <x:c r="J1141" s="14" t="n">
        <x:v>5</x:v>
      </x:c>
      <x:c r="K1141" s="14" t="n">
        <x:v>2</x:v>
      </x:c>
      <x:c r="L1141" s="15" t="n">
        <x:f>IF(J1141=0,"해당 없음",K1141/J1141)</x:f>
        <x:v>0.4</x:v>
      </x:c>
      <x:c r="M1141" s="14" t="n">
        <x:v>8</x:v>
      </x:c>
      <x:c r="N1141" s="14" t="n">
        <x:v>8</x:v>
      </x:c>
      <x:c r="O1141" s="15" t="n">
        <x:f>IF(M1141=0,"해당 없음",N1141/M1141)</x:f>
        <x:v>1</x:v>
      </x:c>
      <x:c r="P1141" s="14" t="n">
        <x:v>104</x:v>
      </x:c>
    </x:row>
    <x:row r="1142" ht="22" customHeight="1">
      <x:c r="A1142" s="14" t="n">
        <x:v>569</x:v>
      </x:c>
      <x:c r="B1142" s="14" t="n">
        <x:v>15</x:v>
      </x:c>
      <x:c r="C1142" s="14" t="n">
        <x:v>76004</x:v>
      </x:c>
      <x:c r="D1142" s="2" t="str">
        <x:v>RED</x:v>
      </x:c>
      <x:c r="E1142" s="2" t="str">
        <x:v>40만</x:v>
      </x:c>
      <x:c r="F1142" s="2" t="str">
        <x:v>120만</x:v>
      </x:c>
      <x:c r="G1142" s="2" t="str">
        <x:v>패</x:v>
      </x:c>
      <x:c r="H1142" s="14" t="n">
        <x:v>3</x:v>
      </x:c>
      <x:c r="I1142" s="14" t="n">
        <x:v>4</x:v>
      </x:c>
      <x:c r="J1142" s="14" t="n">
        <x:v>10</x:v>
      </x:c>
      <x:c r="K1142" s="14" t="n">
        <x:v>3</x:v>
      </x:c>
      <x:c r="L1142" s="15" t="n">
        <x:f>IF(J1142=0,"해당 없음",K1142/J1142)</x:f>
        <x:v>0.3</x:v>
      </x:c>
      <x:c r="M1142" s="14" t="n">
        <x:v>5</x:v>
      </x:c>
      <x:c r="N1142" s="14" t="n">
        <x:v>3</x:v>
      </x:c>
      <x:c r="O1142" s="15" t="n">
        <x:f>IF(M1142=0,"해당 없음",N1142/M1142)</x:f>
        <x:v>0.6</x:v>
      </x:c>
      <x:c r="P1142" s="14" t="n">
        <x:v>103</x:v>
      </x:c>
    </x:row>
    <x:row r="1143" ht="22" customHeight="1">
      <x:c r="A1143" s="14" t="n">
        <x:v>569</x:v>
      </x:c>
      <x:c r="B1143" s="14" t="n">
        <x:v>15</x:v>
      </x:c>
      <x:c r="C1143" s="14" t="n">
        <x:v>76004</x:v>
      </x:c>
      <x:c r="D1143" s="2" t="str">
        <x:v>NAVY</x:v>
      </x:c>
      <x:c r="E1143" s="2" t="str">
        <x:v>120만</x:v>
      </x:c>
      <x:c r="F1143" s="2" t="str">
        <x:v>40만</x:v>
      </x:c>
      <x:c r="G1143" s="2" t="str">
        <x:v>승</x:v>
      </x:c>
      <x:c r="H1143" s="14" t="n">
        <x:v>4</x:v>
      </x:c>
      <x:c r="I1143" s="14" t="n">
        <x:v>3</x:v>
      </x:c>
      <x:c r="J1143" s="14" t="n">
        <x:v>9</x:v>
      </x:c>
      <x:c r="K1143" s="14" t="n">
        <x:v>4</x:v>
      </x:c>
      <x:c r="L1143" s="15" t="n">
        <x:f>IF(J1143=0,"해당 없음",K1143/J1143)</x:f>
        <x:v>0.4444444444444444</x:v>
      </x:c>
      <x:c r="M1143" s="14" t="n">
        <x:v>6</x:v>
      </x:c>
      <x:c r="N1143" s="14" t="n">
        <x:v>5</x:v>
      </x:c>
      <x:c r="O1143" s="15" t="n">
        <x:f>IF(M1143=0,"해당 없음",N1143/M1143)</x:f>
        <x:v>0.8333333333333334</x:v>
      </x:c>
      <x:c r="P1143" s="14" t="n">
        <x:v>105</x:v>
      </x:c>
    </x:row>
    <x:row r="1144" ht="22" customHeight="1">
      <x:c r="A1144" s="14" t="n">
        <x:v>570</x:v>
      </x:c>
      <x:c r="B1144" s="14" t="n">
        <x:v>15</x:v>
      </x:c>
      <x:c r="C1144" s="14" t="n">
        <x:v>76004</x:v>
      </x:c>
      <x:c r="D1144" s="2" t="str">
        <x:v>RED</x:v>
      </x:c>
      <x:c r="E1144" s="2" t="str">
        <x:v>120만</x:v>
      </x:c>
      <x:c r="F1144" s="2" t="str">
        <x:v>40만</x:v>
      </x:c>
      <x:c r="G1144" s="2" t="str">
        <x:v>승</x:v>
      </x:c>
      <x:c r="H1144" s="14" t="n">
        <x:v>2</x:v>
      </x:c>
      <x:c r="I1144" s="14" t="n">
        <x:v>1</x:v>
      </x:c>
      <x:c r="J1144" s="14" t="n">
        <x:v>6</x:v>
      </x:c>
      <x:c r="K1144" s="14" t="n">
        <x:v>2</x:v>
      </x:c>
      <x:c r="L1144" s="15" t="n">
        <x:f>IF(J1144=0,"해당 없음",K1144/J1144)</x:f>
        <x:v>0.3333333333333333</x:v>
      </x:c>
      <x:c r="M1144" s="14" t="n">
        <x:v>5</x:v>
      </x:c>
      <x:c r="N1144" s="14" t="n">
        <x:v>2</x:v>
      </x:c>
      <x:c r="O1144" s="15" t="n">
        <x:f>IF(M1144=0,"해당 없음",N1144/M1144)</x:f>
        <x:v>0.4</x:v>
      </x:c>
      <x:c r="P1144" s="14" t="n">
        <x:v>103</x:v>
      </x:c>
    </x:row>
    <x:row r="1145" ht="22" customHeight="1">
      <x:c r="A1145" s="14" t="n">
        <x:v>570</x:v>
      </x:c>
      <x:c r="B1145" s="14" t="n">
        <x:v>15</x:v>
      </x:c>
      <x:c r="C1145" s="14" t="n">
        <x:v>76004</x:v>
      </x:c>
      <x:c r="D1145" s="2" t="str">
        <x:v>NAVY</x:v>
      </x:c>
      <x:c r="E1145" s="2" t="str">
        <x:v>40만</x:v>
      </x:c>
      <x:c r="F1145" s="2" t="str">
        <x:v>120만</x:v>
      </x:c>
      <x:c r="G1145" s="2" t="str">
        <x:v>패</x:v>
      </x:c>
      <x:c r="H1145" s="14" t="n">
        <x:v>1</x:v>
      </x:c>
      <x:c r="I1145" s="14" t="n">
        <x:v>2</x:v>
      </x:c>
      <x:c r="J1145" s="14" t="n">
        <x:v>9</x:v>
      </x:c>
      <x:c r="K1145" s="14" t="n">
        <x:v>1</x:v>
      </x:c>
      <x:c r="L1145" s="15" t="n">
        <x:f>IF(J1145=0,"해당 없음",K1145/J1145)</x:f>
        <x:v>0.1111111111111111</x:v>
      </x:c>
      <x:c r="M1145" s="14" t="n">
        <x:v>5</x:v>
      </x:c>
      <x:c r="N1145" s="14" t="n">
        <x:v>3</x:v>
      </x:c>
      <x:c r="O1145" s="15" t="n">
        <x:f>IF(M1145=0,"해당 없음",N1145/M1145)</x:f>
        <x:v>0.6</x:v>
      </x:c>
      <x:c r="P1145" s="14" t="n">
        <x:v>102</x:v>
      </x:c>
    </x:row>
    <x:row r="1146" ht="22" customHeight="1">
      <x:c r="A1146" s="14" t="n">
        <x:v>571</x:v>
      </x:c>
      <x:c r="B1146" s="14" t="n">
        <x:v>15</x:v>
      </x:c>
      <x:c r="C1146" s="14" t="n">
        <x:v>76005</x:v>
      </x:c>
      <x:c r="D1146" s="2" t="str">
        <x:v>RED</x:v>
      </x:c>
      <x:c r="E1146" s="2" t="str">
        <x:v>40만</x:v>
      </x:c>
      <x:c r="F1146" s="2" t="str">
        <x:v>120만</x:v>
      </x:c>
      <x:c r="G1146" s="2" t="str">
        <x:v>무</x:v>
      </x:c>
      <x:c r="H1146" s="14" t="n">
        <x:v>1</x:v>
      </x:c>
      <x:c r="I1146" s="14" t="n">
        <x:v>1</x:v>
      </x:c>
      <x:c r="J1146" s="14" t="n">
        <x:v>11</x:v>
      </x:c>
      <x:c r="K1146" s="14" t="n">
        <x:v>1</x:v>
      </x:c>
      <x:c r="L1146" s="15" t="n">
        <x:f>IF(J1146=0,"해당 없음",K1146/J1146)</x:f>
        <x:v>0.09090909090909091</x:v>
      </x:c>
      <x:c r="M1146" s="14" t="n">
        <x:v>10</x:v>
      </x:c>
      <x:c r="N1146" s="14" t="n">
        <x:v>9</x:v>
      </x:c>
      <x:c r="O1146" s="15" t="n">
        <x:f>IF(M1146=0,"해당 없음",N1146/M1146)</x:f>
        <x:v>0.9</x:v>
      </x:c>
      <x:c r="P1146" s="14" t="n">
        <x:v>102</x:v>
      </x:c>
    </x:row>
    <x:row r="1147" ht="22" customHeight="1">
      <x:c r="A1147" s="14" t="n">
        <x:v>571</x:v>
      </x:c>
      <x:c r="B1147" s="14" t="n">
        <x:v>15</x:v>
      </x:c>
      <x:c r="C1147" s="14" t="n">
        <x:v>76005</x:v>
      </x:c>
      <x:c r="D1147" s="2" t="str">
        <x:v>NAVY</x:v>
      </x:c>
      <x:c r="E1147" s="2" t="str">
        <x:v>120만</x:v>
      </x:c>
      <x:c r="F1147" s="2" t="str">
        <x:v>40만</x:v>
      </x:c>
      <x:c r="G1147" s="2" t="str">
        <x:v>무</x:v>
      </x:c>
      <x:c r="H1147" s="14" t="n">
        <x:v>1</x:v>
      </x:c>
      <x:c r="I1147" s="14" t="n">
        <x:v>1</x:v>
      </x:c>
      <x:c r="J1147" s="14" t="n">
        <x:v>7</x:v>
      </x:c>
      <x:c r="K1147" s="14" t="n">
        <x:v>1</x:v>
      </x:c>
      <x:c r="L1147" s="15" t="n">
        <x:f>IF(J1147=0,"해당 없음",K1147/J1147)</x:f>
        <x:v>0.14285714285714285</x:v>
      </x:c>
      <x:c r="M1147" s="14" t="n">
        <x:v>14</x:v>
      </x:c>
      <x:c r="N1147" s="14" t="n">
        <x:v>7</x:v>
      </x:c>
      <x:c r="O1147" s="15" t="n">
        <x:f>IF(M1147=0,"해당 없음",N1147/M1147)</x:f>
        <x:v>0.5</x:v>
      </x:c>
      <x:c r="P1147" s="14" t="n">
        <x:v>101</x:v>
      </x:c>
    </x:row>
    <x:row r="1148" ht="22" customHeight="1">
      <x:c r="A1148" s="14" t="n">
        <x:v>572</x:v>
      </x:c>
      <x:c r="B1148" s="14" t="n">
        <x:v>15</x:v>
      </x:c>
      <x:c r="C1148" s="14" t="n">
        <x:v>76005</x:v>
      </x:c>
      <x:c r="D1148" s="2" t="str">
        <x:v>RED</x:v>
      </x:c>
      <x:c r="E1148" s="2" t="str">
        <x:v>120만</x:v>
      </x:c>
      <x:c r="F1148" s="2" t="str">
        <x:v>40만</x:v>
      </x:c>
      <x:c r="G1148" s="2" t="str">
        <x:v>승</x:v>
      </x:c>
      <x:c r="H1148" s="14" t="n">
        <x:v>3</x:v>
      </x:c>
      <x:c r="I1148" s="14" t="n">
        <x:v>2</x:v>
      </x:c>
      <x:c r="J1148" s="14" t="n">
        <x:v>10</x:v>
      </x:c>
      <x:c r="K1148" s="14" t="n">
        <x:v>3</x:v>
      </x:c>
      <x:c r="L1148" s="15" t="n">
        <x:f>IF(J1148=0,"해당 없음",K1148/J1148)</x:f>
        <x:v>0.3</x:v>
      </x:c>
      <x:c r="M1148" s="14" t="n">
        <x:v>4</x:v>
      </x:c>
      <x:c r="N1148" s="14" t="n">
        <x:v>3</x:v>
      </x:c>
      <x:c r="O1148" s="15" t="n">
        <x:f>IF(M1148=0,"해당 없음",N1148/M1148)</x:f>
        <x:v>0.75</x:v>
      </x:c>
      <x:c r="P1148" s="14" t="n">
        <x:v>103</x:v>
      </x:c>
    </x:row>
    <x:row r="1149" ht="22" customHeight="1">
      <x:c r="A1149" s="14" t="n">
        <x:v>572</x:v>
      </x:c>
      <x:c r="B1149" s="14" t="n">
        <x:v>15</x:v>
      </x:c>
      <x:c r="C1149" s="14" t="n">
        <x:v>76005</x:v>
      </x:c>
      <x:c r="D1149" s="2" t="str">
        <x:v>NAVY</x:v>
      </x:c>
      <x:c r="E1149" s="2" t="str">
        <x:v>40만</x:v>
      </x:c>
      <x:c r="F1149" s="2" t="str">
        <x:v>120만</x:v>
      </x:c>
      <x:c r="G1149" s="2" t="str">
        <x:v>패</x:v>
      </x:c>
      <x:c r="H1149" s="14" t="n">
        <x:v>2</x:v>
      </x:c>
      <x:c r="I1149" s="14" t="n">
        <x:v>3</x:v>
      </x:c>
      <x:c r="J1149" s="14" t="n">
        <x:v>5</x:v>
      </x:c>
      <x:c r="K1149" s="14" t="n">
        <x:v>2</x:v>
      </x:c>
      <x:c r="L1149" s="15" t="n">
        <x:f>IF(J1149=0,"해당 없음",K1149/J1149)</x:f>
        <x:v>0.4</x:v>
      </x:c>
      <x:c r="M1149" s="14" t="n">
        <x:v>12</x:v>
      </x:c>
      <x:c r="N1149" s="14" t="n">
        <x:v>6</x:v>
      </x:c>
      <x:c r="O1149" s="15" t="n">
        <x:f>IF(M1149=0,"해당 없음",N1149/M1149)</x:f>
        <x:v>0.5</x:v>
      </x:c>
      <x:c r="P1149" s="14" t="n">
        <x:v>103</x:v>
      </x:c>
    </x:row>
    <x:row r="1150" ht="22" customHeight="1">
      <x:c r="A1150" s="14" t="n">
        <x:v>573</x:v>
      </x:c>
      <x:c r="B1150" s="14" t="n">
        <x:v>15</x:v>
      </x:c>
      <x:c r="C1150" s="14" t="n">
        <x:v>76006</x:v>
      </x:c>
      <x:c r="D1150" s="2" t="str">
        <x:v>RED</x:v>
      </x:c>
      <x:c r="E1150" s="2" t="str">
        <x:v>40만</x:v>
      </x:c>
      <x:c r="F1150" s="2" t="str">
        <x:v>120만</x:v>
      </x:c>
      <x:c r="G1150" s="2" t="str">
        <x:v>무</x:v>
      </x:c>
      <x:c r="H1150" s="14" t="n">
        <x:v>3</x:v>
      </x:c>
      <x:c r="I1150" s="14" t="n">
        <x:v>3</x:v>
      </x:c>
      <x:c r="J1150" s="14" t="n">
        <x:v>15</x:v>
      </x:c>
      <x:c r="K1150" s="14" t="n">
        <x:v>3</x:v>
      </x:c>
      <x:c r="L1150" s="15" t="n">
        <x:f>IF(J1150=0,"해당 없음",K1150/J1150)</x:f>
        <x:v>0.2</x:v>
      </x:c>
      <x:c r="M1150" s="14" t="n">
        <x:v>9</x:v>
      </x:c>
      <x:c r="N1150" s="14" t="n">
        <x:v>9</x:v>
      </x:c>
      <x:c r="O1150" s="15" t="n">
        <x:f>IF(M1150=0,"해당 없음",N1150/M1150)</x:f>
        <x:v>1</x:v>
      </x:c>
      <x:c r="P1150" s="14" t="n">
        <x:v>102</x:v>
      </x:c>
    </x:row>
    <x:row r="1151" ht="22" customHeight="1">
      <x:c r="A1151" s="14" t="n">
        <x:v>573</x:v>
      </x:c>
      <x:c r="B1151" s="14" t="n">
        <x:v>15</x:v>
      </x:c>
      <x:c r="C1151" s="14" t="n">
        <x:v>76006</x:v>
      </x:c>
      <x:c r="D1151" s="2" t="str">
        <x:v>NAVY</x:v>
      </x:c>
      <x:c r="E1151" s="2" t="str">
        <x:v>120만</x:v>
      </x:c>
      <x:c r="F1151" s="2" t="str">
        <x:v>40만</x:v>
      </x:c>
      <x:c r="G1151" s="2" t="str">
        <x:v>무</x:v>
      </x:c>
      <x:c r="H1151" s="14" t="n">
        <x:v>3</x:v>
      </x:c>
      <x:c r="I1151" s="14" t="n">
        <x:v>3</x:v>
      </x:c>
      <x:c r="J1151" s="14" t="n">
        <x:v>6</x:v>
      </x:c>
      <x:c r="K1151" s="14" t="n">
        <x:v>3</x:v>
      </x:c>
      <x:c r="L1151" s="15" t="n">
        <x:f>IF(J1151=0,"해당 없음",K1151/J1151)</x:f>
        <x:v>0.5</x:v>
      </x:c>
      <x:c r="M1151" s="14" t="n">
        <x:v>10</x:v>
      </x:c>
      <x:c r="N1151" s="14" t="n">
        <x:v>8</x:v>
      </x:c>
      <x:c r="O1151" s="15" t="n">
        <x:f>IF(M1151=0,"해당 없음",N1151/M1151)</x:f>
        <x:v>0.8</x:v>
      </x:c>
      <x:c r="P1151" s="14" t="n">
        <x:v>104</x:v>
      </x:c>
    </x:row>
    <x:row r="1152" ht="22" customHeight="1">
      <x:c r="A1152" s="14" t="n">
        <x:v>574</x:v>
      </x:c>
      <x:c r="B1152" s="14" t="n">
        <x:v>15</x:v>
      </x:c>
      <x:c r="C1152" s="14" t="n">
        <x:v>76006</x:v>
      </x:c>
      <x:c r="D1152" s="2" t="str">
        <x:v>RED</x:v>
      </x:c>
      <x:c r="E1152" s="2" t="str">
        <x:v>120만</x:v>
      </x:c>
      <x:c r="F1152" s="2" t="str">
        <x:v>40만</x:v>
      </x:c>
      <x:c r="G1152" s="2" t="str">
        <x:v>승</x:v>
      </x:c>
      <x:c r="H1152" s="14" t="n">
        <x:v>6</x:v>
      </x:c>
      <x:c r="I1152" s="14" t="n">
        <x:v>3</x:v>
      </x:c>
      <x:c r="J1152" s="14" t="n">
        <x:v>13</x:v>
      </x:c>
      <x:c r="K1152" s="14" t="n">
        <x:v>6</x:v>
      </x:c>
      <x:c r="L1152" s="15" t="n">
        <x:f>IF(J1152=0,"해당 없음",K1152/J1152)</x:f>
        <x:v>0.46153846153846156</x:v>
      </x:c>
      <x:c r="M1152" s="14" t="n">
        <x:v>7</x:v>
      </x:c>
      <x:c r="N1152" s="14" t="n">
        <x:v>6</x:v>
      </x:c>
      <x:c r="O1152" s="15" t="n">
        <x:f>IF(M1152=0,"해당 없음",N1152/M1152)</x:f>
        <x:v>0.8571428571428571</x:v>
      </x:c>
      <x:c r="P1152" s="14" t="n">
        <x:v>105</x:v>
      </x:c>
    </x:row>
    <x:row r="1153" ht="22" customHeight="1">
      <x:c r="A1153" s="14" t="n">
        <x:v>574</x:v>
      </x:c>
      <x:c r="B1153" s="14" t="n">
        <x:v>15</x:v>
      </x:c>
      <x:c r="C1153" s="14" t="n">
        <x:v>76006</x:v>
      </x:c>
      <x:c r="D1153" s="2" t="str">
        <x:v>NAVY</x:v>
      </x:c>
      <x:c r="E1153" s="2" t="str">
        <x:v>40만</x:v>
      </x:c>
      <x:c r="F1153" s="2" t="str">
        <x:v>120만</x:v>
      </x:c>
      <x:c r="G1153" s="2" t="str">
        <x:v>패</x:v>
      </x:c>
      <x:c r="H1153" s="14" t="n">
        <x:v>3</x:v>
      </x:c>
      <x:c r="I1153" s="14" t="n">
        <x:v>6</x:v>
      </x:c>
      <x:c r="J1153" s="14" t="n">
        <x:v>6</x:v>
      </x:c>
      <x:c r="K1153" s="14" t="n">
        <x:v>3</x:v>
      </x:c>
      <x:c r="L1153" s="15" t="n">
        <x:f>IF(J1153=0,"해당 없음",K1153/J1153)</x:f>
        <x:v>0.5</x:v>
      </x:c>
      <x:c r="M1153" s="14" t="n">
        <x:v>11</x:v>
      </x:c>
      <x:c r="N1153" s="14" t="n">
        <x:v>6</x:v>
      </x:c>
      <x:c r="O1153" s="15" t="n">
        <x:f>IF(M1153=0,"해당 없음",N1153/M1153)</x:f>
        <x:v>0.5454545454545454</x:v>
      </x:c>
      <x:c r="P1153" s="14" t="n">
        <x:v>103</x:v>
      </x:c>
    </x:row>
    <x:row r="1154" ht="22" customHeight="1">
      <x:c r="A1154" s="14" t="n">
        <x:v>575</x:v>
      </x:c>
      <x:c r="B1154" s="14" t="n">
        <x:v>15</x:v>
      </x:c>
      <x:c r="C1154" s="14" t="n">
        <x:v>76007</x:v>
      </x:c>
      <x:c r="D1154" s="2" t="str">
        <x:v>RED</x:v>
      </x:c>
      <x:c r="E1154" s="2" t="str">
        <x:v>40만</x:v>
      </x:c>
      <x:c r="F1154" s="2" t="str">
        <x:v>120만</x:v>
      </x:c>
      <x:c r="G1154" s="2" t="str">
        <x:v>승</x:v>
      </x:c>
      <x:c r="H1154" s="14" t="n">
        <x:v>5</x:v>
      </x:c>
      <x:c r="I1154" s="14" t="n">
        <x:v>4</x:v>
      </x:c>
      <x:c r="J1154" s="14" t="n">
        <x:v>7</x:v>
      </x:c>
      <x:c r="K1154" s="14" t="n">
        <x:v>5</x:v>
      </x:c>
      <x:c r="L1154" s="15" t="n">
        <x:f>IF(J1154=0,"해당 없음",K1154/J1154)</x:f>
        <x:v>0.7142857142857143</x:v>
      </x:c>
      <x:c r="M1154" s="14" t="n">
        <x:v>6</x:v>
      </x:c>
      <x:c r="N1154" s="14" t="n">
        <x:v>5</x:v>
      </x:c>
      <x:c r="O1154" s="15" t="n">
        <x:f>IF(M1154=0,"해당 없음",N1154/M1154)</x:f>
        <x:v>0.8333333333333334</x:v>
      </x:c>
      <x:c r="P1154" s="14" t="n">
        <x:v>106</x:v>
      </x:c>
    </x:row>
    <x:row r="1155" ht="22" customHeight="1">
      <x:c r="A1155" s="14" t="n">
        <x:v>575</x:v>
      </x:c>
      <x:c r="B1155" s="14" t="n">
        <x:v>15</x:v>
      </x:c>
      <x:c r="C1155" s="14" t="n">
        <x:v>76007</x:v>
      </x:c>
      <x:c r="D1155" s="2" t="str">
        <x:v>NAVY</x:v>
      </x:c>
      <x:c r="E1155" s="2" t="str">
        <x:v>120만</x:v>
      </x:c>
      <x:c r="F1155" s="2" t="str">
        <x:v>40만</x:v>
      </x:c>
      <x:c r="G1155" s="2" t="str">
        <x:v>패</x:v>
      </x:c>
      <x:c r="H1155" s="14" t="n">
        <x:v>4</x:v>
      </x:c>
      <x:c r="I1155" s="14" t="n">
        <x:v>5</x:v>
      </x:c>
      <x:c r="J1155" s="14" t="n">
        <x:v>10</x:v>
      </x:c>
      <x:c r="K1155" s="14" t="n">
        <x:v>4</x:v>
      </x:c>
      <x:c r="L1155" s="15" t="n">
        <x:f>IF(J1155=0,"해당 없음",K1155/J1155)</x:f>
        <x:v>0.4</x:v>
      </x:c>
      <x:c r="M1155" s="14" t="n">
        <x:v>4</x:v>
      </x:c>
      <x:c r="N1155" s="14" t="n">
        <x:v>4</x:v>
      </x:c>
      <x:c r="O1155" s="15" t="n">
        <x:f>IF(M1155=0,"해당 없음",N1155/M1155)</x:f>
        <x:v>1</x:v>
      </x:c>
      <x:c r="P1155" s="14" t="n">
        <x:v>106</x:v>
      </x:c>
    </x:row>
    <x:row r="1156" ht="22" customHeight="1">
      <x:c r="A1156" s="14" t="n">
        <x:v>576</x:v>
      </x:c>
      <x:c r="B1156" s="14" t="n">
        <x:v>15</x:v>
      </x:c>
      <x:c r="C1156" s="14" t="n">
        <x:v>76007</x:v>
      </x:c>
      <x:c r="D1156" s="2" t="str">
        <x:v>RED</x:v>
      </x:c>
      <x:c r="E1156" s="2" t="str">
        <x:v>120만</x:v>
      </x:c>
      <x:c r="F1156" s="2" t="str">
        <x:v>40만</x:v>
      </x:c>
      <x:c r="G1156" s="2" t="str">
        <x:v>승</x:v>
      </x:c>
      <x:c r="H1156" s="14" t="n">
        <x:v>6</x:v>
      </x:c>
      <x:c r="I1156" s="14" t="n">
        <x:v>1</x:v>
      </x:c>
      <x:c r="J1156" s="14" t="n">
        <x:v>10</x:v>
      </x:c>
      <x:c r="K1156" s="14" t="n">
        <x:v>6</x:v>
      </x:c>
      <x:c r="L1156" s="15" t="n">
        <x:f>IF(J1156=0,"해당 없음",K1156/J1156)</x:f>
        <x:v>0.6</x:v>
      </x:c>
      <x:c r="M1156" s="14" t="n">
        <x:v>6</x:v>
      </x:c>
      <x:c r="N1156" s="14" t="n">
        <x:v>4</x:v>
      </x:c>
      <x:c r="O1156" s="15" t="n">
        <x:f>IF(M1156=0,"해당 없음",N1156/M1156)</x:f>
        <x:v>0.6666666666666666</x:v>
      </x:c>
      <x:c r="P1156" s="14" t="n">
        <x:v>105</x:v>
      </x:c>
    </x:row>
    <x:row r="1157" ht="22" customHeight="1">
      <x:c r="A1157" s="14" t="n">
        <x:v>576</x:v>
      </x:c>
      <x:c r="B1157" s="14" t="n">
        <x:v>15</x:v>
      </x:c>
      <x:c r="C1157" s="14" t="n">
        <x:v>76007</x:v>
      </x:c>
      <x:c r="D1157" s="2" t="str">
        <x:v>NAVY</x:v>
      </x:c>
      <x:c r="E1157" s="2" t="str">
        <x:v>40만</x:v>
      </x:c>
      <x:c r="F1157" s="2" t="str">
        <x:v>120만</x:v>
      </x:c>
      <x:c r="G1157" s="2" t="str">
        <x:v>패</x:v>
      </x:c>
      <x:c r="H1157" s="14" t="n">
        <x:v>1</x:v>
      </x:c>
      <x:c r="I1157" s="14" t="n">
        <x:v>6</x:v>
      </x:c>
      <x:c r="J1157" s="14" t="n">
        <x:v>7</x:v>
      </x:c>
      <x:c r="K1157" s="14" t="n">
        <x:v>1</x:v>
      </x:c>
      <x:c r="L1157" s="15" t="n">
        <x:f>IF(J1157=0,"해당 없음",K1157/J1157)</x:f>
        <x:v>0.14285714285714285</x:v>
      </x:c>
      <x:c r="M1157" s="14" t="n">
        <x:v>7</x:v>
      </x:c>
      <x:c r="N1157" s="14" t="n">
        <x:v>4</x:v>
      </x:c>
      <x:c r="O1157" s="15" t="n">
        <x:f>IF(M1157=0,"해당 없음",N1157/M1157)</x:f>
        <x:v>0.5714285714285714</x:v>
      </x:c>
      <x:c r="P1157" s="14" t="n">
        <x:v>104</x:v>
      </x:c>
    </x:row>
    <x:row r="1158" ht="22" customHeight="1">
      <x:c r="A1158" s="14" t="n">
        <x:v>577</x:v>
      </x:c>
      <x:c r="B1158" s="14" t="n">
        <x:v>15</x:v>
      </x:c>
      <x:c r="C1158" s="14" t="n">
        <x:v>76008</x:v>
      </x:c>
      <x:c r="D1158" s="2" t="str">
        <x:v>RED</x:v>
      </x:c>
      <x:c r="E1158" s="2" t="str">
        <x:v>40만</x:v>
      </x:c>
      <x:c r="F1158" s="2" t="str">
        <x:v>120만</x:v>
      </x:c>
      <x:c r="G1158" s="2" t="str">
        <x:v>승</x:v>
      </x:c>
      <x:c r="H1158" s="14" t="n">
        <x:v>4</x:v>
      </x:c>
      <x:c r="I1158" s="14" t="n">
        <x:v>2</x:v>
      </x:c>
      <x:c r="J1158" s="14" t="n">
        <x:v>7</x:v>
      </x:c>
      <x:c r="K1158" s="14" t="n">
        <x:v>4</x:v>
      </x:c>
      <x:c r="L1158" s="15" t="n">
        <x:f>IF(J1158=0,"해당 없음",K1158/J1158)</x:f>
        <x:v>0.5714285714285714</x:v>
      </x:c>
      <x:c r="M1158" s="14" t="n">
        <x:v>6</x:v>
      </x:c>
      <x:c r="N1158" s="14" t="n">
        <x:v>5</x:v>
      </x:c>
      <x:c r="O1158" s="15" t="n">
        <x:f>IF(M1158=0,"해당 없음",N1158/M1158)</x:f>
        <x:v>0.8333333333333334</x:v>
      </x:c>
      <x:c r="P1158" s="14" t="n">
        <x:v>102</x:v>
      </x:c>
    </x:row>
    <x:row r="1159" ht="22" customHeight="1">
      <x:c r="A1159" s="14" t="n">
        <x:v>577</x:v>
      </x:c>
      <x:c r="B1159" s="14" t="n">
        <x:v>15</x:v>
      </x:c>
      <x:c r="C1159" s="14" t="n">
        <x:v>76008</x:v>
      </x:c>
      <x:c r="D1159" s="2" t="str">
        <x:v>NAVY</x:v>
      </x:c>
      <x:c r="E1159" s="2" t="str">
        <x:v>120만</x:v>
      </x:c>
      <x:c r="F1159" s="2" t="str">
        <x:v>40만</x:v>
      </x:c>
      <x:c r="G1159" s="2" t="str">
        <x:v>패</x:v>
      </x:c>
      <x:c r="H1159" s="14" t="n">
        <x:v>2</x:v>
      </x:c>
      <x:c r="I1159" s="14" t="n">
        <x:v>4</x:v>
      </x:c>
      <x:c r="J1159" s="14" t="n">
        <x:v>5</x:v>
      </x:c>
      <x:c r="K1159" s="14" t="n">
        <x:v>2</x:v>
      </x:c>
      <x:c r="L1159" s="15" t="n">
        <x:f>IF(J1159=0,"해당 없음",K1159/J1159)</x:f>
        <x:v>0.4</x:v>
      </x:c>
      <x:c r="M1159" s="14" t="n">
        <x:v>5</x:v>
      </x:c>
      <x:c r="N1159" s="14" t="n">
        <x:v>4</x:v>
      </x:c>
      <x:c r="O1159" s="15" t="n">
        <x:f>IF(M1159=0,"해당 없음",N1159/M1159)</x:f>
        <x:v>0.8</x:v>
      </x:c>
      <x:c r="P1159" s="14" t="n">
        <x:v>102</x:v>
      </x:c>
    </x:row>
    <x:row r="1160" ht="22" customHeight="1">
      <x:c r="A1160" s="14" t="n">
        <x:v>578</x:v>
      </x:c>
      <x:c r="B1160" s="14" t="n">
        <x:v>15</x:v>
      </x:c>
      <x:c r="C1160" s="14" t="n">
        <x:v>76008</x:v>
      </x:c>
      <x:c r="D1160" s="2" t="str">
        <x:v>RED</x:v>
      </x:c>
      <x:c r="E1160" s="2" t="str">
        <x:v>120만</x:v>
      </x:c>
      <x:c r="F1160" s="2" t="str">
        <x:v>40만</x:v>
      </x:c>
      <x:c r="G1160" s="2" t="str">
        <x:v>무</x:v>
      </x:c>
      <x:c r="H1160" s="14" t="n">
        <x:v>3</x:v>
      </x:c>
      <x:c r="I1160" s="14" t="n">
        <x:v>3</x:v>
      </x:c>
      <x:c r="J1160" s="14" t="n">
        <x:v>8</x:v>
      </x:c>
      <x:c r="K1160" s="14" t="n">
        <x:v>3</x:v>
      </x:c>
      <x:c r="L1160" s="15" t="n">
        <x:f>IF(J1160=0,"해당 없음",K1160/J1160)</x:f>
        <x:v>0.375</x:v>
      </x:c>
      <x:c r="M1160" s="14" t="n">
        <x:v>6</x:v>
      </x:c>
      <x:c r="N1160" s="14" t="n">
        <x:v>4</x:v>
      </x:c>
      <x:c r="O1160" s="15" t="n">
        <x:f>IF(M1160=0,"해당 없음",N1160/M1160)</x:f>
        <x:v>0.6666666666666666</x:v>
      </x:c>
      <x:c r="P1160" s="14" t="n">
        <x:v>103</x:v>
      </x:c>
    </x:row>
    <x:row r="1161" ht="22" customHeight="1">
      <x:c r="A1161" s="14" t="n">
        <x:v>578</x:v>
      </x:c>
      <x:c r="B1161" s="14" t="n">
        <x:v>15</x:v>
      </x:c>
      <x:c r="C1161" s="14" t="n">
        <x:v>76008</x:v>
      </x:c>
      <x:c r="D1161" s="2" t="str">
        <x:v>NAVY</x:v>
      </x:c>
      <x:c r="E1161" s="2" t="str">
        <x:v>40만</x:v>
      </x:c>
      <x:c r="F1161" s="2" t="str">
        <x:v>120만</x:v>
      </x:c>
      <x:c r="G1161" s="2" t="str">
        <x:v>무</x:v>
      </x:c>
      <x:c r="H1161" s="14" t="n">
        <x:v>3</x:v>
      </x:c>
      <x:c r="I1161" s="14" t="n">
        <x:v>3</x:v>
      </x:c>
      <x:c r="J1161" s="14" t="n">
        <x:v>9</x:v>
      </x:c>
      <x:c r="K1161" s="14" t="n">
        <x:v>3</x:v>
      </x:c>
      <x:c r="L1161" s="15" t="n">
        <x:f>IF(J1161=0,"해당 없음",K1161/J1161)</x:f>
        <x:v>0.3333333333333333</x:v>
      </x:c>
      <x:c r="M1161" s="14" t="n">
        <x:v>8</x:v>
      </x:c>
      <x:c r="N1161" s="14" t="n">
        <x:v>6</x:v>
      </x:c>
      <x:c r="O1161" s="15" t="n">
        <x:f>IF(M1161=0,"해당 없음",N1161/M1161)</x:f>
        <x:v>0.75</x:v>
      </x:c>
      <x:c r="P1161" s="14" t="n">
        <x:v>104</x:v>
      </x:c>
    </x:row>
    <x:row r="1162" ht="22" customHeight="1">
      <x:c r="A1162" s="14" t="n">
        <x:v>579</x:v>
      </x:c>
      <x:c r="B1162" s="14" t="n">
        <x:v>15</x:v>
      </x:c>
      <x:c r="C1162" s="14" t="n">
        <x:v>76009</x:v>
      </x:c>
      <x:c r="D1162" s="2" t="str">
        <x:v>RED</x:v>
      </x:c>
      <x:c r="E1162" s="2" t="str">
        <x:v>40만</x:v>
      </x:c>
      <x:c r="F1162" s="2" t="str">
        <x:v>120만</x:v>
      </x:c>
      <x:c r="G1162" s="2" t="str">
        <x:v>승</x:v>
      </x:c>
      <x:c r="H1162" s="14" t="n">
        <x:v>4</x:v>
      </x:c>
      <x:c r="I1162" s="14" t="n">
        <x:v>3</x:v>
      </x:c>
      <x:c r="J1162" s="14" t="n">
        <x:v>10</x:v>
      </x:c>
      <x:c r="K1162" s="14" t="n">
        <x:v>4</x:v>
      </x:c>
      <x:c r="L1162" s="15" t="n">
        <x:f>IF(J1162=0,"해당 없음",K1162/J1162)</x:f>
        <x:v>0.4</x:v>
      </x:c>
      <x:c r="M1162" s="14" t="n">
        <x:v>6</x:v>
      </x:c>
      <x:c r="N1162" s="14" t="n">
        <x:v>5</x:v>
      </x:c>
      <x:c r="O1162" s="15" t="n">
        <x:f>IF(M1162=0,"해당 없음",N1162/M1162)</x:f>
        <x:v>0.8333333333333334</x:v>
      </x:c>
      <x:c r="P1162" s="14" t="n">
        <x:v>105</x:v>
      </x:c>
    </x:row>
    <x:row r="1163" ht="22" customHeight="1">
      <x:c r="A1163" s="14" t="n">
        <x:v>579</x:v>
      </x:c>
      <x:c r="B1163" s="14" t="n">
        <x:v>15</x:v>
      </x:c>
      <x:c r="C1163" s="14" t="n">
        <x:v>76009</x:v>
      </x:c>
      <x:c r="D1163" s="2" t="str">
        <x:v>NAVY</x:v>
      </x:c>
      <x:c r="E1163" s="2" t="str">
        <x:v>120만</x:v>
      </x:c>
      <x:c r="F1163" s="2" t="str">
        <x:v>40만</x:v>
      </x:c>
      <x:c r="G1163" s="2" t="str">
        <x:v>패</x:v>
      </x:c>
      <x:c r="H1163" s="14" t="n">
        <x:v>3</x:v>
      </x:c>
      <x:c r="I1163" s="14" t="n">
        <x:v>4</x:v>
      </x:c>
      <x:c r="J1163" s="14" t="n">
        <x:v>6</x:v>
      </x:c>
      <x:c r="K1163" s="14" t="n">
        <x:v>3</x:v>
      </x:c>
      <x:c r="L1163" s="15" t="n">
        <x:f>IF(J1163=0,"해당 없음",K1163/J1163)</x:f>
        <x:v>0.5</x:v>
      </x:c>
      <x:c r="M1163" s="14" t="n">
        <x:v>9</x:v>
      </x:c>
      <x:c r="N1163" s="14" t="n">
        <x:v>8</x:v>
      </x:c>
      <x:c r="O1163" s="15" t="n">
        <x:f>IF(M1163=0,"해당 없음",N1163/M1163)</x:f>
        <x:v>0.8888888888888888</x:v>
      </x:c>
      <x:c r="P1163" s="14" t="n">
        <x:v>104</x:v>
      </x:c>
    </x:row>
    <x:row r="1164" ht="22" customHeight="1">
      <x:c r="A1164" s="14" t="n">
        <x:v>580</x:v>
      </x:c>
      <x:c r="B1164" s="14" t="n">
        <x:v>15</x:v>
      </x:c>
      <x:c r="C1164" s="14" t="n">
        <x:v>76009</x:v>
      </x:c>
      <x:c r="D1164" s="2" t="str">
        <x:v>RED</x:v>
      </x:c>
      <x:c r="E1164" s="2" t="str">
        <x:v>120만</x:v>
      </x:c>
      <x:c r="F1164" s="2" t="str">
        <x:v>40만</x:v>
      </x:c>
      <x:c r="G1164" s="2" t="str">
        <x:v>승</x:v>
      </x:c>
      <x:c r="H1164" s="14" t="n">
        <x:v>5</x:v>
      </x:c>
      <x:c r="I1164" s="14" t="n">
        <x:v>2</x:v>
      </x:c>
      <x:c r="J1164" s="14" t="n">
        <x:v>9</x:v>
      </x:c>
      <x:c r="K1164" s="14" t="n">
        <x:v>5</x:v>
      </x:c>
      <x:c r="L1164" s="15" t="n">
        <x:f>IF(J1164=0,"해당 없음",K1164/J1164)</x:f>
        <x:v>0.5555555555555556</x:v>
      </x:c>
      <x:c r="M1164" s="14" t="n">
        <x:v>3</x:v>
      </x:c>
      <x:c r="N1164" s="14" t="n">
        <x:v>2</x:v>
      </x:c>
      <x:c r="O1164" s="15" t="n">
        <x:f>IF(M1164=0,"해당 없음",N1164/M1164)</x:f>
        <x:v>0.6666666666666666</x:v>
      </x:c>
      <x:c r="P1164" s="14" t="n">
        <x:v>103</x:v>
      </x:c>
    </x:row>
    <x:row r="1165" ht="22" customHeight="1">
      <x:c r="A1165" s="14" t="n">
        <x:v>580</x:v>
      </x:c>
      <x:c r="B1165" s="14" t="n">
        <x:v>15</x:v>
      </x:c>
      <x:c r="C1165" s="14" t="n">
        <x:v>76009</x:v>
      </x:c>
      <x:c r="D1165" s="2" t="str">
        <x:v>NAVY</x:v>
      </x:c>
      <x:c r="E1165" s="2" t="str">
        <x:v>40만</x:v>
      </x:c>
      <x:c r="F1165" s="2" t="str">
        <x:v>120만</x:v>
      </x:c>
      <x:c r="G1165" s="2" t="str">
        <x:v>패</x:v>
      </x:c>
      <x:c r="H1165" s="14" t="n">
        <x:v>2</x:v>
      </x:c>
      <x:c r="I1165" s="14" t="n">
        <x:v>5</x:v>
      </x:c>
      <x:c r="J1165" s="14" t="n">
        <x:v>4</x:v>
      </x:c>
      <x:c r="K1165" s="14" t="n">
        <x:v>2</x:v>
      </x:c>
      <x:c r="L1165" s="15" t="n">
        <x:f>IF(J1165=0,"해당 없음",K1165/J1165)</x:f>
        <x:v>0.5</x:v>
      </x:c>
      <x:c r="M1165" s="14" t="n">
        <x:v>7</x:v>
      </x:c>
      <x:c r="N1165" s="14" t="n">
        <x:v>3</x:v>
      </x:c>
      <x:c r="O1165" s="15" t="n">
        <x:f>IF(M1165=0,"해당 없음",N1165/M1165)</x:f>
        <x:v>0.42857142857142855</x:v>
      </x:c>
      <x:c r="P1165" s="14" t="n">
        <x:v>103</x:v>
      </x:c>
    </x:row>
    <x:row r="1166" ht="22" customHeight="1">
      <x:c r="A1166" s="14" t="n">
        <x:v>581</x:v>
      </x:c>
      <x:c r="B1166" s="14" t="n">
        <x:v>15</x:v>
      </x:c>
      <x:c r="C1166" s="14" t="n">
        <x:v>76010</x:v>
      </x:c>
      <x:c r="D1166" s="2" t="str">
        <x:v>RED</x:v>
      </x:c>
      <x:c r="E1166" s="2" t="str">
        <x:v>40만</x:v>
      </x:c>
      <x:c r="F1166" s="2" t="str">
        <x:v>120만</x:v>
      </x:c>
      <x:c r="G1166" s="2" t="str">
        <x:v>승</x:v>
      </x:c>
      <x:c r="H1166" s="14" t="n">
        <x:v>3</x:v>
      </x:c>
      <x:c r="I1166" s="14" t="n">
        <x:v>2</x:v>
      </x:c>
      <x:c r="J1166" s="14" t="n">
        <x:v>10</x:v>
      </x:c>
      <x:c r="K1166" s="14" t="n">
        <x:v>3</x:v>
      </x:c>
      <x:c r="L1166" s="15" t="n">
        <x:f>IF(J1166=0,"해당 없음",K1166/J1166)</x:f>
        <x:v>0.3</x:v>
      </x:c>
      <x:c r="M1166" s="14" t="n">
        <x:v>7</x:v>
      </x:c>
      <x:c r="N1166" s="14" t="n">
        <x:v>6</x:v>
      </x:c>
      <x:c r="O1166" s="15" t="n">
        <x:f>IF(M1166=0,"해당 없음",N1166/M1166)</x:f>
        <x:v>0.8571428571428571</x:v>
      </x:c>
      <x:c r="P1166" s="14" t="n">
        <x:v>104</x:v>
      </x:c>
    </x:row>
    <x:row r="1167" ht="22" customHeight="1">
      <x:c r="A1167" s="14" t="n">
        <x:v>581</x:v>
      </x:c>
      <x:c r="B1167" s="14" t="n">
        <x:v>15</x:v>
      </x:c>
      <x:c r="C1167" s="14" t="n">
        <x:v>76010</x:v>
      </x:c>
      <x:c r="D1167" s="2" t="str">
        <x:v>NAVY</x:v>
      </x:c>
      <x:c r="E1167" s="2" t="str">
        <x:v>120만</x:v>
      </x:c>
      <x:c r="F1167" s="2" t="str">
        <x:v>40만</x:v>
      </x:c>
      <x:c r="G1167" s="2" t="str">
        <x:v>패</x:v>
      </x:c>
      <x:c r="H1167" s="14" t="n">
        <x:v>2</x:v>
      </x:c>
      <x:c r="I1167" s="14" t="n">
        <x:v>3</x:v>
      </x:c>
      <x:c r="J1167" s="14" t="n">
        <x:v>6</x:v>
      </x:c>
      <x:c r="K1167" s="14" t="n">
        <x:v>2</x:v>
      </x:c>
      <x:c r="L1167" s="15" t="n">
        <x:f>IF(J1167=0,"해당 없음",K1167/J1167)</x:f>
        <x:v>0.3333333333333333</x:v>
      </x:c>
      <x:c r="M1167" s="14" t="n">
        <x:v>10</x:v>
      </x:c>
      <x:c r="N1167" s="14" t="n">
        <x:v>8</x:v>
      </x:c>
      <x:c r="O1167" s="15" t="n">
        <x:f>IF(M1167=0,"해당 없음",N1167/M1167)</x:f>
        <x:v>0.8</x:v>
      </x:c>
      <x:c r="P1167" s="14" t="n">
        <x:v>104</x:v>
      </x:c>
    </x:row>
    <x:row r="1168" ht="22" customHeight="1">
      <x:c r="A1168" s="14" t="n">
        <x:v>582</x:v>
      </x:c>
      <x:c r="B1168" s="14" t="n">
        <x:v>15</x:v>
      </x:c>
      <x:c r="C1168" s="14" t="n">
        <x:v>76010</x:v>
      </x:c>
      <x:c r="D1168" s="2" t="str">
        <x:v>RED</x:v>
      </x:c>
      <x:c r="E1168" s="2" t="str">
        <x:v>120만</x:v>
      </x:c>
      <x:c r="F1168" s="2" t="str">
        <x:v>40만</x:v>
      </x:c>
      <x:c r="G1168" s="2" t="str">
        <x:v>승</x:v>
      </x:c>
      <x:c r="H1168" s="14" t="n">
        <x:v>1</x:v>
      </x:c>
      <x:c r="I1168" s="14" t="n">
        <x:v>0</x:v>
      </x:c>
      <x:c r="J1168" s="14" t="n">
        <x:v>4</x:v>
      </x:c>
      <x:c r="K1168" s="14" t="n">
        <x:v>1</x:v>
      </x:c>
      <x:c r="L1168" s="15" t="n">
        <x:f>IF(J1168=0,"해당 없음",K1168/J1168)</x:f>
        <x:v>0.25</x:v>
      </x:c>
      <x:c r="M1168" s="14" t="n">
        <x:v>10</x:v>
      </x:c>
      <x:c r="N1168" s="14" t="n">
        <x:v>8</x:v>
      </x:c>
      <x:c r="O1168" s="15" t="n">
        <x:f>IF(M1168=0,"해당 없음",N1168/M1168)</x:f>
        <x:v>0.8</x:v>
      </x:c>
      <x:c r="P1168" s="14" t="n">
        <x:v>100</x:v>
      </x:c>
    </x:row>
    <x:row r="1169" ht="22" customHeight="1">
      <x:c r="A1169" s="14" t="n">
        <x:v>582</x:v>
      </x:c>
      <x:c r="B1169" s="14" t="n">
        <x:v>15</x:v>
      </x:c>
      <x:c r="C1169" s="14" t="n">
        <x:v>76010</x:v>
      </x:c>
      <x:c r="D1169" s="2" t="str">
        <x:v>NAVY</x:v>
      </x:c>
      <x:c r="E1169" s="2" t="str">
        <x:v>40만</x:v>
      </x:c>
      <x:c r="F1169" s="2" t="str">
        <x:v>120만</x:v>
      </x:c>
      <x:c r="G1169" s="2" t="str">
        <x:v>패</x:v>
      </x:c>
      <x:c r="H1169" s="14" t="n">
        <x:v>0</x:v>
      </x:c>
      <x:c r="I1169" s="14" t="n">
        <x:v>1</x:v>
      </x:c>
      <x:c r="J1169" s="14" t="n">
        <x:v>9</x:v>
      </x:c>
      <x:c r="K1169" s="14" t="n">
        <x:v>0</x:v>
      </x:c>
      <x:c r="L1169" s="15" t="n">
        <x:f>IF(J1169=0,"해당 없음",K1169/J1169)</x:f>
        <x:v>0</x:v>
      </x:c>
      <x:c r="M1169" s="14" t="n">
        <x:v>5</x:v>
      </x:c>
      <x:c r="N1169" s="14" t="n">
        <x:v>2</x:v>
      </x:c>
      <x:c r="O1169" s="15" t="n">
        <x:f>IF(M1169=0,"해당 없음",N1169/M1169)</x:f>
        <x:v>0.4</x:v>
      </x:c>
      <x:c r="P1169" s="14" t="n">
        <x:v>102</x:v>
      </x:c>
    </x:row>
    <x:row r="1170" ht="22" customHeight="1">
      <x:c r="A1170" s="14" t="n">
        <x:v>583</x:v>
      </x:c>
      <x:c r="B1170" s="14" t="n">
        <x:v>15</x:v>
      </x:c>
      <x:c r="C1170" s="14" t="n">
        <x:v>76011</x:v>
      </x:c>
      <x:c r="D1170" s="2" t="str">
        <x:v>RED</x:v>
      </x:c>
      <x:c r="E1170" s="2" t="str">
        <x:v>40만</x:v>
      </x:c>
      <x:c r="F1170" s="2" t="str">
        <x:v>120만</x:v>
      </x:c>
      <x:c r="G1170" s="2" t="str">
        <x:v>무</x:v>
      </x:c>
      <x:c r="H1170" s="14" t="n">
        <x:v>3</x:v>
      </x:c>
      <x:c r="I1170" s="14" t="n">
        <x:v>3</x:v>
      </x:c>
      <x:c r="J1170" s="14" t="n">
        <x:v>5</x:v>
      </x:c>
      <x:c r="K1170" s="14" t="n">
        <x:v>3</x:v>
      </x:c>
      <x:c r="L1170" s="15" t="n">
        <x:f>IF(J1170=0,"해당 없음",K1170/J1170)</x:f>
        <x:v>0.6</x:v>
      </x:c>
      <x:c r="M1170" s="14" t="n">
        <x:v>15</x:v>
      </x:c>
      <x:c r="N1170" s="14" t="n">
        <x:v>10</x:v>
      </x:c>
      <x:c r="O1170" s="15" t="n">
        <x:f>IF(M1170=0,"해당 없음",N1170/M1170)</x:f>
        <x:v>0.6666666666666666</x:v>
      </x:c>
      <x:c r="P1170" s="14" t="n">
        <x:v>104</x:v>
      </x:c>
    </x:row>
    <x:row r="1171" ht="22" customHeight="1">
      <x:c r="A1171" s="14" t="n">
        <x:v>583</x:v>
      </x:c>
      <x:c r="B1171" s="14" t="n">
        <x:v>15</x:v>
      </x:c>
      <x:c r="C1171" s="14" t="n">
        <x:v>76011</x:v>
      </x:c>
      <x:c r="D1171" s="2" t="str">
        <x:v>NAVY</x:v>
      </x:c>
      <x:c r="E1171" s="2" t="str">
        <x:v>120만</x:v>
      </x:c>
      <x:c r="F1171" s="2" t="str">
        <x:v>40만</x:v>
      </x:c>
      <x:c r="G1171" s="2" t="str">
        <x:v>무</x:v>
      </x:c>
      <x:c r="H1171" s="14" t="n">
        <x:v>3</x:v>
      </x:c>
      <x:c r="I1171" s="14" t="n">
        <x:v>3</x:v>
      </x:c>
      <x:c r="J1171" s="14" t="n">
        <x:v>11</x:v>
      </x:c>
      <x:c r="K1171" s="14" t="n">
        <x:v>3</x:v>
      </x:c>
      <x:c r="L1171" s="15" t="n">
        <x:f>IF(J1171=0,"해당 없음",K1171/J1171)</x:f>
        <x:v>0.2727272727272727</x:v>
      </x:c>
      <x:c r="M1171" s="14" t="n">
        <x:v>5</x:v>
      </x:c>
      <x:c r="N1171" s="14" t="n">
        <x:v>4</x:v>
      </x:c>
      <x:c r="O1171" s="15" t="n">
        <x:f>IF(M1171=0,"해당 없음",N1171/M1171)</x:f>
        <x:v>0.8</x:v>
      </x:c>
      <x:c r="P1171" s="14" t="n">
        <x:v>106</x:v>
      </x:c>
    </x:row>
    <x:row r="1172" ht="22" customHeight="1">
      <x:c r="A1172" s="14" t="n">
        <x:v>584</x:v>
      </x:c>
      <x:c r="B1172" s="14" t="n">
        <x:v>15</x:v>
      </x:c>
      <x:c r="C1172" s="14" t="n">
        <x:v>76011</x:v>
      </x:c>
      <x:c r="D1172" s="2" t="str">
        <x:v>RED</x:v>
      </x:c>
      <x:c r="E1172" s="2" t="str">
        <x:v>120만</x:v>
      </x:c>
      <x:c r="F1172" s="2" t="str">
        <x:v>40만</x:v>
      </x:c>
      <x:c r="G1172" s="2" t="str">
        <x:v>무</x:v>
      </x:c>
      <x:c r="H1172" s="14" t="n">
        <x:v>4</x:v>
      </x:c>
      <x:c r="I1172" s="14" t="n">
        <x:v>4</x:v>
      </x:c>
      <x:c r="J1172" s="14" t="n">
        <x:v>9</x:v>
      </x:c>
      <x:c r="K1172" s="14" t="n">
        <x:v>4</x:v>
      </x:c>
      <x:c r="L1172" s="15" t="n">
        <x:f>IF(J1172=0,"해당 없음",K1172/J1172)</x:f>
        <x:v>0.4444444444444444</x:v>
      </x:c>
      <x:c r="M1172" s="14" t="n">
        <x:v>7</x:v>
      </x:c>
      <x:c r="N1172" s="14" t="n">
        <x:v>3</x:v>
      </x:c>
      <x:c r="O1172" s="15" t="n">
        <x:f>IF(M1172=0,"해당 없음",N1172/M1172)</x:f>
        <x:v>0.42857142857142855</x:v>
      </x:c>
      <x:c r="P1172" s="14" t="n">
        <x:v>105</x:v>
      </x:c>
    </x:row>
    <x:row r="1173" ht="22" customHeight="1">
      <x:c r="A1173" s="14" t="n">
        <x:v>584</x:v>
      </x:c>
      <x:c r="B1173" s="14" t="n">
        <x:v>15</x:v>
      </x:c>
      <x:c r="C1173" s="14" t="n">
        <x:v>76011</x:v>
      </x:c>
      <x:c r="D1173" s="2" t="str">
        <x:v>NAVY</x:v>
      </x:c>
      <x:c r="E1173" s="2" t="str">
        <x:v>40만</x:v>
      </x:c>
      <x:c r="F1173" s="2" t="str">
        <x:v>120만</x:v>
      </x:c>
      <x:c r="G1173" s="2" t="str">
        <x:v>무</x:v>
      </x:c>
      <x:c r="H1173" s="14" t="n">
        <x:v>4</x:v>
      </x:c>
      <x:c r="I1173" s="14" t="n">
        <x:v>4</x:v>
      </x:c>
      <x:c r="J1173" s="14" t="n">
        <x:v>9</x:v>
      </x:c>
      <x:c r="K1173" s="14" t="n">
        <x:v>4</x:v>
      </x:c>
      <x:c r="L1173" s="15" t="n">
        <x:f>IF(J1173=0,"해당 없음",K1173/J1173)</x:f>
        <x:v>0.4444444444444444</x:v>
      </x:c>
      <x:c r="M1173" s="14" t="n">
        <x:v>5</x:v>
      </x:c>
      <x:c r="N1173" s="14" t="n">
        <x:v>5</x:v>
      </x:c>
      <x:c r="O1173" s="15" t="n">
        <x:f>IF(M1173=0,"해당 없음",N1173/M1173)</x:f>
        <x:v>1</x:v>
      </x:c>
      <x:c r="P1173" s="14" t="n">
        <x:v>105</x:v>
      </x:c>
    </x:row>
    <x:row r="1174" ht="22" customHeight="1">
      <x:c r="A1174" s="14" t="n">
        <x:v>585</x:v>
      </x:c>
      <x:c r="B1174" s="14" t="n">
        <x:v>15</x:v>
      </x:c>
      <x:c r="C1174" s="14" t="n">
        <x:v>76012</x:v>
      </x:c>
      <x:c r="D1174" s="2" t="str">
        <x:v>RED</x:v>
      </x:c>
      <x:c r="E1174" s="2" t="str">
        <x:v>40만</x:v>
      </x:c>
      <x:c r="F1174" s="2" t="str">
        <x:v>120만</x:v>
      </x:c>
      <x:c r="G1174" s="2" t="str">
        <x:v>패</x:v>
      </x:c>
      <x:c r="H1174" s="14" t="n">
        <x:v>2</x:v>
      </x:c>
      <x:c r="I1174" s="14" t="n">
        <x:v>4</x:v>
      </x:c>
      <x:c r="J1174" s="14" t="n">
        <x:v>5</x:v>
      </x:c>
      <x:c r="K1174" s="14" t="n">
        <x:v>2</x:v>
      </x:c>
      <x:c r="L1174" s="15" t="n">
        <x:f>IF(J1174=0,"해당 없음",K1174/J1174)</x:f>
        <x:v>0.4</x:v>
      </x:c>
      <x:c r="M1174" s="14" t="n">
        <x:v>8</x:v>
      </x:c>
      <x:c r="N1174" s="14" t="n">
        <x:v>5</x:v>
      </x:c>
      <x:c r="O1174" s="15" t="n">
        <x:f>IF(M1174=0,"해당 없음",N1174/M1174)</x:f>
        <x:v>0.625</x:v>
      </x:c>
      <x:c r="P1174" s="14" t="n">
        <x:v>103</x:v>
      </x:c>
    </x:row>
    <x:row r="1175" ht="22" customHeight="1">
      <x:c r="A1175" s="14" t="n">
        <x:v>585</x:v>
      </x:c>
      <x:c r="B1175" s="14" t="n">
        <x:v>15</x:v>
      </x:c>
      <x:c r="C1175" s="14" t="n">
        <x:v>76012</x:v>
      </x:c>
      <x:c r="D1175" s="2" t="str">
        <x:v>NAVY</x:v>
      </x:c>
      <x:c r="E1175" s="2" t="str">
        <x:v>120만</x:v>
      </x:c>
      <x:c r="F1175" s="2" t="str">
        <x:v>40만</x:v>
      </x:c>
      <x:c r="G1175" s="2" t="str">
        <x:v>승</x:v>
      </x:c>
      <x:c r="H1175" s="14" t="n">
        <x:v>4</x:v>
      </x:c>
      <x:c r="I1175" s="14" t="n">
        <x:v>2</x:v>
      </x:c>
      <x:c r="J1175" s="14" t="n">
        <x:v>10</x:v>
      </x:c>
      <x:c r="K1175" s="14" t="n">
        <x:v>4</x:v>
      </x:c>
      <x:c r="L1175" s="15" t="n">
        <x:f>IF(J1175=0,"해당 없음",K1175/J1175)</x:f>
        <x:v>0.4</x:v>
      </x:c>
      <x:c r="M1175" s="14" t="n">
        <x:v>6</x:v>
      </x:c>
      <x:c r="N1175" s="14" t="n">
        <x:v>5</x:v>
      </x:c>
      <x:c r="O1175" s="15" t="n">
        <x:f>IF(M1175=0,"해당 없음",N1175/M1175)</x:f>
        <x:v>0.8333333333333334</x:v>
      </x:c>
      <x:c r="P1175" s="14" t="n">
        <x:v>104</x:v>
      </x:c>
    </x:row>
    <x:row r="1176" ht="22" customHeight="1">
      <x:c r="A1176" s="14" t="n">
        <x:v>586</x:v>
      </x:c>
      <x:c r="B1176" s="14" t="n">
        <x:v>15</x:v>
      </x:c>
      <x:c r="C1176" s="14" t="n">
        <x:v>76012</x:v>
      </x:c>
      <x:c r="D1176" s="2" t="str">
        <x:v>RED</x:v>
      </x:c>
      <x:c r="E1176" s="2" t="str">
        <x:v>120만</x:v>
      </x:c>
      <x:c r="F1176" s="2" t="str">
        <x:v>40만</x:v>
      </x:c>
      <x:c r="G1176" s="2" t="str">
        <x:v>무</x:v>
      </x:c>
      <x:c r="H1176" s="14" t="n">
        <x:v>5</x:v>
      </x:c>
      <x:c r="I1176" s="14" t="n">
        <x:v>5</x:v>
      </x:c>
      <x:c r="J1176" s="14" t="n">
        <x:v>9</x:v>
      </x:c>
      <x:c r="K1176" s="14" t="n">
        <x:v>5</x:v>
      </x:c>
      <x:c r="L1176" s="15" t="n">
        <x:f>IF(J1176=0,"해당 없음",K1176/J1176)</x:f>
        <x:v>0.5555555555555556</x:v>
      </x:c>
      <x:c r="M1176" s="14" t="n">
        <x:v>5</x:v>
      </x:c>
      <x:c r="N1176" s="14" t="n">
        <x:v>2</x:v>
      </x:c>
      <x:c r="O1176" s="15" t="n">
        <x:f>IF(M1176=0,"해당 없음",N1176/M1176)</x:f>
        <x:v>0.4</x:v>
      </x:c>
      <x:c r="P1176" s="14" t="n">
        <x:v>107</x:v>
      </x:c>
    </x:row>
    <x:row r="1177" ht="22" customHeight="1">
      <x:c r="A1177" s="14" t="n">
        <x:v>586</x:v>
      </x:c>
      <x:c r="B1177" s="14" t="n">
        <x:v>15</x:v>
      </x:c>
      <x:c r="C1177" s="14" t="n">
        <x:v>76012</x:v>
      </x:c>
      <x:c r="D1177" s="2" t="str">
        <x:v>NAVY</x:v>
      </x:c>
      <x:c r="E1177" s="2" t="str">
        <x:v>40만</x:v>
      </x:c>
      <x:c r="F1177" s="2" t="str">
        <x:v>120만</x:v>
      </x:c>
      <x:c r="G1177" s="2" t="str">
        <x:v>무</x:v>
      </x:c>
      <x:c r="H1177" s="14" t="n">
        <x:v>5</x:v>
      </x:c>
      <x:c r="I1177" s="14" t="n">
        <x:v>5</x:v>
      </x:c>
      <x:c r="J1177" s="14" t="n">
        <x:v>8</x:v>
      </x:c>
      <x:c r="K1177" s="14" t="n">
        <x:v>5</x:v>
      </x:c>
      <x:c r="L1177" s="15" t="n">
        <x:f>IF(J1177=0,"해당 없음",K1177/J1177)</x:f>
        <x:v>0.625</x:v>
      </x:c>
      <x:c r="M1177" s="14" t="n">
        <x:v>7</x:v>
      </x:c>
      <x:c r="N1177" s="14" t="n">
        <x:v>4</x:v>
      </x:c>
      <x:c r="O1177" s="15" t="n">
        <x:f>IF(M1177=0,"해당 없음",N1177/M1177)</x:f>
        <x:v>0.5714285714285714</x:v>
      </x:c>
      <x:c r="P1177" s="14" t="n">
        <x:v>108</x:v>
      </x:c>
    </x:row>
    <x:row r="1178" ht="22" customHeight="1">
      <x:c r="A1178" s="14" t="n">
        <x:v>587</x:v>
      </x:c>
      <x:c r="B1178" s="14" t="n">
        <x:v>15</x:v>
      </x:c>
      <x:c r="C1178" s="14" t="n">
        <x:v>76013</x:v>
      </x:c>
      <x:c r="D1178" s="2" t="str">
        <x:v>RED</x:v>
      </x:c>
      <x:c r="E1178" s="2" t="str">
        <x:v>40만</x:v>
      </x:c>
      <x:c r="F1178" s="2" t="str">
        <x:v>120만</x:v>
      </x:c>
      <x:c r="G1178" s="2" t="str">
        <x:v>승</x:v>
      </x:c>
      <x:c r="H1178" s="14" t="n">
        <x:v>4</x:v>
      </x:c>
      <x:c r="I1178" s="14" t="n">
        <x:v>2</x:v>
      </x:c>
      <x:c r="J1178" s="14" t="n">
        <x:v>9</x:v>
      </x:c>
      <x:c r="K1178" s="14" t="n">
        <x:v>4</x:v>
      </x:c>
      <x:c r="L1178" s="15" t="n">
        <x:f>IF(J1178=0,"해당 없음",K1178/J1178)</x:f>
        <x:v>0.4444444444444444</x:v>
      </x:c>
      <x:c r="M1178" s="14" t="n">
        <x:v>10</x:v>
      </x:c>
      <x:c r="N1178" s="14" t="n">
        <x:v>8</x:v>
      </x:c>
      <x:c r="O1178" s="15" t="n">
        <x:f>IF(M1178=0,"해당 없음",N1178/M1178)</x:f>
        <x:v>0.8</x:v>
      </x:c>
      <x:c r="P1178" s="14" t="n">
        <x:v>104</x:v>
      </x:c>
    </x:row>
    <x:row r="1179" ht="22" customHeight="1">
      <x:c r="A1179" s="14" t="n">
        <x:v>587</x:v>
      </x:c>
      <x:c r="B1179" s="14" t="n">
        <x:v>15</x:v>
      </x:c>
      <x:c r="C1179" s="14" t="n">
        <x:v>76013</x:v>
      </x:c>
      <x:c r="D1179" s="2" t="str">
        <x:v>NAVY</x:v>
      </x:c>
      <x:c r="E1179" s="2" t="str">
        <x:v>120만</x:v>
      </x:c>
      <x:c r="F1179" s="2" t="str">
        <x:v>40만</x:v>
      </x:c>
      <x:c r="G1179" s="2" t="str">
        <x:v>패</x:v>
      </x:c>
      <x:c r="H1179" s="14" t="n">
        <x:v>2</x:v>
      </x:c>
      <x:c r="I1179" s="14" t="n">
        <x:v>4</x:v>
      </x:c>
      <x:c r="J1179" s="14" t="n">
        <x:v>9</x:v>
      </x:c>
      <x:c r="K1179" s="14" t="n">
        <x:v>2</x:v>
      </x:c>
      <x:c r="L1179" s="15" t="n">
        <x:f>IF(J1179=0,"해당 없음",K1179/J1179)</x:f>
        <x:v>0.2222222222222222</x:v>
      </x:c>
      <x:c r="M1179" s="14" t="n">
        <x:v>7</x:v>
      </x:c>
      <x:c r="N1179" s="14" t="n">
        <x:v>7</x:v>
      </x:c>
      <x:c r="O1179" s="15" t="n">
        <x:f>IF(M1179=0,"해당 없음",N1179/M1179)</x:f>
        <x:v>1</x:v>
      </x:c>
      <x:c r="P1179" s="14" t="n">
        <x:v>104</x:v>
      </x:c>
    </x:row>
    <x:row r="1180" ht="22" customHeight="1">
      <x:c r="A1180" s="14" t="n">
        <x:v>588</x:v>
      </x:c>
      <x:c r="B1180" s="14" t="n">
        <x:v>15</x:v>
      </x:c>
      <x:c r="C1180" s="14" t="n">
        <x:v>76013</x:v>
      </x:c>
      <x:c r="D1180" s="2" t="str">
        <x:v>RED</x:v>
      </x:c>
      <x:c r="E1180" s="2" t="str">
        <x:v>120만</x:v>
      </x:c>
      <x:c r="F1180" s="2" t="str">
        <x:v>40만</x:v>
      </x:c>
      <x:c r="G1180" s="2" t="str">
        <x:v>승</x:v>
      </x:c>
      <x:c r="H1180" s="14" t="n">
        <x:v>5</x:v>
      </x:c>
      <x:c r="I1180" s="14" t="n">
        <x:v>2</x:v>
      </x:c>
      <x:c r="J1180" s="14" t="n">
        <x:v>8</x:v>
      </x:c>
      <x:c r="K1180" s="14" t="n">
        <x:v>5</x:v>
      </x:c>
      <x:c r="L1180" s="15" t="n">
        <x:f>IF(J1180=0,"해당 없음",K1180/J1180)</x:f>
        <x:v>0.625</x:v>
      </x:c>
      <x:c r="M1180" s="14" t="n">
        <x:v>10</x:v>
      </x:c>
      <x:c r="N1180" s="14" t="n">
        <x:v>9</x:v>
      </x:c>
      <x:c r="O1180" s="15" t="n">
        <x:f>IF(M1180=0,"해당 없음",N1180/M1180)</x:f>
        <x:v>0.9</x:v>
      </x:c>
      <x:c r="P1180" s="14" t="n">
        <x:v>102</x:v>
      </x:c>
    </x:row>
    <x:row r="1181" ht="22" customHeight="1">
      <x:c r="A1181" s="14" t="n">
        <x:v>588</x:v>
      </x:c>
      <x:c r="B1181" s="14" t="n">
        <x:v>15</x:v>
      </x:c>
      <x:c r="C1181" s="14" t="n">
        <x:v>76013</x:v>
      </x:c>
      <x:c r="D1181" s="2" t="str">
        <x:v>NAVY</x:v>
      </x:c>
      <x:c r="E1181" s="2" t="str">
        <x:v>40만</x:v>
      </x:c>
      <x:c r="F1181" s="2" t="str">
        <x:v>120만</x:v>
      </x:c>
      <x:c r="G1181" s="2" t="str">
        <x:v>패</x:v>
      </x:c>
      <x:c r="H1181" s="14" t="n">
        <x:v>2</x:v>
      </x:c>
      <x:c r="I1181" s="14" t="n">
        <x:v>5</x:v>
      </x:c>
      <x:c r="J1181" s="14" t="n">
        <x:v>6</x:v>
      </x:c>
      <x:c r="K1181" s="14" t="n">
        <x:v>2</x:v>
      </x:c>
      <x:c r="L1181" s="15" t="n">
        <x:f>IF(J1181=0,"해당 없음",K1181/J1181)</x:f>
        <x:v>0.3333333333333333</x:v>
      </x:c>
      <x:c r="M1181" s="14" t="n">
        <x:v>9</x:v>
      </x:c>
      <x:c r="N1181" s="14" t="n">
        <x:v>6</x:v>
      </x:c>
      <x:c r="O1181" s="15" t="n">
        <x:f>IF(M1181=0,"해당 없음",N1181/M1181)</x:f>
        <x:v>0.6666666666666666</x:v>
      </x:c>
      <x:c r="P1181" s="14" t="n">
        <x:v>102</x:v>
      </x:c>
    </x:row>
    <x:row r="1182" ht="22" customHeight="1">
      <x:c r="A1182" s="14" t="n">
        <x:v>589</x:v>
      </x:c>
      <x:c r="B1182" s="14" t="n">
        <x:v>15</x:v>
      </x:c>
      <x:c r="C1182" s="14" t="n">
        <x:v>76014</x:v>
      </x:c>
      <x:c r="D1182" s="2" t="str">
        <x:v>RED</x:v>
      </x:c>
      <x:c r="E1182" s="2" t="str">
        <x:v>40만</x:v>
      </x:c>
      <x:c r="F1182" s="2" t="str">
        <x:v>120만</x:v>
      </x:c>
      <x:c r="G1182" s="2" t="str">
        <x:v>무</x:v>
      </x:c>
      <x:c r="H1182" s="14" t="n">
        <x:v>3</x:v>
      </x:c>
      <x:c r="I1182" s="14" t="n">
        <x:v>3</x:v>
      </x:c>
      <x:c r="J1182" s="14" t="n">
        <x:v>8</x:v>
      </x:c>
      <x:c r="K1182" s="14" t="n">
        <x:v>3</x:v>
      </x:c>
      <x:c r="L1182" s="15" t="n">
        <x:f>IF(J1182=0,"해당 없음",K1182/J1182)</x:f>
        <x:v>0.375</x:v>
      </x:c>
      <x:c r="M1182" s="14" t="n">
        <x:v>8</x:v>
      </x:c>
      <x:c r="N1182" s="14" t="n">
        <x:v>8</x:v>
      </x:c>
      <x:c r="O1182" s="15" t="n">
        <x:f>IF(M1182=0,"해당 없음",N1182/M1182)</x:f>
        <x:v>1</x:v>
      </x:c>
      <x:c r="P1182" s="14" t="n">
        <x:v>102</x:v>
      </x:c>
    </x:row>
    <x:row r="1183" ht="22" customHeight="1">
      <x:c r="A1183" s="14" t="n">
        <x:v>589</x:v>
      </x:c>
      <x:c r="B1183" s="14" t="n">
        <x:v>15</x:v>
      </x:c>
      <x:c r="C1183" s="14" t="n">
        <x:v>76014</x:v>
      </x:c>
      <x:c r="D1183" s="2" t="str">
        <x:v>NAVY</x:v>
      </x:c>
      <x:c r="E1183" s="2" t="str">
        <x:v>120만</x:v>
      </x:c>
      <x:c r="F1183" s="2" t="str">
        <x:v>40만</x:v>
      </x:c>
      <x:c r="G1183" s="2" t="str">
        <x:v>무</x:v>
      </x:c>
      <x:c r="H1183" s="14" t="n">
        <x:v>3</x:v>
      </x:c>
      <x:c r="I1183" s="14" t="n">
        <x:v>3</x:v>
      </x:c>
      <x:c r="J1183" s="14" t="n">
        <x:v>8</x:v>
      </x:c>
      <x:c r="K1183" s="14" t="n">
        <x:v>3</x:v>
      </x:c>
      <x:c r="L1183" s="15" t="n">
        <x:f>IF(J1183=0,"해당 없음",K1183/J1183)</x:f>
        <x:v>0.375</x:v>
      </x:c>
      <x:c r="M1183" s="14" t="n">
        <x:v>7</x:v>
      </x:c>
      <x:c r="N1183" s="14" t="n">
        <x:v>6</x:v>
      </x:c>
      <x:c r="O1183" s="15" t="n">
        <x:f>IF(M1183=0,"해당 없음",N1183/M1183)</x:f>
        <x:v>0.8571428571428571</x:v>
      </x:c>
      <x:c r="P1183" s="14" t="n">
        <x:v>103</x:v>
      </x:c>
    </x:row>
    <x:row r="1184" ht="22" customHeight="1">
      <x:c r="A1184" s="14" t="n">
        <x:v>590</x:v>
      </x:c>
      <x:c r="B1184" s="14" t="n">
        <x:v>15</x:v>
      </x:c>
      <x:c r="C1184" s="14" t="n">
        <x:v>76014</x:v>
      </x:c>
      <x:c r="D1184" s="2" t="str">
        <x:v>RED</x:v>
      </x:c>
      <x:c r="E1184" s="2" t="str">
        <x:v>120만</x:v>
      </x:c>
      <x:c r="F1184" s="2" t="str">
        <x:v>40만</x:v>
      </x:c>
      <x:c r="G1184" s="2" t="str">
        <x:v>승</x:v>
      </x:c>
      <x:c r="H1184" s="14" t="n">
        <x:v>4</x:v>
      </x:c>
      <x:c r="I1184" s="14" t="n">
        <x:v>3</x:v>
      </x:c>
      <x:c r="J1184" s="14" t="n">
        <x:v>7</x:v>
      </x:c>
      <x:c r="K1184" s="14" t="n">
        <x:v>4</x:v>
      </x:c>
      <x:c r="L1184" s="15" t="n">
        <x:f>IF(J1184=0,"해당 없음",K1184/J1184)</x:f>
        <x:v>0.5714285714285714</x:v>
      </x:c>
      <x:c r="M1184" s="14" t="n">
        <x:v>6</x:v>
      </x:c>
      <x:c r="N1184" s="14" t="n">
        <x:v>5</x:v>
      </x:c>
      <x:c r="O1184" s="15" t="n">
        <x:f>IF(M1184=0,"해당 없음",N1184/M1184)</x:f>
        <x:v>0.8333333333333334</x:v>
      </x:c>
      <x:c r="P1184" s="14" t="n">
        <x:v>104</x:v>
      </x:c>
    </x:row>
    <x:row r="1185" ht="22" customHeight="1">
      <x:c r="A1185" s="14" t="n">
        <x:v>590</x:v>
      </x:c>
      <x:c r="B1185" s="14" t="n">
        <x:v>15</x:v>
      </x:c>
      <x:c r="C1185" s="14" t="n">
        <x:v>76014</x:v>
      </x:c>
      <x:c r="D1185" s="2" t="str">
        <x:v>NAVY</x:v>
      </x:c>
      <x:c r="E1185" s="2" t="str">
        <x:v>40만</x:v>
      </x:c>
      <x:c r="F1185" s="2" t="str">
        <x:v>120만</x:v>
      </x:c>
      <x:c r="G1185" s="2" t="str">
        <x:v>패</x:v>
      </x:c>
      <x:c r="H1185" s="14" t="n">
        <x:v>3</x:v>
      </x:c>
      <x:c r="I1185" s="14" t="n">
        <x:v>4</x:v>
      </x:c>
      <x:c r="J1185" s="14" t="n">
        <x:v>8</x:v>
      </x:c>
      <x:c r="K1185" s="14" t="n">
        <x:v>3</x:v>
      </x:c>
      <x:c r="L1185" s="15" t="n">
        <x:f>IF(J1185=0,"해당 없음",K1185/J1185)</x:f>
        <x:v>0.375</x:v>
      </x:c>
      <x:c r="M1185" s="14" t="n">
        <x:v>3</x:v>
      </x:c>
      <x:c r="N1185" s="14" t="n">
        <x:v>1</x:v>
      </x:c>
      <x:c r="O1185" s="15" t="n">
        <x:f>IF(M1185=0,"해당 없음",N1185/M1185)</x:f>
        <x:v>0.3333333333333333</x:v>
      </x:c>
      <x:c r="P1185" s="14" t="n">
        <x:v>103</x:v>
      </x:c>
    </x:row>
    <x:row r="1186" ht="22" customHeight="1">
      <x:c r="A1186" s="14" t="n">
        <x:v>591</x:v>
      </x:c>
      <x:c r="B1186" s="14" t="n">
        <x:v>15</x:v>
      </x:c>
      <x:c r="C1186" s="14" t="n">
        <x:v>76015</x:v>
      </x:c>
      <x:c r="D1186" s="2" t="str">
        <x:v>RED</x:v>
      </x:c>
      <x:c r="E1186" s="2" t="str">
        <x:v>40만</x:v>
      </x:c>
      <x:c r="F1186" s="2" t="str">
        <x:v>120만</x:v>
      </x:c>
      <x:c r="G1186" s="2" t="str">
        <x:v>패</x:v>
      </x:c>
      <x:c r="H1186" s="14" t="n">
        <x:v>2</x:v>
      </x:c>
      <x:c r="I1186" s="14" t="n">
        <x:v>4</x:v>
      </x:c>
      <x:c r="J1186" s="14" t="n">
        <x:v>6</x:v>
      </x:c>
      <x:c r="K1186" s="14" t="n">
        <x:v>2</x:v>
      </x:c>
      <x:c r="L1186" s="15" t="n">
        <x:f>IF(J1186=0,"해당 없음",K1186/J1186)</x:f>
        <x:v>0.3333333333333333</x:v>
      </x:c>
      <x:c r="M1186" s="14" t="n">
        <x:v>9</x:v>
      </x:c>
      <x:c r="N1186" s="14" t="n">
        <x:v>7</x:v>
      </x:c>
      <x:c r="O1186" s="15" t="n">
        <x:f>IF(M1186=0,"해당 없음",N1186/M1186)</x:f>
        <x:v>0.7777777777777778</x:v>
      </x:c>
      <x:c r="P1186" s="14" t="n">
        <x:v>103</x:v>
      </x:c>
    </x:row>
    <x:row r="1187" ht="22" customHeight="1">
      <x:c r="A1187" s="14" t="n">
        <x:v>591</x:v>
      </x:c>
      <x:c r="B1187" s="14" t="n">
        <x:v>15</x:v>
      </x:c>
      <x:c r="C1187" s="14" t="n">
        <x:v>76015</x:v>
      </x:c>
      <x:c r="D1187" s="2" t="str">
        <x:v>NAVY</x:v>
      </x:c>
      <x:c r="E1187" s="2" t="str">
        <x:v>120만</x:v>
      </x:c>
      <x:c r="F1187" s="2" t="str">
        <x:v>40만</x:v>
      </x:c>
      <x:c r="G1187" s="2" t="str">
        <x:v>승</x:v>
      </x:c>
      <x:c r="H1187" s="14" t="n">
        <x:v>4</x:v>
      </x:c>
      <x:c r="I1187" s="14" t="n">
        <x:v>2</x:v>
      </x:c>
      <x:c r="J1187" s="14" t="n">
        <x:v>9</x:v>
      </x:c>
      <x:c r="K1187" s="14" t="n">
        <x:v>4</x:v>
      </x:c>
      <x:c r="L1187" s="15" t="n">
        <x:f>IF(J1187=0,"해당 없음",K1187/J1187)</x:f>
        <x:v>0.4444444444444444</x:v>
      </x:c>
      <x:c r="M1187" s="14" t="n">
        <x:v>8</x:v>
      </x:c>
      <x:c r="N1187" s="14" t="n">
        <x:v>7</x:v>
      </x:c>
      <x:c r="O1187" s="15" t="n">
        <x:f>IF(M1187=0,"해당 없음",N1187/M1187)</x:f>
        <x:v>0.875</x:v>
      </x:c>
      <x:c r="P1187" s="14" t="n">
        <x:v>103</x:v>
      </x:c>
    </x:row>
    <x:row r="1188" ht="22" customHeight="1">
      <x:c r="A1188" s="14" t="n">
        <x:v>592</x:v>
      </x:c>
      <x:c r="B1188" s="14" t="n">
        <x:v>15</x:v>
      </x:c>
      <x:c r="C1188" s="14" t="n">
        <x:v>76015</x:v>
      </x:c>
      <x:c r="D1188" s="2" t="str">
        <x:v>RED</x:v>
      </x:c>
      <x:c r="E1188" s="2" t="str">
        <x:v>120만</x:v>
      </x:c>
      <x:c r="F1188" s="2" t="str">
        <x:v>40만</x:v>
      </x:c>
      <x:c r="G1188" s="2" t="str">
        <x:v>승</x:v>
      </x:c>
      <x:c r="H1188" s="14" t="n">
        <x:v>3</x:v>
      </x:c>
      <x:c r="I1188" s="14" t="n">
        <x:v>2</x:v>
      </x:c>
      <x:c r="J1188" s="14" t="n">
        <x:v>9</x:v>
      </x:c>
      <x:c r="K1188" s="14" t="n">
        <x:v>3</x:v>
      </x:c>
      <x:c r="L1188" s="15" t="n">
        <x:f>IF(J1188=0,"해당 없음",K1188/J1188)</x:f>
        <x:v>0.3333333333333333</x:v>
      </x:c>
      <x:c r="M1188" s="14" t="n">
        <x:v>7</x:v>
      </x:c>
      <x:c r="N1188" s="14" t="n">
        <x:v>7</x:v>
      </x:c>
      <x:c r="O1188" s="15" t="n">
        <x:f>IF(M1188=0,"해당 없음",N1188/M1188)</x:f>
        <x:v>1</x:v>
      </x:c>
      <x:c r="P1188" s="14" t="n">
        <x:v>105</x:v>
      </x:c>
    </x:row>
    <x:row r="1189" ht="22" customHeight="1">
      <x:c r="A1189" s="14" t="n">
        <x:v>592</x:v>
      </x:c>
      <x:c r="B1189" s="14" t="n">
        <x:v>15</x:v>
      </x:c>
      <x:c r="C1189" s="14" t="n">
        <x:v>76015</x:v>
      </x:c>
      <x:c r="D1189" s="2" t="str">
        <x:v>NAVY</x:v>
      </x:c>
      <x:c r="E1189" s="2" t="str">
        <x:v>40만</x:v>
      </x:c>
      <x:c r="F1189" s="2" t="str">
        <x:v>120만</x:v>
      </x:c>
      <x:c r="G1189" s="2" t="str">
        <x:v>패</x:v>
      </x:c>
      <x:c r="H1189" s="14" t="n">
        <x:v>2</x:v>
      </x:c>
      <x:c r="I1189" s="14" t="n">
        <x:v>3</x:v>
      </x:c>
      <x:c r="J1189" s="14" t="n">
        <x:v>4</x:v>
      </x:c>
      <x:c r="K1189" s="14" t="n">
        <x:v>2</x:v>
      </x:c>
      <x:c r="L1189" s="15" t="n">
        <x:f>IF(J1189=0,"해당 없음",K1189/J1189)</x:f>
        <x:v>0.5</x:v>
      </x:c>
      <x:c r="M1189" s="14" t="n">
        <x:v>10</x:v>
      </x:c>
      <x:c r="N1189" s="14" t="n">
        <x:v>5</x:v>
      </x:c>
      <x:c r="O1189" s="15" t="n">
        <x:f>IF(M1189=0,"해당 없음",N1189/M1189)</x:f>
        <x:v>0.5</x:v>
      </x:c>
      <x:c r="P1189" s="14" t="n">
        <x:v>102</x:v>
      </x:c>
    </x:row>
    <x:row r="1190" ht="22" customHeight="1">
      <x:c r="A1190" s="14" t="n">
        <x:v>593</x:v>
      </x:c>
      <x:c r="B1190" s="14" t="n">
        <x:v>15</x:v>
      </x:c>
      <x:c r="C1190" s="14" t="n">
        <x:v>76016</x:v>
      </x:c>
      <x:c r="D1190" s="2" t="str">
        <x:v>RED</x:v>
      </x:c>
      <x:c r="E1190" s="2" t="str">
        <x:v>40만</x:v>
      </x:c>
      <x:c r="F1190" s="2" t="str">
        <x:v>120만</x:v>
      </x:c>
      <x:c r="G1190" s="2" t="str">
        <x:v>승</x:v>
      </x:c>
      <x:c r="H1190" s="14" t="n">
        <x:v>4</x:v>
      </x:c>
      <x:c r="I1190" s="14" t="n">
        <x:v>3</x:v>
      </x:c>
      <x:c r="J1190" s="14" t="n">
        <x:v>6</x:v>
      </x:c>
      <x:c r="K1190" s="14" t="n">
        <x:v>3</x:v>
      </x:c>
      <x:c r="L1190" s="15" t="n">
        <x:f>IF(J1190=0,"해당 없음",K1190/J1190)</x:f>
        <x:v>0.5</x:v>
      </x:c>
      <x:c r="M1190" s="14" t="n">
        <x:v>8</x:v>
      </x:c>
      <x:c r="N1190" s="14" t="n">
        <x:v>5</x:v>
      </x:c>
      <x:c r="O1190" s="15" t="n">
        <x:f>IF(M1190=0,"해당 없음",N1190/M1190)</x:f>
        <x:v>0.625</x:v>
      </x:c>
      <x:c r="P1190" s="14" t="n">
        <x:v>104</x:v>
      </x:c>
    </x:row>
    <x:row r="1191" ht="22" customHeight="1">
      <x:c r="A1191" s="14" t="n">
        <x:v>593</x:v>
      </x:c>
      <x:c r="B1191" s="14" t="n">
        <x:v>15</x:v>
      </x:c>
      <x:c r="C1191" s="14" t="n">
        <x:v>76016</x:v>
      </x:c>
      <x:c r="D1191" s="2" t="str">
        <x:v>NAVY</x:v>
      </x:c>
      <x:c r="E1191" s="2" t="str">
        <x:v>120만</x:v>
      </x:c>
      <x:c r="F1191" s="2" t="str">
        <x:v>40만</x:v>
      </x:c>
      <x:c r="G1191" s="2" t="str">
        <x:v>패</x:v>
      </x:c>
      <x:c r="H1191" s="14" t="n">
        <x:v>3</x:v>
      </x:c>
      <x:c r="I1191" s="14" t="n">
        <x:v>4</x:v>
      </x:c>
      <x:c r="J1191" s="14" t="n">
        <x:v>7</x:v>
      </x:c>
      <x:c r="K1191" s="14" t="n">
        <x:v>3</x:v>
      </x:c>
      <x:c r="L1191" s="15" t="n">
        <x:f>IF(J1191=0,"해당 없음",K1191/J1191)</x:f>
        <x:v>0.42857142857142855</x:v>
      </x:c>
      <x:c r="M1191" s="14" t="n">
        <x:v>5</x:v>
      </x:c>
      <x:c r="N1191" s="14" t="n">
        <x:v>3</x:v>
      </x:c>
      <x:c r="O1191" s="15" t="n">
        <x:f>IF(M1191=0,"해당 없음",N1191/M1191)</x:f>
        <x:v>0.6</x:v>
      </x:c>
      <x:c r="P1191" s="14" t="n">
        <x:v>103</x:v>
      </x:c>
    </x:row>
    <x:row r="1192" ht="22" customHeight="1">
      <x:c r="A1192" s="14" t="n">
        <x:v>594</x:v>
      </x:c>
      <x:c r="B1192" s="14" t="n">
        <x:v>15</x:v>
      </x:c>
      <x:c r="C1192" s="14" t="n">
        <x:v>76016</x:v>
      </x:c>
      <x:c r="D1192" s="2" t="str">
        <x:v>RED</x:v>
      </x:c>
      <x:c r="E1192" s="2" t="str">
        <x:v>120만</x:v>
      </x:c>
      <x:c r="F1192" s="2" t="str">
        <x:v>40만</x:v>
      </x:c>
      <x:c r="G1192" s="2" t="str">
        <x:v>승</x:v>
      </x:c>
      <x:c r="H1192" s="14" t="n">
        <x:v>2</x:v>
      </x:c>
      <x:c r="I1192" s="14" t="n">
        <x:v>1</x:v>
      </x:c>
      <x:c r="J1192" s="14" t="n">
        <x:v>8</x:v>
      </x:c>
      <x:c r="K1192" s="14" t="n">
        <x:v>2</x:v>
      </x:c>
      <x:c r="L1192" s="15" t="n">
        <x:f>IF(J1192=0,"해당 없음",K1192/J1192)</x:f>
        <x:v>0.25</x:v>
      </x:c>
      <x:c r="M1192" s="14" t="n">
        <x:v>12</x:v>
      </x:c>
      <x:c r="N1192" s="14" t="n">
        <x:v>7</x:v>
      </x:c>
      <x:c r="O1192" s="15" t="n">
        <x:f>IF(M1192=0,"해당 없음",N1192/M1192)</x:f>
        <x:v>0.5833333333333334</x:v>
      </x:c>
      <x:c r="P1192" s="14" t="n">
        <x:v>102</x:v>
      </x:c>
    </x:row>
    <x:row r="1193" ht="22" customHeight="1">
      <x:c r="A1193" s="14" t="n">
        <x:v>594</x:v>
      </x:c>
      <x:c r="B1193" s="14" t="n">
        <x:v>15</x:v>
      </x:c>
      <x:c r="C1193" s="14" t="n">
        <x:v>76016</x:v>
      </x:c>
      <x:c r="D1193" s="2" t="str">
        <x:v>NAVY</x:v>
      </x:c>
      <x:c r="E1193" s="2" t="str">
        <x:v>40만</x:v>
      </x:c>
      <x:c r="F1193" s="2" t="str">
        <x:v>120만</x:v>
      </x:c>
      <x:c r="G1193" s="2" t="str">
        <x:v>패</x:v>
      </x:c>
      <x:c r="H1193" s="14" t="n">
        <x:v>1</x:v>
      </x:c>
      <x:c r="I1193" s="14" t="n">
        <x:v>2</x:v>
      </x:c>
      <x:c r="J1193" s="14" t="n">
        <x:v>6</x:v>
      </x:c>
      <x:c r="K1193" s="14" t="n">
        <x:v>1</x:v>
      </x:c>
      <x:c r="L1193" s="15" t="n">
        <x:f>IF(J1193=0,"해당 없음",K1193/J1193)</x:f>
        <x:v>0.16666666666666666</x:v>
      </x:c>
      <x:c r="M1193" s="14" t="n">
        <x:v>5</x:v>
      </x:c>
      <x:c r="N1193" s="14" t="n">
        <x:v>3</x:v>
      </x:c>
      <x:c r="O1193" s="15" t="n">
        <x:f>IF(M1193=0,"해당 없음",N1193/M1193)</x:f>
        <x:v>0.6</x:v>
      </x:c>
      <x:c r="P1193" s="14" t="n">
        <x:v>103</x:v>
      </x:c>
    </x:row>
    <x:row r="1194" ht="22" customHeight="1">
      <x:c r="A1194" s="14" t="n">
        <x:v>595</x:v>
      </x:c>
      <x:c r="B1194" s="14" t="n">
        <x:v>15</x:v>
      </x:c>
      <x:c r="C1194" s="14" t="n">
        <x:v>76017</x:v>
      </x:c>
      <x:c r="D1194" s="2" t="str">
        <x:v>RED</x:v>
      </x:c>
      <x:c r="E1194" s="2" t="str">
        <x:v>40만</x:v>
      </x:c>
      <x:c r="F1194" s="2" t="str">
        <x:v>120만</x:v>
      </x:c>
      <x:c r="G1194" s="2" t="str">
        <x:v>패</x:v>
      </x:c>
      <x:c r="H1194" s="14" t="n">
        <x:v>2</x:v>
      </x:c>
      <x:c r="I1194" s="14" t="n">
        <x:v>3</x:v>
      </x:c>
      <x:c r="J1194" s="14" t="n">
        <x:v>5</x:v>
      </x:c>
      <x:c r="K1194" s="14" t="n">
        <x:v>2</x:v>
      </x:c>
      <x:c r="L1194" s="15" t="n">
        <x:f>IF(J1194=0,"해당 없음",K1194/J1194)</x:f>
        <x:v>0.4</x:v>
      </x:c>
      <x:c r="M1194" s="14" t="n">
        <x:v>11</x:v>
      </x:c>
      <x:c r="N1194" s="14" t="n">
        <x:v>5</x:v>
      </x:c>
      <x:c r="O1194" s="15" t="n">
        <x:f>IF(M1194=0,"해당 없음",N1194/M1194)</x:f>
        <x:v>0.45454545454545453</x:v>
      </x:c>
      <x:c r="P1194" s="14" t="n">
        <x:v>103</x:v>
      </x:c>
    </x:row>
    <x:row r="1195" ht="22" customHeight="1">
      <x:c r="A1195" s="14" t="n">
        <x:v>595</x:v>
      </x:c>
      <x:c r="B1195" s="14" t="n">
        <x:v>15</x:v>
      </x:c>
      <x:c r="C1195" s="14" t="n">
        <x:v>76017</x:v>
      </x:c>
      <x:c r="D1195" s="2" t="str">
        <x:v>NAVY</x:v>
      </x:c>
      <x:c r="E1195" s="2" t="str">
        <x:v>120만</x:v>
      </x:c>
      <x:c r="F1195" s="2" t="str">
        <x:v>40만</x:v>
      </x:c>
      <x:c r="G1195" s="2" t="str">
        <x:v>승</x:v>
      </x:c>
      <x:c r="H1195" s="14" t="n">
        <x:v>3</x:v>
      </x:c>
      <x:c r="I1195" s="14" t="n">
        <x:v>2</x:v>
      </x:c>
      <x:c r="J1195" s="14" t="n">
        <x:v>6</x:v>
      </x:c>
      <x:c r="K1195" s="14" t="n">
        <x:v>3</x:v>
      </x:c>
      <x:c r="L1195" s="15" t="n">
        <x:f>IF(J1195=0,"해당 없음",K1195/J1195)</x:f>
        <x:v>0.5</x:v>
      </x:c>
      <x:c r="M1195" s="14" t="n">
        <x:v>6</x:v>
      </x:c>
      <x:c r="N1195" s="14" t="n">
        <x:v>5</x:v>
      </x:c>
      <x:c r="O1195" s="15" t="n">
        <x:f>IF(M1195=0,"해당 없음",N1195/M1195)</x:f>
        <x:v>0.8333333333333334</x:v>
      </x:c>
      <x:c r="P1195" s="14" t="n">
        <x:v>104</x:v>
      </x:c>
    </x:row>
    <x:row r="1196" ht="22" customHeight="1">
      <x:c r="A1196" s="14" t="n">
        <x:v>596</x:v>
      </x:c>
      <x:c r="B1196" s="14" t="n">
        <x:v>15</x:v>
      </x:c>
      <x:c r="C1196" s="14" t="n">
        <x:v>76017</x:v>
      </x:c>
      <x:c r="D1196" s="2" t="str">
        <x:v>RED</x:v>
      </x:c>
      <x:c r="E1196" s="2" t="str">
        <x:v>120만</x:v>
      </x:c>
      <x:c r="F1196" s="2" t="str">
        <x:v>40만</x:v>
      </x:c>
      <x:c r="G1196" s="2" t="str">
        <x:v>승</x:v>
      </x:c>
      <x:c r="H1196" s="14" t="n">
        <x:v>4</x:v>
      </x:c>
      <x:c r="I1196" s="14" t="n">
        <x:v>3</x:v>
      </x:c>
      <x:c r="J1196" s="14" t="n">
        <x:v>8</x:v>
      </x:c>
      <x:c r="K1196" s="14" t="n">
        <x:v>4</x:v>
      </x:c>
      <x:c r="L1196" s="15" t="n">
        <x:f>IF(J1196=0,"해당 없음",K1196/J1196)</x:f>
        <x:v>0.5</x:v>
      </x:c>
      <x:c r="M1196" s="14" t="n">
        <x:v>7</x:v>
      </x:c>
      <x:c r="N1196" s="14" t="n">
        <x:v>5</x:v>
      </x:c>
      <x:c r="O1196" s="15" t="n">
        <x:f>IF(M1196=0,"해당 없음",N1196/M1196)</x:f>
        <x:v>0.7142857142857143</x:v>
      </x:c>
      <x:c r="P1196" s="14" t="n">
        <x:v>104</x:v>
      </x:c>
    </x:row>
    <x:row r="1197" ht="22" customHeight="1">
      <x:c r="A1197" s="14" t="n">
        <x:v>596</x:v>
      </x:c>
      <x:c r="B1197" s="14" t="n">
        <x:v>15</x:v>
      </x:c>
      <x:c r="C1197" s="14" t="n">
        <x:v>76017</x:v>
      </x:c>
      <x:c r="D1197" s="2" t="str">
        <x:v>NAVY</x:v>
      </x:c>
      <x:c r="E1197" s="2" t="str">
        <x:v>40만</x:v>
      </x:c>
      <x:c r="F1197" s="2" t="str">
        <x:v>120만</x:v>
      </x:c>
      <x:c r="G1197" s="2" t="str">
        <x:v>패</x:v>
      </x:c>
      <x:c r="H1197" s="14" t="n">
        <x:v>3</x:v>
      </x:c>
      <x:c r="I1197" s="14" t="n">
        <x:v>4</x:v>
      </x:c>
      <x:c r="J1197" s="14" t="n">
        <x:v>10</x:v>
      </x:c>
      <x:c r="K1197" s="14" t="n">
        <x:v>3</x:v>
      </x:c>
      <x:c r="L1197" s="15" t="n">
        <x:f>IF(J1197=0,"해당 없음",K1197/J1197)</x:f>
        <x:v>0.3</x:v>
      </x:c>
      <x:c r="M1197" s="14" t="n">
        <x:v>3</x:v>
      </x:c>
      <x:c r="N1197" s="14" t="n">
        <x:v>3</x:v>
      </x:c>
      <x:c r="O1197" s="15" t="n">
        <x:f>IF(M1197=0,"해당 없음",N1197/M1197)</x:f>
        <x:v>1</x:v>
      </x:c>
      <x:c r="P1197" s="14" t="n">
        <x:v>105</x:v>
      </x:c>
    </x:row>
    <x:row r="1198" ht="22" customHeight="1">
      <x:c r="A1198" s="14" t="n">
        <x:v>597</x:v>
      </x:c>
      <x:c r="B1198" s="14" t="n">
        <x:v>15</x:v>
      </x:c>
      <x:c r="C1198" s="14" t="n">
        <x:v>76018</x:v>
      </x:c>
      <x:c r="D1198" s="2" t="str">
        <x:v>RED</x:v>
      </x:c>
      <x:c r="E1198" s="2" t="str">
        <x:v>40만</x:v>
      </x:c>
      <x:c r="F1198" s="2" t="str">
        <x:v>120만</x:v>
      </x:c>
      <x:c r="G1198" s="2" t="str">
        <x:v>패</x:v>
      </x:c>
      <x:c r="H1198" s="14" t="n">
        <x:v>2</x:v>
      </x:c>
      <x:c r="I1198" s="14" t="n">
        <x:v>3</x:v>
      </x:c>
      <x:c r="J1198" s="14" t="n">
        <x:v>5</x:v>
      </x:c>
      <x:c r="K1198" s="14" t="n">
        <x:v>2</x:v>
      </x:c>
      <x:c r="L1198" s="15" t="n">
        <x:f>IF(J1198=0,"해당 없음",K1198/J1198)</x:f>
        <x:v>0.4</x:v>
      </x:c>
      <x:c r="M1198" s="14" t="n">
        <x:v>3</x:v>
      </x:c>
      <x:c r="N1198" s="14" t="n">
        <x:v>2</x:v>
      </x:c>
      <x:c r="O1198" s="15" t="n">
        <x:f>IF(M1198=0,"해당 없음",N1198/M1198)</x:f>
        <x:v>0.6666666666666666</x:v>
      </x:c>
      <x:c r="P1198" s="14" t="n">
        <x:v>103</x:v>
      </x:c>
    </x:row>
    <x:row r="1199" ht="22" customHeight="1">
      <x:c r="A1199" s="14" t="n">
        <x:v>597</x:v>
      </x:c>
      <x:c r="B1199" s="14" t="n">
        <x:v>15</x:v>
      </x:c>
      <x:c r="C1199" s="14" t="n">
        <x:v>76018</x:v>
      </x:c>
      <x:c r="D1199" s="2" t="str">
        <x:v>NAVY</x:v>
      </x:c>
      <x:c r="E1199" s="2" t="str">
        <x:v>120만</x:v>
      </x:c>
      <x:c r="F1199" s="2" t="str">
        <x:v>40만</x:v>
      </x:c>
      <x:c r="G1199" s="2" t="str">
        <x:v>승</x:v>
      </x:c>
      <x:c r="H1199" s="14" t="n">
        <x:v>3</x:v>
      </x:c>
      <x:c r="I1199" s="14" t="n">
        <x:v>2</x:v>
      </x:c>
      <x:c r="J1199" s="14" t="n">
        <x:v>5</x:v>
      </x:c>
      <x:c r="K1199" s="14" t="n">
        <x:v>3</x:v>
      </x:c>
      <x:c r="L1199" s="15" t="n">
        <x:f>IF(J1199=0,"해당 없음",K1199/J1199)</x:f>
        <x:v>0.6</x:v>
      </x:c>
      <x:c r="M1199" s="14" t="n">
        <x:v>5</x:v>
      </x:c>
      <x:c r="N1199" s="14" t="n">
        <x:v>5</x:v>
      </x:c>
      <x:c r="O1199" s="15" t="n">
        <x:f>IF(M1199=0,"해당 없음",N1199/M1199)</x:f>
        <x:v>1</x:v>
      </x:c>
      <x:c r="P1199" s="14" t="n">
        <x:v>102</x:v>
      </x:c>
    </x:row>
    <x:row r="1200" ht="22" customHeight="1">
      <x:c r="A1200" s="14" t="n">
        <x:v>598</x:v>
      </x:c>
      <x:c r="B1200" s="14" t="n">
        <x:v>15</x:v>
      </x:c>
      <x:c r="C1200" s="14" t="n">
        <x:v>76018</x:v>
      </x:c>
      <x:c r="D1200" s="2" t="str">
        <x:v>RED</x:v>
      </x:c>
      <x:c r="E1200" s="2" t="str">
        <x:v>120만</x:v>
      </x:c>
      <x:c r="F1200" s="2" t="str">
        <x:v>40만</x:v>
      </x:c>
      <x:c r="G1200" s="2" t="str">
        <x:v>승</x:v>
      </x:c>
      <x:c r="H1200" s="14" t="n">
        <x:v>3</x:v>
      </x:c>
      <x:c r="I1200" s="14" t="n">
        <x:v>1</x:v>
      </x:c>
      <x:c r="J1200" s="14" t="n">
        <x:v>8</x:v>
      </x:c>
      <x:c r="K1200" s="14" t="n">
        <x:v>3</x:v>
      </x:c>
      <x:c r="L1200" s="15" t="n">
        <x:f>IF(J1200=0,"해당 없음",K1200/J1200)</x:f>
        <x:v>0.375</x:v>
      </x:c>
      <x:c r="M1200" s="14" t="n">
        <x:v>10</x:v>
      </x:c>
      <x:c r="N1200" s="14" t="n">
        <x:v>8</x:v>
      </x:c>
      <x:c r="O1200" s="15" t="n">
        <x:f>IF(M1200=0,"해당 없음",N1200/M1200)</x:f>
        <x:v>0.8</x:v>
      </x:c>
      <x:c r="P1200" s="14" t="n">
        <x:v>101</x:v>
      </x:c>
    </x:row>
    <x:row r="1201" ht="22" customHeight="1">
      <x:c r="A1201" s="14" t="n">
        <x:v>598</x:v>
      </x:c>
      <x:c r="B1201" s="14" t="n">
        <x:v>15</x:v>
      </x:c>
      <x:c r="C1201" s="14" t="n">
        <x:v>76018</x:v>
      </x:c>
      <x:c r="D1201" s="2" t="str">
        <x:v>NAVY</x:v>
      </x:c>
      <x:c r="E1201" s="2" t="str">
        <x:v>40만</x:v>
      </x:c>
      <x:c r="F1201" s="2" t="str">
        <x:v>120만</x:v>
      </x:c>
      <x:c r="G1201" s="2" t="str">
        <x:v>패</x:v>
      </x:c>
      <x:c r="H1201" s="14" t="n">
        <x:v>1</x:v>
      </x:c>
      <x:c r="I1201" s="14" t="n">
        <x:v>3</x:v>
      </x:c>
      <x:c r="J1201" s="14" t="n">
        <x:v>10</x:v>
      </x:c>
      <x:c r="K1201" s="14" t="n">
        <x:v>1</x:v>
      </x:c>
      <x:c r="L1201" s="15" t="n">
        <x:f>IF(J1201=0,"해당 없음",K1201/J1201)</x:f>
        <x:v>0.1</x:v>
      </x:c>
      <x:c r="M1201" s="14" t="n">
        <x:v>9</x:v>
      </x:c>
      <x:c r="N1201" s="14" t="n">
        <x:v>6</x:v>
      </x:c>
      <x:c r="O1201" s="15" t="n">
        <x:f>IF(M1201=0,"해당 없음",N1201/M1201)</x:f>
        <x:v>0.6666666666666666</x:v>
      </x:c>
      <x:c r="P1201" s="14" t="n">
        <x:v>101</x:v>
      </x:c>
    </x:row>
    <x:row r="1202" ht="22" customHeight="1">
      <x:c r="A1202" s="14" t="n">
        <x:v>599</x:v>
      </x:c>
      <x:c r="B1202" s="14" t="n">
        <x:v>15</x:v>
      </x:c>
      <x:c r="C1202" s="14" t="n">
        <x:v>76019</x:v>
      </x:c>
      <x:c r="D1202" s="2" t="str">
        <x:v>RED</x:v>
      </x:c>
      <x:c r="E1202" s="2" t="str">
        <x:v>40만</x:v>
      </x:c>
      <x:c r="F1202" s="2" t="str">
        <x:v>120만</x:v>
      </x:c>
      <x:c r="G1202" s="2" t="str">
        <x:v>패</x:v>
      </x:c>
      <x:c r="H1202" s="14" t="n">
        <x:v>1</x:v>
      </x:c>
      <x:c r="I1202" s="14" t="n">
        <x:v>3</x:v>
      </x:c>
      <x:c r="J1202" s="14" t="n">
        <x:v>5</x:v>
      </x:c>
      <x:c r="K1202" s="14" t="n">
        <x:v>1</x:v>
      </x:c>
      <x:c r="L1202" s="15" t="n">
        <x:f>IF(J1202=0,"해당 없음",K1202/J1202)</x:f>
        <x:v>0.2</x:v>
      </x:c>
      <x:c r="M1202" s="14" t="n">
        <x:v>5</x:v>
      </x:c>
      <x:c r="N1202" s="14" t="n">
        <x:v>4</x:v>
      </x:c>
      <x:c r="O1202" s="15" t="n">
        <x:f>IF(M1202=0,"해당 없음",N1202/M1202)</x:f>
        <x:v>0.8</x:v>
      </x:c>
      <x:c r="P1202" s="14" t="n">
        <x:v>102</x:v>
      </x:c>
    </x:row>
    <x:row r="1203" ht="22" customHeight="1">
      <x:c r="A1203" s="14" t="n">
        <x:v>599</x:v>
      </x:c>
      <x:c r="B1203" s="14" t="n">
        <x:v>15</x:v>
      </x:c>
      <x:c r="C1203" s="14" t="n">
        <x:v>76019</x:v>
      </x:c>
      <x:c r="D1203" s="2" t="str">
        <x:v>NAVY</x:v>
      </x:c>
      <x:c r="E1203" s="2" t="str">
        <x:v>120만</x:v>
      </x:c>
      <x:c r="F1203" s="2" t="str">
        <x:v>40만</x:v>
      </x:c>
      <x:c r="G1203" s="2" t="str">
        <x:v>승</x:v>
      </x:c>
      <x:c r="H1203" s="14" t="n">
        <x:v>3</x:v>
      </x:c>
      <x:c r="I1203" s="14" t="n">
        <x:v>1</x:v>
      </x:c>
      <x:c r="J1203" s="14" t="n">
        <x:v>7</x:v>
      </x:c>
      <x:c r="K1203" s="14" t="n">
        <x:v>3</x:v>
      </x:c>
      <x:c r="L1203" s="15" t="n">
        <x:f>IF(J1203=0,"해당 없음",K1203/J1203)</x:f>
        <x:v>0.42857142857142855</x:v>
      </x:c>
      <x:c r="M1203" s="14" t="n">
        <x:v>8</x:v>
      </x:c>
      <x:c r="N1203" s="14" t="n">
        <x:v>6</x:v>
      </x:c>
      <x:c r="O1203" s="15" t="n">
        <x:f>IF(M1203=0,"해당 없음",N1203/M1203)</x:f>
        <x:v>0.75</x:v>
      </x:c>
      <x:c r="P1203" s="14" t="n">
        <x:v>102</x:v>
      </x:c>
    </x:row>
    <x:row r="1204" ht="22" customHeight="1">
      <x:c r="A1204" s="14" t="n">
        <x:v>600</x:v>
      </x:c>
      <x:c r="B1204" s="14" t="n">
        <x:v>15</x:v>
      </x:c>
      <x:c r="C1204" s="14" t="n">
        <x:v>76019</x:v>
      </x:c>
      <x:c r="D1204" s="2" t="str">
        <x:v>RED</x:v>
      </x:c>
      <x:c r="E1204" s="2" t="str">
        <x:v>120만</x:v>
      </x:c>
      <x:c r="F1204" s="2" t="str">
        <x:v>40만</x:v>
      </x:c>
      <x:c r="G1204" s="2" t="str">
        <x:v>패</x:v>
      </x:c>
      <x:c r="H1204" s="14" t="n">
        <x:v>2</x:v>
      </x:c>
      <x:c r="I1204" s="14" t="n">
        <x:v>3</x:v>
      </x:c>
      <x:c r="J1204" s="14" t="n">
        <x:v>7</x:v>
      </x:c>
      <x:c r="K1204" s="14" t="n">
        <x:v>2</x:v>
      </x:c>
      <x:c r="L1204" s="15" t="n">
        <x:f>IF(J1204=0,"해당 없음",K1204/J1204)</x:f>
        <x:v>0.2857142857142857</x:v>
      </x:c>
      <x:c r="M1204" s="14" t="n">
        <x:v>9</x:v>
      </x:c>
      <x:c r="N1204" s="14" t="n">
        <x:v>6</x:v>
      </x:c>
      <x:c r="O1204" s="15" t="n">
        <x:f>IF(M1204=0,"해당 없음",N1204/M1204)</x:f>
        <x:v>0.6666666666666666</x:v>
      </x:c>
      <x:c r="P1204" s="14" t="n">
        <x:v>102</x:v>
      </x:c>
    </x:row>
    <x:row r="1205" ht="22" customHeight="1">
      <x:c r="A1205" s="14" t="n">
        <x:v>600</x:v>
      </x:c>
      <x:c r="B1205" s="14" t="n">
        <x:v>15</x:v>
      </x:c>
      <x:c r="C1205" s="14" t="n">
        <x:v>76019</x:v>
      </x:c>
      <x:c r="D1205" s="2" t="str">
        <x:v>NAVY</x:v>
      </x:c>
      <x:c r="E1205" s="2" t="str">
        <x:v>40만</x:v>
      </x:c>
      <x:c r="F1205" s="2" t="str">
        <x:v>120만</x:v>
      </x:c>
      <x:c r="G1205" s="2" t="str">
        <x:v>승</x:v>
      </x:c>
      <x:c r="H1205" s="14" t="n">
        <x:v>3</x:v>
      </x:c>
      <x:c r="I1205" s="14" t="n">
        <x:v>2</x:v>
      </x:c>
      <x:c r="J1205" s="14" t="n">
        <x:v>12</x:v>
      </x:c>
      <x:c r="K1205" s="14" t="n">
        <x:v>3</x:v>
      </x:c>
      <x:c r="L1205" s="15" t="n">
        <x:f>IF(J1205=0,"해당 없음",K1205/J1205)</x:f>
        <x:v>0.25</x:v>
      </x:c>
      <x:c r="M1205" s="14" t="n">
        <x:v>8</x:v>
      </x:c>
      <x:c r="N1205" s="14" t="n">
        <x:v>6</x:v>
      </x:c>
      <x:c r="O1205" s="15" t="n">
        <x:f>IF(M1205=0,"해당 없음",N1205/M1205)</x:f>
        <x:v>0.75</x:v>
      </x:c>
      <x:c r="P1205" s="14" t="n">
        <x:v>103</x:v>
      </x:c>
    </x:row>
    <x:row r="1206" ht="22" customHeight="1">
      <x:c r="A1206" s="14" t="n">
        <x:v>601</x:v>
      </x:c>
      <x:c r="B1206" s="14" t="n">
        <x:v>16</x:v>
      </x:c>
      <x:c r="C1206" s="14" t="n">
        <x:v>76000</x:v>
      </x:c>
      <x:c r="D1206" s="2" t="str">
        <x:v>RED</x:v>
      </x:c>
      <x:c r="E1206" s="2" t="str">
        <x:v>40만</x:v>
      </x:c>
      <x:c r="F1206" s="2" t="str">
        <x:v>160만</x:v>
      </x:c>
      <x:c r="G1206" s="2" t="str">
        <x:v>무</x:v>
      </x:c>
      <x:c r="H1206" s="14" t="n">
        <x:v>4</x:v>
      </x:c>
      <x:c r="I1206" s="14" t="n">
        <x:v>4</x:v>
      </x:c>
      <x:c r="J1206" s="14" t="n">
        <x:v>10</x:v>
      </x:c>
      <x:c r="K1206" s="14" t="n">
        <x:v>4</x:v>
      </x:c>
      <x:c r="L1206" s="15" t="n">
        <x:f>IF(J1206=0,"해당 없음",K1206/J1206)</x:f>
        <x:v>0.4</x:v>
      </x:c>
      <x:c r="M1206" s="14" t="n">
        <x:v>5</x:v>
      </x:c>
      <x:c r="N1206" s="14" t="n">
        <x:v>4</x:v>
      </x:c>
      <x:c r="O1206" s="15" t="n">
        <x:f>IF(M1206=0,"해당 없음",N1206/M1206)</x:f>
        <x:v>0.8</x:v>
      </x:c>
      <x:c r="P1206" s="14" t="n">
        <x:v>105</x:v>
      </x:c>
    </x:row>
    <x:row r="1207" ht="22" customHeight="1">
      <x:c r="A1207" s="14" t="n">
        <x:v>601</x:v>
      </x:c>
      <x:c r="B1207" s="14" t="n">
        <x:v>16</x:v>
      </x:c>
      <x:c r="C1207" s="14" t="n">
        <x:v>76000</x:v>
      </x:c>
      <x:c r="D1207" s="2" t="str">
        <x:v>NAVY</x:v>
      </x:c>
      <x:c r="E1207" s="2" t="str">
        <x:v>160만</x:v>
      </x:c>
      <x:c r="F1207" s="2" t="str">
        <x:v>40만</x:v>
      </x:c>
      <x:c r="G1207" s="2" t="str">
        <x:v>무</x:v>
      </x:c>
      <x:c r="H1207" s="14" t="n">
        <x:v>4</x:v>
      </x:c>
      <x:c r="I1207" s="14" t="n">
        <x:v>4</x:v>
      </x:c>
      <x:c r="J1207" s="14" t="n">
        <x:v>8</x:v>
      </x:c>
      <x:c r="K1207" s="14" t="n">
        <x:v>4</x:v>
      </x:c>
      <x:c r="L1207" s="15" t="n">
        <x:f>IF(J1207=0,"해당 없음",K1207/J1207)</x:f>
        <x:v>0.5</x:v>
      </x:c>
      <x:c r="M1207" s="14" t="n">
        <x:v>7</x:v>
      </x:c>
      <x:c r="N1207" s="14" t="n">
        <x:v>7</x:v>
      </x:c>
      <x:c r="O1207" s="15" t="n">
        <x:f>IF(M1207=0,"해당 없음",N1207/M1207)</x:f>
        <x:v>1</x:v>
      </x:c>
      <x:c r="P1207" s="14" t="n">
        <x:v>105</x:v>
      </x:c>
    </x:row>
    <x:row r="1208" ht="22" customHeight="1">
      <x:c r="A1208" s="14" t="n">
        <x:v>602</x:v>
      </x:c>
      <x:c r="B1208" s="14" t="n">
        <x:v>16</x:v>
      </x:c>
      <x:c r="C1208" s="14" t="n">
        <x:v>76000</x:v>
      </x:c>
      <x:c r="D1208" s="2" t="str">
        <x:v>RED</x:v>
      </x:c>
      <x:c r="E1208" s="2" t="str">
        <x:v>160만</x:v>
      </x:c>
      <x:c r="F1208" s="2" t="str">
        <x:v>40만</x:v>
      </x:c>
      <x:c r="G1208" s="2" t="str">
        <x:v>승</x:v>
      </x:c>
      <x:c r="H1208" s="14" t="n">
        <x:v>4</x:v>
      </x:c>
      <x:c r="I1208" s="14" t="n">
        <x:v>3</x:v>
      </x:c>
      <x:c r="J1208" s="14" t="n">
        <x:v>6</x:v>
      </x:c>
      <x:c r="K1208" s="14" t="n">
        <x:v>4</x:v>
      </x:c>
      <x:c r="L1208" s="15" t="n">
        <x:f>IF(J1208=0,"해당 없음",K1208/J1208)</x:f>
        <x:v>0.6666666666666666</x:v>
      </x:c>
      <x:c r="M1208" s="14" t="n">
        <x:v>6</x:v>
      </x:c>
      <x:c r="N1208" s="14" t="n">
        <x:v>5</x:v>
      </x:c>
      <x:c r="O1208" s="15" t="n">
        <x:f>IF(M1208=0,"해당 없음",N1208/M1208)</x:f>
        <x:v>0.8333333333333334</x:v>
      </x:c>
      <x:c r="P1208" s="14" t="n">
        <x:v>104</x:v>
      </x:c>
    </x:row>
    <x:row r="1209" ht="22" customHeight="1">
      <x:c r="A1209" s="14" t="n">
        <x:v>602</x:v>
      </x:c>
      <x:c r="B1209" s="14" t="n">
        <x:v>16</x:v>
      </x:c>
      <x:c r="C1209" s="14" t="n">
        <x:v>76000</x:v>
      </x:c>
      <x:c r="D1209" s="2" t="str">
        <x:v>NAVY</x:v>
      </x:c>
      <x:c r="E1209" s="2" t="str">
        <x:v>40만</x:v>
      </x:c>
      <x:c r="F1209" s="2" t="str">
        <x:v>160만</x:v>
      </x:c>
      <x:c r="G1209" s="2" t="str">
        <x:v>패</x:v>
      </x:c>
      <x:c r="H1209" s="14" t="n">
        <x:v>3</x:v>
      </x:c>
      <x:c r="I1209" s="14" t="n">
        <x:v>4</x:v>
      </x:c>
      <x:c r="J1209" s="14" t="n">
        <x:v>7</x:v>
      </x:c>
      <x:c r="K1209" s="14" t="n">
        <x:v>3</x:v>
      </x:c>
      <x:c r="L1209" s="15" t="n">
        <x:f>IF(J1209=0,"해당 없음",K1209/J1209)</x:f>
        <x:v>0.42857142857142855</x:v>
      </x:c>
      <x:c r="M1209" s="14" t="n">
        <x:v>10</x:v>
      </x:c>
      <x:c r="N1209" s="14" t="n">
        <x:v>7</x:v>
      </x:c>
      <x:c r="O1209" s="15" t="n">
        <x:f>IF(M1209=0,"해당 없음",N1209/M1209)</x:f>
        <x:v>0.7</x:v>
      </x:c>
      <x:c r="P1209" s="14" t="n">
        <x:v>103</x:v>
      </x:c>
    </x:row>
    <x:row r="1210" ht="22" customHeight="1">
      <x:c r="A1210" s="14" t="n">
        <x:v>603</x:v>
      </x:c>
      <x:c r="B1210" s="14" t="n">
        <x:v>16</x:v>
      </x:c>
      <x:c r="C1210" s="14" t="n">
        <x:v>76001</x:v>
      </x:c>
      <x:c r="D1210" s="2" t="str">
        <x:v>RED</x:v>
      </x:c>
      <x:c r="E1210" s="2" t="str">
        <x:v>40만</x:v>
      </x:c>
      <x:c r="F1210" s="2" t="str">
        <x:v>160만</x:v>
      </x:c>
      <x:c r="G1210" s="2" t="str">
        <x:v>패</x:v>
      </x:c>
      <x:c r="H1210" s="14" t="n">
        <x:v>0</x:v>
      </x:c>
      <x:c r="I1210" s="14" t="n">
        <x:v>3</x:v>
      </x:c>
      <x:c r="J1210" s="14" t="n">
        <x:v>8</x:v>
      </x:c>
      <x:c r="K1210" s="14" t="n">
        <x:v>0</x:v>
      </x:c>
      <x:c r="L1210" s="15" t="n">
        <x:f>IF(J1210=0,"해당 없음",K1210/J1210)</x:f>
        <x:v>0</x:v>
      </x:c>
      <x:c r="M1210" s="14" t="n">
        <x:v>5</x:v>
      </x:c>
      <x:c r="N1210" s="14" t="n">
        <x:v>3</x:v>
      </x:c>
      <x:c r="O1210" s="15" t="n">
        <x:f>IF(M1210=0,"해당 없음",N1210/M1210)</x:f>
        <x:v>0.6</x:v>
      </x:c>
      <x:c r="P1210" s="14" t="n">
        <x:v>101</x:v>
      </x:c>
    </x:row>
    <x:row r="1211" ht="22" customHeight="1">
      <x:c r="A1211" s="14" t="n">
        <x:v>603</x:v>
      </x:c>
      <x:c r="B1211" s="14" t="n">
        <x:v>16</x:v>
      </x:c>
      <x:c r="C1211" s="14" t="n">
        <x:v>76001</x:v>
      </x:c>
      <x:c r="D1211" s="2" t="str">
        <x:v>NAVY</x:v>
      </x:c>
      <x:c r="E1211" s="2" t="str">
        <x:v>160만</x:v>
      </x:c>
      <x:c r="F1211" s="2" t="str">
        <x:v>40만</x:v>
      </x:c>
      <x:c r="G1211" s="2" t="str">
        <x:v>승</x:v>
      </x:c>
      <x:c r="H1211" s="14" t="n">
        <x:v>3</x:v>
      </x:c>
      <x:c r="I1211" s="14" t="n">
        <x:v>0</x:v>
      </x:c>
      <x:c r="J1211" s="14" t="n">
        <x:v>5</x:v>
      </x:c>
      <x:c r="K1211" s="14" t="n">
        <x:v>3</x:v>
      </x:c>
      <x:c r="L1211" s="15" t="n">
        <x:f>IF(J1211=0,"해당 없음",K1211/J1211)</x:f>
        <x:v>0.6</x:v>
      </x:c>
      <x:c r="M1211" s="14" t="n">
        <x:v>13</x:v>
      </x:c>
      <x:c r="N1211" s="14" t="n">
        <x:v>7</x:v>
      </x:c>
      <x:c r="O1211" s="15" t="n">
        <x:f>IF(M1211=0,"해당 없음",N1211/M1211)</x:f>
        <x:v>0.5384615384615384</x:v>
      </x:c>
      <x:c r="P1211" s="14" t="n">
        <x:v>102</x:v>
      </x:c>
    </x:row>
    <x:row r="1212" ht="22" customHeight="1">
      <x:c r="A1212" s="14" t="n">
        <x:v>604</x:v>
      </x:c>
      <x:c r="B1212" s="14" t="n">
        <x:v>16</x:v>
      </x:c>
      <x:c r="C1212" s="14" t="n">
        <x:v>76001</x:v>
      </x:c>
      <x:c r="D1212" s="2" t="str">
        <x:v>RED</x:v>
      </x:c>
      <x:c r="E1212" s="2" t="str">
        <x:v>160만</x:v>
      </x:c>
      <x:c r="F1212" s="2" t="str">
        <x:v>40만</x:v>
      </x:c>
      <x:c r="G1212" s="2" t="str">
        <x:v>승</x:v>
      </x:c>
      <x:c r="H1212" s="14" t="n">
        <x:v>5</x:v>
      </x:c>
      <x:c r="I1212" s="14" t="n">
        <x:v>1</x:v>
      </x:c>
      <x:c r="J1212" s="14" t="n">
        <x:v>9</x:v>
      </x:c>
      <x:c r="K1212" s="14" t="n">
        <x:v>5</x:v>
      </x:c>
      <x:c r="L1212" s="15" t="n">
        <x:f>IF(J1212=0,"해당 없음",K1212/J1212)</x:f>
        <x:v>0.5555555555555556</x:v>
      </x:c>
      <x:c r="M1212" s="14" t="n">
        <x:v>10</x:v>
      </x:c>
      <x:c r="N1212" s="14" t="n">
        <x:v>8</x:v>
      </x:c>
      <x:c r="O1212" s="15" t="n">
        <x:f>IF(M1212=0,"해당 없음",N1212/M1212)</x:f>
        <x:v>0.8</x:v>
      </x:c>
      <x:c r="P1212" s="14" t="n">
        <x:v>103</x:v>
      </x:c>
    </x:row>
    <x:row r="1213" ht="22" customHeight="1">
      <x:c r="A1213" s="14" t="n">
        <x:v>604</x:v>
      </x:c>
      <x:c r="B1213" s="14" t="n">
        <x:v>16</x:v>
      </x:c>
      <x:c r="C1213" s="14" t="n">
        <x:v>76001</x:v>
      </x:c>
      <x:c r="D1213" s="2" t="str">
        <x:v>NAVY</x:v>
      </x:c>
      <x:c r="E1213" s="2" t="str">
        <x:v>40만</x:v>
      </x:c>
      <x:c r="F1213" s="2" t="str">
        <x:v>160만</x:v>
      </x:c>
      <x:c r="G1213" s="2" t="str">
        <x:v>패</x:v>
      </x:c>
      <x:c r="H1213" s="14" t="n">
        <x:v>1</x:v>
      </x:c>
      <x:c r="I1213" s="14" t="n">
        <x:v>5</x:v>
      </x:c>
      <x:c r="J1213" s="14" t="n">
        <x:v>7</x:v>
      </x:c>
      <x:c r="K1213" s="14" t="n">
        <x:v>1</x:v>
      </x:c>
      <x:c r="L1213" s="15" t="n">
        <x:f>IF(J1213=0,"해당 없음",K1213/J1213)</x:f>
        <x:v>0.14285714285714285</x:v>
      </x:c>
      <x:c r="M1213" s="14" t="n">
        <x:v>11</x:v>
      </x:c>
      <x:c r="N1213" s="14" t="n">
        <x:v>5</x:v>
      </x:c>
      <x:c r="O1213" s="15" t="n">
        <x:f>IF(M1213=0,"해당 없음",N1213/M1213)</x:f>
        <x:v>0.45454545454545453</x:v>
      </x:c>
      <x:c r="P1213" s="14" t="n">
        <x:v>104</x:v>
      </x:c>
    </x:row>
    <x:row r="1214" ht="22" customHeight="1">
      <x:c r="A1214" s="14" t="n">
        <x:v>605</x:v>
      </x:c>
      <x:c r="B1214" s="14" t="n">
        <x:v>16</x:v>
      </x:c>
      <x:c r="C1214" s="14" t="n">
        <x:v>76002</x:v>
      </x:c>
      <x:c r="D1214" s="2" t="str">
        <x:v>RED</x:v>
      </x:c>
      <x:c r="E1214" s="2" t="str">
        <x:v>40만</x:v>
      </x:c>
      <x:c r="F1214" s="2" t="str">
        <x:v>160만</x:v>
      </x:c>
      <x:c r="G1214" s="2" t="str">
        <x:v>승</x:v>
      </x:c>
      <x:c r="H1214" s="14" t="n">
        <x:v>4</x:v>
      </x:c>
      <x:c r="I1214" s="14" t="n">
        <x:v>2</x:v>
      </x:c>
      <x:c r="J1214" s="14" t="n">
        <x:v>10</x:v>
      </x:c>
      <x:c r="K1214" s="14" t="n">
        <x:v>4</x:v>
      </x:c>
      <x:c r="L1214" s="15" t="n">
        <x:f>IF(J1214=0,"해당 없음",K1214/J1214)</x:f>
        <x:v>0.4</x:v>
      </x:c>
      <x:c r="M1214" s="14" t="n">
        <x:v>5</x:v>
      </x:c>
      <x:c r="N1214" s="14" t="n">
        <x:v>4</x:v>
      </x:c>
      <x:c r="O1214" s="15" t="n">
        <x:f>IF(M1214=0,"해당 없음",N1214/M1214)</x:f>
        <x:v>0.8</x:v>
      </x:c>
      <x:c r="P1214" s="14" t="n">
        <x:v>103</x:v>
      </x:c>
    </x:row>
    <x:row r="1215" ht="22" customHeight="1">
      <x:c r="A1215" s="14" t="n">
        <x:v>605</x:v>
      </x:c>
      <x:c r="B1215" s="14" t="n">
        <x:v>16</x:v>
      </x:c>
      <x:c r="C1215" s="14" t="n">
        <x:v>76002</x:v>
      </x:c>
      <x:c r="D1215" s="2" t="str">
        <x:v>NAVY</x:v>
      </x:c>
      <x:c r="E1215" s="2" t="str">
        <x:v>160만</x:v>
      </x:c>
      <x:c r="F1215" s="2" t="str">
        <x:v>40만</x:v>
      </x:c>
      <x:c r="G1215" s="2" t="str">
        <x:v>패</x:v>
      </x:c>
      <x:c r="H1215" s="14" t="n">
        <x:v>2</x:v>
      </x:c>
      <x:c r="I1215" s="14" t="n">
        <x:v>4</x:v>
      </x:c>
      <x:c r="J1215" s="14" t="n">
        <x:v>7</x:v>
      </x:c>
      <x:c r="K1215" s="14" t="n">
        <x:v>2</x:v>
      </x:c>
      <x:c r="L1215" s="15" t="n">
        <x:f>IF(J1215=0,"해당 없음",K1215/J1215)</x:f>
        <x:v>0.2857142857142857</x:v>
      </x:c>
      <x:c r="M1215" s="14" t="n">
        <x:v>10</x:v>
      </x:c>
      <x:c r="N1215" s="14" t="n">
        <x:v>7</x:v>
      </x:c>
      <x:c r="O1215" s="15" t="n">
        <x:f>IF(M1215=0,"해당 없음",N1215/M1215)</x:f>
        <x:v>0.7</x:v>
      </x:c>
      <x:c r="P1215" s="14" t="n">
        <x:v>102</x:v>
      </x:c>
    </x:row>
    <x:row r="1216" ht="22" customHeight="1">
      <x:c r="A1216" s="14" t="n">
        <x:v>606</x:v>
      </x:c>
      <x:c r="B1216" s="14" t="n">
        <x:v>16</x:v>
      </x:c>
      <x:c r="C1216" s="14" t="n">
        <x:v>76002</x:v>
      </x:c>
      <x:c r="D1216" s="2" t="str">
        <x:v>RED</x:v>
      </x:c>
      <x:c r="E1216" s="2" t="str">
        <x:v>160만</x:v>
      </x:c>
      <x:c r="F1216" s="2" t="str">
        <x:v>40만</x:v>
      </x:c>
      <x:c r="G1216" s="2" t="str">
        <x:v>승</x:v>
      </x:c>
      <x:c r="H1216" s="14" t="n">
        <x:v>3</x:v>
      </x:c>
      <x:c r="I1216" s="14" t="n">
        <x:v>2</x:v>
      </x:c>
      <x:c r="J1216" s="14" t="n">
        <x:v>9</x:v>
      </x:c>
      <x:c r="K1216" s="14" t="n">
        <x:v>3</x:v>
      </x:c>
      <x:c r="L1216" s="15" t="n">
        <x:f>IF(J1216=0,"해당 없음",K1216/J1216)</x:f>
        <x:v>0.3333333333333333</x:v>
      </x:c>
      <x:c r="M1216" s="14" t="n">
        <x:v>8</x:v>
      </x:c>
      <x:c r="N1216" s="14" t="n">
        <x:v>6</x:v>
      </x:c>
      <x:c r="O1216" s="15" t="n">
        <x:f>IF(M1216=0,"해당 없음",N1216/M1216)</x:f>
        <x:v>0.75</x:v>
      </x:c>
      <x:c r="P1216" s="14" t="n">
        <x:v>102</x:v>
      </x:c>
    </x:row>
    <x:row r="1217" ht="22" customHeight="1">
      <x:c r="A1217" s="14" t="n">
        <x:v>606</x:v>
      </x:c>
      <x:c r="B1217" s="14" t="n">
        <x:v>16</x:v>
      </x:c>
      <x:c r="C1217" s="14" t="n">
        <x:v>76002</x:v>
      </x:c>
      <x:c r="D1217" s="2" t="str">
        <x:v>NAVY</x:v>
      </x:c>
      <x:c r="E1217" s="2" t="str">
        <x:v>40만</x:v>
      </x:c>
      <x:c r="F1217" s="2" t="str">
        <x:v>160만</x:v>
      </x:c>
      <x:c r="G1217" s="2" t="str">
        <x:v>패</x:v>
      </x:c>
      <x:c r="H1217" s="14" t="n">
        <x:v>2</x:v>
      </x:c>
      <x:c r="I1217" s="14" t="n">
        <x:v>3</x:v>
      </x:c>
      <x:c r="J1217" s="14" t="n">
        <x:v>8</x:v>
      </x:c>
      <x:c r="K1217" s="14" t="n">
        <x:v>2</x:v>
      </x:c>
      <x:c r="L1217" s="15" t="n">
        <x:f>IF(J1217=0,"해당 없음",K1217/J1217)</x:f>
        <x:v>0.25</x:v>
      </x:c>
      <x:c r="M1217" s="14" t="n">
        <x:v>10</x:v>
      </x:c>
      <x:c r="N1217" s="14" t="n">
        <x:v>10</x:v>
      </x:c>
      <x:c r="O1217" s="15" t="n">
        <x:f>IF(M1217=0,"해당 없음",N1217/M1217)</x:f>
        <x:v>1</x:v>
      </x:c>
      <x:c r="P1217" s="14" t="n">
        <x:v>102</x:v>
      </x:c>
    </x:row>
    <x:row r="1218" ht="22" customHeight="1">
      <x:c r="A1218" s="14" t="n">
        <x:v>607</x:v>
      </x:c>
      <x:c r="B1218" s="14" t="n">
        <x:v>16</x:v>
      </x:c>
      <x:c r="C1218" s="14" t="n">
        <x:v>76003</x:v>
      </x:c>
      <x:c r="D1218" s="2" t="str">
        <x:v>RED</x:v>
      </x:c>
      <x:c r="E1218" s="2" t="str">
        <x:v>40만</x:v>
      </x:c>
      <x:c r="F1218" s="2" t="str">
        <x:v>160만</x:v>
      </x:c>
      <x:c r="G1218" s="2" t="str">
        <x:v>승</x:v>
      </x:c>
      <x:c r="H1218" s="14" t="n">
        <x:v>2</x:v>
      </x:c>
      <x:c r="I1218" s="14" t="n">
        <x:v>1</x:v>
      </x:c>
      <x:c r="J1218" s="14" t="n">
        <x:v>10</x:v>
      </x:c>
      <x:c r="K1218" s="14" t="n">
        <x:v>2</x:v>
      </x:c>
      <x:c r="L1218" s="15" t="n">
        <x:f>IF(J1218=0,"해당 없음",K1218/J1218)</x:f>
        <x:v>0.2</x:v>
      </x:c>
      <x:c r="M1218" s="14" t="n">
        <x:v>11</x:v>
      </x:c>
      <x:c r="N1218" s="14" t="n">
        <x:v>8</x:v>
      </x:c>
      <x:c r="O1218" s="15" t="n">
        <x:f>IF(M1218=0,"해당 없음",N1218/M1218)</x:f>
        <x:v>0.7272727272727273</x:v>
      </x:c>
      <x:c r="P1218" s="14" t="n">
        <x:v>102</x:v>
      </x:c>
    </x:row>
    <x:row r="1219" ht="22" customHeight="1">
      <x:c r="A1219" s="14" t="n">
        <x:v>607</x:v>
      </x:c>
      <x:c r="B1219" s="14" t="n">
        <x:v>16</x:v>
      </x:c>
      <x:c r="C1219" s="14" t="n">
        <x:v>76003</x:v>
      </x:c>
      <x:c r="D1219" s="2" t="str">
        <x:v>NAVY</x:v>
      </x:c>
      <x:c r="E1219" s="2" t="str">
        <x:v>160만</x:v>
      </x:c>
      <x:c r="F1219" s="2" t="str">
        <x:v>40만</x:v>
      </x:c>
      <x:c r="G1219" s="2" t="str">
        <x:v>패</x:v>
      </x:c>
      <x:c r="H1219" s="14" t="n">
        <x:v>1</x:v>
      </x:c>
      <x:c r="I1219" s="14" t="n">
        <x:v>2</x:v>
      </x:c>
      <x:c r="J1219" s="14" t="n">
        <x:v>6</x:v>
      </x:c>
      <x:c r="K1219" s="14" t="n">
        <x:v>1</x:v>
      </x:c>
      <x:c r="L1219" s="15" t="n">
        <x:f>IF(J1219=0,"해당 없음",K1219/J1219)</x:f>
        <x:v>0.16666666666666666</x:v>
      </x:c>
      <x:c r="M1219" s="14" t="n">
        <x:v>6</x:v>
      </x:c>
      <x:c r="N1219" s="14" t="n">
        <x:v>4</x:v>
      </x:c>
      <x:c r="O1219" s="15" t="n">
        <x:f>IF(M1219=0,"해당 없음",N1219/M1219)</x:f>
        <x:v>0.6666666666666666</x:v>
      </x:c>
      <x:c r="P1219" s="14" t="n">
        <x:v>103</x:v>
      </x:c>
    </x:row>
    <x:row r="1220" ht="22" customHeight="1">
      <x:c r="A1220" s="14" t="n">
        <x:v>608</x:v>
      </x:c>
      <x:c r="B1220" s="14" t="n">
        <x:v>16</x:v>
      </x:c>
      <x:c r="C1220" s="14" t="n">
        <x:v>76003</x:v>
      </x:c>
      <x:c r="D1220" s="2" t="str">
        <x:v>RED</x:v>
      </x:c>
      <x:c r="E1220" s="2" t="str">
        <x:v>160만</x:v>
      </x:c>
      <x:c r="F1220" s="2" t="str">
        <x:v>40만</x:v>
      </x:c>
      <x:c r="G1220" s="2" t="str">
        <x:v>패</x:v>
      </x:c>
      <x:c r="H1220" s="14" t="n">
        <x:v>5</x:v>
      </x:c>
      <x:c r="I1220" s="14" t="n">
        <x:v>6</x:v>
      </x:c>
      <x:c r="J1220" s="14" t="n">
        <x:v>9</x:v>
      </x:c>
      <x:c r="K1220" s="14" t="n">
        <x:v>5</x:v>
      </x:c>
      <x:c r="L1220" s="15" t="n">
        <x:f>IF(J1220=0,"해당 없음",K1220/J1220)</x:f>
        <x:v>0.5555555555555556</x:v>
      </x:c>
      <x:c r="M1220" s="14" t="n">
        <x:v>7</x:v>
      </x:c>
      <x:c r="N1220" s="14" t="n">
        <x:v>6</x:v>
      </x:c>
      <x:c r="O1220" s="15" t="n">
        <x:f>IF(M1220=0,"해당 없음",N1220/M1220)</x:f>
        <x:v>0.8571428571428571</x:v>
      </x:c>
      <x:c r="P1220" s="14" t="n">
        <x:v>104</x:v>
      </x:c>
    </x:row>
    <x:row r="1221" ht="22" customHeight="1">
      <x:c r="A1221" s="14" t="n">
        <x:v>608</x:v>
      </x:c>
      <x:c r="B1221" s="14" t="n">
        <x:v>16</x:v>
      </x:c>
      <x:c r="C1221" s="14" t="n">
        <x:v>76003</x:v>
      </x:c>
      <x:c r="D1221" s="2" t="str">
        <x:v>NAVY</x:v>
      </x:c>
      <x:c r="E1221" s="2" t="str">
        <x:v>40만</x:v>
      </x:c>
      <x:c r="F1221" s="2" t="str">
        <x:v>160만</x:v>
      </x:c>
      <x:c r="G1221" s="2" t="str">
        <x:v>승</x:v>
      </x:c>
      <x:c r="H1221" s="14" t="n">
        <x:v>6</x:v>
      </x:c>
      <x:c r="I1221" s="14" t="n">
        <x:v>5</x:v>
      </x:c>
      <x:c r="J1221" s="14" t="n">
        <x:v>10</x:v>
      </x:c>
      <x:c r="K1221" s="14" t="n">
        <x:v>6</x:v>
      </x:c>
      <x:c r="L1221" s="15" t="n">
        <x:f>IF(J1221=0,"해당 없음",K1221/J1221)</x:f>
        <x:v>0.6</x:v>
      </x:c>
      <x:c r="M1221" s="14" t="n">
        <x:v>11</x:v>
      </x:c>
      <x:c r="N1221" s="14" t="n">
        <x:v>8</x:v>
      </x:c>
      <x:c r="O1221" s="15" t="n">
        <x:f>IF(M1221=0,"해당 없음",N1221/M1221)</x:f>
        <x:v>0.7272727272727273</x:v>
      </x:c>
      <x:c r="P1221" s="14" t="n">
        <x:v>106</x:v>
      </x:c>
    </x:row>
    <x:row r="1222" ht="22" customHeight="1">
      <x:c r="A1222" s="14" t="n">
        <x:v>609</x:v>
      </x:c>
      <x:c r="B1222" s="14" t="n">
        <x:v>16</x:v>
      </x:c>
      <x:c r="C1222" s="14" t="n">
        <x:v>76004</x:v>
      </x:c>
      <x:c r="D1222" s="2" t="str">
        <x:v>RED</x:v>
      </x:c>
      <x:c r="E1222" s="2" t="str">
        <x:v>40만</x:v>
      </x:c>
      <x:c r="F1222" s="2" t="str">
        <x:v>160만</x:v>
      </x:c>
      <x:c r="G1222" s="2" t="str">
        <x:v>승</x:v>
      </x:c>
      <x:c r="H1222" s="14" t="n">
        <x:v>5</x:v>
      </x:c>
      <x:c r="I1222" s="14" t="n">
        <x:v>3</x:v>
      </x:c>
      <x:c r="J1222" s="14" t="n">
        <x:v>11</x:v>
      </x:c>
      <x:c r="K1222" s="14" t="n">
        <x:v>5</x:v>
      </x:c>
      <x:c r="L1222" s="15" t="n">
        <x:f>IF(J1222=0,"해당 없음",K1222/J1222)</x:f>
        <x:v>0.45454545454545453</x:v>
      </x:c>
      <x:c r="M1222" s="14" t="n">
        <x:v>11</x:v>
      </x:c>
      <x:c r="N1222" s="14" t="n">
        <x:v>9</x:v>
      </x:c>
      <x:c r="O1222" s="15" t="n">
        <x:f>IF(M1222=0,"해당 없음",N1222/M1222)</x:f>
        <x:v>0.8181818181818182</x:v>
      </x:c>
      <x:c r="P1222" s="14" t="n">
        <x:v>106</x:v>
      </x:c>
    </x:row>
    <x:row r="1223" ht="22" customHeight="1">
      <x:c r="A1223" s="14" t="n">
        <x:v>609</x:v>
      </x:c>
      <x:c r="B1223" s="14" t="n">
        <x:v>16</x:v>
      </x:c>
      <x:c r="C1223" s="14" t="n">
        <x:v>76004</x:v>
      </x:c>
      <x:c r="D1223" s="2" t="str">
        <x:v>NAVY</x:v>
      </x:c>
      <x:c r="E1223" s="2" t="str">
        <x:v>160만</x:v>
      </x:c>
      <x:c r="F1223" s="2" t="str">
        <x:v>40만</x:v>
      </x:c>
      <x:c r="G1223" s="2" t="str">
        <x:v>패</x:v>
      </x:c>
      <x:c r="H1223" s="14" t="n">
        <x:v>3</x:v>
      </x:c>
      <x:c r="I1223" s="14" t="n">
        <x:v>5</x:v>
      </x:c>
      <x:c r="J1223" s="14" t="n">
        <x:v>6</x:v>
      </x:c>
      <x:c r="K1223" s="14" t="n">
        <x:v>3</x:v>
      </x:c>
      <x:c r="L1223" s="15" t="n">
        <x:f>IF(J1223=0,"해당 없음",K1223/J1223)</x:f>
        <x:v>0.5</x:v>
      </x:c>
      <x:c r="M1223" s="14" t="n">
        <x:v>8</x:v>
      </x:c>
      <x:c r="N1223" s="14" t="n">
        <x:v>3</x:v>
      </x:c>
      <x:c r="O1223" s="15" t="n">
        <x:f>IF(M1223=0,"해당 없음",N1223/M1223)</x:f>
        <x:v>0.375</x:v>
      </x:c>
      <x:c r="P1223" s="14" t="n">
        <x:v>104</x:v>
      </x:c>
    </x:row>
    <x:row r="1224" ht="22" customHeight="1">
      <x:c r="A1224" s="14" t="n">
        <x:v>610</x:v>
      </x:c>
      <x:c r="B1224" s="14" t="n">
        <x:v>16</x:v>
      </x:c>
      <x:c r="C1224" s="14" t="n">
        <x:v>76004</x:v>
      </x:c>
      <x:c r="D1224" s="2" t="str">
        <x:v>RED</x:v>
      </x:c>
      <x:c r="E1224" s="2" t="str">
        <x:v>160만</x:v>
      </x:c>
      <x:c r="F1224" s="2" t="str">
        <x:v>40만</x:v>
      </x:c>
      <x:c r="G1224" s="2" t="str">
        <x:v>승</x:v>
      </x:c>
      <x:c r="H1224" s="14" t="n">
        <x:v>5</x:v>
      </x:c>
      <x:c r="I1224" s="14" t="n">
        <x:v>1</x:v>
      </x:c>
      <x:c r="J1224" s="14" t="n">
        <x:v>12</x:v>
      </x:c>
      <x:c r="K1224" s="14" t="n">
        <x:v>4</x:v>
      </x:c>
      <x:c r="L1224" s="15" t="n">
        <x:f>IF(J1224=0,"해당 없음",K1224/J1224)</x:f>
        <x:v>0.3333333333333333</x:v>
      </x:c>
      <x:c r="M1224" s="14" t="n">
        <x:v>10</x:v>
      </x:c>
      <x:c r="N1224" s="14" t="n">
        <x:v>6</x:v>
      </x:c>
      <x:c r="O1224" s="15" t="n">
        <x:f>IF(M1224=0,"해당 없음",N1224/M1224)</x:f>
        <x:v>0.6</x:v>
      </x:c>
      <x:c r="P1224" s="14" t="n">
        <x:v>103</x:v>
      </x:c>
    </x:row>
    <x:row r="1225" ht="22" customHeight="1">
      <x:c r="A1225" s="14" t="n">
        <x:v>610</x:v>
      </x:c>
      <x:c r="B1225" s="14" t="n">
        <x:v>16</x:v>
      </x:c>
      <x:c r="C1225" s="14" t="n">
        <x:v>76004</x:v>
      </x:c>
      <x:c r="D1225" s="2" t="str">
        <x:v>NAVY</x:v>
      </x:c>
      <x:c r="E1225" s="2" t="str">
        <x:v>40만</x:v>
      </x:c>
      <x:c r="F1225" s="2" t="str">
        <x:v>160만</x:v>
      </x:c>
      <x:c r="G1225" s="2" t="str">
        <x:v>패</x:v>
      </x:c>
      <x:c r="H1225" s="14" t="n">
        <x:v>1</x:v>
      </x:c>
      <x:c r="I1225" s="14" t="n">
        <x:v>5</x:v>
      </x:c>
      <x:c r="J1225" s="14" t="n">
        <x:v>6</x:v>
      </x:c>
      <x:c r="K1225" s="14" t="n">
        <x:v>1</x:v>
      </x:c>
      <x:c r="L1225" s="15" t="n">
        <x:f>IF(J1225=0,"해당 없음",K1225/J1225)</x:f>
        <x:v>0.16666666666666666</x:v>
      </x:c>
      <x:c r="M1225" s="14" t="n">
        <x:v>7</x:v>
      </x:c>
      <x:c r="N1225" s="14" t="n">
        <x:v>5</x:v>
      </x:c>
      <x:c r="O1225" s="15" t="n">
        <x:f>IF(M1225=0,"해당 없음",N1225/M1225)</x:f>
        <x:v>0.7142857142857143</x:v>
      </x:c>
      <x:c r="P1225" s="14" t="n">
        <x:v>103</x:v>
      </x:c>
    </x:row>
    <x:row r="1226" ht="22" customHeight="1">
      <x:c r="A1226" s="14" t="n">
        <x:v>611</x:v>
      </x:c>
      <x:c r="B1226" s="14" t="n">
        <x:v>16</x:v>
      </x:c>
      <x:c r="C1226" s="14" t="n">
        <x:v>76005</x:v>
      </x:c>
      <x:c r="D1226" s="2" t="str">
        <x:v>RED</x:v>
      </x:c>
      <x:c r="E1226" s="2" t="str">
        <x:v>40만</x:v>
      </x:c>
      <x:c r="F1226" s="2" t="str">
        <x:v>160만</x:v>
      </x:c>
      <x:c r="G1226" s="2" t="str">
        <x:v>승</x:v>
      </x:c>
      <x:c r="H1226" s="14" t="n">
        <x:v>2</x:v>
      </x:c>
      <x:c r="I1226" s="14" t="n">
        <x:v>1</x:v>
      </x:c>
      <x:c r="J1226" s="14" t="n">
        <x:v>8</x:v>
      </x:c>
      <x:c r="K1226" s="14" t="n">
        <x:v>2</x:v>
      </x:c>
      <x:c r="L1226" s="15" t="n">
        <x:f>IF(J1226=0,"해당 없음",K1226/J1226)</x:f>
        <x:v>0.25</x:v>
      </x:c>
      <x:c r="M1226" s="14" t="n">
        <x:v>10</x:v>
      </x:c>
      <x:c r="N1226" s="14" t="n">
        <x:v>6</x:v>
      </x:c>
      <x:c r="O1226" s="15" t="n">
        <x:f>IF(M1226=0,"해당 없음",N1226/M1226)</x:f>
        <x:v>0.6</x:v>
      </x:c>
      <x:c r="P1226" s="14" t="n">
        <x:v>101</x:v>
      </x:c>
    </x:row>
    <x:row r="1227" ht="22" customHeight="1">
      <x:c r="A1227" s="14" t="n">
        <x:v>611</x:v>
      </x:c>
      <x:c r="B1227" s="14" t="n">
        <x:v>16</x:v>
      </x:c>
      <x:c r="C1227" s="14" t="n">
        <x:v>76005</x:v>
      </x:c>
      <x:c r="D1227" s="2" t="str">
        <x:v>NAVY</x:v>
      </x:c>
      <x:c r="E1227" s="2" t="str">
        <x:v>160만</x:v>
      </x:c>
      <x:c r="F1227" s="2" t="str">
        <x:v>40만</x:v>
      </x:c>
      <x:c r="G1227" s="2" t="str">
        <x:v>패</x:v>
      </x:c>
      <x:c r="H1227" s="14" t="n">
        <x:v>1</x:v>
      </x:c>
      <x:c r="I1227" s="14" t="n">
        <x:v>2</x:v>
      </x:c>
      <x:c r="J1227" s="14" t="n">
        <x:v>9</x:v>
      </x:c>
      <x:c r="K1227" s="14" t="n">
        <x:v>1</x:v>
      </x:c>
      <x:c r="L1227" s="15" t="n">
        <x:f>IF(J1227=0,"해당 없음",K1227/J1227)</x:f>
        <x:v>0.1111111111111111</x:v>
      </x:c>
      <x:c r="M1227" s="14" t="n">
        <x:v>12</x:v>
      </x:c>
      <x:c r="N1227" s="14" t="n">
        <x:v>8</x:v>
      </x:c>
      <x:c r="O1227" s="15" t="n">
        <x:f>IF(M1227=0,"해당 없음",N1227/M1227)</x:f>
        <x:v>0.6666666666666666</x:v>
      </x:c>
      <x:c r="P1227" s="14" t="n">
        <x:v>102</x:v>
      </x:c>
    </x:row>
    <x:row r="1228" ht="22" customHeight="1">
      <x:c r="A1228" s="14" t="n">
        <x:v>612</x:v>
      </x:c>
      <x:c r="B1228" s="14" t="n">
        <x:v>16</x:v>
      </x:c>
      <x:c r="C1228" s="14" t="n">
        <x:v>76005</x:v>
      </x:c>
      <x:c r="D1228" s="2" t="str">
        <x:v>RED</x:v>
      </x:c>
      <x:c r="E1228" s="2" t="str">
        <x:v>160만</x:v>
      </x:c>
      <x:c r="F1228" s="2" t="str">
        <x:v>40만</x:v>
      </x:c>
      <x:c r="G1228" s="2" t="str">
        <x:v>승</x:v>
      </x:c>
      <x:c r="H1228" s="14" t="n">
        <x:v>4</x:v>
      </x:c>
      <x:c r="I1228" s="14" t="n">
        <x:v>3</x:v>
      </x:c>
      <x:c r="J1228" s="14" t="n">
        <x:v>9</x:v>
      </x:c>
      <x:c r="K1228" s="14" t="n">
        <x:v>4</x:v>
      </x:c>
      <x:c r="L1228" s="15" t="n">
        <x:f>IF(J1228=0,"해당 없음",K1228/J1228)</x:f>
        <x:v>0.4444444444444444</x:v>
      </x:c>
      <x:c r="M1228" s="14" t="n">
        <x:v>3</x:v>
      </x:c>
      <x:c r="N1228" s="14" t="n">
        <x:v>2</x:v>
      </x:c>
      <x:c r="O1228" s="15" t="n">
        <x:f>IF(M1228=0,"해당 없음",N1228/M1228)</x:f>
        <x:v>0.6666666666666666</x:v>
      </x:c>
      <x:c r="P1228" s="14" t="n">
        <x:v>102</x:v>
      </x:c>
    </x:row>
    <x:row r="1229" ht="22" customHeight="1">
      <x:c r="A1229" s="14" t="n">
        <x:v>612</x:v>
      </x:c>
      <x:c r="B1229" s="14" t="n">
        <x:v>16</x:v>
      </x:c>
      <x:c r="C1229" s="14" t="n">
        <x:v>76005</x:v>
      </x:c>
      <x:c r="D1229" s="2" t="str">
        <x:v>NAVY</x:v>
      </x:c>
      <x:c r="E1229" s="2" t="str">
        <x:v>40만</x:v>
      </x:c>
      <x:c r="F1229" s="2" t="str">
        <x:v>160만</x:v>
      </x:c>
      <x:c r="G1229" s="2" t="str">
        <x:v>패</x:v>
      </x:c>
      <x:c r="H1229" s="14" t="n">
        <x:v>3</x:v>
      </x:c>
      <x:c r="I1229" s="14" t="n">
        <x:v>4</x:v>
      </x:c>
      <x:c r="J1229" s="14" t="n">
        <x:v>7</x:v>
      </x:c>
      <x:c r="K1229" s="14" t="n">
        <x:v>3</x:v>
      </x:c>
      <x:c r="L1229" s="15" t="n">
        <x:f>IF(J1229=0,"해당 없음",K1229/J1229)</x:f>
        <x:v>0.42857142857142855</x:v>
      </x:c>
      <x:c r="M1229" s="14" t="n">
        <x:v>5</x:v>
      </x:c>
      <x:c r="N1229" s="14" t="n">
        <x:v>4</x:v>
      </x:c>
      <x:c r="O1229" s="15" t="n">
        <x:f>IF(M1229=0,"해당 없음",N1229/M1229)</x:f>
        <x:v>0.8</x:v>
      </x:c>
      <x:c r="P1229" s="14" t="n">
        <x:v>103</x:v>
      </x:c>
    </x:row>
    <x:row r="1230" ht="22" customHeight="1">
      <x:c r="A1230" s="14" t="n">
        <x:v>613</x:v>
      </x:c>
      <x:c r="B1230" s="14" t="n">
        <x:v>16</x:v>
      </x:c>
      <x:c r="C1230" s="14" t="n">
        <x:v>76006</x:v>
      </x:c>
      <x:c r="D1230" s="2" t="str">
        <x:v>RED</x:v>
      </x:c>
      <x:c r="E1230" s="2" t="str">
        <x:v>40만</x:v>
      </x:c>
      <x:c r="F1230" s="2" t="str">
        <x:v>160만</x:v>
      </x:c>
      <x:c r="G1230" s="2" t="str">
        <x:v>패</x:v>
      </x:c>
      <x:c r="H1230" s="14" t="n">
        <x:v>2</x:v>
      </x:c>
      <x:c r="I1230" s="14" t="n">
        <x:v>4</x:v>
      </x:c>
      <x:c r="J1230" s="14" t="n">
        <x:v>6</x:v>
      </x:c>
      <x:c r="K1230" s="14" t="n">
        <x:v>2</x:v>
      </x:c>
      <x:c r="L1230" s="15" t="n">
        <x:f>IF(J1230=0,"해당 없음",K1230/J1230)</x:f>
        <x:v>0.3333333333333333</x:v>
      </x:c>
      <x:c r="M1230" s="14" t="n">
        <x:v>8</x:v>
      </x:c>
      <x:c r="N1230" s="14" t="n">
        <x:v>5</x:v>
      </x:c>
      <x:c r="O1230" s="15" t="n">
        <x:f>IF(M1230=0,"해당 없음",N1230/M1230)</x:f>
        <x:v>0.625</x:v>
      </x:c>
      <x:c r="P1230" s="14" t="n">
        <x:v>103</x:v>
      </x:c>
    </x:row>
    <x:row r="1231" ht="22" customHeight="1">
      <x:c r="A1231" s="14" t="n">
        <x:v>613</x:v>
      </x:c>
      <x:c r="B1231" s="14" t="n">
        <x:v>16</x:v>
      </x:c>
      <x:c r="C1231" s="14" t="n">
        <x:v>76006</x:v>
      </x:c>
      <x:c r="D1231" s="2" t="str">
        <x:v>NAVY</x:v>
      </x:c>
      <x:c r="E1231" s="2" t="str">
        <x:v>160만</x:v>
      </x:c>
      <x:c r="F1231" s="2" t="str">
        <x:v>40만</x:v>
      </x:c>
      <x:c r="G1231" s="2" t="str">
        <x:v>승</x:v>
      </x:c>
      <x:c r="H1231" s="14" t="n">
        <x:v>4</x:v>
      </x:c>
      <x:c r="I1231" s="14" t="n">
        <x:v>2</x:v>
      </x:c>
      <x:c r="J1231" s="14" t="n">
        <x:v>10</x:v>
      </x:c>
      <x:c r="K1231" s="14" t="n">
        <x:v>4</x:v>
      </x:c>
      <x:c r="L1231" s="15" t="n">
        <x:f>IF(J1231=0,"해당 없음",K1231/J1231)</x:f>
        <x:v>0.4</x:v>
      </x:c>
      <x:c r="M1231" s="14" t="n">
        <x:v>6</x:v>
      </x:c>
      <x:c r="N1231" s="14" t="n">
        <x:v>6</x:v>
      </x:c>
      <x:c r="O1231" s="15" t="n">
        <x:f>IF(M1231=0,"해당 없음",N1231/M1231)</x:f>
        <x:v>1</x:v>
      </x:c>
      <x:c r="P1231" s="14" t="n">
        <x:v>105</x:v>
      </x:c>
    </x:row>
    <x:row r="1232" ht="22" customHeight="1">
      <x:c r="A1232" s="14" t="n">
        <x:v>614</x:v>
      </x:c>
      <x:c r="B1232" s="14" t="n">
        <x:v>16</x:v>
      </x:c>
      <x:c r="C1232" s="14" t="n">
        <x:v>76006</x:v>
      </x:c>
      <x:c r="D1232" s="2" t="str">
        <x:v>RED</x:v>
      </x:c>
      <x:c r="E1232" s="2" t="str">
        <x:v>160만</x:v>
      </x:c>
      <x:c r="F1232" s="2" t="str">
        <x:v>40만</x:v>
      </x:c>
      <x:c r="G1232" s="2" t="str">
        <x:v>승</x:v>
      </x:c>
      <x:c r="H1232" s="14" t="n">
        <x:v>5</x:v>
      </x:c>
      <x:c r="I1232" s="14" t="n">
        <x:v>2</x:v>
      </x:c>
      <x:c r="J1232" s="14" t="n">
        <x:v>13</x:v>
      </x:c>
      <x:c r="K1232" s="14" t="n">
        <x:v>5</x:v>
      </x:c>
      <x:c r="L1232" s="15" t="n">
        <x:f>IF(J1232=0,"해당 없음",K1232/J1232)</x:f>
        <x:v>0.38461538461538464</x:v>
      </x:c>
      <x:c r="M1232" s="14" t="n">
        <x:v>7</x:v>
      </x:c>
      <x:c r="N1232" s="14" t="n">
        <x:v>6</x:v>
      </x:c>
      <x:c r="O1232" s="15" t="n">
        <x:f>IF(M1232=0,"해당 없음",N1232/M1232)</x:f>
        <x:v>0.8571428571428571</x:v>
      </x:c>
      <x:c r="P1232" s="14" t="n">
        <x:v>104</x:v>
      </x:c>
    </x:row>
    <x:row r="1233" ht="22" customHeight="1">
      <x:c r="A1233" s="14" t="n">
        <x:v>614</x:v>
      </x:c>
      <x:c r="B1233" s="14" t="n">
        <x:v>16</x:v>
      </x:c>
      <x:c r="C1233" s="14" t="n">
        <x:v>76006</x:v>
      </x:c>
      <x:c r="D1233" s="2" t="str">
        <x:v>NAVY</x:v>
      </x:c>
      <x:c r="E1233" s="2" t="str">
        <x:v>40만</x:v>
      </x:c>
      <x:c r="F1233" s="2" t="str">
        <x:v>160만</x:v>
      </x:c>
      <x:c r="G1233" s="2" t="str">
        <x:v>패</x:v>
      </x:c>
      <x:c r="H1233" s="14" t="n">
        <x:v>2</x:v>
      </x:c>
      <x:c r="I1233" s="14" t="n">
        <x:v>5</x:v>
      </x:c>
      <x:c r="J1233" s="14" t="n">
        <x:v>7</x:v>
      </x:c>
      <x:c r="K1233" s="14" t="n">
        <x:v>2</x:v>
      </x:c>
      <x:c r="L1233" s="15" t="n">
        <x:f>IF(J1233=0,"해당 없음",K1233/J1233)</x:f>
        <x:v>0.2857142857142857</x:v>
      </x:c>
      <x:c r="M1233" s="14" t="n">
        <x:v>9</x:v>
      </x:c>
      <x:c r="N1233" s="14" t="n">
        <x:v>3</x:v>
      </x:c>
      <x:c r="O1233" s="15" t="n">
        <x:f>IF(M1233=0,"해당 없음",N1233/M1233)</x:f>
        <x:v>0.3333333333333333</x:v>
      </x:c>
      <x:c r="P1233" s="14" t="n">
        <x:v>104</x:v>
      </x:c>
    </x:row>
    <x:row r="1234" ht="22" customHeight="1">
      <x:c r="A1234" s="14" t="n">
        <x:v>615</x:v>
      </x:c>
      <x:c r="B1234" s="14" t="n">
        <x:v>16</x:v>
      </x:c>
      <x:c r="C1234" s="14" t="n">
        <x:v>76007</x:v>
      </x:c>
      <x:c r="D1234" s="2" t="str">
        <x:v>RED</x:v>
      </x:c>
      <x:c r="E1234" s="2" t="str">
        <x:v>40만</x:v>
      </x:c>
      <x:c r="F1234" s="2" t="str">
        <x:v>160만</x:v>
      </x:c>
      <x:c r="G1234" s="2" t="str">
        <x:v>패</x:v>
      </x:c>
      <x:c r="H1234" s="14" t="n">
        <x:v>2</x:v>
      </x:c>
      <x:c r="I1234" s="14" t="n">
        <x:v>4</x:v>
      </x:c>
      <x:c r="J1234" s="14" t="n">
        <x:v>9</x:v>
      </x:c>
      <x:c r="K1234" s="14" t="n">
        <x:v>2</x:v>
      </x:c>
      <x:c r="L1234" s="15" t="n">
        <x:f>IF(J1234=0,"해당 없음",K1234/J1234)</x:f>
        <x:v>0.2222222222222222</x:v>
      </x:c>
      <x:c r="M1234" s="14" t="n">
        <x:v>8</x:v>
      </x:c>
      <x:c r="N1234" s="14" t="n">
        <x:v>6</x:v>
      </x:c>
      <x:c r="O1234" s="15" t="n">
        <x:f>IF(M1234=0,"해당 없음",N1234/M1234)</x:f>
        <x:v>0.75</x:v>
      </x:c>
      <x:c r="P1234" s="14" t="n">
        <x:v>103</x:v>
      </x:c>
    </x:row>
    <x:row r="1235" ht="22" customHeight="1">
      <x:c r="A1235" s="14" t="n">
        <x:v>615</x:v>
      </x:c>
      <x:c r="B1235" s="14" t="n">
        <x:v>16</x:v>
      </x:c>
      <x:c r="C1235" s="14" t="n">
        <x:v>76007</x:v>
      </x:c>
      <x:c r="D1235" s="2" t="str">
        <x:v>NAVY</x:v>
      </x:c>
      <x:c r="E1235" s="2" t="str">
        <x:v>160만</x:v>
      </x:c>
      <x:c r="F1235" s="2" t="str">
        <x:v>40만</x:v>
      </x:c>
      <x:c r="G1235" s="2" t="str">
        <x:v>승</x:v>
      </x:c>
      <x:c r="H1235" s="14" t="n">
        <x:v>4</x:v>
      </x:c>
      <x:c r="I1235" s="14" t="n">
        <x:v>2</x:v>
      </x:c>
      <x:c r="J1235" s="14" t="n">
        <x:v>9</x:v>
      </x:c>
      <x:c r="K1235" s="14" t="n">
        <x:v>4</x:v>
      </x:c>
      <x:c r="L1235" s="15" t="n">
        <x:f>IF(J1235=0,"해당 없음",K1235/J1235)</x:f>
        <x:v>0.4444444444444444</x:v>
      </x:c>
      <x:c r="M1235" s="14" t="n">
        <x:v>11</x:v>
      </x:c>
      <x:c r="N1235" s="14" t="n">
        <x:v>10</x:v>
      </x:c>
      <x:c r="O1235" s="15" t="n">
        <x:f>IF(M1235=0,"해당 없음",N1235/M1235)</x:f>
        <x:v>0.9090909090909091</x:v>
      </x:c>
      <x:c r="P1235" s="14" t="n">
        <x:v>104</x:v>
      </x:c>
    </x:row>
    <x:row r="1236" ht="22" customHeight="1">
      <x:c r="A1236" s="14" t="n">
        <x:v>616</x:v>
      </x:c>
      <x:c r="B1236" s="14" t="n">
        <x:v>16</x:v>
      </x:c>
      <x:c r="C1236" s="14" t="n">
        <x:v>76007</x:v>
      </x:c>
      <x:c r="D1236" s="2" t="str">
        <x:v>RED</x:v>
      </x:c>
      <x:c r="E1236" s="2" t="str">
        <x:v>160만</x:v>
      </x:c>
      <x:c r="F1236" s="2" t="str">
        <x:v>40만</x:v>
      </x:c>
      <x:c r="G1236" s="2" t="str">
        <x:v>승</x:v>
      </x:c>
      <x:c r="H1236" s="14" t="n">
        <x:v>3</x:v>
      </x:c>
      <x:c r="I1236" s="14" t="n">
        <x:v>1</x:v>
      </x:c>
      <x:c r="J1236" s="14" t="n">
        <x:v>7</x:v>
      </x:c>
      <x:c r="K1236" s="14" t="n">
        <x:v>3</x:v>
      </x:c>
      <x:c r="L1236" s="15" t="n">
        <x:f>IF(J1236=0,"해당 없음",K1236/J1236)</x:f>
        <x:v>0.42857142857142855</x:v>
      </x:c>
      <x:c r="M1236" s="14" t="n">
        <x:v>7</x:v>
      </x:c>
      <x:c r="N1236" s="14" t="n">
        <x:v>5</x:v>
      </x:c>
      <x:c r="O1236" s="15" t="n">
        <x:f>IF(M1236=0,"해당 없음",N1236/M1236)</x:f>
        <x:v>0.7142857142857143</x:v>
      </x:c>
      <x:c r="P1236" s="14" t="n">
        <x:v>103</x:v>
      </x:c>
    </x:row>
    <x:row r="1237" ht="22" customHeight="1">
      <x:c r="A1237" s="14" t="n">
        <x:v>616</x:v>
      </x:c>
      <x:c r="B1237" s="14" t="n">
        <x:v>16</x:v>
      </x:c>
      <x:c r="C1237" s="14" t="n">
        <x:v>76007</x:v>
      </x:c>
      <x:c r="D1237" s="2" t="str">
        <x:v>NAVY</x:v>
      </x:c>
      <x:c r="E1237" s="2" t="str">
        <x:v>40만</x:v>
      </x:c>
      <x:c r="F1237" s="2" t="str">
        <x:v>160만</x:v>
      </x:c>
      <x:c r="G1237" s="2" t="str">
        <x:v>패</x:v>
      </x:c>
      <x:c r="H1237" s="14" t="n">
        <x:v>1</x:v>
      </x:c>
      <x:c r="I1237" s="14" t="n">
        <x:v>3</x:v>
      </x:c>
      <x:c r="J1237" s="14" t="n">
        <x:v>14</x:v>
      </x:c>
      <x:c r="K1237" s="14" t="n">
        <x:v>1</x:v>
      </x:c>
      <x:c r="L1237" s="15" t="n">
        <x:f>IF(J1237=0,"해당 없음",K1237/J1237)</x:f>
        <x:v>0.07142857142857142</x:v>
      </x:c>
      <x:c r="M1237" s="14" t="n">
        <x:v>8</x:v>
      </x:c>
      <x:c r="N1237" s="14" t="n">
        <x:v>8</x:v>
      </x:c>
      <x:c r="O1237" s="15" t="n">
        <x:f>IF(M1237=0,"해당 없음",N1237/M1237)</x:f>
        <x:v>1</x:v>
      </x:c>
      <x:c r="P1237" s="14" t="n">
        <x:v>103</x:v>
      </x:c>
    </x:row>
    <x:row r="1238" ht="22" customHeight="1">
      <x:c r="A1238" s="14" t="n">
        <x:v>617</x:v>
      </x:c>
      <x:c r="B1238" s="14" t="n">
        <x:v>16</x:v>
      </x:c>
      <x:c r="C1238" s="14" t="n">
        <x:v>76008</x:v>
      </x:c>
      <x:c r="D1238" s="2" t="str">
        <x:v>RED</x:v>
      </x:c>
      <x:c r="E1238" s="2" t="str">
        <x:v>40만</x:v>
      </x:c>
      <x:c r="F1238" s="2" t="str">
        <x:v>160만</x:v>
      </x:c>
      <x:c r="G1238" s="2" t="str">
        <x:v>승</x:v>
      </x:c>
      <x:c r="H1238" s="14" t="n">
        <x:v>3</x:v>
      </x:c>
      <x:c r="I1238" s="14" t="n">
        <x:v>0</x:v>
      </x:c>
      <x:c r="J1238" s="14" t="n">
        <x:v>14</x:v>
      </x:c>
      <x:c r="K1238" s="14" t="n">
        <x:v>3</x:v>
      </x:c>
      <x:c r="L1238" s="15" t="n">
        <x:f>IF(J1238=0,"해당 없음",K1238/J1238)</x:f>
        <x:v>0.21428571428571427</x:v>
      </x:c>
      <x:c r="M1238" s="14" t="n">
        <x:v>11</x:v>
      </x:c>
      <x:c r="N1238" s="14" t="n">
        <x:v>8</x:v>
      </x:c>
      <x:c r="O1238" s="15" t="n">
        <x:f>IF(M1238=0,"해당 없음",N1238/M1238)</x:f>
        <x:v>0.7272727272727273</x:v>
      </x:c>
      <x:c r="P1238" s="14" t="n">
        <x:v>103</x:v>
      </x:c>
    </x:row>
    <x:row r="1239" ht="22" customHeight="1">
      <x:c r="A1239" s="14" t="n">
        <x:v>617</x:v>
      </x:c>
      <x:c r="B1239" s="14" t="n">
        <x:v>16</x:v>
      </x:c>
      <x:c r="C1239" s="14" t="n">
        <x:v>76008</x:v>
      </x:c>
      <x:c r="D1239" s="2" t="str">
        <x:v>NAVY</x:v>
      </x:c>
      <x:c r="E1239" s="2" t="str">
        <x:v>160만</x:v>
      </x:c>
      <x:c r="F1239" s="2" t="str">
        <x:v>40만</x:v>
      </x:c>
      <x:c r="G1239" s="2" t="str">
        <x:v>패</x:v>
      </x:c>
      <x:c r="H1239" s="14" t="n">
        <x:v>0</x:v>
      </x:c>
      <x:c r="I1239" s="14" t="n">
        <x:v>3</x:v>
      </x:c>
      <x:c r="J1239" s="14" t="n">
        <x:v>5</x:v>
      </x:c>
      <x:c r="K1239" s="14" t="n">
        <x:v>0</x:v>
      </x:c>
      <x:c r="L1239" s="15" t="n">
        <x:f>IF(J1239=0,"해당 없음",K1239/J1239)</x:f>
        <x:v>0</x:v>
      </x:c>
      <x:c r="M1239" s="14" t="n">
        <x:v>11</x:v>
      </x:c>
      <x:c r="N1239" s="14" t="n">
        <x:v>5</x:v>
      </x:c>
      <x:c r="O1239" s="15" t="n">
        <x:f>IF(M1239=0,"해당 없음",N1239/M1239)</x:f>
        <x:v>0.45454545454545453</x:v>
      </x:c>
      <x:c r="P1239" s="14" t="n">
        <x:v>103</x:v>
      </x:c>
    </x:row>
    <x:row r="1240" ht="22" customHeight="1">
      <x:c r="A1240" s="14" t="n">
        <x:v>618</x:v>
      </x:c>
      <x:c r="B1240" s="14" t="n">
        <x:v>16</x:v>
      </x:c>
      <x:c r="C1240" s="14" t="n">
        <x:v>76008</x:v>
      </x:c>
      <x:c r="D1240" s="2" t="str">
        <x:v>RED</x:v>
      </x:c>
      <x:c r="E1240" s="2" t="str">
        <x:v>160만</x:v>
      </x:c>
      <x:c r="F1240" s="2" t="str">
        <x:v>40만</x:v>
      </x:c>
      <x:c r="G1240" s="2" t="str">
        <x:v>승</x:v>
      </x:c>
      <x:c r="H1240" s="14" t="n">
        <x:v>3</x:v>
      </x:c>
      <x:c r="I1240" s="14" t="n">
        <x:v>1</x:v>
      </x:c>
      <x:c r="J1240" s="14" t="n">
        <x:v>7</x:v>
      </x:c>
      <x:c r="K1240" s="14" t="n">
        <x:v>3</x:v>
      </x:c>
      <x:c r="L1240" s="15" t="n">
        <x:f>IF(J1240=0,"해당 없음",K1240/J1240)</x:f>
        <x:v>0.42857142857142855</x:v>
      </x:c>
      <x:c r="M1240" s="14" t="n">
        <x:v>7</x:v>
      </x:c>
      <x:c r="N1240" s="14" t="n">
        <x:v>7</x:v>
      </x:c>
      <x:c r="O1240" s="15" t="n">
        <x:f>IF(M1240=0,"해당 없음",N1240/M1240)</x:f>
        <x:v>1</x:v>
      </x:c>
      <x:c r="P1240" s="14" t="n">
        <x:v>103</x:v>
      </x:c>
    </x:row>
    <x:row r="1241" ht="22" customHeight="1">
      <x:c r="A1241" s="14" t="n">
        <x:v>618</x:v>
      </x:c>
      <x:c r="B1241" s="14" t="n">
        <x:v>16</x:v>
      </x:c>
      <x:c r="C1241" s="14" t="n">
        <x:v>76008</x:v>
      </x:c>
      <x:c r="D1241" s="2" t="str">
        <x:v>NAVY</x:v>
      </x:c>
      <x:c r="E1241" s="2" t="str">
        <x:v>40만</x:v>
      </x:c>
      <x:c r="F1241" s="2" t="str">
        <x:v>160만</x:v>
      </x:c>
      <x:c r="G1241" s="2" t="str">
        <x:v>패</x:v>
      </x:c>
      <x:c r="H1241" s="14" t="n">
        <x:v>1</x:v>
      </x:c>
      <x:c r="I1241" s="14" t="n">
        <x:v>3</x:v>
      </x:c>
      <x:c r="J1241" s="14" t="n">
        <x:v>9</x:v>
      </x:c>
      <x:c r="K1241" s="14" t="n">
        <x:v>1</x:v>
      </x:c>
      <x:c r="L1241" s="15" t="n">
        <x:f>IF(J1241=0,"해당 없음",K1241/J1241)</x:f>
        <x:v>0.1111111111111111</x:v>
      </x:c>
      <x:c r="M1241" s="14" t="n">
        <x:v>12</x:v>
      </x:c>
      <x:c r="N1241" s="14" t="n">
        <x:v>8</x:v>
      </x:c>
      <x:c r="O1241" s="15" t="n">
        <x:f>IF(M1241=0,"해당 없음",N1241/M1241)</x:f>
        <x:v>0.6666666666666666</x:v>
      </x:c>
      <x:c r="P1241" s="14" t="n">
        <x:v>101</x:v>
      </x:c>
    </x:row>
    <x:row r="1242" ht="22" customHeight="1">
      <x:c r="A1242" s="14" t="n">
        <x:v>619</x:v>
      </x:c>
      <x:c r="B1242" s="14" t="n">
        <x:v>16</x:v>
      </x:c>
      <x:c r="C1242" s="14" t="n">
        <x:v>76009</x:v>
      </x:c>
      <x:c r="D1242" s="2" t="str">
        <x:v>RED</x:v>
      </x:c>
      <x:c r="E1242" s="2" t="str">
        <x:v>40만</x:v>
      </x:c>
      <x:c r="F1242" s="2" t="str">
        <x:v>160만</x:v>
      </x:c>
      <x:c r="G1242" s="2" t="str">
        <x:v>패</x:v>
      </x:c>
      <x:c r="H1242" s="14" t="n">
        <x:v>2</x:v>
      </x:c>
      <x:c r="I1242" s="14" t="n">
        <x:v>3</x:v>
      </x:c>
      <x:c r="J1242" s="14" t="n">
        <x:v>14</x:v>
      </x:c>
      <x:c r="K1242" s="14" t="n">
        <x:v>2</x:v>
      </x:c>
      <x:c r="L1242" s="15" t="n">
        <x:f>IF(J1242=0,"해당 없음",K1242/J1242)</x:f>
        <x:v>0.14285714285714285</x:v>
      </x:c>
      <x:c r="M1242" s="14" t="n">
        <x:v>6</x:v>
      </x:c>
      <x:c r="N1242" s="14" t="n">
        <x:v>6</x:v>
      </x:c>
      <x:c r="O1242" s="15" t="n">
        <x:f>IF(M1242=0,"해당 없음",N1242/M1242)</x:f>
        <x:v>1</x:v>
      </x:c>
      <x:c r="P1242" s="14" t="n">
        <x:v>103</x:v>
      </x:c>
    </x:row>
    <x:row r="1243" ht="22" customHeight="1">
      <x:c r="A1243" s="14" t="n">
        <x:v>619</x:v>
      </x:c>
      <x:c r="B1243" s="14" t="n">
        <x:v>16</x:v>
      </x:c>
      <x:c r="C1243" s="14" t="n">
        <x:v>76009</x:v>
      </x:c>
      <x:c r="D1243" s="2" t="str">
        <x:v>NAVY</x:v>
      </x:c>
      <x:c r="E1243" s="2" t="str">
        <x:v>160만</x:v>
      </x:c>
      <x:c r="F1243" s="2" t="str">
        <x:v>40만</x:v>
      </x:c>
      <x:c r="G1243" s="2" t="str">
        <x:v>승</x:v>
      </x:c>
      <x:c r="H1243" s="14" t="n">
        <x:v>3</x:v>
      </x:c>
      <x:c r="I1243" s="14" t="n">
        <x:v>2</x:v>
      </x:c>
      <x:c r="J1243" s="14" t="n">
        <x:v>6</x:v>
      </x:c>
      <x:c r="K1243" s="14" t="n">
        <x:v>3</x:v>
      </x:c>
      <x:c r="L1243" s="15" t="n">
        <x:f>IF(J1243=0,"해당 없음",K1243/J1243)</x:f>
        <x:v>0.5</x:v>
      </x:c>
      <x:c r="M1243" s="14" t="n">
        <x:v>13</x:v>
      </x:c>
      <x:c r="N1243" s="14" t="n">
        <x:v>8</x:v>
      </x:c>
      <x:c r="O1243" s="15" t="n">
        <x:f>IF(M1243=0,"해당 없음",N1243/M1243)</x:f>
        <x:v>0.6153846153846154</x:v>
      </x:c>
      <x:c r="P1243" s="14" t="n">
        <x:v>102</x:v>
      </x:c>
    </x:row>
    <x:row r="1244" ht="22" customHeight="1">
      <x:c r="A1244" s="14" t="n">
        <x:v>620</x:v>
      </x:c>
      <x:c r="B1244" s="14" t="n">
        <x:v>16</x:v>
      </x:c>
      <x:c r="C1244" s="14" t="n">
        <x:v>76009</x:v>
      </x:c>
      <x:c r="D1244" s="2" t="str">
        <x:v>RED</x:v>
      </x:c>
      <x:c r="E1244" s="2" t="str">
        <x:v>160만</x:v>
      </x:c>
      <x:c r="F1244" s="2" t="str">
        <x:v>40만</x:v>
      </x:c>
      <x:c r="G1244" s="2" t="str">
        <x:v>승</x:v>
      </x:c>
      <x:c r="H1244" s="14" t="n">
        <x:v>3</x:v>
      </x:c>
      <x:c r="I1244" s="14" t="n">
        <x:v>0</x:v>
      </x:c>
      <x:c r="J1244" s="14" t="n">
        <x:v>6</x:v>
      </x:c>
      <x:c r="K1244" s="14" t="n">
        <x:v>3</x:v>
      </x:c>
      <x:c r="L1244" s="15" t="n">
        <x:f>IF(J1244=0,"해당 없음",K1244/J1244)</x:f>
        <x:v>0.5</x:v>
      </x:c>
      <x:c r="M1244" s="14" t="n">
        <x:v>14</x:v>
      </x:c>
      <x:c r="N1244" s="14" t="n">
        <x:v>9</x:v>
      </x:c>
      <x:c r="O1244" s="15" t="n">
        <x:f>IF(M1244=0,"해당 없음",N1244/M1244)</x:f>
        <x:v>0.6428571428571429</x:v>
      </x:c>
      <x:c r="P1244" s="14" t="n">
        <x:v>102</x:v>
      </x:c>
    </x:row>
    <x:row r="1245" ht="22" customHeight="1">
      <x:c r="A1245" s="14" t="n">
        <x:v>620</x:v>
      </x:c>
      <x:c r="B1245" s="14" t="n">
        <x:v>16</x:v>
      </x:c>
      <x:c r="C1245" s="14" t="n">
        <x:v>76009</x:v>
      </x:c>
      <x:c r="D1245" s="2" t="str">
        <x:v>NAVY</x:v>
      </x:c>
      <x:c r="E1245" s="2" t="str">
        <x:v>40만</x:v>
      </x:c>
      <x:c r="F1245" s="2" t="str">
        <x:v>160만</x:v>
      </x:c>
      <x:c r="G1245" s="2" t="str">
        <x:v>패</x:v>
      </x:c>
      <x:c r="H1245" s="14" t="n">
        <x:v>0</x:v>
      </x:c>
      <x:c r="I1245" s="14" t="n">
        <x:v>3</x:v>
      </x:c>
      <x:c r="J1245" s="14" t="n">
        <x:v>6</x:v>
      </x:c>
      <x:c r="K1245" s="14" t="n">
        <x:v>0</x:v>
      </x:c>
      <x:c r="L1245" s="15" t="n">
        <x:f>IF(J1245=0,"해당 없음",K1245/J1245)</x:f>
        <x:v>0</x:v>
      </x:c>
      <x:c r="M1245" s="14" t="n">
        <x:v>8</x:v>
      </x:c>
      <x:c r="N1245" s="14" t="n">
        <x:v>5</x:v>
      </x:c>
      <x:c r="O1245" s="15" t="n">
        <x:f>IF(M1245=0,"해당 없음",N1245/M1245)</x:f>
        <x:v>0.625</x:v>
      </x:c>
      <x:c r="P1245" s="14" t="n">
        <x:v>102</x:v>
      </x:c>
    </x:row>
    <x:row r="1246" ht="22" customHeight="1">
      <x:c r="A1246" s="14" t="n">
        <x:v>621</x:v>
      </x:c>
      <x:c r="B1246" s="14" t="n">
        <x:v>16</x:v>
      </x:c>
      <x:c r="C1246" s="14" t="n">
        <x:v>76010</x:v>
      </x:c>
      <x:c r="D1246" s="2" t="str">
        <x:v>RED</x:v>
      </x:c>
      <x:c r="E1246" s="2" t="str">
        <x:v>40만</x:v>
      </x:c>
      <x:c r="F1246" s="2" t="str">
        <x:v>160만</x:v>
      </x:c>
      <x:c r="G1246" s="2" t="str">
        <x:v>무</x:v>
      </x:c>
      <x:c r="H1246" s="14" t="n">
        <x:v>2</x:v>
      </x:c>
      <x:c r="I1246" s="14" t="n">
        <x:v>2</x:v>
      </x:c>
      <x:c r="J1246" s="14" t="n">
        <x:v>14</x:v>
      </x:c>
      <x:c r="K1246" s="14" t="n">
        <x:v>2</x:v>
      </x:c>
      <x:c r="L1246" s="15" t="n">
        <x:f>IF(J1246=0,"해당 없음",K1246/J1246)</x:f>
        <x:v>0.14285714285714285</x:v>
      </x:c>
      <x:c r="M1246" s="14" t="n">
        <x:v>9</x:v>
      </x:c>
      <x:c r="N1246" s="14" t="n">
        <x:v>7</x:v>
      </x:c>
      <x:c r="O1246" s="15" t="n">
        <x:f>IF(M1246=0,"해당 없음",N1246/M1246)</x:f>
        <x:v>0.7777777777777778</x:v>
      </x:c>
      <x:c r="P1246" s="14" t="n">
        <x:v>102</x:v>
      </x:c>
    </x:row>
    <x:row r="1247" ht="22" customHeight="1">
      <x:c r="A1247" s="14" t="n">
        <x:v>621</x:v>
      </x:c>
      <x:c r="B1247" s="14" t="n">
        <x:v>16</x:v>
      </x:c>
      <x:c r="C1247" s="14" t="n">
        <x:v>76010</x:v>
      </x:c>
      <x:c r="D1247" s="2" t="str">
        <x:v>NAVY</x:v>
      </x:c>
      <x:c r="E1247" s="2" t="str">
        <x:v>160만</x:v>
      </x:c>
      <x:c r="F1247" s="2" t="str">
        <x:v>40만</x:v>
      </x:c>
      <x:c r="G1247" s="2" t="str">
        <x:v>무</x:v>
      </x:c>
      <x:c r="H1247" s="14" t="n">
        <x:v>2</x:v>
      </x:c>
      <x:c r="I1247" s="14" t="n">
        <x:v>2</x:v>
      </x:c>
      <x:c r="J1247" s="14" t="n">
        <x:v>6</x:v>
      </x:c>
      <x:c r="K1247" s="14" t="n">
        <x:v>2</x:v>
      </x:c>
      <x:c r="L1247" s="15" t="n">
        <x:f>IF(J1247=0,"해당 없음",K1247/J1247)</x:f>
        <x:v>0.3333333333333333</x:v>
      </x:c>
      <x:c r="M1247" s="14" t="n">
        <x:v>7</x:v>
      </x:c>
      <x:c r="N1247" s="14" t="n">
        <x:v>5</x:v>
      </x:c>
      <x:c r="O1247" s="15" t="n">
        <x:f>IF(M1247=0,"해당 없음",N1247/M1247)</x:f>
        <x:v>0.7142857142857143</x:v>
      </x:c>
      <x:c r="P1247" s="14" t="n">
        <x:v>102</x:v>
      </x:c>
    </x:row>
    <x:row r="1248" ht="22" customHeight="1">
      <x:c r="A1248" s="14" t="n">
        <x:v>622</x:v>
      </x:c>
      <x:c r="B1248" s="14" t="n">
        <x:v>16</x:v>
      </x:c>
      <x:c r="C1248" s="14" t="n">
        <x:v>76010</x:v>
      </x:c>
      <x:c r="D1248" s="2" t="str">
        <x:v>RED</x:v>
      </x:c>
      <x:c r="E1248" s="2" t="str">
        <x:v>160만</x:v>
      </x:c>
      <x:c r="F1248" s="2" t="str">
        <x:v>40만</x:v>
      </x:c>
      <x:c r="G1248" s="2" t="str">
        <x:v>패</x:v>
      </x:c>
      <x:c r="H1248" s="14" t="n">
        <x:v>3</x:v>
      </x:c>
      <x:c r="I1248" s="14" t="n">
        <x:v>4</x:v>
      </x:c>
      <x:c r="J1248" s="14" t="n">
        <x:v>6</x:v>
      </x:c>
      <x:c r="K1248" s="14" t="n">
        <x:v>3</x:v>
      </x:c>
      <x:c r="L1248" s="15" t="n">
        <x:f>IF(J1248=0,"해당 없음",K1248/J1248)</x:f>
        <x:v>0.5</x:v>
      </x:c>
      <x:c r="M1248" s="14" t="n">
        <x:v>6</x:v>
      </x:c>
      <x:c r="N1248" s="14" t="n">
        <x:v>4</x:v>
      </x:c>
      <x:c r="O1248" s="15" t="n">
        <x:f>IF(M1248=0,"해당 없음",N1248/M1248)</x:f>
        <x:v>0.6666666666666666</x:v>
      </x:c>
      <x:c r="P1248" s="14" t="n">
        <x:v>103</x:v>
      </x:c>
    </x:row>
    <x:row r="1249" ht="22" customHeight="1">
      <x:c r="A1249" s="14" t="n">
        <x:v>622</x:v>
      </x:c>
      <x:c r="B1249" s="14" t="n">
        <x:v>16</x:v>
      </x:c>
      <x:c r="C1249" s="14" t="n">
        <x:v>76010</x:v>
      </x:c>
      <x:c r="D1249" s="2" t="str">
        <x:v>NAVY</x:v>
      </x:c>
      <x:c r="E1249" s="2" t="str">
        <x:v>40만</x:v>
      </x:c>
      <x:c r="F1249" s="2" t="str">
        <x:v>160만</x:v>
      </x:c>
      <x:c r="G1249" s="2" t="str">
        <x:v>승</x:v>
      </x:c>
      <x:c r="H1249" s="14" t="n">
        <x:v>4</x:v>
      </x:c>
      <x:c r="I1249" s="14" t="n">
        <x:v>3</x:v>
      </x:c>
      <x:c r="J1249" s="14" t="n">
        <x:v>6</x:v>
      </x:c>
      <x:c r="K1249" s="14" t="n">
        <x:v>4</x:v>
      </x:c>
      <x:c r="L1249" s="15" t="n">
        <x:f>IF(J1249=0,"해당 없음",K1249/J1249)</x:f>
        <x:v>0.6666666666666666</x:v>
      </x:c>
      <x:c r="M1249" s="14" t="n">
        <x:v>6</x:v>
      </x:c>
      <x:c r="N1249" s="14" t="n">
        <x:v>3</x:v>
      </x:c>
      <x:c r="O1249" s="15" t="n">
        <x:f>IF(M1249=0,"해당 없음",N1249/M1249)</x:f>
        <x:v>0.5</x:v>
      </x:c>
      <x:c r="P1249" s="14" t="n">
        <x:v>103</x:v>
      </x:c>
    </x:row>
    <x:row r="1250" ht="22" customHeight="1">
      <x:c r="A1250" s="14" t="n">
        <x:v>623</x:v>
      </x:c>
      <x:c r="B1250" s="14" t="n">
        <x:v>16</x:v>
      </x:c>
      <x:c r="C1250" s="14" t="n">
        <x:v>76011</x:v>
      </x:c>
      <x:c r="D1250" s="2" t="str">
        <x:v>RED</x:v>
      </x:c>
      <x:c r="E1250" s="2" t="str">
        <x:v>40만</x:v>
      </x:c>
      <x:c r="F1250" s="2" t="str">
        <x:v>160만</x:v>
      </x:c>
      <x:c r="G1250" s="2" t="str">
        <x:v>승</x:v>
      </x:c>
      <x:c r="H1250" s="14" t="n">
        <x:v>5</x:v>
      </x:c>
      <x:c r="I1250" s="14" t="n">
        <x:v>2</x:v>
      </x:c>
      <x:c r="J1250" s="14" t="n">
        <x:v>12</x:v>
      </x:c>
      <x:c r="K1250" s="14" t="n">
        <x:v>5</x:v>
      </x:c>
      <x:c r="L1250" s="15" t="n">
        <x:f>IF(J1250=0,"해당 없음",K1250/J1250)</x:f>
        <x:v>0.4166666666666667</x:v>
      </x:c>
      <x:c r="M1250" s="14" t="n">
        <x:v>10</x:v>
      </x:c>
      <x:c r="N1250" s="14" t="n">
        <x:v>10</x:v>
      </x:c>
      <x:c r="O1250" s="15" t="n">
        <x:f>IF(M1250=0,"해당 없음",N1250/M1250)</x:f>
        <x:v>1</x:v>
      </x:c>
      <x:c r="P1250" s="14" t="n">
        <x:v>105</x:v>
      </x:c>
    </x:row>
    <x:row r="1251" ht="22" customHeight="1">
      <x:c r="A1251" s="14" t="n">
        <x:v>623</x:v>
      </x:c>
      <x:c r="B1251" s="14" t="n">
        <x:v>16</x:v>
      </x:c>
      <x:c r="C1251" s="14" t="n">
        <x:v>76011</x:v>
      </x:c>
      <x:c r="D1251" s="2" t="str">
        <x:v>NAVY</x:v>
      </x:c>
      <x:c r="E1251" s="2" t="str">
        <x:v>160만</x:v>
      </x:c>
      <x:c r="F1251" s="2" t="str">
        <x:v>40만</x:v>
      </x:c>
      <x:c r="G1251" s="2" t="str">
        <x:v>패</x:v>
      </x:c>
      <x:c r="H1251" s="14" t="n">
        <x:v>2</x:v>
      </x:c>
      <x:c r="I1251" s="14" t="n">
        <x:v>5</x:v>
      </x:c>
      <x:c r="J1251" s="14" t="n">
        <x:v>5</x:v>
      </x:c>
      <x:c r="K1251" s="14" t="n">
        <x:v>2</x:v>
      </x:c>
      <x:c r="L1251" s="15" t="n">
        <x:f>IF(J1251=0,"해당 없음",K1251/J1251)</x:f>
        <x:v>0.4</x:v>
      </x:c>
      <x:c r="M1251" s="14" t="n">
        <x:v>10</x:v>
      </x:c>
      <x:c r="N1251" s="14" t="n">
        <x:v>5</x:v>
      </x:c>
      <x:c r="O1251" s="15" t="n">
        <x:f>IF(M1251=0,"해당 없음",N1251/M1251)</x:f>
        <x:v>0.5</x:v>
      </x:c>
      <x:c r="P1251" s="14" t="n">
        <x:v>104</x:v>
      </x:c>
    </x:row>
    <x:row r="1252" ht="22" customHeight="1">
      <x:c r="A1252" s="14" t="n">
        <x:v>624</x:v>
      </x:c>
      <x:c r="B1252" s="14" t="n">
        <x:v>16</x:v>
      </x:c>
      <x:c r="C1252" s="14" t="n">
        <x:v>76011</x:v>
      </x:c>
      <x:c r="D1252" s="2" t="str">
        <x:v>RED</x:v>
      </x:c>
      <x:c r="E1252" s="2" t="str">
        <x:v>160만</x:v>
      </x:c>
      <x:c r="F1252" s="2" t="str">
        <x:v>40만</x:v>
      </x:c>
      <x:c r="G1252" s="2" t="str">
        <x:v>승</x:v>
      </x:c>
      <x:c r="H1252" s="14" t="n">
        <x:v>4</x:v>
      </x:c>
      <x:c r="I1252" s="14" t="n">
        <x:v>3</x:v>
      </x:c>
      <x:c r="J1252" s="14" t="n">
        <x:v>5</x:v>
      </x:c>
      <x:c r="K1252" s="14" t="n">
        <x:v>4</x:v>
      </x:c>
      <x:c r="L1252" s="15" t="n">
        <x:f>IF(J1252=0,"해당 없음",K1252/J1252)</x:f>
        <x:v>0.8</x:v>
      </x:c>
      <x:c r="M1252" s="14" t="n">
        <x:v>7</x:v>
      </x:c>
      <x:c r="N1252" s="14" t="n">
        <x:v>6</x:v>
      </x:c>
      <x:c r="O1252" s="15" t="n">
        <x:f>IF(M1252=0,"해당 없음",N1252/M1252)</x:f>
        <x:v>0.8571428571428571</x:v>
      </x:c>
      <x:c r="P1252" s="14" t="n">
        <x:v>103</x:v>
      </x:c>
    </x:row>
    <x:row r="1253" ht="22" customHeight="1">
      <x:c r="A1253" s="14" t="n">
        <x:v>624</x:v>
      </x:c>
      <x:c r="B1253" s="14" t="n">
        <x:v>16</x:v>
      </x:c>
      <x:c r="C1253" s="14" t="n">
        <x:v>76011</x:v>
      </x:c>
      <x:c r="D1253" s="2" t="str">
        <x:v>NAVY</x:v>
      </x:c>
      <x:c r="E1253" s="2" t="str">
        <x:v>40만</x:v>
      </x:c>
      <x:c r="F1253" s="2" t="str">
        <x:v>160만</x:v>
      </x:c>
      <x:c r="G1253" s="2" t="str">
        <x:v>패</x:v>
      </x:c>
      <x:c r="H1253" s="14" t="n">
        <x:v>3</x:v>
      </x:c>
      <x:c r="I1253" s="14" t="n">
        <x:v>4</x:v>
      </x:c>
      <x:c r="J1253" s="14" t="n">
        <x:v>11</x:v>
      </x:c>
      <x:c r="K1253" s="14" t="n">
        <x:v>3</x:v>
      </x:c>
      <x:c r="L1253" s="15" t="n">
        <x:f>IF(J1253=0,"해당 없음",K1253/J1253)</x:f>
        <x:v>0.2727272727272727</x:v>
      </x:c>
      <x:c r="M1253" s="14" t="n">
        <x:v>7</x:v>
      </x:c>
      <x:c r="N1253" s="14" t="n">
        <x:v>6</x:v>
      </x:c>
      <x:c r="O1253" s="15" t="n">
        <x:f>IF(M1253=0,"해당 없음",N1253/M1253)</x:f>
        <x:v>0.8571428571428571</x:v>
      </x:c>
      <x:c r="P1253" s="14" t="n">
        <x:v>104</x:v>
      </x:c>
    </x:row>
    <x:row r="1254" ht="22" customHeight="1">
      <x:c r="A1254" s="14" t="n">
        <x:v>625</x:v>
      </x:c>
      <x:c r="B1254" s="14" t="n">
        <x:v>16</x:v>
      </x:c>
      <x:c r="C1254" s="14" t="n">
        <x:v>76012</x:v>
      </x:c>
      <x:c r="D1254" s="2" t="str">
        <x:v>RED</x:v>
      </x:c>
      <x:c r="E1254" s="2" t="str">
        <x:v>40만</x:v>
      </x:c>
      <x:c r="F1254" s="2" t="str">
        <x:v>160만</x:v>
      </x:c>
      <x:c r="G1254" s="2" t="str">
        <x:v>승</x:v>
      </x:c>
      <x:c r="H1254" s="14" t="n">
        <x:v>4</x:v>
      </x:c>
      <x:c r="I1254" s="14" t="n">
        <x:v>3</x:v>
      </x:c>
      <x:c r="J1254" s="14" t="n">
        <x:v>8</x:v>
      </x:c>
      <x:c r="K1254" s="14" t="n">
        <x:v>4</x:v>
      </x:c>
      <x:c r="L1254" s="15" t="n">
        <x:f>IF(J1254=0,"해당 없음",K1254/J1254)</x:f>
        <x:v>0.5</x:v>
      </x:c>
      <x:c r="M1254" s="14" t="n">
        <x:v>11</x:v>
      </x:c>
      <x:c r="N1254" s="14" t="n">
        <x:v>7</x:v>
      </x:c>
      <x:c r="O1254" s="15" t="n">
        <x:f>IF(M1254=0,"해당 없음",N1254/M1254)</x:f>
        <x:v>0.6363636363636364</x:v>
      </x:c>
      <x:c r="P1254" s="14" t="n">
        <x:v>103</x:v>
      </x:c>
    </x:row>
    <x:row r="1255" ht="22" customHeight="1">
      <x:c r="A1255" s="14" t="n">
        <x:v>625</x:v>
      </x:c>
      <x:c r="B1255" s="14" t="n">
        <x:v>16</x:v>
      </x:c>
      <x:c r="C1255" s="14" t="n">
        <x:v>76012</x:v>
      </x:c>
      <x:c r="D1255" s="2" t="str">
        <x:v>NAVY</x:v>
      </x:c>
      <x:c r="E1255" s="2" t="str">
        <x:v>160만</x:v>
      </x:c>
      <x:c r="F1255" s="2" t="str">
        <x:v>40만</x:v>
      </x:c>
      <x:c r="G1255" s="2" t="str">
        <x:v>패</x:v>
      </x:c>
      <x:c r="H1255" s="14" t="n">
        <x:v>3</x:v>
      </x:c>
      <x:c r="I1255" s="14" t="n">
        <x:v>4</x:v>
      </x:c>
      <x:c r="J1255" s="14" t="n">
        <x:v>9</x:v>
      </x:c>
      <x:c r="K1255" s="14" t="n">
        <x:v>3</x:v>
      </x:c>
      <x:c r="L1255" s="15" t="n">
        <x:f>IF(J1255=0,"해당 없음",K1255/J1255)</x:f>
        <x:v>0.3333333333333333</x:v>
      </x:c>
      <x:c r="M1255" s="14" t="n">
        <x:v>4</x:v>
      </x:c>
      <x:c r="N1255" s="14" t="n">
        <x:v>2</x:v>
      </x:c>
      <x:c r="O1255" s="15" t="n">
        <x:f>IF(M1255=0,"해당 없음",N1255/M1255)</x:f>
        <x:v>0.5</x:v>
      </x:c>
      <x:c r="P1255" s="14" t="n">
        <x:v>104</x:v>
      </x:c>
    </x:row>
    <x:row r="1256" ht="22" customHeight="1">
      <x:c r="A1256" s="14" t="n">
        <x:v>626</x:v>
      </x:c>
      <x:c r="B1256" s="14" t="n">
        <x:v>16</x:v>
      </x:c>
      <x:c r="C1256" s="14" t="n">
        <x:v>76012</x:v>
      </x:c>
      <x:c r="D1256" s="2" t="str">
        <x:v>RED</x:v>
      </x:c>
      <x:c r="E1256" s="2" t="str">
        <x:v>160만</x:v>
      </x:c>
      <x:c r="F1256" s="2" t="str">
        <x:v>40만</x:v>
      </x:c>
      <x:c r="G1256" s="2" t="str">
        <x:v>승</x:v>
      </x:c>
      <x:c r="H1256" s="14" t="n">
        <x:v>1</x:v>
      </x:c>
      <x:c r="I1256" s="14" t="n">
        <x:v>0</x:v>
      </x:c>
      <x:c r="J1256" s="14" t="n">
        <x:v>5</x:v>
      </x:c>
      <x:c r="K1256" s="14" t="n">
        <x:v>1</x:v>
      </x:c>
      <x:c r="L1256" s="15" t="n">
        <x:f>IF(J1256=0,"해당 없음",K1256/J1256)</x:f>
        <x:v>0.2</x:v>
      </x:c>
      <x:c r="M1256" s="14" t="n">
        <x:v>14</x:v>
      </x:c>
      <x:c r="N1256" s="14" t="n">
        <x:v>9</x:v>
      </x:c>
      <x:c r="O1256" s="15" t="n">
        <x:f>IF(M1256=0,"해당 없음",N1256/M1256)</x:f>
        <x:v>0.6428571428571429</x:v>
      </x:c>
      <x:c r="P1256" s="14" t="n">
        <x:v>100</x:v>
      </x:c>
    </x:row>
    <x:row r="1257" ht="22" customHeight="1">
      <x:c r="A1257" s="14" t="n">
        <x:v>626</x:v>
      </x:c>
      <x:c r="B1257" s="14" t="n">
        <x:v>16</x:v>
      </x:c>
      <x:c r="C1257" s="14" t="n">
        <x:v>76012</x:v>
      </x:c>
      <x:c r="D1257" s="2" t="str">
        <x:v>NAVY</x:v>
      </x:c>
      <x:c r="E1257" s="2" t="str">
        <x:v>40만</x:v>
      </x:c>
      <x:c r="F1257" s="2" t="str">
        <x:v>160만</x:v>
      </x:c>
      <x:c r="G1257" s="2" t="str">
        <x:v>패</x:v>
      </x:c>
      <x:c r="H1257" s="14" t="n">
        <x:v>0</x:v>
      </x:c>
      <x:c r="I1257" s="14" t="n">
        <x:v>1</x:v>
      </x:c>
      <x:c r="J1257" s="14" t="n">
        <x:v>6</x:v>
      </x:c>
      <x:c r="K1257" s="14" t="n">
        <x:v>0</x:v>
      </x:c>
      <x:c r="L1257" s="15" t="n">
        <x:f>IF(J1257=0,"해당 없음",K1257/J1257)</x:f>
        <x:v>0</x:v>
      </x:c>
      <x:c r="M1257" s="14" t="n">
        <x:v>12</x:v>
      </x:c>
      <x:c r="N1257" s="14" t="n">
        <x:v>5</x:v>
      </x:c>
      <x:c r="O1257" s="15" t="n">
        <x:f>IF(M1257=0,"해당 없음",N1257/M1257)</x:f>
        <x:v>0.4166666666666667</x:v>
      </x:c>
      <x:c r="P1257" s="14" t="n">
        <x:v>101</x:v>
      </x:c>
    </x:row>
    <x:row r="1258" ht="22" customHeight="1">
      <x:c r="A1258" s="14" t="n">
        <x:v>627</x:v>
      </x:c>
      <x:c r="B1258" s="14" t="n">
        <x:v>16</x:v>
      </x:c>
      <x:c r="C1258" s="14" t="n">
        <x:v>76013</x:v>
      </x:c>
      <x:c r="D1258" s="2" t="str">
        <x:v>RED</x:v>
      </x:c>
      <x:c r="E1258" s="2" t="str">
        <x:v>40만</x:v>
      </x:c>
      <x:c r="F1258" s="2" t="str">
        <x:v>160만</x:v>
      </x:c>
      <x:c r="G1258" s="2" t="str">
        <x:v>패</x:v>
      </x:c>
      <x:c r="H1258" s="14" t="n">
        <x:v>1</x:v>
      </x:c>
      <x:c r="I1258" s="14" t="n">
        <x:v>5</x:v>
      </x:c>
      <x:c r="J1258" s="14" t="n">
        <x:v>6</x:v>
      </x:c>
      <x:c r="K1258" s="14" t="n">
        <x:v>1</x:v>
      </x:c>
      <x:c r="L1258" s="15" t="n">
        <x:f>IF(J1258=0,"해당 없음",K1258/J1258)</x:f>
        <x:v>0.16666666666666666</x:v>
      </x:c>
      <x:c r="M1258" s="14" t="n">
        <x:v>11</x:v>
      </x:c>
      <x:c r="N1258" s="14" t="n">
        <x:v>4</x:v>
      </x:c>
      <x:c r="O1258" s="15" t="n">
        <x:f>IF(M1258=0,"해당 없음",N1258/M1258)</x:f>
        <x:v>0.36363636363636365</x:v>
      </x:c>
      <x:c r="P1258" s="14" t="n">
        <x:v>102</x:v>
      </x:c>
    </x:row>
    <x:row r="1259" ht="22" customHeight="1">
      <x:c r="A1259" s="14" t="n">
        <x:v>627</x:v>
      </x:c>
      <x:c r="B1259" s="14" t="n">
        <x:v>16</x:v>
      </x:c>
      <x:c r="C1259" s="14" t="n">
        <x:v>76013</x:v>
      </x:c>
      <x:c r="D1259" s="2" t="str">
        <x:v>NAVY</x:v>
      </x:c>
      <x:c r="E1259" s="2" t="str">
        <x:v>160만</x:v>
      </x:c>
      <x:c r="F1259" s="2" t="str">
        <x:v>40만</x:v>
      </x:c>
      <x:c r="G1259" s="2" t="str">
        <x:v>승</x:v>
      </x:c>
      <x:c r="H1259" s="14" t="n">
        <x:v>5</x:v>
      </x:c>
      <x:c r="I1259" s="14" t="n">
        <x:v>1</x:v>
      </x:c>
      <x:c r="J1259" s="14" t="n">
        <x:v>10</x:v>
      </x:c>
      <x:c r="K1259" s="14" t="n">
        <x:v>5</x:v>
      </x:c>
      <x:c r="L1259" s="15" t="n">
        <x:f>IF(J1259=0,"해당 없음",K1259/J1259)</x:f>
        <x:v>0.5</x:v>
      </x:c>
      <x:c r="M1259" s="14" t="n">
        <x:v>8</x:v>
      </x:c>
      <x:c r="N1259" s="14" t="n">
        <x:v>7</x:v>
      </x:c>
      <x:c r="O1259" s="15" t="n">
        <x:f>IF(M1259=0,"해당 없음",N1259/M1259)</x:f>
        <x:v>0.875</x:v>
      </x:c>
      <x:c r="P1259" s="14" t="n">
        <x:v>106</x:v>
      </x:c>
    </x:row>
    <x:row r="1260" ht="22" customHeight="1">
      <x:c r="A1260" s="14" t="n">
        <x:v>628</x:v>
      </x:c>
      <x:c r="B1260" s="14" t="n">
        <x:v>16</x:v>
      </x:c>
      <x:c r="C1260" s="14" t="n">
        <x:v>76013</x:v>
      </x:c>
      <x:c r="D1260" s="2" t="str">
        <x:v>RED</x:v>
      </x:c>
      <x:c r="E1260" s="2" t="str">
        <x:v>160만</x:v>
      </x:c>
      <x:c r="F1260" s="2" t="str">
        <x:v>40만</x:v>
      </x:c>
      <x:c r="G1260" s="2" t="str">
        <x:v>승</x:v>
      </x:c>
      <x:c r="H1260" s="14" t="n">
        <x:v>4</x:v>
      </x:c>
      <x:c r="I1260" s="14" t="n">
        <x:v>0</x:v>
      </x:c>
      <x:c r="J1260" s="14" t="n">
        <x:v>9</x:v>
      </x:c>
      <x:c r="K1260" s="14" t="n">
        <x:v>4</x:v>
      </x:c>
      <x:c r="L1260" s="15" t="n">
        <x:f>IF(J1260=0,"해당 없음",K1260/J1260)</x:f>
        <x:v>0.4444444444444444</x:v>
      </x:c>
      <x:c r="M1260" s="14" t="n">
        <x:v>11</x:v>
      </x:c>
      <x:c r="N1260" s="14" t="n">
        <x:v>9</x:v>
      </x:c>
      <x:c r="O1260" s="15" t="n">
        <x:f>IF(M1260=0,"해당 없음",N1260/M1260)</x:f>
        <x:v>0.8181818181818182</x:v>
      </x:c>
      <x:c r="P1260" s="14" t="n">
        <x:v>102</x:v>
      </x:c>
    </x:row>
    <x:row r="1261" ht="22" customHeight="1">
      <x:c r="A1261" s="14" t="n">
        <x:v>628</x:v>
      </x:c>
      <x:c r="B1261" s="14" t="n">
        <x:v>16</x:v>
      </x:c>
      <x:c r="C1261" s="14" t="n">
        <x:v>76013</x:v>
      </x:c>
      <x:c r="D1261" s="2" t="str">
        <x:v>NAVY</x:v>
      </x:c>
      <x:c r="E1261" s="2" t="str">
        <x:v>40만</x:v>
      </x:c>
      <x:c r="F1261" s="2" t="str">
        <x:v>160만</x:v>
      </x:c>
      <x:c r="G1261" s="2" t="str">
        <x:v>패</x:v>
      </x:c>
      <x:c r="H1261" s="14" t="n">
        <x:v>0</x:v>
      </x:c>
      <x:c r="I1261" s="14" t="n">
        <x:v>4</x:v>
      </x:c>
      <x:c r="J1261" s="14" t="n">
        <x:v>6</x:v>
      </x:c>
      <x:c r="K1261" s="14" t="n">
        <x:v>0</x:v>
      </x:c>
      <x:c r="L1261" s="15" t="n">
        <x:f>IF(J1261=0,"해당 없음",K1261/J1261)</x:f>
        <x:v>0</x:v>
      </x:c>
      <x:c r="M1261" s="14" t="n">
        <x:v>10</x:v>
      </x:c>
      <x:c r="N1261" s="14" t="n">
        <x:v>7</x:v>
      </x:c>
      <x:c r="O1261" s="15" t="n">
        <x:f>IF(M1261=0,"해당 없음",N1261/M1261)</x:f>
        <x:v>0.7</x:v>
      </x:c>
      <x:c r="P1261" s="14" t="n">
        <x:v>104</x:v>
      </x:c>
    </x:row>
    <x:row r="1262" ht="22" customHeight="1">
      <x:c r="A1262" s="14" t="n">
        <x:v>629</x:v>
      </x:c>
      <x:c r="B1262" s="14" t="n">
        <x:v>16</x:v>
      </x:c>
      <x:c r="C1262" s="14" t="n">
        <x:v>76014</x:v>
      </x:c>
      <x:c r="D1262" s="2" t="str">
        <x:v>RED</x:v>
      </x:c>
      <x:c r="E1262" s="2" t="str">
        <x:v>40만</x:v>
      </x:c>
      <x:c r="F1262" s="2" t="str">
        <x:v>160만</x:v>
      </x:c>
      <x:c r="G1262" s="2" t="str">
        <x:v>패</x:v>
      </x:c>
      <x:c r="H1262" s="14" t="n">
        <x:v>0</x:v>
      </x:c>
      <x:c r="I1262" s="14" t="n">
        <x:v>4</x:v>
      </x:c>
      <x:c r="J1262" s="14" t="n">
        <x:v>6</x:v>
      </x:c>
      <x:c r="K1262" s="14" t="n">
        <x:v>0</x:v>
      </x:c>
      <x:c r="L1262" s="15" t="n">
        <x:f>IF(J1262=0,"해당 없음",K1262/J1262)</x:f>
        <x:v>0</x:v>
      </x:c>
      <x:c r="M1262" s="14" t="n">
        <x:v>5</x:v>
      </x:c>
      <x:c r="N1262" s="14" t="n">
        <x:v>4</x:v>
      </x:c>
      <x:c r="O1262" s="15" t="n">
        <x:f>IF(M1262=0,"해당 없음",N1262/M1262)</x:f>
        <x:v>0.8</x:v>
      </x:c>
      <x:c r="P1262" s="14" t="n">
        <x:v>104</x:v>
      </x:c>
    </x:row>
    <x:row r="1263" ht="22" customHeight="1">
      <x:c r="A1263" s="14" t="n">
        <x:v>629</x:v>
      </x:c>
      <x:c r="B1263" s="14" t="n">
        <x:v>16</x:v>
      </x:c>
      <x:c r="C1263" s="14" t="n">
        <x:v>76014</x:v>
      </x:c>
      <x:c r="D1263" s="2" t="str">
        <x:v>NAVY</x:v>
      </x:c>
      <x:c r="E1263" s="2" t="str">
        <x:v>160만</x:v>
      </x:c>
      <x:c r="F1263" s="2" t="str">
        <x:v>40만</x:v>
      </x:c>
      <x:c r="G1263" s="2" t="str">
        <x:v>승</x:v>
      </x:c>
      <x:c r="H1263" s="14" t="n">
        <x:v>4</x:v>
      </x:c>
      <x:c r="I1263" s="14" t="n">
        <x:v>0</x:v>
      </x:c>
      <x:c r="J1263" s="14" t="n">
        <x:v>11</x:v>
      </x:c>
      <x:c r="K1263" s="14" t="n">
        <x:v>4</x:v>
      </x:c>
      <x:c r="L1263" s="15" t="n">
        <x:f>IF(J1263=0,"해당 없음",K1263/J1263)</x:f>
        <x:v>0.36363636363636365</x:v>
      </x:c>
      <x:c r="M1263" s="14" t="n">
        <x:v>12</x:v>
      </x:c>
      <x:c r="N1263" s="14" t="n">
        <x:v>9</x:v>
      </x:c>
      <x:c r="O1263" s="15" t="n">
        <x:f>IF(M1263=0,"해당 없음",N1263/M1263)</x:f>
        <x:v>0.75</x:v>
      </x:c>
      <x:c r="P1263" s="14" t="n">
        <x:v>102</x:v>
      </x:c>
    </x:row>
    <x:row r="1264" ht="22" customHeight="1">
      <x:c r="A1264" s="14" t="n">
        <x:v>630</x:v>
      </x:c>
      <x:c r="B1264" s="14" t="n">
        <x:v>16</x:v>
      </x:c>
      <x:c r="C1264" s="14" t="n">
        <x:v>76014</x:v>
      </x:c>
      <x:c r="D1264" s="2" t="str">
        <x:v>RED</x:v>
      </x:c>
      <x:c r="E1264" s="2" t="str">
        <x:v>160만</x:v>
      </x:c>
      <x:c r="F1264" s="2" t="str">
        <x:v>40만</x:v>
      </x:c>
      <x:c r="G1264" s="2" t="str">
        <x:v>승</x:v>
      </x:c>
      <x:c r="H1264" s="14" t="n">
        <x:v>4</x:v>
      </x:c>
      <x:c r="I1264" s="14" t="n">
        <x:v>2</x:v>
      </x:c>
      <x:c r="J1264" s="14" t="n">
        <x:v>9</x:v>
      </x:c>
      <x:c r="K1264" s="14" t="n">
        <x:v>4</x:v>
      </x:c>
      <x:c r="L1264" s="15" t="n">
        <x:f>IF(J1264=0,"해당 없음",K1264/J1264)</x:f>
        <x:v>0.4444444444444444</x:v>
      </x:c>
      <x:c r="M1264" s="14" t="n">
        <x:v>7</x:v>
      </x:c>
      <x:c r="N1264" s="14" t="n">
        <x:v>4</x:v>
      </x:c>
      <x:c r="O1264" s="15" t="n">
        <x:f>IF(M1264=0,"해당 없음",N1264/M1264)</x:f>
        <x:v>0.5714285714285714</x:v>
      </x:c>
      <x:c r="P1264" s="14" t="n">
        <x:v>103</x:v>
      </x:c>
    </x:row>
    <x:row r="1265" ht="22" customHeight="1">
      <x:c r="A1265" s="14" t="n">
        <x:v>630</x:v>
      </x:c>
      <x:c r="B1265" s="14" t="n">
        <x:v>16</x:v>
      </x:c>
      <x:c r="C1265" s="14" t="n">
        <x:v>76014</x:v>
      </x:c>
      <x:c r="D1265" s="2" t="str">
        <x:v>NAVY</x:v>
      </x:c>
      <x:c r="E1265" s="2" t="str">
        <x:v>40만</x:v>
      </x:c>
      <x:c r="F1265" s="2" t="str">
        <x:v>160만</x:v>
      </x:c>
      <x:c r="G1265" s="2" t="str">
        <x:v>패</x:v>
      </x:c>
      <x:c r="H1265" s="14" t="n">
        <x:v>2</x:v>
      </x:c>
      <x:c r="I1265" s="14" t="n">
        <x:v>4</x:v>
      </x:c>
      <x:c r="J1265" s="14" t="n">
        <x:v>8</x:v>
      </x:c>
      <x:c r="K1265" s="14" t="n">
        <x:v>1</x:v>
      </x:c>
      <x:c r="L1265" s="15" t="n">
        <x:f>IF(J1265=0,"해당 없음",K1265/J1265)</x:f>
        <x:v>0.125</x:v>
      </x:c>
      <x:c r="M1265" s="14" t="n">
        <x:v>10</x:v>
      </x:c>
      <x:c r="N1265" s="14" t="n">
        <x:v>9</x:v>
      </x:c>
      <x:c r="O1265" s="15" t="n">
        <x:f>IF(M1265=0,"해당 없음",N1265/M1265)</x:f>
        <x:v>0.9</x:v>
      </x:c>
      <x:c r="P1265" s="14" t="n">
        <x:v>103</x:v>
      </x:c>
    </x:row>
    <x:row r="1266" ht="22" customHeight="1">
      <x:c r="A1266" s="14" t="n">
        <x:v>631</x:v>
      </x:c>
      <x:c r="B1266" s="14" t="n">
        <x:v>16</x:v>
      </x:c>
      <x:c r="C1266" s="14" t="n">
        <x:v>76015</x:v>
      </x:c>
      <x:c r="D1266" s="2" t="str">
        <x:v>RED</x:v>
      </x:c>
      <x:c r="E1266" s="2" t="str">
        <x:v>40만</x:v>
      </x:c>
      <x:c r="F1266" s="2" t="str">
        <x:v>160만</x:v>
      </x:c>
      <x:c r="G1266" s="2" t="str">
        <x:v>패</x:v>
      </x:c>
      <x:c r="H1266" s="14" t="n">
        <x:v>2</x:v>
      </x:c>
      <x:c r="I1266" s="14" t="n">
        <x:v>5</x:v>
      </x:c>
      <x:c r="J1266" s="14" t="n">
        <x:v>4</x:v>
      </x:c>
      <x:c r="K1266" s="14" t="n">
        <x:v>2</x:v>
      </x:c>
      <x:c r="L1266" s="15" t="n">
        <x:f>IF(J1266=0,"해당 없음",K1266/J1266)</x:f>
        <x:v>0.5</x:v>
      </x:c>
      <x:c r="M1266" s="14" t="n">
        <x:v>7</x:v>
      </x:c>
      <x:c r="N1266" s="14" t="n">
        <x:v>2</x:v>
      </x:c>
      <x:c r="O1266" s="15" t="n">
        <x:f>IF(M1266=0,"해당 없음",N1266/M1266)</x:f>
        <x:v>0.2857142857142857</x:v>
      </x:c>
      <x:c r="P1266" s="14" t="n">
        <x:v>103</x:v>
      </x:c>
    </x:row>
    <x:row r="1267" ht="22" customHeight="1">
      <x:c r="A1267" s="14" t="n">
        <x:v>631</x:v>
      </x:c>
      <x:c r="B1267" s="14" t="n">
        <x:v>16</x:v>
      </x:c>
      <x:c r="C1267" s="14" t="n">
        <x:v>76015</x:v>
      </x:c>
      <x:c r="D1267" s="2" t="str">
        <x:v>NAVY</x:v>
      </x:c>
      <x:c r="E1267" s="2" t="str">
        <x:v>160만</x:v>
      </x:c>
      <x:c r="F1267" s="2" t="str">
        <x:v>40만</x:v>
      </x:c>
      <x:c r="G1267" s="2" t="str">
        <x:v>승</x:v>
      </x:c>
      <x:c r="H1267" s="14" t="n">
        <x:v>5</x:v>
      </x:c>
      <x:c r="I1267" s="14" t="n">
        <x:v>2</x:v>
      </x:c>
      <x:c r="J1267" s="14" t="n">
        <x:v>12</x:v>
      </x:c>
      <x:c r="K1267" s="14" t="n">
        <x:v>5</x:v>
      </x:c>
      <x:c r="L1267" s="15" t="n">
        <x:f>IF(J1267=0,"해당 없음",K1267/J1267)</x:f>
        <x:v>0.4166666666666667</x:v>
      </x:c>
      <x:c r="M1267" s="14" t="n">
        <x:v>8</x:v>
      </x:c>
      <x:c r="N1267" s="14" t="n">
        <x:v>5</x:v>
      </x:c>
      <x:c r="O1267" s="15" t="n">
        <x:f>IF(M1267=0,"해당 없음",N1267/M1267)</x:f>
        <x:v>0.625</x:v>
      </x:c>
      <x:c r="P1267" s="14" t="n">
        <x:v>103</x:v>
      </x:c>
    </x:row>
    <x:row r="1268" ht="22" customHeight="1">
      <x:c r="A1268" s="14" t="n">
        <x:v>632</x:v>
      </x:c>
      <x:c r="B1268" s="14" t="n">
        <x:v>16</x:v>
      </x:c>
      <x:c r="C1268" s="14" t="n">
        <x:v>76015</x:v>
      </x:c>
      <x:c r="D1268" s="2" t="str">
        <x:v>RED</x:v>
      </x:c>
      <x:c r="E1268" s="2" t="str">
        <x:v>160만</x:v>
      </x:c>
      <x:c r="F1268" s="2" t="str">
        <x:v>40만</x:v>
      </x:c>
      <x:c r="G1268" s="2" t="str">
        <x:v>승</x:v>
      </x:c>
      <x:c r="H1268" s="14" t="n">
        <x:v>8</x:v>
      </x:c>
      <x:c r="I1268" s="14" t="n">
        <x:v>0</x:v>
      </x:c>
      <x:c r="J1268" s="14" t="n">
        <x:v>12</x:v>
      </x:c>
      <x:c r="K1268" s="14" t="n">
        <x:v>8</x:v>
      </x:c>
      <x:c r="L1268" s="15" t="n">
        <x:f>IF(J1268=0,"해당 없음",K1268/J1268)</x:f>
        <x:v>0.6666666666666666</x:v>
      </x:c>
      <x:c r="M1268" s="14" t="n">
        <x:v>14</x:v>
      </x:c>
      <x:c r="N1268" s="14" t="n">
        <x:v>10</x:v>
      </x:c>
      <x:c r="O1268" s="15" t="n">
        <x:f>IF(M1268=0,"해당 없음",N1268/M1268)</x:f>
        <x:v>0.7142857142857143</x:v>
      </x:c>
      <x:c r="P1268" s="14" t="n">
        <x:v>105</x:v>
      </x:c>
    </x:row>
    <x:row r="1269" ht="22" customHeight="1">
      <x:c r="A1269" s="14" t="n">
        <x:v>632</x:v>
      </x:c>
      <x:c r="B1269" s="14" t="n">
        <x:v>16</x:v>
      </x:c>
      <x:c r="C1269" s="14" t="n">
        <x:v>76015</x:v>
      </x:c>
      <x:c r="D1269" s="2" t="str">
        <x:v>NAVY</x:v>
      </x:c>
      <x:c r="E1269" s="2" t="str">
        <x:v>40만</x:v>
      </x:c>
      <x:c r="F1269" s="2" t="str">
        <x:v>160만</x:v>
      </x:c>
      <x:c r="G1269" s="2" t="str">
        <x:v>패</x:v>
      </x:c>
      <x:c r="H1269" s="14" t="n">
        <x:v>0</x:v>
      </x:c>
      <x:c r="I1269" s="14" t="n">
        <x:v>8</x:v>
      </x:c>
      <x:c r="J1269" s="14" t="n">
        <x:v>7</x:v>
      </x:c>
      <x:c r="K1269" s="14" t="n">
        <x:v>0</x:v>
      </x:c>
      <x:c r="L1269" s="15" t="n">
        <x:f>IF(J1269=0,"해당 없음",K1269/J1269)</x:f>
        <x:v>0</x:v>
      </x:c>
      <x:c r="M1269" s="14" t="n">
        <x:v>6</x:v>
      </x:c>
      <x:c r="N1269" s="14" t="n">
        <x:v>4</x:v>
      </x:c>
      <x:c r="O1269" s="15" t="n">
        <x:f>IF(M1269=0,"해당 없음",N1269/M1269)</x:f>
        <x:v>0.6666666666666666</x:v>
      </x:c>
      <x:c r="P1269" s="14" t="n">
        <x:v>104</x:v>
      </x:c>
    </x:row>
    <x:row r="1270" ht="22" customHeight="1">
      <x:c r="A1270" s="14" t="n">
        <x:v>633</x:v>
      </x:c>
      <x:c r="B1270" s="14" t="n">
        <x:v>16</x:v>
      </x:c>
      <x:c r="C1270" s="14" t="n">
        <x:v>76016</x:v>
      </x:c>
      <x:c r="D1270" s="2" t="str">
        <x:v>RED</x:v>
      </x:c>
      <x:c r="E1270" s="2" t="str">
        <x:v>40만</x:v>
      </x:c>
      <x:c r="F1270" s="2" t="str">
        <x:v>160만</x:v>
      </x:c>
      <x:c r="G1270" s="2" t="str">
        <x:v>패</x:v>
      </x:c>
      <x:c r="H1270" s="14" t="n">
        <x:v>0</x:v>
      </x:c>
      <x:c r="I1270" s="14" t="n">
        <x:v>3</x:v>
      </x:c>
      <x:c r="J1270" s="14" t="n">
        <x:v>6</x:v>
      </x:c>
      <x:c r="K1270" s="14" t="n">
        <x:v>0</x:v>
      </x:c>
      <x:c r="L1270" s="15" t="n">
        <x:f>IF(J1270=0,"해당 없음",K1270/J1270)</x:f>
        <x:v>0</x:v>
      </x:c>
      <x:c r="M1270" s="14" t="n">
        <x:v>9</x:v>
      </x:c>
      <x:c r="N1270" s="14" t="n">
        <x:v>4</x:v>
      </x:c>
      <x:c r="O1270" s="15" t="n">
        <x:f>IF(M1270=0,"해당 없음",N1270/M1270)</x:f>
        <x:v>0.4444444444444444</x:v>
      </x:c>
      <x:c r="P1270" s="14" t="n">
        <x:v>103</x:v>
      </x:c>
    </x:row>
    <x:row r="1271" ht="22" customHeight="1">
      <x:c r="A1271" s="14" t="n">
        <x:v>633</x:v>
      </x:c>
      <x:c r="B1271" s="14" t="n">
        <x:v>16</x:v>
      </x:c>
      <x:c r="C1271" s="14" t="n">
        <x:v>76016</x:v>
      </x:c>
      <x:c r="D1271" s="2" t="str">
        <x:v>NAVY</x:v>
      </x:c>
      <x:c r="E1271" s="2" t="str">
        <x:v>160만</x:v>
      </x:c>
      <x:c r="F1271" s="2" t="str">
        <x:v>40만</x:v>
      </x:c>
      <x:c r="G1271" s="2" t="str">
        <x:v>승</x:v>
      </x:c>
      <x:c r="H1271" s="14" t="n">
        <x:v>3</x:v>
      </x:c>
      <x:c r="I1271" s="14" t="n">
        <x:v>0</x:v>
      </x:c>
      <x:c r="J1271" s="14" t="n">
        <x:v>6</x:v>
      </x:c>
      <x:c r="K1271" s="14" t="n">
        <x:v>3</x:v>
      </x:c>
      <x:c r="L1271" s="15" t="n">
        <x:f>IF(J1271=0,"해당 없음",K1271/J1271)</x:f>
        <x:v>0.5</x:v>
      </x:c>
      <x:c r="M1271" s="14" t="n">
        <x:v>8</x:v>
      </x:c>
      <x:c r="N1271" s="14" t="n">
        <x:v>6</x:v>
      </x:c>
      <x:c r="O1271" s="15" t="n">
        <x:f>IF(M1271=0,"해당 없음",N1271/M1271)</x:f>
        <x:v>0.75</x:v>
      </x:c>
      <x:c r="P1271" s="14" t="n">
        <x:v>102</x:v>
      </x:c>
    </x:row>
    <x:row r="1272" ht="22" customHeight="1">
      <x:c r="A1272" s="14" t="n">
        <x:v>634</x:v>
      </x:c>
      <x:c r="B1272" s="14" t="n">
        <x:v>16</x:v>
      </x:c>
      <x:c r="C1272" s="14" t="n">
        <x:v>76016</x:v>
      </x:c>
      <x:c r="D1272" s="2" t="str">
        <x:v>RED</x:v>
      </x:c>
      <x:c r="E1272" s="2" t="str">
        <x:v>160만</x:v>
      </x:c>
      <x:c r="F1272" s="2" t="str">
        <x:v>40만</x:v>
      </x:c>
      <x:c r="G1272" s="2" t="str">
        <x:v>무</x:v>
      </x:c>
      <x:c r="H1272" s="14" t="n">
        <x:v>3</x:v>
      </x:c>
      <x:c r="I1272" s="14" t="n">
        <x:v>3</x:v>
      </x:c>
      <x:c r="J1272" s="14" t="n">
        <x:v>9</x:v>
      </x:c>
      <x:c r="K1272" s="14" t="n">
        <x:v>3</x:v>
      </x:c>
      <x:c r="L1272" s="15" t="n">
        <x:f>IF(J1272=0,"해당 없음",K1272/J1272)</x:f>
        <x:v>0.3333333333333333</x:v>
      </x:c>
      <x:c r="M1272" s="14" t="n">
        <x:v>6</x:v>
      </x:c>
      <x:c r="N1272" s="14" t="n">
        <x:v>6</x:v>
      </x:c>
      <x:c r="O1272" s="15" t="n">
        <x:f>IF(M1272=0,"해당 없음",N1272/M1272)</x:f>
        <x:v>1</x:v>
      </x:c>
      <x:c r="P1272" s="14" t="n">
        <x:v>102</x:v>
      </x:c>
    </x:row>
    <x:row r="1273" ht="22" customHeight="1">
      <x:c r="A1273" s="14" t="n">
        <x:v>634</x:v>
      </x:c>
      <x:c r="B1273" s="14" t="n">
        <x:v>16</x:v>
      </x:c>
      <x:c r="C1273" s="14" t="n">
        <x:v>76016</x:v>
      </x:c>
      <x:c r="D1273" s="2" t="str">
        <x:v>NAVY</x:v>
      </x:c>
      <x:c r="E1273" s="2" t="str">
        <x:v>40만</x:v>
      </x:c>
      <x:c r="F1273" s="2" t="str">
        <x:v>160만</x:v>
      </x:c>
      <x:c r="G1273" s="2" t="str">
        <x:v>무</x:v>
      </x:c>
      <x:c r="H1273" s="14" t="n">
        <x:v>3</x:v>
      </x:c>
      <x:c r="I1273" s="14" t="n">
        <x:v>3</x:v>
      </x:c>
      <x:c r="J1273" s="14" t="n">
        <x:v>8</x:v>
      </x:c>
      <x:c r="K1273" s="14" t="n">
        <x:v>3</x:v>
      </x:c>
      <x:c r="L1273" s="15" t="n">
        <x:f>IF(J1273=0,"해당 없음",K1273/J1273)</x:f>
        <x:v>0.375</x:v>
      </x:c>
      <x:c r="M1273" s="14" t="n">
        <x:v>8</x:v>
      </x:c>
      <x:c r="N1273" s="14" t="n">
        <x:v>6</x:v>
      </x:c>
      <x:c r="O1273" s="15" t="n">
        <x:f>IF(M1273=0,"해당 없음",N1273/M1273)</x:f>
        <x:v>0.75</x:v>
      </x:c>
      <x:c r="P1273" s="14" t="n">
        <x:v>104</x:v>
      </x:c>
    </x:row>
    <x:row r="1274" ht="22" customHeight="1">
      <x:c r="A1274" s="14" t="n">
        <x:v>635</x:v>
      </x:c>
      <x:c r="B1274" s="14" t="n">
        <x:v>16</x:v>
      </x:c>
      <x:c r="C1274" s="14" t="n">
        <x:v>76017</x:v>
      </x:c>
      <x:c r="D1274" s="2" t="str">
        <x:v>RED</x:v>
      </x:c>
      <x:c r="E1274" s="2" t="str">
        <x:v>40만</x:v>
      </x:c>
      <x:c r="F1274" s="2" t="str">
        <x:v>160만</x:v>
      </x:c>
      <x:c r="G1274" s="2" t="str">
        <x:v>패</x:v>
      </x:c>
      <x:c r="H1274" s="14" t="n">
        <x:v>0</x:v>
      </x:c>
      <x:c r="I1274" s="14" t="n">
        <x:v>5</x:v>
      </x:c>
      <x:c r="J1274" s="14" t="n">
        <x:v>5</x:v>
      </x:c>
      <x:c r="K1274" s="14" t="n">
        <x:v>0</x:v>
      </x:c>
      <x:c r="L1274" s="15" t="n">
        <x:f>IF(J1274=0,"해당 없음",K1274/J1274)</x:f>
        <x:v>0</x:v>
      </x:c>
      <x:c r="M1274" s="14" t="n">
        <x:v>8</x:v>
      </x:c>
      <x:c r="N1274" s="14" t="n">
        <x:v>5</x:v>
      </x:c>
      <x:c r="O1274" s="15" t="n">
        <x:f>IF(M1274=0,"해당 없음",N1274/M1274)</x:f>
        <x:v>0.625</x:v>
      </x:c>
      <x:c r="P1274" s="14" t="n">
        <x:v>101</x:v>
      </x:c>
    </x:row>
    <x:row r="1275" ht="22" customHeight="1">
      <x:c r="A1275" s="14" t="n">
        <x:v>635</x:v>
      </x:c>
      <x:c r="B1275" s="14" t="n">
        <x:v>16</x:v>
      </x:c>
      <x:c r="C1275" s="14" t="n">
        <x:v>76017</x:v>
      </x:c>
      <x:c r="D1275" s="2" t="str">
        <x:v>NAVY</x:v>
      </x:c>
      <x:c r="E1275" s="2" t="str">
        <x:v>160만</x:v>
      </x:c>
      <x:c r="F1275" s="2" t="str">
        <x:v>40만</x:v>
      </x:c>
      <x:c r="G1275" s="2" t="str">
        <x:v>승</x:v>
      </x:c>
      <x:c r="H1275" s="14" t="n">
        <x:v>5</x:v>
      </x:c>
      <x:c r="I1275" s="14" t="n">
        <x:v>0</x:v>
      </x:c>
      <x:c r="J1275" s="14" t="n">
        <x:v>14</x:v>
      </x:c>
      <x:c r="K1275" s="14" t="n">
        <x:v>5</x:v>
      </x:c>
      <x:c r="L1275" s="15" t="n">
        <x:f>IF(J1275=0,"해당 없음",K1275/J1275)</x:f>
        <x:v>0.35714285714285715</x:v>
      </x:c>
      <x:c r="M1275" s="14" t="n">
        <x:v>6</x:v>
      </x:c>
      <x:c r="N1275" s="14" t="n">
        <x:v>4</x:v>
      </x:c>
      <x:c r="O1275" s="15" t="n">
        <x:f>IF(M1275=0,"해당 없음",N1275/M1275)</x:f>
        <x:v>0.6666666666666666</x:v>
      </x:c>
      <x:c r="P1275" s="14" t="n">
        <x:v>101</x:v>
      </x:c>
    </x:row>
    <x:row r="1276" ht="22" customHeight="1">
      <x:c r="A1276" s="14" t="n">
        <x:v>636</x:v>
      </x:c>
      <x:c r="B1276" s="14" t="n">
        <x:v>16</x:v>
      </x:c>
      <x:c r="C1276" s="14" t="n">
        <x:v>76017</x:v>
      </x:c>
      <x:c r="D1276" s="2" t="str">
        <x:v>RED</x:v>
      </x:c>
      <x:c r="E1276" s="2" t="str">
        <x:v>160만</x:v>
      </x:c>
      <x:c r="F1276" s="2" t="str">
        <x:v>40만</x:v>
      </x:c>
      <x:c r="G1276" s="2" t="str">
        <x:v>승</x:v>
      </x:c>
      <x:c r="H1276" s="14" t="n">
        <x:v>6</x:v>
      </x:c>
      <x:c r="I1276" s="14" t="n">
        <x:v>1</x:v>
      </x:c>
      <x:c r="J1276" s="14" t="n">
        <x:v>7</x:v>
      </x:c>
      <x:c r="K1276" s="14" t="n">
        <x:v>6</x:v>
      </x:c>
      <x:c r="L1276" s="15" t="n">
        <x:f>IF(J1276=0,"해당 없음",K1276/J1276)</x:f>
        <x:v>0.8571428571428571</x:v>
      </x:c>
      <x:c r="M1276" s="14" t="n">
        <x:v>7</x:v>
      </x:c>
      <x:c r="N1276" s="14" t="n">
        <x:v>6</x:v>
      </x:c>
      <x:c r="O1276" s="15" t="n">
        <x:f>IF(M1276=0,"해당 없음",N1276/M1276)</x:f>
        <x:v>0.8571428571428571</x:v>
      </x:c>
      <x:c r="P1276" s="14" t="n">
        <x:v>104</x:v>
      </x:c>
    </x:row>
    <x:row r="1277" ht="22" customHeight="1">
      <x:c r="A1277" s="14" t="n">
        <x:v>636</x:v>
      </x:c>
      <x:c r="B1277" s="14" t="n">
        <x:v>16</x:v>
      </x:c>
      <x:c r="C1277" s="14" t="n">
        <x:v>76017</x:v>
      </x:c>
      <x:c r="D1277" s="2" t="str">
        <x:v>NAVY</x:v>
      </x:c>
      <x:c r="E1277" s="2" t="str">
        <x:v>40만</x:v>
      </x:c>
      <x:c r="F1277" s="2" t="str">
        <x:v>160만</x:v>
      </x:c>
      <x:c r="G1277" s="2" t="str">
        <x:v>패</x:v>
      </x:c>
      <x:c r="H1277" s="14" t="n">
        <x:v>1</x:v>
      </x:c>
      <x:c r="I1277" s="14" t="n">
        <x:v>6</x:v>
      </x:c>
      <x:c r="J1277" s="14" t="n">
        <x:v>8</x:v>
      </x:c>
      <x:c r="K1277" s="14" t="n">
        <x:v>1</x:v>
      </x:c>
      <x:c r="L1277" s="15" t="n">
        <x:f>IF(J1277=0,"해당 없음",K1277/J1277)</x:f>
        <x:v>0.125</x:v>
      </x:c>
      <x:c r="M1277" s="14" t="n">
        <x:v>6</x:v>
      </x:c>
      <x:c r="N1277" s="14" t="n">
        <x:v>5</x:v>
      </x:c>
      <x:c r="O1277" s="15" t="n">
        <x:f>IF(M1277=0,"해당 없음",N1277/M1277)</x:f>
        <x:v>0.8333333333333334</x:v>
      </x:c>
      <x:c r="P1277" s="14" t="n">
        <x:v>105</x:v>
      </x:c>
    </x:row>
    <x:row r="1278" ht="22" customHeight="1">
      <x:c r="A1278" s="14" t="n">
        <x:v>637</x:v>
      </x:c>
      <x:c r="B1278" s="14" t="n">
        <x:v>16</x:v>
      </x:c>
      <x:c r="C1278" s="14" t="n">
        <x:v>76018</x:v>
      </x:c>
      <x:c r="D1278" s="2" t="str">
        <x:v>RED</x:v>
      </x:c>
      <x:c r="E1278" s="2" t="str">
        <x:v>40만</x:v>
      </x:c>
      <x:c r="F1278" s="2" t="str">
        <x:v>160만</x:v>
      </x:c>
      <x:c r="G1278" s="2" t="str">
        <x:v>패</x:v>
      </x:c>
      <x:c r="H1278" s="14" t="n">
        <x:v>2</x:v>
      </x:c>
      <x:c r="I1278" s="14" t="n">
        <x:v>3</x:v>
      </x:c>
      <x:c r="J1278" s="14" t="n">
        <x:v>9</x:v>
      </x:c>
      <x:c r="K1278" s="14" t="n">
        <x:v>2</x:v>
      </x:c>
      <x:c r="L1278" s="15" t="n">
        <x:f>IF(J1278=0,"해당 없음",K1278/J1278)</x:f>
        <x:v>0.2222222222222222</x:v>
      </x:c>
      <x:c r="M1278" s="14" t="n">
        <x:v>8</x:v>
      </x:c>
      <x:c r="N1278" s="14" t="n">
        <x:v>7</x:v>
      </x:c>
      <x:c r="O1278" s="15" t="n">
        <x:f>IF(M1278=0,"해당 없음",N1278/M1278)</x:f>
        <x:v>0.875</x:v>
      </x:c>
      <x:c r="P1278" s="14" t="n">
        <x:v>102</x:v>
      </x:c>
    </x:row>
    <x:row r="1279" ht="22" customHeight="1">
      <x:c r="A1279" s="14" t="n">
        <x:v>637</x:v>
      </x:c>
      <x:c r="B1279" s="14" t="n">
        <x:v>16</x:v>
      </x:c>
      <x:c r="C1279" s="14" t="n">
        <x:v>76018</x:v>
      </x:c>
      <x:c r="D1279" s="2" t="str">
        <x:v>NAVY</x:v>
      </x:c>
      <x:c r="E1279" s="2" t="str">
        <x:v>160만</x:v>
      </x:c>
      <x:c r="F1279" s="2" t="str">
        <x:v>40만</x:v>
      </x:c>
      <x:c r="G1279" s="2" t="str">
        <x:v>승</x:v>
      </x:c>
      <x:c r="H1279" s="14" t="n">
        <x:v>3</x:v>
      </x:c>
      <x:c r="I1279" s="14" t="n">
        <x:v>2</x:v>
      </x:c>
      <x:c r="J1279" s="14" t="n">
        <x:v>7</x:v>
      </x:c>
      <x:c r="K1279" s="14" t="n">
        <x:v>3</x:v>
      </x:c>
      <x:c r="L1279" s="15" t="n">
        <x:f>IF(J1279=0,"해당 없음",K1279/J1279)</x:f>
        <x:v>0.42857142857142855</x:v>
      </x:c>
      <x:c r="M1279" s="14" t="n">
        <x:v>9</x:v>
      </x:c>
      <x:c r="N1279" s="14" t="n">
        <x:v>4</x:v>
      </x:c>
      <x:c r="O1279" s="15" t="n">
        <x:f>IF(M1279=0,"해당 없음",N1279/M1279)</x:f>
        <x:v>0.4444444444444444</x:v>
      </x:c>
      <x:c r="P1279" s="14" t="n">
        <x:v>102</x:v>
      </x:c>
    </x:row>
    <x:row r="1280" ht="22" customHeight="1">
      <x:c r="A1280" s="14" t="n">
        <x:v>638</x:v>
      </x:c>
      <x:c r="B1280" s="14" t="n">
        <x:v>16</x:v>
      </x:c>
      <x:c r="C1280" s="14" t="n">
        <x:v>76018</x:v>
      </x:c>
      <x:c r="D1280" s="2" t="str">
        <x:v>RED</x:v>
      </x:c>
      <x:c r="E1280" s="2" t="str">
        <x:v>160만</x:v>
      </x:c>
      <x:c r="F1280" s="2" t="str">
        <x:v>40만</x:v>
      </x:c>
      <x:c r="G1280" s="2" t="str">
        <x:v>승</x:v>
      </x:c>
      <x:c r="H1280" s="14" t="n">
        <x:v>4</x:v>
      </x:c>
      <x:c r="I1280" s="14" t="n">
        <x:v>2</x:v>
      </x:c>
      <x:c r="J1280" s="14" t="n">
        <x:v>11</x:v>
      </x:c>
      <x:c r="K1280" s="14" t="n">
        <x:v>4</x:v>
      </x:c>
      <x:c r="L1280" s="15" t="n">
        <x:f>IF(J1280=0,"해당 없음",K1280/J1280)</x:f>
        <x:v>0.36363636363636365</x:v>
      </x:c>
      <x:c r="M1280" s="14" t="n">
        <x:v>12</x:v>
      </x:c>
      <x:c r="N1280" s="14" t="n">
        <x:v>8</x:v>
      </x:c>
      <x:c r="O1280" s="15" t="n">
        <x:f>IF(M1280=0,"해당 없음",N1280/M1280)</x:f>
        <x:v>0.6666666666666666</x:v>
      </x:c>
      <x:c r="P1280" s="14" t="n">
        <x:v>105</x:v>
      </x:c>
    </x:row>
    <x:row r="1281" ht="22" customHeight="1">
      <x:c r="A1281" s="14" t="n">
        <x:v>638</x:v>
      </x:c>
      <x:c r="B1281" s="14" t="n">
        <x:v>16</x:v>
      </x:c>
      <x:c r="C1281" s="14" t="n">
        <x:v>76018</x:v>
      </x:c>
      <x:c r="D1281" s="2" t="str">
        <x:v>NAVY</x:v>
      </x:c>
      <x:c r="E1281" s="2" t="str">
        <x:v>40만</x:v>
      </x:c>
      <x:c r="F1281" s="2" t="str">
        <x:v>160만</x:v>
      </x:c>
      <x:c r="G1281" s="2" t="str">
        <x:v>패</x:v>
      </x:c>
      <x:c r="H1281" s="14" t="n">
        <x:v>2</x:v>
      </x:c>
      <x:c r="I1281" s="14" t="n">
        <x:v>4</x:v>
      </x:c>
      <x:c r="J1281" s="14" t="n">
        <x:v>9</x:v>
      </x:c>
      <x:c r="K1281" s="14" t="n">
        <x:v>2</x:v>
      </x:c>
      <x:c r="L1281" s="15" t="n">
        <x:f>IF(J1281=0,"해당 없음",K1281/J1281)</x:f>
        <x:v>0.2222222222222222</x:v>
      </x:c>
      <x:c r="M1281" s="14" t="n">
        <x:v>9</x:v>
      </x:c>
      <x:c r="N1281" s="14" t="n">
        <x:v>6</x:v>
      </x:c>
      <x:c r="O1281" s="15" t="n">
        <x:f>IF(M1281=0,"해당 없음",N1281/M1281)</x:f>
        <x:v>0.6666666666666666</x:v>
      </x:c>
      <x:c r="P1281" s="14" t="n">
        <x:v>105</x:v>
      </x:c>
    </x:row>
    <x:row r="1282" ht="22" customHeight="1">
      <x:c r="A1282" s="14" t="n">
        <x:v>639</x:v>
      </x:c>
      <x:c r="B1282" s="14" t="n">
        <x:v>16</x:v>
      </x:c>
      <x:c r="C1282" s="14" t="n">
        <x:v>76019</x:v>
      </x:c>
      <x:c r="D1282" s="2" t="str">
        <x:v>RED</x:v>
      </x:c>
      <x:c r="E1282" s="2" t="str">
        <x:v>40만</x:v>
      </x:c>
      <x:c r="F1282" s="2" t="str">
        <x:v>160만</x:v>
      </x:c>
      <x:c r="G1282" s="2" t="str">
        <x:v>승</x:v>
      </x:c>
      <x:c r="H1282" s="14" t="n">
        <x:v>4</x:v>
      </x:c>
      <x:c r="I1282" s="14" t="n">
        <x:v>2</x:v>
      </x:c>
      <x:c r="J1282" s="14" t="n">
        <x:v>12</x:v>
      </x:c>
      <x:c r="K1282" s="14" t="n">
        <x:v>4</x:v>
      </x:c>
      <x:c r="L1282" s="15" t="n">
        <x:f>IF(J1282=0,"해당 없음",K1282/J1282)</x:f>
        <x:v>0.3333333333333333</x:v>
      </x:c>
      <x:c r="M1282" s="14" t="n">
        <x:v>14</x:v>
      </x:c>
      <x:c r="N1282" s="14" t="n">
        <x:v>9</x:v>
      </x:c>
      <x:c r="O1282" s="15" t="n">
        <x:f>IF(M1282=0,"해당 없음",N1282/M1282)</x:f>
        <x:v>0.6428571428571429</x:v>
      </x:c>
      <x:c r="P1282" s="14" t="n">
        <x:v>104</x:v>
      </x:c>
    </x:row>
    <x:row r="1283" ht="22" customHeight="1">
      <x:c r="A1283" s="14" t="n">
        <x:v>639</x:v>
      </x:c>
      <x:c r="B1283" s="14" t="n">
        <x:v>16</x:v>
      </x:c>
      <x:c r="C1283" s="14" t="n">
        <x:v>76019</x:v>
      </x:c>
      <x:c r="D1283" s="2" t="str">
        <x:v>NAVY</x:v>
      </x:c>
      <x:c r="E1283" s="2" t="str">
        <x:v>160만</x:v>
      </x:c>
      <x:c r="F1283" s="2" t="str">
        <x:v>40만</x:v>
      </x:c>
      <x:c r="G1283" s="2" t="str">
        <x:v>패</x:v>
      </x:c>
      <x:c r="H1283" s="14" t="n">
        <x:v>2</x:v>
      </x:c>
      <x:c r="I1283" s="14" t="n">
        <x:v>4</x:v>
      </x:c>
      <x:c r="J1283" s="14" t="n">
        <x:v>8</x:v>
      </x:c>
      <x:c r="K1283" s="14" t="n">
        <x:v>2</x:v>
      </x:c>
      <x:c r="L1283" s="15" t="n">
        <x:f>IF(J1283=0,"해당 없음",K1283/J1283)</x:f>
        <x:v>0.25</x:v>
      </x:c>
      <x:c r="M1283" s="14" t="n">
        <x:v>8</x:v>
      </x:c>
      <x:c r="N1283" s="14" t="n">
        <x:v>5</x:v>
      </x:c>
      <x:c r="O1283" s="15" t="n">
        <x:f>IF(M1283=0,"해당 없음",N1283/M1283)</x:f>
        <x:v>0.625</x:v>
      </x:c>
      <x:c r="P1283" s="14" t="n">
        <x:v>104</x:v>
      </x:c>
    </x:row>
    <x:row r="1284" ht="22" customHeight="1">
      <x:c r="A1284" s="14" t="n">
        <x:v>640</x:v>
      </x:c>
      <x:c r="B1284" s="14" t="n">
        <x:v>16</x:v>
      </x:c>
      <x:c r="C1284" s="14" t="n">
        <x:v>76019</x:v>
      </x:c>
      <x:c r="D1284" s="2" t="str">
        <x:v>RED</x:v>
      </x:c>
      <x:c r="E1284" s="2" t="str">
        <x:v>160만</x:v>
      </x:c>
      <x:c r="F1284" s="2" t="str">
        <x:v>40만</x:v>
      </x:c>
      <x:c r="G1284" s="2" t="str">
        <x:v>승</x:v>
      </x:c>
      <x:c r="H1284" s="14" t="n">
        <x:v>4</x:v>
      </x:c>
      <x:c r="I1284" s="14" t="n">
        <x:v>1</x:v>
      </x:c>
      <x:c r="J1284" s="14" t="n">
        <x:v>6</x:v>
      </x:c>
      <x:c r="K1284" s="14" t="n">
        <x:v>4</x:v>
      </x:c>
      <x:c r="L1284" s="15" t="n">
        <x:f>IF(J1284=0,"해당 없음",K1284/J1284)</x:f>
        <x:v>0.6666666666666666</x:v>
      </x:c>
      <x:c r="M1284" s="14" t="n">
        <x:v>9</x:v>
      </x:c>
      <x:c r="N1284" s="14" t="n">
        <x:v>8</x:v>
      </x:c>
      <x:c r="O1284" s="15" t="n">
        <x:f>IF(M1284=0,"해당 없음",N1284/M1284)</x:f>
        <x:v>0.8888888888888888</x:v>
      </x:c>
      <x:c r="P1284" s="14" t="n">
        <x:v>102</x:v>
      </x:c>
    </x:row>
    <x:row r="1285" ht="22" customHeight="1">
      <x:c r="A1285" s="14" t="n">
        <x:v>640</x:v>
      </x:c>
      <x:c r="B1285" s="14" t="n">
        <x:v>16</x:v>
      </x:c>
      <x:c r="C1285" s="14" t="n">
        <x:v>76019</x:v>
      </x:c>
      <x:c r="D1285" s="2" t="str">
        <x:v>NAVY</x:v>
      </x:c>
      <x:c r="E1285" s="2" t="str">
        <x:v>40만</x:v>
      </x:c>
      <x:c r="F1285" s="2" t="str">
        <x:v>160만</x:v>
      </x:c>
      <x:c r="G1285" s="2" t="str">
        <x:v>패</x:v>
      </x:c>
      <x:c r="H1285" s="14" t="n">
        <x:v>1</x:v>
      </x:c>
      <x:c r="I1285" s="14" t="n">
        <x:v>4</x:v>
      </x:c>
      <x:c r="J1285" s="14" t="n">
        <x:v>8</x:v>
      </x:c>
      <x:c r="K1285" s="14" t="n">
        <x:v>1</x:v>
      </x:c>
      <x:c r="L1285" s="15" t="n">
        <x:f>IF(J1285=0,"해당 없음",K1285/J1285)</x:f>
        <x:v>0.125</x:v>
      </x:c>
      <x:c r="M1285" s="14" t="n">
        <x:v>6</x:v>
      </x:c>
      <x:c r="N1285" s="14" t="n">
        <x:v>4</x:v>
      </x:c>
      <x:c r="O1285" s="15" t="n">
        <x:f>IF(M1285=0,"해당 없음",N1285/M1285)</x:f>
        <x:v>0.6666666666666666</x:v>
      </x:c>
      <x:c r="P1285" s="14" t="n">
        <x:v>102</x:v>
      </x:c>
    </x:row>
    <x:row r="1286" ht="22" customHeight="1">
      <x:c r="A1286" s="14" t="n">
        <x:v>641</x:v>
      </x:c>
      <x:c r="B1286" s="14" t="n">
        <x:v>17</x:v>
      </x:c>
      <x:c r="C1286" s="14" t="n">
        <x:v>76000</x:v>
      </x:c>
      <x:c r="D1286" s="2" t="str">
        <x:v>RED</x:v>
      </x:c>
      <x:c r="E1286" s="2" t="str">
        <x:v>40만</x:v>
      </x:c>
      <x:c r="F1286" s="2" t="str">
        <x:v>200만</x:v>
      </x:c>
      <x:c r="G1286" s="2" t="str">
        <x:v>승</x:v>
      </x:c>
      <x:c r="H1286" s="14" t="n">
        <x:v>3</x:v>
      </x:c>
      <x:c r="I1286" s="14" t="n">
        <x:v>1</x:v>
      </x:c>
      <x:c r="J1286" s="14" t="n">
        <x:v>8</x:v>
      </x:c>
      <x:c r="K1286" s="14" t="n">
        <x:v>3</x:v>
      </x:c>
      <x:c r="L1286" s="15" t="n">
        <x:f>IF(J1286=0,"해당 없음",K1286/J1286)</x:f>
        <x:v>0.375</x:v>
      </x:c>
      <x:c r="M1286" s="14" t="n">
        <x:v>10</x:v>
      </x:c>
      <x:c r="N1286" s="14" t="n">
        <x:v>6</x:v>
      </x:c>
      <x:c r="O1286" s="15" t="n">
        <x:f>IF(M1286=0,"해당 없음",N1286/M1286)</x:f>
        <x:v>0.6</x:v>
      </x:c>
      <x:c r="P1286" s="14" t="n">
        <x:v>102</x:v>
      </x:c>
    </x:row>
    <x:row r="1287" ht="22" customHeight="1">
      <x:c r="A1287" s="14" t="n">
        <x:v>641</x:v>
      </x:c>
      <x:c r="B1287" s="14" t="n">
        <x:v>17</x:v>
      </x:c>
      <x:c r="C1287" s="14" t="n">
        <x:v>76000</x:v>
      </x:c>
      <x:c r="D1287" s="2" t="str">
        <x:v>NAVY</x:v>
      </x:c>
      <x:c r="E1287" s="2" t="str">
        <x:v>200만</x:v>
      </x:c>
      <x:c r="F1287" s="2" t="str">
        <x:v>40만</x:v>
      </x:c>
      <x:c r="G1287" s="2" t="str">
        <x:v>패</x:v>
      </x:c>
      <x:c r="H1287" s="14" t="n">
        <x:v>1</x:v>
      </x:c>
      <x:c r="I1287" s="14" t="n">
        <x:v>3</x:v>
      </x:c>
      <x:c r="J1287" s="14" t="n">
        <x:v>6</x:v>
      </x:c>
      <x:c r="K1287" s="14" t="n">
        <x:v>1</x:v>
      </x:c>
      <x:c r="L1287" s="15" t="n">
        <x:f>IF(J1287=0,"해당 없음",K1287/J1287)</x:f>
        <x:v>0.16666666666666666</x:v>
      </x:c>
      <x:c r="M1287" s="14" t="n">
        <x:v>9</x:v>
      </x:c>
      <x:c r="N1287" s="14" t="n">
        <x:v>6</x:v>
      </x:c>
      <x:c r="O1287" s="15" t="n">
        <x:f>IF(M1287=0,"해당 없음",N1287/M1287)</x:f>
        <x:v>0.6666666666666666</x:v>
      </x:c>
      <x:c r="P1287" s="14" t="n">
        <x:v>102</x:v>
      </x:c>
    </x:row>
    <x:row r="1288" ht="22" customHeight="1">
      <x:c r="A1288" s="14" t="n">
        <x:v>642</x:v>
      </x:c>
      <x:c r="B1288" s="14" t="n">
        <x:v>17</x:v>
      </x:c>
      <x:c r="C1288" s="14" t="n">
        <x:v>76000</x:v>
      </x:c>
      <x:c r="D1288" s="2" t="str">
        <x:v>RED</x:v>
      </x:c>
      <x:c r="E1288" s="2" t="str">
        <x:v>200만</x:v>
      </x:c>
      <x:c r="F1288" s="2" t="str">
        <x:v>40만</x:v>
      </x:c>
      <x:c r="G1288" s="2" t="str">
        <x:v>승</x:v>
      </x:c>
      <x:c r="H1288" s="14" t="n">
        <x:v>4</x:v>
      </x:c>
      <x:c r="I1288" s="14" t="n">
        <x:v>1</x:v>
      </x:c>
      <x:c r="J1288" s="14" t="n">
        <x:v>7</x:v>
      </x:c>
      <x:c r="K1288" s="14" t="n">
        <x:v>4</x:v>
      </x:c>
      <x:c r="L1288" s="15" t="n">
        <x:f>IF(J1288=0,"해당 없음",K1288/J1288)</x:f>
        <x:v>0.5714285714285714</x:v>
      </x:c>
      <x:c r="M1288" s="14" t="n">
        <x:v>9</x:v>
      </x:c>
      <x:c r="N1288" s="14" t="n">
        <x:v>7</x:v>
      </x:c>
      <x:c r="O1288" s="15" t="n">
        <x:f>IF(M1288=0,"해당 없음",N1288/M1288)</x:f>
        <x:v>0.7777777777777778</x:v>
      </x:c>
      <x:c r="P1288" s="14" t="n">
        <x:v>103</x:v>
      </x:c>
    </x:row>
    <x:row r="1289" ht="22" customHeight="1">
      <x:c r="A1289" s="14" t="n">
        <x:v>642</x:v>
      </x:c>
      <x:c r="B1289" s="14" t="n">
        <x:v>17</x:v>
      </x:c>
      <x:c r="C1289" s="14" t="n">
        <x:v>76000</x:v>
      </x:c>
      <x:c r="D1289" s="2" t="str">
        <x:v>NAVY</x:v>
      </x:c>
      <x:c r="E1289" s="2" t="str">
        <x:v>40만</x:v>
      </x:c>
      <x:c r="F1289" s="2" t="str">
        <x:v>200만</x:v>
      </x:c>
      <x:c r="G1289" s="2" t="str">
        <x:v>패</x:v>
      </x:c>
      <x:c r="H1289" s="14" t="n">
        <x:v>1</x:v>
      </x:c>
      <x:c r="I1289" s="14" t="n">
        <x:v>4</x:v>
      </x:c>
      <x:c r="J1289" s="14" t="n">
        <x:v>9</x:v>
      </x:c>
      <x:c r="K1289" s="14" t="n">
        <x:v>1</x:v>
      </x:c>
      <x:c r="L1289" s="15" t="n">
        <x:f>IF(J1289=0,"해당 없음",K1289/J1289)</x:f>
        <x:v>0.1111111111111111</x:v>
      </x:c>
      <x:c r="M1289" s="14" t="n">
        <x:v>7</x:v>
      </x:c>
      <x:c r="N1289" s="14" t="n">
        <x:v>4</x:v>
      </x:c>
      <x:c r="O1289" s="15" t="n">
        <x:f>IF(M1289=0,"해당 없음",N1289/M1289)</x:f>
        <x:v>0.5714285714285714</x:v>
      </x:c>
      <x:c r="P1289" s="14" t="n">
        <x:v>104</x:v>
      </x:c>
    </x:row>
    <x:row r="1290" ht="22" customHeight="1">
      <x:c r="A1290" s="14" t="n">
        <x:v>643</x:v>
      </x:c>
      <x:c r="B1290" s="14" t="n">
        <x:v>17</x:v>
      </x:c>
      <x:c r="C1290" s="14" t="n">
        <x:v>76001</x:v>
      </x:c>
      <x:c r="D1290" s="2" t="str">
        <x:v>RED</x:v>
      </x:c>
      <x:c r="E1290" s="2" t="str">
        <x:v>40만</x:v>
      </x:c>
      <x:c r="F1290" s="2" t="str">
        <x:v>200만</x:v>
      </x:c>
      <x:c r="G1290" s="2" t="str">
        <x:v>패</x:v>
      </x:c>
      <x:c r="H1290" s="14" t="n">
        <x:v>3</x:v>
      </x:c>
      <x:c r="I1290" s="14" t="n">
        <x:v>4</x:v>
      </x:c>
      <x:c r="J1290" s="14" t="n">
        <x:v>13</x:v>
      </x:c>
      <x:c r="K1290" s="14" t="n">
        <x:v>3</x:v>
      </x:c>
      <x:c r="L1290" s="15" t="n">
        <x:f>IF(J1290=0,"해당 없음",K1290/J1290)</x:f>
        <x:v>0.23076923076923078</x:v>
      </x:c>
      <x:c r="M1290" s="14" t="n">
        <x:v>8</x:v>
      </x:c>
      <x:c r="N1290" s="14" t="n">
        <x:v>6</x:v>
      </x:c>
      <x:c r="O1290" s="15" t="n">
        <x:f>IF(M1290=0,"해당 없음",N1290/M1290)</x:f>
        <x:v>0.75</x:v>
      </x:c>
      <x:c r="P1290" s="14" t="n">
        <x:v>103</x:v>
      </x:c>
    </x:row>
    <x:row r="1291" ht="22" customHeight="1">
      <x:c r="A1291" s="14" t="n">
        <x:v>643</x:v>
      </x:c>
      <x:c r="B1291" s="14" t="n">
        <x:v>17</x:v>
      </x:c>
      <x:c r="C1291" s="14" t="n">
        <x:v>76001</x:v>
      </x:c>
      <x:c r="D1291" s="2" t="str">
        <x:v>NAVY</x:v>
      </x:c>
      <x:c r="E1291" s="2" t="str">
        <x:v>200만</x:v>
      </x:c>
      <x:c r="F1291" s="2" t="str">
        <x:v>40만</x:v>
      </x:c>
      <x:c r="G1291" s="2" t="str">
        <x:v>승</x:v>
      </x:c>
      <x:c r="H1291" s="14" t="n">
        <x:v>4</x:v>
      </x:c>
      <x:c r="I1291" s="14" t="n">
        <x:v>3</x:v>
      </x:c>
      <x:c r="J1291" s="14" t="n">
        <x:v>11</x:v>
      </x:c>
      <x:c r="K1291" s="14" t="n">
        <x:v>4</x:v>
      </x:c>
      <x:c r="L1291" s="15" t="n">
        <x:f>IF(J1291=0,"해당 없음",K1291/J1291)</x:f>
        <x:v>0.36363636363636365</x:v>
      </x:c>
      <x:c r="M1291" s="14" t="n">
        <x:v>9</x:v>
      </x:c>
      <x:c r="N1291" s="14" t="n">
        <x:v>8</x:v>
      </x:c>
      <x:c r="O1291" s="15" t="n">
        <x:f>IF(M1291=0,"해당 없음",N1291/M1291)</x:f>
        <x:v>0.8888888888888888</x:v>
      </x:c>
      <x:c r="P1291" s="14" t="n">
        <x:v>102</x:v>
      </x:c>
    </x:row>
    <x:row r="1292" ht="22" customHeight="1">
      <x:c r="A1292" s="14" t="n">
        <x:v>644</x:v>
      </x:c>
      <x:c r="B1292" s="14" t="n">
        <x:v>17</x:v>
      </x:c>
      <x:c r="C1292" s="14" t="n">
        <x:v>76001</x:v>
      </x:c>
      <x:c r="D1292" s="2" t="str">
        <x:v>RED</x:v>
      </x:c>
      <x:c r="E1292" s="2" t="str">
        <x:v>200만</x:v>
      </x:c>
      <x:c r="F1292" s="2" t="str">
        <x:v>40만</x:v>
      </x:c>
      <x:c r="G1292" s="2" t="str">
        <x:v>승</x:v>
      </x:c>
      <x:c r="H1292" s="14" t="n">
        <x:v>4</x:v>
      </x:c>
      <x:c r="I1292" s="14" t="n">
        <x:v>2</x:v>
      </x:c>
      <x:c r="J1292" s="14" t="n">
        <x:v>8</x:v>
      </x:c>
      <x:c r="K1292" s="14" t="n">
        <x:v>4</x:v>
      </x:c>
      <x:c r="L1292" s="15" t="n">
        <x:f>IF(J1292=0,"해당 없음",K1292/J1292)</x:f>
        <x:v>0.5</x:v>
      </x:c>
      <x:c r="M1292" s="14" t="n">
        <x:v>8</x:v>
      </x:c>
      <x:c r="N1292" s="14" t="n">
        <x:v>6</x:v>
      </x:c>
      <x:c r="O1292" s="15" t="n">
        <x:f>IF(M1292=0,"해당 없음",N1292/M1292)</x:f>
        <x:v>0.75</x:v>
      </x:c>
      <x:c r="P1292" s="14" t="n">
        <x:v>103</x:v>
      </x:c>
    </x:row>
    <x:row r="1293" ht="22" customHeight="1">
      <x:c r="A1293" s="14" t="n">
        <x:v>644</x:v>
      </x:c>
      <x:c r="B1293" s="14" t="n">
        <x:v>17</x:v>
      </x:c>
      <x:c r="C1293" s="14" t="n">
        <x:v>76001</x:v>
      </x:c>
      <x:c r="D1293" s="2" t="str">
        <x:v>NAVY</x:v>
      </x:c>
      <x:c r="E1293" s="2" t="str">
        <x:v>40만</x:v>
      </x:c>
      <x:c r="F1293" s="2" t="str">
        <x:v>200만</x:v>
      </x:c>
      <x:c r="G1293" s="2" t="str">
        <x:v>패</x:v>
      </x:c>
      <x:c r="H1293" s="14" t="n">
        <x:v>2</x:v>
      </x:c>
      <x:c r="I1293" s="14" t="n">
        <x:v>4</x:v>
      </x:c>
      <x:c r="J1293" s="14" t="n">
        <x:v>11</x:v>
      </x:c>
      <x:c r="K1293" s="14" t="n">
        <x:v>2</x:v>
      </x:c>
      <x:c r="L1293" s="15" t="n">
        <x:f>IF(J1293=0,"해당 없음",K1293/J1293)</x:f>
        <x:v>0.18181818181818182</x:v>
      </x:c>
      <x:c r="M1293" s="14" t="n">
        <x:v>7</x:v>
      </x:c>
      <x:c r="N1293" s="14" t="n">
        <x:v>6</x:v>
      </x:c>
      <x:c r="O1293" s="15" t="n">
        <x:f>IF(M1293=0,"해당 없음",N1293/M1293)</x:f>
        <x:v>0.8571428571428571</x:v>
      </x:c>
      <x:c r="P1293" s="14" t="n">
        <x:v>103</x:v>
      </x:c>
    </x:row>
    <x:row r="1294" ht="22" customHeight="1">
      <x:c r="A1294" s="14" t="n">
        <x:v>645</x:v>
      </x:c>
      <x:c r="B1294" s="14" t="n">
        <x:v>17</x:v>
      </x:c>
      <x:c r="C1294" s="14" t="n">
        <x:v>76002</x:v>
      </x:c>
      <x:c r="D1294" s="2" t="str">
        <x:v>RED</x:v>
      </x:c>
      <x:c r="E1294" s="2" t="str">
        <x:v>40만</x:v>
      </x:c>
      <x:c r="F1294" s="2" t="str">
        <x:v>200만</x:v>
      </x:c>
      <x:c r="G1294" s="2" t="str">
        <x:v>패</x:v>
      </x:c>
      <x:c r="H1294" s="14" t="n">
        <x:v>3</x:v>
      </x:c>
      <x:c r="I1294" s="14" t="n">
        <x:v>4</x:v>
      </x:c>
      <x:c r="J1294" s="14" t="n">
        <x:v>11</x:v>
      </x:c>
      <x:c r="K1294" s="14" t="n">
        <x:v>3</x:v>
      </x:c>
      <x:c r="L1294" s="15" t="n">
        <x:f>IF(J1294=0,"해당 없음",K1294/J1294)</x:f>
        <x:v>0.2727272727272727</x:v>
      </x:c>
      <x:c r="M1294" s="14" t="n">
        <x:v>11</x:v>
      </x:c>
      <x:c r="N1294" s="14" t="n">
        <x:v>8</x:v>
      </x:c>
      <x:c r="O1294" s="15" t="n">
        <x:f>IF(M1294=0,"해당 없음",N1294/M1294)</x:f>
        <x:v>0.7272727272727273</x:v>
      </x:c>
      <x:c r="P1294" s="14" t="n">
        <x:v>103</x:v>
      </x:c>
    </x:row>
    <x:row r="1295" ht="22" customHeight="1">
      <x:c r="A1295" s="14" t="n">
        <x:v>645</x:v>
      </x:c>
      <x:c r="B1295" s="14" t="n">
        <x:v>17</x:v>
      </x:c>
      <x:c r="C1295" s="14" t="n">
        <x:v>76002</x:v>
      </x:c>
      <x:c r="D1295" s="2" t="str">
        <x:v>NAVY</x:v>
      </x:c>
      <x:c r="E1295" s="2" t="str">
        <x:v>200만</x:v>
      </x:c>
      <x:c r="F1295" s="2" t="str">
        <x:v>40만</x:v>
      </x:c>
      <x:c r="G1295" s="2" t="str">
        <x:v>승</x:v>
      </x:c>
      <x:c r="H1295" s="14" t="n">
        <x:v>4</x:v>
      </x:c>
      <x:c r="I1295" s="14" t="n">
        <x:v>3</x:v>
      </x:c>
      <x:c r="J1295" s="14" t="n">
        <x:v>8</x:v>
      </x:c>
      <x:c r="K1295" s="14" t="n">
        <x:v>4</x:v>
      </x:c>
      <x:c r="L1295" s="15" t="n">
        <x:f>IF(J1295=0,"해당 없음",K1295/J1295)</x:f>
        <x:v>0.5</x:v>
      </x:c>
      <x:c r="M1295" s="14" t="n">
        <x:v>9</x:v>
      </x:c>
      <x:c r="N1295" s="14" t="n">
        <x:v>8</x:v>
      </x:c>
      <x:c r="O1295" s="15" t="n">
        <x:f>IF(M1295=0,"해당 없음",N1295/M1295)</x:f>
        <x:v>0.8888888888888888</x:v>
      </x:c>
      <x:c r="P1295" s="14" t="n">
        <x:v>104</x:v>
      </x:c>
    </x:row>
    <x:row r="1296" ht="22" customHeight="1">
      <x:c r="A1296" s="14" t="n">
        <x:v>646</x:v>
      </x:c>
      <x:c r="B1296" s="14" t="n">
        <x:v>17</x:v>
      </x:c>
      <x:c r="C1296" s="14" t="n">
        <x:v>76002</x:v>
      </x:c>
      <x:c r="D1296" s="2" t="str">
        <x:v>RED</x:v>
      </x:c>
      <x:c r="E1296" s="2" t="str">
        <x:v>200만</x:v>
      </x:c>
      <x:c r="F1296" s="2" t="str">
        <x:v>40만</x:v>
      </x:c>
      <x:c r="G1296" s="2" t="str">
        <x:v>패</x:v>
      </x:c>
      <x:c r="H1296" s="14" t="n">
        <x:v>2</x:v>
      </x:c>
      <x:c r="I1296" s="14" t="n">
        <x:v>3</x:v>
      </x:c>
      <x:c r="J1296" s="14" t="n">
        <x:v>8</x:v>
      </x:c>
      <x:c r="K1296" s="14" t="n">
        <x:v>2</x:v>
      </x:c>
      <x:c r="L1296" s="15" t="n">
        <x:f>IF(J1296=0,"해당 없음",K1296/J1296)</x:f>
        <x:v>0.25</x:v>
      </x:c>
      <x:c r="M1296" s="14" t="n">
        <x:v>7</x:v>
      </x:c>
      <x:c r="N1296" s="14" t="n">
        <x:v>5</x:v>
      </x:c>
      <x:c r="O1296" s="15" t="n">
        <x:f>IF(M1296=0,"해당 없음",N1296/M1296)</x:f>
        <x:v>0.7142857142857143</x:v>
      </x:c>
      <x:c r="P1296" s="14" t="n">
        <x:v>101</x:v>
      </x:c>
    </x:row>
    <x:row r="1297" ht="22" customHeight="1">
      <x:c r="A1297" s="14" t="n">
        <x:v>646</x:v>
      </x:c>
      <x:c r="B1297" s="14" t="n">
        <x:v>17</x:v>
      </x:c>
      <x:c r="C1297" s="14" t="n">
        <x:v>76002</x:v>
      </x:c>
      <x:c r="D1297" s="2" t="str">
        <x:v>NAVY</x:v>
      </x:c>
      <x:c r="E1297" s="2" t="str">
        <x:v>40만</x:v>
      </x:c>
      <x:c r="F1297" s="2" t="str">
        <x:v>200만</x:v>
      </x:c>
      <x:c r="G1297" s="2" t="str">
        <x:v>승</x:v>
      </x:c>
      <x:c r="H1297" s="14" t="n">
        <x:v>3</x:v>
      </x:c>
      <x:c r="I1297" s="14" t="n">
        <x:v>2</x:v>
      </x:c>
      <x:c r="J1297" s="14" t="n">
        <x:v>15</x:v>
      </x:c>
      <x:c r="K1297" s="14" t="n">
        <x:v>3</x:v>
      </x:c>
      <x:c r="L1297" s="15" t="n">
        <x:f>IF(J1297=0,"해당 없음",K1297/J1297)</x:f>
        <x:v>0.2</x:v>
      </x:c>
      <x:c r="M1297" s="14" t="n">
        <x:v>11</x:v>
      </x:c>
      <x:c r="N1297" s="14" t="n">
        <x:v>8</x:v>
      </x:c>
      <x:c r="O1297" s="15" t="n">
        <x:f>IF(M1297=0,"해당 없음",N1297/M1297)</x:f>
        <x:v>0.7272727272727273</x:v>
      </x:c>
      <x:c r="P1297" s="14" t="n">
        <x:v>100</x:v>
      </x:c>
    </x:row>
    <x:row r="1298" ht="22" customHeight="1">
      <x:c r="A1298" s="14" t="n">
        <x:v>647</x:v>
      </x:c>
      <x:c r="B1298" s="14" t="n">
        <x:v>17</x:v>
      </x:c>
      <x:c r="C1298" s="14" t="n">
        <x:v>76003</x:v>
      </x:c>
      <x:c r="D1298" s="2" t="str">
        <x:v>RED</x:v>
      </x:c>
      <x:c r="E1298" s="2" t="str">
        <x:v>40만</x:v>
      </x:c>
      <x:c r="F1298" s="2" t="str">
        <x:v>200만</x:v>
      </x:c>
      <x:c r="G1298" s="2" t="str">
        <x:v>패</x:v>
      </x:c>
      <x:c r="H1298" s="14" t="n">
        <x:v>4</x:v>
      </x:c>
      <x:c r="I1298" s="14" t="n">
        <x:v>5</x:v>
      </x:c>
      <x:c r="J1298" s="14" t="n">
        <x:v>8</x:v>
      </x:c>
      <x:c r="K1298" s="14" t="n">
        <x:v>4</x:v>
      </x:c>
      <x:c r="L1298" s="15" t="n">
        <x:f>IF(J1298=0,"해당 없음",K1298/J1298)</x:f>
        <x:v>0.5</x:v>
      </x:c>
      <x:c r="M1298" s="14" t="n">
        <x:v>10</x:v>
      </x:c>
      <x:c r="N1298" s="14" t="n">
        <x:v>6</x:v>
      </x:c>
      <x:c r="O1298" s="15" t="n">
        <x:f>IF(M1298=0,"해당 없음",N1298/M1298)</x:f>
        <x:v>0.6</x:v>
      </x:c>
      <x:c r="P1298" s="14" t="n">
        <x:v>106</x:v>
      </x:c>
    </x:row>
    <x:row r="1299" ht="22" customHeight="1">
      <x:c r="A1299" s="14" t="n">
        <x:v>647</x:v>
      </x:c>
      <x:c r="B1299" s="14" t="n">
        <x:v>17</x:v>
      </x:c>
      <x:c r="C1299" s="14" t="n">
        <x:v>76003</x:v>
      </x:c>
      <x:c r="D1299" s="2" t="str">
        <x:v>NAVY</x:v>
      </x:c>
      <x:c r="E1299" s="2" t="str">
        <x:v>200만</x:v>
      </x:c>
      <x:c r="F1299" s="2" t="str">
        <x:v>40만</x:v>
      </x:c>
      <x:c r="G1299" s="2" t="str">
        <x:v>승</x:v>
      </x:c>
      <x:c r="H1299" s="14" t="n">
        <x:v>5</x:v>
      </x:c>
      <x:c r="I1299" s="14" t="n">
        <x:v>4</x:v>
      </x:c>
      <x:c r="J1299" s="14" t="n">
        <x:v>11</x:v>
      </x:c>
      <x:c r="K1299" s="14" t="n">
        <x:v>5</x:v>
      </x:c>
      <x:c r="L1299" s="15" t="n">
        <x:f>IF(J1299=0,"해당 없음",K1299/J1299)</x:f>
        <x:v>0.45454545454545453</x:v>
      </x:c>
      <x:c r="M1299" s="14" t="n">
        <x:v>7</x:v>
      </x:c>
      <x:c r="N1299" s="14" t="n">
        <x:v>7</x:v>
      </x:c>
      <x:c r="O1299" s="15" t="n">
        <x:f>IF(M1299=0,"해당 없음",N1299/M1299)</x:f>
        <x:v>1</x:v>
      </x:c>
      <x:c r="P1299" s="14" t="n">
        <x:v>108</x:v>
      </x:c>
    </x:row>
    <x:row r="1300" ht="22" customHeight="1">
      <x:c r="A1300" s="14" t="n">
        <x:v>648</x:v>
      </x:c>
      <x:c r="B1300" s="14" t="n">
        <x:v>17</x:v>
      </x:c>
      <x:c r="C1300" s="14" t="n">
        <x:v>76003</x:v>
      </x:c>
      <x:c r="D1300" s="2" t="str">
        <x:v>RED</x:v>
      </x:c>
      <x:c r="E1300" s="2" t="str">
        <x:v>200만</x:v>
      </x:c>
      <x:c r="F1300" s="2" t="str">
        <x:v>40만</x:v>
      </x:c>
      <x:c r="G1300" s="2" t="str">
        <x:v>승</x:v>
      </x:c>
      <x:c r="H1300" s="14" t="n">
        <x:v>4</x:v>
      </x:c>
      <x:c r="I1300" s="14" t="n">
        <x:v>1</x:v>
      </x:c>
      <x:c r="J1300" s="14" t="n">
        <x:v>8</x:v>
      </x:c>
      <x:c r="K1300" s="14" t="n">
        <x:v>4</x:v>
      </x:c>
      <x:c r="L1300" s="15" t="n">
        <x:f>IF(J1300=0,"해당 없음",K1300/J1300)</x:f>
        <x:v>0.5</x:v>
      </x:c>
      <x:c r="M1300" s="14" t="n">
        <x:v>10</x:v>
      </x:c>
      <x:c r="N1300" s="14" t="n">
        <x:v>7</x:v>
      </x:c>
      <x:c r="O1300" s="15" t="n">
        <x:f>IF(M1300=0,"해당 없음",N1300/M1300)</x:f>
        <x:v>0.7</x:v>
      </x:c>
      <x:c r="P1300" s="14" t="n">
        <x:v>104</x:v>
      </x:c>
    </x:row>
    <x:row r="1301" ht="22" customHeight="1">
      <x:c r="A1301" s="14" t="n">
        <x:v>648</x:v>
      </x:c>
      <x:c r="B1301" s="14" t="n">
        <x:v>17</x:v>
      </x:c>
      <x:c r="C1301" s="14" t="n">
        <x:v>76003</x:v>
      </x:c>
      <x:c r="D1301" s="2" t="str">
        <x:v>NAVY</x:v>
      </x:c>
      <x:c r="E1301" s="2" t="str">
        <x:v>40만</x:v>
      </x:c>
      <x:c r="F1301" s="2" t="str">
        <x:v>200만</x:v>
      </x:c>
      <x:c r="G1301" s="2" t="str">
        <x:v>패</x:v>
      </x:c>
      <x:c r="H1301" s="14" t="n">
        <x:v>1</x:v>
      </x:c>
      <x:c r="I1301" s="14" t="n">
        <x:v>4</x:v>
      </x:c>
      <x:c r="J1301" s="14" t="n">
        <x:v>13</x:v>
      </x:c>
      <x:c r="K1301" s="14" t="n">
        <x:v>1</x:v>
      </x:c>
      <x:c r="L1301" s="15" t="n">
        <x:f>IF(J1301=0,"해당 없음",K1301/J1301)</x:f>
        <x:v>0.07692307692307693</x:v>
      </x:c>
      <x:c r="M1301" s="14" t="n">
        <x:v>11</x:v>
      </x:c>
      <x:c r="N1301" s="14" t="n">
        <x:v>6</x:v>
      </x:c>
      <x:c r="O1301" s="15" t="n">
        <x:f>IF(M1301=0,"해당 없음",N1301/M1301)</x:f>
        <x:v>0.5454545454545454</x:v>
      </x:c>
      <x:c r="P1301" s="14" t="n">
        <x:v>102</x:v>
      </x:c>
    </x:row>
    <x:row r="1302" ht="22" customHeight="1">
      <x:c r="A1302" s="14" t="n">
        <x:v>649</x:v>
      </x:c>
      <x:c r="B1302" s="14" t="n">
        <x:v>17</x:v>
      </x:c>
      <x:c r="C1302" s="14" t="n">
        <x:v>76004</x:v>
      </x:c>
      <x:c r="D1302" s="2" t="str">
        <x:v>RED</x:v>
      </x:c>
      <x:c r="E1302" s="2" t="str">
        <x:v>40만</x:v>
      </x:c>
      <x:c r="F1302" s="2" t="str">
        <x:v>200만</x:v>
      </x:c>
      <x:c r="G1302" s="2" t="str">
        <x:v>무</x:v>
      </x:c>
      <x:c r="H1302" s="14" t="n">
        <x:v>4</x:v>
      </x:c>
      <x:c r="I1302" s="14" t="n">
        <x:v>4</x:v>
      </x:c>
      <x:c r="J1302" s="14" t="n">
        <x:v>12</x:v>
      </x:c>
      <x:c r="K1302" s="14" t="n">
        <x:v>4</x:v>
      </x:c>
      <x:c r="L1302" s="15" t="n">
        <x:f>IF(J1302=0,"해당 없음",K1302/J1302)</x:f>
        <x:v>0.3333333333333333</x:v>
      </x:c>
      <x:c r="M1302" s="14" t="n">
        <x:v>4</x:v>
      </x:c>
      <x:c r="N1302" s="14" t="n">
        <x:v>4</x:v>
      </x:c>
      <x:c r="O1302" s="15" t="n">
        <x:f>IF(M1302=0,"해당 없음",N1302/M1302)</x:f>
        <x:v>1</x:v>
      </x:c>
      <x:c r="P1302" s="14" t="n">
        <x:v>105</x:v>
      </x:c>
    </x:row>
    <x:row r="1303" ht="22" customHeight="1">
      <x:c r="A1303" s="14" t="n">
        <x:v>649</x:v>
      </x:c>
      <x:c r="B1303" s="14" t="n">
        <x:v>17</x:v>
      </x:c>
      <x:c r="C1303" s="14" t="n">
        <x:v>76004</x:v>
      </x:c>
      <x:c r="D1303" s="2" t="str">
        <x:v>NAVY</x:v>
      </x:c>
      <x:c r="E1303" s="2" t="str">
        <x:v>200만</x:v>
      </x:c>
      <x:c r="F1303" s="2" t="str">
        <x:v>40만</x:v>
      </x:c>
      <x:c r="G1303" s="2" t="str">
        <x:v>무</x:v>
      </x:c>
      <x:c r="H1303" s="14" t="n">
        <x:v>4</x:v>
      </x:c>
      <x:c r="I1303" s="14" t="n">
        <x:v>4</x:v>
      </x:c>
      <x:c r="J1303" s="14" t="n">
        <x:v>6</x:v>
      </x:c>
      <x:c r="K1303" s="14" t="n">
        <x:v>4</x:v>
      </x:c>
      <x:c r="L1303" s="15" t="n">
        <x:f>IF(J1303=0,"해당 없음",K1303/J1303)</x:f>
        <x:v>0.6666666666666666</x:v>
      </x:c>
      <x:c r="M1303" s="14" t="n">
        <x:v>6</x:v>
      </x:c>
      <x:c r="N1303" s="14" t="n">
        <x:v>4</x:v>
      </x:c>
      <x:c r="O1303" s="15" t="n">
        <x:f>IF(M1303=0,"해당 없음",N1303/M1303)</x:f>
        <x:v>0.6666666666666666</x:v>
      </x:c>
      <x:c r="P1303" s="14" t="n">
        <x:v>105</x:v>
      </x:c>
    </x:row>
    <x:row r="1304" ht="22" customHeight="1">
      <x:c r="A1304" s="14" t="n">
        <x:v>650</x:v>
      </x:c>
      <x:c r="B1304" s="14" t="n">
        <x:v>17</x:v>
      </x:c>
      <x:c r="C1304" s="14" t="n">
        <x:v>76004</x:v>
      </x:c>
      <x:c r="D1304" s="2" t="str">
        <x:v>RED</x:v>
      </x:c>
      <x:c r="E1304" s="2" t="str">
        <x:v>200만</x:v>
      </x:c>
      <x:c r="F1304" s="2" t="str">
        <x:v>40만</x:v>
      </x:c>
      <x:c r="G1304" s="2" t="str">
        <x:v>패</x:v>
      </x:c>
      <x:c r="H1304" s="14" t="n">
        <x:v>1</x:v>
      </x:c>
      <x:c r="I1304" s="14" t="n">
        <x:v>3</x:v>
      </x:c>
      <x:c r="J1304" s="14" t="n">
        <x:v>5</x:v>
      </x:c>
      <x:c r="K1304" s="14" t="n">
        <x:v>1</x:v>
      </x:c>
      <x:c r="L1304" s="15" t="n">
        <x:f>IF(J1304=0,"해당 없음",K1304/J1304)</x:f>
        <x:v>0.2</x:v>
      </x:c>
      <x:c r="M1304" s="14" t="n">
        <x:v>8</x:v>
      </x:c>
      <x:c r="N1304" s="14" t="n">
        <x:v>7</x:v>
      </x:c>
      <x:c r="O1304" s="15" t="n">
        <x:f>IF(M1304=0,"해당 없음",N1304/M1304)</x:f>
        <x:v>0.875</x:v>
      </x:c>
      <x:c r="P1304" s="14" t="n">
        <x:v>105</x:v>
      </x:c>
    </x:row>
    <x:row r="1305" ht="22" customHeight="1">
      <x:c r="A1305" s="14" t="n">
        <x:v>650</x:v>
      </x:c>
      <x:c r="B1305" s="14" t="n">
        <x:v>17</x:v>
      </x:c>
      <x:c r="C1305" s="14" t="n">
        <x:v>76004</x:v>
      </x:c>
      <x:c r="D1305" s="2" t="str">
        <x:v>NAVY</x:v>
      </x:c>
      <x:c r="E1305" s="2" t="str">
        <x:v>40만</x:v>
      </x:c>
      <x:c r="F1305" s="2" t="str">
        <x:v>200만</x:v>
      </x:c>
      <x:c r="G1305" s="2" t="str">
        <x:v>승</x:v>
      </x:c>
      <x:c r="H1305" s="14" t="n">
        <x:v>3</x:v>
      </x:c>
      <x:c r="I1305" s="14" t="n">
        <x:v>1</x:v>
      </x:c>
      <x:c r="J1305" s="14" t="n">
        <x:v>15</x:v>
      </x:c>
      <x:c r="K1305" s="14" t="n">
        <x:v>3</x:v>
      </x:c>
      <x:c r="L1305" s="15" t="n">
        <x:f>IF(J1305=0,"해당 없음",K1305/J1305)</x:f>
        <x:v>0.2</x:v>
      </x:c>
      <x:c r="M1305" s="14" t="n">
        <x:v>11</x:v>
      </x:c>
      <x:c r="N1305" s="14" t="n">
        <x:v>9</x:v>
      </x:c>
      <x:c r="O1305" s="15" t="n">
        <x:f>IF(M1305=0,"해당 없음",N1305/M1305)</x:f>
        <x:v>0.8181818181818182</x:v>
      </x:c>
      <x:c r="P1305" s="14" t="n">
        <x:v>103</x:v>
      </x:c>
    </x:row>
    <x:row r="1306" ht="22" customHeight="1">
      <x:c r="A1306" s="14" t="n">
        <x:v>651</x:v>
      </x:c>
      <x:c r="B1306" s="14" t="n">
        <x:v>17</x:v>
      </x:c>
      <x:c r="C1306" s="14" t="n">
        <x:v>76005</x:v>
      </x:c>
      <x:c r="D1306" s="2" t="str">
        <x:v>RED</x:v>
      </x:c>
      <x:c r="E1306" s="2" t="str">
        <x:v>40만</x:v>
      </x:c>
      <x:c r="F1306" s="2" t="str">
        <x:v>200만</x:v>
      </x:c>
      <x:c r="G1306" s="2" t="str">
        <x:v>승</x:v>
      </x:c>
      <x:c r="H1306" s="14" t="n">
        <x:v>3</x:v>
      </x:c>
      <x:c r="I1306" s="14" t="n">
        <x:v>1</x:v>
      </x:c>
      <x:c r="J1306" s="14" t="n">
        <x:v>10</x:v>
      </x:c>
      <x:c r="K1306" s="14" t="n">
        <x:v>3</x:v>
      </x:c>
      <x:c r="L1306" s="15" t="n">
        <x:f>IF(J1306=0,"해당 없음",K1306/J1306)</x:f>
        <x:v>0.3</x:v>
      </x:c>
      <x:c r="M1306" s="14" t="n">
        <x:v>11</x:v>
      </x:c>
      <x:c r="N1306" s="14" t="n">
        <x:v>7</x:v>
      </x:c>
      <x:c r="O1306" s="15" t="n">
        <x:f>IF(M1306=0,"해당 없음",N1306/M1306)</x:f>
        <x:v>0.6363636363636364</x:v>
      </x:c>
      <x:c r="P1306" s="14" t="n">
        <x:v>104</x:v>
      </x:c>
    </x:row>
    <x:row r="1307" ht="22" customHeight="1">
      <x:c r="A1307" s="14" t="n">
        <x:v>651</x:v>
      </x:c>
      <x:c r="B1307" s="14" t="n">
        <x:v>17</x:v>
      </x:c>
      <x:c r="C1307" s="14" t="n">
        <x:v>76005</x:v>
      </x:c>
      <x:c r="D1307" s="2" t="str">
        <x:v>NAVY</x:v>
      </x:c>
      <x:c r="E1307" s="2" t="str">
        <x:v>200만</x:v>
      </x:c>
      <x:c r="F1307" s="2" t="str">
        <x:v>40만</x:v>
      </x:c>
      <x:c r="G1307" s="2" t="str">
        <x:v>패</x:v>
      </x:c>
      <x:c r="H1307" s="14" t="n">
        <x:v>1</x:v>
      </x:c>
      <x:c r="I1307" s="14" t="n">
        <x:v>3</x:v>
      </x:c>
      <x:c r="J1307" s="14" t="n">
        <x:v>6</x:v>
      </x:c>
      <x:c r="K1307" s="14" t="n">
        <x:v>1</x:v>
      </x:c>
      <x:c r="L1307" s="15" t="n">
        <x:f>IF(J1307=0,"해당 없음",K1307/J1307)</x:f>
        <x:v>0.16666666666666666</x:v>
      </x:c>
      <x:c r="M1307" s="14" t="n">
        <x:v>5</x:v>
      </x:c>
      <x:c r="N1307" s="14" t="n">
        <x:v>4</x:v>
      </x:c>
      <x:c r="O1307" s="15" t="n">
        <x:f>IF(M1307=0,"해당 없음",N1307/M1307)</x:f>
        <x:v>0.8</x:v>
      </x:c>
      <x:c r="P1307" s="14" t="n">
        <x:v>102</x:v>
      </x:c>
    </x:row>
    <x:row r="1308" ht="22" customHeight="1">
      <x:c r="A1308" s="14" t="n">
        <x:v>652</x:v>
      </x:c>
      <x:c r="B1308" s="14" t="n">
        <x:v>17</x:v>
      </x:c>
      <x:c r="C1308" s="14" t="n">
        <x:v>76005</x:v>
      </x:c>
      <x:c r="D1308" s="2" t="str">
        <x:v>RED</x:v>
      </x:c>
      <x:c r="E1308" s="2" t="str">
        <x:v>200만</x:v>
      </x:c>
      <x:c r="F1308" s="2" t="str">
        <x:v>40만</x:v>
      </x:c>
      <x:c r="G1308" s="2" t="str">
        <x:v>승</x:v>
      </x:c>
      <x:c r="H1308" s="14" t="n">
        <x:v>5</x:v>
      </x:c>
      <x:c r="I1308" s="14" t="n">
        <x:v>1</x:v>
      </x:c>
      <x:c r="J1308" s="14" t="n">
        <x:v>9</x:v>
      </x:c>
      <x:c r="K1308" s="14" t="n">
        <x:v>5</x:v>
      </x:c>
      <x:c r="L1308" s="15" t="n">
        <x:f>IF(J1308=0,"해당 없음",K1308/J1308)</x:f>
        <x:v>0.5555555555555556</x:v>
      </x:c>
      <x:c r="M1308" s="14" t="n">
        <x:v>3</x:v>
      </x:c>
      <x:c r="N1308" s="14" t="n">
        <x:v>3</x:v>
      </x:c>
      <x:c r="O1308" s="15" t="n">
        <x:f>IF(M1308=0,"해당 없음",N1308/M1308)</x:f>
        <x:v>1</x:v>
      </x:c>
      <x:c r="P1308" s="14" t="n">
        <x:v>103</x:v>
      </x:c>
    </x:row>
    <x:row r="1309" ht="22" customHeight="1">
      <x:c r="A1309" s="14" t="n">
        <x:v>652</x:v>
      </x:c>
      <x:c r="B1309" s="14" t="n">
        <x:v>17</x:v>
      </x:c>
      <x:c r="C1309" s="14" t="n">
        <x:v>76005</x:v>
      </x:c>
      <x:c r="D1309" s="2" t="str">
        <x:v>NAVY</x:v>
      </x:c>
      <x:c r="E1309" s="2" t="str">
        <x:v>40만</x:v>
      </x:c>
      <x:c r="F1309" s="2" t="str">
        <x:v>200만</x:v>
      </x:c>
      <x:c r="G1309" s="2" t="str">
        <x:v>패</x:v>
      </x:c>
      <x:c r="H1309" s="14" t="n">
        <x:v>1</x:v>
      </x:c>
      <x:c r="I1309" s="14" t="n">
        <x:v>5</x:v>
      </x:c>
      <x:c r="J1309" s="14" t="n">
        <x:v>7</x:v>
      </x:c>
      <x:c r="K1309" s="14" t="n">
        <x:v>1</x:v>
      </x:c>
      <x:c r="L1309" s="15" t="n">
        <x:f>IF(J1309=0,"해당 없음",K1309/J1309)</x:f>
        <x:v>0.14285714285714285</x:v>
      </x:c>
      <x:c r="M1309" s="14" t="n">
        <x:v>12</x:v>
      </x:c>
      <x:c r="N1309" s="14" t="n">
        <x:v>8</x:v>
      </x:c>
      <x:c r="O1309" s="15" t="n">
        <x:f>IF(M1309=0,"해당 없음",N1309/M1309)</x:f>
        <x:v>0.6666666666666666</x:v>
      </x:c>
      <x:c r="P1309" s="14" t="n">
        <x:v>104</x:v>
      </x:c>
    </x:row>
    <x:row r="1310" ht="22" customHeight="1">
      <x:c r="A1310" s="14" t="n">
        <x:v>653</x:v>
      </x:c>
      <x:c r="B1310" s="14" t="n">
        <x:v>17</x:v>
      </x:c>
      <x:c r="C1310" s="14" t="n">
        <x:v>76006</x:v>
      </x:c>
      <x:c r="D1310" s="2" t="str">
        <x:v>RED</x:v>
      </x:c>
      <x:c r="E1310" s="2" t="str">
        <x:v>40만</x:v>
      </x:c>
      <x:c r="F1310" s="2" t="str">
        <x:v>200만</x:v>
      </x:c>
      <x:c r="G1310" s="2" t="str">
        <x:v>패</x:v>
      </x:c>
      <x:c r="H1310" s="14" t="n">
        <x:v>1</x:v>
      </x:c>
      <x:c r="I1310" s="14" t="n">
        <x:v>2</x:v>
      </x:c>
      <x:c r="J1310" s="14" t="n">
        <x:v>12</x:v>
      </x:c>
      <x:c r="K1310" s="14" t="n">
        <x:v>1</x:v>
      </x:c>
      <x:c r="L1310" s="15" t="n">
        <x:f>IF(J1310=0,"해당 없음",K1310/J1310)</x:f>
        <x:v>0.08333333333333333</x:v>
      </x:c>
      <x:c r="M1310" s="14" t="n">
        <x:v>7</x:v>
      </x:c>
      <x:c r="N1310" s="14" t="n">
        <x:v>4</x:v>
      </x:c>
      <x:c r="O1310" s="15" t="n">
        <x:f>IF(M1310=0,"해당 없음",N1310/M1310)</x:f>
        <x:v>0.5714285714285714</x:v>
      </x:c>
      <x:c r="P1310" s="14" t="n">
        <x:v>102</x:v>
      </x:c>
    </x:row>
    <x:row r="1311" ht="22" customHeight="1">
      <x:c r="A1311" s="14" t="n">
        <x:v>653</x:v>
      </x:c>
      <x:c r="B1311" s="14" t="n">
        <x:v>17</x:v>
      </x:c>
      <x:c r="C1311" s="14" t="n">
        <x:v>76006</x:v>
      </x:c>
      <x:c r="D1311" s="2" t="str">
        <x:v>NAVY</x:v>
      </x:c>
      <x:c r="E1311" s="2" t="str">
        <x:v>200만</x:v>
      </x:c>
      <x:c r="F1311" s="2" t="str">
        <x:v>40만</x:v>
      </x:c>
      <x:c r="G1311" s="2" t="str">
        <x:v>승</x:v>
      </x:c>
      <x:c r="H1311" s="14" t="n">
        <x:v>2</x:v>
      </x:c>
      <x:c r="I1311" s="14" t="n">
        <x:v>1</x:v>
      </x:c>
      <x:c r="J1311" s="14" t="n">
        <x:v>6</x:v>
      </x:c>
      <x:c r="K1311" s="14" t="n">
        <x:v>2</x:v>
      </x:c>
      <x:c r="L1311" s="15" t="n">
        <x:f>IF(J1311=0,"해당 없음",K1311/J1311)</x:f>
        <x:v>0.3333333333333333</x:v>
      </x:c>
      <x:c r="M1311" s="14" t="n">
        <x:v>7</x:v>
      </x:c>
      <x:c r="N1311" s="14" t="n">
        <x:v>5</x:v>
      </x:c>
      <x:c r="O1311" s="15" t="n">
        <x:f>IF(M1311=0,"해당 없음",N1311/M1311)</x:f>
        <x:v>0.7142857142857143</x:v>
      </x:c>
      <x:c r="P1311" s="14" t="n">
        <x:v>102</x:v>
      </x:c>
    </x:row>
    <x:row r="1312" ht="22" customHeight="1">
      <x:c r="A1312" s="14" t="n">
        <x:v>654</x:v>
      </x:c>
      <x:c r="B1312" s="14" t="n">
        <x:v>17</x:v>
      </x:c>
      <x:c r="C1312" s="14" t="n">
        <x:v>76006</x:v>
      </x:c>
      <x:c r="D1312" s="2" t="str">
        <x:v>RED</x:v>
      </x:c>
      <x:c r="E1312" s="2" t="str">
        <x:v>200만</x:v>
      </x:c>
      <x:c r="F1312" s="2" t="str">
        <x:v>40만</x:v>
      </x:c>
      <x:c r="G1312" s="2" t="str">
        <x:v>승</x:v>
      </x:c>
      <x:c r="H1312" s="14" t="n">
        <x:v>2</x:v>
      </x:c>
      <x:c r="I1312" s="14" t="n">
        <x:v>1</x:v>
      </x:c>
      <x:c r="J1312" s="14" t="n">
        <x:v>8</x:v>
      </x:c>
      <x:c r="K1312" s="14" t="n">
        <x:v>2</x:v>
      </x:c>
      <x:c r="L1312" s="15" t="n">
        <x:f>IF(J1312=0,"해당 없음",K1312/J1312)</x:f>
        <x:v>0.25</x:v>
      </x:c>
      <x:c r="M1312" s="14" t="n">
        <x:v>9</x:v>
      </x:c>
      <x:c r="N1312" s="14" t="n">
        <x:v>8</x:v>
      </x:c>
      <x:c r="O1312" s="15" t="n">
        <x:f>IF(M1312=0,"해당 없음",N1312/M1312)</x:f>
        <x:v>0.8888888888888888</x:v>
      </x:c>
      <x:c r="P1312" s="14" t="n">
        <x:v>102</x:v>
      </x:c>
    </x:row>
    <x:row r="1313" ht="22" customHeight="1">
      <x:c r="A1313" s="14" t="n">
        <x:v>654</x:v>
      </x:c>
      <x:c r="B1313" s="14" t="n">
        <x:v>17</x:v>
      </x:c>
      <x:c r="C1313" s="14" t="n">
        <x:v>76006</x:v>
      </x:c>
      <x:c r="D1313" s="2" t="str">
        <x:v>NAVY</x:v>
      </x:c>
      <x:c r="E1313" s="2" t="str">
        <x:v>40만</x:v>
      </x:c>
      <x:c r="F1313" s="2" t="str">
        <x:v>200만</x:v>
      </x:c>
      <x:c r="G1313" s="2" t="str">
        <x:v>패</x:v>
      </x:c>
      <x:c r="H1313" s="14" t="n">
        <x:v>1</x:v>
      </x:c>
      <x:c r="I1313" s="14" t="n">
        <x:v>2</x:v>
      </x:c>
      <x:c r="J1313" s="14" t="n">
        <x:v>10</x:v>
      </x:c>
      <x:c r="K1313" s="14" t="n">
        <x:v>1</x:v>
      </x:c>
      <x:c r="L1313" s="15" t="n">
        <x:f>IF(J1313=0,"해당 없음",K1313/J1313)</x:f>
        <x:v>0.1</x:v>
      </x:c>
      <x:c r="M1313" s="14" t="n">
        <x:v>10</x:v>
      </x:c>
      <x:c r="N1313" s="14" t="n">
        <x:v>8</x:v>
      </x:c>
      <x:c r="O1313" s="15" t="n">
        <x:f>IF(M1313=0,"해당 없음",N1313/M1313)</x:f>
        <x:v>0.8</x:v>
      </x:c>
      <x:c r="P1313" s="14" t="n">
        <x:v>102</x:v>
      </x:c>
    </x:row>
    <x:row r="1314" ht="22" customHeight="1">
      <x:c r="A1314" s="14" t="n">
        <x:v>655</x:v>
      </x:c>
      <x:c r="B1314" s="14" t="n">
        <x:v>17</x:v>
      </x:c>
      <x:c r="C1314" s="14" t="n">
        <x:v>76007</x:v>
      </x:c>
      <x:c r="D1314" s="2" t="str">
        <x:v>RED</x:v>
      </x:c>
      <x:c r="E1314" s="2" t="str">
        <x:v>40만</x:v>
      </x:c>
      <x:c r="F1314" s="2" t="str">
        <x:v>200만</x:v>
      </x:c>
      <x:c r="G1314" s="2" t="str">
        <x:v>승</x:v>
      </x:c>
      <x:c r="H1314" s="14" t="n">
        <x:v>4</x:v>
      </x:c>
      <x:c r="I1314" s="14" t="n">
        <x:v>1</x:v>
      </x:c>
      <x:c r="J1314" s="14" t="n">
        <x:v>10</x:v>
      </x:c>
      <x:c r="K1314" s="14" t="n">
        <x:v>4</x:v>
      </x:c>
      <x:c r="L1314" s="15" t="n">
        <x:f>IF(J1314=0,"해당 없음",K1314/J1314)</x:f>
        <x:v>0.4</x:v>
      </x:c>
      <x:c r="M1314" s="14" t="n">
        <x:v>8</x:v>
      </x:c>
      <x:c r="N1314" s="14" t="n">
        <x:v>4</x:v>
      </x:c>
      <x:c r="O1314" s="15" t="n">
        <x:f>IF(M1314=0,"해당 없음",N1314/M1314)</x:f>
        <x:v>0.5</x:v>
      </x:c>
      <x:c r="P1314" s="14" t="n">
        <x:v>104</x:v>
      </x:c>
    </x:row>
    <x:row r="1315" ht="22" customHeight="1">
      <x:c r="A1315" s="14" t="n">
        <x:v>655</x:v>
      </x:c>
      <x:c r="B1315" s="14" t="n">
        <x:v>17</x:v>
      </x:c>
      <x:c r="C1315" s="14" t="n">
        <x:v>76007</x:v>
      </x:c>
      <x:c r="D1315" s="2" t="str">
        <x:v>NAVY</x:v>
      </x:c>
      <x:c r="E1315" s="2" t="str">
        <x:v>200만</x:v>
      </x:c>
      <x:c r="F1315" s="2" t="str">
        <x:v>40만</x:v>
      </x:c>
      <x:c r="G1315" s="2" t="str">
        <x:v>패</x:v>
      </x:c>
      <x:c r="H1315" s="14" t="n">
        <x:v>1</x:v>
      </x:c>
      <x:c r="I1315" s="14" t="n">
        <x:v>4</x:v>
      </x:c>
      <x:c r="J1315" s="14" t="n">
        <x:v>4</x:v>
      </x:c>
      <x:c r="K1315" s="14" t="n">
        <x:v>1</x:v>
      </x:c>
      <x:c r="L1315" s="15" t="n">
        <x:f>IF(J1315=0,"해당 없음",K1315/J1315)</x:f>
        <x:v>0.25</x:v>
      </x:c>
      <x:c r="M1315" s="14" t="n">
        <x:v>5</x:v>
      </x:c>
      <x:c r="N1315" s="14" t="n">
        <x:v>4</x:v>
      </x:c>
      <x:c r="O1315" s="15" t="n">
        <x:f>IF(M1315=0,"해당 없음",N1315/M1315)</x:f>
        <x:v>0.8</x:v>
      </x:c>
      <x:c r="P1315" s="14" t="n">
        <x:v>104</x:v>
      </x:c>
    </x:row>
    <x:row r="1316" ht="22" customHeight="1">
      <x:c r="A1316" s="14" t="n">
        <x:v>656</x:v>
      </x:c>
      <x:c r="B1316" s="14" t="n">
        <x:v>17</x:v>
      </x:c>
      <x:c r="C1316" s="14" t="n">
        <x:v>76007</x:v>
      </x:c>
      <x:c r="D1316" s="2" t="str">
        <x:v>RED</x:v>
      </x:c>
      <x:c r="E1316" s="2" t="str">
        <x:v>200만</x:v>
      </x:c>
      <x:c r="F1316" s="2" t="str">
        <x:v>40만</x:v>
      </x:c>
      <x:c r="G1316" s="2" t="str">
        <x:v>승</x:v>
      </x:c>
      <x:c r="H1316" s="14" t="n">
        <x:v>5</x:v>
      </x:c>
      <x:c r="I1316" s="14" t="n">
        <x:v>0</x:v>
      </x:c>
      <x:c r="J1316" s="14" t="n">
        <x:v>9</x:v>
      </x:c>
      <x:c r="K1316" s="14" t="n">
        <x:v>5</x:v>
      </x:c>
      <x:c r="L1316" s="15" t="n">
        <x:f>IF(J1316=0,"해당 없음",K1316/J1316)</x:f>
        <x:v>0.5555555555555556</x:v>
      </x:c>
      <x:c r="M1316" s="14" t="n">
        <x:v>9</x:v>
      </x:c>
      <x:c r="N1316" s="14" t="n">
        <x:v>5</x:v>
      </x:c>
      <x:c r="O1316" s="15" t="n">
        <x:f>IF(M1316=0,"해당 없음",N1316/M1316)</x:f>
        <x:v>0.5555555555555556</x:v>
      </x:c>
      <x:c r="P1316" s="14" t="n">
        <x:v>103</x:v>
      </x:c>
    </x:row>
    <x:row r="1317" ht="22" customHeight="1">
      <x:c r="A1317" s="14" t="n">
        <x:v>656</x:v>
      </x:c>
      <x:c r="B1317" s="14" t="n">
        <x:v>17</x:v>
      </x:c>
      <x:c r="C1317" s="14" t="n">
        <x:v>76007</x:v>
      </x:c>
      <x:c r="D1317" s="2" t="str">
        <x:v>NAVY</x:v>
      </x:c>
      <x:c r="E1317" s="2" t="str">
        <x:v>40만</x:v>
      </x:c>
      <x:c r="F1317" s="2" t="str">
        <x:v>200만</x:v>
      </x:c>
      <x:c r="G1317" s="2" t="str">
        <x:v>패</x:v>
      </x:c>
      <x:c r="H1317" s="14" t="n">
        <x:v>0</x:v>
      </x:c>
      <x:c r="I1317" s="14" t="n">
        <x:v>5</x:v>
      </x:c>
      <x:c r="J1317" s="14" t="n">
        <x:v>11</x:v>
      </x:c>
      <x:c r="K1317" s="14" t="n">
        <x:v>0</x:v>
      </x:c>
      <x:c r="L1317" s="15" t="n">
        <x:f>IF(J1317=0,"해당 없음",K1317/J1317)</x:f>
        <x:v>0</x:v>
      </x:c>
      <x:c r="M1317" s="14" t="n">
        <x:v>7</x:v>
      </x:c>
      <x:c r="N1317" s="14" t="n">
        <x:v>7</x:v>
      </x:c>
      <x:c r="O1317" s="15" t="n">
        <x:f>IF(M1317=0,"해당 없음",N1317/M1317)</x:f>
        <x:v>1</x:v>
      </x:c>
      <x:c r="P1317" s="14" t="n">
        <x:v>103</x:v>
      </x:c>
    </x:row>
    <x:row r="1318" ht="22" customHeight="1">
      <x:c r="A1318" s="14" t="n">
        <x:v>657</x:v>
      </x:c>
      <x:c r="B1318" s="14" t="n">
        <x:v>17</x:v>
      </x:c>
      <x:c r="C1318" s="14" t="n">
        <x:v>76008</x:v>
      </x:c>
      <x:c r="D1318" s="2" t="str">
        <x:v>RED</x:v>
      </x:c>
      <x:c r="E1318" s="2" t="str">
        <x:v>40만</x:v>
      </x:c>
      <x:c r="F1318" s="2" t="str">
        <x:v>200만</x:v>
      </x:c>
      <x:c r="G1318" s="2" t="str">
        <x:v>승</x:v>
      </x:c>
      <x:c r="H1318" s="14" t="n">
        <x:v>4</x:v>
      </x:c>
      <x:c r="I1318" s="14" t="n">
        <x:v>3</x:v>
      </x:c>
      <x:c r="J1318" s="14" t="n">
        <x:v>12</x:v>
      </x:c>
      <x:c r="K1318" s="14" t="n">
        <x:v>4</x:v>
      </x:c>
      <x:c r="L1318" s="15" t="n">
        <x:f>IF(J1318=0,"해당 없음",K1318/J1318)</x:f>
        <x:v>0.3333333333333333</x:v>
      </x:c>
      <x:c r="M1318" s="14" t="n">
        <x:v>9</x:v>
      </x:c>
      <x:c r="N1318" s="14" t="n">
        <x:v>7</x:v>
      </x:c>
      <x:c r="O1318" s="15" t="n">
        <x:f>IF(M1318=0,"해당 없음",N1318/M1318)</x:f>
        <x:v>0.7777777777777778</x:v>
      </x:c>
      <x:c r="P1318" s="14" t="n">
        <x:v>104</x:v>
      </x:c>
    </x:row>
    <x:row r="1319" ht="22" customHeight="1">
      <x:c r="A1319" s="14" t="n">
        <x:v>657</x:v>
      </x:c>
      <x:c r="B1319" s="14" t="n">
        <x:v>17</x:v>
      </x:c>
      <x:c r="C1319" s="14" t="n">
        <x:v>76008</x:v>
      </x:c>
      <x:c r="D1319" s="2" t="str">
        <x:v>NAVY</x:v>
      </x:c>
      <x:c r="E1319" s="2" t="str">
        <x:v>200만</x:v>
      </x:c>
      <x:c r="F1319" s="2" t="str">
        <x:v>40만</x:v>
      </x:c>
      <x:c r="G1319" s="2" t="str">
        <x:v>패</x:v>
      </x:c>
      <x:c r="H1319" s="14" t="n">
        <x:v>3</x:v>
      </x:c>
      <x:c r="I1319" s="14" t="n">
        <x:v>4</x:v>
      </x:c>
      <x:c r="J1319" s="14" t="n">
        <x:v>8</x:v>
      </x:c>
      <x:c r="K1319" s="14" t="n">
        <x:v>3</x:v>
      </x:c>
      <x:c r="L1319" s="15" t="n">
        <x:f>IF(J1319=0,"해당 없음",K1319/J1319)</x:f>
        <x:v>0.375</x:v>
      </x:c>
      <x:c r="M1319" s="14" t="n">
        <x:v>7</x:v>
      </x:c>
      <x:c r="N1319" s="14" t="n">
        <x:v>3</x:v>
      </x:c>
      <x:c r="O1319" s="15" t="n">
        <x:f>IF(M1319=0,"해당 없음",N1319/M1319)</x:f>
        <x:v>0.42857142857142855</x:v>
      </x:c>
      <x:c r="P1319" s="14" t="n">
        <x:v>104</x:v>
      </x:c>
    </x:row>
    <x:row r="1320" ht="22" customHeight="1">
      <x:c r="A1320" s="14" t="n">
        <x:v>658</x:v>
      </x:c>
      <x:c r="B1320" s="14" t="n">
        <x:v>17</x:v>
      </x:c>
      <x:c r="C1320" s="14" t="n">
        <x:v>76008</x:v>
      </x:c>
      <x:c r="D1320" s="2" t="str">
        <x:v>RED</x:v>
      </x:c>
      <x:c r="E1320" s="2" t="str">
        <x:v>200만</x:v>
      </x:c>
      <x:c r="F1320" s="2" t="str">
        <x:v>40만</x:v>
      </x:c>
      <x:c r="G1320" s="2" t="str">
        <x:v>패</x:v>
      </x:c>
      <x:c r="H1320" s="14" t="n">
        <x:v>2</x:v>
      </x:c>
      <x:c r="I1320" s="14" t="n">
        <x:v>3</x:v>
      </x:c>
      <x:c r="J1320" s="14" t="n">
        <x:v>11</x:v>
      </x:c>
      <x:c r="K1320" s="14" t="n">
        <x:v>2</x:v>
      </x:c>
      <x:c r="L1320" s="15" t="n">
        <x:f>IF(J1320=0,"해당 없음",K1320/J1320)</x:f>
        <x:v>0.18181818181818182</x:v>
      </x:c>
      <x:c r="M1320" s="14" t="n">
        <x:v>6</x:v>
      </x:c>
      <x:c r="N1320" s="14" t="n">
        <x:v>4</x:v>
      </x:c>
      <x:c r="O1320" s="15" t="n">
        <x:f>IF(M1320=0,"해당 없음",N1320/M1320)</x:f>
        <x:v>0.6666666666666666</x:v>
      </x:c>
      <x:c r="P1320" s="14" t="n">
        <x:v>103</x:v>
      </x:c>
    </x:row>
    <x:row r="1321" ht="22" customHeight="1">
      <x:c r="A1321" s="14" t="n">
        <x:v>658</x:v>
      </x:c>
      <x:c r="B1321" s="14" t="n">
        <x:v>17</x:v>
      </x:c>
      <x:c r="C1321" s="14" t="n">
        <x:v>76008</x:v>
      </x:c>
      <x:c r="D1321" s="2" t="str">
        <x:v>NAVY</x:v>
      </x:c>
      <x:c r="E1321" s="2" t="str">
        <x:v>40만</x:v>
      </x:c>
      <x:c r="F1321" s="2" t="str">
        <x:v>200만</x:v>
      </x:c>
      <x:c r="G1321" s="2" t="str">
        <x:v>승</x:v>
      </x:c>
      <x:c r="H1321" s="14" t="n">
        <x:v>3</x:v>
      </x:c>
      <x:c r="I1321" s="14" t="n">
        <x:v>2</x:v>
      </x:c>
      <x:c r="J1321" s="14" t="n">
        <x:v>11</x:v>
      </x:c>
      <x:c r="K1321" s="14" t="n">
        <x:v>3</x:v>
      </x:c>
      <x:c r="L1321" s="15" t="n">
        <x:f>IF(J1321=0,"해당 없음",K1321/J1321)</x:f>
        <x:v>0.2727272727272727</x:v>
      </x:c>
      <x:c r="M1321" s="14" t="n">
        <x:v>10</x:v>
      </x:c>
      <x:c r="N1321" s="14" t="n">
        <x:v>6</x:v>
      </x:c>
      <x:c r="O1321" s="15" t="n">
        <x:f>IF(M1321=0,"해당 없음",N1321/M1321)</x:f>
        <x:v>0.6</x:v>
      </x:c>
      <x:c r="P1321" s="14" t="n">
        <x:v>105</x:v>
      </x:c>
    </x:row>
    <x:row r="1322" ht="22" customHeight="1">
      <x:c r="A1322" s="14" t="n">
        <x:v>659</x:v>
      </x:c>
      <x:c r="B1322" s="14" t="n">
        <x:v>17</x:v>
      </x:c>
      <x:c r="C1322" s="14" t="n">
        <x:v>76009</x:v>
      </x:c>
      <x:c r="D1322" s="2" t="str">
        <x:v>RED</x:v>
      </x:c>
      <x:c r="E1322" s="2" t="str">
        <x:v>40만</x:v>
      </x:c>
      <x:c r="F1322" s="2" t="str">
        <x:v>200만</x:v>
      </x:c>
      <x:c r="G1322" s="2" t="str">
        <x:v>패</x:v>
      </x:c>
      <x:c r="H1322" s="14" t="n">
        <x:v>1</x:v>
      </x:c>
      <x:c r="I1322" s="14" t="n">
        <x:v>4</x:v>
      </x:c>
      <x:c r="J1322" s="14" t="n">
        <x:v>7</x:v>
      </x:c>
      <x:c r="K1322" s="14" t="n">
        <x:v>1</x:v>
      </x:c>
      <x:c r="L1322" s="15" t="n">
        <x:f>IF(J1322=0,"해당 없음",K1322/J1322)</x:f>
        <x:v>0.14285714285714285</x:v>
      </x:c>
      <x:c r="M1322" s="14" t="n">
        <x:v>11</x:v>
      </x:c>
      <x:c r="N1322" s="14" t="n">
        <x:v>9</x:v>
      </x:c>
      <x:c r="O1322" s="15" t="n">
        <x:f>IF(M1322=0,"해당 없음",N1322/M1322)</x:f>
        <x:v>0.8181818181818182</x:v>
      </x:c>
      <x:c r="P1322" s="14" t="n">
        <x:v>101</x:v>
      </x:c>
    </x:row>
    <x:row r="1323" ht="22" customHeight="1">
      <x:c r="A1323" s="14" t="n">
        <x:v>659</x:v>
      </x:c>
      <x:c r="B1323" s="14" t="n">
        <x:v>17</x:v>
      </x:c>
      <x:c r="C1323" s="14" t="n">
        <x:v>76009</x:v>
      </x:c>
      <x:c r="D1323" s="2" t="str">
        <x:v>NAVY</x:v>
      </x:c>
      <x:c r="E1323" s="2" t="str">
        <x:v>200만</x:v>
      </x:c>
      <x:c r="F1323" s="2" t="str">
        <x:v>40만</x:v>
      </x:c>
      <x:c r="G1323" s="2" t="str">
        <x:v>승</x:v>
      </x:c>
      <x:c r="H1323" s="14" t="n">
        <x:v>4</x:v>
      </x:c>
      <x:c r="I1323" s="14" t="n">
        <x:v>1</x:v>
      </x:c>
      <x:c r="J1323" s="14" t="n">
        <x:v>7</x:v>
      </x:c>
      <x:c r="K1323" s="14" t="n">
        <x:v>4</x:v>
      </x:c>
      <x:c r="L1323" s="15" t="n">
        <x:f>IF(J1323=0,"해당 없음",K1323/J1323)</x:f>
        <x:v>0.5714285714285714</x:v>
      </x:c>
      <x:c r="M1323" s="14" t="n">
        <x:v>10</x:v>
      </x:c>
      <x:c r="N1323" s="14" t="n">
        <x:v>3</x:v>
      </x:c>
      <x:c r="O1323" s="15" t="n">
        <x:f>IF(M1323=0,"해당 없음",N1323/M1323)</x:f>
        <x:v>0.3</x:v>
      </x:c>
      <x:c r="P1323" s="14" t="n">
        <x:v>103</x:v>
      </x:c>
    </x:row>
    <x:row r="1324" ht="22" customHeight="1">
      <x:c r="A1324" s="14" t="n">
        <x:v>660</x:v>
      </x:c>
      <x:c r="B1324" s="14" t="n">
        <x:v>17</x:v>
      </x:c>
      <x:c r="C1324" s="14" t="n">
        <x:v>76009</x:v>
      </x:c>
      <x:c r="D1324" s="2" t="str">
        <x:v>RED</x:v>
      </x:c>
      <x:c r="E1324" s="2" t="str">
        <x:v>200만</x:v>
      </x:c>
      <x:c r="F1324" s="2" t="str">
        <x:v>40만</x:v>
      </x:c>
      <x:c r="G1324" s="2" t="str">
        <x:v>승</x:v>
      </x:c>
      <x:c r="H1324" s="14" t="n">
        <x:v>5</x:v>
      </x:c>
      <x:c r="I1324" s="14" t="n">
        <x:v>2</x:v>
      </x:c>
      <x:c r="J1324" s="14" t="n">
        <x:v>8</x:v>
      </x:c>
      <x:c r="K1324" s="14" t="n">
        <x:v>5</x:v>
      </x:c>
      <x:c r="L1324" s="15" t="n">
        <x:f>IF(J1324=0,"해당 없음",K1324/J1324)</x:f>
        <x:v>0.625</x:v>
      </x:c>
      <x:c r="M1324" s="14" t="n">
        <x:v>8</x:v>
      </x:c>
      <x:c r="N1324" s="14" t="n">
        <x:v>3</x:v>
      </x:c>
      <x:c r="O1324" s="15" t="n">
        <x:f>IF(M1324=0,"해당 없음",N1324/M1324)</x:f>
        <x:v>0.375</x:v>
      </x:c>
      <x:c r="P1324" s="14" t="n">
        <x:v>103</x:v>
      </x:c>
    </x:row>
    <x:row r="1325" ht="22" customHeight="1">
      <x:c r="A1325" s="14" t="n">
        <x:v>660</x:v>
      </x:c>
      <x:c r="B1325" s="14" t="n">
        <x:v>17</x:v>
      </x:c>
      <x:c r="C1325" s="14" t="n">
        <x:v>76009</x:v>
      </x:c>
      <x:c r="D1325" s="2" t="str">
        <x:v>NAVY</x:v>
      </x:c>
      <x:c r="E1325" s="2" t="str">
        <x:v>40만</x:v>
      </x:c>
      <x:c r="F1325" s="2" t="str">
        <x:v>200만</x:v>
      </x:c>
      <x:c r="G1325" s="2" t="str">
        <x:v>패</x:v>
      </x:c>
      <x:c r="H1325" s="14" t="n">
        <x:v>2</x:v>
      </x:c>
      <x:c r="I1325" s="14" t="n">
        <x:v>5</x:v>
      </x:c>
      <x:c r="J1325" s="14" t="n">
        <x:v>9</x:v>
      </x:c>
      <x:c r="K1325" s="14" t="n">
        <x:v>2</x:v>
      </x:c>
      <x:c r="L1325" s="15" t="n">
        <x:f>IF(J1325=0,"해당 없음",K1325/J1325)</x:f>
        <x:v>0.2222222222222222</x:v>
      </x:c>
      <x:c r="M1325" s="14" t="n">
        <x:v>7</x:v>
      </x:c>
      <x:c r="N1325" s="14" t="n">
        <x:v>3</x:v>
      </x:c>
      <x:c r="O1325" s="15" t="n">
        <x:f>IF(M1325=0,"해당 없음",N1325/M1325)</x:f>
        <x:v>0.42857142857142855</x:v>
      </x:c>
      <x:c r="P1325" s="14" t="n">
        <x:v>103</x:v>
      </x:c>
    </x:row>
    <x:row r="1326" ht="22" customHeight="1">
      <x:c r="A1326" s="14" t="n">
        <x:v>661</x:v>
      </x:c>
      <x:c r="B1326" s="14" t="n">
        <x:v>17</x:v>
      </x:c>
      <x:c r="C1326" s="14" t="n">
        <x:v>76010</x:v>
      </x:c>
      <x:c r="D1326" s="2" t="str">
        <x:v>RED</x:v>
      </x:c>
      <x:c r="E1326" s="2" t="str">
        <x:v>40만</x:v>
      </x:c>
      <x:c r="F1326" s="2" t="str">
        <x:v>200만</x:v>
      </x:c>
      <x:c r="G1326" s="2" t="str">
        <x:v>패</x:v>
      </x:c>
      <x:c r="H1326" s="14" t="n">
        <x:v>2</x:v>
      </x:c>
      <x:c r="I1326" s="14" t="n">
        <x:v>5</x:v>
      </x:c>
      <x:c r="J1326" s="14" t="n">
        <x:v>11</x:v>
      </x:c>
      <x:c r="K1326" s="14" t="n">
        <x:v>2</x:v>
      </x:c>
      <x:c r="L1326" s="15" t="n">
        <x:f>IF(J1326=0,"해당 없음",K1326/J1326)</x:f>
        <x:v>0.18181818181818182</x:v>
      </x:c>
      <x:c r="M1326" s="14" t="n">
        <x:v>8</x:v>
      </x:c>
      <x:c r="N1326" s="14" t="n">
        <x:v>7</x:v>
      </x:c>
      <x:c r="O1326" s="15" t="n">
        <x:f>IF(M1326=0,"해당 없음",N1326/M1326)</x:f>
        <x:v>0.875</x:v>
      </x:c>
      <x:c r="P1326" s="14" t="n">
        <x:v>105</x:v>
      </x:c>
    </x:row>
    <x:row r="1327" ht="22" customHeight="1">
      <x:c r="A1327" s="14" t="n">
        <x:v>661</x:v>
      </x:c>
      <x:c r="B1327" s="14" t="n">
        <x:v>17</x:v>
      </x:c>
      <x:c r="C1327" s="14" t="n">
        <x:v>76010</x:v>
      </x:c>
      <x:c r="D1327" s="2" t="str">
        <x:v>NAVY</x:v>
      </x:c>
      <x:c r="E1327" s="2" t="str">
        <x:v>200만</x:v>
      </x:c>
      <x:c r="F1327" s="2" t="str">
        <x:v>40만</x:v>
      </x:c>
      <x:c r="G1327" s="2" t="str">
        <x:v>승</x:v>
      </x:c>
      <x:c r="H1327" s="14" t="n">
        <x:v>5</x:v>
      </x:c>
      <x:c r="I1327" s="14" t="n">
        <x:v>2</x:v>
      </x:c>
      <x:c r="J1327" s="14" t="n">
        <x:v>9</x:v>
      </x:c>
      <x:c r="K1327" s="14" t="n">
        <x:v>5</x:v>
      </x:c>
      <x:c r="L1327" s="15" t="n">
        <x:f>IF(J1327=0,"해당 없음",K1327/J1327)</x:f>
        <x:v>0.5555555555555556</x:v>
      </x:c>
      <x:c r="M1327" s="14" t="n">
        <x:v>8</x:v>
      </x:c>
      <x:c r="N1327" s="14" t="n">
        <x:v>5</x:v>
      </x:c>
      <x:c r="O1327" s="15" t="n">
        <x:f>IF(M1327=0,"해당 없음",N1327/M1327)</x:f>
        <x:v>0.625</x:v>
      </x:c>
      <x:c r="P1327" s="14" t="n">
        <x:v>105</x:v>
      </x:c>
    </x:row>
    <x:row r="1328" ht="22" customHeight="1">
      <x:c r="A1328" s="14" t="n">
        <x:v>662</x:v>
      </x:c>
      <x:c r="B1328" s="14" t="n">
        <x:v>17</x:v>
      </x:c>
      <x:c r="C1328" s="14" t="n">
        <x:v>76010</x:v>
      </x:c>
      <x:c r="D1328" s="2" t="str">
        <x:v>RED</x:v>
      </x:c>
      <x:c r="E1328" s="2" t="str">
        <x:v>200만</x:v>
      </x:c>
      <x:c r="F1328" s="2" t="str">
        <x:v>40만</x:v>
      </x:c>
      <x:c r="G1328" s="2" t="str">
        <x:v>승</x:v>
      </x:c>
      <x:c r="H1328" s="14" t="n">
        <x:v>2</x:v>
      </x:c>
      <x:c r="I1328" s="14" t="n">
        <x:v>1</x:v>
      </x:c>
      <x:c r="J1328" s="14" t="n">
        <x:v>12</x:v>
      </x:c>
      <x:c r="K1328" s="14" t="n">
        <x:v>2</x:v>
      </x:c>
      <x:c r="L1328" s="15" t="n">
        <x:f>IF(J1328=0,"해당 없음",K1328/J1328)</x:f>
        <x:v>0.16666666666666666</x:v>
      </x:c>
      <x:c r="M1328" s="14" t="n">
        <x:v>5</x:v>
      </x:c>
      <x:c r="N1328" s="14" t="n">
        <x:v>5</x:v>
      </x:c>
      <x:c r="O1328" s="15" t="n">
        <x:f>IF(M1328=0,"해당 없음",N1328/M1328)</x:f>
        <x:v>1</x:v>
      </x:c>
      <x:c r="P1328" s="14" t="n">
        <x:v>103</x:v>
      </x:c>
    </x:row>
    <x:row r="1329" ht="22" customHeight="1">
      <x:c r="A1329" s="14" t="n">
        <x:v>662</x:v>
      </x:c>
      <x:c r="B1329" s="14" t="n">
        <x:v>17</x:v>
      </x:c>
      <x:c r="C1329" s="14" t="n">
        <x:v>76010</x:v>
      </x:c>
      <x:c r="D1329" s="2" t="str">
        <x:v>NAVY</x:v>
      </x:c>
      <x:c r="E1329" s="2" t="str">
        <x:v>40만</x:v>
      </x:c>
      <x:c r="F1329" s="2" t="str">
        <x:v>200만</x:v>
      </x:c>
      <x:c r="G1329" s="2" t="str">
        <x:v>패</x:v>
      </x:c>
      <x:c r="H1329" s="14" t="n">
        <x:v>1</x:v>
      </x:c>
      <x:c r="I1329" s="14" t="n">
        <x:v>2</x:v>
      </x:c>
      <x:c r="J1329" s="14" t="n">
        <x:v>6</x:v>
      </x:c>
      <x:c r="K1329" s="14" t="n">
        <x:v>1</x:v>
      </x:c>
      <x:c r="L1329" s="15" t="n">
        <x:f>IF(J1329=0,"해당 없음",K1329/J1329)</x:f>
        <x:v>0.16666666666666666</x:v>
      </x:c>
      <x:c r="M1329" s="14" t="n">
        <x:v>9</x:v>
      </x:c>
      <x:c r="N1329" s="14" t="n">
        <x:v>8</x:v>
      </x:c>
      <x:c r="O1329" s="15" t="n">
        <x:f>IF(M1329=0,"해당 없음",N1329/M1329)</x:f>
        <x:v>0.8888888888888888</x:v>
      </x:c>
      <x:c r="P1329" s="14" t="n">
        <x:v>101</x:v>
      </x:c>
    </x:row>
    <x:row r="1330" ht="22" customHeight="1">
      <x:c r="A1330" s="14" t="n">
        <x:v>663</x:v>
      </x:c>
      <x:c r="B1330" s="14" t="n">
        <x:v>17</x:v>
      </x:c>
      <x:c r="C1330" s="14" t="n">
        <x:v>76011</x:v>
      </x:c>
      <x:c r="D1330" s="2" t="str">
        <x:v>RED</x:v>
      </x:c>
      <x:c r="E1330" s="2" t="str">
        <x:v>40만</x:v>
      </x:c>
      <x:c r="F1330" s="2" t="str">
        <x:v>200만</x:v>
      </x:c>
      <x:c r="G1330" s="2" t="str">
        <x:v>패</x:v>
      </x:c>
      <x:c r="H1330" s="14" t="n">
        <x:v>1</x:v>
      </x:c>
      <x:c r="I1330" s="14" t="n">
        <x:v>4</x:v>
      </x:c>
      <x:c r="J1330" s="14" t="n">
        <x:v>9</x:v>
      </x:c>
      <x:c r="K1330" s="14" t="n">
        <x:v>1</x:v>
      </x:c>
      <x:c r="L1330" s="15" t="n">
        <x:f>IF(J1330=0,"해당 없음",K1330/J1330)</x:f>
        <x:v>0.1111111111111111</x:v>
      </x:c>
      <x:c r="M1330" s="14" t="n">
        <x:v>8</x:v>
      </x:c>
      <x:c r="N1330" s="14" t="n">
        <x:v>8</x:v>
      </x:c>
      <x:c r="O1330" s="15" t="n">
        <x:f>IF(M1330=0,"해당 없음",N1330/M1330)</x:f>
        <x:v>1</x:v>
      </x:c>
      <x:c r="P1330" s="14" t="n">
        <x:v>102</x:v>
      </x:c>
    </x:row>
    <x:row r="1331" ht="22" customHeight="1">
      <x:c r="A1331" s="14" t="n">
        <x:v>663</x:v>
      </x:c>
      <x:c r="B1331" s="14" t="n">
        <x:v>17</x:v>
      </x:c>
      <x:c r="C1331" s="14" t="n">
        <x:v>76011</x:v>
      </x:c>
      <x:c r="D1331" s="2" t="str">
        <x:v>NAVY</x:v>
      </x:c>
      <x:c r="E1331" s="2" t="str">
        <x:v>200만</x:v>
      </x:c>
      <x:c r="F1331" s="2" t="str">
        <x:v>40만</x:v>
      </x:c>
      <x:c r="G1331" s="2" t="str">
        <x:v>승</x:v>
      </x:c>
      <x:c r="H1331" s="14" t="n">
        <x:v>4</x:v>
      </x:c>
      <x:c r="I1331" s="14" t="n">
        <x:v>1</x:v>
      </x:c>
      <x:c r="J1331" s="14" t="n">
        <x:v>6</x:v>
      </x:c>
      <x:c r="K1331" s="14" t="n">
        <x:v>4</x:v>
      </x:c>
      <x:c r="L1331" s="15" t="n">
        <x:f>IF(J1331=0,"해당 없음",K1331/J1331)</x:f>
        <x:v>0.6666666666666666</x:v>
      </x:c>
      <x:c r="M1331" s="14" t="n">
        <x:v>11</x:v>
      </x:c>
      <x:c r="N1331" s="14" t="n">
        <x:v>7</x:v>
      </x:c>
      <x:c r="O1331" s="15" t="n">
        <x:f>IF(M1331=0,"해당 없음",N1331/M1331)</x:f>
        <x:v>0.6363636363636364</x:v>
      </x:c>
      <x:c r="P1331" s="14" t="n">
        <x:v>103</x:v>
      </x:c>
    </x:row>
    <x:row r="1332" ht="22" customHeight="1">
      <x:c r="A1332" s="14" t="n">
        <x:v>664</x:v>
      </x:c>
      <x:c r="B1332" s="14" t="n">
        <x:v>17</x:v>
      </x:c>
      <x:c r="C1332" s="14" t="n">
        <x:v>76011</x:v>
      </x:c>
      <x:c r="D1332" s="2" t="str">
        <x:v>RED</x:v>
      </x:c>
      <x:c r="E1332" s="2" t="str">
        <x:v>200만</x:v>
      </x:c>
      <x:c r="F1332" s="2" t="str">
        <x:v>40만</x:v>
      </x:c>
      <x:c r="G1332" s="2" t="str">
        <x:v>승</x:v>
      </x:c>
      <x:c r="H1332" s="14" t="n">
        <x:v>3</x:v>
      </x:c>
      <x:c r="I1332" s="14" t="n">
        <x:v>1</x:v>
      </x:c>
      <x:c r="J1332" s="14" t="n">
        <x:v>6</x:v>
      </x:c>
      <x:c r="K1332" s="14" t="n">
        <x:v>3</x:v>
      </x:c>
      <x:c r="L1332" s="15" t="n">
        <x:f>IF(J1332=0,"해당 없음",K1332/J1332)</x:f>
        <x:v>0.5</x:v>
      </x:c>
      <x:c r="M1332" s="14" t="n">
        <x:v>10</x:v>
      </x:c>
      <x:c r="N1332" s="14" t="n">
        <x:v>5</x:v>
      </x:c>
      <x:c r="O1332" s="15" t="n">
        <x:f>IF(M1332=0,"해당 없음",N1332/M1332)</x:f>
        <x:v>0.5</x:v>
      </x:c>
      <x:c r="P1332" s="14" t="n">
        <x:v>103</x:v>
      </x:c>
    </x:row>
    <x:row r="1333" ht="22" customHeight="1">
      <x:c r="A1333" s="14" t="n">
        <x:v>664</x:v>
      </x:c>
      <x:c r="B1333" s="14" t="n">
        <x:v>17</x:v>
      </x:c>
      <x:c r="C1333" s="14" t="n">
        <x:v>76011</x:v>
      </x:c>
      <x:c r="D1333" s="2" t="str">
        <x:v>NAVY</x:v>
      </x:c>
      <x:c r="E1333" s="2" t="str">
        <x:v>40만</x:v>
      </x:c>
      <x:c r="F1333" s="2" t="str">
        <x:v>200만</x:v>
      </x:c>
      <x:c r="G1333" s="2" t="str">
        <x:v>패</x:v>
      </x:c>
      <x:c r="H1333" s="14" t="n">
        <x:v>1</x:v>
      </x:c>
      <x:c r="I1333" s="14" t="n">
        <x:v>3</x:v>
      </x:c>
      <x:c r="J1333" s="14" t="n">
        <x:v>7</x:v>
      </x:c>
      <x:c r="K1333" s="14" t="n">
        <x:v>1</x:v>
      </x:c>
      <x:c r="L1333" s="15" t="n">
        <x:f>IF(J1333=0,"해당 없음",K1333/J1333)</x:f>
        <x:v>0.14285714285714285</x:v>
      </x:c>
      <x:c r="M1333" s="14" t="n">
        <x:v>10</x:v>
      </x:c>
      <x:c r="N1333" s="14" t="n">
        <x:v>8</x:v>
      </x:c>
      <x:c r="O1333" s="15" t="n">
        <x:f>IF(M1333=0,"해당 없음",N1333/M1333)</x:f>
        <x:v>0.8</x:v>
      </x:c>
      <x:c r="P1333" s="14" t="n">
        <x:v>104</x:v>
      </x:c>
    </x:row>
    <x:row r="1334" ht="22" customHeight="1">
      <x:c r="A1334" s="14" t="n">
        <x:v>665</x:v>
      </x:c>
      <x:c r="B1334" s="14" t="n">
        <x:v>17</x:v>
      </x:c>
      <x:c r="C1334" s="14" t="n">
        <x:v>76012</x:v>
      </x:c>
      <x:c r="D1334" s="2" t="str">
        <x:v>RED</x:v>
      </x:c>
      <x:c r="E1334" s="2" t="str">
        <x:v>40만</x:v>
      </x:c>
      <x:c r="F1334" s="2" t="str">
        <x:v>200만</x:v>
      </x:c>
      <x:c r="G1334" s="2" t="str">
        <x:v>무</x:v>
      </x:c>
      <x:c r="H1334" s="14" t="n">
        <x:v>4</x:v>
      </x:c>
      <x:c r="I1334" s="14" t="n">
        <x:v>4</x:v>
      </x:c>
      <x:c r="J1334" s="14" t="n">
        <x:v>11</x:v>
      </x:c>
      <x:c r="K1334" s="14" t="n">
        <x:v>4</x:v>
      </x:c>
      <x:c r="L1334" s="15" t="n">
        <x:f>IF(J1334=0,"해당 없음",K1334/J1334)</x:f>
        <x:v>0.36363636363636365</x:v>
      </x:c>
      <x:c r="M1334" s="14" t="n">
        <x:v>6</x:v>
      </x:c>
      <x:c r="N1334" s="14" t="n">
        <x:v>5</x:v>
      </x:c>
      <x:c r="O1334" s="15" t="n">
        <x:f>IF(M1334=0,"해당 없음",N1334/M1334)</x:f>
        <x:v>0.8333333333333334</x:v>
      </x:c>
      <x:c r="P1334" s="14" t="n">
        <x:v>105</x:v>
      </x:c>
    </x:row>
    <x:row r="1335" ht="22" customHeight="1">
      <x:c r="A1335" s="14" t="n">
        <x:v>665</x:v>
      </x:c>
      <x:c r="B1335" s="14" t="n">
        <x:v>17</x:v>
      </x:c>
      <x:c r="C1335" s="14" t="n">
        <x:v>76012</x:v>
      </x:c>
      <x:c r="D1335" s="2" t="str">
        <x:v>NAVY</x:v>
      </x:c>
      <x:c r="E1335" s="2" t="str">
        <x:v>200만</x:v>
      </x:c>
      <x:c r="F1335" s="2" t="str">
        <x:v>40만</x:v>
      </x:c>
      <x:c r="G1335" s="2" t="str">
        <x:v>무</x:v>
      </x:c>
      <x:c r="H1335" s="14" t="n">
        <x:v>4</x:v>
      </x:c>
      <x:c r="I1335" s="14" t="n">
        <x:v>4</x:v>
      </x:c>
      <x:c r="J1335" s="14" t="n">
        <x:v>6</x:v>
      </x:c>
      <x:c r="K1335" s="14" t="n">
        <x:v>4</x:v>
      </x:c>
      <x:c r="L1335" s="15" t="n">
        <x:f>IF(J1335=0,"해당 없음",K1335/J1335)</x:f>
        <x:v>0.6666666666666666</x:v>
      </x:c>
      <x:c r="M1335" s="14" t="n">
        <x:v>8</x:v>
      </x:c>
      <x:c r="N1335" s="14" t="n">
        <x:v>4</x:v>
      </x:c>
      <x:c r="O1335" s="15" t="n">
        <x:f>IF(M1335=0,"해당 없음",N1335/M1335)</x:f>
        <x:v>0.5</x:v>
      </x:c>
      <x:c r="P1335" s="14" t="n">
        <x:v>105</x:v>
      </x:c>
    </x:row>
    <x:row r="1336" ht="22" customHeight="1">
      <x:c r="A1336" s="14" t="n">
        <x:v>666</x:v>
      </x:c>
      <x:c r="B1336" s="14" t="n">
        <x:v>17</x:v>
      </x:c>
      <x:c r="C1336" s="14" t="n">
        <x:v>76012</x:v>
      </x:c>
      <x:c r="D1336" s="2" t="str">
        <x:v>RED</x:v>
      </x:c>
      <x:c r="E1336" s="2" t="str">
        <x:v>200만</x:v>
      </x:c>
      <x:c r="F1336" s="2" t="str">
        <x:v>40만</x:v>
      </x:c>
      <x:c r="G1336" s="2" t="str">
        <x:v>패</x:v>
      </x:c>
      <x:c r="H1336" s="14" t="n">
        <x:v>1</x:v>
      </x:c>
      <x:c r="I1336" s="14" t="n">
        <x:v>2</x:v>
      </x:c>
      <x:c r="J1336" s="14" t="n">
        <x:v>7</x:v>
      </x:c>
      <x:c r="K1336" s="14" t="n">
        <x:v>1</x:v>
      </x:c>
      <x:c r="L1336" s="15" t="n">
        <x:f>IF(J1336=0,"해당 없음",K1336/J1336)</x:f>
        <x:v>0.14285714285714285</x:v>
      </x:c>
      <x:c r="M1336" s="14" t="n">
        <x:v>7</x:v>
      </x:c>
      <x:c r="N1336" s="14" t="n">
        <x:v>6</x:v>
      </x:c>
      <x:c r="O1336" s="15" t="n">
        <x:f>IF(M1336=0,"해당 없음",N1336/M1336)</x:f>
        <x:v>0.8571428571428571</x:v>
      </x:c>
      <x:c r="P1336" s="14" t="n">
        <x:v>102</x:v>
      </x:c>
    </x:row>
    <x:row r="1337" ht="22" customHeight="1">
      <x:c r="A1337" s="14" t="n">
        <x:v>666</x:v>
      </x:c>
      <x:c r="B1337" s="14" t="n">
        <x:v>17</x:v>
      </x:c>
      <x:c r="C1337" s="14" t="n">
        <x:v>76012</x:v>
      </x:c>
      <x:c r="D1337" s="2" t="str">
        <x:v>NAVY</x:v>
      </x:c>
      <x:c r="E1337" s="2" t="str">
        <x:v>40만</x:v>
      </x:c>
      <x:c r="F1337" s="2" t="str">
        <x:v>200만</x:v>
      </x:c>
      <x:c r="G1337" s="2" t="str">
        <x:v>승</x:v>
      </x:c>
      <x:c r="H1337" s="14" t="n">
        <x:v>2</x:v>
      </x:c>
      <x:c r="I1337" s="14" t="n">
        <x:v>1</x:v>
      </x:c>
      <x:c r="J1337" s="14" t="n">
        <x:v>6</x:v>
      </x:c>
      <x:c r="K1337" s="14" t="n">
        <x:v>2</x:v>
      </x:c>
      <x:c r="L1337" s="15" t="n">
        <x:f>IF(J1337=0,"해당 없음",K1337/J1337)</x:f>
        <x:v>0.3333333333333333</x:v>
      </x:c>
      <x:c r="M1337" s="14" t="n">
        <x:v>15</x:v>
      </x:c>
      <x:c r="N1337" s="14" t="n">
        <x:v>12</x:v>
      </x:c>
      <x:c r="O1337" s="15" t="n">
        <x:f>IF(M1337=0,"해당 없음",N1337/M1337)</x:f>
        <x:v>0.8</x:v>
      </x:c>
      <x:c r="P1337" s="14" t="n">
        <x:v>102</x:v>
      </x:c>
    </x:row>
    <x:row r="1338" ht="22" customHeight="1">
      <x:c r="A1338" s="14" t="n">
        <x:v>667</x:v>
      </x:c>
      <x:c r="B1338" s="14" t="n">
        <x:v>17</x:v>
      </x:c>
      <x:c r="C1338" s="14" t="n">
        <x:v>76013</x:v>
      </x:c>
      <x:c r="D1338" s="2" t="str">
        <x:v>RED</x:v>
      </x:c>
      <x:c r="E1338" s="2" t="str">
        <x:v>40만</x:v>
      </x:c>
      <x:c r="F1338" s="2" t="str">
        <x:v>200만</x:v>
      </x:c>
      <x:c r="G1338" s="2" t="str">
        <x:v>승</x:v>
      </x:c>
      <x:c r="H1338" s="14" t="n">
        <x:v>4</x:v>
      </x:c>
      <x:c r="I1338" s="14" t="n">
        <x:v>3</x:v>
      </x:c>
      <x:c r="J1338" s="14" t="n">
        <x:v>8</x:v>
      </x:c>
      <x:c r="K1338" s="14" t="n">
        <x:v>4</x:v>
      </x:c>
      <x:c r="L1338" s="15" t="n">
        <x:f>IF(J1338=0,"해당 없음",K1338/J1338)</x:f>
        <x:v>0.5</x:v>
      </x:c>
      <x:c r="M1338" s="14" t="n">
        <x:v>4</x:v>
      </x:c>
      <x:c r="N1338" s="14" t="n">
        <x:v>4</x:v>
      </x:c>
      <x:c r="O1338" s="15" t="n">
        <x:f>IF(M1338=0,"해당 없음",N1338/M1338)</x:f>
        <x:v>1</x:v>
      </x:c>
      <x:c r="P1338" s="14" t="n">
        <x:v>104</x:v>
      </x:c>
    </x:row>
    <x:row r="1339" ht="22" customHeight="1">
      <x:c r="A1339" s="14" t="n">
        <x:v>667</x:v>
      </x:c>
      <x:c r="B1339" s="14" t="n">
        <x:v>17</x:v>
      </x:c>
      <x:c r="C1339" s="14" t="n">
        <x:v>76013</x:v>
      </x:c>
      <x:c r="D1339" s="2" t="str">
        <x:v>NAVY</x:v>
      </x:c>
      <x:c r="E1339" s="2" t="str">
        <x:v>200만</x:v>
      </x:c>
      <x:c r="F1339" s="2" t="str">
        <x:v>40만</x:v>
      </x:c>
      <x:c r="G1339" s="2" t="str">
        <x:v>패</x:v>
      </x:c>
      <x:c r="H1339" s="14" t="n">
        <x:v>3</x:v>
      </x:c>
      <x:c r="I1339" s="14" t="n">
        <x:v>4</x:v>
      </x:c>
      <x:c r="J1339" s="14" t="n">
        <x:v>9</x:v>
      </x:c>
      <x:c r="K1339" s="14" t="n">
        <x:v>3</x:v>
      </x:c>
      <x:c r="L1339" s="15" t="n">
        <x:f>IF(J1339=0,"해당 없음",K1339/J1339)</x:f>
        <x:v>0.3333333333333333</x:v>
      </x:c>
      <x:c r="M1339" s="14" t="n">
        <x:v>9</x:v>
      </x:c>
      <x:c r="N1339" s="14" t="n">
        <x:v>7</x:v>
      </x:c>
      <x:c r="O1339" s="15" t="n">
        <x:f>IF(M1339=0,"해당 없음",N1339/M1339)</x:f>
        <x:v>0.7777777777777778</x:v>
      </x:c>
      <x:c r="P1339" s="14" t="n">
        <x:v>105</x:v>
      </x:c>
    </x:row>
    <x:row r="1340" ht="22" customHeight="1">
      <x:c r="A1340" s="14" t="n">
        <x:v>668</x:v>
      </x:c>
      <x:c r="B1340" s="14" t="n">
        <x:v>17</x:v>
      </x:c>
      <x:c r="C1340" s="14" t="n">
        <x:v>76013</x:v>
      </x:c>
      <x:c r="D1340" s="2" t="str">
        <x:v>RED</x:v>
      </x:c>
      <x:c r="E1340" s="2" t="str">
        <x:v>200만</x:v>
      </x:c>
      <x:c r="F1340" s="2" t="str">
        <x:v>40만</x:v>
      </x:c>
      <x:c r="G1340" s="2" t="str">
        <x:v>패</x:v>
      </x:c>
      <x:c r="H1340" s="14" t="n">
        <x:v>0</x:v>
      </x:c>
      <x:c r="I1340" s="14" t="n">
        <x:v>2</x:v>
      </x:c>
      <x:c r="J1340" s="14" t="n">
        <x:v>7</x:v>
      </x:c>
      <x:c r="K1340" s="14" t="n">
        <x:v>0</x:v>
      </x:c>
      <x:c r="L1340" s="15" t="n">
        <x:f>IF(J1340=0,"해당 없음",K1340/J1340)</x:f>
        <x:v>0</x:v>
      </x:c>
      <x:c r="M1340" s="14" t="n">
        <x:v>3</x:v>
      </x:c>
      <x:c r="N1340" s="14" t="n">
        <x:v>3</x:v>
      </x:c>
      <x:c r="O1340" s="15" t="n">
        <x:f>IF(M1340=0,"해당 없음",N1340/M1340)</x:f>
        <x:v>1</x:v>
      </x:c>
      <x:c r="P1340" s="14" t="n">
        <x:v>101</x:v>
      </x:c>
    </x:row>
    <x:row r="1341" ht="22" customHeight="1">
      <x:c r="A1341" s="14" t="n">
        <x:v>668</x:v>
      </x:c>
      <x:c r="B1341" s="14" t="n">
        <x:v>17</x:v>
      </x:c>
      <x:c r="C1341" s="14" t="n">
        <x:v>76013</x:v>
      </x:c>
      <x:c r="D1341" s="2" t="str">
        <x:v>NAVY</x:v>
      </x:c>
      <x:c r="E1341" s="2" t="str">
        <x:v>40만</x:v>
      </x:c>
      <x:c r="F1341" s="2" t="str">
        <x:v>200만</x:v>
      </x:c>
      <x:c r="G1341" s="2" t="str">
        <x:v>승</x:v>
      </x:c>
      <x:c r="H1341" s="14" t="n">
        <x:v>2</x:v>
      </x:c>
      <x:c r="I1341" s="14" t="n">
        <x:v>0</x:v>
      </x:c>
      <x:c r="J1341" s="14" t="n">
        <x:v>7</x:v>
      </x:c>
      <x:c r="K1341" s="14" t="n">
        <x:v>2</x:v>
      </x:c>
      <x:c r="L1341" s="15" t="n">
        <x:f>IF(J1341=0,"해당 없음",K1341/J1341)</x:f>
        <x:v>0.2857142857142857</x:v>
      </x:c>
      <x:c r="M1341" s="14" t="n">
        <x:v>9</x:v>
      </x:c>
      <x:c r="N1341" s="14" t="n">
        <x:v>7</x:v>
      </x:c>
      <x:c r="O1341" s="15" t="n">
        <x:f>IF(M1341=0,"해당 없음",N1341/M1341)</x:f>
        <x:v>0.7777777777777778</x:v>
      </x:c>
      <x:c r="P1341" s="14" t="n">
        <x:v>101</x:v>
      </x:c>
    </x:row>
    <x:row r="1342" ht="22" customHeight="1">
      <x:c r="A1342" s="14" t="n">
        <x:v>669</x:v>
      </x:c>
      <x:c r="B1342" s="14" t="n">
        <x:v>17</x:v>
      </x:c>
      <x:c r="C1342" s="14" t="n">
        <x:v>76014</x:v>
      </x:c>
      <x:c r="D1342" s="2" t="str">
        <x:v>RED</x:v>
      </x:c>
      <x:c r="E1342" s="2" t="str">
        <x:v>40만</x:v>
      </x:c>
      <x:c r="F1342" s="2" t="str">
        <x:v>200만</x:v>
      </x:c>
      <x:c r="G1342" s="2" t="str">
        <x:v>무</x:v>
      </x:c>
      <x:c r="H1342" s="14" t="n">
        <x:v>1</x:v>
      </x:c>
      <x:c r="I1342" s="14" t="n">
        <x:v>1</x:v>
      </x:c>
      <x:c r="J1342" s="14" t="n">
        <x:v>6</x:v>
      </x:c>
      <x:c r="K1342" s="14" t="n">
        <x:v>1</x:v>
      </x:c>
      <x:c r="L1342" s="15" t="n">
        <x:f>IF(J1342=0,"해당 없음",K1342/J1342)</x:f>
        <x:v>0.16666666666666666</x:v>
      </x:c>
      <x:c r="M1342" s="14" t="n">
        <x:v>7</x:v>
      </x:c>
      <x:c r="N1342" s="14" t="n">
        <x:v>3</x:v>
      </x:c>
      <x:c r="O1342" s="15" t="n">
        <x:f>IF(M1342=0,"해당 없음",N1342/M1342)</x:f>
        <x:v>0.42857142857142855</x:v>
      </x:c>
      <x:c r="P1342" s="14" t="n">
        <x:v>98</x:v>
      </x:c>
    </x:row>
    <x:row r="1343" ht="22" customHeight="1">
      <x:c r="A1343" s="14" t="n">
        <x:v>669</x:v>
      </x:c>
      <x:c r="B1343" s="14" t="n">
        <x:v>17</x:v>
      </x:c>
      <x:c r="C1343" s="14" t="n">
        <x:v>76014</x:v>
      </x:c>
      <x:c r="D1343" s="2" t="str">
        <x:v>NAVY</x:v>
      </x:c>
      <x:c r="E1343" s="2" t="str">
        <x:v>200만</x:v>
      </x:c>
      <x:c r="F1343" s="2" t="str">
        <x:v>40만</x:v>
      </x:c>
      <x:c r="G1343" s="2" t="str">
        <x:v>무</x:v>
      </x:c>
      <x:c r="H1343" s="14" t="n">
        <x:v>1</x:v>
      </x:c>
      <x:c r="I1343" s="14" t="n">
        <x:v>1</x:v>
      </x:c>
      <x:c r="J1343" s="14" t="n">
        <x:v>6</x:v>
      </x:c>
      <x:c r="K1343" s="14" t="n">
        <x:v>1</x:v>
      </x:c>
      <x:c r="L1343" s="15" t="n">
        <x:f>IF(J1343=0,"해당 없음",K1343/J1343)</x:f>
        <x:v>0.16666666666666666</x:v>
      </x:c>
      <x:c r="M1343" s="14" t="n">
        <x:v>9</x:v>
      </x:c>
      <x:c r="N1343" s="14" t="n">
        <x:v>5</x:v>
      </x:c>
      <x:c r="O1343" s="15" t="n">
        <x:f>IF(M1343=0,"해당 없음",N1343/M1343)</x:f>
        <x:v>0.5555555555555556</x:v>
      </x:c>
      <x:c r="P1343" s="14" t="n">
        <x:v>102</x:v>
      </x:c>
    </x:row>
    <x:row r="1344" ht="22" customHeight="1">
      <x:c r="A1344" s="14" t="n">
        <x:v>670</x:v>
      </x:c>
      <x:c r="B1344" s="14" t="n">
        <x:v>17</x:v>
      </x:c>
      <x:c r="C1344" s="14" t="n">
        <x:v>76014</x:v>
      </x:c>
      <x:c r="D1344" s="2" t="str">
        <x:v>RED</x:v>
      </x:c>
      <x:c r="E1344" s="2" t="str">
        <x:v>200만</x:v>
      </x:c>
      <x:c r="F1344" s="2" t="str">
        <x:v>40만</x:v>
      </x:c>
      <x:c r="G1344" s="2" t="str">
        <x:v>승</x:v>
      </x:c>
      <x:c r="H1344" s="14" t="n">
        <x:v>7</x:v>
      </x:c>
      <x:c r="I1344" s="14" t="n">
        <x:v>1</x:v>
      </x:c>
      <x:c r="J1344" s="14" t="n">
        <x:v>11</x:v>
      </x:c>
      <x:c r="K1344" s="14" t="n">
        <x:v>7</x:v>
      </x:c>
      <x:c r="L1344" s="15" t="n">
        <x:f>IF(J1344=0,"해당 없음",K1344/J1344)</x:f>
        <x:v>0.6363636363636364</x:v>
      </x:c>
      <x:c r="M1344" s="14" t="n">
        <x:v>9</x:v>
      </x:c>
      <x:c r="N1344" s="14" t="n">
        <x:v>6</x:v>
      </x:c>
      <x:c r="O1344" s="15" t="n">
        <x:f>IF(M1344=0,"해당 없음",N1344/M1344)</x:f>
        <x:v>0.6666666666666666</x:v>
      </x:c>
      <x:c r="P1344" s="14" t="n">
        <x:v>105</x:v>
      </x:c>
    </x:row>
    <x:row r="1345" ht="22" customHeight="1">
      <x:c r="A1345" s="14" t="n">
        <x:v>670</x:v>
      </x:c>
      <x:c r="B1345" s="14" t="n">
        <x:v>17</x:v>
      </x:c>
      <x:c r="C1345" s="14" t="n">
        <x:v>76014</x:v>
      </x:c>
      <x:c r="D1345" s="2" t="str">
        <x:v>NAVY</x:v>
      </x:c>
      <x:c r="E1345" s="2" t="str">
        <x:v>40만</x:v>
      </x:c>
      <x:c r="F1345" s="2" t="str">
        <x:v>200만</x:v>
      </x:c>
      <x:c r="G1345" s="2" t="str">
        <x:v>패</x:v>
      </x:c>
      <x:c r="H1345" s="14" t="n">
        <x:v>1</x:v>
      </x:c>
      <x:c r="I1345" s="14" t="n">
        <x:v>7</x:v>
      </x:c>
      <x:c r="J1345" s="14" t="n">
        <x:v>10</x:v>
      </x:c>
      <x:c r="K1345" s="14" t="n">
        <x:v>1</x:v>
      </x:c>
      <x:c r="L1345" s="15" t="n">
        <x:f>IF(J1345=0,"해당 없음",K1345/J1345)</x:f>
        <x:v>0.1</x:v>
      </x:c>
      <x:c r="M1345" s="14" t="n">
        <x:v>7</x:v>
      </x:c>
      <x:c r="N1345" s="14" t="n">
        <x:v>5</x:v>
      </x:c>
      <x:c r="O1345" s="15" t="n">
        <x:f>IF(M1345=0,"해당 없음",N1345/M1345)</x:f>
        <x:v>0.7142857142857143</x:v>
      </x:c>
      <x:c r="P1345" s="14" t="n">
        <x:v>105</x:v>
      </x:c>
    </x:row>
    <x:row r="1346" ht="22" customHeight="1">
      <x:c r="A1346" s="14" t="n">
        <x:v>671</x:v>
      </x:c>
      <x:c r="B1346" s="14" t="n">
        <x:v>17</x:v>
      </x:c>
      <x:c r="C1346" s="14" t="n">
        <x:v>76015</x:v>
      </x:c>
      <x:c r="D1346" s="2" t="str">
        <x:v>RED</x:v>
      </x:c>
      <x:c r="E1346" s="2" t="str">
        <x:v>40만</x:v>
      </x:c>
      <x:c r="F1346" s="2" t="str">
        <x:v>200만</x:v>
      </x:c>
      <x:c r="G1346" s="2" t="str">
        <x:v>승</x:v>
      </x:c>
      <x:c r="H1346" s="14" t="n">
        <x:v>7</x:v>
      </x:c>
      <x:c r="I1346" s="14" t="n">
        <x:v>2</x:v>
      </x:c>
      <x:c r="J1346" s="14" t="n">
        <x:v>9</x:v>
      </x:c>
      <x:c r="K1346" s="14" t="n">
        <x:v>7</x:v>
      </x:c>
      <x:c r="L1346" s="15" t="n">
        <x:f>IF(J1346=0,"해당 없음",K1346/J1346)</x:f>
        <x:v>0.7777777777777778</x:v>
      </x:c>
      <x:c r="M1346" s="14" t="n">
        <x:v>11</x:v>
      </x:c>
      <x:c r="N1346" s="14" t="n">
        <x:v>8</x:v>
      </x:c>
      <x:c r="O1346" s="15" t="n">
        <x:f>IF(M1346=0,"해당 없음",N1346/M1346)</x:f>
        <x:v>0.7272727272727273</x:v>
      </x:c>
      <x:c r="P1346" s="14" t="n">
        <x:v>107</x:v>
      </x:c>
    </x:row>
    <x:row r="1347" ht="22" customHeight="1">
      <x:c r="A1347" s="14" t="n">
        <x:v>671</x:v>
      </x:c>
      <x:c r="B1347" s="14" t="n">
        <x:v>17</x:v>
      </x:c>
      <x:c r="C1347" s="14" t="n">
        <x:v>76015</x:v>
      </x:c>
      <x:c r="D1347" s="2" t="str">
        <x:v>NAVY</x:v>
      </x:c>
      <x:c r="E1347" s="2" t="str">
        <x:v>200만</x:v>
      </x:c>
      <x:c r="F1347" s="2" t="str">
        <x:v>40만</x:v>
      </x:c>
      <x:c r="G1347" s="2" t="str">
        <x:v>패</x:v>
      </x:c>
      <x:c r="H1347" s="14" t="n">
        <x:v>2</x:v>
      </x:c>
      <x:c r="I1347" s="14" t="n">
        <x:v>7</x:v>
      </x:c>
      <x:c r="J1347" s="14" t="n">
        <x:v>7</x:v>
      </x:c>
      <x:c r="K1347" s="14" t="n">
        <x:v>2</x:v>
      </x:c>
      <x:c r="L1347" s="15" t="n">
        <x:f>IF(J1347=0,"해당 없음",K1347/J1347)</x:f>
        <x:v>0.2857142857142857</x:v>
      </x:c>
      <x:c r="M1347" s="14" t="n">
        <x:v>6</x:v>
      </x:c>
      <x:c r="N1347" s="14" t="n">
        <x:v>3</x:v>
      </x:c>
      <x:c r="O1347" s="15" t="n">
        <x:f>IF(M1347=0,"해당 없음",N1347/M1347)</x:f>
        <x:v>0.5</x:v>
      </x:c>
      <x:c r="P1347" s="14" t="n">
        <x:v>107</x:v>
      </x:c>
    </x:row>
    <x:row r="1348" ht="22" customHeight="1">
      <x:c r="A1348" s="14" t="n">
        <x:v>672</x:v>
      </x:c>
      <x:c r="B1348" s="14" t="n">
        <x:v>17</x:v>
      </x:c>
      <x:c r="C1348" s="14" t="n">
        <x:v>76015</x:v>
      </x:c>
      <x:c r="D1348" s="2" t="str">
        <x:v>RED</x:v>
      </x:c>
      <x:c r="E1348" s="2" t="str">
        <x:v>200만</x:v>
      </x:c>
      <x:c r="F1348" s="2" t="str">
        <x:v>40만</x:v>
      </x:c>
      <x:c r="G1348" s="2" t="str">
        <x:v>패</x:v>
      </x:c>
      <x:c r="H1348" s="14" t="n">
        <x:v>2</x:v>
      </x:c>
      <x:c r="I1348" s="14" t="n">
        <x:v>6</x:v>
      </x:c>
      <x:c r="J1348" s="14" t="n">
        <x:v>9</x:v>
      </x:c>
      <x:c r="K1348" s="14" t="n">
        <x:v>1</x:v>
      </x:c>
      <x:c r="L1348" s="15" t="n">
        <x:f>IF(J1348=0,"해당 없음",K1348/J1348)</x:f>
        <x:v>0.1111111111111111</x:v>
      </x:c>
      <x:c r="M1348" s="14" t="n">
        <x:v>6</x:v>
      </x:c>
      <x:c r="N1348" s="14" t="n">
        <x:v>4</x:v>
      </x:c>
      <x:c r="O1348" s="15" t="n">
        <x:f>IF(M1348=0,"해당 없음",N1348/M1348)</x:f>
        <x:v>0.6666666666666666</x:v>
      </x:c>
      <x:c r="P1348" s="14" t="n">
        <x:v>102</x:v>
      </x:c>
    </x:row>
    <x:row r="1349" ht="22" customHeight="1">
      <x:c r="A1349" s="14" t="n">
        <x:v>672</x:v>
      </x:c>
      <x:c r="B1349" s="14" t="n">
        <x:v>17</x:v>
      </x:c>
      <x:c r="C1349" s="14" t="n">
        <x:v>76015</x:v>
      </x:c>
      <x:c r="D1349" s="2" t="str">
        <x:v>NAVY</x:v>
      </x:c>
      <x:c r="E1349" s="2" t="str">
        <x:v>40만</x:v>
      </x:c>
      <x:c r="F1349" s="2" t="str">
        <x:v>200만</x:v>
      </x:c>
      <x:c r="G1349" s="2" t="str">
        <x:v>승</x:v>
      </x:c>
      <x:c r="H1349" s="14" t="n">
        <x:v>6</x:v>
      </x:c>
      <x:c r="I1349" s="14" t="n">
        <x:v>2</x:v>
      </x:c>
      <x:c r="J1349" s="14" t="n">
        <x:v>10</x:v>
      </x:c>
      <x:c r="K1349" s="14" t="n">
        <x:v>6</x:v>
      </x:c>
      <x:c r="L1349" s="15" t="n">
        <x:f>IF(J1349=0,"해당 없음",K1349/J1349)</x:f>
        <x:v>0.6</x:v>
      </x:c>
      <x:c r="M1349" s="14" t="n">
        <x:v>11</x:v>
      </x:c>
      <x:c r="N1349" s="14" t="n">
        <x:v>6</x:v>
      </x:c>
      <x:c r="O1349" s="15" t="n">
        <x:f>IF(M1349=0,"해당 없음",N1349/M1349)</x:f>
        <x:v>0.5454545454545454</x:v>
      </x:c>
      <x:c r="P1349" s="14" t="n">
        <x:v>105</x:v>
      </x:c>
    </x:row>
    <x:row r="1350" ht="22" customHeight="1">
      <x:c r="A1350" s="14" t="n">
        <x:v>673</x:v>
      </x:c>
      <x:c r="B1350" s="14" t="n">
        <x:v>17</x:v>
      </x:c>
      <x:c r="C1350" s="14" t="n">
        <x:v>76016</x:v>
      </x:c>
      <x:c r="D1350" s="2" t="str">
        <x:v>RED</x:v>
      </x:c>
      <x:c r="E1350" s="2" t="str">
        <x:v>40만</x:v>
      </x:c>
      <x:c r="F1350" s="2" t="str">
        <x:v>200만</x:v>
      </x:c>
      <x:c r="G1350" s="2" t="str">
        <x:v>승</x:v>
      </x:c>
      <x:c r="H1350" s="14" t="n">
        <x:v>5</x:v>
      </x:c>
      <x:c r="I1350" s="14" t="n">
        <x:v>2</x:v>
      </x:c>
      <x:c r="J1350" s="14" t="n">
        <x:v>14</x:v>
      </x:c>
      <x:c r="K1350" s="14" t="n">
        <x:v>5</x:v>
      </x:c>
      <x:c r="L1350" s="15" t="n">
        <x:f>IF(J1350=0,"해당 없음",K1350/J1350)</x:f>
        <x:v>0.35714285714285715</x:v>
      </x:c>
      <x:c r="M1350" s="14" t="n">
        <x:v>8</x:v>
      </x:c>
      <x:c r="N1350" s="14" t="n">
        <x:v>6</x:v>
      </x:c>
      <x:c r="O1350" s="15" t="n">
        <x:f>IF(M1350=0,"해당 없음",N1350/M1350)</x:f>
        <x:v>0.75</x:v>
      </x:c>
      <x:c r="P1350" s="14" t="n">
        <x:v>104</x:v>
      </x:c>
    </x:row>
    <x:row r="1351" ht="22" customHeight="1">
      <x:c r="A1351" s="14" t="n">
        <x:v>673</x:v>
      </x:c>
      <x:c r="B1351" s="14" t="n">
        <x:v>17</x:v>
      </x:c>
      <x:c r="C1351" s="14" t="n">
        <x:v>76016</x:v>
      </x:c>
      <x:c r="D1351" s="2" t="str">
        <x:v>NAVY</x:v>
      </x:c>
      <x:c r="E1351" s="2" t="str">
        <x:v>200만</x:v>
      </x:c>
      <x:c r="F1351" s="2" t="str">
        <x:v>40만</x:v>
      </x:c>
      <x:c r="G1351" s="2" t="str">
        <x:v>패</x:v>
      </x:c>
      <x:c r="H1351" s="14" t="n">
        <x:v>2</x:v>
      </x:c>
      <x:c r="I1351" s="14" t="n">
        <x:v>5</x:v>
      </x:c>
      <x:c r="J1351" s="14" t="n">
        <x:v>6</x:v>
      </x:c>
      <x:c r="K1351" s="14" t="n">
        <x:v>2</x:v>
      </x:c>
      <x:c r="L1351" s="15" t="n">
        <x:f>IF(J1351=0,"해당 없음",K1351/J1351)</x:f>
        <x:v>0.3333333333333333</x:v>
      </x:c>
      <x:c r="M1351" s="14" t="n">
        <x:v>7</x:v>
      </x:c>
      <x:c r="N1351" s="14" t="n">
        <x:v>5</x:v>
      </x:c>
      <x:c r="O1351" s="15" t="n">
        <x:f>IF(M1351=0,"해당 없음",N1351/M1351)</x:f>
        <x:v>0.7142857142857143</x:v>
      </x:c>
      <x:c r="P1351" s="14" t="n">
        <x:v>104</x:v>
      </x:c>
    </x:row>
    <x:row r="1352" ht="22" customHeight="1">
      <x:c r="A1352" s="14" t="n">
        <x:v>674</x:v>
      </x:c>
      <x:c r="B1352" s="14" t="n">
        <x:v>17</x:v>
      </x:c>
      <x:c r="C1352" s="14" t="n">
        <x:v>76016</x:v>
      </x:c>
      <x:c r="D1352" s="2" t="str">
        <x:v>RED</x:v>
      </x:c>
      <x:c r="E1352" s="2" t="str">
        <x:v>200만</x:v>
      </x:c>
      <x:c r="F1352" s="2" t="str">
        <x:v>40만</x:v>
      </x:c>
      <x:c r="G1352" s="2" t="str">
        <x:v>승</x:v>
      </x:c>
      <x:c r="H1352" s="14" t="n">
        <x:v>4</x:v>
      </x:c>
      <x:c r="I1352" s="14" t="n">
        <x:v>1</x:v>
      </x:c>
      <x:c r="J1352" s="14" t="n">
        <x:v>11</x:v>
      </x:c>
      <x:c r="K1352" s="14" t="n">
        <x:v>4</x:v>
      </x:c>
      <x:c r="L1352" s="15" t="n">
        <x:f>IF(J1352=0,"해당 없음",K1352/J1352)</x:f>
        <x:v>0.36363636363636365</x:v>
      </x:c>
      <x:c r="M1352" s="14" t="n">
        <x:v>7</x:v>
      </x:c>
      <x:c r="N1352" s="14" t="n">
        <x:v>6</x:v>
      </x:c>
      <x:c r="O1352" s="15" t="n">
        <x:f>IF(M1352=0,"해당 없음",N1352/M1352)</x:f>
        <x:v>0.8571428571428571</x:v>
      </x:c>
      <x:c r="P1352" s="14" t="n">
        <x:v>105</x:v>
      </x:c>
    </x:row>
    <x:row r="1353" ht="22" customHeight="1">
      <x:c r="A1353" s="14" t="n">
        <x:v>674</x:v>
      </x:c>
      <x:c r="B1353" s="14" t="n">
        <x:v>17</x:v>
      </x:c>
      <x:c r="C1353" s="14" t="n">
        <x:v>76016</x:v>
      </x:c>
      <x:c r="D1353" s="2" t="str">
        <x:v>NAVY</x:v>
      </x:c>
      <x:c r="E1353" s="2" t="str">
        <x:v>40만</x:v>
      </x:c>
      <x:c r="F1353" s="2" t="str">
        <x:v>200만</x:v>
      </x:c>
      <x:c r="G1353" s="2" t="str">
        <x:v>패</x:v>
      </x:c>
      <x:c r="H1353" s="14" t="n">
        <x:v>1</x:v>
      </x:c>
      <x:c r="I1353" s="14" t="n">
        <x:v>4</x:v>
      </x:c>
      <x:c r="J1353" s="14" t="n">
        <x:v>8</x:v>
      </x:c>
      <x:c r="K1353" s="14" t="n">
        <x:v>1</x:v>
      </x:c>
      <x:c r="L1353" s="15" t="n">
        <x:f>IF(J1353=0,"해당 없음",K1353/J1353)</x:f>
        <x:v>0.125</x:v>
      </x:c>
      <x:c r="M1353" s="14" t="n">
        <x:v>9</x:v>
      </x:c>
      <x:c r="N1353" s="14" t="n">
        <x:v>5</x:v>
      </x:c>
      <x:c r="O1353" s="15" t="n">
        <x:f>IF(M1353=0,"해당 없음",N1353/M1353)</x:f>
        <x:v>0.5555555555555556</x:v>
      </x:c>
      <x:c r="P1353" s="14" t="n">
        <x:v>103</x:v>
      </x:c>
    </x:row>
    <x:row r="1354" ht="22" customHeight="1">
      <x:c r="A1354" s="14" t="n">
        <x:v>675</x:v>
      </x:c>
      <x:c r="B1354" s="14" t="n">
        <x:v>17</x:v>
      </x:c>
      <x:c r="C1354" s="14" t="n">
        <x:v>76017</x:v>
      </x:c>
      <x:c r="D1354" s="2" t="str">
        <x:v>RED</x:v>
      </x:c>
      <x:c r="E1354" s="2" t="str">
        <x:v>40만</x:v>
      </x:c>
      <x:c r="F1354" s="2" t="str">
        <x:v>200만</x:v>
      </x:c>
      <x:c r="G1354" s="2" t="str">
        <x:v>패</x:v>
      </x:c>
      <x:c r="H1354" s="14" t="n">
        <x:v>2</x:v>
      </x:c>
      <x:c r="I1354" s="14" t="n">
        <x:v>6</x:v>
      </x:c>
      <x:c r="J1354" s="14" t="n">
        <x:v>7</x:v>
      </x:c>
      <x:c r="K1354" s="14" t="n">
        <x:v>2</x:v>
      </x:c>
      <x:c r="L1354" s="15" t="n">
        <x:f>IF(J1354=0,"해당 없음",K1354/J1354)</x:f>
        <x:v>0.2857142857142857</x:v>
      </x:c>
      <x:c r="M1354" s="14" t="n">
        <x:v>8</x:v>
      </x:c>
      <x:c r="N1354" s="14" t="n">
        <x:v>7</x:v>
      </x:c>
      <x:c r="O1354" s="15" t="n">
        <x:f>IF(M1354=0,"해당 없음",N1354/M1354)</x:f>
        <x:v>0.875</x:v>
      </x:c>
      <x:c r="P1354" s="14" t="n">
        <x:v>104</x:v>
      </x:c>
    </x:row>
    <x:row r="1355" ht="22" customHeight="1">
      <x:c r="A1355" s="14" t="n">
        <x:v>675</x:v>
      </x:c>
      <x:c r="B1355" s="14" t="n">
        <x:v>17</x:v>
      </x:c>
      <x:c r="C1355" s="14" t="n">
        <x:v>76017</x:v>
      </x:c>
      <x:c r="D1355" s="2" t="str">
        <x:v>NAVY</x:v>
      </x:c>
      <x:c r="E1355" s="2" t="str">
        <x:v>200만</x:v>
      </x:c>
      <x:c r="F1355" s="2" t="str">
        <x:v>40만</x:v>
      </x:c>
      <x:c r="G1355" s="2" t="str">
        <x:v>승</x:v>
      </x:c>
      <x:c r="H1355" s="14" t="n">
        <x:v>6</x:v>
      </x:c>
      <x:c r="I1355" s="14" t="n">
        <x:v>2</x:v>
      </x:c>
      <x:c r="J1355" s="14" t="n">
        <x:v>11</x:v>
      </x:c>
      <x:c r="K1355" s="14" t="n">
        <x:v>6</x:v>
      </x:c>
      <x:c r="L1355" s="15" t="n">
        <x:f>IF(J1355=0,"해당 없음",K1355/J1355)</x:f>
        <x:v>0.5454545454545454</x:v>
      </x:c>
      <x:c r="M1355" s="14" t="n">
        <x:v>6</x:v>
      </x:c>
      <x:c r="N1355" s="14" t="n">
        <x:v>5</x:v>
      </x:c>
      <x:c r="O1355" s="15" t="n">
        <x:f>IF(M1355=0,"해당 없음",N1355/M1355)</x:f>
        <x:v>0.8333333333333334</x:v>
      </x:c>
      <x:c r="P1355" s="14" t="n">
        <x:v>106</x:v>
      </x:c>
    </x:row>
    <x:row r="1356" ht="22" customHeight="1">
      <x:c r="A1356" s="14" t="n">
        <x:v>676</x:v>
      </x:c>
      <x:c r="B1356" s="14" t="n">
        <x:v>17</x:v>
      </x:c>
      <x:c r="C1356" s="14" t="n">
        <x:v>76017</x:v>
      </x:c>
      <x:c r="D1356" s="2" t="str">
        <x:v>RED</x:v>
      </x:c>
      <x:c r="E1356" s="2" t="str">
        <x:v>200만</x:v>
      </x:c>
      <x:c r="F1356" s="2" t="str">
        <x:v>40만</x:v>
      </x:c>
      <x:c r="G1356" s="2" t="str">
        <x:v>승</x:v>
      </x:c>
      <x:c r="H1356" s="14" t="n">
        <x:v>5</x:v>
      </x:c>
      <x:c r="I1356" s="14" t="n">
        <x:v>2</x:v>
      </x:c>
      <x:c r="J1356" s="14" t="n">
        <x:v>9</x:v>
      </x:c>
      <x:c r="K1356" s="14" t="n">
        <x:v>5</x:v>
      </x:c>
      <x:c r="L1356" s="15" t="n">
        <x:f>IF(J1356=0,"해당 없음",K1356/J1356)</x:f>
        <x:v>0.5555555555555556</x:v>
      </x:c>
      <x:c r="M1356" s="14" t="n">
        <x:v>6</x:v>
      </x:c>
      <x:c r="N1356" s="14" t="n">
        <x:v>5</x:v>
      </x:c>
      <x:c r="O1356" s="15" t="n">
        <x:f>IF(M1356=0,"해당 없음",N1356/M1356)</x:f>
        <x:v>0.8333333333333334</x:v>
      </x:c>
      <x:c r="P1356" s="14" t="n">
        <x:v>104</x:v>
      </x:c>
    </x:row>
    <x:row r="1357" ht="22" customHeight="1">
      <x:c r="A1357" s="14" t="n">
        <x:v>676</x:v>
      </x:c>
      <x:c r="B1357" s="14" t="n">
        <x:v>17</x:v>
      </x:c>
      <x:c r="C1357" s="14" t="n">
        <x:v>76017</x:v>
      </x:c>
      <x:c r="D1357" s="2" t="str">
        <x:v>NAVY</x:v>
      </x:c>
      <x:c r="E1357" s="2" t="str">
        <x:v>40만</x:v>
      </x:c>
      <x:c r="F1357" s="2" t="str">
        <x:v>200만</x:v>
      </x:c>
      <x:c r="G1357" s="2" t="str">
        <x:v>패</x:v>
      </x:c>
      <x:c r="H1357" s="14" t="n">
        <x:v>2</x:v>
      </x:c>
      <x:c r="I1357" s="14" t="n">
        <x:v>5</x:v>
      </x:c>
      <x:c r="J1357" s="14" t="n">
        <x:v>9</x:v>
      </x:c>
      <x:c r="K1357" s="14" t="n">
        <x:v>2</x:v>
      </x:c>
      <x:c r="L1357" s="15" t="n">
        <x:f>IF(J1357=0,"해당 없음",K1357/J1357)</x:f>
        <x:v>0.2222222222222222</x:v>
      </x:c>
      <x:c r="M1357" s="14" t="n">
        <x:v>7</x:v>
      </x:c>
      <x:c r="N1357" s="14" t="n">
        <x:v>4</x:v>
      </x:c>
      <x:c r="O1357" s="15" t="n">
        <x:f>IF(M1357=0,"해당 없음",N1357/M1357)</x:f>
        <x:v>0.5714285714285714</x:v>
      </x:c>
      <x:c r="P1357" s="14" t="n">
        <x:v>103</x:v>
      </x:c>
    </x:row>
    <x:row r="1358" ht="22" customHeight="1">
      <x:c r="A1358" s="14" t="n">
        <x:v>677</x:v>
      </x:c>
      <x:c r="B1358" s="14" t="n">
        <x:v>17</x:v>
      </x:c>
      <x:c r="C1358" s="14" t="n">
        <x:v>76018</x:v>
      </x:c>
      <x:c r="D1358" s="2" t="str">
        <x:v>RED</x:v>
      </x:c>
      <x:c r="E1358" s="2" t="str">
        <x:v>40만</x:v>
      </x:c>
      <x:c r="F1358" s="2" t="str">
        <x:v>200만</x:v>
      </x:c>
      <x:c r="G1358" s="2" t="str">
        <x:v>패</x:v>
      </x:c>
      <x:c r="H1358" s="14" t="n">
        <x:v>2</x:v>
      </x:c>
      <x:c r="I1358" s="14" t="n">
        <x:v>3</x:v>
      </x:c>
      <x:c r="J1358" s="14" t="n">
        <x:v>10</x:v>
      </x:c>
      <x:c r="K1358" s="14" t="n">
        <x:v>2</x:v>
      </x:c>
      <x:c r="L1358" s="15" t="n">
        <x:f>IF(J1358=0,"해당 없음",K1358/J1358)</x:f>
        <x:v>0.2</x:v>
      </x:c>
      <x:c r="M1358" s="14" t="n">
        <x:v>10</x:v>
      </x:c>
      <x:c r="N1358" s="14" t="n">
        <x:v>10</x:v>
      </x:c>
      <x:c r="O1358" s="15" t="n">
        <x:f>IF(M1358=0,"해당 없음",N1358/M1358)</x:f>
        <x:v>1</x:v>
      </x:c>
      <x:c r="P1358" s="14" t="n">
        <x:v>104</x:v>
      </x:c>
    </x:row>
    <x:row r="1359" ht="22" customHeight="1">
      <x:c r="A1359" s="14" t="n">
        <x:v>677</x:v>
      </x:c>
      <x:c r="B1359" s="14" t="n">
        <x:v>17</x:v>
      </x:c>
      <x:c r="C1359" s="14" t="n">
        <x:v>76018</x:v>
      </x:c>
      <x:c r="D1359" s="2" t="str">
        <x:v>NAVY</x:v>
      </x:c>
      <x:c r="E1359" s="2" t="str">
        <x:v>200만</x:v>
      </x:c>
      <x:c r="F1359" s="2" t="str">
        <x:v>40만</x:v>
      </x:c>
      <x:c r="G1359" s="2" t="str">
        <x:v>승</x:v>
      </x:c>
      <x:c r="H1359" s="14" t="n">
        <x:v>3</x:v>
      </x:c>
      <x:c r="I1359" s="14" t="n">
        <x:v>2</x:v>
      </x:c>
      <x:c r="J1359" s="14" t="n">
        <x:v>8</x:v>
      </x:c>
      <x:c r="K1359" s="14" t="n">
        <x:v>3</x:v>
      </x:c>
      <x:c r="L1359" s="15" t="n">
        <x:f>IF(J1359=0,"해당 없음",K1359/J1359)</x:f>
        <x:v>0.375</x:v>
      </x:c>
      <x:c r="M1359" s="14" t="n">
        <x:v>10</x:v>
      </x:c>
      <x:c r="N1359" s="14" t="n">
        <x:v>9</x:v>
      </x:c>
      <x:c r="O1359" s="15" t="n">
        <x:f>IF(M1359=0,"해당 없음",N1359/M1359)</x:f>
        <x:v>0.9</x:v>
      </x:c>
      <x:c r="P1359" s="14" t="n">
        <x:v>102</x:v>
      </x:c>
    </x:row>
    <x:row r="1360" ht="22" customHeight="1">
      <x:c r="A1360" s="14" t="n">
        <x:v>678</x:v>
      </x:c>
      <x:c r="B1360" s="14" t="n">
        <x:v>17</x:v>
      </x:c>
      <x:c r="C1360" s="14" t="n">
        <x:v>76018</x:v>
      </x:c>
      <x:c r="D1360" s="2" t="str">
        <x:v>RED</x:v>
      </x:c>
      <x:c r="E1360" s="2" t="str">
        <x:v>200만</x:v>
      </x:c>
      <x:c r="F1360" s="2" t="str">
        <x:v>40만</x:v>
      </x:c>
      <x:c r="G1360" s="2" t="str">
        <x:v>무</x:v>
      </x:c>
      <x:c r="H1360" s="14" t="n">
        <x:v>2</x:v>
      </x:c>
      <x:c r="I1360" s="14" t="n">
        <x:v>2</x:v>
      </x:c>
      <x:c r="J1360" s="14" t="n">
        <x:v>10</x:v>
      </x:c>
      <x:c r="K1360" s="14" t="n">
        <x:v>2</x:v>
      </x:c>
      <x:c r="L1360" s="15" t="n">
        <x:f>IF(J1360=0,"해당 없음",K1360/J1360)</x:f>
        <x:v>0.2</x:v>
      </x:c>
      <x:c r="M1360" s="14" t="n">
        <x:v>11</x:v>
      </x:c>
      <x:c r="N1360" s="14" t="n">
        <x:v>7</x:v>
      </x:c>
      <x:c r="O1360" s="15" t="n">
        <x:f>IF(M1360=0,"해당 없음",N1360/M1360)</x:f>
        <x:v>0.6363636363636364</x:v>
      </x:c>
      <x:c r="P1360" s="14" t="n">
        <x:v>102</x:v>
      </x:c>
    </x:row>
    <x:row r="1361" ht="22" customHeight="1">
      <x:c r="A1361" s="14" t="n">
        <x:v>678</x:v>
      </x:c>
      <x:c r="B1361" s="14" t="n">
        <x:v>17</x:v>
      </x:c>
      <x:c r="C1361" s="14" t="n">
        <x:v>76018</x:v>
      </x:c>
      <x:c r="D1361" s="2" t="str">
        <x:v>NAVY</x:v>
      </x:c>
      <x:c r="E1361" s="2" t="str">
        <x:v>40만</x:v>
      </x:c>
      <x:c r="F1361" s="2" t="str">
        <x:v>200만</x:v>
      </x:c>
      <x:c r="G1361" s="2" t="str">
        <x:v>무</x:v>
      </x:c>
      <x:c r="H1361" s="14" t="n">
        <x:v>2</x:v>
      </x:c>
      <x:c r="I1361" s="14" t="n">
        <x:v>2</x:v>
      </x:c>
      <x:c r="J1361" s="14" t="n">
        <x:v>8</x:v>
      </x:c>
      <x:c r="K1361" s="14" t="n">
        <x:v>2</x:v>
      </x:c>
      <x:c r="L1361" s="15" t="n">
        <x:f>IF(J1361=0,"해당 없음",K1361/J1361)</x:f>
        <x:v>0.25</x:v>
      </x:c>
      <x:c r="M1361" s="14" t="n">
        <x:v>11</x:v>
      </x:c>
      <x:c r="N1361" s="14" t="n">
        <x:v>8</x:v>
      </x:c>
      <x:c r="O1361" s="15" t="n">
        <x:f>IF(M1361=0,"해당 없음",N1361/M1361)</x:f>
        <x:v>0.7272727272727273</x:v>
      </x:c>
      <x:c r="P1361" s="14" t="n">
        <x:v>101</x:v>
      </x:c>
    </x:row>
    <x:row r="1362" ht="22" customHeight="1">
      <x:c r="A1362" s="14" t="n">
        <x:v>679</x:v>
      </x:c>
      <x:c r="B1362" s="14" t="n">
        <x:v>17</x:v>
      </x:c>
      <x:c r="C1362" s="14" t="n">
        <x:v>76019</x:v>
      </x:c>
      <x:c r="D1362" s="2" t="str">
        <x:v>RED</x:v>
      </x:c>
      <x:c r="E1362" s="2" t="str">
        <x:v>40만</x:v>
      </x:c>
      <x:c r="F1362" s="2" t="str">
        <x:v>200만</x:v>
      </x:c>
      <x:c r="G1362" s="2" t="str">
        <x:v>패</x:v>
      </x:c>
      <x:c r="H1362" s="14" t="n">
        <x:v>2</x:v>
      </x:c>
      <x:c r="I1362" s="14" t="n">
        <x:v>4</x:v>
      </x:c>
      <x:c r="J1362" s="14" t="n">
        <x:v>10</x:v>
      </x:c>
      <x:c r="K1362" s="14" t="n">
        <x:v>2</x:v>
      </x:c>
      <x:c r="L1362" s="15" t="n">
        <x:f>IF(J1362=0,"해당 없음",K1362/J1362)</x:f>
        <x:v>0.2</x:v>
      </x:c>
      <x:c r="M1362" s="14" t="n">
        <x:v>13</x:v>
      </x:c>
      <x:c r="N1362" s="14" t="n">
        <x:v>9</x:v>
      </x:c>
      <x:c r="O1362" s="15" t="n">
        <x:f>IF(M1362=0,"해당 없음",N1362/M1362)</x:f>
        <x:v>0.6923076923076923</x:v>
      </x:c>
      <x:c r="P1362" s="14" t="n">
        <x:v>105</x:v>
      </x:c>
    </x:row>
    <x:row r="1363" ht="22" customHeight="1">
      <x:c r="A1363" s="14" t="n">
        <x:v>679</x:v>
      </x:c>
      <x:c r="B1363" s="14" t="n">
        <x:v>17</x:v>
      </x:c>
      <x:c r="C1363" s="14" t="n">
        <x:v>76019</x:v>
      </x:c>
      <x:c r="D1363" s="2" t="str">
        <x:v>NAVY</x:v>
      </x:c>
      <x:c r="E1363" s="2" t="str">
        <x:v>200만</x:v>
      </x:c>
      <x:c r="F1363" s="2" t="str">
        <x:v>40만</x:v>
      </x:c>
      <x:c r="G1363" s="2" t="str">
        <x:v>승</x:v>
      </x:c>
      <x:c r="H1363" s="14" t="n">
        <x:v>4</x:v>
      </x:c>
      <x:c r="I1363" s="14" t="n">
        <x:v>2</x:v>
      </x:c>
      <x:c r="J1363" s="14" t="n">
        <x:v>8</x:v>
      </x:c>
      <x:c r="K1363" s="14" t="n">
        <x:v>4</x:v>
      </x:c>
      <x:c r="L1363" s="15" t="n">
        <x:f>IF(J1363=0,"해당 없음",K1363/J1363)</x:f>
        <x:v>0.5</x:v>
      </x:c>
      <x:c r="M1363" s="14" t="n">
        <x:v>9</x:v>
      </x:c>
      <x:c r="N1363" s="14" t="n">
        <x:v>7</x:v>
      </x:c>
      <x:c r="O1363" s="15" t="n">
        <x:f>IF(M1363=0,"해당 없음",N1363/M1363)</x:f>
        <x:v>0.7777777777777778</x:v>
      </x:c>
      <x:c r="P1363" s="14" t="n">
        <x:v>106</x:v>
      </x:c>
    </x:row>
    <x:row r="1364" ht="22" customHeight="1">
      <x:c r="A1364" s="14" t="n">
        <x:v>680</x:v>
      </x:c>
      <x:c r="B1364" s="14" t="n">
        <x:v>17</x:v>
      </x:c>
      <x:c r="C1364" s="14" t="n">
        <x:v>76019</x:v>
      </x:c>
      <x:c r="D1364" s="2" t="str">
        <x:v>RED</x:v>
      </x:c>
      <x:c r="E1364" s="2" t="str">
        <x:v>200만</x:v>
      </x:c>
      <x:c r="F1364" s="2" t="str">
        <x:v>40만</x:v>
      </x:c>
      <x:c r="G1364" s="2" t="str">
        <x:v>승</x:v>
      </x:c>
      <x:c r="H1364" s="14" t="n">
        <x:v>5</x:v>
      </x:c>
      <x:c r="I1364" s="14" t="n">
        <x:v>3</x:v>
      </x:c>
      <x:c r="J1364" s="14" t="n">
        <x:v>8</x:v>
      </x:c>
      <x:c r="K1364" s="14" t="n">
        <x:v>5</x:v>
      </x:c>
      <x:c r="L1364" s="15" t="n">
        <x:f>IF(J1364=0,"해당 없음",K1364/J1364)</x:f>
        <x:v>0.625</x:v>
      </x:c>
      <x:c r="M1364" s="14" t="n">
        <x:v>10</x:v>
      </x:c>
      <x:c r="N1364" s="14" t="n">
        <x:v>6</x:v>
      </x:c>
      <x:c r="O1364" s="15" t="n">
        <x:f>IF(M1364=0,"해당 없음",N1364/M1364)</x:f>
        <x:v>0.6</x:v>
      </x:c>
      <x:c r="P1364" s="14" t="n">
        <x:v>104</x:v>
      </x:c>
    </x:row>
    <x:row r="1365" ht="22" customHeight="1">
      <x:c r="A1365" s="14" t="n">
        <x:v>680</x:v>
      </x:c>
      <x:c r="B1365" s="14" t="n">
        <x:v>17</x:v>
      </x:c>
      <x:c r="C1365" s="14" t="n">
        <x:v>76019</x:v>
      </x:c>
      <x:c r="D1365" s="2" t="str">
        <x:v>NAVY</x:v>
      </x:c>
      <x:c r="E1365" s="2" t="str">
        <x:v>40만</x:v>
      </x:c>
      <x:c r="F1365" s="2" t="str">
        <x:v>200만</x:v>
      </x:c>
      <x:c r="G1365" s="2" t="str">
        <x:v>패</x:v>
      </x:c>
      <x:c r="H1365" s="14" t="n">
        <x:v>3</x:v>
      </x:c>
      <x:c r="I1365" s="14" t="n">
        <x:v>5</x:v>
      </x:c>
      <x:c r="J1365" s="14" t="n">
        <x:v>10</x:v>
      </x:c>
      <x:c r="K1365" s="14" t="n">
        <x:v>3</x:v>
      </x:c>
      <x:c r="L1365" s="15" t="n">
        <x:f>IF(J1365=0,"해당 없음",K1365/J1365)</x:f>
        <x:v>0.3</x:v>
      </x:c>
      <x:c r="M1365" s="14" t="n">
        <x:v>6</x:v>
      </x:c>
      <x:c r="N1365" s="14" t="n">
        <x:v>5</x:v>
      </x:c>
      <x:c r="O1365" s="15" t="n">
        <x:f>IF(M1365=0,"해당 없음",N1365/M1365)</x:f>
        <x:v>0.8333333333333334</x:v>
      </x:c>
      <x:c r="P1365" s="14" t="n">
        <x:v>105</x:v>
      </x:c>
    </x:row>
    <x:row r="1366" ht="22" customHeight="1">
      <x:c r="A1366" s="14" t="n">
        <x:v>681</x:v>
      </x:c>
      <x:c r="B1366" s="14" t="n">
        <x:v>18</x:v>
      </x:c>
      <x:c r="C1366" s="14" t="n">
        <x:v>76000</x:v>
      </x:c>
      <x:c r="D1366" s="2" t="str">
        <x:v>RED</x:v>
      </x:c>
      <x:c r="E1366" s="2" t="str">
        <x:v>40만</x:v>
      </x:c>
      <x:c r="F1366" s="2" t="str">
        <x:v>240만</x:v>
      </x:c>
      <x:c r="G1366" s="2" t="str">
        <x:v>패</x:v>
      </x:c>
      <x:c r="H1366" s="14" t="n">
        <x:v>1</x:v>
      </x:c>
      <x:c r="I1366" s="14" t="n">
        <x:v>4</x:v>
      </x:c>
      <x:c r="J1366" s="14" t="n">
        <x:v>11</x:v>
      </x:c>
      <x:c r="K1366" s="14" t="n">
        <x:v>1</x:v>
      </x:c>
      <x:c r="L1366" s="15" t="n">
        <x:f>IF(J1366=0,"해당 없음",K1366/J1366)</x:f>
        <x:v>0.09090909090909091</x:v>
      </x:c>
      <x:c r="M1366" s="14" t="n">
        <x:v>13</x:v>
      </x:c>
      <x:c r="N1366" s="14" t="n">
        <x:v>10</x:v>
      </x:c>
      <x:c r="O1366" s="15" t="n">
        <x:f>IF(M1366=0,"해당 없음",N1366/M1366)</x:f>
        <x:v>0.7692307692307693</x:v>
      </x:c>
      <x:c r="P1366" s="14" t="n">
        <x:v>104</x:v>
      </x:c>
    </x:row>
    <x:row r="1367" ht="22" customHeight="1">
      <x:c r="A1367" s="14" t="n">
        <x:v>681</x:v>
      </x:c>
      <x:c r="B1367" s="14" t="n">
        <x:v>18</x:v>
      </x:c>
      <x:c r="C1367" s="14" t="n">
        <x:v>76000</x:v>
      </x:c>
      <x:c r="D1367" s="2" t="str">
        <x:v>NAVY</x:v>
      </x:c>
      <x:c r="E1367" s="2" t="str">
        <x:v>240만</x:v>
      </x:c>
      <x:c r="F1367" s="2" t="str">
        <x:v>40만</x:v>
      </x:c>
      <x:c r="G1367" s="2" t="str">
        <x:v>승</x:v>
      </x:c>
      <x:c r="H1367" s="14" t="n">
        <x:v>4</x:v>
      </x:c>
      <x:c r="I1367" s="14" t="n">
        <x:v>1</x:v>
      </x:c>
      <x:c r="J1367" s="14" t="n">
        <x:v>9</x:v>
      </x:c>
      <x:c r="K1367" s="14" t="n">
        <x:v>4</x:v>
      </x:c>
      <x:c r="L1367" s="15" t="n">
        <x:f>IF(J1367=0,"해당 없음",K1367/J1367)</x:f>
        <x:v>0.4444444444444444</x:v>
      </x:c>
      <x:c r="M1367" s="14" t="n">
        <x:v>13</x:v>
      </x:c>
      <x:c r="N1367" s="14" t="n">
        <x:v>7</x:v>
      </x:c>
      <x:c r="O1367" s="15" t="n">
        <x:f>IF(M1367=0,"해당 없음",N1367/M1367)</x:f>
        <x:v>0.5384615384615384</x:v>
      </x:c>
      <x:c r="P1367" s="14" t="n">
        <x:v>101</x:v>
      </x:c>
    </x:row>
    <x:row r="1368" ht="22" customHeight="1">
      <x:c r="A1368" s="14" t="n">
        <x:v>682</x:v>
      </x:c>
      <x:c r="B1368" s="14" t="n">
        <x:v>18</x:v>
      </x:c>
      <x:c r="C1368" s="14" t="n">
        <x:v>76000</x:v>
      </x:c>
      <x:c r="D1368" s="2" t="str">
        <x:v>RED</x:v>
      </x:c>
      <x:c r="E1368" s="2" t="str">
        <x:v>240만</x:v>
      </x:c>
      <x:c r="F1368" s="2" t="str">
        <x:v>40만</x:v>
      </x:c>
      <x:c r="G1368" s="2" t="str">
        <x:v>승</x:v>
      </x:c>
      <x:c r="H1368" s="14" t="n">
        <x:v>6</x:v>
      </x:c>
      <x:c r="I1368" s="14" t="n">
        <x:v>0</x:v>
      </x:c>
      <x:c r="J1368" s="14" t="n">
        <x:v>9</x:v>
      </x:c>
      <x:c r="K1368" s="14" t="n">
        <x:v>6</x:v>
      </x:c>
      <x:c r="L1368" s="15" t="n">
        <x:f>IF(J1368=0,"해당 없음",K1368/J1368)</x:f>
        <x:v>0.6666666666666666</x:v>
      </x:c>
      <x:c r="M1368" s="14" t="n">
        <x:v>10</x:v>
      </x:c>
      <x:c r="N1368" s="14" t="n">
        <x:v>6</x:v>
      </x:c>
      <x:c r="O1368" s="15" t="n">
        <x:f>IF(M1368=0,"해당 없음",N1368/M1368)</x:f>
        <x:v>0.6</x:v>
      </x:c>
      <x:c r="P1368" s="14" t="n">
        <x:v>105</x:v>
      </x:c>
    </x:row>
    <x:row r="1369" ht="22" customHeight="1">
      <x:c r="A1369" s="14" t="n">
        <x:v>682</x:v>
      </x:c>
      <x:c r="B1369" s="14" t="n">
        <x:v>18</x:v>
      </x:c>
      <x:c r="C1369" s="14" t="n">
        <x:v>76000</x:v>
      </x:c>
      <x:c r="D1369" s="2" t="str">
        <x:v>NAVY</x:v>
      </x:c>
      <x:c r="E1369" s="2" t="str">
        <x:v>40만</x:v>
      </x:c>
      <x:c r="F1369" s="2" t="str">
        <x:v>240만</x:v>
      </x:c>
      <x:c r="G1369" s="2" t="str">
        <x:v>패</x:v>
      </x:c>
      <x:c r="H1369" s="14" t="n">
        <x:v>0</x:v>
      </x:c>
      <x:c r="I1369" s="14" t="n">
        <x:v>6</x:v>
      </x:c>
      <x:c r="J1369" s="14" t="n">
        <x:v>7</x:v>
      </x:c>
      <x:c r="K1369" s="14" t="n">
        <x:v>0</x:v>
      </x:c>
      <x:c r="L1369" s="15" t="n">
        <x:f>IF(J1369=0,"해당 없음",K1369/J1369)</x:f>
        <x:v>0</x:v>
      </x:c>
      <x:c r="M1369" s="14" t="n">
        <x:v>10</x:v>
      </x:c>
      <x:c r="N1369" s="14" t="n">
        <x:v>8</x:v>
      </x:c>
      <x:c r="O1369" s="15" t="n">
        <x:f>IF(M1369=0,"해당 없음",N1369/M1369)</x:f>
        <x:v>0.8</x:v>
      </x:c>
      <x:c r="P1369" s="14" t="n">
        <x:v>104</x:v>
      </x:c>
    </x:row>
    <x:row r="1370" ht="22" customHeight="1">
      <x:c r="A1370" s="14" t="n">
        <x:v>683</x:v>
      </x:c>
      <x:c r="B1370" s="14" t="n">
        <x:v>18</x:v>
      </x:c>
      <x:c r="C1370" s="14" t="n">
        <x:v>76001</x:v>
      </x:c>
      <x:c r="D1370" s="2" t="str">
        <x:v>RED</x:v>
      </x:c>
      <x:c r="E1370" s="2" t="str">
        <x:v>40만</x:v>
      </x:c>
      <x:c r="F1370" s="2" t="str">
        <x:v>240만</x:v>
      </x:c>
      <x:c r="G1370" s="2" t="str">
        <x:v>패</x:v>
      </x:c>
      <x:c r="H1370" s="14" t="n">
        <x:v>0</x:v>
      </x:c>
      <x:c r="I1370" s="14" t="n">
        <x:v>5</x:v>
      </x:c>
      <x:c r="J1370" s="14" t="n">
        <x:v>8</x:v>
      </x:c>
      <x:c r="K1370" s="14" t="n">
        <x:v>0</x:v>
      </x:c>
      <x:c r="L1370" s="15" t="n">
        <x:f>IF(J1370=0,"해당 없음",K1370/J1370)</x:f>
        <x:v>0</x:v>
      </x:c>
      <x:c r="M1370" s="14" t="n">
        <x:v>10</x:v>
      </x:c>
      <x:c r="N1370" s="14" t="n">
        <x:v>9</x:v>
      </x:c>
      <x:c r="O1370" s="15" t="n">
        <x:f>IF(M1370=0,"해당 없음",N1370/M1370)</x:f>
        <x:v>0.9</x:v>
      </x:c>
      <x:c r="P1370" s="14" t="n">
        <x:v>102</x:v>
      </x:c>
    </x:row>
    <x:row r="1371" ht="22" customHeight="1">
      <x:c r="A1371" s="14" t="n">
        <x:v>683</x:v>
      </x:c>
      <x:c r="B1371" s="14" t="n">
        <x:v>18</x:v>
      </x:c>
      <x:c r="C1371" s="14" t="n">
        <x:v>76001</x:v>
      </x:c>
      <x:c r="D1371" s="2" t="str">
        <x:v>NAVY</x:v>
      </x:c>
      <x:c r="E1371" s="2" t="str">
        <x:v>240만</x:v>
      </x:c>
      <x:c r="F1371" s="2" t="str">
        <x:v>40만</x:v>
      </x:c>
      <x:c r="G1371" s="2" t="str">
        <x:v>승</x:v>
      </x:c>
      <x:c r="H1371" s="14" t="n">
        <x:v>5</x:v>
      </x:c>
      <x:c r="I1371" s="14" t="n">
        <x:v>0</x:v>
      </x:c>
      <x:c r="J1371" s="14" t="n">
        <x:v>11</x:v>
      </x:c>
      <x:c r="K1371" s="14" t="n">
        <x:v>5</x:v>
      </x:c>
      <x:c r="L1371" s="15" t="n">
        <x:f>IF(J1371=0,"해당 없음",K1371/J1371)</x:f>
        <x:v>0.45454545454545453</x:v>
      </x:c>
      <x:c r="M1371" s="14" t="n">
        <x:v>7</x:v>
      </x:c>
      <x:c r="N1371" s="14" t="n">
        <x:v>4</x:v>
      </x:c>
      <x:c r="O1371" s="15" t="n">
        <x:f>IF(M1371=0,"해당 없음",N1371/M1371)</x:f>
        <x:v>0.5714285714285714</x:v>
      </x:c>
      <x:c r="P1371" s="14" t="n">
        <x:v>104</x:v>
      </x:c>
    </x:row>
    <x:row r="1372" ht="22" customHeight="1">
      <x:c r="A1372" s="14" t="n">
        <x:v>684</x:v>
      </x:c>
      <x:c r="B1372" s="14" t="n">
        <x:v>18</x:v>
      </x:c>
      <x:c r="C1372" s="14" t="n">
        <x:v>76001</x:v>
      </x:c>
      <x:c r="D1372" s="2" t="str">
        <x:v>RED</x:v>
      </x:c>
      <x:c r="E1372" s="2" t="str">
        <x:v>240만</x:v>
      </x:c>
      <x:c r="F1372" s="2" t="str">
        <x:v>40만</x:v>
      </x:c>
      <x:c r="G1372" s="2" t="str">
        <x:v>승</x:v>
      </x:c>
      <x:c r="H1372" s="14" t="n">
        <x:v>8</x:v>
      </x:c>
      <x:c r="I1372" s="14" t="n">
        <x:v>1</x:v>
      </x:c>
      <x:c r="J1372" s="14" t="n">
        <x:v>11</x:v>
      </x:c>
      <x:c r="K1372" s="14" t="n">
        <x:v>8</x:v>
      </x:c>
      <x:c r="L1372" s="15" t="n">
        <x:f>IF(J1372=0,"해당 없음",K1372/J1372)</x:f>
        <x:v>0.7272727272727273</x:v>
      </x:c>
      <x:c r="M1372" s="14" t="n">
        <x:v>8</x:v>
      </x:c>
      <x:c r="N1372" s="14" t="n">
        <x:v>7</x:v>
      </x:c>
      <x:c r="O1372" s="15" t="n">
        <x:f>IF(M1372=0,"해당 없음",N1372/M1372)</x:f>
        <x:v>0.875</x:v>
      </x:c>
      <x:c r="P1372" s="14" t="n">
        <x:v>105</x:v>
      </x:c>
    </x:row>
    <x:row r="1373" ht="22" customHeight="1">
      <x:c r="A1373" s="14" t="n">
        <x:v>684</x:v>
      </x:c>
      <x:c r="B1373" s="14" t="n">
        <x:v>18</x:v>
      </x:c>
      <x:c r="C1373" s="14" t="n">
        <x:v>76001</x:v>
      </x:c>
      <x:c r="D1373" s="2" t="str">
        <x:v>NAVY</x:v>
      </x:c>
      <x:c r="E1373" s="2" t="str">
        <x:v>40만</x:v>
      </x:c>
      <x:c r="F1373" s="2" t="str">
        <x:v>240만</x:v>
      </x:c>
      <x:c r="G1373" s="2" t="str">
        <x:v>패</x:v>
      </x:c>
      <x:c r="H1373" s="14" t="n">
        <x:v>1</x:v>
      </x:c>
      <x:c r="I1373" s="14" t="n">
        <x:v>8</x:v>
      </x:c>
      <x:c r="J1373" s="14" t="n">
        <x:v>4</x:v>
      </x:c>
      <x:c r="K1373" s="14" t="n">
        <x:v>1</x:v>
      </x:c>
      <x:c r="L1373" s="15" t="n">
        <x:f>IF(J1373=0,"해당 없음",K1373/J1373)</x:f>
        <x:v>0.25</x:v>
      </x:c>
      <x:c r="M1373" s="14" t="n">
        <x:v>7</x:v>
      </x:c>
      <x:c r="N1373" s="14" t="n">
        <x:v>7</x:v>
      </x:c>
      <x:c r="O1373" s="15" t="n">
        <x:f>IF(M1373=0,"해당 없음",N1373/M1373)</x:f>
        <x:v>1</x:v>
      </x:c>
      <x:c r="P1373" s="14" t="n">
        <x:v>105</x:v>
      </x:c>
    </x:row>
    <x:row r="1374" ht="22" customHeight="1">
      <x:c r="A1374" s="14" t="n">
        <x:v>685</x:v>
      </x:c>
      <x:c r="B1374" s="14" t="n">
        <x:v>18</x:v>
      </x:c>
      <x:c r="C1374" s="14" t="n">
        <x:v>76002</x:v>
      </x:c>
      <x:c r="D1374" s="2" t="str">
        <x:v>RED</x:v>
      </x:c>
      <x:c r="E1374" s="2" t="str">
        <x:v>40만</x:v>
      </x:c>
      <x:c r="F1374" s="2" t="str">
        <x:v>240만</x:v>
      </x:c>
      <x:c r="G1374" s="2" t="str">
        <x:v>승</x:v>
      </x:c>
      <x:c r="H1374" s="14" t="n">
        <x:v>2</x:v>
      </x:c>
      <x:c r="I1374" s="14" t="n">
        <x:v>1</x:v>
      </x:c>
      <x:c r="J1374" s="14" t="n">
        <x:v>14</x:v>
      </x:c>
      <x:c r="K1374" s="14" t="n">
        <x:v>1</x:v>
      </x:c>
      <x:c r="L1374" s="15" t="n">
        <x:f>IF(J1374=0,"해당 없음",K1374/J1374)</x:f>
        <x:v>0.07142857142857142</x:v>
      </x:c>
      <x:c r="M1374" s="14" t="n">
        <x:v>10</x:v>
      </x:c>
      <x:c r="N1374" s="14" t="n">
        <x:v>8</x:v>
      </x:c>
      <x:c r="O1374" s="15" t="n">
        <x:f>IF(M1374=0,"해당 없음",N1374/M1374)</x:f>
        <x:v>0.8</x:v>
      </x:c>
      <x:c r="P1374" s="14" t="n">
        <x:v>101</x:v>
      </x:c>
    </x:row>
    <x:row r="1375" ht="22" customHeight="1">
      <x:c r="A1375" s="14" t="n">
        <x:v>685</x:v>
      </x:c>
      <x:c r="B1375" s="14" t="n">
        <x:v>18</x:v>
      </x:c>
      <x:c r="C1375" s="14" t="n">
        <x:v>76002</x:v>
      </x:c>
      <x:c r="D1375" s="2" t="str">
        <x:v>NAVY</x:v>
      </x:c>
      <x:c r="E1375" s="2" t="str">
        <x:v>240만</x:v>
      </x:c>
      <x:c r="F1375" s="2" t="str">
        <x:v>40만</x:v>
      </x:c>
      <x:c r="G1375" s="2" t="str">
        <x:v>패</x:v>
      </x:c>
      <x:c r="H1375" s="14" t="n">
        <x:v>1</x:v>
      </x:c>
      <x:c r="I1375" s="14" t="n">
        <x:v>2</x:v>
      </x:c>
      <x:c r="J1375" s="14" t="n">
        <x:v>5</x:v>
      </x:c>
      <x:c r="K1375" s="14" t="n">
        <x:v>1</x:v>
      </x:c>
      <x:c r="L1375" s="15" t="n">
        <x:f>IF(J1375=0,"해당 없음",K1375/J1375)</x:f>
        <x:v>0.2</x:v>
      </x:c>
      <x:c r="M1375" s="14" t="n">
        <x:v>11</x:v>
      </x:c>
      <x:c r="N1375" s="14" t="n">
        <x:v>6</x:v>
      </x:c>
      <x:c r="O1375" s="15" t="n">
        <x:f>IF(M1375=0,"해당 없음",N1375/M1375)</x:f>
        <x:v>0.5454545454545454</x:v>
      </x:c>
      <x:c r="P1375" s="14" t="n">
        <x:v>102</x:v>
      </x:c>
    </x:row>
    <x:row r="1376" ht="22" customHeight="1">
      <x:c r="A1376" s="14" t="n">
        <x:v>686</x:v>
      </x:c>
      <x:c r="B1376" s="14" t="n">
        <x:v>18</x:v>
      </x:c>
      <x:c r="C1376" s="14" t="n">
        <x:v>76002</x:v>
      </x:c>
      <x:c r="D1376" s="2" t="str">
        <x:v>RED</x:v>
      </x:c>
      <x:c r="E1376" s="2" t="str">
        <x:v>240만</x:v>
      </x:c>
      <x:c r="F1376" s="2" t="str">
        <x:v>40만</x:v>
      </x:c>
      <x:c r="G1376" s="2" t="str">
        <x:v>승</x:v>
      </x:c>
      <x:c r="H1376" s="14" t="n">
        <x:v>2</x:v>
      </x:c>
      <x:c r="I1376" s="14" t="n">
        <x:v>1</x:v>
      </x:c>
      <x:c r="J1376" s="14" t="n">
        <x:v>10</x:v>
      </x:c>
      <x:c r="K1376" s="14" t="n">
        <x:v>2</x:v>
      </x:c>
      <x:c r="L1376" s="15" t="n">
        <x:f>IF(J1376=0,"해당 없음",K1376/J1376)</x:f>
        <x:v>0.2</x:v>
      </x:c>
      <x:c r="M1376" s="14" t="n">
        <x:v>9</x:v>
      </x:c>
      <x:c r="N1376" s="14" t="n">
        <x:v>8</x:v>
      </x:c>
      <x:c r="O1376" s="15" t="n">
        <x:f>IF(M1376=0,"해당 없음",N1376/M1376)</x:f>
        <x:v>0.8888888888888888</x:v>
      </x:c>
      <x:c r="P1376" s="14" t="n">
        <x:v>103</x:v>
      </x:c>
    </x:row>
    <x:row r="1377" ht="22" customHeight="1">
      <x:c r="A1377" s="14" t="n">
        <x:v>686</x:v>
      </x:c>
      <x:c r="B1377" s="14" t="n">
        <x:v>18</x:v>
      </x:c>
      <x:c r="C1377" s="14" t="n">
        <x:v>76002</x:v>
      </x:c>
      <x:c r="D1377" s="2" t="str">
        <x:v>NAVY</x:v>
      </x:c>
      <x:c r="E1377" s="2" t="str">
        <x:v>40만</x:v>
      </x:c>
      <x:c r="F1377" s="2" t="str">
        <x:v>240만</x:v>
      </x:c>
      <x:c r="G1377" s="2" t="str">
        <x:v>패</x:v>
      </x:c>
      <x:c r="H1377" s="14" t="n">
        <x:v>1</x:v>
      </x:c>
      <x:c r="I1377" s="14" t="n">
        <x:v>2</x:v>
      </x:c>
      <x:c r="J1377" s="14" t="n">
        <x:v>9</x:v>
      </x:c>
      <x:c r="K1377" s="14" t="n">
        <x:v>1</x:v>
      </x:c>
      <x:c r="L1377" s="15" t="n">
        <x:f>IF(J1377=0,"해당 없음",K1377/J1377)</x:f>
        <x:v>0.1111111111111111</x:v>
      </x:c>
      <x:c r="M1377" s="14" t="n">
        <x:v>6</x:v>
      </x:c>
      <x:c r="N1377" s="14" t="n">
        <x:v>4</x:v>
      </x:c>
      <x:c r="O1377" s="15" t="n">
        <x:f>IF(M1377=0,"해당 없음",N1377/M1377)</x:f>
        <x:v>0.6666666666666666</x:v>
      </x:c>
      <x:c r="P1377" s="14" t="n">
        <x:v>103</x:v>
      </x:c>
    </x:row>
    <x:row r="1378" ht="22" customHeight="1">
      <x:c r="A1378" s="14" t="n">
        <x:v>687</x:v>
      </x:c>
      <x:c r="B1378" s="14" t="n">
        <x:v>18</x:v>
      </x:c>
      <x:c r="C1378" s="14" t="n">
        <x:v>76003</x:v>
      </x:c>
      <x:c r="D1378" s="2" t="str">
        <x:v>RED</x:v>
      </x:c>
      <x:c r="E1378" s="2" t="str">
        <x:v>40만</x:v>
      </x:c>
      <x:c r="F1378" s="2" t="str">
        <x:v>240만</x:v>
      </x:c>
      <x:c r="G1378" s="2" t="str">
        <x:v>승</x:v>
      </x:c>
      <x:c r="H1378" s="14" t="n">
        <x:v>3</x:v>
      </x:c>
      <x:c r="I1378" s="14" t="n">
        <x:v>1</x:v>
      </x:c>
      <x:c r="J1378" s="14" t="n">
        <x:v>14</x:v>
      </x:c>
      <x:c r="K1378" s="14" t="n">
        <x:v>3</x:v>
      </x:c>
      <x:c r="L1378" s="15" t="n">
        <x:f>IF(J1378=0,"해당 없음",K1378/J1378)</x:f>
        <x:v>0.21428571428571427</x:v>
      </x:c>
      <x:c r="M1378" s="14" t="n">
        <x:v>12</x:v>
      </x:c>
      <x:c r="N1378" s="14" t="n">
        <x:v>9</x:v>
      </x:c>
      <x:c r="O1378" s="15" t="n">
        <x:f>IF(M1378=0,"해당 없음",N1378/M1378)</x:f>
        <x:v>0.75</x:v>
      </x:c>
      <x:c r="P1378" s="14" t="n">
        <x:v>104</x:v>
      </x:c>
    </x:row>
    <x:row r="1379" ht="22" customHeight="1">
      <x:c r="A1379" s="14" t="n">
        <x:v>687</x:v>
      </x:c>
      <x:c r="B1379" s="14" t="n">
        <x:v>18</x:v>
      </x:c>
      <x:c r="C1379" s="14" t="n">
        <x:v>76003</x:v>
      </x:c>
      <x:c r="D1379" s="2" t="str">
        <x:v>NAVY</x:v>
      </x:c>
      <x:c r="E1379" s="2" t="str">
        <x:v>240만</x:v>
      </x:c>
      <x:c r="F1379" s="2" t="str">
        <x:v>40만</x:v>
      </x:c>
      <x:c r="G1379" s="2" t="str">
        <x:v>패</x:v>
      </x:c>
      <x:c r="H1379" s="14" t="n">
        <x:v>1</x:v>
      </x:c>
      <x:c r="I1379" s="14" t="n">
        <x:v>3</x:v>
      </x:c>
      <x:c r="J1379" s="14" t="n">
        <x:v>10</x:v>
      </x:c>
      <x:c r="K1379" s="14" t="n">
        <x:v>1</x:v>
      </x:c>
      <x:c r="L1379" s="15" t="n">
        <x:f>IF(J1379=0,"해당 없음",K1379/J1379)</x:f>
        <x:v>0.1</x:v>
      </x:c>
      <x:c r="M1379" s="14" t="n">
        <x:v>8</x:v>
      </x:c>
      <x:c r="N1379" s="14" t="n">
        <x:v>4</x:v>
      </x:c>
      <x:c r="O1379" s="15" t="n">
        <x:f>IF(M1379=0,"해당 없음",N1379/M1379)</x:f>
        <x:v>0.5</x:v>
      </x:c>
      <x:c r="P1379" s="14" t="n">
        <x:v>102</x:v>
      </x:c>
    </x:row>
    <x:row r="1380" ht="22" customHeight="1">
      <x:c r="A1380" s="14" t="n">
        <x:v>688</x:v>
      </x:c>
      <x:c r="B1380" s="14" t="n">
        <x:v>18</x:v>
      </x:c>
      <x:c r="C1380" s="14" t="n">
        <x:v>76003</x:v>
      </x:c>
      <x:c r="D1380" s="2" t="str">
        <x:v>RED</x:v>
      </x:c>
      <x:c r="E1380" s="2" t="str">
        <x:v>240만</x:v>
      </x:c>
      <x:c r="F1380" s="2" t="str">
        <x:v>40만</x:v>
      </x:c>
      <x:c r="G1380" s="2" t="str">
        <x:v>승</x:v>
      </x:c>
      <x:c r="H1380" s="14" t="n">
        <x:v>2</x:v>
      </x:c>
      <x:c r="I1380" s="14" t="n">
        <x:v>1</x:v>
      </x:c>
      <x:c r="J1380" s="14" t="n">
        <x:v>8</x:v>
      </x:c>
      <x:c r="K1380" s="14" t="n">
        <x:v>2</x:v>
      </x:c>
      <x:c r="L1380" s="15" t="n">
        <x:f>IF(J1380=0,"해당 없음",K1380/J1380)</x:f>
        <x:v>0.25</x:v>
      </x:c>
      <x:c r="M1380" s="14" t="n">
        <x:v>12</x:v>
      </x:c>
      <x:c r="N1380" s="14" t="n">
        <x:v>5</x:v>
      </x:c>
      <x:c r="O1380" s="15" t="n">
        <x:f>IF(M1380=0,"해당 없음",N1380/M1380)</x:f>
        <x:v>0.4166666666666667</x:v>
      </x:c>
      <x:c r="P1380" s="14" t="n">
        <x:v>102</x:v>
      </x:c>
    </x:row>
    <x:row r="1381" ht="22" customHeight="1">
      <x:c r="A1381" s="14" t="n">
        <x:v>688</x:v>
      </x:c>
      <x:c r="B1381" s="14" t="n">
        <x:v>18</x:v>
      </x:c>
      <x:c r="C1381" s="14" t="n">
        <x:v>76003</x:v>
      </x:c>
      <x:c r="D1381" s="2" t="str">
        <x:v>NAVY</x:v>
      </x:c>
      <x:c r="E1381" s="2" t="str">
        <x:v>40만</x:v>
      </x:c>
      <x:c r="F1381" s="2" t="str">
        <x:v>240만</x:v>
      </x:c>
      <x:c r="G1381" s="2" t="str">
        <x:v>패</x:v>
      </x:c>
      <x:c r="H1381" s="14" t="n">
        <x:v>1</x:v>
      </x:c>
      <x:c r="I1381" s="14" t="n">
        <x:v>2</x:v>
      </x:c>
      <x:c r="J1381" s="14" t="n">
        <x:v>10</x:v>
      </x:c>
      <x:c r="K1381" s="14" t="n">
        <x:v>1</x:v>
      </x:c>
      <x:c r="L1381" s="15" t="n">
        <x:f>IF(J1381=0,"해당 없음",K1381/J1381)</x:f>
        <x:v>0.1</x:v>
      </x:c>
      <x:c r="M1381" s="14" t="n">
        <x:v>7</x:v>
      </x:c>
      <x:c r="N1381" s="14" t="n">
        <x:v>6</x:v>
      </x:c>
      <x:c r="O1381" s="15" t="n">
        <x:f>IF(M1381=0,"해당 없음",N1381/M1381)</x:f>
        <x:v>0.8571428571428571</x:v>
      </x:c>
      <x:c r="P1381" s="14" t="n">
        <x:v>103</x:v>
      </x:c>
    </x:row>
    <x:row r="1382" ht="22" customHeight="1">
      <x:c r="A1382" s="14" t="n">
        <x:v>689</x:v>
      </x:c>
      <x:c r="B1382" s="14" t="n">
        <x:v>18</x:v>
      </x:c>
      <x:c r="C1382" s="14" t="n">
        <x:v>76004</x:v>
      </x:c>
      <x:c r="D1382" s="2" t="str">
        <x:v>RED</x:v>
      </x:c>
      <x:c r="E1382" s="2" t="str">
        <x:v>40만</x:v>
      </x:c>
      <x:c r="F1382" s="2" t="str">
        <x:v>240만</x:v>
      </x:c>
      <x:c r="G1382" s="2" t="str">
        <x:v>승</x:v>
      </x:c>
      <x:c r="H1382" s="14" t="n">
        <x:v>6</x:v>
      </x:c>
      <x:c r="I1382" s="14" t="n">
        <x:v>2</x:v>
      </x:c>
      <x:c r="J1382" s="14" t="n">
        <x:v>13</x:v>
      </x:c>
      <x:c r="K1382" s="14" t="n">
        <x:v>6</x:v>
      </x:c>
      <x:c r="L1382" s="15" t="n">
        <x:f>IF(J1382=0,"해당 없음",K1382/J1382)</x:f>
        <x:v>0.46153846153846156</x:v>
      </x:c>
      <x:c r="M1382" s="14" t="n">
        <x:v>11</x:v>
      </x:c>
      <x:c r="N1382" s="14" t="n">
        <x:v>4</x:v>
      </x:c>
      <x:c r="O1382" s="15" t="n">
        <x:f>IF(M1382=0,"해당 없음",N1382/M1382)</x:f>
        <x:v>0.36363636363636365</x:v>
      </x:c>
      <x:c r="P1382" s="14" t="n">
        <x:v>105</x:v>
      </x:c>
    </x:row>
    <x:row r="1383" ht="22" customHeight="1">
      <x:c r="A1383" s="14" t="n">
        <x:v>689</x:v>
      </x:c>
      <x:c r="B1383" s="14" t="n">
        <x:v>18</x:v>
      </x:c>
      <x:c r="C1383" s="14" t="n">
        <x:v>76004</x:v>
      </x:c>
      <x:c r="D1383" s="2" t="str">
        <x:v>NAVY</x:v>
      </x:c>
      <x:c r="E1383" s="2" t="str">
        <x:v>240만</x:v>
      </x:c>
      <x:c r="F1383" s="2" t="str">
        <x:v>40만</x:v>
      </x:c>
      <x:c r="G1383" s="2" t="str">
        <x:v>패</x:v>
      </x:c>
      <x:c r="H1383" s="14" t="n">
        <x:v>2</x:v>
      </x:c>
      <x:c r="I1383" s="14" t="n">
        <x:v>6</x:v>
      </x:c>
      <x:c r="J1383" s="14" t="n">
        <x:v>7</x:v>
      </x:c>
      <x:c r="K1383" s="14" t="n">
        <x:v>2</x:v>
      </x:c>
      <x:c r="L1383" s="15" t="n">
        <x:f>IF(J1383=0,"해당 없음",K1383/J1383)</x:f>
        <x:v>0.2857142857142857</x:v>
      </x:c>
      <x:c r="M1383" s="14" t="n">
        <x:v>6</x:v>
      </x:c>
      <x:c r="N1383" s="14" t="n">
        <x:v>5</x:v>
      </x:c>
      <x:c r="O1383" s="15" t="n">
        <x:f>IF(M1383=0,"해당 없음",N1383/M1383)</x:f>
        <x:v>0.8333333333333334</x:v>
      </x:c>
      <x:c r="P1383" s="14" t="n">
        <x:v>106</x:v>
      </x:c>
    </x:row>
    <x:row r="1384" ht="22" customHeight="1">
      <x:c r="A1384" s="14" t="n">
        <x:v>690</x:v>
      </x:c>
      <x:c r="B1384" s="14" t="n">
        <x:v>18</x:v>
      </x:c>
      <x:c r="C1384" s="14" t="n">
        <x:v>76004</x:v>
      </x:c>
      <x:c r="D1384" s="2" t="str">
        <x:v>RED</x:v>
      </x:c>
      <x:c r="E1384" s="2" t="str">
        <x:v>240만</x:v>
      </x:c>
      <x:c r="F1384" s="2" t="str">
        <x:v>40만</x:v>
      </x:c>
      <x:c r="G1384" s="2" t="str">
        <x:v>승</x:v>
      </x:c>
      <x:c r="H1384" s="14" t="n">
        <x:v>4</x:v>
      </x:c>
      <x:c r="I1384" s="14" t="n">
        <x:v>1</x:v>
      </x:c>
      <x:c r="J1384" s="14" t="n">
        <x:v>8</x:v>
      </x:c>
      <x:c r="K1384" s="14" t="n">
        <x:v>4</x:v>
      </x:c>
      <x:c r="L1384" s="15" t="n">
        <x:f>IF(J1384=0,"해당 없음",K1384/J1384)</x:f>
        <x:v>0.5</x:v>
      </x:c>
      <x:c r="M1384" s="14" t="n">
        <x:v>13</x:v>
      </x:c>
      <x:c r="N1384" s="14" t="n">
        <x:v>7</x:v>
      </x:c>
      <x:c r="O1384" s="15" t="n">
        <x:f>IF(M1384=0,"해당 없음",N1384/M1384)</x:f>
        <x:v>0.5384615384615384</x:v>
      </x:c>
      <x:c r="P1384" s="14" t="n">
        <x:v>103</x:v>
      </x:c>
    </x:row>
    <x:row r="1385" ht="22" customHeight="1">
      <x:c r="A1385" s="14" t="n">
        <x:v>690</x:v>
      </x:c>
      <x:c r="B1385" s="14" t="n">
        <x:v>18</x:v>
      </x:c>
      <x:c r="C1385" s="14" t="n">
        <x:v>76004</x:v>
      </x:c>
      <x:c r="D1385" s="2" t="str">
        <x:v>NAVY</x:v>
      </x:c>
      <x:c r="E1385" s="2" t="str">
        <x:v>40만</x:v>
      </x:c>
      <x:c r="F1385" s="2" t="str">
        <x:v>240만</x:v>
      </x:c>
      <x:c r="G1385" s="2" t="str">
        <x:v>패</x:v>
      </x:c>
      <x:c r="H1385" s="14" t="n">
        <x:v>1</x:v>
      </x:c>
      <x:c r="I1385" s="14" t="n">
        <x:v>4</x:v>
      </x:c>
      <x:c r="J1385" s="14" t="n">
        <x:v>9</x:v>
      </x:c>
      <x:c r="K1385" s="14" t="n">
        <x:v>1</x:v>
      </x:c>
      <x:c r="L1385" s="15" t="n">
        <x:f>IF(J1385=0,"해당 없음",K1385/J1385)</x:f>
        <x:v>0.1111111111111111</x:v>
      </x:c>
      <x:c r="M1385" s="14" t="n">
        <x:v>10</x:v>
      </x:c>
      <x:c r="N1385" s="14" t="n">
        <x:v>9</x:v>
      </x:c>
      <x:c r="O1385" s="15" t="n">
        <x:f>IF(M1385=0,"해당 없음",N1385/M1385)</x:f>
        <x:v>0.9</x:v>
      </x:c>
      <x:c r="P1385" s="14" t="n">
        <x:v>103</x:v>
      </x:c>
    </x:row>
    <x:row r="1386" ht="22" customHeight="1">
      <x:c r="A1386" s="14" t="n">
        <x:v>691</x:v>
      </x:c>
      <x:c r="B1386" s="14" t="n">
        <x:v>18</x:v>
      </x:c>
      <x:c r="C1386" s="14" t="n">
        <x:v>76005</x:v>
      </x:c>
      <x:c r="D1386" s="2" t="str">
        <x:v>RED</x:v>
      </x:c>
      <x:c r="E1386" s="2" t="str">
        <x:v>40만</x:v>
      </x:c>
      <x:c r="F1386" s="2" t="str">
        <x:v>240만</x:v>
      </x:c>
      <x:c r="G1386" s="2" t="str">
        <x:v>패</x:v>
      </x:c>
      <x:c r="H1386" s="14" t="n">
        <x:v>1</x:v>
      </x:c>
      <x:c r="I1386" s="14" t="n">
        <x:v>5</x:v>
      </x:c>
      <x:c r="J1386" s="14" t="n">
        <x:v>5</x:v>
      </x:c>
      <x:c r="K1386" s="14" t="n">
        <x:v>1</x:v>
      </x:c>
      <x:c r="L1386" s="15" t="n">
        <x:f>IF(J1386=0,"해당 없음",K1386/J1386)</x:f>
        <x:v>0.2</x:v>
      </x:c>
      <x:c r="M1386" s="14" t="n">
        <x:v>8</x:v>
      </x:c>
      <x:c r="N1386" s="14" t="n">
        <x:v>5</x:v>
      </x:c>
      <x:c r="O1386" s="15" t="n">
        <x:f>IF(M1386=0,"해당 없음",N1386/M1386)</x:f>
        <x:v>0.625</x:v>
      </x:c>
      <x:c r="P1386" s="14" t="n">
        <x:v>103</x:v>
      </x:c>
    </x:row>
    <x:row r="1387" ht="22" customHeight="1">
      <x:c r="A1387" s="14" t="n">
        <x:v>691</x:v>
      </x:c>
      <x:c r="B1387" s="14" t="n">
        <x:v>18</x:v>
      </x:c>
      <x:c r="C1387" s="14" t="n">
        <x:v>76005</x:v>
      </x:c>
      <x:c r="D1387" s="2" t="str">
        <x:v>NAVY</x:v>
      </x:c>
      <x:c r="E1387" s="2" t="str">
        <x:v>240만</x:v>
      </x:c>
      <x:c r="F1387" s="2" t="str">
        <x:v>40만</x:v>
      </x:c>
      <x:c r="G1387" s="2" t="str">
        <x:v>승</x:v>
      </x:c>
      <x:c r="H1387" s="14" t="n">
        <x:v>5</x:v>
      </x:c>
      <x:c r="I1387" s="14" t="n">
        <x:v>1</x:v>
      </x:c>
      <x:c r="J1387" s="14" t="n">
        <x:v>13</x:v>
      </x:c>
      <x:c r="K1387" s="14" t="n">
        <x:v>5</x:v>
      </x:c>
      <x:c r="L1387" s="15" t="n">
        <x:f>IF(J1387=0,"해당 없음",K1387/J1387)</x:f>
        <x:v>0.38461538461538464</x:v>
      </x:c>
      <x:c r="M1387" s="14" t="n">
        <x:v>3</x:v>
      </x:c>
      <x:c r="N1387" s="14" t="n">
        <x:v>3</x:v>
      </x:c>
      <x:c r="O1387" s="15" t="n">
        <x:f>IF(M1387=0,"해당 없음",N1387/M1387)</x:f>
        <x:v>1</x:v>
      </x:c>
      <x:c r="P1387" s="14" t="n">
        <x:v>103</x:v>
      </x:c>
    </x:row>
    <x:row r="1388" ht="22" customHeight="1">
      <x:c r="A1388" s="14" t="n">
        <x:v>692</x:v>
      </x:c>
      <x:c r="B1388" s="14" t="n">
        <x:v>18</x:v>
      </x:c>
      <x:c r="C1388" s="14" t="n">
        <x:v>76005</x:v>
      </x:c>
      <x:c r="D1388" s="2" t="str">
        <x:v>RED</x:v>
      </x:c>
      <x:c r="E1388" s="2" t="str">
        <x:v>240만</x:v>
      </x:c>
      <x:c r="F1388" s="2" t="str">
        <x:v>40만</x:v>
      </x:c>
      <x:c r="G1388" s="2" t="str">
        <x:v>승</x:v>
      </x:c>
      <x:c r="H1388" s="14" t="n">
        <x:v>3</x:v>
      </x:c>
      <x:c r="I1388" s="14" t="n">
        <x:v>0</x:v>
      </x:c>
      <x:c r="J1388" s="14" t="n">
        <x:v>9</x:v>
      </x:c>
      <x:c r="K1388" s="14" t="n">
        <x:v>3</x:v>
      </x:c>
      <x:c r="L1388" s="15" t="n">
        <x:f>IF(J1388=0,"해당 없음",K1388/J1388)</x:f>
        <x:v>0.3333333333333333</x:v>
      </x:c>
      <x:c r="M1388" s="14" t="n">
        <x:v>9</x:v>
      </x:c>
      <x:c r="N1388" s="14" t="n">
        <x:v>7</x:v>
      </x:c>
      <x:c r="O1388" s="15" t="n">
        <x:f>IF(M1388=0,"해당 없음",N1388/M1388)</x:f>
        <x:v>0.7777777777777778</x:v>
      </x:c>
      <x:c r="P1388" s="14" t="n">
        <x:v>102</x:v>
      </x:c>
    </x:row>
    <x:row r="1389" ht="22" customHeight="1">
      <x:c r="A1389" s="14" t="n">
        <x:v>692</x:v>
      </x:c>
      <x:c r="B1389" s="14" t="n">
        <x:v>18</x:v>
      </x:c>
      <x:c r="C1389" s="14" t="n">
        <x:v>76005</x:v>
      </x:c>
      <x:c r="D1389" s="2" t="str">
        <x:v>NAVY</x:v>
      </x:c>
      <x:c r="E1389" s="2" t="str">
        <x:v>40만</x:v>
      </x:c>
      <x:c r="F1389" s="2" t="str">
        <x:v>240만</x:v>
      </x:c>
      <x:c r="G1389" s="2" t="str">
        <x:v>패</x:v>
      </x:c>
      <x:c r="H1389" s="14" t="n">
        <x:v>0</x:v>
      </x:c>
      <x:c r="I1389" s="14" t="n">
        <x:v>3</x:v>
      </x:c>
      <x:c r="J1389" s="14" t="n">
        <x:v>5</x:v>
      </x:c>
      <x:c r="K1389" s="14" t="n">
        <x:v>0</x:v>
      </x:c>
      <x:c r="L1389" s="15" t="n">
        <x:f>IF(J1389=0,"해당 없음",K1389/J1389)</x:f>
        <x:v>0</x:v>
      </x:c>
      <x:c r="M1389" s="14" t="n">
        <x:v>10</x:v>
      </x:c>
      <x:c r="N1389" s="14" t="n">
        <x:v>7</x:v>
      </x:c>
      <x:c r="O1389" s="15" t="n">
        <x:f>IF(M1389=0,"해당 없음",N1389/M1389)</x:f>
        <x:v>0.7</x:v>
      </x:c>
      <x:c r="P1389" s="14" t="n">
        <x:v>102</x:v>
      </x:c>
    </x:row>
    <x:row r="1390" ht="22" customHeight="1">
      <x:c r="A1390" s="14" t="n">
        <x:v>693</x:v>
      </x:c>
      <x:c r="B1390" s="14" t="n">
        <x:v>18</x:v>
      </x:c>
      <x:c r="C1390" s="14" t="n">
        <x:v>76006</x:v>
      </x:c>
      <x:c r="D1390" s="2" t="str">
        <x:v>RED</x:v>
      </x:c>
      <x:c r="E1390" s="2" t="str">
        <x:v>40만</x:v>
      </x:c>
      <x:c r="F1390" s="2" t="str">
        <x:v>240만</x:v>
      </x:c>
      <x:c r="G1390" s="2" t="str">
        <x:v>승</x:v>
      </x:c>
      <x:c r="H1390" s="14" t="n">
        <x:v>3</x:v>
      </x:c>
      <x:c r="I1390" s="14" t="n">
        <x:v>0</x:v>
      </x:c>
      <x:c r="J1390" s="14" t="n">
        <x:v>9</x:v>
      </x:c>
      <x:c r="K1390" s="14" t="n">
        <x:v>3</x:v>
      </x:c>
      <x:c r="L1390" s="15" t="n">
        <x:f>IF(J1390=0,"해당 없음",K1390/J1390)</x:f>
        <x:v>0.3333333333333333</x:v>
      </x:c>
      <x:c r="M1390" s="14" t="n">
        <x:v>11</x:v>
      </x:c>
      <x:c r="N1390" s="14" t="n">
        <x:v>7</x:v>
      </x:c>
      <x:c r="O1390" s="15" t="n">
        <x:f>IF(M1390=0,"해당 없음",N1390/M1390)</x:f>
        <x:v>0.6363636363636364</x:v>
      </x:c>
      <x:c r="P1390" s="14" t="n">
        <x:v>101</x:v>
      </x:c>
    </x:row>
    <x:row r="1391" ht="22" customHeight="1">
      <x:c r="A1391" s="14" t="n">
        <x:v>693</x:v>
      </x:c>
      <x:c r="B1391" s="14" t="n">
        <x:v>18</x:v>
      </x:c>
      <x:c r="C1391" s="14" t="n">
        <x:v>76006</x:v>
      </x:c>
      <x:c r="D1391" s="2" t="str">
        <x:v>NAVY</x:v>
      </x:c>
      <x:c r="E1391" s="2" t="str">
        <x:v>240만</x:v>
      </x:c>
      <x:c r="F1391" s="2" t="str">
        <x:v>40만</x:v>
      </x:c>
      <x:c r="G1391" s="2" t="str">
        <x:v>패</x:v>
      </x:c>
      <x:c r="H1391" s="14" t="n">
        <x:v>0</x:v>
      </x:c>
      <x:c r="I1391" s="14" t="n">
        <x:v>3</x:v>
      </x:c>
      <x:c r="J1391" s="14" t="n">
        <x:v>7</x:v>
      </x:c>
      <x:c r="K1391" s="14" t="n">
        <x:v>0</x:v>
      </x:c>
      <x:c r="L1391" s="15" t="n">
        <x:f>IF(J1391=0,"해당 없음",K1391/J1391)</x:f>
        <x:v>0</x:v>
      </x:c>
      <x:c r="M1391" s="14" t="n">
        <x:v>4</x:v>
      </x:c>
      <x:c r="N1391" s="14" t="n">
        <x:v>4</x:v>
      </x:c>
      <x:c r="O1391" s="15" t="n">
        <x:f>IF(M1391=0,"해당 없음",N1391/M1391)</x:f>
        <x:v>1</x:v>
      </x:c>
      <x:c r="P1391" s="14" t="n">
        <x:v>99</x:v>
      </x:c>
    </x:row>
    <x:row r="1392" ht="22" customHeight="1">
      <x:c r="A1392" s="14" t="n">
        <x:v>694</x:v>
      </x:c>
      <x:c r="B1392" s="14" t="n">
        <x:v>18</x:v>
      </x:c>
      <x:c r="C1392" s="14" t="n">
        <x:v>76006</x:v>
      </x:c>
      <x:c r="D1392" s="2" t="str">
        <x:v>RED</x:v>
      </x:c>
      <x:c r="E1392" s="2" t="str">
        <x:v>240만</x:v>
      </x:c>
      <x:c r="F1392" s="2" t="str">
        <x:v>40만</x:v>
      </x:c>
      <x:c r="G1392" s="2" t="str">
        <x:v>승</x:v>
      </x:c>
      <x:c r="H1392" s="14" t="n">
        <x:v>3</x:v>
      </x:c>
      <x:c r="I1392" s="14" t="n">
        <x:v>1</x:v>
      </x:c>
      <x:c r="J1392" s="14" t="n">
        <x:v>9</x:v>
      </x:c>
      <x:c r="K1392" s="14" t="n">
        <x:v>3</x:v>
      </x:c>
      <x:c r="L1392" s="15" t="n">
        <x:f>IF(J1392=0,"해당 없음",K1392/J1392)</x:f>
        <x:v>0.3333333333333333</x:v>
      </x:c>
      <x:c r="M1392" s="14" t="n">
        <x:v>5</x:v>
      </x:c>
      <x:c r="N1392" s="14" t="n">
        <x:v>4</x:v>
      </x:c>
      <x:c r="O1392" s="15" t="n">
        <x:f>IF(M1392=0,"해당 없음",N1392/M1392)</x:f>
        <x:v>0.8</x:v>
      </x:c>
      <x:c r="P1392" s="14" t="n">
        <x:v>104</x:v>
      </x:c>
    </x:row>
    <x:row r="1393" ht="22" customHeight="1">
      <x:c r="A1393" s="14" t="n">
        <x:v>694</x:v>
      </x:c>
      <x:c r="B1393" s="14" t="n">
        <x:v>18</x:v>
      </x:c>
      <x:c r="C1393" s="14" t="n">
        <x:v>76006</x:v>
      </x:c>
      <x:c r="D1393" s="2" t="str">
        <x:v>NAVY</x:v>
      </x:c>
      <x:c r="E1393" s="2" t="str">
        <x:v>40만</x:v>
      </x:c>
      <x:c r="F1393" s="2" t="str">
        <x:v>240만</x:v>
      </x:c>
      <x:c r="G1393" s="2" t="str">
        <x:v>패</x:v>
      </x:c>
      <x:c r="H1393" s="14" t="n">
        <x:v>1</x:v>
      </x:c>
      <x:c r="I1393" s="14" t="n">
        <x:v>3</x:v>
      </x:c>
      <x:c r="J1393" s="14" t="n">
        <x:v>6</x:v>
      </x:c>
      <x:c r="K1393" s="14" t="n">
        <x:v>1</x:v>
      </x:c>
      <x:c r="L1393" s="15" t="n">
        <x:f>IF(J1393=0,"해당 없음",K1393/J1393)</x:f>
        <x:v>0.16666666666666666</x:v>
      </x:c>
      <x:c r="M1393" s="14" t="n">
        <x:v>7</x:v>
      </x:c>
      <x:c r="N1393" s="14" t="n">
        <x:v>5</x:v>
      </x:c>
      <x:c r="O1393" s="15" t="n">
        <x:f>IF(M1393=0,"해당 없음",N1393/M1393)</x:f>
        <x:v>0.7142857142857143</x:v>
      </x:c>
      <x:c r="P1393" s="14" t="n">
        <x:v>101</x:v>
      </x:c>
    </x:row>
    <x:row r="1394" ht="22" customHeight="1">
      <x:c r="A1394" s="14" t="n">
        <x:v>695</x:v>
      </x:c>
      <x:c r="B1394" s="14" t="n">
        <x:v>18</x:v>
      </x:c>
      <x:c r="C1394" s="14" t="n">
        <x:v>76007</x:v>
      </x:c>
      <x:c r="D1394" s="2" t="str">
        <x:v>RED</x:v>
      </x:c>
      <x:c r="E1394" s="2" t="str">
        <x:v>40만</x:v>
      </x:c>
      <x:c r="F1394" s="2" t="str">
        <x:v>240만</x:v>
      </x:c>
      <x:c r="G1394" s="2" t="str">
        <x:v>승</x:v>
      </x:c>
      <x:c r="H1394" s="14" t="n">
        <x:v>5</x:v>
      </x:c>
      <x:c r="I1394" s="14" t="n">
        <x:v>4</x:v>
      </x:c>
      <x:c r="J1394" s="14" t="n">
        <x:v>12</x:v>
      </x:c>
      <x:c r="K1394" s="14" t="n">
        <x:v>5</x:v>
      </x:c>
      <x:c r="L1394" s="15" t="n">
        <x:f>IF(J1394=0,"해당 없음",K1394/J1394)</x:f>
        <x:v>0.4166666666666667</x:v>
      </x:c>
      <x:c r="M1394" s="14" t="n">
        <x:v>9</x:v>
      </x:c>
      <x:c r="N1394" s="14" t="n">
        <x:v>7</x:v>
      </x:c>
      <x:c r="O1394" s="15" t="n">
        <x:f>IF(M1394=0,"해당 없음",N1394/M1394)</x:f>
        <x:v>0.7777777777777778</x:v>
      </x:c>
      <x:c r="P1394" s="14" t="n">
        <x:v>105</x:v>
      </x:c>
    </x:row>
    <x:row r="1395" ht="22" customHeight="1">
      <x:c r="A1395" s="14" t="n">
        <x:v>695</x:v>
      </x:c>
      <x:c r="B1395" s="14" t="n">
        <x:v>18</x:v>
      </x:c>
      <x:c r="C1395" s="14" t="n">
        <x:v>76007</x:v>
      </x:c>
      <x:c r="D1395" s="2" t="str">
        <x:v>NAVY</x:v>
      </x:c>
      <x:c r="E1395" s="2" t="str">
        <x:v>240만</x:v>
      </x:c>
      <x:c r="F1395" s="2" t="str">
        <x:v>40만</x:v>
      </x:c>
      <x:c r="G1395" s="2" t="str">
        <x:v>패</x:v>
      </x:c>
      <x:c r="H1395" s="14" t="n">
        <x:v>4</x:v>
      </x:c>
      <x:c r="I1395" s="14" t="n">
        <x:v>5</x:v>
      </x:c>
      <x:c r="J1395" s="14" t="n">
        <x:v>7</x:v>
      </x:c>
      <x:c r="K1395" s="14" t="n">
        <x:v>4</x:v>
      </x:c>
      <x:c r="L1395" s="15" t="n">
        <x:f>IF(J1395=0,"해당 없음",K1395/J1395)</x:f>
        <x:v>0.5714285714285714</x:v>
      </x:c>
      <x:c r="M1395" s="14" t="n">
        <x:v>6</x:v>
      </x:c>
      <x:c r="N1395" s="14" t="n">
        <x:v>6</x:v>
      </x:c>
      <x:c r="O1395" s="15" t="n">
        <x:f>IF(M1395=0,"해당 없음",N1395/M1395)</x:f>
        <x:v>1</x:v>
      </x:c>
      <x:c r="P1395" s="14" t="n">
        <x:v>107</x:v>
      </x:c>
    </x:row>
    <x:row r="1396" ht="22" customHeight="1">
      <x:c r="A1396" s="14" t="n">
        <x:v>696</x:v>
      </x:c>
      <x:c r="B1396" s="14" t="n">
        <x:v>18</x:v>
      </x:c>
      <x:c r="C1396" s="14" t="n">
        <x:v>76007</x:v>
      </x:c>
      <x:c r="D1396" s="2" t="str">
        <x:v>RED</x:v>
      </x:c>
      <x:c r="E1396" s="2" t="str">
        <x:v>240만</x:v>
      </x:c>
      <x:c r="F1396" s="2" t="str">
        <x:v>40만</x:v>
      </x:c>
      <x:c r="G1396" s="2" t="str">
        <x:v>패</x:v>
      </x:c>
      <x:c r="H1396" s="14" t="n">
        <x:v>3</x:v>
      </x:c>
      <x:c r="I1396" s="14" t="n">
        <x:v>6</x:v>
      </x:c>
      <x:c r="J1396" s="14" t="n">
        <x:v>7</x:v>
      </x:c>
      <x:c r="K1396" s="14" t="n">
        <x:v>3</x:v>
      </x:c>
      <x:c r="L1396" s="15" t="n">
        <x:f>IF(J1396=0,"해당 없음",K1396/J1396)</x:f>
        <x:v>0.42857142857142855</x:v>
      </x:c>
      <x:c r="M1396" s="14" t="n">
        <x:v>5</x:v>
      </x:c>
      <x:c r="N1396" s="14" t="n">
        <x:v>4</x:v>
      </x:c>
      <x:c r="O1396" s="15" t="n">
        <x:f>IF(M1396=0,"해당 없음",N1396/M1396)</x:f>
        <x:v>0.8</x:v>
      </x:c>
      <x:c r="P1396" s="14" t="n">
        <x:v>105</x:v>
      </x:c>
    </x:row>
    <x:row r="1397" ht="22" customHeight="1">
      <x:c r="A1397" s="14" t="n">
        <x:v>696</x:v>
      </x:c>
      <x:c r="B1397" s="14" t="n">
        <x:v>18</x:v>
      </x:c>
      <x:c r="C1397" s="14" t="n">
        <x:v>76007</x:v>
      </x:c>
      <x:c r="D1397" s="2" t="str">
        <x:v>NAVY</x:v>
      </x:c>
      <x:c r="E1397" s="2" t="str">
        <x:v>40만</x:v>
      </x:c>
      <x:c r="F1397" s="2" t="str">
        <x:v>240만</x:v>
      </x:c>
      <x:c r="G1397" s="2" t="str">
        <x:v>승</x:v>
      </x:c>
      <x:c r="H1397" s="14" t="n">
        <x:v>6</x:v>
      </x:c>
      <x:c r="I1397" s="14" t="n">
        <x:v>3</x:v>
      </x:c>
      <x:c r="J1397" s="14" t="n">
        <x:v>13</x:v>
      </x:c>
      <x:c r="K1397" s="14" t="n">
        <x:v>6</x:v>
      </x:c>
      <x:c r="L1397" s="15" t="n">
        <x:f>IF(J1397=0,"해당 없음",K1397/J1397)</x:f>
        <x:v>0.46153846153846156</x:v>
      </x:c>
      <x:c r="M1397" s="14" t="n">
        <x:v>11</x:v>
      </x:c>
      <x:c r="N1397" s="14" t="n">
        <x:v>9</x:v>
      </x:c>
      <x:c r="O1397" s="15" t="n">
        <x:f>IF(M1397=0,"해당 없음",N1397/M1397)</x:f>
        <x:v>0.8181818181818182</x:v>
      </x:c>
      <x:c r="P1397" s="14" t="n">
        <x:v>104</x:v>
      </x:c>
    </x:row>
    <x:row r="1398" ht="22" customHeight="1">
      <x:c r="A1398" s="14" t="n">
        <x:v>697</x:v>
      </x:c>
      <x:c r="B1398" s="14" t="n">
        <x:v>18</x:v>
      </x:c>
      <x:c r="C1398" s="14" t="n">
        <x:v>76008</x:v>
      </x:c>
      <x:c r="D1398" s="2" t="str">
        <x:v>RED</x:v>
      </x:c>
      <x:c r="E1398" s="2" t="str">
        <x:v>40만</x:v>
      </x:c>
      <x:c r="F1398" s="2" t="str">
        <x:v>240만</x:v>
      </x:c>
      <x:c r="G1398" s="2" t="str">
        <x:v>패</x:v>
      </x:c>
      <x:c r="H1398" s="14" t="n">
        <x:v>0</x:v>
      </x:c>
      <x:c r="I1398" s="14" t="n">
        <x:v>3</x:v>
      </x:c>
      <x:c r="J1398" s="14" t="n">
        <x:v>8</x:v>
      </x:c>
      <x:c r="K1398" s="14" t="n">
        <x:v>0</x:v>
      </x:c>
      <x:c r="L1398" s="15" t="n">
        <x:f>IF(J1398=0,"해당 없음",K1398/J1398)</x:f>
        <x:v>0</x:v>
      </x:c>
      <x:c r="M1398" s="14" t="n">
        <x:v>11</x:v>
      </x:c>
      <x:c r="N1398" s="14" t="n">
        <x:v>8</x:v>
      </x:c>
      <x:c r="O1398" s="15" t="n">
        <x:f>IF(M1398=0,"해당 없음",N1398/M1398)</x:f>
        <x:v>0.7272727272727273</x:v>
      </x:c>
      <x:c r="P1398" s="14" t="n">
        <x:v>100</x:v>
      </x:c>
    </x:row>
    <x:row r="1399" ht="22" customHeight="1">
      <x:c r="A1399" s="14" t="n">
        <x:v>697</x:v>
      </x:c>
      <x:c r="B1399" s="14" t="n">
        <x:v>18</x:v>
      </x:c>
      <x:c r="C1399" s="14" t="n">
        <x:v>76008</x:v>
      </x:c>
      <x:c r="D1399" s="2" t="str">
        <x:v>NAVY</x:v>
      </x:c>
      <x:c r="E1399" s="2" t="str">
        <x:v>240만</x:v>
      </x:c>
      <x:c r="F1399" s="2" t="str">
        <x:v>40만</x:v>
      </x:c>
      <x:c r="G1399" s="2" t="str">
        <x:v>승</x:v>
      </x:c>
      <x:c r="H1399" s="14" t="n">
        <x:v>3</x:v>
      </x:c>
      <x:c r="I1399" s="14" t="n">
        <x:v>0</x:v>
      </x:c>
      <x:c r="J1399" s="14" t="n">
        <x:v>6</x:v>
      </x:c>
      <x:c r="K1399" s="14" t="n">
        <x:v>3</x:v>
      </x:c>
      <x:c r="L1399" s="15" t="n">
        <x:f>IF(J1399=0,"해당 없음",K1399/J1399)</x:f>
        <x:v>0.5</x:v>
      </x:c>
      <x:c r="M1399" s="14" t="n">
        <x:v>11</x:v>
      </x:c>
      <x:c r="N1399" s="14" t="n">
        <x:v>8</x:v>
      </x:c>
      <x:c r="O1399" s="15" t="n">
        <x:f>IF(M1399=0,"해당 없음",N1399/M1399)</x:f>
        <x:v>0.7272727272727273</x:v>
      </x:c>
      <x:c r="P1399" s="14" t="n">
        <x:v>103</x:v>
      </x:c>
    </x:row>
    <x:row r="1400" ht="22" customHeight="1">
      <x:c r="A1400" s="14" t="n">
        <x:v>698</x:v>
      </x:c>
      <x:c r="B1400" s="14" t="n">
        <x:v>18</x:v>
      </x:c>
      <x:c r="C1400" s="14" t="n">
        <x:v>76008</x:v>
      </x:c>
      <x:c r="D1400" s="2" t="str">
        <x:v>RED</x:v>
      </x:c>
      <x:c r="E1400" s="2" t="str">
        <x:v>240만</x:v>
      </x:c>
      <x:c r="F1400" s="2" t="str">
        <x:v>40만</x:v>
      </x:c>
      <x:c r="G1400" s="2" t="str">
        <x:v>무</x:v>
      </x:c>
      <x:c r="H1400" s="14" t="n">
        <x:v>2</x:v>
      </x:c>
      <x:c r="I1400" s="14" t="n">
        <x:v>2</x:v>
      </x:c>
      <x:c r="J1400" s="14" t="n">
        <x:v>7</x:v>
      </x:c>
      <x:c r="K1400" s="14" t="n">
        <x:v>2</x:v>
      </x:c>
      <x:c r="L1400" s="15" t="n">
        <x:f>IF(J1400=0,"해당 없음",K1400/J1400)</x:f>
        <x:v>0.2857142857142857</x:v>
      </x:c>
      <x:c r="M1400" s="14" t="n">
        <x:v>9</x:v>
      </x:c>
      <x:c r="N1400" s="14" t="n">
        <x:v>7</x:v>
      </x:c>
      <x:c r="O1400" s="15" t="n">
        <x:f>IF(M1400=0,"해당 없음",N1400/M1400)</x:f>
        <x:v>0.7777777777777778</x:v>
      </x:c>
      <x:c r="P1400" s="14" t="n">
        <x:v>102</x:v>
      </x:c>
    </x:row>
    <x:row r="1401" ht="22" customHeight="1">
      <x:c r="A1401" s="14" t="n">
        <x:v>698</x:v>
      </x:c>
      <x:c r="B1401" s="14" t="n">
        <x:v>18</x:v>
      </x:c>
      <x:c r="C1401" s="14" t="n">
        <x:v>76008</x:v>
      </x:c>
      <x:c r="D1401" s="2" t="str">
        <x:v>NAVY</x:v>
      </x:c>
      <x:c r="E1401" s="2" t="str">
        <x:v>40만</x:v>
      </x:c>
      <x:c r="F1401" s="2" t="str">
        <x:v>240만</x:v>
      </x:c>
      <x:c r="G1401" s="2" t="str">
        <x:v>무</x:v>
      </x:c>
      <x:c r="H1401" s="14" t="n">
        <x:v>2</x:v>
      </x:c>
      <x:c r="I1401" s="14" t="n">
        <x:v>2</x:v>
      </x:c>
      <x:c r="J1401" s="14" t="n">
        <x:v>8</x:v>
      </x:c>
      <x:c r="K1401" s="14" t="n">
        <x:v>2</x:v>
      </x:c>
      <x:c r="L1401" s="15" t="n">
        <x:f>IF(J1401=0,"해당 없음",K1401/J1401)</x:f>
        <x:v>0.25</x:v>
      </x:c>
      <x:c r="M1401" s="14" t="n">
        <x:v>10</x:v>
      </x:c>
      <x:c r="N1401" s="14" t="n">
        <x:v>8</x:v>
      </x:c>
      <x:c r="O1401" s="15" t="n">
        <x:f>IF(M1401=0,"해당 없음",N1401/M1401)</x:f>
        <x:v>0.8</x:v>
      </x:c>
      <x:c r="P1401" s="14" t="n">
        <x:v>103</x:v>
      </x:c>
    </x:row>
    <x:row r="1402" ht="22" customHeight="1">
      <x:c r="A1402" s="14" t="n">
        <x:v>699</x:v>
      </x:c>
      <x:c r="B1402" s="14" t="n">
        <x:v>18</x:v>
      </x:c>
      <x:c r="C1402" s="14" t="n">
        <x:v>76009</x:v>
      </x:c>
      <x:c r="D1402" s="2" t="str">
        <x:v>RED</x:v>
      </x:c>
      <x:c r="E1402" s="2" t="str">
        <x:v>40만</x:v>
      </x:c>
      <x:c r="F1402" s="2" t="str">
        <x:v>240만</x:v>
      </x:c>
      <x:c r="G1402" s="2" t="str">
        <x:v>패</x:v>
      </x:c>
      <x:c r="H1402" s="14" t="n">
        <x:v>2</x:v>
      </x:c>
      <x:c r="I1402" s="14" t="n">
        <x:v>7</x:v>
      </x:c>
      <x:c r="J1402" s="14" t="n">
        <x:v>5</x:v>
      </x:c>
      <x:c r="K1402" s="14" t="n">
        <x:v>2</x:v>
      </x:c>
      <x:c r="L1402" s="15" t="n">
        <x:f>IF(J1402=0,"해당 없음",K1402/J1402)</x:f>
        <x:v>0.4</x:v>
      </x:c>
      <x:c r="M1402" s="14" t="n">
        <x:v>4</x:v>
      </x:c>
      <x:c r="N1402" s="14" t="n">
        <x:v>2</x:v>
      </x:c>
      <x:c r="O1402" s="15" t="n">
        <x:f>IF(M1402=0,"해당 없음",N1402/M1402)</x:f>
        <x:v>0.5</x:v>
      </x:c>
      <x:c r="P1402" s="14" t="n">
        <x:v>106</x:v>
      </x:c>
    </x:row>
    <x:row r="1403" ht="22" customHeight="1">
      <x:c r="A1403" s="14" t="n">
        <x:v>699</x:v>
      </x:c>
      <x:c r="B1403" s="14" t="n">
        <x:v>18</x:v>
      </x:c>
      <x:c r="C1403" s="14" t="n">
        <x:v>76009</x:v>
      </x:c>
      <x:c r="D1403" s="2" t="str">
        <x:v>NAVY</x:v>
      </x:c>
      <x:c r="E1403" s="2" t="str">
        <x:v>240만</x:v>
      </x:c>
      <x:c r="F1403" s="2" t="str">
        <x:v>40만</x:v>
      </x:c>
      <x:c r="G1403" s="2" t="str">
        <x:v>승</x:v>
      </x:c>
      <x:c r="H1403" s="14" t="n">
        <x:v>7</x:v>
      </x:c>
      <x:c r="I1403" s="14" t="n">
        <x:v>2</x:v>
      </x:c>
      <x:c r="J1403" s="14" t="n">
        <x:v>11</x:v>
      </x:c>
      <x:c r="K1403" s="14" t="n">
        <x:v>7</x:v>
      </x:c>
      <x:c r="L1403" s="15" t="n">
        <x:f>IF(J1403=0,"해당 없음",K1403/J1403)</x:f>
        <x:v>0.6363636363636364</x:v>
      </x:c>
      <x:c r="M1403" s="14" t="n">
        <x:v>5</x:v>
      </x:c>
      <x:c r="N1403" s="14" t="n">
        <x:v>4</x:v>
      </x:c>
      <x:c r="O1403" s="15" t="n">
        <x:f>IF(M1403=0,"해당 없음",N1403/M1403)</x:f>
        <x:v>0.8</x:v>
      </x:c>
      <x:c r="P1403" s="14" t="n">
        <x:v>106</x:v>
      </x:c>
    </x:row>
    <x:row r="1404" ht="22" customHeight="1">
      <x:c r="A1404" s="14" t="n">
        <x:v>700</x:v>
      </x:c>
      <x:c r="B1404" s="14" t="n">
        <x:v>18</x:v>
      </x:c>
      <x:c r="C1404" s="14" t="n">
        <x:v>76009</x:v>
      </x:c>
      <x:c r="D1404" s="2" t="str">
        <x:v>RED</x:v>
      </x:c>
      <x:c r="E1404" s="2" t="str">
        <x:v>240만</x:v>
      </x:c>
      <x:c r="F1404" s="2" t="str">
        <x:v>40만</x:v>
      </x:c>
      <x:c r="G1404" s="2" t="str">
        <x:v>승</x:v>
      </x:c>
      <x:c r="H1404" s="14" t="n">
        <x:v>6</x:v>
      </x:c>
      <x:c r="I1404" s="14" t="n">
        <x:v>2</x:v>
      </x:c>
      <x:c r="J1404" s="14" t="n">
        <x:v>10</x:v>
      </x:c>
      <x:c r="K1404" s="14" t="n">
        <x:v>6</x:v>
      </x:c>
      <x:c r="L1404" s="15" t="n">
        <x:f>IF(J1404=0,"해당 없음",K1404/J1404)</x:f>
        <x:v>0.6</x:v>
      </x:c>
      <x:c r="M1404" s="14" t="n">
        <x:v>10</x:v>
      </x:c>
      <x:c r="N1404" s="14" t="n">
        <x:v>8</x:v>
      </x:c>
      <x:c r="O1404" s="15" t="n">
        <x:f>IF(M1404=0,"해당 없음",N1404/M1404)</x:f>
        <x:v>0.8</x:v>
      </x:c>
      <x:c r="P1404" s="14" t="n">
        <x:v>104</x:v>
      </x:c>
    </x:row>
    <x:row r="1405" ht="22" customHeight="1">
      <x:c r="A1405" s="14" t="n">
        <x:v>700</x:v>
      </x:c>
      <x:c r="B1405" s="14" t="n">
        <x:v>18</x:v>
      </x:c>
      <x:c r="C1405" s="14" t="n">
        <x:v>76009</x:v>
      </x:c>
      <x:c r="D1405" s="2" t="str">
        <x:v>NAVY</x:v>
      </x:c>
      <x:c r="E1405" s="2" t="str">
        <x:v>40만</x:v>
      </x:c>
      <x:c r="F1405" s="2" t="str">
        <x:v>240만</x:v>
      </x:c>
      <x:c r="G1405" s="2" t="str">
        <x:v>패</x:v>
      </x:c>
      <x:c r="H1405" s="14" t="n">
        <x:v>2</x:v>
      </x:c>
      <x:c r="I1405" s="14" t="n">
        <x:v>6</x:v>
      </x:c>
      <x:c r="J1405" s="14" t="n">
        <x:v>8</x:v>
      </x:c>
      <x:c r="K1405" s="14" t="n">
        <x:v>2</x:v>
      </x:c>
      <x:c r="L1405" s="15" t="n">
        <x:f>IF(J1405=0,"해당 없음",K1405/J1405)</x:f>
        <x:v>0.25</x:v>
      </x:c>
      <x:c r="M1405" s="14" t="n">
        <x:v>3</x:v>
      </x:c>
      <x:c r="N1405" s="14" t="n">
        <x:v>1</x:v>
      </x:c>
      <x:c r="O1405" s="15" t="n">
        <x:f>IF(M1405=0,"해당 없음",N1405/M1405)</x:f>
        <x:v>0.3333333333333333</x:v>
      </x:c>
      <x:c r="P1405" s="14" t="n">
        <x:v>104</x:v>
      </x:c>
    </x:row>
    <x:row r="1406" ht="22" customHeight="1">
      <x:c r="A1406" s="14" t="n">
        <x:v>701</x:v>
      </x:c>
      <x:c r="B1406" s="14" t="n">
        <x:v>18</x:v>
      </x:c>
      <x:c r="C1406" s="14" t="n">
        <x:v>76010</x:v>
      </x:c>
      <x:c r="D1406" s="2" t="str">
        <x:v>RED</x:v>
      </x:c>
      <x:c r="E1406" s="2" t="str">
        <x:v>40만</x:v>
      </x:c>
      <x:c r="F1406" s="2" t="str">
        <x:v>240만</x:v>
      </x:c>
      <x:c r="G1406" s="2" t="str">
        <x:v>무</x:v>
      </x:c>
      <x:c r="H1406" s="14" t="n">
        <x:v>1</x:v>
      </x:c>
      <x:c r="I1406" s="14" t="n">
        <x:v>1</x:v>
      </x:c>
      <x:c r="J1406" s="14" t="n">
        <x:v>11</x:v>
      </x:c>
      <x:c r="K1406" s="14" t="n">
        <x:v>1</x:v>
      </x:c>
      <x:c r="L1406" s="15" t="n">
        <x:f>IF(J1406=0,"해당 없음",K1406/J1406)</x:f>
        <x:v>0.09090909090909091</x:v>
      </x:c>
      <x:c r="M1406" s="14" t="n">
        <x:v>8</x:v>
      </x:c>
      <x:c r="N1406" s="14" t="n">
        <x:v>4</x:v>
      </x:c>
      <x:c r="O1406" s="15" t="n">
        <x:f>IF(M1406=0,"해당 없음",N1406/M1406)</x:f>
        <x:v>0.5</x:v>
      </x:c>
      <x:c r="P1406" s="14" t="n">
        <x:v>102</x:v>
      </x:c>
    </x:row>
    <x:row r="1407" ht="22" customHeight="1">
      <x:c r="A1407" s="14" t="n">
        <x:v>701</x:v>
      </x:c>
      <x:c r="B1407" s="14" t="n">
        <x:v>18</x:v>
      </x:c>
      <x:c r="C1407" s="14" t="n">
        <x:v>76010</x:v>
      </x:c>
      <x:c r="D1407" s="2" t="str">
        <x:v>NAVY</x:v>
      </x:c>
      <x:c r="E1407" s="2" t="str">
        <x:v>240만</x:v>
      </x:c>
      <x:c r="F1407" s="2" t="str">
        <x:v>40만</x:v>
      </x:c>
      <x:c r="G1407" s="2" t="str">
        <x:v>무</x:v>
      </x:c>
      <x:c r="H1407" s="14" t="n">
        <x:v>1</x:v>
      </x:c>
      <x:c r="I1407" s="14" t="n">
        <x:v>1</x:v>
      </x:c>
      <x:c r="J1407" s="14" t="n">
        <x:v>6</x:v>
      </x:c>
      <x:c r="K1407" s="14" t="n">
        <x:v>1</x:v>
      </x:c>
      <x:c r="L1407" s="15" t="n">
        <x:f>IF(J1407=0,"해당 없음",K1407/J1407)</x:f>
        <x:v>0.16666666666666666</x:v>
      </x:c>
      <x:c r="M1407" s="14" t="n">
        <x:v>13</x:v>
      </x:c>
      <x:c r="N1407" s="14" t="n">
        <x:v>4</x:v>
      </x:c>
      <x:c r="O1407" s="15" t="n">
        <x:f>IF(M1407=0,"해당 없음",N1407/M1407)</x:f>
        <x:v>0.3076923076923077</x:v>
      </x:c>
      <x:c r="P1407" s="14" t="n">
        <x:v>101</x:v>
      </x:c>
    </x:row>
    <x:row r="1408" ht="22" customHeight="1">
      <x:c r="A1408" s="14" t="n">
        <x:v>702</x:v>
      </x:c>
      <x:c r="B1408" s="14" t="n">
        <x:v>18</x:v>
      </x:c>
      <x:c r="C1408" s="14" t="n">
        <x:v>76010</x:v>
      </x:c>
      <x:c r="D1408" s="2" t="str">
        <x:v>RED</x:v>
      </x:c>
      <x:c r="E1408" s="2" t="str">
        <x:v>240만</x:v>
      </x:c>
      <x:c r="F1408" s="2" t="str">
        <x:v>40만</x:v>
      </x:c>
      <x:c r="G1408" s="2" t="str">
        <x:v>패</x:v>
      </x:c>
      <x:c r="H1408" s="14" t="n">
        <x:v>2</x:v>
      </x:c>
      <x:c r="I1408" s="14" t="n">
        <x:v>3</x:v>
      </x:c>
      <x:c r="J1408" s="14" t="n">
        <x:v>5</x:v>
      </x:c>
      <x:c r="K1408" s="14" t="n">
        <x:v>2</x:v>
      </x:c>
      <x:c r="L1408" s="15" t="n">
        <x:f>IF(J1408=0,"해당 없음",K1408/J1408)</x:f>
        <x:v>0.4</x:v>
      </x:c>
      <x:c r="M1408" s="14" t="n">
        <x:v>10</x:v>
      </x:c>
      <x:c r="N1408" s="14" t="n">
        <x:v>4</x:v>
      </x:c>
      <x:c r="O1408" s="15" t="n">
        <x:f>IF(M1408=0,"해당 없음",N1408/M1408)</x:f>
        <x:v>0.4</x:v>
      </x:c>
      <x:c r="P1408" s="14" t="n">
        <x:v>104</x:v>
      </x:c>
    </x:row>
    <x:row r="1409" ht="22" customHeight="1">
      <x:c r="A1409" s="14" t="n">
        <x:v>702</x:v>
      </x:c>
      <x:c r="B1409" s="14" t="n">
        <x:v>18</x:v>
      </x:c>
      <x:c r="C1409" s="14" t="n">
        <x:v>76010</x:v>
      </x:c>
      <x:c r="D1409" s="2" t="str">
        <x:v>NAVY</x:v>
      </x:c>
      <x:c r="E1409" s="2" t="str">
        <x:v>40만</x:v>
      </x:c>
      <x:c r="F1409" s="2" t="str">
        <x:v>240만</x:v>
      </x:c>
      <x:c r="G1409" s="2" t="str">
        <x:v>승</x:v>
      </x:c>
      <x:c r="H1409" s="14" t="n">
        <x:v>3</x:v>
      </x:c>
      <x:c r="I1409" s="14" t="n">
        <x:v>2</x:v>
      </x:c>
      <x:c r="J1409" s="14" t="n">
        <x:v>14</x:v>
      </x:c>
      <x:c r="K1409" s="14" t="n">
        <x:v>3</x:v>
      </x:c>
      <x:c r="L1409" s="15" t="n">
        <x:f>IF(J1409=0,"해당 없음",K1409/J1409)</x:f>
        <x:v>0.21428571428571427</x:v>
      </x:c>
      <x:c r="M1409" s="14" t="n">
        <x:v>13</x:v>
      </x:c>
      <x:c r="N1409" s="14" t="n">
        <x:v>10</x:v>
      </x:c>
      <x:c r="O1409" s="15" t="n">
        <x:f>IF(M1409=0,"해당 없음",N1409/M1409)</x:f>
        <x:v>0.7692307692307693</x:v>
      </x:c>
      <x:c r="P1409" s="14" t="n">
        <x:v>105</x:v>
      </x:c>
    </x:row>
    <x:row r="1410" ht="22" customHeight="1">
      <x:c r="A1410" s="14" t="n">
        <x:v>703</x:v>
      </x:c>
      <x:c r="B1410" s="14" t="n">
        <x:v>18</x:v>
      </x:c>
      <x:c r="C1410" s="14" t="n">
        <x:v>76011</x:v>
      </x:c>
      <x:c r="D1410" s="2" t="str">
        <x:v>RED</x:v>
      </x:c>
      <x:c r="E1410" s="2" t="str">
        <x:v>40만</x:v>
      </x:c>
      <x:c r="F1410" s="2" t="str">
        <x:v>240만</x:v>
      </x:c>
      <x:c r="G1410" s="2" t="str">
        <x:v>패</x:v>
      </x:c>
      <x:c r="H1410" s="14" t="n">
        <x:v>1</x:v>
      </x:c>
      <x:c r="I1410" s="14" t="n">
        <x:v>4</x:v>
      </x:c>
      <x:c r="J1410" s="14" t="n">
        <x:v>10</x:v>
      </x:c>
      <x:c r="K1410" s="14" t="n">
        <x:v>1</x:v>
      </x:c>
      <x:c r="L1410" s="15" t="n">
        <x:f>IF(J1410=0,"해당 없음",K1410/J1410)</x:f>
        <x:v>0.1</x:v>
      </x:c>
      <x:c r="M1410" s="14" t="n">
        <x:v>5</x:v>
      </x:c>
      <x:c r="N1410" s="14" t="n">
        <x:v>4</x:v>
      </x:c>
      <x:c r="O1410" s="15" t="n">
        <x:f>IF(M1410=0,"해당 없음",N1410/M1410)</x:f>
        <x:v>0.8</x:v>
      </x:c>
      <x:c r="P1410" s="14" t="n">
        <x:v>105</x:v>
      </x:c>
    </x:row>
    <x:row r="1411" ht="22" customHeight="1">
      <x:c r="A1411" s="14" t="n">
        <x:v>703</x:v>
      </x:c>
      <x:c r="B1411" s="14" t="n">
        <x:v>18</x:v>
      </x:c>
      <x:c r="C1411" s="14" t="n">
        <x:v>76011</x:v>
      </x:c>
      <x:c r="D1411" s="2" t="str">
        <x:v>NAVY</x:v>
      </x:c>
      <x:c r="E1411" s="2" t="str">
        <x:v>240만</x:v>
      </x:c>
      <x:c r="F1411" s="2" t="str">
        <x:v>40만</x:v>
      </x:c>
      <x:c r="G1411" s="2" t="str">
        <x:v>승</x:v>
      </x:c>
      <x:c r="H1411" s="14" t="n">
        <x:v>4</x:v>
      </x:c>
      <x:c r="I1411" s="14" t="n">
        <x:v>1</x:v>
      </x:c>
      <x:c r="J1411" s="14" t="n">
        <x:v>8</x:v>
      </x:c>
      <x:c r="K1411" s="14" t="n">
        <x:v>4</x:v>
      </x:c>
      <x:c r="L1411" s="15" t="n">
        <x:f>IF(J1411=0,"해당 없음",K1411/J1411)</x:f>
        <x:v>0.5</x:v>
      </x:c>
      <x:c r="M1411" s="14" t="n">
        <x:v>13</x:v>
      </x:c>
      <x:c r="N1411" s="14" t="n">
        <x:v>7</x:v>
      </x:c>
      <x:c r="O1411" s="15" t="n">
        <x:f>IF(M1411=0,"해당 없음",N1411/M1411)</x:f>
        <x:v>0.5384615384615384</x:v>
      </x:c>
      <x:c r="P1411" s="14" t="n">
        <x:v>103</x:v>
      </x:c>
    </x:row>
    <x:row r="1412" ht="22" customHeight="1">
      <x:c r="A1412" s="14" t="n">
        <x:v>704</x:v>
      </x:c>
      <x:c r="B1412" s="14" t="n">
        <x:v>18</x:v>
      </x:c>
      <x:c r="C1412" s="14" t="n">
        <x:v>76011</x:v>
      </x:c>
      <x:c r="D1412" s="2" t="str">
        <x:v>RED</x:v>
      </x:c>
      <x:c r="E1412" s="2" t="str">
        <x:v>240만</x:v>
      </x:c>
      <x:c r="F1412" s="2" t="str">
        <x:v>40만</x:v>
      </x:c>
      <x:c r="G1412" s="2" t="str">
        <x:v>승</x:v>
      </x:c>
      <x:c r="H1412" s="14" t="n">
        <x:v>2</x:v>
      </x:c>
      <x:c r="I1412" s="14" t="n">
        <x:v>1</x:v>
      </x:c>
      <x:c r="J1412" s="14" t="n">
        <x:v>9</x:v>
      </x:c>
      <x:c r="K1412" s="14" t="n">
        <x:v>2</x:v>
      </x:c>
      <x:c r="L1412" s="15" t="n">
        <x:f>IF(J1412=0,"해당 없음",K1412/J1412)</x:f>
        <x:v>0.2222222222222222</x:v>
      </x:c>
      <x:c r="M1412" s="14" t="n">
        <x:v>11</x:v>
      </x:c>
      <x:c r="N1412" s="14" t="n">
        <x:v>9</x:v>
      </x:c>
      <x:c r="O1412" s="15" t="n">
        <x:f>IF(M1412=0,"해당 없음",N1412/M1412)</x:f>
        <x:v>0.8181818181818182</x:v>
      </x:c>
      <x:c r="P1412" s="14" t="n">
        <x:v>102</x:v>
      </x:c>
    </x:row>
    <x:row r="1413" ht="22" customHeight="1">
      <x:c r="A1413" s="14" t="n">
        <x:v>704</x:v>
      </x:c>
      <x:c r="B1413" s="14" t="n">
        <x:v>18</x:v>
      </x:c>
      <x:c r="C1413" s="14" t="n">
        <x:v>76011</x:v>
      </x:c>
      <x:c r="D1413" s="2" t="str">
        <x:v>NAVY</x:v>
      </x:c>
      <x:c r="E1413" s="2" t="str">
        <x:v>40만</x:v>
      </x:c>
      <x:c r="F1413" s="2" t="str">
        <x:v>240만</x:v>
      </x:c>
      <x:c r="G1413" s="2" t="str">
        <x:v>패</x:v>
      </x:c>
      <x:c r="H1413" s="14" t="n">
        <x:v>1</x:v>
      </x:c>
      <x:c r="I1413" s="14" t="n">
        <x:v>2</x:v>
      </x:c>
      <x:c r="J1413" s="14" t="n">
        <x:v>10</x:v>
      </x:c>
      <x:c r="K1413" s="14" t="n">
        <x:v>1</x:v>
      </x:c>
      <x:c r="L1413" s="15" t="n">
        <x:f>IF(J1413=0,"해당 없음",K1413/J1413)</x:f>
        <x:v>0.1</x:v>
      </x:c>
      <x:c r="M1413" s="14" t="n">
        <x:v>9</x:v>
      </x:c>
      <x:c r="N1413" s="14" t="n">
        <x:v>5</x:v>
      </x:c>
      <x:c r="O1413" s="15" t="n">
        <x:f>IF(M1413=0,"해당 없음",N1413/M1413)</x:f>
        <x:v>0.5555555555555556</x:v>
      </x:c>
      <x:c r="P1413" s="14" t="n">
        <x:v>103</x:v>
      </x:c>
    </x:row>
    <x:row r="1414" ht="22" customHeight="1">
      <x:c r="A1414" s="14" t="n">
        <x:v>705</x:v>
      </x:c>
      <x:c r="B1414" s="14" t="n">
        <x:v>18</x:v>
      </x:c>
      <x:c r="C1414" s="14" t="n">
        <x:v>76012</x:v>
      </x:c>
      <x:c r="D1414" s="2" t="str">
        <x:v>RED</x:v>
      </x:c>
      <x:c r="E1414" s="2" t="str">
        <x:v>40만</x:v>
      </x:c>
      <x:c r="F1414" s="2" t="str">
        <x:v>240만</x:v>
      </x:c>
      <x:c r="G1414" s="2" t="str">
        <x:v>패</x:v>
      </x:c>
      <x:c r="H1414" s="14" t="n">
        <x:v>2</x:v>
      </x:c>
      <x:c r="I1414" s="14" t="n">
        <x:v>4</x:v>
      </x:c>
      <x:c r="J1414" s="14" t="n">
        <x:v>8</x:v>
      </x:c>
      <x:c r="K1414" s="14" t="n">
        <x:v>2</x:v>
      </x:c>
      <x:c r="L1414" s="15" t="n">
        <x:f>IF(J1414=0,"해당 없음",K1414/J1414)</x:f>
        <x:v>0.25</x:v>
      </x:c>
      <x:c r="M1414" s="14" t="n">
        <x:v>11</x:v>
      </x:c>
      <x:c r="N1414" s="14" t="n">
        <x:v>7</x:v>
      </x:c>
      <x:c r="O1414" s="15" t="n">
        <x:f>IF(M1414=0,"해당 없음",N1414/M1414)</x:f>
        <x:v>0.6363636363636364</x:v>
      </x:c>
      <x:c r="P1414" s="14" t="n">
        <x:v>103</x:v>
      </x:c>
    </x:row>
    <x:row r="1415" ht="22" customHeight="1">
      <x:c r="A1415" s="14" t="n">
        <x:v>705</x:v>
      </x:c>
      <x:c r="B1415" s="14" t="n">
        <x:v>18</x:v>
      </x:c>
      <x:c r="C1415" s="14" t="n">
        <x:v>76012</x:v>
      </x:c>
      <x:c r="D1415" s="2" t="str">
        <x:v>NAVY</x:v>
      </x:c>
      <x:c r="E1415" s="2" t="str">
        <x:v>240만</x:v>
      </x:c>
      <x:c r="F1415" s="2" t="str">
        <x:v>40만</x:v>
      </x:c>
      <x:c r="G1415" s="2" t="str">
        <x:v>승</x:v>
      </x:c>
      <x:c r="H1415" s="14" t="n">
        <x:v>4</x:v>
      </x:c>
      <x:c r="I1415" s="14" t="n">
        <x:v>2</x:v>
      </x:c>
      <x:c r="J1415" s="14" t="n">
        <x:v>8</x:v>
      </x:c>
      <x:c r="K1415" s="14" t="n">
        <x:v>4</x:v>
      </x:c>
      <x:c r="L1415" s="15" t="n">
        <x:f>IF(J1415=0,"해당 없음",K1415/J1415)</x:f>
        <x:v>0.5</x:v>
      </x:c>
      <x:c r="M1415" s="14" t="n">
        <x:v>9</x:v>
      </x:c>
      <x:c r="N1415" s="14" t="n">
        <x:v>4</x:v>
      </x:c>
      <x:c r="O1415" s="15" t="n">
        <x:f>IF(M1415=0,"해당 없음",N1415/M1415)</x:f>
        <x:v>0.4444444444444444</x:v>
      </x:c>
      <x:c r="P1415" s="14" t="n">
        <x:v>102</x:v>
      </x:c>
    </x:row>
    <x:row r="1416" ht="22" customHeight="1">
      <x:c r="A1416" s="14" t="n">
        <x:v>706</x:v>
      </x:c>
      <x:c r="B1416" s="14" t="n">
        <x:v>18</x:v>
      </x:c>
      <x:c r="C1416" s="14" t="n">
        <x:v>76012</x:v>
      </x:c>
      <x:c r="D1416" s="2" t="str">
        <x:v>RED</x:v>
      </x:c>
      <x:c r="E1416" s="2" t="str">
        <x:v>240만</x:v>
      </x:c>
      <x:c r="F1416" s="2" t="str">
        <x:v>40만</x:v>
      </x:c>
      <x:c r="G1416" s="2" t="str">
        <x:v>승</x:v>
      </x:c>
      <x:c r="H1416" s="14" t="n">
        <x:v>4</x:v>
      </x:c>
      <x:c r="I1416" s="14" t="n">
        <x:v>2</x:v>
      </x:c>
      <x:c r="J1416" s="14" t="n">
        <x:v>8</x:v>
      </x:c>
      <x:c r="K1416" s="14" t="n">
        <x:v>4</x:v>
      </x:c>
      <x:c r="L1416" s="15" t="n">
        <x:f>IF(J1416=0,"해당 없음",K1416/J1416)</x:f>
        <x:v>0.5</x:v>
      </x:c>
      <x:c r="M1416" s="14" t="n">
        <x:v>7</x:v>
      </x:c>
      <x:c r="N1416" s="14" t="n">
        <x:v>5</x:v>
      </x:c>
      <x:c r="O1416" s="15" t="n">
        <x:f>IF(M1416=0,"해당 없음",N1416/M1416)</x:f>
        <x:v>0.7142857142857143</x:v>
      </x:c>
      <x:c r="P1416" s="14" t="n">
        <x:v>104</x:v>
      </x:c>
    </x:row>
    <x:row r="1417" ht="22" customHeight="1">
      <x:c r="A1417" s="14" t="n">
        <x:v>706</x:v>
      </x:c>
      <x:c r="B1417" s="14" t="n">
        <x:v>18</x:v>
      </x:c>
      <x:c r="C1417" s="14" t="n">
        <x:v>76012</x:v>
      </x:c>
      <x:c r="D1417" s="2" t="str">
        <x:v>NAVY</x:v>
      </x:c>
      <x:c r="E1417" s="2" t="str">
        <x:v>40만</x:v>
      </x:c>
      <x:c r="F1417" s="2" t="str">
        <x:v>240만</x:v>
      </x:c>
      <x:c r="G1417" s="2" t="str">
        <x:v>패</x:v>
      </x:c>
      <x:c r="H1417" s="14" t="n">
        <x:v>2</x:v>
      </x:c>
      <x:c r="I1417" s="14" t="n">
        <x:v>4</x:v>
      </x:c>
      <x:c r="J1417" s="14" t="n">
        <x:v>9</x:v>
      </x:c>
      <x:c r="K1417" s="14" t="n">
        <x:v>2</x:v>
      </x:c>
      <x:c r="L1417" s="15" t="n">
        <x:f>IF(J1417=0,"해당 없음",K1417/J1417)</x:f>
        <x:v>0.2222222222222222</x:v>
      </x:c>
      <x:c r="M1417" s="14" t="n">
        <x:v>4</x:v>
      </x:c>
      <x:c r="N1417" s="14" t="n">
        <x:v>3</x:v>
      </x:c>
      <x:c r="O1417" s="15" t="n">
        <x:f>IF(M1417=0,"해당 없음",N1417/M1417)</x:f>
        <x:v>0.75</x:v>
      </x:c>
      <x:c r="P1417" s="14" t="n">
        <x:v>102</x:v>
      </x:c>
    </x:row>
    <x:row r="1418" ht="22" customHeight="1">
      <x:c r="A1418" s="14" t="n">
        <x:v>707</x:v>
      </x:c>
      <x:c r="B1418" s="14" t="n">
        <x:v>18</x:v>
      </x:c>
      <x:c r="C1418" s="14" t="n">
        <x:v>76013</x:v>
      </x:c>
      <x:c r="D1418" s="2" t="str">
        <x:v>RED</x:v>
      </x:c>
      <x:c r="E1418" s="2" t="str">
        <x:v>40만</x:v>
      </x:c>
      <x:c r="F1418" s="2" t="str">
        <x:v>240만</x:v>
      </x:c>
      <x:c r="G1418" s="2" t="str">
        <x:v>패</x:v>
      </x:c>
      <x:c r="H1418" s="14" t="n">
        <x:v>1</x:v>
      </x:c>
      <x:c r="I1418" s="14" t="n">
        <x:v>5</x:v>
      </x:c>
      <x:c r="J1418" s="14" t="n">
        <x:v>6</x:v>
      </x:c>
      <x:c r="K1418" s="14" t="n">
        <x:v>1</x:v>
      </x:c>
      <x:c r="L1418" s="15" t="n">
        <x:f>IF(J1418=0,"해당 없음",K1418/J1418)</x:f>
        <x:v>0.16666666666666666</x:v>
      </x:c>
      <x:c r="M1418" s="14" t="n">
        <x:v>7</x:v>
      </x:c>
      <x:c r="N1418" s="14" t="n">
        <x:v>5</x:v>
      </x:c>
      <x:c r="O1418" s="15" t="n">
        <x:f>IF(M1418=0,"해당 없음",N1418/M1418)</x:f>
        <x:v>0.7142857142857143</x:v>
      </x:c>
      <x:c r="P1418" s="14" t="n">
        <x:v>104</x:v>
      </x:c>
    </x:row>
    <x:row r="1419" ht="22" customHeight="1">
      <x:c r="A1419" s="14" t="n">
        <x:v>707</x:v>
      </x:c>
      <x:c r="B1419" s="14" t="n">
        <x:v>18</x:v>
      </x:c>
      <x:c r="C1419" s="14" t="n">
        <x:v>76013</x:v>
      </x:c>
      <x:c r="D1419" s="2" t="str">
        <x:v>NAVY</x:v>
      </x:c>
      <x:c r="E1419" s="2" t="str">
        <x:v>240만</x:v>
      </x:c>
      <x:c r="F1419" s="2" t="str">
        <x:v>40만</x:v>
      </x:c>
      <x:c r="G1419" s="2" t="str">
        <x:v>승</x:v>
      </x:c>
      <x:c r="H1419" s="14" t="n">
        <x:v>5</x:v>
      </x:c>
      <x:c r="I1419" s="14" t="n">
        <x:v>1</x:v>
      </x:c>
      <x:c r="J1419" s="14" t="n">
        <x:v>10</x:v>
      </x:c>
      <x:c r="K1419" s="14" t="n">
        <x:v>5</x:v>
      </x:c>
      <x:c r="L1419" s="15" t="n">
        <x:f>IF(J1419=0,"해당 없음",K1419/J1419)</x:f>
        <x:v>0.5</x:v>
      </x:c>
      <x:c r="M1419" s="14" t="n">
        <x:v>9</x:v>
      </x:c>
      <x:c r="N1419" s="14" t="n">
        <x:v>8</x:v>
      </x:c>
      <x:c r="O1419" s="15" t="n">
        <x:f>IF(M1419=0,"해당 없음",N1419/M1419)</x:f>
        <x:v>0.8888888888888888</x:v>
      </x:c>
      <x:c r="P1419" s="14" t="n">
        <x:v>103</x:v>
      </x:c>
    </x:row>
    <x:row r="1420" ht="22" customHeight="1">
      <x:c r="A1420" s="14" t="n">
        <x:v>708</x:v>
      </x:c>
      <x:c r="B1420" s="14" t="n">
        <x:v>18</x:v>
      </x:c>
      <x:c r="C1420" s="14" t="n">
        <x:v>76013</x:v>
      </x:c>
      <x:c r="D1420" s="2" t="str">
        <x:v>RED</x:v>
      </x:c>
      <x:c r="E1420" s="2" t="str">
        <x:v>240만</x:v>
      </x:c>
      <x:c r="F1420" s="2" t="str">
        <x:v>40만</x:v>
      </x:c>
      <x:c r="G1420" s="2" t="str">
        <x:v>패</x:v>
      </x:c>
      <x:c r="H1420" s="14" t="n">
        <x:v>0</x:v>
      </x:c>
      <x:c r="I1420" s="14" t="n">
        <x:v>1</x:v>
      </x:c>
      <x:c r="J1420" s="14" t="n">
        <x:v>8</x:v>
      </x:c>
      <x:c r="K1420" s="14" t="n">
        <x:v>0</x:v>
      </x:c>
      <x:c r="L1420" s="15" t="n">
        <x:f>IF(J1420=0,"해당 없음",K1420/J1420)</x:f>
        <x:v>0</x:v>
      </x:c>
      <x:c r="M1420" s="14" t="n">
        <x:v>2</x:v>
      </x:c>
      <x:c r="N1420" s="14" t="n">
        <x:v>0</x:v>
      </x:c>
      <x:c r="O1420" s="15" t="n">
        <x:f>IF(M1420=0,"해당 없음",N1420/M1420)</x:f>
        <x:v>0</x:v>
      </x:c>
      <x:c r="P1420" s="14" t="n">
        <x:v>99</x:v>
      </x:c>
    </x:row>
    <x:row r="1421" ht="22" customHeight="1">
      <x:c r="A1421" s="14" t="n">
        <x:v>708</x:v>
      </x:c>
      <x:c r="B1421" s="14" t="n">
        <x:v>18</x:v>
      </x:c>
      <x:c r="C1421" s="14" t="n">
        <x:v>76013</x:v>
      </x:c>
      <x:c r="D1421" s="2" t="str">
        <x:v>NAVY</x:v>
      </x:c>
      <x:c r="E1421" s="2" t="str">
        <x:v>40만</x:v>
      </x:c>
      <x:c r="F1421" s="2" t="str">
        <x:v>240만</x:v>
      </x:c>
      <x:c r="G1421" s="2" t="str">
        <x:v>승</x:v>
      </x:c>
      <x:c r="H1421" s="14" t="n">
        <x:v>1</x:v>
      </x:c>
      <x:c r="I1421" s="14" t="n">
        <x:v>0</x:v>
      </x:c>
      <x:c r="J1421" s="14" t="n">
        <x:v>8</x:v>
      </x:c>
      <x:c r="K1421" s="14" t="n">
        <x:v>1</x:v>
      </x:c>
      <x:c r="L1421" s="15" t="n">
        <x:f>IF(J1421=0,"해당 없음",K1421/J1421)</x:f>
        <x:v>0.125</x:v>
      </x:c>
      <x:c r="M1421" s="14" t="n">
        <x:v>10</x:v>
      </x:c>
      <x:c r="N1421" s="14" t="n">
        <x:v>6</x:v>
      </x:c>
      <x:c r="O1421" s="15" t="n">
        <x:f>IF(M1421=0,"해당 없음",N1421/M1421)</x:f>
        <x:v>0.6</x:v>
      </x:c>
      <x:c r="P1421" s="14" t="n">
        <x:v>100</x:v>
      </x:c>
    </x:row>
    <x:row r="1422" ht="22" customHeight="1">
      <x:c r="A1422" s="14" t="n">
        <x:v>709</x:v>
      </x:c>
      <x:c r="B1422" s="14" t="n">
        <x:v>18</x:v>
      </x:c>
      <x:c r="C1422" s="14" t="n">
        <x:v>76014</x:v>
      </x:c>
      <x:c r="D1422" s="2" t="str">
        <x:v>RED</x:v>
      </x:c>
      <x:c r="E1422" s="2" t="str">
        <x:v>40만</x:v>
      </x:c>
      <x:c r="F1422" s="2" t="str">
        <x:v>240만</x:v>
      </x:c>
      <x:c r="G1422" s="2" t="str">
        <x:v>패</x:v>
      </x:c>
      <x:c r="H1422" s="14" t="n">
        <x:v>2</x:v>
      </x:c>
      <x:c r="I1422" s="14" t="n">
        <x:v>6</x:v>
      </x:c>
      <x:c r="J1422" s="14" t="n">
        <x:v>7</x:v>
      </x:c>
      <x:c r="K1422" s="14" t="n">
        <x:v>2</x:v>
      </x:c>
      <x:c r="L1422" s="15" t="n">
        <x:f>IF(J1422=0,"해당 없음",K1422/J1422)</x:f>
        <x:v>0.2857142857142857</x:v>
      </x:c>
      <x:c r="M1422" s="14" t="n">
        <x:v>9</x:v>
      </x:c>
      <x:c r="N1422" s="14" t="n">
        <x:v>6</x:v>
      </x:c>
      <x:c r="O1422" s="15" t="n">
        <x:f>IF(M1422=0,"해당 없음",N1422/M1422)</x:f>
        <x:v>0.6666666666666666</x:v>
      </x:c>
      <x:c r="P1422" s="14" t="n">
        <x:v>104</x:v>
      </x:c>
    </x:row>
    <x:row r="1423" ht="22" customHeight="1">
      <x:c r="A1423" s="14" t="n">
        <x:v>709</x:v>
      </x:c>
      <x:c r="B1423" s="14" t="n">
        <x:v>18</x:v>
      </x:c>
      <x:c r="C1423" s="14" t="n">
        <x:v>76014</x:v>
      </x:c>
      <x:c r="D1423" s="2" t="str">
        <x:v>NAVY</x:v>
      </x:c>
      <x:c r="E1423" s="2" t="str">
        <x:v>240만</x:v>
      </x:c>
      <x:c r="F1423" s="2" t="str">
        <x:v>40만</x:v>
      </x:c>
      <x:c r="G1423" s="2" t="str">
        <x:v>승</x:v>
      </x:c>
      <x:c r="H1423" s="14" t="n">
        <x:v>6</x:v>
      </x:c>
      <x:c r="I1423" s="14" t="n">
        <x:v>2</x:v>
      </x:c>
      <x:c r="J1423" s="14" t="n">
        <x:v>8</x:v>
      </x:c>
      <x:c r="K1423" s="14" t="n">
        <x:v>5</x:v>
      </x:c>
      <x:c r="L1423" s="15" t="n">
        <x:f>IF(J1423=0,"해당 없음",K1423/J1423)</x:f>
        <x:v>0.625</x:v>
      </x:c>
      <x:c r="M1423" s="14" t="n">
        <x:v>6</x:v>
      </x:c>
      <x:c r="N1423" s="14" t="n">
        <x:v>6</x:v>
      </x:c>
      <x:c r="O1423" s="15" t="n">
        <x:f>IF(M1423=0,"해당 없음",N1423/M1423)</x:f>
        <x:v>1</x:v>
      </x:c>
      <x:c r="P1423" s="14" t="n">
        <x:v>105</x:v>
      </x:c>
    </x:row>
    <x:row r="1424" ht="22" customHeight="1">
      <x:c r="A1424" s="14" t="n">
        <x:v>710</x:v>
      </x:c>
      <x:c r="B1424" s="14" t="n">
        <x:v>18</x:v>
      </x:c>
      <x:c r="C1424" s="14" t="n">
        <x:v>76014</x:v>
      </x:c>
      <x:c r="D1424" s="2" t="str">
        <x:v>RED</x:v>
      </x:c>
      <x:c r="E1424" s="2" t="str">
        <x:v>240만</x:v>
      </x:c>
      <x:c r="F1424" s="2" t="str">
        <x:v>40만</x:v>
      </x:c>
      <x:c r="G1424" s="2" t="str">
        <x:v>승</x:v>
      </x:c>
      <x:c r="H1424" s="14" t="n">
        <x:v>5</x:v>
      </x:c>
      <x:c r="I1424" s="14" t="n">
        <x:v>3</x:v>
      </x:c>
      <x:c r="J1424" s="14" t="n">
        <x:v>9</x:v>
      </x:c>
      <x:c r="K1424" s="14" t="n">
        <x:v>5</x:v>
      </x:c>
      <x:c r="L1424" s="15" t="n">
        <x:f>IF(J1424=0,"해당 없음",K1424/J1424)</x:f>
        <x:v>0.5555555555555556</x:v>
      </x:c>
      <x:c r="M1424" s="14" t="n">
        <x:v>9</x:v>
      </x:c>
      <x:c r="N1424" s="14" t="n">
        <x:v>6</x:v>
      </x:c>
      <x:c r="O1424" s="15" t="n">
        <x:f>IF(M1424=0,"해당 없음",N1424/M1424)</x:f>
        <x:v>0.6666666666666666</x:v>
      </x:c>
      <x:c r="P1424" s="14" t="n">
        <x:v>103</x:v>
      </x:c>
    </x:row>
    <x:row r="1425" ht="22" customHeight="1">
      <x:c r="A1425" s="14" t="n">
        <x:v>710</x:v>
      </x:c>
      <x:c r="B1425" s="14" t="n">
        <x:v>18</x:v>
      </x:c>
      <x:c r="C1425" s="14" t="n">
        <x:v>76014</x:v>
      </x:c>
      <x:c r="D1425" s="2" t="str">
        <x:v>NAVY</x:v>
      </x:c>
      <x:c r="E1425" s="2" t="str">
        <x:v>40만</x:v>
      </x:c>
      <x:c r="F1425" s="2" t="str">
        <x:v>240만</x:v>
      </x:c>
      <x:c r="G1425" s="2" t="str">
        <x:v>패</x:v>
      </x:c>
      <x:c r="H1425" s="14" t="n">
        <x:v>3</x:v>
      </x:c>
      <x:c r="I1425" s="14" t="n">
        <x:v>5</x:v>
      </x:c>
      <x:c r="J1425" s="14" t="n">
        <x:v>7</x:v>
      </x:c>
      <x:c r="K1425" s="14" t="n">
        <x:v>3</x:v>
      </x:c>
      <x:c r="L1425" s="15" t="n">
        <x:f>IF(J1425=0,"해당 없음",K1425/J1425)</x:f>
        <x:v>0.42857142857142855</x:v>
      </x:c>
      <x:c r="M1425" s="14" t="n">
        <x:v>10</x:v>
      </x:c>
      <x:c r="N1425" s="14" t="n">
        <x:v>6</x:v>
      </x:c>
      <x:c r="O1425" s="15" t="n">
        <x:f>IF(M1425=0,"해당 없음",N1425/M1425)</x:f>
        <x:v>0.6</x:v>
      </x:c>
      <x:c r="P1425" s="14" t="n">
        <x:v>104</x:v>
      </x:c>
    </x:row>
    <x:row r="1426" ht="22" customHeight="1">
      <x:c r="A1426" s="14" t="n">
        <x:v>711</x:v>
      </x:c>
      <x:c r="B1426" s="14" t="n">
        <x:v>18</x:v>
      </x:c>
      <x:c r="C1426" s="14" t="n">
        <x:v>76015</x:v>
      </x:c>
      <x:c r="D1426" s="2" t="str">
        <x:v>RED</x:v>
      </x:c>
      <x:c r="E1426" s="2" t="str">
        <x:v>40만</x:v>
      </x:c>
      <x:c r="F1426" s="2" t="str">
        <x:v>240만</x:v>
      </x:c>
      <x:c r="G1426" s="2" t="str">
        <x:v>패</x:v>
      </x:c>
      <x:c r="H1426" s="14" t="n">
        <x:v>4</x:v>
      </x:c>
      <x:c r="I1426" s="14" t="n">
        <x:v>6</x:v>
      </x:c>
      <x:c r="J1426" s="14" t="n">
        <x:v>8</x:v>
      </x:c>
      <x:c r="K1426" s="14" t="n">
        <x:v>4</x:v>
      </x:c>
      <x:c r="L1426" s="15" t="n">
        <x:f>IF(J1426=0,"해당 없음",K1426/J1426)</x:f>
        <x:v>0.5</x:v>
      </x:c>
      <x:c r="M1426" s="14" t="n">
        <x:v>7</x:v>
      </x:c>
      <x:c r="N1426" s="14" t="n">
        <x:v>5</x:v>
      </x:c>
      <x:c r="O1426" s="15" t="n">
        <x:f>IF(M1426=0,"해당 없음",N1426/M1426)</x:f>
        <x:v>0.7142857142857143</x:v>
      </x:c>
      <x:c r="P1426" s="14" t="n">
        <x:v>102</x:v>
      </x:c>
    </x:row>
    <x:row r="1427" ht="22" customHeight="1">
      <x:c r="A1427" s="14" t="n">
        <x:v>711</x:v>
      </x:c>
      <x:c r="B1427" s="14" t="n">
        <x:v>18</x:v>
      </x:c>
      <x:c r="C1427" s="14" t="n">
        <x:v>76015</x:v>
      </x:c>
      <x:c r="D1427" s="2" t="str">
        <x:v>NAVY</x:v>
      </x:c>
      <x:c r="E1427" s="2" t="str">
        <x:v>240만</x:v>
      </x:c>
      <x:c r="F1427" s="2" t="str">
        <x:v>40만</x:v>
      </x:c>
      <x:c r="G1427" s="2" t="str">
        <x:v>승</x:v>
      </x:c>
      <x:c r="H1427" s="14" t="n">
        <x:v>6</x:v>
      </x:c>
      <x:c r="I1427" s="14" t="n">
        <x:v>4</x:v>
      </x:c>
      <x:c r="J1427" s="14" t="n">
        <x:v>8</x:v>
      </x:c>
      <x:c r="K1427" s="14" t="n">
        <x:v>6</x:v>
      </x:c>
      <x:c r="L1427" s="15" t="n">
        <x:f>IF(J1427=0,"해당 없음",K1427/J1427)</x:f>
        <x:v>0.75</x:v>
      </x:c>
      <x:c r="M1427" s="14" t="n">
        <x:v>7</x:v>
      </x:c>
      <x:c r="N1427" s="14" t="n">
        <x:v>6</x:v>
      </x:c>
      <x:c r="O1427" s="15" t="n">
        <x:f>IF(M1427=0,"해당 없음",N1427/M1427)</x:f>
        <x:v>0.8571428571428571</x:v>
      </x:c>
      <x:c r="P1427" s="14" t="n">
        <x:v>105</x:v>
      </x:c>
    </x:row>
    <x:row r="1428" ht="22" customHeight="1">
      <x:c r="A1428" s="14" t="n">
        <x:v>712</x:v>
      </x:c>
      <x:c r="B1428" s="14" t="n">
        <x:v>18</x:v>
      </x:c>
      <x:c r="C1428" s="14" t="n">
        <x:v>76015</x:v>
      </x:c>
      <x:c r="D1428" s="2" t="str">
        <x:v>RED</x:v>
      </x:c>
      <x:c r="E1428" s="2" t="str">
        <x:v>240만</x:v>
      </x:c>
      <x:c r="F1428" s="2" t="str">
        <x:v>40만</x:v>
      </x:c>
      <x:c r="G1428" s="2" t="str">
        <x:v>패</x:v>
      </x:c>
      <x:c r="H1428" s="14" t="n">
        <x:v>1</x:v>
      </x:c>
      <x:c r="I1428" s="14" t="n">
        <x:v>3</x:v>
      </x:c>
      <x:c r="J1428" s="14" t="n">
        <x:v>6</x:v>
      </x:c>
      <x:c r="K1428" s="14" t="n">
        <x:v>1</x:v>
      </x:c>
      <x:c r="L1428" s="15" t="n">
        <x:f>IF(J1428=0,"해당 없음",K1428/J1428)</x:f>
        <x:v>0.16666666666666666</x:v>
      </x:c>
      <x:c r="M1428" s="14" t="n">
        <x:v>7</x:v>
      </x:c>
      <x:c r="N1428" s="14" t="n">
        <x:v>2</x:v>
      </x:c>
      <x:c r="O1428" s="15" t="n">
        <x:f>IF(M1428=0,"해당 없음",N1428/M1428)</x:f>
        <x:v>0.2857142857142857</x:v>
      </x:c>
      <x:c r="P1428" s="14" t="n">
        <x:v>102</x:v>
      </x:c>
    </x:row>
    <x:row r="1429" ht="22" customHeight="1">
      <x:c r="A1429" s="14" t="n">
        <x:v>712</x:v>
      </x:c>
      <x:c r="B1429" s="14" t="n">
        <x:v>18</x:v>
      </x:c>
      <x:c r="C1429" s="14" t="n">
        <x:v>76015</x:v>
      </x:c>
      <x:c r="D1429" s="2" t="str">
        <x:v>NAVY</x:v>
      </x:c>
      <x:c r="E1429" s="2" t="str">
        <x:v>40만</x:v>
      </x:c>
      <x:c r="F1429" s="2" t="str">
        <x:v>240만</x:v>
      </x:c>
      <x:c r="G1429" s="2" t="str">
        <x:v>승</x:v>
      </x:c>
      <x:c r="H1429" s="14" t="n">
        <x:v>3</x:v>
      </x:c>
      <x:c r="I1429" s="14" t="n">
        <x:v>1</x:v>
      </x:c>
      <x:c r="J1429" s="14" t="n">
        <x:v>16</x:v>
      </x:c>
      <x:c r="K1429" s="14" t="n">
        <x:v>3</x:v>
      </x:c>
      <x:c r="L1429" s="15" t="n">
        <x:f>IF(J1429=0,"해당 없음",K1429/J1429)</x:f>
        <x:v>0.1875</x:v>
      </x:c>
      <x:c r="M1429" s="14" t="n">
        <x:v>11</x:v>
      </x:c>
      <x:c r="N1429" s="14" t="n">
        <x:v>9</x:v>
      </x:c>
      <x:c r="O1429" s="15" t="n">
        <x:f>IF(M1429=0,"해당 없음",N1429/M1429)</x:f>
        <x:v>0.8181818181818182</x:v>
      </x:c>
      <x:c r="P1429" s="14" t="n">
        <x:v>103</x:v>
      </x:c>
    </x:row>
    <x:row r="1430" ht="22" customHeight="1">
      <x:c r="A1430" s="14" t="n">
        <x:v>713</x:v>
      </x:c>
      <x:c r="B1430" s="14" t="n">
        <x:v>18</x:v>
      </x:c>
      <x:c r="C1430" s="14" t="n">
        <x:v>76016</x:v>
      </x:c>
      <x:c r="D1430" s="2" t="str">
        <x:v>RED</x:v>
      </x:c>
      <x:c r="E1430" s="2" t="str">
        <x:v>40만</x:v>
      </x:c>
      <x:c r="F1430" s="2" t="str">
        <x:v>240만</x:v>
      </x:c>
      <x:c r="G1430" s="2" t="str">
        <x:v>승</x:v>
      </x:c>
      <x:c r="H1430" s="14" t="n">
        <x:v>3</x:v>
      </x:c>
      <x:c r="I1430" s="14" t="n">
        <x:v>2</x:v>
      </x:c>
      <x:c r="J1430" s="14" t="n">
        <x:v>10</x:v>
      </x:c>
      <x:c r="K1430" s="14" t="n">
        <x:v>3</x:v>
      </x:c>
      <x:c r="L1430" s="15" t="n">
        <x:f>IF(J1430=0,"해당 없음",K1430/J1430)</x:f>
        <x:v>0.3</x:v>
      </x:c>
      <x:c r="M1430" s="14" t="n">
        <x:v>10</x:v>
      </x:c>
      <x:c r="N1430" s="14" t="n">
        <x:v>9</x:v>
      </x:c>
      <x:c r="O1430" s="15" t="n">
        <x:f>IF(M1430=0,"해당 없음",N1430/M1430)</x:f>
        <x:v>0.9</x:v>
      </x:c>
      <x:c r="P1430" s="14" t="n">
        <x:v>103</x:v>
      </x:c>
    </x:row>
    <x:row r="1431" ht="22" customHeight="1">
      <x:c r="A1431" s="14" t="n">
        <x:v>713</x:v>
      </x:c>
      <x:c r="B1431" s="14" t="n">
        <x:v>18</x:v>
      </x:c>
      <x:c r="C1431" s="14" t="n">
        <x:v>76016</x:v>
      </x:c>
      <x:c r="D1431" s="2" t="str">
        <x:v>NAVY</x:v>
      </x:c>
      <x:c r="E1431" s="2" t="str">
        <x:v>240만</x:v>
      </x:c>
      <x:c r="F1431" s="2" t="str">
        <x:v>40만</x:v>
      </x:c>
      <x:c r="G1431" s="2" t="str">
        <x:v>패</x:v>
      </x:c>
      <x:c r="H1431" s="14" t="n">
        <x:v>2</x:v>
      </x:c>
      <x:c r="I1431" s="14" t="n">
        <x:v>3</x:v>
      </x:c>
      <x:c r="J1431" s="14" t="n">
        <x:v>9</x:v>
      </x:c>
      <x:c r="K1431" s="14" t="n">
        <x:v>2</x:v>
      </x:c>
      <x:c r="L1431" s="15" t="n">
        <x:f>IF(J1431=0,"해당 없음",K1431/J1431)</x:f>
        <x:v>0.2222222222222222</x:v>
      </x:c>
      <x:c r="M1431" s="14" t="n">
        <x:v>10</x:v>
      </x:c>
      <x:c r="N1431" s="14" t="n">
        <x:v>7</x:v>
      </x:c>
      <x:c r="O1431" s="15" t="n">
        <x:f>IF(M1431=0,"해당 없음",N1431/M1431)</x:f>
        <x:v>0.7</x:v>
      </x:c>
      <x:c r="P1431" s="14" t="n">
        <x:v>105</x:v>
      </x:c>
    </x:row>
    <x:row r="1432" ht="22" customHeight="1">
      <x:c r="A1432" s="14" t="n">
        <x:v>714</x:v>
      </x:c>
      <x:c r="B1432" s="14" t="n">
        <x:v>18</x:v>
      </x:c>
      <x:c r="C1432" s="14" t="n">
        <x:v>76016</x:v>
      </x:c>
      <x:c r="D1432" s="2" t="str">
        <x:v>RED</x:v>
      </x:c>
      <x:c r="E1432" s="2" t="str">
        <x:v>240만</x:v>
      </x:c>
      <x:c r="F1432" s="2" t="str">
        <x:v>40만</x:v>
      </x:c>
      <x:c r="G1432" s="2" t="str">
        <x:v>승</x:v>
      </x:c>
      <x:c r="H1432" s="14" t="n">
        <x:v>5</x:v>
      </x:c>
      <x:c r="I1432" s="14" t="n">
        <x:v>2</x:v>
      </x:c>
      <x:c r="J1432" s="14" t="n">
        <x:v>13</x:v>
      </x:c>
      <x:c r="K1432" s="14" t="n">
        <x:v>5</x:v>
      </x:c>
      <x:c r="L1432" s="15" t="n">
        <x:f>IF(J1432=0,"해당 없음",K1432/J1432)</x:f>
        <x:v>0.38461538461538464</x:v>
      </x:c>
      <x:c r="M1432" s="14" t="n">
        <x:v>9</x:v>
      </x:c>
      <x:c r="N1432" s="14" t="n">
        <x:v>4</x:v>
      </x:c>
      <x:c r="O1432" s="15" t="n">
        <x:f>IF(M1432=0,"해당 없음",N1432/M1432)</x:f>
        <x:v>0.4444444444444444</x:v>
      </x:c>
      <x:c r="P1432" s="14" t="n">
        <x:v>105</x:v>
      </x:c>
    </x:row>
    <x:row r="1433" ht="22" customHeight="1">
      <x:c r="A1433" s="14" t="n">
        <x:v>714</x:v>
      </x:c>
      <x:c r="B1433" s="14" t="n">
        <x:v>18</x:v>
      </x:c>
      <x:c r="C1433" s="14" t="n">
        <x:v>76016</x:v>
      </x:c>
      <x:c r="D1433" s="2" t="str">
        <x:v>NAVY</x:v>
      </x:c>
      <x:c r="E1433" s="2" t="str">
        <x:v>40만</x:v>
      </x:c>
      <x:c r="F1433" s="2" t="str">
        <x:v>240만</x:v>
      </x:c>
      <x:c r="G1433" s="2" t="str">
        <x:v>패</x:v>
      </x:c>
      <x:c r="H1433" s="14" t="n">
        <x:v>2</x:v>
      </x:c>
      <x:c r="I1433" s="14" t="n">
        <x:v>5</x:v>
      </x:c>
      <x:c r="J1433" s="14" t="n">
        <x:v>9</x:v>
      </x:c>
      <x:c r="K1433" s="14" t="n">
        <x:v>2</x:v>
      </x:c>
      <x:c r="L1433" s="15" t="n">
        <x:f>IF(J1433=0,"해당 없음",K1433/J1433)</x:f>
        <x:v>0.2222222222222222</x:v>
      </x:c>
      <x:c r="M1433" s="14" t="n">
        <x:v>8</x:v>
      </x:c>
      <x:c r="N1433" s="14" t="n">
        <x:v>7</x:v>
      </x:c>
      <x:c r="O1433" s="15" t="n">
        <x:f>IF(M1433=0,"해당 없음",N1433/M1433)</x:f>
        <x:v>0.875</x:v>
      </x:c>
      <x:c r="P1433" s="14" t="n">
        <x:v>103</x:v>
      </x:c>
    </x:row>
    <x:row r="1434" ht="22" customHeight="1">
      <x:c r="A1434" s="14" t="n">
        <x:v>715</x:v>
      </x:c>
      <x:c r="B1434" s="14" t="n">
        <x:v>18</x:v>
      </x:c>
      <x:c r="C1434" s="14" t="n">
        <x:v>76017</x:v>
      </x:c>
      <x:c r="D1434" s="2" t="str">
        <x:v>RED</x:v>
      </x:c>
      <x:c r="E1434" s="2" t="str">
        <x:v>40만</x:v>
      </x:c>
      <x:c r="F1434" s="2" t="str">
        <x:v>240만</x:v>
      </x:c>
      <x:c r="G1434" s="2" t="str">
        <x:v>패</x:v>
      </x:c>
      <x:c r="H1434" s="14" t="n">
        <x:v>1</x:v>
      </x:c>
      <x:c r="I1434" s="14" t="n">
        <x:v>4</x:v>
      </x:c>
      <x:c r="J1434" s="14" t="n">
        <x:v>8</x:v>
      </x:c>
      <x:c r="K1434" s="14" t="n">
        <x:v>1</x:v>
      </x:c>
      <x:c r="L1434" s="15" t="n">
        <x:f>IF(J1434=0,"해당 없음",K1434/J1434)</x:f>
        <x:v>0.125</x:v>
      </x:c>
      <x:c r="M1434" s="14" t="n">
        <x:v>6</x:v>
      </x:c>
      <x:c r="N1434" s="14" t="n">
        <x:v>5</x:v>
      </x:c>
      <x:c r="O1434" s="15" t="n">
        <x:f>IF(M1434=0,"해당 없음",N1434/M1434)</x:f>
        <x:v>0.8333333333333334</x:v>
      </x:c>
      <x:c r="P1434" s="14" t="n">
        <x:v>102</x:v>
      </x:c>
    </x:row>
    <x:row r="1435" ht="22" customHeight="1">
      <x:c r="A1435" s="14" t="n">
        <x:v>715</x:v>
      </x:c>
      <x:c r="B1435" s="14" t="n">
        <x:v>18</x:v>
      </x:c>
      <x:c r="C1435" s="14" t="n">
        <x:v>76017</x:v>
      </x:c>
      <x:c r="D1435" s="2" t="str">
        <x:v>NAVY</x:v>
      </x:c>
      <x:c r="E1435" s="2" t="str">
        <x:v>240만</x:v>
      </x:c>
      <x:c r="F1435" s="2" t="str">
        <x:v>40만</x:v>
      </x:c>
      <x:c r="G1435" s="2" t="str">
        <x:v>승</x:v>
      </x:c>
      <x:c r="H1435" s="14" t="n">
        <x:v>4</x:v>
      </x:c>
      <x:c r="I1435" s="14" t="n">
        <x:v>1</x:v>
      </x:c>
      <x:c r="J1435" s="14" t="n">
        <x:v>10</x:v>
      </x:c>
      <x:c r="K1435" s="14" t="n">
        <x:v>4</x:v>
      </x:c>
      <x:c r="L1435" s="15" t="n">
        <x:f>IF(J1435=0,"해당 없음",K1435/J1435)</x:f>
        <x:v>0.4</x:v>
      </x:c>
      <x:c r="M1435" s="14" t="n">
        <x:v>9</x:v>
      </x:c>
      <x:c r="N1435" s="14" t="n">
        <x:v>4</x:v>
      </x:c>
      <x:c r="O1435" s="15" t="n">
        <x:f>IF(M1435=0,"해당 없음",N1435/M1435)</x:f>
        <x:v>0.4444444444444444</x:v>
      </x:c>
      <x:c r="P1435" s="14" t="n">
        <x:v>103</x:v>
      </x:c>
    </x:row>
    <x:row r="1436" ht="22" customHeight="1">
      <x:c r="A1436" s="14" t="n">
        <x:v>716</x:v>
      </x:c>
      <x:c r="B1436" s="14" t="n">
        <x:v>18</x:v>
      </x:c>
      <x:c r="C1436" s="14" t="n">
        <x:v>76017</x:v>
      </x:c>
      <x:c r="D1436" s="2" t="str">
        <x:v>RED</x:v>
      </x:c>
      <x:c r="E1436" s="2" t="str">
        <x:v>240만</x:v>
      </x:c>
      <x:c r="F1436" s="2" t="str">
        <x:v>40만</x:v>
      </x:c>
      <x:c r="G1436" s="2" t="str">
        <x:v>승</x:v>
      </x:c>
      <x:c r="H1436" s="14" t="n">
        <x:v>3</x:v>
      </x:c>
      <x:c r="I1436" s="14" t="n">
        <x:v>1</x:v>
      </x:c>
      <x:c r="J1436" s="14" t="n">
        <x:v>8</x:v>
      </x:c>
      <x:c r="K1436" s="14" t="n">
        <x:v>3</x:v>
      </x:c>
      <x:c r="L1436" s="15" t="n">
        <x:f>IF(J1436=0,"해당 없음",K1436/J1436)</x:f>
        <x:v>0.375</x:v>
      </x:c>
      <x:c r="M1436" s="14" t="n">
        <x:v>7</x:v>
      </x:c>
      <x:c r="N1436" s="14" t="n">
        <x:v>5</x:v>
      </x:c>
      <x:c r="O1436" s="15" t="n">
        <x:f>IF(M1436=0,"해당 없음",N1436/M1436)</x:f>
        <x:v>0.7142857142857143</x:v>
      </x:c>
      <x:c r="P1436" s="14" t="n">
        <x:v>104</x:v>
      </x:c>
    </x:row>
    <x:row r="1437" ht="22" customHeight="1">
      <x:c r="A1437" s="14" t="n">
        <x:v>716</x:v>
      </x:c>
      <x:c r="B1437" s="14" t="n">
        <x:v>18</x:v>
      </x:c>
      <x:c r="C1437" s="14" t="n">
        <x:v>76017</x:v>
      </x:c>
      <x:c r="D1437" s="2" t="str">
        <x:v>NAVY</x:v>
      </x:c>
      <x:c r="E1437" s="2" t="str">
        <x:v>40만</x:v>
      </x:c>
      <x:c r="F1437" s="2" t="str">
        <x:v>240만</x:v>
      </x:c>
      <x:c r="G1437" s="2" t="str">
        <x:v>패</x:v>
      </x:c>
      <x:c r="H1437" s="14" t="n">
        <x:v>1</x:v>
      </x:c>
      <x:c r="I1437" s="14" t="n">
        <x:v>3</x:v>
      </x:c>
      <x:c r="J1437" s="14" t="n">
        <x:v>9</x:v>
      </x:c>
      <x:c r="K1437" s="14" t="n">
        <x:v>1</x:v>
      </x:c>
      <x:c r="L1437" s="15" t="n">
        <x:f>IF(J1437=0,"해당 없음",K1437/J1437)</x:f>
        <x:v>0.1111111111111111</x:v>
      </x:c>
      <x:c r="M1437" s="14" t="n">
        <x:v>9</x:v>
      </x:c>
      <x:c r="N1437" s="14" t="n">
        <x:v>6</x:v>
      </x:c>
      <x:c r="O1437" s="15" t="n">
        <x:f>IF(M1437=0,"해당 없음",N1437/M1437)</x:f>
        <x:v>0.6666666666666666</x:v>
      </x:c>
      <x:c r="P1437" s="14" t="n">
        <x:v>103</x:v>
      </x:c>
    </x:row>
    <x:row r="1438" ht="22" customHeight="1">
      <x:c r="A1438" s="14" t="n">
        <x:v>717</x:v>
      </x:c>
      <x:c r="B1438" s="14" t="n">
        <x:v>18</x:v>
      </x:c>
      <x:c r="C1438" s="14" t="n">
        <x:v>76018</x:v>
      </x:c>
      <x:c r="D1438" s="2" t="str">
        <x:v>RED</x:v>
      </x:c>
      <x:c r="E1438" s="2" t="str">
        <x:v>40만</x:v>
      </x:c>
      <x:c r="F1438" s="2" t="str">
        <x:v>240만</x:v>
      </x:c>
      <x:c r="G1438" s="2" t="str">
        <x:v>패</x:v>
      </x:c>
      <x:c r="H1438" s="14" t="n">
        <x:v>2</x:v>
      </x:c>
      <x:c r="I1438" s="14" t="n">
        <x:v>4</x:v>
      </x:c>
      <x:c r="J1438" s="14" t="n">
        <x:v>7</x:v>
      </x:c>
      <x:c r="K1438" s="14" t="n">
        <x:v>2</x:v>
      </x:c>
      <x:c r="L1438" s="15" t="n">
        <x:f>IF(J1438=0,"해당 없음",K1438/J1438)</x:f>
        <x:v>0.2857142857142857</x:v>
      </x:c>
      <x:c r="M1438" s="14" t="n">
        <x:v>6</x:v>
      </x:c>
      <x:c r="N1438" s="14" t="n">
        <x:v>5</x:v>
      </x:c>
      <x:c r="O1438" s="15" t="n">
        <x:f>IF(M1438=0,"해당 없음",N1438/M1438)</x:f>
        <x:v>0.8333333333333334</x:v>
      </x:c>
      <x:c r="P1438" s="14" t="n">
        <x:v>102</x:v>
      </x:c>
    </x:row>
    <x:row r="1439" ht="22" customHeight="1">
      <x:c r="A1439" s="14" t="n">
        <x:v>717</x:v>
      </x:c>
      <x:c r="B1439" s="14" t="n">
        <x:v>18</x:v>
      </x:c>
      <x:c r="C1439" s="14" t="n">
        <x:v>76018</x:v>
      </x:c>
      <x:c r="D1439" s="2" t="str">
        <x:v>NAVY</x:v>
      </x:c>
      <x:c r="E1439" s="2" t="str">
        <x:v>240만</x:v>
      </x:c>
      <x:c r="F1439" s="2" t="str">
        <x:v>40만</x:v>
      </x:c>
      <x:c r="G1439" s="2" t="str">
        <x:v>승</x:v>
      </x:c>
      <x:c r="H1439" s="14" t="n">
        <x:v>4</x:v>
      </x:c>
      <x:c r="I1439" s="14" t="n">
        <x:v>2</x:v>
      </x:c>
      <x:c r="J1439" s="14" t="n">
        <x:v>12</x:v>
      </x:c>
      <x:c r="K1439" s="14" t="n">
        <x:v>4</x:v>
      </x:c>
      <x:c r="L1439" s="15" t="n">
        <x:f>IF(J1439=0,"해당 없음",K1439/J1439)</x:f>
        <x:v>0.3333333333333333</x:v>
      </x:c>
      <x:c r="M1439" s="14" t="n">
        <x:v>7</x:v>
      </x:c>
      <x:c r="N1439" s="14" t="n">
        <x:v>4</x:v>
      </x:c>
      <x:c r="O1439" s="15" t="n">
        <x:f>IF(M1439=0,"해당 없음",N1439/M1439)</x:f>
        <x:v>0.5714285714285714</x:v>
      </x:c>
      <x:c r="P1439" s="14" t="n">
        <x:v>103</x:v>
      </x:c>
    </x:row>
    <x:row r="1440" ht="22" customHeight="1">
      <x:c r="A1440" s="14" t="n">
        <x:v>718</x:v>
      </x:c>
      <x:c r="B1440" s="14" t="n">
        <x:v>18</x:v>
      </x:c>
      <x:c r="C1440" s="14" t="n">
        <x:v>76018</x:v>
      </x:c>
      <x:c r="D1440" s="2" t="str">
        <x:v>RED</x:v>
      </x:c>
      <x:c r="E1440" s="2" t="str">
        <x:v>240만</x:v>
      </x:c>
      <x:c r="F1440" s="2" t="str">
        <x:v>40만</x:v>
      </x:c>
      <x:c r="G1440" s="2" t="str">
        <x:v>승</x:v>
      </x:c>
      <x:c r="H1440" s="14" t="n">
        <x:v>5</x:v>
      </x:c>
      <x:c r="I1440" s="14" t="n">
        <x:v>1</x:v>
      </x:c>
      <x:c r="J1440" s="14" t="n">
        <x:v>12</x:v>
      </x:c>
      <x:c r="K1440" s="14" t="n">
        <x:v>5</x:v>
      </x:c>
      <x:c r="L1440" s="15" t="n">
        <x:f>IF(J1440=0,"해당 없음",K1440/J1440)</x:f>
        <x:v>0.4166666666666667</x:v>
      </x:c>
      <x:c r="M1440" s="14" t="n">
        <x:v>13</x:v>
      </x:c>
      <x:c r="N1440" s="14" t="n">
        <x:v>7</x:v>
      </x:c>
      <x:c r="O1440" s="15" t="n">
        <x:f>IF(M1440=0,"해당 없음",N1440/M1440)</x:f>
        <x:v>0.5384615384615384</x:v>
      </x:c>
      <x:c r="P1440" s="14" t="n">
        <x:v>103</x:v>
      </x:c>
    </x:row>
    <x:row r="1441" ht="22" customHeight="1">
      <x:c r="A1441" s="14" t="n">
        <x:v>718</x:v>
      </x:c>
      <x:c r="B1441" s="14" t="n">
        <x:v>18</x:v>
      </x:c>
      <x:c r="C1441" s="14" t="n">
        <x:v>76018</x:v>
      </x:c>
      <x:c r="D1441" s="2" t="str">
        <x:v>NAVY</x:v>
      </x:c>
      <x:c r="E1441" s="2" t="str">
        <x:v>40만</x:v>
      </x:c>
      <x:c r="F1441" s="2" t="str">
        <x:v>240만</x:v>
      </x:c>
      <x:c r="G1441" s="2" t="str">
        <x:v>패</x:v>
      </x:c>
      <x:c r="H1441" s="14" t="n">
        <x:v>1</x:v>
      </x:c>
      <x:c r="I1441" s="14" t="n">
        <x:v>5</x:v>
      </x:c>
      <x:c r="J1441" s="14" t="n">
        <x:v>6</x:v>
      </x:c>
      <x:c r="K1441" s="14" t="n">
        <x:v>1</x:v>
      </x:c>
      <x:c r="L1441" s="15" t="n">
        <x:f>IF(J1441=0,"해당 없음",K1441/J1441)</x:f>
        <x:v>0.16666666666666666</x:v>
      </x:c>
      <x:c r="M1441" s="14" t="n">
        <x:v>11</x:v>
      </x:c>
      <x:c r="N1441" s="14" t="n">
        <x:v>6</x:v>
      </x:c>
      <x:c r="O1441" s="15" t="n">
        <x:f>IF(M1441=0,"해당 없음",N1441/M1441)</x:f>
        <x:v>0.5454545454545454</x:v>
      </x:c>
      <x:c r="P1441" s="14" t="n">
        <x:v>104</x:v>
      </x:c>
    </x:row>
    <x:row r="1442" ht="22" customHeight="1">
      <x:c r="A1442" s="14" t="n">
        <x:v>719</x:v>
      </x:c>
      <x:c r="B1442" s="14" t="n">
        <x:v>18</x:v>
      </x:c>
      <x:c r="C1442" s="14" t="n">
        <x:v>76019</x:v>
      </x:c>
      <x:c r="D1442" s="2" t="str">
        <x:v>RED</x:v>
      </x:c>
      <x:c r="E1442" s="2" t="str">
        <x:v>40만</x:v>
      </x:c>
      <x:c r="F1442" s="2" t="str">
        <x:v>240만</x:v>
      </x:c>
      <x:c r="G1442" s="2" t="str">
        <x:v>승</x:v>
      </x:c>
      <x:c r="H1442" s="14" t="n">
        <x:v>3</x:v>
      </x:c>
      <x:c r="I1442" s="14" t="n">
        <x:v>2</x:v>
      </x:c>
      <x:c r="J1442" s="14" t="n">
        <x:v>9</x:v>
      </x:c>
      <x:c r="K1442" s="14" t="n">
        <x:v>3</x:v>
      </x:c>
      <x:c r="L1442" s="15" t="n">
        <x:f>IF(J1442=0,"해당 없음",K1442/J1442)</x:f>
        <x:v>0.3333333333333333</x:v>
      </x:c>
      <x:c r="M1442" s="14" t="n">
        <x:v>11</x:v>
      </x:c>
      <x:c r="N1442" s="14" t="n">
        <x:v>7</x:v>
      </x:c>
      <x:c r="O1442" s="15" t="n">
        <x:f>IF(M1442=0,"해당 없음",N1442/M1442)</x:f>
        <x:v>0.6363636363636364</x:v>
      </x:c>
      <x:c r="P1442" s="14" t="n">
        <x:v>104</x:v>
      </x:c>
    </x:row>
    <x:row r="1443" ht="22" customHeight="1">
      <x:c r="A1443" s="14" t="n">
        <x:v>719</x:v>
      </x:c>
      <x:c r="B1443" s="14" t="n">
        <x:v>18</x:v>
      </x:c>
      <x:c r="C1443" s="14" t="n">
        <x:v>76019</x:v>
      </x:c>
      <x:c r="D1443" s="2" t="str">
        <x:v>NAVY</x:v>
      </x:c>
      <x:c r="E1443" s="2" t="str">
        <x:v>240만</x:v>
      </x:c>
      <x:c r="F1443" s="2" t="str">
        <x:v>40만</x:v>
      </x:c>
      <x:c r="G1443" s="2" t="str">
        <x:v>패</x:v>
      </x:c>
      <x:c r="H1443" s="14" t="n">
        <x:v>2</x:v>
      </x:c>
      <x:c r="I1443" s="14" t="n">
        <x:v>3</x:v>
      </x:c>
      <x:c r="J1443" s="14" t="n">
        <x:v>8</x:v>
      </x:c>
      <x:c r="K1443" s="14" t="n">
        <x:v>2</x:v>
      </x:c>
      <x:c r="L1443" s="15" t="n">
        <x:f>IF(J1443=0,"해당 없음",K1443/J1443)</x:f>
        <x:v>0.25</x:v>
      </x:c>
      <x:c r="M1443" s="14" t="n">
        <x:v>11</x:v>
      </x:c>
      <x:c r="N1443" s="14" t="n">
        <x:v>7</x:v>
      </x:c>
      <x:c r="O1443" s="15" t="n">
        <x:f>IF(M1443=0,"해당 없음",N1443/M1443)</x:f>
        <x:v>0.6363636363636364</x:v>
      </x:c>
      <x:c r="P1443" s="14" t="n">
        <x:v>105</x:v>
      </x:c>
    </x:row>
    <x:row r="1444" ht="22" customHeight="1">
      <x:c r="A1444" s="14" t="n">
        <x:v>720</x:v>
      </x:c>
      <x:c r="B1444" s="14" t="n">
        <x:v>18</x:v>
      </x:c>
      <x:c r="C1444" s="14" t="n">
        <x:v>76019</x:v>
      </x:c>
      <x:c r="D1444" s="2" t="str">
        <x:v>RED</x:v>
      </x:c>
      <x:c r="E1444" s="2" t="str">
        <x:v>240만</x:v>
      </x:c>
      <x:c r="F1444" s="2" t="str">
        <x:v>40만</x:v>
      </x:c>
      <x:c r="G1444" s="2" t="str">
        <x:v>승</x:v>
      </x:c>
      <x:c r="H1444" s="14" t="n">
        <x:v>6</x:v>
      </x:c>
      <x:c r="I1444" s="14" t="n">
        <x:v>1</x:v>
      </x:c>
      <x:c r="J1444" s="14" t="n">
        <x:v>12</x:v>
      </x:c>
      <x:c r="K1444" s="14" t="n">
        <x:v>6</x:v>
      </x:c>
      <x:c r="L1444" s="15" t="n">
        <x:f>IF(J1444=0,"해당 없음",K1444/J1444)</x:f>
        <x:v>0.5</x:v>
      </x:c>
      <x:c r="M1444" s="14" t="n">
        <x:v>12</x:v>
      </x:c>
      <x:c r="N1444" s="14" t="n">
        <x:v>12</x:v>
      </x:c>
      <x:c r="O1444" s="15" t="n">
        <x:f>IF(M1444=0,"해당 없음",N1444/M1444)</x:f>
        <x:v>1</x:v>
      </x:c>
      <x:c r="P1444" s="14" t="n">
        <x:v>105</x:v>
      </x:c>
    </x:row>
    <x:row r="1445" ht="22" customHeight="1">
      <x:c r="A1445" s="14" t="n">
        <x:v>720</x:v>
      </x:c>
      <x:c r="B1445" s="14" t="n">
        <x:v>18</x:v>
      </x:c>
      <x:c r="C1445" s="14" t="n">
        <x:v>76019</x:v>
      </x:c>
      <x:c r="D1445" s="2" t="str">
        <x:v>NAVY</x:v>
      </x:c>
      <x:c r="E1445" s="2" t="str">
        <x:v>40만</x:v>
      </x:c>
      <x:c r="F1445" s="2" t="str">
        <x:v>240만</x:v>
      </x:c>
      <x:c r="G1445" s="2" t="str">
        <x:v>패</x:v>
      </x:c>
      <x:c r="H1445" s="14" t="n">
        <x:v>1</x:v>
      </x:c>
      <x:c r="I1445" s="14" t="n">
        <x:v>6</x:v>
      </x:c>
      <x:c r="J1445" s="14" t="n">
        <x:v>4</x:v>
      </x:c>
      <x:c r="K1445" s="14" t="n">
        <x:v>1</x:v>
      </x:c>
      <x:c r="L1445" s="15" t="n">
        <x:f>IF(J1445=0,"해당 없음",K1445/J1445)</x:f>
        <x:v>0.25</x:v>
      </x:c>
      <x:c r="M1445" s="14" t="n">
        <x:v>10</x:v>
      </x:c>
      <x:c r="N1445" s="14" t="n">
        <x:v>9</x:v>
      </x:c>
      <x:c r="O1445" s="15" t="n">
        <x:f>IF(M1445=0,"해당 없음",N1445/M1445)</x:f>
        <x:v>0.9</x:v>
      </x:c>
      <x:c r="P1445" s="14" t="n">
        <x:v>104</x:v>
      </x:c>
    </x:row>
    <x:row r="1446" ht="22" customHeight="1">
      <x:c r="A1446" s="14" t="n">
        <x:v>721</x:v>
      </x:c>
      <x:c r="B1446" s="14" t="n">
        <x:v>19</x:v>
      </x:c>
      <x:c r="C1446" s="14" t="n">
        <x:v>76000</x:v>
      </x:c>
      <x:c r="D1446" s="2" t="str">
        <x:v>RED</x:v>
      </x:c>
      <x:c r="E1446" s="2" t="str">
        <x:v>80만</x:v>
      </x:c>
      <x:c r="F1446" s="2" t="str">
        <x:v>120만</x:v>
      </x:c>
      <x:c r="G1446" s="2" t="str">
        <x:v>패</x:v>
      </x:c>
      <x:c r="H1446" s="14" t="n">
        <x:v>2</x:v>
      </x:c>
      <x:c r="I1446" s="14" t="n">
        <x:v>5</x:v>
      </x:c>
      <x:c r="J1446" s="14" t="n">
        <x:v>8</x:v>
      </x:c>
      <x:c r="K1446" s="14" t="n">
        <x:v>2</x:v>
      </x:c>
      <x:c r="L1446" s="15" t="n">
        <x:f>IF(J1446=0,"해당 없음",K1446/J1446)</x:f>
        <x:v>0.25</x:v>
      </x:c>
      <x:c r="M1446" s="14" t="n">
        <x:v>5</x:v>
      </x:c>
      <x:c r="N1446" s="14" t="n">
        <x:v>2</x:v>
      </x:c>
      <x:c r="O1446" s="15" t="n">
        <x:f>IF(M1446=0,"해당 없음",N1446/M1446)</x:f>
        <x:v>0.4</x:v>
      </x:c>
      <x:c r="P1446" s="14" t="n">
        <x:v>103</x:v>
      </x:c>
    </x:row>
    <x:row r="1447" ht="22" customHeight="1">
      <x:c r="A1447" s="14" t="n">
        <x:v>721</x:v>
      </x:c>
      <x:c r="B1447" s="14" t="n">
        <x:v>19</x:v>
      </x:c>
      <x:c r="C1447" s="14" t="n">
        <x:v>76000</x:v>
      </x:c>
      <x:c r="D1447" s="2" t="str">
        <x:v>NAVY</x:v>
      </x:c>
      <x:c r="E1447" s="2" t="str">
        <x:v>120만</x:v>
      </x:c>
      <x:c r="F1447" s="2" t="str">
        <x:v>80만</x:v>
      </x:c>
      <x:c r="G1447" s="2" t="str">
        <x:v>승</x:v>
      </x:c>
      <x:c r="H1447" s="14" t="n">
        <x:v>5</x:v>
      </x:c>
      <x:c r="I1447" s="14" t="n">
        <x:v>2</x:v>
      </x:c>
      <x:c r="J1447" s="14" t="n">
        <x:v>13</x:v>
      </x:c>
      <x:c r="K1447" s="14" t="n">
        <x:v>5</x:v>
      </x:c>
      <x:c r="L1447" s="15" t="n">
        <x:f>IF(J1447=0,"해당 없음",K1447/J1447)</x:f>
        <x:v>0.38461538461538464</x:v>
      </x:c>
      <x:c r="M1447" s="14" t="n">
        <x:v>8</x:v>
      </x:c>
      <x:c r="N1447" s="14" t="n">
        <x:v>6</x:v>
      </x:c>
      <x:c r="O1447" s="15" t="n">
        <x:f>IF(M1447=0,"해당 없음",N1447/M1447)</x:f>
        <x:v>0.75</x:v>
      </x:c>
      <x:c r="P1447" s="14" t="n">
        <x:v>103</x:v>
      </x:c>
    </x:row>
    <x:row r="1448" ht="22" customHeight="1">
      <x:c r="A1448" s="14" t="n">
        <x:v>722</x:v>
      </x:c>
      <x:c r="B1448" s="14" t="n">
        <x:v>19</x:v>
      </x:c>
      <x:c r="C1448" s="14" t="n">
        <x:v>76000</x:v>
      </x:c>
      <x:c r="D1448" s="2" t="str">
        <x:v>RED</x:v>
      </x:c>
      <x:c r="E1448" s="2" t="str">
        <x:v>120만</x:v>
      </x:c>
      <x:c r="F1448" s="2" t="str">
        <x:v>80만</x:v>
      </x:c>
      <x:c r="G1448" s="2" t="str">
        <x:v>승</x:v>
      </x:c>
      <x:c r="H1448" s="14" t="n">
        <x:v>2</x:v>
      </x:c>
      <x:c r="I1448" s="14" t="n">
        <x:v>1</x:v>
      </x:c>
      <x:c r="J1448" s="14" t="n">
        <x:v>12</x:v>
      </x:c>
      <x:c r="K1448" s="14" t="n">
        <x:v>2</x:v>
      </x:c>
      <x:c r="L1448" s="15" t="n">
        <x:f>IF(J1448=0,"해당 없음",K1448/J1448)</x:f>
        <x:v>0.16666666666666666</x:v>
      </x:c>
      <x:c r="M1448" s="14" t="n">
        <x:v>7</x:v>
      </x:c>
      <x:c r="N1448" s="14" t="n">
        <x:v>3</x:v>
      </x:c>
      <x:c r="O1448" s="15" t="n">
        <x:f>IF(M1448=0,"해당 없음",N1448/M1448)</x:f>
        <x:v>0.42857142857142855</x:v>
      </x:c>
      <x:c r="P1448" s="14" t="n">
        <x:v>102</x:v>
      </x:c>
    </x:row>
    <x:row r="1449" ht="22" customHeight="1">
      <x:c r="A1449" s="14" t="n">
        <x:v>722</x:v>
      </x:c>
      <x:c r="B1449" s="14" t="n">
        <x:v>19</x:v>
      </x:c>
      <x:c r="C1449" s="14" t="n">
        <x:v>76000</x:v>
      </x:c>
      <x:c r="D1449" s="2" t="str">
        <x:v>NAVY</x:v>
      </x:c>
      <x:c r="E1449" s="2" t="str">
        <x:v>80만</x:v>
      </x:c>
      <x:c r="F1449" s="2" t="str">
        <x:v>120만</x:v>
      </x:c>
      <x:c r="G1449" s="2" t="str">
        <x:v>패</x:v>
      </x:c>
      <x:c r="H1449" s="14" t="n">
        <x:v>1</x:v>
      </x:c>
      <x:c r="I1449" s="14" t="n">
        <x:v>2</x:v>
      </x:c>
      <x:c r="J1449" s="14" t="n">
        <x:v>5</x:v>
      </x:c>
      <x:c r="K1449" s="14" t="n">
        <x:v>1</x:v>
      </x:c>
      <x:c r="L1449" s="15" t="n">
        <x:f>IF(J1449=0,"해당 없음",K1449/J1449)</x:f>
        <x:v>0.2</x:v>
      </x:c>
      <x:c r="M1449" s="14" t="n">
        <x:v>8</x:v>
      </x:c>
      <x:c r="N1449" s="14" t="n">
        <x:v>5</x:v>
      </x:c>
      <x:c r="O1449" s="15" t="n">
        <x:f>IF(M1449=0,"해당 없음",N1449/M1449)</x:f>
        <x:v>0.625</x:v>
      </x:c>
      <x:c r="P1449" s="14" t="n">
        <x:v>102</x:v>
      </x:c>
    </x:row>
    <x:row r="1450" ht="22" customHeight="1">
      <x:c r="A1450" s="14" t="n">
        <x:v>723</x:v>
      </x:c>
      <x:c r="B1450" s="14" t="n">
        <x:v>19</x:v>
      </x:c>
      <x:c r="C1450" s="14" t="n">
        <x:v>76001</x:v>
      </x:c>
      <x:c r="D1450" s="2" t="str">
        <x:v>RED</x:v>
      </x:c>
      <x:c r="E1450" s="2" t="str">
        <x:v>80만</x:v>
      </x:c>
      <x:c r="F1450" s="2" t="str">
        <x:v>120만</x:v>
      </x:c>
      <x:c r="G1450" s="2" t="str">
        <x:v>패</x:v>
      </x:c>
      <x:c r="H1450" s="14" t="n">
        <x:v>1</x:v>
      </x:c>
      <x:c r="I1450" s="14" t="n">
        <x:v>4</x:v>
      </x:c>
      <x:c r="J1450" s="14" t="n">
        <x:v>9</x:v>
      </x:c>
      <x:c r="K1450" s="14" t="n">
        <x:v>1</x:v>
      </x:c>
      <x:c r="L1450" s="15" t="n">
        <x:f>IF(J1450=0,"해당 없음",K1450/J1450)</x:f>
        <x:v>0.1111111111111111</x:v>
      </x:c>
      <x:c r="M1450" s="14" t="n">
        <x:v>7</x:v>
      </x:c>
      <x:c r="N1450" s="14" t="n">
        <x:v>7</x:v>
      </x:c>
      <x:c r="O1450" s="15" t="n">
        <x:f>IF(M1450=0,"해당 없음",N1450/M1450)</x:f>
        <x:v>1</x:v>
      </x:c>
      <x:c r="P1450" s="14" t="n">
        <x:v>104</x:v>
      </x:c>
    </x:row>
    <x:row r="1451" ht="22" customHeight="1">
      <x:c r="A1451" s="14" t="n">
        <x:v>723</x:v>
      </x:c>
      <x:c r="B1451" s="14" t="n">
        <x:v>19</x:v>
      </x:c>
      <x:c r="C1451" s="14" t="n">
        <x:v>76001</x:v>
      </x:c>
      <x:c r="D1451" s="2" t="str">
        <x:v>NAVY</x:v>
      </x:c>
      <x:c r="E1451" s="2" t="str">
        <x:v>120만</x:v>
      </x:c>
      <x:c r="F1451" s="2" t="str">
        <x:v>80만</x:v>
      </x:c>
      <x:c r="G1451" s="2" t="str">
        <x:v>승</x:v>
      </x:c>
      <x:c r="H1451" s="14" t="n">
        <x:v>4</x:v>
      </x:c>
      <x:c r="I1451" s="14" t="n">
        <x:v>1</x:v>
      </x:c>
      <x:c r="J1451" s="14" t="n">
        <x:v>6</x:v>
      </x:c>
      <x:c r="K1451" s="14" t="n">
        <x:v>4</x:v>
      </x:c>
      <x:c r="L1451" s="15" t="n">
        <x:f>IF(J1451=0,"해당 없음",K1451/J1451)</x:f>
        <x:v>0.6666666666666666</x:v>
      </x:c>
      <x:c r="M1451" s="14" t="n">
        <x:v>9</x:v>
      </x:c>
      <x:c r="N1451" s="14" t="n">
        <x:v>7</x:v>
      </x:c>
      <x:c r="O1451" s="15" t="n">
        <x:f>IF(M1451=0,"해당 없음",N1451/M1451)</x:f>
        <x:v>0.7777777777777778</x:v>
      </x:c>
      <x:c r="P1451" s="14" t="n">
        <x:v>104</x:v>
      </x:c>
    </x:row>
    <x:row r="1452" ht="22" customHeight="1">
      <x:c r="A1452" s="14" t="n">
        <x:v>724</x:v>
      </x:c>
      <x:c r="B1452" s="14" t="n">
        <x:v>19</x:v>
      </x:c>
      <x:c r="C1452" s="14" t="n">
        <x:v>76001</x:v>
      </x:c>
      <x:c r="D1452" s="2" t="str">
        <x:v>RED</x:v>
      </x:c>
      <x:c r="E1452" s="2" t="str">
        <x:v>120만</x:v>
      </x:c>
      <x:c r="F1452" s="2" t="str">
        <x:v>80만</x:v>
      </x:c>
      <x:c r="G1452" s="2" t="str">
        <x:v>승</x:v>
      </x:c>
      <x:c r="H1452" s="14" t="n">
        <x:v>2</x:v>
      </x:c>
      <x:c r="I1452" s="14" t="n">
        <x:v>1</x:v>
      </x:c>
      <x:c r="J1452" s="14" t="n">
        <x:v>8</x:v>
      </x:c>
      <x:c r="K1452" s="14" t="n">
        <x:v>2</x:v>
      </x:c>
      <x:c r="L1452" s="15" t="n">
        <x:f>IF(J1452=0,"해당 없음",K1452/J1452)</x:f>
        <x:v>0.25</x:v>
      </x:c>
      <x:c r="M1452" s="14" t="n">
        <x:v>10</x:v>
      </x:c>
      <x:c r="N1452" s="14" t="n">
        <x:v>7</x:v>
      </x:c>
      <x:c r="O1452" s="15" t="n">
        <x:f>IF(M1452=0,"해당 없음",N1452/M1452)</x:f>
        <x:v>0.7</x:v>
      </x:c>
      <x:c r="P1452" s="14" t="n">
        <x:v>101</x:v>
      </x:c>
    </x:row>
    <x:row r="1453" ht="22" customHeight="1">
      <x:c r="A1453" s="14" t="n">
        <x:v>724</x:v>
      </x:c>
      <x:c r="B1453" s="14" t="n">
        <x:v>19</x:v>
      </x:c>
      <x:c r="C1453" s="14" t="n">
        <x:v>76001</x:v>
      </x:c>
      <x:c r="D1453" s="2" t="str">
        <x:v>NAVY</x:v>
      </x:c>
      <x:c r="E1453" s="2" t="str">
        <x:v>80만</x:v>
      </x:c>
      <x:c r="F1453" s="2" t="str">
        <x:v>120만</x:v>
      </x:c>
      <x:c r="G1453" s="2" t="str">
        <x:v>패</x:v>
      </x:c>
      <x:c r="H1453" s="14" t="n">
        <x:v>1</x:v>
      </x:c>
      <x:c r="I1453" s="14" t="n">
        <x:v>2</x:v>
      </x:c>
      <x:c r="J1453" s="14" t="n">
        <x:v>4</x:v>
      </x:c>
      <x:c r="K1453" s="14" t="n">
        <x:v>1</x:v>
      </x:c>
      <x:c r="L1453" s="15" t="n">
        <x:f>IF(J1453=0,"해당 없음",K1453/J1453)</x:f>
        <x:v>0.25</x:v>
      </x:c>
      <x:c r="M1453" s="14" t="n">
        <x:v>7</x:v>
      </x:c>
      <x:c r="N1453" s="14" t="n">
        <x:v>5</x:v>
      </x:c>
      <x:c r="O1453" s="15" t="n">
        <x:f>IF(M1453=0,"해당 없음",N1453/M1453)</x:f>
        <x:v>0.7142857142857143</x:v>
      </x:c>
      <x:c r="P1453" s="14" t="n">
        <x:v>102</x:v>
      </x:c>
    </x:row>
    <x:row r="1454" ht="22" customHeight="1">
      <x:c r="A1454" s="14" t="n">
        <x:v>725</x:v>
      </x:c>
      <x:c r="B1454" s="14" t="n">
        <x:v>19</x:v>
      </x:c>
      <x:c r="C1454" s="14" t="n">
        <x:v>76002</x:v>
      </x:c>
      <x:c r="D1454" s="2" t="str">
        <x:v>RED</x:v>
      </x:c>
      <x:c r="E1454" s="2" t="str">
        <x:v>80만</x:v>
      </x:c>
      <x:c r="F1454" s="2" t="str">
        <x:v>120만</x:v>
      </x:c>
      <x:c r="G1454" s="2" t="str">
        <x:v>패</x:v>
      </x:c>
      <x:c r="H1454" s="14" t="n">
        <x:v>1</x:v>
      </x:c>
      <x:c r="I1454" s="14" t="n">
        <x:v>3</x:v>
      </x:c>
      <x:c r="J1454" s="14" t="n">
        <x:v>8</x:v>
      </x:c>
      <x:c r="K1454" s="14" t="n">
        <x:v>1</x:v>
      </x:c>
      <x:c r="L1454" s="15" t="n">
        <x:f>IF(J1454=0,"해당 없음",K1454/J1454)</x:f>
        <x:v>0.125</x:v>
      </x:c>
      <x:c r="M1454" s="14" t="n">
        <x:v>9</x:v>
      </x:c>
      <x:c r="N1454" s="14" t="n">
        <x:v>6</x:v>
      </x:c>
      <x:c r="O1454" s="15" t="n">
        <x:f>IF(M1454=0,"해당 없음",N1454/M1454)</x:f>
        <x:v>0.6666666666666666</x:v>
      </x:c>
      <x:c r="P1454" s="14" t="n">
        <x:v>102</x:v>
      </x:c>
    </x:row>
    <x:row r="1455" ht="22" customHeight="1">
      <x:c r="A1455" s="14" t="n">
        <x:v>725</x:v>
      </x:c>
      <x:c r="B1455" s="14" t="n">
        <x:v>19</x:v>
      </x:c>
      <x:c r="C1455" s="14" t="n">
        <x:v>76002</x:v>
      </x:c>
      <x:c r="D1455" s="2" t="str">
        <x:v>NAVY</x:v>
      </x:c>
      <x:c r="E1455" s="2" t="str">
        <x:v>120만</x:v>
      </x:c>
      <x:c r="F1455" s="2" t="str">
        <x:v>80만</x:v>
      </x:c>
      <x:c r="G1455" s="2" t="str">
        <x:v>승</x:v>
      </x:c>
      <x:c r="H1455" s="14" t="n">
        <x:v>3</x:v>
      </x:c>
      <x:c r="I1455" s="14" t="n">
        <x:v>1</x:v>
      </x:c>
      <x:c r="J1455" s="14" t="n">
        <x:v>7</x:v>
      </x:c>
      <x:c r="K1455" s="14" t="n">
        <x:v>3</x:v>
      </x:c>
      <x:c r="L1455" s="15" t="n">
        <x:f>IF(J1455=0,"해당 없음",K1455/J1455)</x:f>
        <x:v>0.42857142857142855</x:v>
      </x:c>
      <x:c r="M1455" s="14" t="n">
        <x:v>12</x:v>
      </x:c>
      <x:c r="N1455" s="14" t="n">
        <x:v>7</x:v>
      </x:c>
      <x:c r="O1455" s="15" t="n">
        <x:f>IF(M1455=0,"해당 없음",N1455/M1455)</x:f>
        <x:v>0.5833333333333334</x:v>
      </x:c>
      <x:c r="P1455" s="14" t="n">
        <x:v>102</x:v>
      </x:c>
    </x:row>
    <x:row r="1456" ht="22" customHeight="1">
      <x:c r="A1456" s="14" t="n">
        <x:v>726</x:v>
      </x:c>
      <x:c r="B1456" s="14" t="n">
        <x:v>19</x:v>
      </x:c>
      <x:c r="C1456" s="14" t="n">
        <x:v>76002</x:v>
      </x:c>
      <x:c r="D1456" s="2" t="str">
        <x:v>RED</x:v>
      </x:c>
      <x:c r="E1456" s="2" t="str">
        <x:v>120만</x:v>
      </x:c>
      <x:c r="F1456" s="2" t="str">
        <x:v>80만</x:v>
      </x:c>
      <x:c r="G1456" s="2" t="str">
        <x:v>패</x:v>
      </x:c>
      <x:c r="H1456" s="14" t="n">
        <x:v>1</x:v>
      </x:c>
      <x:c r="I1456" s="14" t="n">
        <x:v>4</x:v>
      </x:c>
      <x:c r="J1456" s="14" t="n">
        <x:v>4</x:v>
      </x:c>
      <x:c r="K1456" s="14" t="n">
        <x:v>1</x:v>
      </x:c>
      <x:c r="L1456" s="15" t="n">
        <x:f>IF(J1456=0,"해당 없음",K1456/J1456)</x:f>
        <x:v>0.25</x:v>
      </x:c>
      <x:c r="M1456" s="14" t="n">
        <x:v>4</x:v>
      </x:c>
      <x:c r="N1456" s="14" t="n">
        <x:v>3</x:v>
      </x:c>
      <x:c r="O1456" s="15" t="n">
        <x:f>IF(M1456=0,"해당 없음",N1456/M1456)</x:f>
        <x:v>0.75</x:v>
      </x:c>
      <x:c r="P1456" s="14" t="n">
        <x:v>102</x:v>
      </x:c>
    </x:row>
    <x:row r="1457" ht="22" customHeight="1">
      <x:c r="A1457" s="14" t="n">
        <x:v>726</x:v>
      </x:c>
      <x:c r="B1457" s="14" t="n">
        <x:v>19</x:v>
      </x:c>
      <x:c r="C1457" s="14" t="n">
        <x:v>76002</x:v>
      </x:c>
      <x:c r="D1457" s="2" t="str">
        <x:v>NAVY</x:v>
      </x:c>
      <x:c r="E1457" s="2" t="str">
        <x:v>80만</x:v>
      </x:c>
      <x:c r="F1457" s="2" t="str">
        <x:v>120만</x:v>
      </x:c>
      <x:c r="G1457" s="2" t="str">
        <x:v>승</x:v>
      </x:c>
      <x:c r="H1457" s="14" t="n">
        <x:v>4</x:v>
      </x:c>
      <x:c r="I1457" s="14" t="n">
        <x:v>1</x:v>
      </x:c>
      <x:c r="J1457" s="14" t="n">
        <x:v>8</x:v>
      </x:c>
      <x:c r="K1457" s="14" t="n">
        <x:v>4</x:v>
      </x:c>
      <x:c r="L1457" s="15" t="n">
        <x:f>IF(J1457=0,"해당 없음",K1457/J1457)</x:f>
        <x:v>0.5</x:v>
      </x:c>
      <x:c r="M1457" s="14" t="n">
        <x:v>9</x:v>
      </x:c>
      <x:c r="N1457" s="14" t="n">
        <x:v>6</x:v>
      </x:c>
      <x:c r="O1457" s="15" t="n">
        <x:f>IF(M1457=0,"해당 없음",N1457/M1457)</x:f>
        <x:v>0.6666666666666666</x:v>
      </x:c>
      <x:c r="P1457" s="14" t="n">
        <x:v>105</x:v>
      </x:c>
    </x:row>
    <x:row r="1458" ht="22" customHeight="1">
      <x:c r="A1458" s="14" t="n">
        <x:v>727</x:v>
      </x:c>
      <x:c r="B1458" s="14" t="n">
        <x:v>19</x:v>
      </x:c>
      <x:c r="C1458" s="14" t="n">
        <x:v>76003</x:v>
      </x:c>
      <x:c r="D1458" s="2" t="str">
        <x:v>RED</x:v>
      </x:c>
      <x:c r="E1458" s="2" t="str">
        <x:v>80만</x:v>
      </x:c>
      <x:c r="F1458" s="2" t="str">
        <x:v>120만</x:v>
      </x:c>
      <x:c r="G1458" s="2" t="str">
        <x:v>패</x:v>
      </x:c>
      <x:c r="H1458" s="14" t="n">
        <x:v>1</x:v>
      </x:c>
      <x:c r="I1458" s="14" t="n">
        <x:v>3</x:v>
      </x:c>
      <x:c r="J1458" s="14" t="n">
        <x:v>10</x:v>
      </x:c>
      <x:c r="K1458" s="14" t="n">
        <x:v>1</x:v>
      </x:c>
      <x:c r="L1458" s="15" t="n">
        <x:f>IF(J1458=0,"해당 없음",K1458/J1458)</x:f>
        <x:v>0.1</x:v>
      </x:c>
      <x:c r="M1458" s="14" t="n">
        <x:v>6</x:v>
      </x:c>
      <x:c r="N1458" s="14" t="n">
        <x:v>5</x:v>
      </x:c>
      <x:c r="O1458" s="15" t="n">
        <x:f>IF(M1458=0,"해당 없음",N1458/M1458)</x:f>
        <x:v>0.8333333333333334</x:v>
      </x:c>
      <x:c r="P1458" s="14" t="n">
        <x:v>102</x:v>
      </x:c>
    </x:row>
    <x:row r="1459" ht="22" customHeight="1">
      <x:c r="A1459" s="14" t="n">
        <x:v>727</x:v>
      </x:c>
      <x:c r="B1459" s="14" t="n">
        <x:v>19</x:v>
      </x:c>
      <x:c r="C1459" s="14" t="n">
        <x:v>76003</x:v>
      </x:c>
      <x:c r="D1459" s="2" t="str">
        <x:v>NAVY</x:v>
      </x:c>
      <x:c r="E1459" s="2" t="str">
        <x:v>120만</x:v>
      </x:c>
      <x:c r="F1459" s="2" t="str">
        <x:v>80만</x:v>
      </x:c>
      <x:c r="G1459" s="2" t="str">
        <x:v>승</x:v>
      </x:c>
      <x:c r="H1459" s="14" t="n">
        <x:v>3</x:v>
      </x:c>
      <x:c r="I1459" s="14" t="n">
        <x:v>1</x:v>
      </x:c>
      <x:c r="J1459" s="14" t="n">
        <x:v>6</x:v>
      </x:c>
      <x:c r="K1459" s="14" t="n">
        <x:v>3</x:v>
      </x:c>
      <x:c r="L1459" s="15" t="n">
        <x:f>IF(J1459=0,"해당 없음",K1459/J1459)</x:f>
        <x:v>0.5</x:v>
      </x:c>
      <x:c r="M1459" s="14" t="n">
        <x:v>14</x:v>
      </x:c>
      <x:c r="N1459" s="14" t="n">
        <x:v>10</x:v>
      </x:c>
      <x:c r="O1459" s="15" t="n">
        <x:f>IF(M1459=0,"해당 없음",N1459/M1459)</x:f>
        <x:v>0.7142857142857143</x:v>
      </x:c>
      <x:c r="P1459" s="14" t="n">
        <x:v>103</x:v>
      </x:c>
    </x:row>
    <x:row r="1460" ht="22" customHeight="1">
      <x:c r="A1460" s="14" t="n">
        <x:v>728</x:v>
      </x:c>
      <x:c r="B1460" s="14" t="n">
        <x:v>19</x:v>
      </x:c>
      <x:c r="C1460" s="14" t="n">
        <x:v>76003</x:v>
      </x:c>
      <x:c r="D1460" s="2" t="str">
        <x:v>RED</x:v>
      </x:c>
      <x:c r="E1460" s="2" t="str">
        <x:v>120만</x:v>
      </x:c>
      <x:c r="F1460" s="2" t="str">
        <x:v>80만</x:v>
      </x:c>
      <x:c r="G1460" s="2" t="str">
        <x:v>패</x:v>
      </x:c>
      <x:c r="H1460" s="14" t="n">
        <x:v>0</x:v>
      </x:c>
      <x:c r="I1460" s="14" t="n">
        <x:v>2</x:v>
      </x:c>
      <x:c r="J1460" s="14" t="n">
        <x:v>7</x:v>
      </x:c>
      <x:c r="K1460" s="14" t="n">
        <x:v>0</x:v>
      </x:c>
      <x:c r="L1460" s="15" t="n">
        <x:f>IF(J1460=0,"해당 없음",K1460/J1460)</x:f>
        <x:v>0</x:v>
      </x:c>
      <x:c r="M1460" s="14" t="n">
        <x:v>6</x:v>
      </x:c>
      <x:c r="N1460" s="14" t="n">
        <x:v>5</x:v>
      </x:c>
      <x:c r="O1460" s="15" t="n">
        <x:f>IF(M1460=0,"해당 없음",N1460/M1460)</x:f>
        <x:v>0.8333333333333334</x:v>
      </x:c>
      <x:c r="P1460" s="14" t="n">
        <x:v>101</x:v>
      </x:c>
    </x:row>
    <x:row r="1461" ht="22" customHeight="1">
      <x:c r="A1461" s="14" t="n">
        <x:v>728</x:v>
      </x:c>
      <x:c r="B1461" s="14" t="n">
        <x:v>19</x:v>
      </x:c>
      <x:c r="C1461" s="14" t="n">
        <x:v>76003</x:v>
      </x:c>
      <x:c r="D1461" s="2" t="str">
        <x:v>NAVY</x:v>
      </x:c>
      <x:c r="E1461" s="2" t="str">
        <x:v>80만</x:v>
      </x:c>
      <x:c r="F1461" s="2" t="str">
        <x:v>120만</x:v>
      </x:c>
      <x:c r="G1461" s="2" t="str">
        <x:v>승</x:v>
      </x:c>
      <x:c r="H1461" s="14" t="n">
        <x:v>2</x:v>
      </x:c>
      <x:c r="I1461" s="14" t="n">
        <x:v>0</x:v>
      </x:c>
      <x:c r="J1461" s="14" t="n">
        <x:v>10</x:v>
      </x:c>
      <x:c r="K1461" s="14" t="n">
        <x:v>2</x:v>
      </x:c>
      <x:c r="L1461" s="15" t="n">
        <x:f>IF(J1461=0,"해당 없음",K1461/J1461)</x:f>
        <x:v>0.2</x:v>
      </x:c>
      <x:c r="M1461" s="14" t="n">
        <x:v>10</x:v>
      </x:c>
      <x:c r="N1461" s="14" t="n">
        <x:v>9</x:v>
      </x:c>
      <x:c r="O1461" s="15" t="n">
        <x:f>IF(M1461=0,"해당 없음",N1461/M1461)</x:f>
        <x:v>0.9</x:v>
      </x:c>
      <x:c r="P1461" s="14" t="n">
        <x:v>101</x:v>
      </x:c>
    </x:row>
    <x:row r="1462" ht="22" customHeight="1">
      <x:c r="A1462" s="14" t="n">
        <x:v>729</x:v>
      </x:c>
      <x:c r="B1462" s="14" t="n">
        <x:v>19</x:v>
      </x:c>
      <x:c r="C1462" s="14" t="n">
        <x:v>76004</x:v>
      </x:c>
      <x:c r="D1462" s="2" t="str">
        <x:v>RED</x:v>
      </x:c>
      <x:c r="E1462" s="2" t="str">
        <x:v>80만</x:v>
      </x:c>
      <x:c r="F1462" s="2" t="str">
        <x:v>120만</x:v>
      </x:c>
      <x:c r="G1462" s="2" t="str">
        <x:v>패</x:v>
      </x:c>
      <x:c r="H1462" s="14" t="n">
        <x:v>3</x:v>
      </x:c>
      <x:c r="I1462" s="14" t="n">
        <x:v>4</x:v>
      </x:c>
      <x:c r="J1462" s="14" t="n">
        <x:v>9</x:v>
      </x:c>
      <x:c r="K1462" s="14" t="n">
        <x:v>3</x:v>
      </x:c>
      <x:c r="L1462" s="15" t="n">
        <x:f>IF(J1462=0,"해당 없음",K1462/J1462)</x:f>
        <x:v>0.3333333333333333</x:v>
      </x:c>
      <x:c r="M1462" s="14" t="n">
        <x:v>8</x:v>
      </x:c>
      <x:c r="N1462" s="14" t="n">
        <x:v>5</x:v>
      </x:c>
      <x:c r="O1462" s="15" t="n">
        <x:f>IF(M1462=0,"해당 없음",N1462/M1462)</x:f>
        <x:v>0.625</x:v>
      </x:c>
      <x:c r="P1462" s="14" t="n">
        <x:v>105</x:v>
      </x:c>
    </x:row>
    <x:row r="1463" ht="22" customHeight="1">
      <x:c r="A1463" s="14" t="n">
        <x:v>729</x:v>
      </x:c>
      <x:c r="B1463" s="14" t="n">
        <x:v>19</x:v>
      </x:c>
      <x:c r="C1463" s="14" t="n">
        <x:v>76004</x:v>
      </x:c>
      <x:c r="D1463" s="2" t="str">
        <x:v>NAVY</x:v>
      </x:c>
      <x:c r="E1463" s="2" t="str">
        <x:v>120만</x:v>
      </x:c>
      <x:c r="F1463" s="2" t="str">
        <x:v>80만</x:v>
      </x:c>
      <x:c r="G1463" s="2" t="str">
        <x:v>승</x:v>
      </x:c>
      <x:c r="H1463" s="14" t="n">
        <x:v>4</x:v>
      </x:c>
      <x:c r="I1463" s="14" t="n">
        <x:v>3</x:v>
      </x:c>
      <x:c r="J1463" s="14" t="n">
        <x:v>9</x:v>
      </x:c>
      <x:c r="K1463" s="14" t="n">
        <x:v>4</x:v>
      </x:c>
      <x:c r="L1463" s="15" t="n">
        <x:f>IF(J1463=0,"해당 없음",K1463/J1463)</x:f>
        <x:v>0.4444444444444444</x:v>
      </x:c>
      <x:c r="M1463" s="14" t="n">
        <x:v>9</x:v>
      </x:c>
      <x:c r="N1463" s="14" t="n">
        <x:v>8</x:v>
      </x:c>
      <x:c r="O1463" s="15" t="n">
        <x:f>IF(M1463=0,"해당 없음",N1463/M1463)</x:f>
        <x:v>0.8888888888888888</x:v>
      </x:c>
      <x:c r="P1463" s="14" t="n">
        <x:v>104</x:v>
      </x:c>
    </x:row>
    <x:row r="1464" ht="22" customHeight="1">
      <x:c r="A1464" s="14" t="n">
        <x:v>730</x:v>
      </x:c>
      <x:c r="B1464" s="14" t="n">
        <x:v>19</x:v>
      </x:c>
      <x:c r="C1464" s="14" t="n">
        <x:v>76004</x:v>
      </x:c>
      <x:c r="D1464" s="2" t="str">
        <x:v>RED</x:v>
      </x:c>
      <x:c r="E1464" s="2" t="str">
        <x:v>120만</x:v>
      </x:c>
      <x:c r="F1464" s="2" t="str">
        <x:v>80만</x:v>
      </x:c>
      <x:c r="G1464" s="2" t="str">
        <x:v>승</x:v>
      </x:c>
      <x:c r="H1464" s="14" t="n">
        <x:v>3</x:v>
      </x:c>
      <x:c r="I1464" s="14" t="n">
        <x:v>1</x:v>
      </x:c>
      <x:c r="J1464" s="14" t="n">
        <x:v>7</x:v>
      </x:c>
      <x:c r="K1464" s="14" t="n">
        <x:v>3</x:v>
      </x:c>
      <x:c r="L1464" s="15" t="n">
        <x:f>IF(J1464=0,"해당 없음",K1464/J1464)</x:f>
        <x:v>0.42857142857142855</x:v>
      </x:c>
      <x:c r="M1464" s="14" t="n">
        <x:v>9</x:v>
      </x:c>
      <x:c r="N1464" s="14" t="n">
        <x:v>4</x:v>
      </x:c>
      <x:c r="O1464" s="15" t="n">
        <x:f>IF(M1464=0,"해당 없음",N1464/M1464)</x:f>
        <x:v>0.4444444444444444</x:v>
      </x:c>
      <x:c r="P1464" s="14" t="n">
        <x:v>103</x:v>
      </x:c>
    </x:row>
    <x:row r="1465" ht="22" customHeight="1">
      <x:c r="A1465" s="14" t="n">
        <x:v>730</x:v>
      </x:c>
      <x:c r="B1465" s="14" t="n">
        <x:v>19</x:v>
      </x:c>
      <x:c r="C1465" s="14" t="n">
        <x:v>76004</x:v>
      </x:c>
      <x:c r="D1465" s="2" t="str">
        <x:v>NAVY</x:v>
      </x:c>
      <x:c r="E1465" s="2" t="str">
        <x:v>80만</x:v>
      </x:c>
      <x:c r="F1465" s="2" t="str">
        <x:v>120만</x:v>
      </x:c>
      <x:c r="G1465" s="2" t="str">
        <x:v>패</x:v>
      </x:c>
      <x:c r="H1465" s="14" t="n">
        <x:v>1</x:v>
      </x:c>
      <x:c r="I1465" s="14" t="n">
        <x:v>3</x:v>
      </x:c>
      <x:c r="J1465" s="14" t="n">
        <x:v>7</x:v>
      </x:c>
      <x:c r="K1465" s="14" t="n">
        <x:v>1</x:v>
      </x:c>
      <x:c r="L1465" s="15" t="n">
        <x:f>IF(J1465=0,"해당 없음",K1465/J1465)</x:f>
        <x:v>0.14285714285714285</x:v>
      </x:c>
      <x:c r="M1465" s="14" t="n">
        <x:v>10</x:v>
      </x:c>
      <x:c r="N1465" s="14" t="n">
        <x:v>8</x:v>
      </x:c>
      <x:c r="O1465" s="15" t="n">
        <x:f>IF(M1465=0,"해당 없음",N1465/M1465)</x:f>
        <x:v>0.8</x:v>
      </x:c>
      <x:c r="P1465" s="14" t="n">
        <x:v>102</x:v>
      </x:c>
    </x:row>
    <x:row r="1466" ht="22" customHeight="1">
      <x:c r="A1466" s="14" t="n">
        <x:v>731</x:v>
      </x:c>
      <x:c r="B1466" s="14" t="n">
        <x:v>19</x:v>
      </x:c>
      <x:c r="C1466" s="14" t="n">
        <x:v>76005</x:v>
      </x:c>
      <x:c r="D1466" s="2" t="str">
        <x:v>RED</x:v>
      </x:c>
      <x:c r="E1466" s="2" t="str">
        <x:v>80만</x:v>
      </x:c>
      <x:c r="F1466" s="2" t="str">
        <x:v>120만</x:v>
      </x:c>
      <x:c r="G1466" s="2" t="str">
        <x:v>패</x:v>
      </x:c>
      <x:c r="H1466" s="14" t="n">
        <x:v>1</x:v>
      </x:c>
      <x:c r="I1466" s="14" t="n">
        <x:v>3</x:v>
      </x:c>
      <x:c r="J1466" s="14" t="n">
        <x:v>8</x:v>
      </x:c>
      <x:c r="K1466" s="14" t="n">
        <x:v>1</x:v>
      </x:c>
      <x:c r="L1466" s="15" t="n">
        <x:f>IF(J1466=0,"해당 없음",K1466/J1466)</x:f>
        <x:v>0.125</x:v>
      </x:c>
      <x:c r="M1466" s="14" t="n">
        <x:v>10</x:v>
      </x:c>
      <x:c r="N1466" s="14" t="n">
        <x:v>8</x:v>
      </x:c>
      <x:c r="O1466" s="15" t="n">
        <x:f>IF(M1466=0,"해당 없음",N1466/M1466)</x:f>
        <x:v>0.8</x:v>
      </x:c>
      <x:c r="P1466" s="14" t="n">
        <x:v>102</x:v>
      </x:c>
    </x:row>
    <x:row r="1467" ht="22" customHeight="1">
      <x:c r="A1467" s="14" t="n">
        <x:v>731</x:v>
      </x:c>
      <x:c r="B1467" s="14" t="n">
        <x:v>19</x:v>
      </x:c>
      <x:c r="C1467" s="14" t="n">
        <x:v>76005</x:v>
      </x:c>
      <x:c r="D1467" s="2" t="str">
        <x:v>NAVY</x:v>
      </x:c>
      <x:c r="E1467" s="2" t="str">
        <x:v>120만</x:v>
      </x:c>
      <x:c r="F1467" s="2" t="str">
        <x:v>80만</x:v>
      </x:c>
      <x:c r="G1467" s="2" t="str">
        <x:v>승</x:v>
      </x:c>
      <x:c r="H1467" s="14" t="n">
        <x:v>3</x:v>
      </x:c>
      <x:c r="I1467" s="14" t="n">
        <x:v>1</x:v>
      </x:c>
      <x:c r="J1467" s="14" t="n">
        <x:v>10</x:v>
      </x:c>
      <x:c r="K1467" s="14" t="n">
        <x:v>3</x:v>
      </x:c>
      <x:c r="L1467" s="15" t="n">
        <x:f>IF(J1467=0,"해당 없음",K1467/J1467)</x:f>
        <x:v>0.3</x:v>
      </x:c>
      <x:c r="M1467" s="14" t="n">
        <x:v>11</x:v>
      </x:c>
      <x:c r="N1467" s="14" t="n">
        <x:v>8</x:v>
      </x:c>
      <x:c r="O1467" s="15" t="n">
        <x:f>IF(M1467=0,"해당 없음",N1467/M1467)</x:f>
        <x:v>0.7272727272727273</x:v>
      </x:c>
      <x:c r="P1467" s="14" t="n">
        <x:v>103</x:v>
      </x:c>
    </x:row>
    <x:row r="1468" ht="22" customHeight="1">
      <x:c r="A1468" s="14" t="n">
        <x:v>732</x:v>
      </x:c>
      <x:c r="B1468" s="14" t="n">
        <x:v>19</x:v>
      </x:c>
      <x:c r="C1468" s="14" t="n">
        <x:v>76005</x:v>
      </x:c>
      <x:c r="D1468" s="2" t="str">
        <x:v>RED</x:v>
      </x:c>
      <x:c r="E1468" s="2" t="str">
        <x:v>120만</x:v>
      </x:c>
      <x:c r="F1468" s="2" t="str">
        <x:v>80만</x:v>
      </x:c>
      <x:c r="G1468" s="2" t="str">
        <x:v>승</x:v>
      </x:c>
      <x:c r="H1468" s="14" t="n">
        <x:v>4</x:v>
      </x:c>
      <x:c r="I1468" s="14" t="n">
        <x:v>1</x:v>
      </x:c>
      <x:c r="J1468" s="14" t="n">
        <x:v>9</x:v>
      </x:c>
      <x:c r="K1468" s="14" t="n">
        <x:v>4</x:v>
      </x:c>
      <x:c r="L1468" s="15" t="n">
        <x:f>IF(J1468=0,"해당 없음",K1468/J1468)</x:f>
        <x:v>0.4444444444444444</x:v>
      </x:c>
      <x:c r="M1468" s="14" t="n">
        <x:v>11</x:v>
      </x:c>
      <x:c r="N1468" s="14" t="n">
        <x:v>7</x:v>
      </x:c>
      <x:c r="O1468" s="15" t="n">
        <x:f>IF(M1468=0,"해당 없음",N1468/M1468)</x:f>
        <x:v>0.6363636363636364</x:v>
      </x:c>
      <x:c r="P1468" s="14" t="n">
        <x:v>102</x:v>
      </x:c>
    </x:row>
    <x:row r="1469" ht="22" customHeight="1">
      <x:c r="A1469" s="14" t="n">
        <x:v>732</x:v>
      </x:c>
      <x:c r="B1469" s="14" t="n">
        <x:v>19</x:v>
      </x:c>
      <x:c r="C1469" s="14" t="n">
        <x:v>76005</x:v>
      </x:c>
      <x:c r="D1469" s="2" t="str">
        <x:v>NAVY</x:v>
      </x:c>
      <x:c r="E1469" s="2" t="str">
        <x:v>80만</x:v>
      </x:c>
      <x:c r="F1469" s="2" t="str">
        <x:v>120만</x:v>
      </x:c>
      <x:c r="G1469" s="2" t="str">
        <x:v>패</x:v>
      </x:c>
      <x:c r="H1469" s="14" t="n">
        <x:v>1</x:v>
      </x:c>
      <x:c r="I1469" s="14" t="n">
        <x:v>4</x:v>
      </x:c>
      <x:c r="J1469" s="14" t="n">
        <x:v>8</x:v>
      </x:c>
      <x:c r="K1469" s="14" t="n">
        <x:v>1</x:v>
      </x:c>
      <x:c r="L1469" s="15" t="n">
        <x:f>IF(J1469=0,"해당 없음",K1469/J1469)</x:f>
        <x:v>0.125</x:v>
      </x:c>
      <x:c r="M1469" s="14" t="n">
        <x:v>8</x:v>
      </x:c>
      <x:c r="N1469" s="14" t="n">
        <x:v>7</x:v>
      </x:c>
      <x:c r="O1469" s="15" t="n">
        <x:f>IF(M1469=0,"해당 없음",N1469/M1469)</x:f>
        <x:v>0.875</x:v>
      </x:c>
      <x:c r="P1469" s="14" t="n">
        <x:v>105</x:v>
      </x:c>
    </x:row>
    <x:row r="1470" ht="22" customHeight="1">
      <x:c r="A1470" s="14" t="n">
        <x:v>733</x:v>
      </x:c>
      <x:c r="B1470" s="14" t="n">
        <x:v>19</x:v>
      </x:c>
      <x:c r="C1470" s="14" t="n">
        <x:v>76006</x:v>
      </x:c>
      <x:c r="D1470" s="2" t="str">
        <x:v>RED</x:v>
      </x:c>
      <x:c r="E1470" s="2" t="str">
        <x:v>80만</x:v>
      </x:c>
      <x:c r="F1470" s="2" t="str">
        <x:v>120만</x:v>
      </x:c>
      <x:c r="G1470" s="2" t="str">
        <x:v>무</x:v>
      </x:c>
      <x:c r="H1470" s="14" t="n">
        <x:v>2</x:v>
      </x:c>
      <x:c r="I1470" s="14" t="n">
        <x:v>2</x:v>
      </x:c>
      <x:c r="J1470" s="14" t="n">
        <x:v>3</x:v>
      </x:c>
      <x:c r="K1470" s="14" t="n">
        <x:v>2</x:v>
      </x:c>
      <x:c r="L1470" s="15" t="n">
        <x:f>IF(J1470=0,"해당 없음",K1470/J1470)</x:f>
        <x:v>0.6666666666666666</x:v>
      </x:c>
      <x:c r="M1470" s="14" t="n">
        <x:v>11</x:v>
      </x:c>
      <x:c r="N1470" s="14" t="n">
        <x:v>7</x:v>
      </x:c>
      <x:c r="O1470" s="15" t="n">
        <x:f>IF(M1470=0,"해당 없음",N1470/M1470)</x:f>
        <x:v>0.6363636363636364</x:v>
      </x:c>
      <x:c r="P1470" s="14" t="n">
        <x:v>102</x:v>
      </x:c>
    </x:row>
    <x:row r="1471" ht="22" customHeight="1">
      <x:c r="A1471" s="14" t="n">
        <x:v>733</x:v>
      </x:c>
      <x:c r="B1471" s="14" t="n">
        <x:v>19</x:v>
      </x:c>
      <x:c r="C1471" s="14" t="n">
        <x:v>76006</x:v>
      </x:c>
      <x:c r="D1471" s="2" t="str">
        <x:v>NAVY</x:v>
      </x:c>
      <x:c r="E1471" s="2" t="str">
        <x:v>120만</x:v>
      </x:c>
      <x:c r="F1471" s="2" t="str">
        <x:v>80만</x:v>
      </x:c>
      <x:c r="G1471" s="2" t="str">
        <x:v>무</x:v>
      </x:c>
      <x:c r="H1471" s="14" t="n">
        <x:v>2</x:v>
      </x:c>
      <x:c r="I1471" s="14" t="n">
        <x:v>2</x:v>
      </x:c>
      <x:c r="J1471" s="14" t="n">
        <x:v>11</x:v>
      </x:c>
      <x:c r="K1471" s="14" t="n">
        <x:v>2</x:v>
      </x:c>
      <x:c r="L1471" s="15" t="n">
        <x:f>IF(J1471=0,"해당 없음",K1471/J1471)</x:f>
        <x:v>0.18181818181818182</x:v>
      </x:c>
      <x:c r="M1471" s="14" t="n">
        <x:v>5</x:v>
      </x:c>
      <x:c r="N1471" s="14" t="n">
        <x:v>3</x:v>
      </x:c>
      <x:c r="O1471" s="15" t="n">
        <x:f>IF(M1471=0,"해당 없음",N1471/M1471)</x:f>
        <x:v>0.6</x:v>
      </x:c>
      <x:c r="P1471" s="14" t="n">
        <x:v>103</x:v>
      </x:c>
    </x:row>
    <x:row r="1472" ht="22" customHeight="1">
      <x:c r="A1472" s="14" t="n">
        <x:v>734</x:v>
      </x:c>
      <x:c r="B1472" s="14" t="n">
        <x:v>19</x:v>
      </x:c>
      <x:c r="C1472" s="14" t="n">
        <x:v>76006</x:v>
      </x:c>
      <x:c r="D1472" s="2" t="str">
        <x:v>RED</x:v>
      </x:c>
      <x:c r="E1472" s="2" t="str">
        <x:v>120만</x:v>
      </x:c>
      <x:c r="F1472" s="2" t="str">
        <x:v>80만</x:v>
      </x:c>
      <x:c r="G1472" s="2" t="str">
        <x:v>승</x:v>
      </x:c>
      <x:c r="H1472" s="14" t="n">
        <x:v>2</x:v>
      </x:c>
      <x:c r="I1472" s="14" t="n">
        <x:v>1</x:v>
      </x:c>
      <x:c r="J1472" s="14" t="n">
        <x:v>7</x:v>
      </x:c>
      <x:c r="K1472" s="14" t="n">
        <x:v>2</x:v>
      </x:c>
      <x:c r="L1472" s="15" t="n">
        <x:f>IF(J1472=0,"해당 없음",K1472/J1472)</x:f>
        <x:v>0.2857142857142857</x:v>
      </x:c>
      <x:c r="M1472" s="14" t="n">
        <x:v>6</x:v>
      </x:c>
      <x:c r="N1472" s="14" t="n">
        <x:v>4</x:v>
      </x:c>
      <x:c r="O1472" s="15" t="n">
        <x:f>IF(M1472=0,"해당 없음",N1472/M1472)</x:f>
        <x:v>0.6666666666666666</x:v>
      </x:c>
      <x:c r="P1472" s="14" t="n">
        <x:v>102</x:v>
      </x:c>
    </x:row>
    <x:row r="1473" ht="22" customHeight="1">
      <x:c r="A1473" s="14" t="n">
        <x:v>734</x:v>
      </x:c>
      <x:c r="B1473" s="14" t="n">
        <x:v>19</x:v>
      </x:c>
      <x:c r="C1473" s="14" t="n">
        <x:v>76006</x:v>
      </x:c>
      <x:c r="D1473" s="2" t="str">
        <x:v>NAVY</x:v>
      </x:c>
      <x:c r="E1473" s="2" t="str">
        <x:v>80만</x:v>
      </x:c>
      <x:c r="F1473" s="2" t="str">
        <x:v>120만</x:v>
      </x:c>
      <x:c r="G1473" s="2" t="str">
        <x:v>패</x:v>
      </x:c>
      <x:c r="H1473" s="14" t="n">
        <x:v>1</x:v>
      </x:c>
      <x:c r="I1473" s="14" t="n">
        <x:v>2</x:v>
      </x:c>
      <x:c r="J1473" s="14" t="n">
        <x:v>4</x:v>
      </x:c>
      <x:c r="K1473" s="14" t="n">
        <x:v>1</x:v>
      </x:c>
      <x:c r="L1473" s="15" t="n">
        <x:f>IF(J1473=0,"해당 없음",K1473/J1473)</x:f>
        <x:v>0.25</x:v>
      </x:c>
      <x:c r="M1473" s="14" t="n">
        <x:v>9</x:v>
      </x:c>
      <x:c r="N1473" s="14" t="n">
        <x:v>7</x:v>
      </x:c>
      <x:c r="O1473" s="15" t="n">
        <x:f>IF(M1473=0,"해당 없음",N1473/M1473)</x:f>
        <x:v>0.7777777777777778</x:v>
      </x:c>
      <x:c r="P1473" s="14" t="n">
        <x:v>102</x:v>
      </x:c>
    </x:row>
    <x:row r="1474" ht="22" customHeight="1">
      <x:c r="A1474" s="14" t="n">
        <x:v>735</x:v>
      </x:c>
      <x:c r="B1474" s="14" t="n">
        <x:v>19</x:v>
      </x:c>
      <x:c r="C1474" s="14" t="n">
        <x:v>76007</x:v>
      </x:c>
      <x:c r="D1474" s="2" t="str">
        <x:v>RED</x:v>
      </x:c>
      <x:c r="E1474" s="2" t="str">
        <x:v>80만</x:v>
      </x:c>
      <x:c r="F1474" s="2" t="str">
        <x:v>120만</x:v>
      </x:c>
      <x:c r="G1474" s="2" t="str">
        <x:v>패</x:v>
      </x:c>
      <x:c r="H1474" s="14" t="n">
        <x:v>2</x:v>
      </x:c>
      <x:c r="I1474" s="14" t="n">
        <x:v>3</x:v>
      </x:c>
      <x:c r="J1474" s="14" t="n">
        <x:v>10</x:v>
      </x:c>
      <x:c r="K1474" s="14" t="n">
        <x:v>2</x:v>
      </x:c>
      <x:c r="L1474" s="15" t="n">
        <x:f>IF(J1474=0,"해당 없음",K1474/J1474)</x:f>
        <x:v>0.2</x:v>
      </x:c>
      <x:c r="M1474" s="14" t="n">
        <x:v>9</x:v>
      </x:c>
      <x:c r="N1474" s="14" t="n">
        <x:v>6</x:v>
      </x:c>
      <x:c r="O1474" s="15" t="n">
        <x:f>IF(M1474=0,"해당 없음",N1474/M1474)</x:f>
        <x:v>0.6666666666666666</x:v>
      </x:c>
      <x:c r="P1474" s="14" t="n">
        <x:v>103</x:v>
      </x:c>
    </x:row>
    <x:row r="1475" ht="22" customHeight="1">
      <x:c r="A1475" s="14" t="n">
        <x:v>735</x:v>
      </x:c>
      <x:c r="B1475" s="14" t="n">
        <x:v>19</x:v>
      </x:c>
      <x:c r="C1475" s="14" t="n">
        <x:v>76007</x:v>
      </x:c>
      <x:c r="D1475" s="2" t="str">
        <x:v>NAVY</x:v>
      </x:c>
      <x:c r="E1475" s="2" t="str">
        <x:v>120만</x:v>
      </x:c>
      <x:c r="F1475" s="2" t="str">
        <x:v>80만</x:v>
      </x:c>
      <x:c r="G1475" s="2" t="str">
        <x:v>승</x:v>
      </x:c>
      <x:c r="H1475" s="14" t="n">
        <x:v>3</x:v>
      </x:c>
      <x:c r="I1475" s="14" t="n">
        <x:v>2</x:v>
      </x:c>
      <x:c r="J1475" s="14" t="n">
        <x:v>9</x:v>
      </x:c>
      <x:c r="K1475" s="14" t="n">
        <x:v>3</x:v>
      </x:c>
      <x:c r="L1475" s="15" t="n">
        <x:f>IF(J1475=0,"해당 없음",K1475/J1475)</x:f>
        <x:v>0.3333333333333333</x:v>
      </x:c>
      <x:c r="M1475" s="14" t="n">
        <x:v>8</x:v>
      </x:c>
      <x:c r="N1475" s="14" t="n">
        <x:v>8</x:v>
      </x:c>
      <x:c r="O1475" s="15" t="n">
        <x:f>IF(M1475=0,"해당 없음",N1475/M1475)</x:f>
        <x:v>1</x:v>
      </x:c>
      <x:c r="P1475" s="14" t="n">
        <x:v>103</x:v>
      </x:c>
    </x:row>
    <x:row r="1476" ht="22" customHeight="1">
      <x:c r="A1476" s="14" t="n">
        <x:v>736</x:v>
      </x:c>
      <x:c r="B1476" s="14" t="n">
        <x:v>19</x:v>
      </x:c>
      <x:c r="C1476" s="14" t="n">
        <x:v>76007</x:v>
      </x:c>
      <x:c r="D1476" s="2" t="str">
        <x:v>RED</x:v>
      </x:c>
      <x:c r="E1476" s="2" t="str">
        <x:v>120만</x:v>
      </x:c>
      <x:c r="F1476" s="2" t="str">
        <x:v>80만</x:v>
      </x:c>
      <x:c r="G1476" s="2" t="str">
        <x:v>패</x:v>
      </x:c>
      <x:c r="H1476" s="14" t="n">
        <x:v>2</x:v>
      </x:c>
      <x:c r="I1476" s="14" t="n">
        <x:v>3</x:v>
      </x:c>
      <x:c r="J1476" s="14" t="n">
        <x:v>11</x:v>
      </x:c>
      <x:c r="K1476" s="14" t="n">
        <x:v>2</x:v>
      </x:c>
      <x:c r="L1476" s="15" t="n">
        <x:f>IF(J1476=0,"해당 없음",K1476/J1476)</x:f>
        <x:v>0.18181818181818182</x:v>
      </x:c>
      <x:c r="M1476" s="14" t="n">
        <x:v>7</x:v>
      </x:c>
      <x:c r="N1476" s="14" t="n">
        <x:v>5</x:v>
      </x:c>
      <x:c r="O1476" s="15" t="n">
        <x:f>IF(M1476=0,"해당 없음",N1476/M1476)</x:f>
        <x:v>0.7142857142857143</x:v>
      </x:c>
      <x:c r="P1476" s="14" t="n">
        <x:v>104</x:v>
      </x:c>
    </x:row>
    <x:row r="1477" ht="22" customHeight="1">
      <x:c r="A1477" s="14" t="n">
        <x:v>736</x:v>
      </x:c>
      <x:c r="B1477" s="14" t="n">
        <x:v>19</x:v>
      </x:c>
      <x:c r="C1477" s="14" t="n">
        <x:v>76007</x:v>
      </x:c>
      <x:c r="D1477" s="2" t="str">
        <x:v>NAVY</x:v>
      </x:c>
      <x:c r="E1477" s="2" t="str">
        <x:v>80만</x:v>
      </x:c>
      <x:c r="F1477" s="2" t="str">
        <x:v>120만</x:v>
      </x:c>
      <x:c r="G1477" s="2" t="str">
        <x:v>승</x:v>
      </x:c>
      <x:c r="H1477" s="14" t="n">
        <x:v>3</x:v>
      </x:c>
      <x:c r="I1477" s="14" t="n">
        <x:v>2</x:v>
      </x:c>
      <x:c r="J1477" s="14" t="n">
        <x:v>7</x:v>
      </x:c>
      <x:c r="K1477" s="14" t="n">
        <x:v>3</x:v>
      </x:c>
      <x:c r="L1477" s="15" t="n">
        <x:f>IF(J1477=0,"해당 없음",K1477/J1477)</x:f>
        <x:v>0.42857142857142855</x:v>
      </x:c>
      <x:c r="M1477" s="14" t="n">
        <x:v>9</x:v>
      </x:c>
      <x:c r="N1477" s="14" t="n">
        <x:v>6</x:v>
      </x:c>
      <x:c r="O1477" s="15" t="n">
        <x:f>IF(M1477=0,"해당 없음",N1477/M1477)</x:f>
        <x:v>0.6666666666666666</x:v>
      </x:c>
      <x:c r="P1477" s="14" t="n">
        <x:v>102</x:v>
      </x:c>
    </x:row>
    <x:row r="1478" ht="22" customHeight="1">
      <x:c r="A1478" s="14" t="n">
        <x:v>737</x:v>
      </x:c>
      <x:c r="B1478" s="14" t="n">
        <x:v>19</x:v>
      </x:c>
      <x:c r="C1478" s="14" t="n">
        <x:v>76008</x:v>
      </x:c>
      <x:c r="D1478" s="2" t="str">
        <x:v>RED</x:v>
      </x:c>
      <x:c r="E1478" s="2" t="str">
        <x:v>80만</x:v>
      </x:c>
      <x:c r="F1478" s="2" t="str">
        <x:v>120만</x:v>
      </x:c>
      <x:c r="G1478" s="2" t="str">
        <x:v>승</x:v>
      </x:c>
      <x:c r="H1478" s="14" t="n">
        <x:v>2</x:v>
      </x:c>
      <x:c r="I1478" s="14" t="n">
        <x:v>1</x:v>
      </x:c>
      <x:c r="J1478" s="14" t="n">
        <x:v>9</x:v>
      </x:c>
      <x:c r="K1478" s="14" t="n">
        <x:v>2</x:v>
      </x:c>
      <x:c r="L1478" s="15" t="n">
        <x:f>IF(J1478=0,"해당 없음",K1478/J1478)</x:f>
        <x:v>0.2222222222222222</x:v>
      </x:c>
      <x:c r="M1478" s="14" t="n">
        <x:v>10</x:v>
      </x:c>
      <x:c r="N1478" s="14" t="n">
        <x:v>10</x:v>
      </x:c>
      <x:c r="O1478" s="15" t="n">
        <x:f>IF(M1478=0,"해당 없음",N1478/M1478)</x:f>
        <x:v>1</x:v>
      </x:c>
      <x:c r="P1478" s="14" t="n">
        <x:v>102</x:v>
      </x:c>
    </x:row>
    <x:row r="1479" ht="22" customHeight="1">
      <x:c r="A1479" s="14" t="n">
        <x:v>737</x:v>
      </x:c>
      <x:c r="B1479" s="14" t="n">
        <x:v>19</x:v>
      </x:c>
      <x:c r="C1479" s="14" t="n">
        <x:v>76008</x:v>
      </x:c>
      <x:c r="D1479" s="2" t="str">
        <x:v>NAVY</x:v>
      </x:c>
      <x:c r="E1479" s="2" t="str">
        <x:v>120만</x:v>
      </x:c>
      <x:c r="F1479" s="2" t="str">
        <x:v>80만</x:v>
      </x:c>
      <x:c r="G1479" s="2" t="str">
        <x:v>패</x:v>
      </x:c>
      <x:c r="H1479" s="14" t="n">
        <x:v>1</x:v>
      </x:c>
      <x:c r="I1479" s="14" t="n">
        <x:v>2</x:v>
      </x:c>
      <x:c r="J1479" s="14" t="n">
        <x:v>7</x:v>
      </x:c>
      <x:c r="K1479" s="14" t="n">
        <x:v>1</x:v>
      </x:c>
      <x:c r="L1479" s="15" t="n">
        <x:f>IF(J1479=0,"해당 없음",K1479/J1479)</x:f>
        <x:v>0.14285714285714285</x:v>
      </x:c>
      <x:c r="M1479" s="14" t="n">
        <x:v>10</x:v>
      </x:c>
      <x:c r="N1479" s="14" t="n">
        <x:v>8</x:v>
      </x:c>
      <x:c r="O1479" s="15" t="n">
        <x:f>IF(M1479=0,"해당 없음",N1479/M1479)</x:f>
        <x:v>0.8</x:v>
      </x:c>
      <x:c r="P1479" s="14" t="n">
        <x:v>102</x:v>
      </x:c>
    </x:row>
    <x:row r="1480" ht="22" customHeight="1">
      <x:c r="A1480" s="14" t="n">
        <x:v>738</x:v>
      </x:c>
      <x:c r="B1480" s="14" t="n">
        <x:v>19</x:v>
      </x:c>
      <x:c r="C1480" s="14" t="n">
        <x:v>76008</x:v>
      </x:c>
      <x:c r="D1480" s="2" t="str">
        <x:v>RED</x:v>
      </x:c>
      <x:c r="E1480" s="2" t="str">
        <x:v>120만</x:v>
      </x:c>
      <x:c r="F1480" s="2" t="str">
        <x:v>80만</x:v>
      </x:c>
      <x:c r="G1480" s="2" t="str">
        <x:v>무</x:v>
      </x:c>
      <x:c r="H1480" s="14" t="n">
        <x:v>3</x:v>
      </x:c>
      <x:c r="I1480" s="14" t="n">
        <x:v>3</x:v>
      </x:c>
      <x:c r="J1480" s="14" t="n">
        <x:v>7</x:v>
      </x:c>
      <x:c r="K1480" s="14" t="n">
        <x:v>3</x:v>
      </x:c>
      <x:c r="L1480" s="15" t="n">
        <x:f>IF(J1480=0,"해당 없음",K1480/J1480)</x:f>
        <x:v>0.42857142857142855</x:v>
      </x:c>
      <x:c r="M1480" s="14" t="n">
        <x:v>12</x:v>
      </x:c>
      <x:c r="N1480" s="14" t="n">
        <x:v>8</x:v>
      </x:c>
      <x:c r="O1480" s="15" t="n">
        <x:f>IF(M1480=0,"해당 없음",N1480/M1480)</x:f>
        <x:v>0.6666666666666666</x:v>
      </x:c>
      <x:c r="P1480" s="14" t="n">
        <x:v>102</x:v>
      </x:c>
    </x:row>
    <x:row r="1481" ht="22" customHeight="1">
      <x:c r="A1481" s="14" t="n">
        <x:v>738</x:v>
      </x:c>
      <x:c r="B1481" s="14" t="n">
        <x:v>19</x:v>
      </x:c>
      <x:c r="C1481" s="14" t="n">
        <x:v>76008</x:v>
      </x:c>
      <x:c r="D1481" s="2" t="str">
        <x:v>NAVY</x:v>
      </x:c>
      <x:c r="E1481" s="2" t="str">
        <x:v>80만</x:v>
      </x:c>
      <x:c r="F1481" s="2" t="str">
        <x:v>120만</x:v>
      </x:c>
      <x:c r="G1481" s="2" t="str">
        <x:v>무</x:v>
      </x:c>
      <x:c r="H1481" s="14" t="n">
        <x:v>3</x:v>
      </x:c>
      <x:c r="I1481" s="14" t="n">
        <x:v>3</x:v>
      </x:c>
      <x:c r="J1481" s="14" t="n">
        <x:v>10</x:v>
      </x:c>
      <x:c r="K1481" s="14" t="n">
        <x:v>3</x:v>
      </x:c>
      <x:c r="L1481" s="15" t="n">
        <x:f>IF(J1481=0,"해당 없음",K1481/J1481)</x:f>
        <x:v>0.3</x:v>
      </x:c>
      <x:c r="M1481" s="14" t="n">
        <x:v>7</x:v>
      </x:c>
      <x:c r="N1481" s="14" t="n">
        <x:v>5</x:v>
      </x:c>
      <x:c r="O1481" s="15" t="n">
        <x:f>IF(M1481=0,"해당 없음",N1481/M1481)</x:f>
        <x:v>0.7142857142857143</x:v>
      </x:c>
      <x:c r="P1481" s="14" t="n">
        <x:v>102</x:v>
      </x:c>
    </x:row>
    <x:row r="1482" ht="22" customHeight="1">
      <x:c r="A1482" s="14" t="n">
        <x:v>739</x:v>
      </x:c>
      <x:c r="B1482" s="14" t="n">
        <x:v>19</x:v>
      </x:c>
      <x:c r="C1482" s="14" t="n">
        <x:v>76009</x:v>
      </x:c>
      <x:c r="D1482" s="2" t="str">
        <x:v>RED</x:v>
      </x:c>
      <x:c r="E1482" s="2" t="str">
        <x:v>80만</x:v>
      </x:c>
      <x:c r="F1482" s="2" t="str">
        <x:v>120만</x:v>
      </x:c>
      <x:c r="G1482" s="2" t="str">
        <x:v>승</x:v>
      </x:c>
      <x:c r="H1482" s="14" t="n">
        <x:v>5</x:v>
      </x:c>
      <x:c r="I1482" s="14" t="n">
        <x:v>2</x:v>
      </x:c>
      <x:c r="J1482" s="14" t="n">
        <x:v>10</x:v>
      </x:c>
      <x:c r="K1482" s="14" t="n">
        <x:v>5</x:v>
      </x:c>
      <x:c r="L1482" s="15" t="n">
        <x:f>IF(J1482=0,"해당 없음",K1482/J1482)</x:f>
        <x:v>0.5</x:v>
      </x:c>
      <x:c r="M1482" s="14" t="n">
        <x:v>6</x:v>
      </x:c>
      <x:c r="N1482" s="14" t="n">
        <x:v>4</x:v>
      </x:c>
      <x:c r="O1482" s="15" t="n">
        <x:f>IF(M1482=0,"해당 없음",N1482/M1482)</x:f>
        <x:v>0.6666666666666666</x:v>
      </x:c>
      <x:c r="P1482" s="14" t="n">
        <x:v>105</x:v>
      </x:c>
    </x:row>
    <x:row r="1483" ht="22" customHeight="1">
      <x:c r="A1483" s="14" t="n">
        <x:v>739</x:v>
      </x:c>
      <x:c r="B1483" s="14" t="n">
        <x:v>19</x:v>
      </x:c>
      <x:c r="C1483" s="14" t="n">
        <x:v>76009</x:v>
      </x:c>
      <x:c r="D1483" s="2" t="str">
        <x:v>NAVY</x:v>
      </x:c>
      <x:c r="E1483" s="2" t="str">
        <x:v>120만</x:v>
      </x:c>
      <x:c r="F1483" s="2" t="str">
        <x:v>80만</x:v>
      </x:c>
      <x:c r="G1483" s="2" t="str">
        <x:v>패</x:v>
      </x:c>
      <x:c r="H1483" s="14" t="n">
        <x:v>2</x:v>
      </x:c>
      <x:c r="I1483" s="14" t="n">
        <x:v>5</x:v>
      </x:c>
      <x:c r="J1483" s="14" t="n">
        <x:v>7</x:v>
      </x:c>
      <x:c r="K1483" s="14" t="n">
        <x:v>2</x:v>
      </x:c>
      <x:c r="L1483" s="15" t="n">
        <x:f>IF(J1483=0,"해당 없음",K1483/J1483)</x:f>
        <x:v>0.2857142857142857</x:v>
      </x:c>
      <x:c r="M1483" s="14" t="n">
        <x:v>6</x:v>
      </x:c>
      <x:c r="N1483" s="14" t="n">
        <x:v>4</x:v>
      </x:c>
      <x:c r="O1483" s="15" t="n">
        <x:f>IF(M1483=0,"해당 없음",N1483/M1483)</x:f>
        <x:v>0.6666666666666666</x:v>
      </x:c>
      <x:c r="P1483" s="14" t="n">
        <x:v>103</x:v>
      </x:c>
    </x:row>
    <x:row r="1484" ht="22" customHeight="1">
      <x:c r="A1484" s="14" t="n">
        <x:v>740</x:v>
      </x:c>
      <x:c r="B1484" s="14" t="n">
        <x:v>19</x:v>
      </x:c>
      <x:c r="C1484" s="14" t="n">
        <x:v>76009</x:v>
      </x:c>
      <x:c r="D1484" s="2" t="str">
        <x:v>RED</x:v>
      </x:c>
      <x:c r="E1484" s="2" t="str">
        <x:v>120만</x:v>
      </x:c>
      <x:c r="F1484" s="2" t="str">
        <x:v>80만</x:v>
      </x:c>
      <x:c r="G1484" s="2" t="str">
        <x:v>패</x:v>
      </x:c>
      <x:c r="H1484" s="14" t="n">
        <x:v>2</x:v>
      </x:c>
      <x:c r="I1484" s="14" t="n">
        <x:v>4</x:v>
      </x:c>
      <x:c r="J1484" s="14" t="n">
        <x:v>8</x:v>
      </x:c>
      <x:c r="K1484" s="14" t="n">
        <x:v>2</x:v>
      </x:c>
      <x:c r="L1484" s="15" t="n">
        <x:f>IF(J1484=0,"해당 없음",K1484/J1484)</x:f>
        <x:v>0.25</x:v>
      </x:c>
      <x:c r="M1484" s="14" t="n">
        <x:v>4</x:v>
      </x:c>
      <x:c r="N1484" s="14" t="n">
        <x:v>2</x:v>
      </x:c>
      <x:c r="O1484" s="15" t="n">
        <x:f>IF(M1484=0,"해당 없음",N1484/M1484)</x:f>
        <x:v>0.5</x:v>
      </x:c>
      <x:c r="P1484" s="14" t="n">
        <x:v>103</x:v>
      </x:c>
    </x:row>
    <x:row r="1485" ht="22" customHeight="1">
      <x:c r="A1485" s="14" t="n">
        <x:v>740</x:v>
      </x:c>
      <x:c r="B1485" s="14" t="n">
        <x:v>19</x:v>
      </x:c>
      <x:c r="C1485" s="14" t="n">
        <x:v>76009</x:v>
      </x:c>
      <x:c r="D1485" s="2" t="str">
        <x:v>NAVY</x:v>
      </x:c>
      <x:c r="E1485" s="2" t="str">
        <x:v>80만</x:v>
      </x:c>
      <x:c r="F1485" s="2" t="str">
        <x:v>120만</x:v>
      </x:c>
      <x:c r="G1485" s="2" t="str">
        <x:v>승</x:v>
      </x:c>
      <x:c r="H1485" s="14" t="n">
        <x:v>4</x:v>
      </x:c>
      <x:c r="I1485" s="14" t="n">
        <x:v>2</x:v>
      </x:c>
      <x:c r="J1485" s="14" t="n">
        <x:v>7</x:v>
      </x:c>
      <x:c r="K1485" s="14" t="n">
        <x:v>4</x:v>
      </x:c>
      <x:c r="L1485" s="15" t="n">
        <x:f>IF(J1485=0,"해당 없음",K1485/J1485)</x:f>
        <x:v>0.5714285714285714</x:v>
      </x:c>
      <x:c r="M1485" s="14" t="n">
        <x:v>11</x:v>
      </x:c>
      <x:c r="N1485" s="14" t="n">
        <x:v>10</x:v>
      </x:c>
      <x:c r="O1485" s="15" t="n">
        <x:f>IF(M1485=0,"해당 없음",N1485/M1485)</x:f>
        <x:v>0.9090909090909091</x:v>
      </x:c>
      <x:c r="P1485" s="14" t="n">
        <x:v>103</x:v>
      </x:c>
    </x:row>
    <x:row r="1486" ht="22" customHeight="1">
      <x:c r="A1486" s="14" t="n">
        <x:v>741</x:v>
      </x:c>
      <x:c r="B1486" s="14" t="n">
        <x:v>19</x:v>
      </x:c>
      <x:c r="C1486" s="14" t="n">
        <x:v>76010</x:v>
      </x:c>
      <x:c r="D1486" s="2" t="str">
        <x:v>RED</x:v>
      </x:c>
      <x:c r="E1486" s="2" t="str">
        <x:v>80만</x:v>
      </x:c>
      <x:c r="F1486" s="2" t="str">
        <x:v>120만</x:v>
      </x:c>
      <x:c r="G1486" s="2" t="str">
        <x:v>승</x:v>
      </x:c>
      <x:c r="H1486" s="14" t="n">
        <x:v>3</x:v>
      </x:c>
      <x:c r="I1486" s="14" t="n">
        <x:v>1</x:v>
      </x:c>
      <x:c r="J1486" s="14" t="n">
        <x:v>9</x:v>
      </x:c>
      <x:c r="K1486" s="14" t="n">
        <x:v>3</x:v>
      </x:c>
      <x:c r="L1486" s="15" t="n">
        <x:f>IF(J1486=0,"해당 없음",K1486/J1486)</x:f>
        <x:v>0.3333333333333333</x:v>
      </x:c>
      <x:c r="M1486" s="14" t="n">
        <x:v>10</x:v>
      </x:c>
      <x:c r="N1486" s="14" t="n">
        <x:v>9</x:v>
      </x:c>
      <x:c r="O1486" s="15" t="n">
        <x:f>IF(M1486=0,"해당 없음",N1486/M1486)</x:f>
        <x:v>0.9</x:v>
      </x:c>
      <x:c r="P1486" s="14" t="n">
        <x:v>102</x:v>
      </x:c>
    </x:row>
    <x:row r="1487" ht="22" customHeight="1">
      <x:c r="A1487" s="14" t="n">
        <x:v>741</x:v>
      </x:c>
      <x:c r="B1487" s="14" t="n">
        <x:v>19</x:v>
      </x:c>
      <x:c r="C1487" s="14" t="n">
        <x:v>76010</x:v>
      </x:c>
      <x:c r="D1487" s="2" t="str">
        <x:v>NAVY</x:v>
      </x:c>
      <x:c r="E1487" s="2" t="str">
        <x:v>120만</x:v>
      </x:c>
      <x:c r="F1487" s="2" t="str">
        <x:v>80만</x:v>
      </x:c>
      <x:c r="G1487" s="2" t="str">
        <x:v>패</x:v>
      </x:c>
      <x:c r="H1487" s="14" t="n">
        <x:v>1</x:v>
      </x:c>
      <x:c r="I1487" s="14" t="n">
        <x:v>3</x:v>
      </x:c>
      <x:c r="J1487" s="14" t="n">
        <x:v>7</x:v>
      </x:c>
      <x:c r="K1487" s="14" t="n">
        <x:v>1</x:v>
      </x:c>
      <x:c r="L1487" s="15" t="n">
        <x:f>IF(J1487=0,"해당 없음",K1487/J1487)</x:f>
        <x:v>0.14285714285714285</x:v>
      </x:c>
      <x:c r="M1487" s="14" t="n">
        <x:v>6</x:v>
      </x:c>
      <x:c r="N1487" s="14" t="n">
        <x:v>6</x:v>
      </x:c>
      <x:c r="O1487" s="15" t="n">
        <x:f>IF(M1487=0,"해당 없음",N1487/M1487)</x:f>
        <x:v>1</x:v>
      </x:c>
      <x:c r="P1487" s="14" t="n">
        <x:v>100</x:v>
      </x:c>
    </x:row>
    <x:row r="1488" ht="22" customHeight="1">
      <x:c r="A1488" s="14" t="n">
        <x:v>742</x:v>
      </x:c>
      <x:c r="B1488" s="14" t="n">
        <x:v>19</x:v>
      </x:c>
      <x:c r="C1488" s="14" t="n">
        <x:v>76010</x:v>
      </x:c>
      <x:c r="D1488" s="2" t="str">
        <x:v>RED</x:v>
      </x:c>
      <x:c r="E1488" s="2" t="str">
        <x:v>120만</x:v>
      </x:c>
      <x:c r="F1488" s="2" t="str">
        <x:v>80만</x:v>
      </x:c>
      <x:c r="G1488" s="2" t="str">
        <x:v>패</x:v>
      </x:c>
      <x:c r="H1488" s="14" t="n">
        <x:v>2</x:v>
      </x:c>
      <x:c r="I1488" s="14" t="n">
        <x:v>3</x:v>
      </x:c>
      <x:c r="J1488" s="14" t="n">
        <x:v>8</x:v>
      </x:c>
      <x:c r="K1488" s="14" t="n">
        <x:v>2</x:v>
      </x:c>
      <x:c r="L1488" s="15" t="n">
        <x:f>IF(J1488=0,"해당 없음",K1488/J1488)</x:f>
        <x:v>0.25</x:v>
      </x:c>
      <x:c r="M1488" s="14" t="n">
        <x:v>9</x:v>
      </x:c>
      <x:c r="N1488" s="14" t="n">
        <x:v>6</x:v>
      </x:c>
      <x:c r="O1488" s="15" t="n">
        <x:f>IF(M1488=0,"해당 없음",N1488/M1488)</x:f>
        <x:v>0.6666666666666666</x:v>
      </x:c>
      <x:c r="P1488" s="14" t="n">
        <x:v>103</x:v>
      </x:c>
    </x:row>
    <x:row r="1489" ht="22" customHeight="1">
      <x:c r="A1489" s="14" t="n">
        <x:v>742</x:v>
      </x:c>
      <x:c r="B1489" s="14" t="n">
        <x:v>19</x:v>
      </x:c>
      <x:c r="C1489" s="14" t="n">
        <x:v>76010</x:v>
      </x:c>
      <x:c r="D1489" s="2" t="str">
        <x:v>NAVY</x:v>
      </x:c>
      <x:c r="E1489" s="2" t="str">
        <x:v>80만</x:v>
      </x:c>
      <x:c r="F1489" s="2" t="str">
        <x:v>120만</x:v>
      </x:c>
      <x:c r="G1489" s="2" t="str">
        <x:v>승</x:v>
      </x:c>
      <x:c r="H1489" s="14" t="n">
        <x:v>3</x:v>
      </x:c>
      <x:c r="I1489" s="14" t="n">
        <x:v>2</x:v>
      </x:c>
      <x:c r="J1489" s="14" t="n">
        <x:v>12</x:v>
      </x:c>
      <x:c r="K1489" s="14" t="n">
        <x:v>3</x:v>
      </x:c>
      <x:c r="L1489" s="15" t="n">
        <x:f>IF(J1489=0,"해당 없음",K1489/J1489)</x:f>
        <x:v>0.25</x:v>
      </x:c>
      <x:c r="M1489" s="14" t="n">
        <x:v>11</x:v>
      </x:c>
      <x:c r="N1489" s="14" t="n">
        <x:v>10</x:v>
      </x:c>
      <x:c r="O1489" s="15" t="n">
        <x:f>IF(M1489=0,"해당 없음",N1489/M1489)</x:f>
        <x:v>0.9090909090909091</x:v>
      </x:c>
      <x:c r="P1489" s="14" t="n">
        <x:v>106</x:v>
      </x:c>
    </x:row>
    <x:row r="1490" ht="22" customHeight="1">
      <x:c r="A1490" s="14" t="n">
        <x:v>743</x:v>
      </x:c>
      <x:c r="B1490" s="14" t="n">
        <x:v>19</x:v>
      </x:c>
      <x:c r="C1490" s="14" t="n">
        <x:v>76011</x:v>
      </x:c>
      <x:c r="D1490" s="2" t="str">
        <x:v>RED</x:v>
      </x:c>
      <x:c r="E1490" s="2" t="str">
        <x:v>80만</x:v>
      </x:c>
      <x:c r="F1490" s="2" t="str">
        <x:v>120만</x:v>
      </x:c>
      <x:c r="G1490" s="2" t="str">
        <x:v>승</x:v>
      </x:c>
      <x:c r="H1490" s="14" t="n">
        <x:v>4</x:v>
      </x:c>
      <x:c r="I1490" s="14" t="n">
        <x:v>2</x:v>
      </x:c>
      <x:c r="J1490" s="14" t="n">
        <x:v>9</x:v>
      </x:c>
      <x:c r="K1490" s="14" t="n">
        <x:v>4</x:v>
      </x:c>
      <x:c r="L1490" s="15" t="n">
        <x:f>IF(J1490=0,"해당 없음",K1490/J1490)</x:f>
        <x:v>0.4444444444444444</x:v>
      </x:c>
      <x:c r="M1490" s="14" t="n">
        <x:v>12</x:v>
      </x:c>
      <x:c r="N1490" s="14" t="n">
        <x:v>9</x:v>
      </x:c>
      <x:c r="O1490" s="15" t="n">
        <x:f>IF(M1490=0,"해당 없음",N1490/M1490)</x:f>
        <x:v>0.75</x:v>
      </x:c>
      <x:c r="P1490" s="14" t="n">
        <x:v>104</x:v>
      </x:c>
    </x:row>
    <x:row r="1491" ht="22" customHeight="1">
      <x:c r="A1491" s="14" t="n">
        <x:v>743</x:v>
      </x:c>
      <x:c r="B1491" s="14" t="n">
        <x:v>19</x:v>
      </x:c>
      <x:c r="C1491" s="14" t="n">
        <x:v>76011</x:v>
      </x:c>
      <x:c r="D1491" s="2" t="str">
        <x:v>NAVY</x:v>
      </x:c>
      <x:c r="E1491" s="2" t="str">
        <x:v>120만</x:v>
      </x:c>
      <x:c r="F1491" s="2" t="str">
        <x:v>80만</x:v>
      </x:c>
      <x:c r="G1491" s="2" t="str">
        <x:v>패</x:v>
      </x:c>
      <x:c r="H1491" s="14" t="n">
        <x:v>2</x:v>
      </x:c>
      <x:c r="I1491" s="14" t="n">
        <x:v>4</x:v>
      </x:c>
      <x:c r="J1491" s="14" t="n">
        <x:v>12</x:v>
      </x:c>
      <x:c r="K1491" s="14" t="n">
        <x:v>2</x:v>
      </x:c>
      <x:c r="L1491" s="15" t="n">
        <x:f>IF(J1491=0,"해당 없음",K1491/J1491)</x:f>
        <x:v>0.16666666666666666</x:v>
      </x:c>
      <x:c r="M1491" s="14" t="n">
        <x:v>9</x:v>
      </x:c>
      <x:c r="N1491" s="14" t="n">
        <x:v>6</x:v>
      </x:c>
      <x:c r="O1491" s="15" t="n">
        <x:f>IF(M1491=0,"해당 없음",N1491/M1491)</x:f>
        <x:v>0.6666666666666666</x:v>
      </x:c>
      <x:c r="P1491" s="14" t="n">
        <x:v>104</x:v>
      </x:c>
    </x:row>
    <x:row r="1492" ht="22" customHeight="1">
      <x:c r="A1492" s="14" t="n">
        <x:v>744</x:v>
      </x:c>
      <x:c r="B1492" s="14" t="n">
        <x:v>19</x:v>
      </x:c>
      <x:c r="C1492" s="14" t="n">
        <x:v>76011</x:v>
      </x:c>
      <x:c r="D1492" s="2" t="str">
        <x:v>RED</x:v>
      </x:c>
      <x:c r="E1492" s="2" t="str">
        <x:v>120만</x:v>
      </x:c>
      <x:c r="F1492" s="2" t="str">
        <x:v>80만</x:v>
      </x:c>
      <x:c r="G1492" s="2" t="str">
        <x:v>패</x:v>
      </x:c>
      <x:c r="H1492" s="14" t="n">
        <x:v>1</x:v>
      </x:c>
      <x:c r="I1492" s="14" t="n">
        <x:v>2</x:v>
      </x:c>
      <x:c r="J1492" s="14" t="n">
        <x:v>7</x:v>
      </x:c>
      <x:c r="K1492" s="14" t="n">
        <x:v>1</x:v>
      </x:c>
      <x:c r="L1492" s="15" t="n">
        <x:f>IF(J1492=0,"해당 없음",K1492/J1492)</x:f>
        <x:v>0.14285714285714285</x:v>
      </x:c>
      <x:c r="M1492" s="14" t="n">
        <x:v>9</x:v>
      </x:c>
      <x:c r="N1492" s="14" t="n">
        <x:v>5</x:v>
      </x:c>
      <x:c r="O1492" s="15" t="n">
        <x:f>IF(M1492=0,"해당 없음",N1492/M1492)</x:f>
        <x:v>0.5555555555555556</x:v>
      </x:c>
      <x:c r="P1492" s="14" t="n">
        <x:v>101</x:v>
      </x:c>
    </x:row>
    <x:row r="1493" ht="22" customHeight="1">
      <x:c r="A1493" s="14" t="n">
        <x:v>744</x:v>
      </x:c>
      <x:c r="B1493" s="14" t="n">
        <x:v>19</x:v>
      </x:c>
      <x:c r="C1493" s="14" t="n">
        <x:v>76011</x:v>
      </x:c>
      <x:c r="D1493" s="2" t="str">
        <x:v>NAVY</x:v>
      </x:c>
      <x:c r="E1493" s="2" t="str">
        <x:v>80만</x:v>
      </x:c>
      <x:c r="F1493" s="2" t="str">
        <x:v>120만</x:v>
      </x:c>
      <x:c r="G1493" s="2" t="str">
        <x:v>승</x:v>
      </x:c>
      <x:c r="H1493" s="14" t="n">
        <x:v>2</x:v>
      </x:c>
      <x:c r="I1493" s="14" t="n">
        <x:v>1</x:v>
      </x:c>
      <x:c r="J1493" s="14" t="n">
        <x:v>11</x:v>
      </x:c>
      <x:c r="K1493" s="14" t="n">
        <x:v>2</x:v>
      </x:c>
      <x:c r="L1493" s="15" t="n">
        <x:f>IF(J1493=0,"해당 없음",K1493/J1493)</x:f>
        <x:v>0.18181818181818182</x:v>
      </x:c>
      <x:c r="M1493" s="14" t="n">
        <x:v>10</x:v>
      </x:c>
      <x:c r="N1493" s="14" t="n">
        <x:v>8</x:v>
      </x:c>
      <x:c r="O1493" s="15" t="n">
        <x:f>IF(M1493=0,"해당 없음",N1493/M1493)</x:f>
        <x:v>0.8</x:v>
      </x:c>
      <x:c r="P1493" s="14" t="n">
        <x:v>101</x:v>
      </x:c>
    </x:row>
    <x:row r="1494" ht="22" customHeight="1">
      <x:c r="A1494" s="14" t="n">
        <x:v>745</x:v>
      </x:c>
      <x:c r="B1494" s="14" t="n">
        <x:v>19</x:v>
      </x:c>
      <x:c r="C1494" s="14" t="n">
        <x:v>76012</x:v>
      </x:c>
      <x:c r="D1494" s="2" t="str">
        <x:v>RED</x:v>
      </x:c>
      <x:c r="E1494" s="2" t="str">
        <x:v>80만</x:v>
      </x:c>
      <x:c r="F1494" s="2" t="str">
        <x:v>120만</x:v>
      </x:c>
      <x:c r="G1494" s="2" t="str">
        <x:v>무</x:v>
      </x:c>
      <x:c r="H1494" s="14" t="n">
        <x:v>2</x:v>
      </x:c>
      <x:c r="I1494" s="14" t="n">
        <x:v>2</x:v>
      </x:c>
      <x:c r="J1494" s="14" t="n">
        <x:v>10</x:v>
      </x:c>
      <x:c r="K1494" s="14" t="n">
        <x:v>2</x:v>
      </x:c>
      <x:c r="L1494" s="15" t="n">
        <x:f>IF(J1494=0,"해당 없음",K1494/J1494)</x:f>
        <x:v>0.2</x:v>
      </x:c>
      <x:c r="M1494" s="14" t="n">
        <x:v>7</x:v>
      </x:c>
      <x:c r="N1494" s="14" t="n">
        <x:v>5</x:v>
      </x:c>
      <x:c r="O1494" s="15" t="n">
        <x:f>IF(M1494=0,"해당 없음",N1494/M1494)</x:f>
        <x:v>0.7142857142857143</x:v>
      </x:c>
      <x:c r="P1494" s="14" t="n">
        <x:v>103</x:v>
      </x:c>
    </x:row>
    <x:row r="1495" ht="22" customHeight="1">
      <x:c r="A1495" s="14" t="n">
        <x:v>745</x:v>
      </x:c>
      <x:c r="B1495" s="14" t="n">
        <x:v>19</x:v>
      </x:c>
      <x:c r="C1495" s="14" t="n">
        <x:v>76012</x:v>
      </x:c>
      <x:c r="D1495" s="2" t="str">
        <x:v>NAVY</x:v>
      </x:c>
      <x:c r="E1495" s="2" t="str">
        <x:v>120만</x:v>
      </x:c>
      <x:c r="F1495" s="2" t="str">
        <x:v>80만</x:v>
      </x:c>
      <x:c r="G1495" s="2" t="str">
        <x:v>무</x:v>
      </x:c>
      <x:c r="H1495" s="14" t="n">
        <x:v>2</x:v>
      </x:c>
      <x:c r="I1495" s="14" t="n">
        <x:v>2</x:v>
      </x:c>
      <x:c r="J1495" s="14" t="n">
        <x:v>8</x:v>
      </x:c>
      <x:c r="K1495" s="14" t="n">
        <x:v>2</x:v>
      </x:c>
      <x:c r="L1495" s="15" t="n">
        <x:f>IF(J1495=0,"해당 없음",K1495/J1495)</x:f>
        <x:v>0.25</x:v>
      </x:c>
      <x:c r="M1495" s="14" t="n">
        <x:v>9</x:v>
      </x:c>
      <x:c r="N1495" s="14" t="n">
        <x:v>4</x:v>
      </x:c>
      <x:c r="O1495" s="15" t="n">
        <x:f>IF(M1495=0,"해당 없음",N1495/M1495)</x:f>
        <x:v>0.4444444444444444</x:v>
      </x:c>
      <x:c r="P1495" s="14" t="n">
        <x:v>104</x:v>
      </x:c>
    </x:row>
    <x:row r="1496" ht="22" customHeight="1">
      <x:c r="A1496" s="14" t="n">
        <x:v>746</x:v>
      </x:c>
      <x:c r="B1496" s="14" t="n">
        <x:v>19</x:v>
      </x:c>
      <x:c r="C1496" s="14" t="n">
        <x:v>76012</x:v>
      </x:c>
      <x:c r="D1496" s="2" t="str">
        <x:v>RED</x:v>
      </x:c>
      <x:c r="E1496" s="2" t="str">
        <x:v>120만</x:v>
      </x:c>
      <x:c r="F1496" s="2" t="str">
        <x:v>80만</x:v>
      </x:c>
      <x:c r="G1496" s="2" t="str">
        <x:v>승</x:v>
      </x:c>
      <x:c r="H1496" s="14" t="n">
        <x:v>4</x:v>
      </x:c>
      <x:c r="I1496" s="14" t="n">
        <x:v>1</x:v>
      </x:c>
      <x:c r="J1496" s="14" t="n">
        <x:v>8</x:v>
      </x:c>
      <x:c r="K1496" s="14" t="n">
        <x:v>4</x:v>
      </x:c>
      <x:c r="L1496" s="15" t="n">
        <x:f>IF(J1496=0,"해당 없음",K1496/J1496)</x:f>
        <x:v>0.5</x:v>
      </x:c>
      <x:c r="M1496" s="14" t="n">
        <x:v>11</x:v>
      </x:c>
      <x:c r="N1496" s="14" t="n">
        <x:v>7</x:v>
      </x:c>
      <x:c r="O1496" s="15" t="n">
        <x:f>IF(M1496=0,"해당 없음",N1496/M1496)</x:f>
        <x:v>0.6363636363636364</x:v>
      </x:c>
      <x:c r="P1496" s="14" t="n">
        <x:v>105</x:v>
      </x:c>
    </x:row>
    <x:row r="1497" ht="22" customHeight="1">
      <x:c r="A1497" s="14" t="n">
        <x:v>746</x:v>
      </x:c>
      <x:c r="B1497" s="14" t="n">
        <x:v>19</x:v>
      </x:c>
      <x:c r="C1497" s="14" t="n">
        <x:v>76012</x:v>
      </x:c>
      <x:c r="D1497" s="2" t="str">
        <x:v>NAVY</x:v>
      </x:c>
      <x:c r="E1497" s="2" t="str">
        <x:v>80만</x:v>
      </x:c>
      <x:c r="F1497" s="2" t="str">
        <x:v>120만</x:v>
      </x:c>
      <x:c r="G1497" s="2" t="str">
        <x:v>패</x:v>
      </x:c>
      <x:c r="H1497" s="14" t="n">
        <x:v>1</x:v>
      </x:c>
      <x:c r="I1497" s="14" t="n">
        <x:v>4</x:v>
      </x:c>
      <x:c r="J1497" s="14" t="n">
        <x:v>8</x:v>
      </x:c>
      <x:c r="K1497" s="14" t="n">
        <x:v>1</x:v>
      </x:c>
      <x:c r="L1497" s="15" t="n">
        <x:f>IF(J1497=0,"해당 없음",K1497/J1497)</x:f>
        <x:v>0.125</x:v>
      </x:c>
      <x:c r="M1497" s="14" t="n">
        <x:v>8</x:v>
      </x:c>
      <x:c r="N1497" s="14" t="n">
        <x:v>4</x:v>
      </x:c>
      <x:c r="O1497" s="15" t="n">
        <x:f>IF(M1497=0,"해당 없음",N1497/M1497)</x:f>
        <x:v>0.5</x:v>
      </x:c>
      <x:c r="P1497" s="14" t="n">
        <x:v>104</x:v>
      </x:c>
    </x:row>
    <x:row r="1498" ht="22" customHeight="1">
      <x:c r="A1498" s="14" t="n">
        <x:v>747</x:v>
      </x:c>
      <x:c r="B1498" s="14" t="n">
        <x:v>19</x:v>
      </x:c>
      <x:c r="C1498" s="14" t="n">
        <x:v>76013</x:v>
      </x:c>
      <x:c r="D1498" s="2" t="str">
        <x:v>RED</x:v>
      </x:c>
      <x:c r="E1498" s="2" t="str">
        <x:v>80만</x:v>
      </x:c>
      <x:c r="F1498" s="2" t="str">
        <x:v>120만</x:v>
      </x:c>
      <x:c r="G1498" s="2" t="str">
        <x:v>승</x:v>
      </x:c>
      <x:c r="H1498" s="14" t="n">
        <x:v>3</x:v>
      </x:c>
      <x:c r="I1498" s="14" t="n">
        <x:v>2</x:v>
      </x:c>
      <x:c r="J1498" s="14" t="n">
        <x:v>5</x:v>
      </x:c>
      <x:c r="K1498" s="14" t="n">
        <x:v>3</x:v>
      </x:c>
      <x:c r="L1498" s="15" t="n">
        <x:f>IF(J1498=0,"해당 없음",K1498/J1498)</x:f>
        <x:v>0.6</x:v>
      </x:c>
      <x:c r="M1498" s="14" t="n">
        <x:v>10</x:v>
      </x:c>
      <x:c r="N1498" s="14" t="n">
        <x:v>9</x:v>
      </x:c>
      <x:c r="O1498" s="15" t="n">
        <x:f>IF(M1498=0,"해당 없음",N1498/M1498)</x:f>
        <x:v>0.9</x:v>
      </x:c>
      <x:c r="P1498" s="14" t="n">
        <x:v>104</x:v>
      </x:c>
    </x:row>
    <x:row r="1499" ht="22" customHeight="1">
      <x:c r="A1499" s="14" t="n">
        <x:v>747</x:v>
      </x:c>
      <x:c r="B1499" s="14" t="n">
        <x:v>19</x:v>
      </x:c>
      <x:c r="C1499" s="14" t="n">
        <x:v>76013</x:v>
      </x:c>
      <x:c r="D1499" s="2" t="str">
        <x:v>NAVY</x:v>
      </x:c>
      <x:c r="E1499" s="2" t="str">
        <x:v>120만</x:v>
      </x:c>
      <x:c r="F1499" s="2" t="str">
        <x:v>80만</x:v>
      </x:c>
      <x:c r="G1499" s="2" t="str">
        <x:v>패</x:v>
      </x:c>
      <x:c r="H1499" s="14" t="n">
        <x:v>2</x:v>
      </x:c>
      <x:c r="I1499" s="14" t="n">
        <x:v>3</x:v>
      </x:c>
      <x:c r="J1499" s="14" t="n">
        <x:v>12</x:v>
      </x:c>
      <x:c r="K1499" s="14" t="n">
        <x:v>2</x:v>
      </x:c>
      <x:c r="L1499" s="15" t="n">
        <x:f>IF(J1499=0,"해당 없음",K1499/J1499)</x:f>
        <x:v>0.16666666666666666</x:v>
      </x:c>
      <x:c r="M1499" s="14" t="n">
        <x:v>8</x:v>
      </x:c>
      <x:c r="N1499" s="14" t="n">
        <x:v>6</x:v>
      </x:c>
      <x:c r="O1499" s="15" t="n">
        <x:f>IF(M1499=0,"해당 없음",N1499/M1499)</x:f>
        <x:v>0.75</x:v>
      </x:c>
      <x:c r="P1499" s="14" t="n">
        <x:v>101</x:v>
      </x:c>
    </x:row>
    <x:row r="1500" ht="22" customHeight="1">
      <x:c r="A1500" s="14" t="n">
        <x:v>748</x:v>
      </x:c>
      <x:c r="B1500" s="14" t="n">
        <x:v>19</x:v>
      </x:c>
      <x:c r="C1500" s="14" t="n">
        <x:v>76013</x:v>
      </x:c>
      <x:c r="D1500" s="2" t="str">
        <x:v>RED</x:v>
      </x:c>
      <x:c r="E1500" s="2" t="str">
        <x:v>120만</x:v>
      </x:c>
      <x:c r="F1500" s="2" t="str">
        <x:v>80만</x:v>
      </x:c>
      <x:c r="G1500" s="2" t="str">
        <x:v>패</x:v>
      </x:c>
      <x:c r="H1500" s="14" t="n">
        <x:v>3</x:v>
      </x:c>
      <x:c r="I1500" s="14" t="n">
        <x:v>4</x:v>
      </x:c>
      <x:c r="J1500" s="14" t="n">
        <x:v>9</x:v>
      </x:c>
      <x:c r="K1500" s="14" t="n">
        <x:v>3</x:v>
      </x:c>
      <x:c r="L1500" s="15" t="n">
        <x:f>IF(J1500=0,"해당 없음",K1500/J1500)</x:f>
        <x:v>0.3333333333333333</x:v>
      </x:c>
      <x:c r="M1500" s="14" t="n">
        <x:v>10</x:v>
      </x:c>
      <x:c r="N1500" s="14" t="n">
        <x:v>8</x:v>
      </x:c>
      <x:c r="O1500" s="15" t="n">
        <x:f>IF(M1500=0,"해당 없음",N1500/M1500)</x:f>
        <x:v>0.8</x:v>
      </x:c>
      <x:c r="P1500" s="14" t="n">
        <x:v>104</x:v>
      </x:c>
    </x:row>
    <x:row r="1501" ht="22" customHeight="1">
      <x:c r="A1501" s="14" t="n">
        <x:v>748</x:v>
      </x:c>
      <x:c r="B1501" s="14" t="n">
        <x:v>19</x:v>
      </x:c>
      <x:c r="C1501" s="14" t="n">
        <x:v>76013</x:v>
      </x:c>
      <x:c r="D1501" s="2" t="str">
        <x:v>NAVY</x:v>
      </x:c>
      <x:c r="E1501" s="2" t="str">
        <x:v>80만</x:v>
      </x:c>
      <x:c r="F1501" s="2" t="str">
        <x:v>120만</x:v>
      </x:c>
      <x:c r="G1501" s="2" t="str">
        <x:v>승</x:v>
      </x:c>
      <x:c r="H1501" s="14" t="n">
        <x:v>4</x:v>
      </x:c>
      <x:c r="I1501" s="14" t="n">
        <x:v>3</x:v>
      </x:c>
      <x:c r="J1501" s="14" t="n">
        <x:v>7</x:v>
      </x:c>
      <x:c r="K1501" s="14" t="n">
        <x:v>4</x:v>
      </x:c>
      <x:c r="L1501" s="15" t="n">
        <x:f>IF(J1501=0,"해당 없음",K1501/J1501)</x:f>
        <x:v>0.5714285714285714</x:v>
      </x:c>
      <x:c r="M1501" s="14" t="n">
        <x:v>12</x:v>
      </x:c>
      <x:c r="N1501" s="14" t="n">
        <x:v>8</x:v>
      </x:c>
      <x:c r="O1501" s="15" t="n">
        <x:f>IF(M1501=0,"해당 없음",N1501/M1501)</x:f>
        <x:v>0.6666666666666666</x:v>
      </x:c>
      <x:c r="P1501" s="14" t="n">
        <x:v>103</x:v>
      </x:c>
    </x:row>
    <x:row r="1502" ht="22" customHeight="1">
      <x:c r="A1502" s="14" t="n">
        <x:v>749</x:v>
      </x:c>
      <x:c r="B1502" s="14" t="n">
        <x:v>19</x:v>
      </x:c>
      <x:c r="C1502" s="14" t="n">
        <x:v>76014</x:v>
      </x:c>
      <x:c r="D1502" s="2" t="str">
        <x:v>RED</x:v>
      </x:c>
      <x:c r="E1502" s="2" t="str">
        <x:v>80만</x:v>
      </x:c>
      <x:c r="F1502" s="2" t="str">
        <x:v>120만</x:v>
      </x:c>
      <x:c r="G1502" s="2" t="str">
        <x:v>패</x:v>
      </x:c>
      <x:c r="H1502" s="14" t="n">
        <x:v>2</x:v>
      </x:c>
      <x:c r="I1502" s="14" t="n">
        <x:v>5</x:v>
      </x:c>
      <x:c r="J1502" s="14" t="n">
        <x:v>8</x:v>
      </x:c>
      <x:c r="K1502" s="14" t="n">
        <x:v>1</x:v>
      </x:c>
      <x:c r="L1502" s="15" t="n">
        <x:f>IF(J1502=0,"해당 없음",K1502/J1502)</x:f>
        <x:v>0.125</x:v>
      </x:c>
      <x:c r="M1502" s="14" t="n">
        <x:v>9</x:v>
      </x:c>
      <x:c r="N1502" s="14" t="n">
        <x:v>8</x:v>
      </x:c>
      <x:c r="O1502" s="15" t="n">
        <x:f>IF(M1502=0,"해당 없음",N1502/M1502)</x:f>
        <x:v>0.8888888888888888</x:v>
      </x:c>
      <x:c r="P1502" s="14" t="n">
        <x:v>102</x:v>
      </x:c>
    </x:row>
    <x:row r="1503" ht="22" customHeight="1">
      <x:c r="A1503" s="14" t="n">
        <x:v>749</x:v>
      </x:c>
      <x:c r="B1503" s="14" t="n">
        <x:v>19</x:v>
      </x:c>
      <x:c r="C1503" s="14" t="n">
        <x:v>76014</x:v>
      </x:c>
      <x:c r="D1503" s="2" t="str">
        <x:v>NAVY</x:v>
      </x:c>
      <x:c r="E1503" s="2" t="str">
        <x:v>120만</x:v>
      </x:c>
      <x:c r="F1503" s="2" t="str">
        <x:v>80만</x:v>
      </x:c>
      <x:c r="G1503" s="2" t="str">
        <x:v>승</x:v>
      </x:c>
      <x:c r="H1503" s="14" t="n">
        <x:v>5</x:v>
      </x:c>
      <x:c r="I1503" s="14" t="n">
        <x:v>2</x:v>
      </x:c>
      <x:c r="J1503" s="14" t="n">
        <x:v>9</x:v>
      </x:c>
      <x:c r="K1503" s="14" t="n">
        <x:v>5</x:v>
      </x:c>
      <x:c r="L1503" s="15" t="n">
        <x:f>IF(J1503=0,"해당 없음",K1503/J1503)</x:f>
        <x:v>0.5555555555555556</x:v>
      </x:c>
      <x:c r="M1503" s="14" t="n">
        <x:v>6</x:v>
      </x:c>
      <x:c r="N1503" s="14" t="n">
        <x:v>4</x:v>
      </x:c>
      <x:c r="O1503" s="15" t="n">
        <x:f>IF(M1503=0,"해당 없음",N1503/M1503)</x:f>
        <x:v>0.6666666666666666</x:v>
      </x:c>
      <x:c r="P1503" s="14" t="n">
        <x:v>104</x:v>
      </x:c>
    </x:row>
    <x:row r="1504" ht="22" customHeight="1">
      <x:c r="A1504" s="14" t="n">
        <x:v>750</x:v>
      </x:c>
      <x:c r="B1504" s="14" t="n">
        <x:v>19</x:v>
      </x:c>
      <x:c r="C1504" s="14" t="n">
        <x:v>76014</x:v>
      </x:c>
      <x:c r="D1504" s="2" t="str">
        <x:v>RED</x:v>
      </x:c>
      <x:c r="E1504" s="2" t="str">
        <x:v>120만</x:v>
      </x:c>
      <x:c r="F1504" s="2" t="str">
        <x:v>80만</x:v>
      </x:c>
      <x:c r="G1504" s="2" t="str">
        <x:v>패</x:v>
      </x:c>
      <x:c r="H1504" s="14" t="n">
        <x:v>1</x:v>
      </x:c>
      <x:c r="I1504" s="14" t="n">
        <x:v>2</x:v>
      </x:c>
      <x:c r="J1504" s="14" t="n">
        <x:v>11</x:v>
      </x:c>
      <x:c r="K1504" s="14" t="n">
        <x:v>1</x:v>
      </x:c>
      <x:c r="L1504" s="15" t="n">
        <x:f>IF(J1504=0,"해당 없음",K1504/J1504)</x:f>
        <x:v>0.09090909090909091</x:v>
      </x:c>
      <x:c r="M1504" s="14" t="n">
        <x:v>8</x:v>
      </x:c>
      <x:c r="N1504" s="14" t="n">
        <x:v>6</x:v>
      </x:c>
      <x:c r="O1504" s="15" t="n">
        <x:f>IF(M1504=0,"해당 없음",N1504/M1504)</x:f>
        <x:v>0.75</x:v>
      </x:c>
      <x:c r="P1504" s="14" t="n">
        <x:v>102</x:v>
      </x:c>
    </x:row>
    <x:row r="1505" ht="22" customHeight="1">
      <x:c r="A1505" s="14" t="n">
        <x:v>750</x:v>
      </x:c>
      <x:c r="B1505" s="14" t="n">
        <x:v>19</x:v>
      </x:c>
      <x:c r="C1505" s="14" t="n">
        <x:v>76014</x:v>
      </x:c>
      <x:c r="D1505" s="2" t="str">
        <x:v>NAVY</x:v>
      </x:c>
      <x:c r="E1505" s="2" t="str">
        <x:v>80만</x:v>
      </x:c>
      <x:c r="F1505" s="2" t="str">
        <x:v>120만</x:v>
      </x:c>
      <x:c r="G1505" s="2" t="str">
        <x:v>승</x:v>
      </x:c>
      <x:c r="H1505" s="14" t="n">
        <x:v>2</x:v>
      </x:c>
      <x:c r="I1505" s="14" t="n">
        <x:v>1</x:v>
      </x:c>
      <x:c r="J1505" s="14" t="n">
        <x:v>8</x:v>
      </x:c>
      <x:c r="K1505" s="14" t="n">
        <x:v>2</x:v>
      </x:c>
      <x:c r="L1505" s="15" t="n">
        <x:f>IF(J1505=0,"해당 없음",K1505/J1505)</x:f>
        <x:v>0.25</x:v>
      </x:c>
      <x:c r="M1505" s="14" t="n">
        <x:v>9</x:v>
      </x:c>
      <x:c r="N1505" s="14" t="n">
        <x:v>6</x:v>
      </x:c>
      <x:c r="O1505" s="15" t="n">
        <x:f>IF(M1505=0,"해당 없음",N1505/M1505)</x:f>
        <x:v>0.6666666666666666</x:v>
      </x:c>
      <x:c r="P1505" s="14" t="n">
        <x:v>101</x:v>
      </x:c>
    </x:row>
    <x:row r="1506" ht="22" customHeight="1">
      <x:c r="A1506" s="14" t="n">
        <x:v>751</x:v>
      </x:c>
      <x:c r="B1506" s="14" t="n">
        <x:v>19</x:v>
      </x:c>
      <x:c r="C1506" s="14" t="n">
        <x:v>76015</x:v>
      </x:c>
      <x:c r="D1506" s="2" t="str">
        <x:v>RED</x:v>
      </x:c>
      <x:c r="E1506" s="2" t="str">
        <x:v>80만</x:v>
      </x:c>
      <x:c r="F1506" s="2" t="str">
        <x:v>120만</x:v>
      </x:c>
      <x:c r="G1506" s="2" t="str">
        <x:v>패</x:v>
      </x:c>
      <x:c r="H1506" s="14" t="n">
        <x:v>0</x:v>
      </x:c>
      <x:c r="I1506" s="14" t="n">
        <x:v>1</x:v>
      </x:c>
      <x:c r="J1506" s="14" t="n">
        <x:v>8</x:v>
      </x:c>
      <x:c r="K1506" s="14" t="n">
        <x:v>0</x:v>
      </x:c>
      <x:c r="L1506" s="15" t="n">
        <x:f>IF(J1506=0,"해당 없음",K1506/J1506)</x:f>
        <x:v>0</x:v>
      </x:c>
      <x:c r="M1506" s="14" t="n">
        <x:v>8</x:v>
      </x:c>
      <x:c r="N1506" s="14" t="n">
        <x:v>6</x:v>
      </x:c>
      <x:c r="O1506" s="15" t="n">
        <x:f>IF(M1506=0,"해당 없음",N1506/M1506)</x:f>
        <x:v>0.75</x:v>
      </x:c>
      <x:c r="P1506" s="14" t="n">
        <x:v>101</x:v>
      </x:c>
    </x:row>
    <x:row r="1507" ht="22" customHeight="1">
      <x:c r="A1507" s="14" t="n">
        <x:v>751</x:v>
      </x:c>
      <x:c r="B1507" s="14" t="n">
        <x:v>19</x:v>
      </x:c>
      <x:c r="C1507" s="14" t="n">
        <x:v>76015</x:v>
      </x:c>
      <x:c r="D1507" s="2" t="str">
        <x:v>NAVY</x:v>
      </x:c>
      <x:c r="E1507" s="2" t="str">
        <x:v>120만</x:v>
      </x:c>
      <x:c r="F1507" s="2" t="str">
        <x:v>80만</x:v>
      </x:c>
      <x:c r="G1507" s="2" t="str">
        <x:v>승</x:v>
      </x:c>
      <x:c r="H1507" s="14" t="n">
        <x:v>1</x:v>
      </x:c>
      <x:c r="I1507" s="14" t="n">
        <x:v>0</x:v>
      </x:c>
      <x:c r="J1507" s="14" t="n">
        <x:v>5</x:v>
      </x:c>
      <x:c r="K1507" s="14" t="n">
        <x:v>1</x:v>
      </x:c>
      <x:c r="L1507" s="15" t="n">
        <x:f>IF(J1507=0,"해당 없음",K1507/J1507)</x:f>
        <x:v>0.2</x:v>
      </x:c>
      <x:c r="M1507" s="14" t="n">
        <x:v>12</x:v>
      </x:c>
      <x:c r="N1507" s="14" t="n">
        <x:v>8</x:v>
      </x:c>
      <x:c r="O1507" s="15" t="n">
        <x:f>IF(M1507=0,"해당 없음",N1507/M1507)</x:f>
        <x:v>0.6666666666666666</x:v>
      </x:c>
      <x:c r="P1507" s="14" t="n">
        <x:v>102</x:v>
      </x:c>
    </x:row>
    <x:row r="1508" ht="22" customHeight="1">
      <x:c r="A1508" s="14" t="n">
        <x:v>752</x:v>
      </x:c>
      <x:c r="B1508" s="14" t="n">
        <x:v>19</x:v>
      </x:c>
      <x:c r="C1508" s="14" t="n">
        <x:v>76015</x:v>
      </x:c>
      <x:c r="D1508" s="2" t="str">
        <x:v>RED</x:v>
      </x:c>
      <x:c r="E1508" s="2" t="str">
        <x:v>120만</x:v>
      </x:c>
      <x:c r="F1508" s="2" t="str">
        <x:v>80만</x:v>
      </x:c>
      <x:c r="G1508" s="2" t="str">
        <x:v>승</x:v>
      </x:c>
      <x:c r="H1508" s="14" t="n">
        <x:v>3</x:v>
      </x:c>
      <x:c r="I1508" s="14" t="n">
        <x:v>2</x:v>
      </x:c>
      <x:c r="J1508" s="14" t="n">
        <x:v>9</x:v>
      </x:c>
      <x:c r="K1508" s="14" t="n">
        <x:v>3</x:v>
      </x:c>
      <x:c r="L1508" s="15" t="n">
        <x:f>IF(J1508=0,"해당 없음",K1508/J1508)</x:f>
        <x:v>0.3333333333333333</x:v>
      </x:c>
      <x:c r="M1508" s="14" t="n">
        <x:v>5</x:v>
      </x:c>
      <x:c r="N1508" s="14" t="n">
        <x:v>4</x:v>
      </x:c>
      <x:c r="O1508" s="15" t="n">
        <x:f>IF(M1508=0,"해당 없음",N1508/M1508)</x:f>
        <x:v>0.8</x:v>
      </x:c>
      <x:c r="P1508" s="14" t="n">
        <x:v>104</x:v>
      </x:c>
    </x:row>
    <x:row r="1509" ht="22" customHeight="1">
      <x:c r="A1509" s="14" t="n">
        <x:v>752</x:v>
      </x:c>
      <x:c r="B1509" s="14" t="n">
        <x:v>19</x:v>
      </x:c>
      <x:c r="C1509" s="14" t="n">
        <x:v>76015</x:v>
      </x:c>
      <x:c r="D1509" s="2" t="str">
        <x:v>NAVY</x:v>
      </x:c>
      <x:c r="E1509" s="2" t="str">
        <x:v>80만</x:v>
      </x:c>
      <x:c r="F1509" s="2" t="str">
        <x:v>120만</x:v>
      </x:c>
      <x:c r="G1509" s="2" t="str">
        <x:v>패</x:v>
      </x:c>
      <x:c r="H1509" s="14" t="n">
        <x:v>2</x:v>
      </x:c>
      <x:c r="I1509" s="14" t="n">
        <x:v>3</x:v>
      </x:c>
      <x:c r="J1509" s="14" t="n">
        <x:v>8</x:v>
      </x:c>
      <x:c r="K1509" s="14" t="n">
        <x:v>2</x:v>
      </x:c>
      <x:c r="L1509" s="15" t="n">
        <x:f>IF(J1509=0,"해당 없음",K1509/J1509)</x:f>
        <x:v>0.25</x:v>
      </x:c>
      <x:c r="M1509" s="14" t="n">
        <x:v>12</x:v>
      </x:c>
      <x:c r="N1509" s="14" t="n">
        <x:v>7</x:v>
      </x:c>
      <x:c r="O1509" s="15" t="n">
        <x:f>IF(M1509=0,"해당 없음",N1509/M1509)</x:f>
        <x:v>0.5833333333333334</x:v>
      </x:c>
      <x:c r="P1509" s="14" t="n">
        <x:v>105</x:v>
      </x:c>
    </x:row>
    <x:row r="1510" ht="22" customHeight="1">
      <x:c r="A1510" s="14" t="n">
        <x:v>753</x:v>
      </x:c>
      <x:c r="B1510" s="14" t="n">
        <x:v>19</x:v>
      </x:c>
      <x:c r="C1510" s="14" t="n">
        <x:v>76016</x:v>
      </x:c>
      <x:c r="D1510" s="2" t="str">
        <x:v>RED</x:v>
      </x:c>
      <x:c r="E1510" s="2" t="str">
        <x:v>80만</x:v>
      </x:c>
      <x:c r="F1510" s="2" t="str">
        <x:v>120만</x:v>
      </x:c>
      <x:c r="G1510" s="2" t="str">
        <x:v>패</x:v>
      </x:c>
      <x:c r="H1510" s="14" t="n">
        <x:v>1</x:v>
      </x:c>
      <x:c r="I1510" s="14" t="n">
        <x:v>8</x:v>
      </x:c>
      <x:c r="J1510" s="14" t="n">
        <x:v>5</x:v>
      </x:c>
      <x:c r="K1510" s="14" t="n">
        <x:v>1</x:v>
      </x:c>
      <x:c r="L1510" s="15" t="n">
        <x:f>IF(J1510=0,"해당 없음",K1510/J1510)</x:f>
        <x:v>0.2</x:v>
      </x:c>
      <x:c r="M1510" s="14" t="n">
        <x:v>7</x:v>
      </x:c>
      <x:c r="N1510" s="14" t="n">
        <x:v>5</x:v>
      </x:c>
      <x:c r="O1510" s="15" t="n">
        <x:f>IF(M1510=0,"해당 없음",N1510/M1510)</x:f>
        <x:v>0.7142857142857143</x:v>
      </x:c>
      <x:c r="P1510" s="14" t="n">
        <x:v>105</x:v>
      </x:c>
    </x:row>
    <x:row r="1511" ht="22" customHeight="1">
      <x:c r="A1511" s="14" t="n">
        <x:v>753</x:v>
      </x:c>
      <x:c r="B1511" s="14" t="n">
        <x:v>19</x:v>
      </x:c>
      <x:c r="C1511" s="14" t="n">
        <x:v>76016</x:v>
      </x:c>
      <x:c r="D1511" s="2" t="str">
        <x:v>NAVY</x:v>
      </x:c>
      <x:c r="E1511" s="2" t="str">
        <x:v>120만</x:v>
      </x:c>
      <x:c r="F1511" s="2" t="str">
        <x:v>80만</x:v>
      </x:c>
      <x:c r="G1511" s="2" t="str">
        <x:v>승</x:v>
      </x:c>
      <x:c r="H1511" s="14" t="n">
        <x:v>8</x:v>
      </x:c>
      <x:c r="I1511" s="14" t="n">
        <x:v>1</x:v>
      </x:c>
      <x:c r="J1511" s="14" t="n">
        <x:v>11</x:v>
      </x:c>
      <x:c r="K1511" s="14" t="n">
        <x:v>8</x:v>
      </x:c>
      <x:c r="L1511" s="15" t="n">
        <x:f>IF(J1511=0,"해당 없음",K1511/J1511)</x:f>
        <x:v>0.7272727272727273</x:v>
      </x:c>
      <x:c r="M1511" s="14" t="n">
        <x:v>8</x:v>
      </x:c>
      <x:c r="N1511" s="14" t="n">
        <x:v>6</x:v>
      </x:c>
      <x:c r="O1511" s="15" t="n">
        <x:f>IF(M1511=0,"해당 없음",N1511/M1511)</x:f>
        <x:v>0.75</x:v>
      </x:c>
      <x:c r="P1511" s="14" t="n">
        <x:v>104</x:v>
      </x:c>
    </x:row>
    <x:row r="1512" ht="22" customHeight="1">
      <x:c r="A1512" s="14" t="n">
        <x:v>754</x:v>
      </x:c>
      <x:c r="B1512" s="14" t="n">
        <x:v>19</x:v>
      </x:c>
      <x:c r="C1512" s="14" t="n">
        <x:v>76016</x:v>
      </x:c>
      <x:c r="D1512" s="2" t="str">
        <x:v>RED</x:v>
      </x:c>
      <x:c r="E1512" s="2" t="str">
        <x:v>120만</x:v>
      </x:c>
      <x:c r="F1512" s="2" t="str">
        <x:v>80만</x:v>
      </x:c>
      <x:c r="G1512" s="2" t="str">
        <x:v>승</x:v>
      </x:c>
      <x:c r="H1512" s="14" t="n">
        <x:v>7</x:v>
      </x:c>
      <x:c r="I1512" s="14" t="n">
        <x:v>3</x:v>
      </x:c>
      <x:c r="J1512" s="14" t="n">
        <x:v>12</x:v>
      </x:c>
      <x:c r="K1512" s="14" t="n">
        <x:v>7</x:v>
      </x:c>
      <x:c r="L1512" s="15" t="n">
        <x:f>IF(J1512=0,"해당 없음",K1512/J1512)</x:f>
        <x:v>0.5833333333333334</x:v>
      </x:c>
      <x:c r="M1512" s="14" t="n">
        <x:v>3</x:v>
      </x:c>
      <x:c r="N1512" s="14" t="n">
        <x:v>3</x:v>
      </x:c>
      <x:c r="O1512" s="15" t="n">
        <x:f>IF(M1512=0,"해당 없음",N1512/M1512)</x:f>
        <x:v>1</x:v>
      </x:c>
      <x:c r="P1512" s="14" t="n">
        <x:v>104</x:v>
      </x:c>
    </x:row>
    <x:row r="1513" ht="22" customHeight="1">
      <x:c r="A1513" s="14" t="n">
        <x:v>754</x:v>
      </x:c>
      <x:c r="B1513" s="14" t="n">
        <x:v>19</x:v>
      </x:c>
      <x:c r="C1513" s="14" t="n">
        <x:v>76016</x:v>
      </x:c>
      <x:c r="D1513" s="2" t="str">
        <x:v>NAVY</x:v>
      </x:c>
      <x:c r="E1513" s="2" t="str">
        <x:v>80만</x:v>
      </x:c>
      <x:c r="F1513" s="2" t="str">
        <x:v>120만</x:v>
      </x:c>
      <x:c r="G1513" s="2" t="str">
        <x:v>패</x:v>
      </x:c>
      <x:c r="H1513" s="14" t="n">
        <x:v>3</x:v>
      </x:c>
      <x:c r="I1513" s="14" t="n">
        <x:v>7</x:v>
      </x:c>
      <x:c r="J1513" s="14" t="n">
        <x:v>5</x:v>
      </x:c>
      <x:c r="K1513" s="14" t="n">
        <x:v>3</x:v>
      </x:c>
      <x:c r="L1513" s="15" t="n">
        <x:f>IF(J1513=0,"해당 없음",K1513/J1513)</x:f>
        <x:v>0.6</x:v>
      </x:c>
      <x:c r="M1513" s="14" t="n">
        <x:v>5</x:v>
      </x:c>
      <x:c r="N1513" s="14" t="n">
        <x:v>4</x:v>
      </x:c>
      <x:c r="O1513" s="15" t="n">
        <x:f>IF(M1513=0,"해당 없음",N1513/M1513)</x:f>
        <x:v>0.8</x:v>
      </x:c>
      <x:c r="P1513" s="14" t="n">
        <x:v>105</x:v>
      </x:c>
    </x:row>
    <x:row r="1514" ht="22" customHeight="1">
      <x:c r="A1514" s="14" t="n">
        <x:v>755</x:v>
      </x:c>
      <x:c r="B1514" s="14" t="n">
        <x:v>19</x:v>
      </x:c>
      <x:c r="C1514" s="14" t="n">
        <x:v>76017</x:v>
      </x:c>
      <x:c r="D1514" s="2" t="str">
        <x:v>RED</x:v>
      </x:c>
      <x:c r="E1514" s="2" t="str">
        <x:v>80만</x:v>
      </x:c>
      <x:c r="F1514" s="2" t="str">
        <x:v>120만</x:v>
      </x:c>
      <x:c r="G1514" s="2" t="str">
        <x:v>패</x:v>
      </x:c>
      <x:c r="H1514" s="14" t="n">
        <x:v>2</x:v>
      </x:c>
      <x:c r="I1514" s="14" t="n">
        <x:v>3</x:v>
      </x:c>
      <x:c r="J1514" s="14" t="n">
        <x:v>7</x:v>
      </x:c>
      <x:c r="K1514" s="14" t="n">
        <x:v>2</x:v>
      </x:c>
      <x:c r="L1514" s="15" t="n">
        <x:f>IF(J1514=0,"해당 없음",K1514/J1514)</x:f>
        <x:v>0.2857142857142857</x:v>
      </x:c>
      <x:c r="M1514" s="14" t="n">
        <x:v>7</x:v>
      </x:c>
      <x:c r="N1514" s="14" t="n">
        <x:v>4</x:v>
      </x:c>
      <x:c r="O1514" s="15" t="n">
        <x:f>IF(M1514=0,"해당 없음",N1514/M1514)</x:f>
        <x:v>0.5714285714285714</x:v>
      </x:c>
      <x:c r="P1514" s="14" t="n">
        <x:v>101</x:v>
      </x:c>
    </x:row>
    <x:row r="1515" ht="22" customHeight="1">
      <x:c r="A1515" s="14" t="n">
        <x:v>755</x:v>
      </x:c>
      <x:c r="B1515" s="14" t="n">
        <x:v>19</x:v>
      </x:c>
      <x:c r="C1515" s="14" t="n">
        <x:v>76017</x:v>
      </x:c>
      <x:c r="D1515" s="2" t="str">
        <x:v>NAVY</x:v>
      </x:c>
      <x:c r="E1515" s="2" t="str">
        <x:v>120만</x:v>
      </x:c>
      <x:c r="F1515" s="2" t="str">
        <x:v>80만</x:v>
      </x:c>
      <x:c r="G1515" s="2" t="str">
        <x:v>승</x:v>
      </x:c>
      <x:c r="H1515" s="14" t="n">
        <x:v>3</x:v>
      </x:c>
      <x:c r="I1515" s="14" t="n">
        <x:v>2</x:v>
      </x:c>
      <x:c r="J1515" s="14" t="n">
        <x:v>7</x:v>
      </x:c>
      <x:c r="K1515" s="14" t="n">
        <x:v>3</x:v>
      </x:c>
      <x:c r="L1515" s="15" t="n">
        <x:f>IF(J1515=0,"해당 없음",K1515/J1515)</x:f>
        <x:v>0.42857142857142855</x:v>
      </x:c>
      <x:c r="M1515" s="14" t="n">
        <x:v>11</x:v>
      </x:c>
      <x:c r="N1515" s="14" t="n">
        <x:v>9</x:v>
      </x:c>
      <x:c r="O1515" s="15" t="n">
        <x:f>IF(M1515=0,"해당 없음",N1515/M1515)</x:f>
        <x:v>0.8181818181818182</x:v>
      </x:c>
      <x:c r="P1515" s="14" t="n">
        <x:v>102</x:v>
      </x:c>
    </x:row>
    <x:row r="1516" ht="22" customHeight="1">
      <x:c r="A1516" s="14" t="n">
        <x:v>756</x:v>
      </x:c>
      <x:c r="B1516" s="14" t="n">
        <x:v>19</x:v>
      </x:c>
      <x:c r="C1516" s="14" t="n">
        <x:v>76017</x:v>
      </x:c>
      <x:c r="D1516" s="2" t="str">
        <x:v>RED</x:v>
      </x:c>
      <x:c r="E1516" s="2" t="str">
        <x:v>120만</x:v>
      </x:c>
      <x:c r="F1516" s="2" t="str">
        <x:v>80만</x:v>
      </x:c>
      <x:c r="G1516" s="2" t="str">
        <x:v>패</x:v>
      </x:c>
      <x:c r="H1516" s="14" t="n">
        <x:v>1</x:v>
      </x:c>
      <x:c r="I1516" s="14" t="n">
        <x:v>4</x:v>
      </x:c>
      <x:c r="J1516" s="14" t="n">
        <x:v>8</x:v>
      </x:c>
      <x:c r="K1516" s="14" t="n">
        <x:v>1</x:v>
      </x:c>
      <x:c r="L1516" s="15" t="n">
        <x:f>IF(J1516=0,"해당 없음",K1516/J1516)</x:f>
        <x:v>0.125</x:v>
      </x:c>
      <x:c r="M1516" s="14" t="n">
        <x:v>7</x:v>
      </x:c>
      <x:c r="N1516" s="14" t="n">
        <x:v>6</x:v>
      </x:c>
      <x:c r="O1516" s="15" t="n">
        <x:f>IF(M1516=0,"해당 없음",N1516/M1516)</x:f>
        <x:v>0.8571428571428571</x:v>
      </x:c>
      <x:c r="P1516" s="14" t="n">
        <x:v>103</x:v>
      </x:c>
    </x:row>
    <x:row r="1517" ht="22" customHeight="1">
      <x:c r="A1517" s="14" t="n">
        <x:v>756</x:v>
      </x:c>
      <x:c r="B1517" s="14" t="n">
        <x:v>19</x:v>
      </x:c>
      <x:c r="C1517" s="14" t="n">
        <x:v>76017</x:v>
      </x:c>
      <x:c r="D1517" s="2" t="str">
        <x:v>NAVY</x:v>
      </x:c>
      <x:c r="E1517" s="2" t="str">
        <x:v>80만</x:v>
      </x:c>
      <x:c r="F1517" s="2" t="str">
        <x:v>120만</x:v>
      </x:c>
      <x:c r="G1517" s="2" t="str">
        <x:v>승</x:v>
      </x:c>
      <x:c r="H1517" s="14" t="n">
        <x:v>4</x:v>
      </x:c>
      <x:c r="I1517" s="14" t="n">
        <x:v>1</x:v>
      </x:c>
      <x:c r="J1517" s="14" t="n">
        <x:v>12</x:v>
      </x:c>
      <x:c r="K1517" s="14" t="n">
        <x:v>4</x:v>
      </x:c>
      <x:c r="L1517" s="15" t="n">
        <x:f>IF(J1517=0,"해당 없음",K1517/J1517)</x:f>
        <x:v>0.3333333333333333</x:v>
      </x:c>
      <x:c r="M1517" s="14" t="n">
        <x:v>7</x:v>
      </x:c>
      <x:c r="N1517" s="14" t="n">
        <x:v>6</x:v>
      </x:c>
      <x:c r="O1517" s="15" t="n">
        <x:f>IF(M1517=0,"해당 없음",N1517/M1517)</x:f>
        <x:v>0.8571428571428571</x:v>
      </x:c>
      <x:c r="P1517" s="14" t="n">
        <x:v>101</x:v>
      </x:c>
    </x:row>
    <x:row r="1518" ht="22" customHeight="1">
      <x:c r="A1518" s="14" t="n">
        <x:v>757</x:v>
      </x:c>
      <x:c r="B1518" s="14" t="n">
        <x:v>19</x:v>
      </x:c>
      <x:c r="C1518" s="14" t="n">
        <x:v>76018</x:v>
      </x:c>
      <x:c r="D1518" s="2" t="str">
        <x:v>RED</x:v>
      </x:c>
      <x:c r="E1518" s="2" t="str">
        <x:v>80만</x:v>
      </x:c>
      <x:c r="F1518" s="2" t="str">
        <x:v>120만</x:v>
      </x:c>
      <x:c r="G1518" s="2" t="str">
        <x:v>패</x:v>
      </x:c>
      <x:c r="H1518" s="14" t="n">
        <x:v>2</x:v>
      </x:c>
      <x:c r="I1518" s="14" t="n">
        <x:v>4</x:v>
      </x:c>
      <x:c r="J1518" s="14" t="n">
        <x:v>10</x:v>
      </x:c>
      <x:c r="K1518" s="14" t="n">
        <x:v>2</x:v>
      </x:c>
      <x:c r="L1518" s="15" t="n">
        <x:f>IF(J1518=0,"해당 없음",K1518/J1518)</x:f>
        <x:v>0.2</x:v>
      </x:c>
      <x:c r="M1518" s="14" t="n">
        <x:v>5</x:v>
      </x:c>
      <x:c r="N1518" s="14" t="n">
        <x:v>4</x:v>
      </x:c>
      <x:c r="O1518" s="15" t="n">
        <x:f>IF(M1518=0,"해당 없음",N1518/M1518)</x:f>
        <x:v>0.8</x:v>
      </x:c>
      <x:c r="P1518" s="14" t="n">
        <x:v>103</x:v>
      </x:c>
    </x:row>
    <x:row r="1519" ht="22" customHeight="1">
      <x:c r="A1519" s="14" t="n">
        <x:v>757</x:v>
      </x:c>
      <x:c r="B1519" s="14" t="n">
        <x:v>19</x:v>
      </x:c>
      <x:c r="C1519" s="14" t="n">
        <x:v>76018</x:v>
      </x:c>
      <x:c r="D1519" s="2" t="str">
        <x:v>NAVY</x:v>
      </x:c>
      <x:c r="E1519" s="2" t="str">
        <x:v>120만</x:v>
      </x:c>
      <x:c r="F1519" s="2" t="str">
        <x:v>80만</x:v>
      </x:c>
      <x:c r="G1519" s="2" t="str">
        <x:v>승</x:v>
      </x:c>
      <x:c r="H1519" s="14" t="n">
        <x:v>4</x:v>
      </x:c>
      <x:c r="I1519" s="14" t="n">
        <x:v>2</x:v>
      </x:c>
      <x:c r="J1519" s="14" t="n">
        <x:v>8</x:v>
      </x:c>
      <x:c r="K1519" s="14" t="n">
        <x:v>4</x:v>
      </x:c>
      <x:c r="L1519" s="15" t="n">
        <x:f>IF(J1519=0,"해당 없음",K1519/J1519)</x:f>
        <x:v>0.5</x:v>
      </x:c>
      <x:c r="M1519" s="14" t="n">
        <x:v>7</x:v>
      </x:c>
      <x:c r="N1519" s="14" t="n">
        <x:v>6</x:v>
      </x:c>
      <x:c r="O1519" s="15" t="n">
        <x:f>IF(M1519=0,"해당 없음",N1519/M1519)</x:f>
        <x:v>0.8571428571428571</x:v>
      </x:c>
      <x:c r="P1519" s="14" t="n">
        <x:v>102</x:v>
      </x:c>
    </x:row>
    <x:row r="1520" ht="22" customHeight="1">
      <x:c r="A1520" s="14" t="n">
        <x:v>758</x:v>
      </x:c>
      <x:c r="B1520" s="14" t="n">
        <x:v>19</x:v>
      </x:c>
      <x:c r="C1520" s="14" t="n">
        <x:v>76018</x:v>
      </x:c>
      <x:c r="D1520" s="2" t="str">
        <x:v>RED</x:v>
      </x:c>
      <x:c r="E1520" s="2" t="str">
        <x:v>120만</x:v>
      </x:c>
      <x:c r="F1520" s="2" t="str">
        <x:v>80만</x:v>
      </x:c>
      <x:c r="G1520" s="2" t="str">
        <x:v>패</x:v>
      </x:c>
      <x:c r="H1520" s="14" t="n">
        <x:v>2</x:v>
      </x:c>
      <x:c r="I1520" s="14" t="n">
        <x:v>5</x:v>
      </x:c>
      <x:c r="J1520" s="14" t="n">
        <x:v>9</x:v>
      </x:c>
      <x:c r="K1520" s="14" t="n">
        <x:v>2</x:v>
      </x:c>
      <x:c r="L1520" s="15" t="n">
        <x:f>IF(J1520=0,"해당 없음",K1520/J1520)</x:f>
        <x:v>0.2222222222222222</x:v>
      </x:c>
      <x:c r="M1520" s="14" t="n">
        <x:v>6</x:v>
      </x:c>
      <x:c r="N1520" s="14" t="n">
        <x:v>5</x:v>
      </x:c>
      <x:c r="O1520" s="15" t="n">
        <x:f>IF(M1520=0,"해당 없음",N1520/M1520)</x:f>
        <x:v>0.8333333333333334</x:v>
      </x:c>
      <x:c r="P1520" s="14" t="n">
        <x:v>102</x:v>
      </x:c>
    </x:row>
    <x:row r="1521" ht="22" customHeight="1">
      <x:c r="A1521" s="14" t="n">
        <x:v>758</x:v>
      </x:c>
      <x:c r="B1521" s="14" t="n">
        <x:v>19</x:v>
      </x:c>
      <x:c r="C1521" s="14" t="n">
        <x:v>76018</x:v>
      </x:c>
      <x:c r="D1521" s="2" t="str">
        <x:v>NAVY</x:v>
      </x:c>
      <x:c r="E1521" s="2" t="str">
        <x:v>80만</x:v>
      </x:c>
      <x:c r="F1521" s="2" t="str">
        <x:v>120만</x:v>
      </x:c>
      <x:c r="G1521" s="2" t="str">
        <x:v>승</x:v>
      </x:c>
      <x:c r="H1521" s="14" t="n">
        <x:v>5</x:v>
      </x:c>
      <x:c r="I1521" s="14" t="n">
        <x:v>2</x:v>
      </x:c>
      <x:c r="J1521" s="14" t="n">
        <x:v>7</x:v>
      </x:c>
      <x:c r="K1521" s="14" t="n">
        <x:v>5</x:v>
      </x:c>
      <x:c r="L1521" s="15" t="n">
        <x:f>IF(J1521=0,"해당 없음",K1521/J1521)</x:f>
        <x:v>0.7142857142857143</x:v>
      </x:c>
      <x:c r="M1521" s="14" t="n">
        <x:v>10</x:v>
      </x:c>
      <x:c r="N1521" s="14" t="n">
        <x:v>8</x:v>
      </x:c>
      <x:c r="O1521" s="15" t="n">
        <x:f>IF(M1521=0,"해당 없음",N1521/M1521)</x:f>
        <x:v>0.8</x:v>
      </x:c>
      <x:c r="P1521" s="14" t="n">
        <x:v>104</x:v>
      </x:c>
    </x:row>
    <x:row r="1522" ht="22" customHeight="1">
      <x:c r="A1522" s="14" t="n">
        <x:v>759</x:v>
      </x:c>
      <x:c r="B1522" s="14" t="n">
        <x:v>19</x:v>
      </x:c>
      <x:c r="C1522" s="14" t="n">
        <x:v>76019</x:v>
      </x:c>
      <x:c r="D1522" s="2" t="str">
        <x:v>RED</x:v>
      </x:c>
      <x:c r="E1522" s="2" t="str">
        <x:v>80만</x:v>
      </x:c>
      <x:c r="F1522" s="2" t="str">
        <x:v>120만</x:v>
      </x:c>
      <x:c r="G1522" s="2" t="str">
        <x:v>무</x:v>
      </x:c>
      <x:c r="H1522" s="14" t="n">
        <x:v>2</x:v>
      </x:c>
      <x:c r="I1522" s="14" t="n">
        <x:v>2</x:v>
      </x:c>
      <x:c r="J1522" s="14" t="n">
        <x:v>8</x:v>
      </x:c>
      <x:c r="K1522" s="14" t="n">
        <x:v>2</x:v>
      </x:c>
      <x:c r="L1522" s="15" t="n">
        <x:f>IF(J1522=0,"해당 없음",K1522/J1522)</x:f>
        <x:v>0.25</x:v>
      </x:c>
      <x:c r="M1522" s="14" t="n">
        <x:v>10</x:v>
      </x:c>
      <x:c r="N1522" s="14" t="n">
        <x:v>7</x:v>
      </x:c>
      <x:c r="O1522" s="15" t="n">
        <x:f>IF(M1522=0,"해당 없음",N1522/M1522)</x:f>
        <x:v>0.7</x:v>
      </x:c>
      <x:c r="P1522" s="14" t="n">
        <x:v>104</x:v>
      </x:c>
    </x:row>
    <x:row r="1523" ht="22" customHeight="1">
      <x:c r="A1523" s="14" t="n">
        <x:v>759</x:v>
      </x:c>
      <x:c r="B1523" s="14" t="n">
        <x:v>19</x:v>
      </x:c>
      <x:c r="C1523" s="14" t="n">
        <x:v>76019</x:v>
      </x:c>
      <x:c r="D1523" s="2" t="str">
        <x:v>NAVY</x:v>
      </x:c>
      <x:c r="E1523" s="2" t="str">
        <x:v>120만</x:v>
      </x:c>
      <x:c r="F1523" s="2" t="str">
        <x:v>80만</x:v>
      </x:c>
      <x:c r="G1523" s="2" t="str">
        <x:v>무</x:v>
      </x:c>
      <x:c r="H1523" s="14" t="n">
        <x:v>2</x:v>
      </x:c>
      <x:c r="I1523" s="14" t="n">
        <x:v>2</x:v>
      </x:c>
      <x:c r="J1523" s="14" t="n">
        <x:v>8</x:v>
      </x:c>
      <x:c r="K1523" s="14" t="n">
        <x:v>2</x:v>
      </x:c>
      <x:c r="L1523" s="15" t="n">
        <x:f>IF(J1523=0,"해당 없음",K1523/J1523)</x:f>
        <x:v>0.25</x:v>
      </x:c>
      <x:c r="M1523" s="14" t="n">
        <x:v>11</x:v>
      </x:c>
      <x:c r="N1523" s="14" t="n">
        <x:v>10</x:v>
      </x:c>
      <x:c r="O1523" s="15" t="n">
        <x:f>IF(M1523=0,"해당 없음",N1523/M1523)</x:f>
        <x:v>0.9090909090909091</x:v>
      </x:c>
      <x:c r="P1523" s="14" t="n">
        <x:v>104</x:v>
      </x:c>
    </x:row>
    <x:row r="1524" ht="22" customHeight="1">
      <x:c r="A1524" s="14" t="n">
        <x:v>760</x:v>
      </x:c>
      <x:c r="B1524" s="14" t="n">
        <x:v>19</x:v>
      </x:c>
      <x:c r="C1524" s="14" t="n">
        <x:v>76019</x:v>
      </x:c>
      <x:c r="D1524" s="2" t="str">
        <x:v>RED</x:v>
      </x:c>
      <x:c r="E1524" s="2" t="str">
        <x:v>120만</x:v>
      </x:c>
      <x:c r="F1524" s="2" t="str">
        <x:v>80만</x:v>
      </x:c>
      <x:c r="G1524" s="2" t="str">
        <x:v>승</x:v>
      </x:c>
      <x:c r="H1524" s="14" t="n">
        <x:v>4</x:v>
      </x:c>
      <x:c r="I1524" s="14" t="n">
        <x:v>3</x:v>
      </x:c>
      <x:c r="J1524" s="14" t="n">
        <x:v>12</x:v>
      </x:c>
      <x:c r="K1524" s="14" t="n">
        <x:v>4</x:v>
      </x:c>
      <x:c r="L1524" s="15" t="n">
        <x:f>IF(J1524=0,"해당 없음",K1524/J1524)</x:f>
        <x:v>0.3333333333333333</x:v>
      </x:c>
      <x:c r="M1524" s="14" t="n">
        <x:v>4</x:v>
      </x:c>
      <x:c r="N1524" s="14" t="n">
        <x:v>3</x:v>
      </x:c>
      <x:c r="O1524" s="15" t="n">
        <x:f>IF(M1524=0,"해당 없음",N1524/M1524)</x:f>
        <x:v>0.75</x:v>
      </x:c>
      <x:c r="P1524" s="14" t="n">
        <x:v>103</x:v>
      </x:c>
    </x:row>
    <x:row r="1525" ht="22" customHeight="1">
      <x:c r="A1525" s="14" t="n">
        <x:v>760</x:v>
      </x:c>
      <x:c r="B1525" s="14" t="n">
        <x:v>19</x:v>
      </x:c>
      <x:c r="C1525" s="14" t="n">
        <x:v>76019</x:v>
      </x:c>
      <x:c r="D1525" s="2" t="str">
        <x:v>NAVY</x:v>
      </x:c>
      <x:c r="E1525" s="2" t="str">
        <x:v>80만</x:v>
      </x:c>
      <x:c r="F1525" s="2" t="str">
        <x:v>120만</x:v>
      </x:c>
      <x:c r="G1525" s="2" t="str">
        <x:v>패</x:v>
      </x:c>
      <x:c r="H1525" s="14" t="n">
        <x:v>3</x:v>
      </x:c>
      <x:c r="I1525" s="14" t="n">
        <x:v>4</x:v>
      </x:c>
      <x:c r="J1525" s="14" t="n">
        <x:v>5</x:v>
      </x:c>
      <x:c r="K1525" s="14" t="n">
        <x:v>3</x:v>
      </x:c>
      <x:c r="L1525" s="15" t="n">
        <x:f>IF(J1525=0,"해당 없음",K1525/J1525)</x:f>
        <x:v>0.6</x:v>
      </x:c>
      <x:c r="M1525" s="14" t="n">
        <x:v>8</x:v>
      </x:c>
      <x:c r="N1525" s="14" t="n">
        <x:v>4</x:v>
      </x:c>
      <x:c r="O1525" s="15" t="n">
        <x:f>IF(M1525=0,"해당 없음",N1525/M1525)</x:f>
        <x:v>0.5</x:v>
      </x:c>
      <x:c r="P1525" s="14" t="n">
        <x:v>102</x:v>
      </x:c>
    </x:row>
    <x:row r="1526" ht="22" customHeight="1">
      <x:c r="A1526" s="14" t="n">
        <x:v>761</x:v>
      </x:c>
      <x:c r="B1526" s="14" t="n">
        <x:v>20</x:v>
      </x:c>
      <x:c r="C1526" s="14" t="n">
        <x:v>76000</x:v>
      </x:c>
      <x:c r="D1526" s="2" t="str">
        <x:v>RED</x:v>
      </x:c>
      <x:c r="E1526" s="2" t="str">
        <x:v>80만</x:v>
      </x:c>
      <x:c r="F1526" s="2" t="str">
        <x:v>160만</x:v>
      </x:c>
      <x:c r="G1526" s="2" t="str">
        <x:v>승</x:v>
      </x:c>
      <x:c r="H1526" s="14" t="n">
        <x:v>4</x:v>
      </x:c>
      <x:c r="I1526" s="14" t="n">
        <x:v>2</x:v>
      </x:c>
      <x:c r="J1526" s="14" t="n">
        <x:v>8</x:v>
      </x:c>
      <x:c r="K1526" s="14" t="n">
        <x:v>4</x:v>
      </x:c>
      <x:c r="L1526" s="15" t="n">
        <x:f>IF(J1526=0,"해당 없음",K1526/J1526)</x:f>
        <x:v>0.5</x:v>
      </x:c>
      <x:c r="M1526" s="14" t="n">
        <x:v>6</x:v>
      </x:c>
      <x:c r="N1526" s="14" t="n">
        <x:v>2</x:v>
      </x:c>
      <x:c r="O1526" s="15" t="n">
        <x:f>IF(M1526=0,"해당 없음",N1526/M1526)</x:f>
        <x:v>0.3333333333333333</x:v>
      </x:c>
      <x:c r="P1526" s="14" t="n">
        <x:v>102</x:v>
      </x:c>
    </x:row>
    <x:row r="1527" ht="22" customHeight="1">
      <x:c r="A1527" s="14" t="n">
        <x:v>761</x:v>
      </x:c>
      <x:c r="B1527" s="14" t="n">
        <x:v>20</x:v>
      </x:c>
      <x:c r="C1527" s="14" t="n">
        <x:v>76000</x:v>
      </x:c>
      <x:c r="D1527" s="2" t="str">
        <x:v>NAVY</x:v>
      </x:c>
      <x:c r="E1527" s="2" t="str">
        <x:v>160만</x:v>
      </x:c>
      <x:c r="F1527" s="2" t="str">
        <x:v>80만</x:v>
      </x:c>
      <x:c r="G1527" s="2" t="str">
        <x:v>패</x:v>
      </x:c>
      <x:c r="H1527" s="14" t="n">
        <x:v>2</x:v>
      </x:c>
      <x:c r="I1527" s="14" t="n">
        <x:v>4</x:v>
      </x:c>
      <x:c r="J1527" s="14" t="n">
        <x:v>11</x:v>
      </x:c>
      <x:c r="K1527" s="14" t="n">
        <x:v>2</x:v>
      </x:c>
      <x:c r="L1527" s="15" t="n">
        <x:f>IF(J1527=0,"해당 없음",K1527/J1527)</x:f>
        <x:v>0.18181818181818182</x:v>
      </x:c>
      <x:c r="M1527" s="14" t="n">
        <x:v>9</x:v>
      </x:c>
      <x:c r="N1527" s="14" t="n">
        <x:v>7</x:v>
      </x:c>
      <x:c r="O1527" s="15" t="n">
        <x:f>IF(M1527=0,"해당 없음",N1527/M1527)</x:f>
        <x:v>0.7777777777777778</x:v>
      </x:c>
      <x:c r="P1527" s="14" t="n">
        <x:v>102</x:v>
      </x:c>
    </x:row>
    <x:row r="1528" ht="22" customHeight="1">
      <x:c r="A1528" s="14" t="n">
        <x:v>762</x:v>
      </x:c>
      <x:c r="B1528" s="14" t="n">
        <x:v>20</x:v>
      </x:c>
      <x:c r="C1528" s="14" t="n">
        <x:v>76000</x:v>
      </x:c>
      <x:c r="D1528" s="2" t="str">
        <x:v>RED</x:v>
      </x:c>
      <x:c r="E1528" s="2" t="str">
        <x:v>160만</x:v>
      </x:c>
      <x:c r="F1528" s="2" t="str">
        <x:v>80만</x:v>
      </x:c>
      <x:c r="G1528" s="2" t="str">
        <x:v>패</x:v>
      </x:c>
      <x:c r="H1528" s="14" t="n">
        <x:v>1</x:v>
      </x:c>
      <x:c r="I1528" s="14" t="n">
        <x:v>3</x:v>
      </x:c>
      <x:c r="J1528" s="14" t="n">
        <x:v>7</x:v>
      </x:c>
      <x:c r="K1528" s="14" t="n">
        <x:v>1</x:v>
      </x:c>
      <x:c r="L1528" s="15" t="n">
        <x:f>IF(J1528=0,"해당 없음",K1528/J1528)</x:f>
        <x:v>0.14285714285714285</x:v>
      </x:c>
      <x:c r="M1528" s="14" t="n">
        <x:v>10</x:v>
      </x:c>
      <x:c r="N1528" s="14" t="n">
        <x:v>6</x:v>
      </x:c>
      <x:c r="O1528" s="15" t="n">
        <x:f>IF(M1528=0,"해당 없음",N1528/M1528)</x:f>
        <x:v>0.6</x:v>
      </x:c>
      <x:c r="P1528" s="14" t="n">
        <x:v>102</x:v>
      </x:c>
    </x:row>
    <x:row r="1529" ht="22" customHeight="1">
      <x:c r="A1529" s="14" t="n">
        <x:v>762</x:v>
      </x:c>
      <x:c r="B1529" s="14" t="n">
        <x:v>20</x:v>
      </x:c>
      <x:c r="C1529" s="14" t="n">
        <x:v>76000</x:v>
      </x:c>
      <x:c r="D1529" s="2" t="str">
        <x:v>NAVY</x:v>
      </x:c>
      <x:c r="E1529" s="2" t="str">
        <x:v>80만</x:v>
      </x:c>
      <x:c r="F1529" s="2" t="str">
        <x:v>160만</x:v>
      </x:c>
      <x:c r="G1529" s="2" t="str">
        <x:v>승</x:v>
      </x:c>
      <x:c r="H1529" s="14" t="n">
        <x:v>3</x:v>
      </x:c>
      <x:c r="I1529" s="14" t="n">
        <x:v>1</x:v>
      </x:c>
      <x:c r="J1529" s="14" t="n">
        <x:v>9</x:v>
      </x:c>
      <x:c r="K1529" s="14" t="n">
        <x:v>3</x:v>
      </x:c>
      <x:c r="L1529" s="15" t="n">
        <x:f>IF(J1529=0,"해당 없음",K1529/J1529)</x:f>
        <x:v>0.3333333333333333</x:v>
      </x:c>
      <x:c r="M1529" s="14" t="n">
        <x:v>12</x:v>
      </x:c>
      <x:c r="N1529" s="14" t="n">
        <x:v>11</x:v>
      </x:c>
      <x:c r="O1529" s="15" t="n">
        <x:f>IF(M1529=0,"해당 없음",N1529/M1529)</x:f>
        <x:v>0.9166666666666666</x:v>
      </x:c>
      <x:c r="P1529" s="14" t="n">
        <x:v>103</x:v>
      </x:c>
    </x:row>
    <x:row r="1530" ht="22" customHeight="1">
      <x:c r="A1530" s="14" t="n">
        <x:v>763</x:v>
      </x:c>
      <x:c r="B1530" s="14" t="n">
        <x:v>20</x:v>
      </x:c>
      <x:c r="C1530" s="14" t="n">
        <x:v>76001</x:v>
      </x:c>
      <x:c r="D1530" s="2" t="str">
        <x:v>RED</x:v>
      </x:c>
      <x:c r="E1530" s="2" t="str">
        <x:v>80만</x:v>
      </x:c>
      <x:c r="F1530" s="2" t="str">
        <x:v>160만</x:v>
      </x:c>
      <x:c r="G1530" s="2" t="str">
        <x:v>패</x:v>
      </x:c>
      <x:c r="H1530" s="14" t="n">
        <x:v>3</x:v>
      </x:c>
      <x:c r="I1530" s="14" t="n">
        <x:v>6</x:v>
      </x:c>
      <x:c r="J1530" s="14" t="n">
        <x:v>9</x:v>
      </x:c>
      <x:c r="K1530" s="14" t="n">
        <x:v>3</x:v>
      </x:c>
      <x:c r="L1530" s="15" t="n">
        <x:f>IF(J1530=0,"해당 없음",K1530/J1530)</x:f>
        <x:v>0.3333333333333333</x:v>
      </x:c>
      <x:c r="M1530" s="14" t="n">
        <x:v>5</x:v>
      </x:c>
      <x:c r="N1530" s="14" t="n">
        <x:v>3</x:v>
      </x:c>
      <x:c r="O1530" s="15" t="n">
        <x:f>IF(M1530=0,"해당 없음",N1530/M1530)</x:f>
        <x:v>0.6</x:v>
      </x:c>
      <x:c r="P1530" s="14" t="n">
        <x:v>104</x:v>
      </x:c>
    </x:row>
    <x:row r="1531" ht="22" customHeight="1">
      <x:c r="A1531" s="14" t="n">
        <x:v>763</x:v>
      </x:c>
      <x:c r="B1531" s="14" t="n">
        <x:v>20</x:v>
      </x:c>
      <x:c r="C1531" s="14" t="n">
        <x:v>76001</x:v>
      </x:c>
      <x:c r="D1531" s="2" t="str">
        <x:v>NAVY</x:v>
      </x:c>
      <x:c r="E1531" s="2" t="str">
        <x:v>160만</x:v>
      </x:c>
      <x:c r="F1531" s="2" t="str">
        <x:v>80만</x:v>
      </x:c>
      <x:c r="G1531" s="2" t="str">
        <x:v>승</x:v>
      </x:c>
      <x:c r="H1531" s="14" t="n">
        <x:v>6</x:v>
      </x:c>
      <x:c r="I1531" s="14" t="n">
        <x:v>3</x:v>
      </x:c>
      <x:c r="J1531" s="14" t="n">
        <x:v>9</x:v>
      </x:c>
      <x:c r="K1531" s="14" t="n">
        <x:v>6</x:v>
      </x:c>
      <x:c r="L1531" s="15" t="n">
        <x:f>IF(J1531=0,"해당 없음",K1531/J1531)</x:f>
        <x:v>0.6666666666666666</x:v>
      </x:c>
      <x:c r="M1531" s="14" t="n">
        <x:v>11</x:v>
      </x:c>
      <x:c r="N1531" s="14" t="n">
        <x:v>9</x:v>
      </x:c>
      <x:c r="O1531" s="15" t="n">
        <x:f>IF(M1531=0,"해당 없음",N1531/M1531)</x:f>
        <x:v>0.8181818181818182</x:v>
      </x:c>
      <x:c r="P1531" s="14" t="n">
        <x:v>105</x:v>
      </x:c>
    </x:row>
    <x:row r="1532" ht="22" customHeight="1">
      <x:c r="A1532" s="14" t="n">
        <x:v>764</x:v>
      </x:c>
      <x:c r="B1532" s="14" t="n">
        <x:v>20</x:v>
      </x:c>
      <x:c r="C1532" s="14" t="n">
        <x:v>76001</x:v>
      </x:c>
      <x:c r="D1532" s="2" t="str">
        <x:v>RED</x:v>
      </x:c>
      <x:c r="E1532" s="2" t="str">
        <x:v>160만</x:v>
      </x:c>
      <x:c r="F1532" s="2" t="str">
        <x:v>80만</x:v>
      </x:c>
      <x:c r="G1532" s="2" t="str">
        <x:v>승</x:v>
      </x:c>
      <x:c r="H1532" s="14" t="n">
        <x:v>4</x:v>
      </x:c>
      <x:c r="I1532" s="14" t="n">
        <x:v>2</x:v>
      </x:c>
      <x:c r="J1532" s="14" t="n">
        <x:v>11</x:v>
      </x:c>
      <x:c r="K1532" s="14" t="n">
        <x:v>4</x:v>
      </x:c>
      <x:c r="L1532" s="15" t="n">
        <x:f>IF(J1532=0,"해당 없음",K1532/J1532)</x:f>
        <x:v>0.36363636363636365</x:v>
      </x:c>
      <x:c r="M1532" s="14" t="n">
        <x:v>9</x:v>
      </x:c>
      <x:c r="N1532" s="14" t="n">
        <x:v>9</x:v>
      </x:c>
      <x:c r="O1532" s="15" t="n">
        <x:f>IF(M1532=0,"해당 없음",N1532/M1532)</x:f>
        <x:v>1</x:v>
      </x:c>
      <x:c r="P1532" s="14" t="n">
        <x:v>104</x:v>
      </x:c>
    </x:row>
    <x:row r="1533" ht="22" customHeight="1">
      <x:c r="A1533" s="14" t="n">
        <x:v>764</x:v>
      </x:c>
      <x:c r="B1533" s="14" t="n">
        <x:v>20</x:v>
      </x:c>
      <x:c r="C1533" s="14" t="n">
        <x:v>76001</x:v>
      </x:c>
      <x:c r="D1533" s="2" t="str">
        <x:v>NAVY</x:v>
      </x:c>
      <x:c r="E1533" s="2" t="str">
        <x:v>80만</x:v>
      </x:c>
      <x:c r="F1533" s="2" t="str">
        <x:v>160만</x:v>
      </x:c>
      <x:c r="G1533" s="2" t="str">
        <x:v>패</x:v>
      </x:c>
      <x:c r="H1533" s="14" t="n">
        <x:v>2</x:v>
      </x:c>
      <x:c r="I1533" s="14" t="n">
        <x:v>4</x:v>
      </x:c>
      <x:c r="J1533" s="14" t="n">
        <x:v>6</x:v>
      </x:c>
      <x:c r="K1533" s="14" t="n">
        <x:v>2</x:v>
      </x:c>
      <x:c r="L1533" s="15" t="n">
        <x:f>IF(J1533=0,"해당 없음",K1533/J1533)</x:f>
        <x:v>0.3333333333333333</x:v>
      </x:c>
      <x:c r="M1533" s="14" t="n">
        <x:v>6</x:v>
      </x:c>
      <x:c r="N1533" s="14" t="n">
        <x:v>6</x:v>
      </x:c>
      <x:c r="O1533" s="15" t="n">
        <x:f>IF(M1533=0,"해당 없음",N1533/M1533)</x:f>
        <x:v>1</x:v>
      </x:c>
      <x:c r="P1533" s="14" t="n">
        <x:v>102</x:v>
      </x:c>
    </x:row>
    <x:row r="1534" ht="22" customHeight="1">
      <x:c r="A1534" s="14" t="n">
        <x:v>765</x:v>
      </x:c>
      <x:c r="B1534" s="14" t="n">
        <x:v>20</x:v>
      </x:c>
      <x:c r="C1534" s="14" t="n">
        <x:v>76002</x:v>
      </x:c>
      <x:c r="D1534" s="2" t="str">
        <x:v>RED</x:v>
      </x:c>
      <x:c r="E1534" s="2" t="str">
        <x:v>80만</x:v>
      </x:c>
      <x:c r="F1534" s="2" t="str">
        <x:v>160만</x:v>
      </x:c>
      <x:c r="G1534" s="2" t="str">
        <x:v>패</x:v>
      </x:c>
      <x:c r="H1534" s="14" t="n">
        <x:v>2</x:v>
      </x:c>
      <x:c r="I1534" s="14" t="n">
        <x:v>3</x:v>
      </x:c>
      <x:c r="J1534" s="14" t="n">
        <x:v>8</x:v>
      </x:c>
      <x:c r="K1534" s="14" t="n">
        <x:v>2</x:v>
      </x:c>
      <x:c r="L1534" s="15" t="n">
        <x:f>IF(J1534=0,"해당 없음",K1534/J1534)</x:f>
        <x:v>0.25</x:v>
      </x:c>
      <x:c r="M1534" s="14" t="n">
        <x:v>8</x:v>
      </x:c>
      <x:c r="N1534" s="14" t="n">
        <x:v>6</x:v>
      </x:c>
      <x:c r="O1534" s="15" t="n">
        <x:f>IF(M1534=0,"해당 없음",N1534/M1534)</x:f>
        <x:v>0.75</x:v>
      </x:c>
      <x:c r="P1534" s="14" t="n">
        <x:v>102</x:v>
      </x:c>
    </x:row>
    <x:row r="1535" ht="22" customHeight="1">
      <x:c r="A1535" s="14" t="n">
        <x:v>765</x:v>
      </x:c>
      <x:c r="B1535" s="14" t="n">
        <x:v>20</x:v>
      </x:c>
      <x:c r="C1535" s="14" t="n">
        <x:v>76002</x:v>
      </x:c>
      <x:c r="D1535" s="2" t="str">
        <x:v>NAVY</x:v>
      </x:c>
      <x:c r="E1535" s="2" t="str">
        <x:v>160만</x:v>
      </x:c>
      <x:c r="F1535" s="2" t="str">
        <x:v>80만</x:v>
      </x:c>
      <x:c r="G1535" s="2" t="str">
        <x:v>승</x:v>
      </x:c>
      <x:c r="H1535" s="14" t="n">
        <x:v>3</x:v>
      </x:c>
      <x:c r="I1535" s="14" t="n">
        <x:v>2</x:v>
      </x:c>
      <x:c r="J1535" s="14" t="n">
        <x:v>8</x:v>
      </x:c>
      <x:c r="K1535" s="14" t="n">
        <x:v>3</x:v>
      </x:c>
      <x:c r="L1535" s="15" t="n">
        <x:f>IF(J1535=0,"해당 없음",K1535/J1535)</x:f>
        <x:v>0.375</x:v>
      </x:c>
      <x:c r="M1535" s="14" t="n">
        <x:v>11</x:v>
      </x:c>
      <x:c r="N1535" s="14" t="n">
        <x:v>11</x:v>
      </x:c>
      <x:c r="O1535" s="15" t="n">
        <x:f>IF(M1535=0,"해당 없음",N1535/M1535)</x:f>
        <x:v>1</x:v>
      </x:c>
      <x:c r="P1535" s="14" t="n">
        <x:v>103</x:v>
      </x:c>
    </x:row>
    <x:row r="1536" ht="22" customHeight="1">
      <x:c r="A1536" s="14" t="n">
        <x:v>766</x:v>
      </x:c>
      <x:c r="B1536" s="14" t="n">
        <x:v>20</x:v>
      </x:c>
      <x:c r="C1536" s="14" t="n">
        <x:v>76002</x:v>
      </x:c>
      <x:c r="D1536" s="2" t="str">
        <x:v>RED</x:v>
      </x:c>
      <x:c r="E1536" s="2" t="str">
        <x:v>160만</x:v>
      </x:c>
      <x:c r="F1536" s="2" t="str">
        <x:v>80만</x:v>
      </x:c>
      <x:c r="G1536" s="2" t="str">
        <x:v>패</x:v>
      </x:c>
      <x:c r="H1536" s="14" t="n">
        <x:v>2</x:v>
      </x:c>
      <x:c r="I1536" s="14" t="n">
        <x:v>3</x:v>
      </x:c>
      <x:c r="J1536" s="14" t="n">
        <x:v>8</x:v>
      </x:c>
      <x:c r="K1536" s="14" t="n">
        <x:v>2</x:v>
      </x:c>
      <x:c r="L1536" s="15" t="n">
        <x:f>IF(J1536=0,"해당 없음",K1536/J1536)</x:f>
        <x:v>0.25</x:v>
      </x:c>
      <x:c r="M1536" s="14" t="n">
        <x:v>9</x:v>
      </x:c>
      <x:c r="N1536" s="14" t="n">
        <x:v>8</x:v>
      </x:c>
      <x:c r="O1536" s="15" t="n">
        <x:f>IF(M1536=0,"해당 없음",N1536/M1536)</x:f>
        <x:v>0.8888888888888888</x:v>
      </x:c>
      <x:c r="P1536" s="14" t="n">
        <x:v>103</x:v>
      </x:c>
    </x:row>
    <x:row r="1537" ht="22" customHeight="1">
      <x:c r="A1537" s="14" t="n">
        <x:v>766</x:v>
      </x:c>
      <x:c r="B1537" s="14" t="n">
        <x:v>20</x:v>
      </x:c>
      <x:c r="C1537" s="14" t="n">
        <x:v>76002</x:v>
      </x:c>
      <x:c r="D1537" s="2" t="str">
        <x:v>NAVY</x:v>
      </x:c>
      <x:c r="E1537" s="2" t="str">
        <x:v>80만</x:v>
      </x:c>
      <x:c r="F1537" s="2" t="str">
        <x:v>160만</x:v>
      </x:c>
      <x:c r="G1537" s="2" t="str">
        <x:v>승</x:v>
      </x:c>
      <x:c r="H1537" s="14" t="n">
        <x:v>3</x:v>
      </x:c>
      <x:c r="I1537" s="14" t="n">
        <x:v>2</x:v>
      </x:c>
      <x:c r="J1537" s="14" t="n">
        <x:v>9</x:v>
      </x:c>
      <x:c r="K1537" s="14" t="n">
        <x:v>3</x:v>
      </x:c>
      <x:c r="L1537" s="15" t="n">
        <x:f>IF(J1537=0,"해당 없음",K1537/J1537)</x:f>
        <x:v>0.3333333333333333</x:v>
      </x:c>
      <x:c r="M1537" s="14" t="n">
        <x:v>14</x:v>
      </x:c>
      <x:c r="N1537" s="14" t="n">
        <x:v>9</x:v>
      </x:c>
      <x:c r="O1537" s="15" t="n">
        <x:f>IF(M1537=0,"해당 없음",N1537/M1537)</x:f>
        <x:v>0.6428571428571429</x:v>
      </x:c>
      <x:c r="P1537" s="14" t="n">
        <x:v>104</x:v>
      </x:c>
    </x:row>
    <x:row r="1538" ht="22" customHeight="1">
      <x:c r="A1538" s="14" t="n">
        <x:v>767</x:v>
      </x:c>
      <x:c r="B1538" s="14" t="n">
        <x:v>20</x:v>
      </x:c>
      <x:c r="C1538" s="14" t="n">
        <x:v>76003</x:v>
      </x:c>
      <x:c r="D1538" s="2" t="str">
        <x:v>RED</x:v>
      </x:c>
      <x:c r="E1538" s="2" t="str">
        <x:v>80만</x:v>
      </x:c>
      <x:c r="F1538" s="2" t="str">
        <x:v>160만</x:v>
      </x:c>
      <x:c r="G1538" s="2" t="str">
        <x:v>패</x:v>
      </x:c>
      <x:c r="H1538" s="14" t="n">
        <x:v>4</x:v>
      </x:c>
      <x:c r="I1538" s="14" t="n">
        <x:v>5</x:v>
      </x:c>
      <x:c r="J1538" s="14" t="n">
        <x:v>9</x:v>
      </x:c>
      <x:c r="K1538" s="14" t="n">
        <x:v>4</x:v>
      </x:c>
      <x:c r="L1538" s="15" t="n">
        <x:f>IF(J1538=0,"해당 없음",K1538/J1538)</x:f>
        <x:v>0.4444444444444444</x:v>
      </x:c>
      <x:c r="M1538" s="14" t="n">
        <x:v>9</x:v>
      </x:c>
      <x:c r="N1538" s="14" t="n">
        <x:v>6</x:v>
      </x:c>
      <x:c r="O1538" s="15" t="n">
        <x:f>IF(M1538=0,"해당 없음",N1538/M1538)</x:f>
        <x:v>0.6666666666666666</x:v>
      </x:c>
      <x:c r="P1538" s="14" t="n">
        <x:v>105</x:v>
      </x:c>
    </x:row>
    <x:row r="1539" ht="22" customHeight="1">
      <x:c r="A1539" s="14" t="n">
        <x:v>767</x:v>
      </x:c>
      <x:c r="B1539" s="14" t="n">
        <x:v>20</x:v>
      </x:c>
      <x:c r="C1539" s="14" t="n">
        <x:v>76003</x:v>
      </x:c>
      <x:c r="D1539" s="2" t="str">
        <x:v>NAVY</x:v>
      </x:c>
      <x:c r="E1539" s="2" t="str">
        <x:v>160만</x:v>
      </x:c>
      <x:c r="F1539" s="2" t="str">
        <x:v>80만</x:v>
      </x:c>
      <x:c r="G1539" s="2" t="str">
        <x:v>승</x:v>
      </x:c>
      <x:c r="H1539" s="14" t="n">
        <x:v>5</x:v>
      </x:c>
      <x:c r="I1539" s="14" t="n">
        <x:v>4</x:v>
      </x:c>
      <x:c r="J1539" s="14" t="n">
        <x:v>9</x:v>
      </x:c>
      <x:c r="K1539" s="14" t="n">
        <x:v>5</x:v>
      </x:c>
      <x:c r="L1539" s="15" t="n">
        <x:f>IF(J1539=0,"해당 없음",K1539/J1539)</x:f>
        <x:v>0.5555555555555556</x:v>
      </x:c>
      <x:c r="M1539" s="14" t="n">
        <x:v>9</x:v>
      </x:c>
      <x:c r="N1539" s="14" t="n">
        <x:v>4</x:v>
      </x:c>
      <x:c r="O1539" s="15" t="n">
        <x:f>IF(M1539=0,"해당 없음",N1539/M1539)</x:f>
        <x:v>0.4444444444444444</x:v>
      </x:c>
      <x:c r="P1539" s="14" t="n">
        <x:v>103</x:v>
      </x:c>
    </x:row>
    <x:row r="1540" ht="22" customHeight="1">
      <x:c r="A1540" s="14" t="n">
        <x:v>768</x:v>
      </x:c>
      <x:c r="B1540" s="14" t="n">
        <x:v>20</x:v>
      </x:c>
      <x:c r="C1540" s="14" t="n">
        <x:v>76003</x:v>
      </x:c>
      <x:c r="D1540" s="2" t="str">
        <x:v>RED</x:v>
      </x:c>
      <x:c r="E1540" s="2" t="str">
        <x:v>160만</x:v>
      </x:c>
      <x:c r="F1540" s="2" t="str">
        <x:v>80만</x:v>
      </x:c>
      <x:c r="G1540" s="2" t="str">
        <x:v>승</x:v>
      </x:c>
      <x:c r="H1540" s="14" t="n">
        <x:v>3</x:v>
      </x:c>
      <x:c r="I1540" s="14" t="n">
        <x:v>1</x:v>
      </x:c>
      <x:c r="J1540" s="14" t="n">
        <x:v>5</x:v>
      </x:c>
      <x:c r="K1540" s="14" t="n">
        <x:v>2</x:v>
      </x:c>
      <x:c r="L1540" s="15" t="n">
        <x:f>IF(J1540=0,"해당 없음",K1540/J1540)</x:f>
        <x:v>0.4</x:v>
      </x:c>
      <x:c r="M1540" s="14" t="n">
        <x:v>9</x:v>
      </x:c>
      <x:c r="N1540" s="14" t="n">
        <x:v>8</x:v>
      </x:c>
      <x:c r="O1540" s="15" t="n">
        <x:f>IF(M1540=0,"해당 없음",N1540/M1540)</x:f>
        <x:v>0.8888888888888888</x:v>
      </x:c>
      <x:c r="P1540" s="14" t="n">
        <x:v>102</x:v>
      </x:c>
    </x:row>
    <x:row r="1541" ht="22" customHeight="1">
      <x:c r="A1541" s="14" t="n">
        <x:v>768</x:v>
      </x:c>
      <x:c r="B1541" s="14" t="n">
        <x:v>20</x:v>
      </x:c>
      <x:c r="C1541" s="14" t="n">
        <x:v>76003</x:v>
      </x:c>
      <x:c r="D1541" s="2" t="str">
        <x:v>NAVY</x:v>
      </x:c>
      <x:c r="E1541" s="2" t="str">
        <x:v>80만</x:v>
      </x:c>
      <x:c r="F1541" s="2" t="str">
        <x:v>160만</x:v>
      </x:c>
      <x:c r="G1541" s="2" t="str">
        <x:v>패</x:v>
      </x:c>
      <x:c r="H1541" s="14" t="n">
        <x:v>1</x:v>
      </x:c>
      <x:c r="I1541" s="14" t="n">
        <x:v>3</x:v>
      </x:c>
      <x:c r="J1541" s="14" t="n">
        <x:v>11</x:v>
      </x:c>
      <x:c r="K1541" s="14" t="n">
        <x:v>1</x:v>
      </x:c>
      <x:c r="L1541" s="15" t="n">
        <x:f>IF(J1541=0,"해당 없음",K1541/J1541)</x:f>
        <x:v>0.09090909090909091</x:v>
      </x:c>
      <x:c r="M1541" s="14" t="n">
        <x:v>10</x:v>
      </x:c>
      <x:c r="N1541" s="14" t="n">
        <x:v>10</x:v>
      </x:c>
      <x:c r="O1541" s="15" t="n">
        <x:f>IF(M1541=0,"해당 없음",N1541/M1541)</x:f>
        <x:v>1</x:v>
      </x:c>
      <x:c r="P1541" s="14" t="n">
        <x:v>101</x:v>
      </x:c>
    </x:row>
    <x:row r="1542" ht="22" customHeight="1">
      <x:c r="A1542" s="14" t="n">
        <x:v>769</x:v>
      </x:c>
      <x:c r="B1542" s="14" t="n">
        <x:v>20</x:v>
      </x:c>
      <x:c r="C1542" s="14" t="n">
        <x:v>76004</x:v>
      </x:c>
      <x:c r="D1542" s="2" t="str">
        <x:v>RED</x:v>
      </x:c>
      <x:c r="E1542" s="2" t="str">
        <x:v>80만</x:v>
      </x:c>
      <x:c r="F1542" s="2" t="str">
        <x:v>160만</x:v>
      </x:c>
      <x:c r="G1542" s="2" t="str">
        <x:v>승</x:v>
      </x:c>
      <x:c r="H1542" s="14" t="n">
        <x:v>7</x:v>
      </x:c>
      <x:c r="I1542" s="14" t="n">
        <x:v>2</x:v>
      </x:c>
      <x:c r="J1542" s="14" t="n">
        <x:v>10</x:v>
      </x:c>
      <x:c r="K1542" s="14" t="n">
        <x:v>6</x:v>
      </x:c>
      <x:c r="L1542" s="15" t="n">
        <x:f>IF(J1542=0,"해당 없음",K1542/J1542)</x:f>
        <x:v>0.6</x:v>
      </x:c>
      <x:c r="M1542" s="14" t="n">
        <x:v>7</x:v>
      </x:c>
      <x:c r="N1542" s="14" t="n">
        <x:v>7</x:v>
      </x:c>
      <x:c r="O1542" s="15" t="n">
        <x:f>IF(M1542=0,"해당 없음",N1542/M1542)</x:f>
        <x:v>1</x:v>
      </x:c>
      <x:c r="P1542" s="14" t="n">
        <x:v>104</x:v>
      </x:c>
    </x:row>
    <x:row r="1543" ht="22" customHeight="1">
      <x:c r="A1543" s="14" t="n">
        <x:v>769</x:v>
      </x:c>
      <x:c r="B1543" s="14" t="n">
        <x:v>20</x:v>
      </x:c>
      <x:c r="C1543" s="14" t="n">
        <x:v>76004</x:v>
      </x:c>
      <x:c r="D1543" s="2" t="str">
        <x:v>NAVY</x:v>
      </x:c>
      <x:c r="E1543" s="2" t="str">
        <x:v>160만</x:v>
      </x:c>
      <x:c r="F1543" s="2" t="str">
        <x:v>80만</x:v>
      </x:c>
      <x:c r="G1543" s="2" t="str">
        <x:v>패</x:v>
      </x:c>
      <x:c r="H1543" s="14" t="n">
        <x:v>2</x:v>
      </x:c>
      <x:c r="I1543" s="14" t="n">
        <x:v>7</x:v>
      </x:c>
      <x:c r="J1543" s="14" t="n">
        <x:v>5</x:v>
      </x:c>
      <x:c r="K1543" s="14" t="n">
        <x:v>2</x:v>
      </x:c>
      <x:c r="L1543" s="15" t="n">
        <x:f>IF(J1543=0,"해당 없음",K1543/J1543)</x:f>
        <x:v>0.4</x:v>
      </x:c>
      <x:c r="M1543" s="14" t="n">
        <x:v>6</x:v>
      </x:c>
      <x:c r="N1543" s="14" t="n">
        <x:v>5</x:v>
      </x:c>
      <x:c r="O1543" s="15" t="n">
        <x:f>IF(M1543=0,"해당 없음",N1543/M1543)</x:f>
        <x:v>0.8333333333333334</x:v>
      </x:c>
      <x:c r="P1543" s="14" t="n">
        <x:v>105</x:v>
      </x:c>
    </x:row>
    <x:row r="1544" ht="22" customHeight="1">
      <x:c r="A1544" s="14" t="n">
        <x:v>770</x:v>
      </x:c>
      <x:c r="B1544" s="14" t="n">
        <x:v>20</x:v>
      </x:c>
      <x:c r="C1544" s="14" t="n">
        <x:v>76004</x:v>
      </x:c>
      <x:c r="D1544" s="2" t="str">
        <x:v>RED</x:v>
      </x:c>
      <x:c r="E1544" s="2" t="str">
        <x:v>160만</x:v>
      </x:c>
      <x:c r="F1544" s="2" t="str">
        <x:v>80만</x:v>
      </x:c>
      <x:c r="G1544" s="2" t="str">
        <x:v>패</x:v>
      </x:c>
      <x:c r="H1544" s="14" t="n">
        <x:v>2</x:v>
      </x:c>
      <x:c r="I1544" s="14" t="n">
        <x:v>3</x:v>
      </x:c>
      <x:c r="J1544" s="14" t="n">
        <x:v>9</x:v>
      </x:c>
      <x:c r="K1544" s="14" t="n">
        <x:v>2</x:v>
      </x:c>
      <x:c r="L1544" s="15" t="n">
        <x:f>IF(J1544=0,"해당 없음",K1544/J1544)</x:f>
        <x:v>0.2222222222222222</x:v>
      </x:c>
      <x:c r="M1544" s="14" t="n">
        <x:v>13</x:v>
      </x:c>
      <x:c r="N1544" s="14" t="n">
        <x:v>9</x:v>
      </x:c>
      <x:c r="O1544" s="15" t="n">
        <x:f>IF(M1544=0,"해당 없음",N1544/M1544)</x:f>
        <x:v>0.6923076923076923</x:v>
      </x:c>
      <x:c r="P1544" s="14" t="n">
        <x:v>104</x:v>
      </x:c>
    </x:row>
    <x:row r="1545" ht="22" customHeight="1">
      <x:c r="A1545" s="14" t="n">
        <x:v>770</x:v>
      </x:c>
      <x:c r="B1545" s="14" t="n">
        <x:v>20</x:v>
      </x:c>
      <x:c r="C1545" s="14" t="n">
        <x:v>76004</x:v>
      </x:c>
      <x:c r="D1545" s="2" t="str">
        <x:v>NAVY</x:v>
      </x:c>
      <x:c r="E1545" s="2" t="str">
        <x:v>80만</x:v>
      </x:c>
      <x:c r="F1545" s="2" t="str">
        <x:v>160만</x:v>
      </x:c>
      <x:c r="G1545" s="2" t="str">
        <x:v>승</x:v>
      </x:c>
      <x:c r="H1545" s="14" t="n">
        <x:v>3</x:v>
      </x:c>
      <x:c r="I1545" s="14" t="n">
        <x:v>2</x:v>
      </x:c>
      <x:c r="J1545" s="14" t="n">
        <x:v>6</x:v>
      </x:c>
      <x:c r="K1545" s="14" t="n">
        <x:v>3</x:v>
      </x:c>
      <x:c r="L1545" s="15" t="n">
        <x:f>IF(J1545=0,"해당 없음",K1545/J1545)</x:f>
        <x:v>0.5</x:v>
      </x:c>
      <x:c r="M1545" s="14" t="n">
        <x:v>7</x:v>
      </x:c>
      <x:c r="N1545" s="14" t="n">
        <x:v>4</x:v>
      </x:c>
      <x:c r="O1545" s="15" t="n">
        <x:f>IF(M1545=0,"해당 없음",N1545/M1545)</x:f>
        <x:v>0.5714285714285714</x:v>
      </x:c>
      <x:c r="P1545" s="14" t="n">
        <x:v>103</x:v>
      </x:c>
    </x:row>
    <x:row r="1546" ht="22" customHeight="1">
      <x:c r="A1546" s="14" t="n">
        <x:v>771</x:v>
      </x:c>
      <x:c r="B1546" s="14" t="n">
        <x:v>20</x:v>
      </x:c>
      <x:c r="C1546" s="14" t="n">
        <x:v>76005</x:v>
      </x:c>
      <x:c r="D1546" s="2" t="str">
        <x:v>RED</x:v>
      </x:c>
      <x:c r="E1546" s="2" t="str">
        <x:v>80만</x:v>
      </x:c>
      <x:c r="F1546" s="2" t="str">
        <x:v>160만</x:v>
      </x:c>
      <x:c r="G1546" s="2" t="str">
        <x:v>승</x:v>
      </x:c>
      <x:c r="H1546" s="14" t="n">
        <x:v>5</x:v>
      </x:c>
      <x:c r="I1546" s="14" t="n">
        <x:v>1</x:v>
      </x:c>
      <x:c r="J1546" s="14" t="n">
        <x:v>9</x:v>
      </x:c>
      <x:c r="K1546" s="14" t="n">
        <x:v>5</x:v>
      </x:c>
      <x:c r="L1546" s="15" t="n">
        <x:f>IF(J1546=0,"해당 없음",K1546/J1546)</x:f>
        <x:v>0.5555555555555556</x:v>
      </x:c>
      <x:c r="M1546" s="14" t="n">
        <x:v>13</x:v>
      </x:c>
      <x:c r="N1546" s="14" t="n">
        <x:v>11</x:v>
      </x:c>
      <x:c r="O1546" s="15" t="n">
        <x:f>IF(M1546=0,"해당 없음",N1546/M1546)</x:f>
        <x:v>0.8461538461538461</x:v>
      </x:c>
      <x:c r="P1546" s="14" t="n">
        <x:v>105</x:v>
      </x:c>
    </x:row>
    <x:row r="1547" ht="22" customHeight="1">
      <x:c r="A1547" s="14" t="n">
        <x:v>771</x:v>
      </x:c>
      <x:c r="B1547" s="14" t="n">
        <x:v>20</x:v>
      </x:c>
      <x:c r="C1547" s="14" t="n">
        <x:v>76005</x:v>
      </x:c>
      <x:c r="D1547" s="2" t="str">
        <x:v>NAVY</x:v>
      </x:c>
      <x:c r="E1547" s="2" t="str">
        <x:v>160만</x:v>
      </x:c>
      <x:c r="F1547" s="2" t="str">
        <x:v>80만</x:v>
      </x:c>
      <x:c r="G1547" s="2" t="str">
        <x:v>패</x:v>
      </x:c>
      <x:c r="H1547" s="14" t="n">
        <x:v>1</x:v>
      </x:c>
      <x:c r="I1547" s="14" t="n">
        <x:v>5</x:v>
      </x:c>
      <x:c r="J1547" s="14" t="n">
        <x:v>7</x:v>
      </x:c>
      <x:c r="K1547" s="14" t="n">
        <x:v>1</x:v>
      </x:c>
      <x:c r="L1547" s="15" t="n">
        <x:f>IF(J1547=0,"해당 없음",K1547/J1547)</x:f>
        <x:v>0.14285714285714285</x:v>
      </x:c>
      <x:c r="M1547" s="14" t="n">
        <x:v>10</x:v>
      </x:c>
      <x:c r="N1547" s="14" t="n">
        <x:v>7</x:v>
      </x:c>
      <x:c r="O1547" s="15" t="n">
        <x:f>IF(M1547=0,"해당 없음",N1547/M1547)</x:f>
        <x:v>0.7</x:v>
      </x:c>
      <x:c r="P1547" s="14" t="n">
        <x:v>102</x:v>
      </x:c>
    </x:row>
    <x:row r="1548" ht="22" customHeight="1">
      <x:c r="A1548" s="14" t="n">
        <x:v>772</x:v>
      </x:c>
      <x:c r="B1548" s="14" t="n">
        <x:v>20</x:v>
      </x:c>
      <x:c r="C1548" s="14" t="n">
        <x:v>76005</x:v>
      </x:c>
      <x:c r="D1548" s="2" t="str">
        <x:v>RED</x:v>
      </x:c>
      <x:c r="E1548" s="2" t="str">
        <x:v>160만</x:v>
      </x:c>
      <x:c r="F1548" s="2" t="str">
        <x:v>80만</x:v>
      </x:c>
      <x:c r="G1548" s="2" t="str">
        <x:v>승</x:v>
      </x:c>
      <x:c r="H1548" s="14" t="n">
        <x:v>3</x:v>
      </x:c>
      <x:c r="I1548" s="14" t="n">
        <x:v>1</x:v>
      </x:c>
      <x:c r="J1548" s="14" t="n">
        <x:v>8</x:v>
      </x:c>
      <x:c r="K1548" s="14" t="n">
        <x:v>3</x:v>
      </x:c>
      <x:c r="L1548" s="15" t="n">
        <x:f>IF(J1548=0,"해당 없음",K1548/J1548)</x:f>
        <x:v>0.375</x:v>
      </x:c>
      <x:c r="M1548" s="14" t="n">
        <x:v>12</x:v>
      </x:c>
      <x:c r="N1548" s="14" t="n">
        <x:v>10</x:v>
      </x:c>
      <x:c r="O1548" s="15" t="n">
        <x:f>IF(M1548=0,"해당 없음",N1548/M1548)</x:f>
        <x:v>0.8333333333333334</x:v>
      </x:c>
      <x:c r="P1548" s="14" t="n">
        <x:v>102</x:v>
      </x:c>
    </x:row>
    <x:row r="1549" ht="22" customHeight="1">
      <x:c r="A1549" s="14" t="n">
        <x:v>772</x:v>
      </x:c>
      <x:c r="B1549" s="14" t="n">
        <x:v>20</x:v>
      </x:c>
      <x:c r="C1549" s="14" t="n">
        <x:v>76005</x:v>
      </x:c>
      <x:c r="D1549" s="2" t="str">
        <x:v>NAVY</x:v>
      </x:c>
      <x:c r="E1549" s="2" t="str">
        <x:v>80만</x:v>
      </x:c>
      <x:c r="F1549" s="2" t="str">
        <x:v>160만</x:v>
      </x:c>
      <x:c r="G1549" s="2" t="str">
        <x:v>패</x:v>
      </x:c>
      <x:c r="H1549" s="14" t="n">
        <x:v>1</x:v>
      </x:c>
      <x:c r="I1549" s="14" t="n">
        <x:v>3</x:v>
      </x:c>
      <x:c r="J1549" s="14" t="n">
        <x:v>11</x:v>
      </x:c>
      <x:c r="K1549" s="14" t="n">
        <x:v>1</x:v>
      </x:c>
      <x:c r="L1549" s="15" t="n">
        <x:f>IF(J1549=0,"해당 없음",K1549/J1549)</x:f>
        <x:v>0.09090909090909091</x:v>
      </x:c>
      <x:c r="M1549" s="14" t="n">
        <x:v>13</x:v>
      </x:c>
      <x:c r="N1549" s="14" t="n">
        <x:v>9</x:v>
      </x:c>
      <x:c r="O1549" s="15" t="n">
        <x:f>IF(M1549=0,"해당 없음",N1549/M1549)</x:f>
        <x:v>0.6923076923076923</x:v>
      </x:c>
      <x:c r="P1549" s="14" t="n">
        <x:v>104</x:v>
      </x:c>
    </x:row>
    <x:row r="1550" ht="22" customHeight="1">
      <x:c r="A1550" s="14" t="n">
        <x:v>773</x:v>
      </x:c>
      <x:c r="B1550" s="14" t="n">
        <x:v>20</x:v>
      </x:c>
      <x:c r="C1550" s="14" t="n">
        <x:v>76006</x:v>
      </x:c>
      <x:c r="D1550" s="2" t="str">
        <x:v>RED</x:v>
      </x:c>
      <x:c r="E1550" s="2" t="str">
        <x:v>80만</x:v>
      </x:c>
      <x:c r="F1550" s="2" t="str">
        <x:v>160만</x:v>
      </x:c>
      <x:c r="G1550" s="2" t="str">
        <x:v>패</x:v>
      </x:c>
      <x:c r="H1550" s="14" t="n">
        <x:v>3</x:v>
      </x:c>
      <x:c r="I1550" s="14" t="n">
        <x:v>5</x:v>
      </x:c>
      <x:c r="J1550" s="14" t="n">
        <x:v>9</x:v>
      </x:c>
      <x:c r="K1550" s="14" t="n">
        <x:v>3</x:v>
      </x:c>
      <x:c r="L1550" s="15" t="n">
        <x:f>IF(J1550=0,"해당 없음",K1550/J1550)</x:f>
        <x:v>0.3333333333333333</x:v>
      </x:c>
      <x:c r="M1550" s="14" t="n">
        <x:v>9</x:v>
      </x:c>
      <x:c r="N1550" s="14" t="n">
        <x:v>7</x:v>
      </x:c>
      <x:c r="O1550" s="15" t="n">
        <x:f>IF(M1550=0,"해당 없음",N1550/M1550)</x:f>
        <x:v>0.7777777777777778</x:v>
      </x:c>
      <x:c r="P1550" s="14" t="n">
        <x:v>102</x:v>
      </x:c>
    </x:row>
    <x:row r="1551" ht="22" customHeight="1">
      <x:c r="A1551" s="14" t="n">
        <x:v>773</x:v>
      </x:c>
      <x:c r="B1551" s="14" t="n">
        <x:v>20</x:v>
      </x:c>
      <x:c r="C1551" s="14" t="n">
        <x:v>76006</x:v>
      </x:c>
      <x:c r="D1551" s="2" t="str">
        <x:v>NAVY</x:v>
      </x:c>
      <x:c r="E1551" s="2" t="str">
        <x:v>160만</x:v>
      </x:c>
      <x:c r="F1551" s="2" t="str">
        <x:v>80만</x:v>
      </x:c>
      <x:c r="G1551" s="2" t="str">
        <x:v>승</x:v>
      </x:c>
      <x:c r="H1551" s="14" t="n">
        <x:v>5</x:v>
      </x:c>
      <x:c r="I1551" s="14" t="n">
        <x:v>3</x:v>
      </x:c>
      <x:c r="J1551" s="14" t="n">
        <x:v>10</x:v>
      </x:c>
      <x:c r="K1551" s="14" t="n">
        <x:v>5</x:v>
      </x:c>
      <x:c r="L1551" s="15" t="n">
        <x:f>IF(J1551=0,"해당 없음",K1551/J1551)</x:f>
        <x:v>0.5</x:v>
      </x:c>
      <x:c r="M1551" s="14" t="n">
        <x:v>11</x:v>
      </x:c>
      <x:c r="N1551" s="14" t="n">
        <x:v>7</x:v>
      </x:c>
      <x:c r="O1551" s="15" t="n">
        <x:f>IF(M1551=0,"해당 없음",N1551/M1551)</x:f>
        <x:v>0.6363636363636364</x:v>
      </x:c>
      <x:c r="P1551" s="14" t="n">
        <x:v>104</x:v>
      </x:c>
    </x:row>
    <x:row r="1552" ht="22" customHeight="1">
      <x:c r="A1552" s="14" t="n">
        <x:v>774</x:v>
      </x:c>
      <x:c r="B1552" s="14" t="n">
        <x:v>20</x:v>
      </x:c>
      <x:c r="C1552" s="14" t="n">
        <x:v>76006</x:v>
      </x:c>
      <x:c r="D1552" s="2" t="str">
        <x:v>RED</x:v>
      </x:c>
      <x:c r="E1552" s="2" t="str">
        <x:v>160만</x:v>
      </x:c>
      <x:c r="F1552" s="2" t="str">
        <x:v>80만</x:v>
      </x:c>
      <x:c r="G1552" s="2" t="str">
        <x:v>승</x:v>
      </x:c>
      <x:c r="H1552" s="14" t="n">
        <x:v>3</x:v>
      </x:c>
      <x:c r="I1552" s="14" t="n">
        <x:v>2</x:v>
      </x:c>
      <x:c r="J1552" s="14" t="n">
        <x:v>9</x:v>
      </x:c>
      <x:c r="K1552" s="14" t="n">
        <x:v>3</x:v>
      </x:c>
      <x:c r="L1552" s="15" t="n">
        <x:f>IF(J1552=0,"해당 없음",K1552/J1552)</x:f>
        <x:v>0.3333333333333333</x:v>
      </x:c>
      <x:c r="M1552" s="14" t="n">
        <x:v>7</x:v>
      </x:c>
      <x:c r="N1552" s="14" t="n">
        <x:v>4</x:v>
      </x:c>
      <x:c r="O1552" s="15" t="n">
        <x:f>IF(M1552=0,"해당 없음",N1552/M1552)</x:f>
        <x:v>0.5714285714285714</x:v>
      </x:c>
      <x:c r="P1552" s="14" t="n">
        <x:v>104</x:v>
      </x:c>
    </x:row>
    <x:row r="1553" ht="22" customHeight="1">
      <x:c r="A1553" s="14" t="n">
        <x:v>774</x:v>
      </x:c>
      <x:c r="B1553" s="14" t="n">
        <x:v>20</x:v>
      </x:c>
      <x:c r="C1553" s="14" t="n">
        <x:v>76006</x:v>
      </x:c>
      <x:c r="D1553" s="2" t="str">
        <x:v>NAVY</x:v>
      </x:c>
      <x:c r="E1553" s="2" t="str">
        <x:v>80만</x:v>
      </x:c>
      <x:c r="F1553" s="2" t="str">
        <x:v>160만</x:v>
      </x:c>
      <x:c r="G1553" s="2" t="str">
        <x:v>패</x:v>
      </x:c>
      <x:c r="H1553" s="14" t="n">
        <x:v>2</x:v>
      </x:c>
      <x:c r="I1553" s="14" t="n">
        <x:v>3</x:v>
      </x:c>
      <x:c r="J1553" s="14" t="n">
        <x:v>8</x:v>
      </x:c>
      <x:c r="K1553" s="14" t="n">
        <x:v>2</x:v>
      </x:c>
      <x:c r="L1553" s="15" t="n">
        <x:f>IF(J1553=0,"해당 없음",K1553/J1553)</x:f>
        <x:v>0.25</x:v>
      </x:c>
      <x:c r="M1553" s="14" t="n">
        <x:v>15</x:v>
      </x:c>
      <x:c r="N1553" s="14" t="n">
        <x:v>10</x:v>
      </x:c>
      <x:c r="O1553" s="15" t="n">
        <x:f>IF(M1553=0,"해당 없음",N1553/M1553)</x:f>
        <x:v>0.6666666666666666</x:v>
      </x:c>
      <x:c r="P1553" s="14" t="n">
        <x:v>103</x:v>
      </x:c>
    </x:row>
    <x:row r="1554" ht="22" customHeight="1">
      <x:c r="A1554" s="14" t="n">
        <x:v>775</x:v>
      </x:c>
      <x:c r="B1554" s="14" t="n">
        <x:v>20</x:v>
      </x:c>
      <x:c r="C1554" s="14" t="n">
        <x:v>76007</x:v>
      </x:c>
      <x:c r="D1554" s="2" t="str">
        <x:v>RED</x:v>
      </x:c>
      <x:c r="E1554" s="2" t="str">
        <x:v>80만</x:v>
      </x:c>
      <x:c r="F1554" s="2" t="str">
        <x:v>160만</x:v>
      </x:c>
      <x:c r="G1554" s="2" t="str">
        <x:v>패</x:v>
      </x:c>
      <x:c r="H1554" s="14" t="n">
        <x:v>0</x:v>
      </x:c>
      <x:c r="I1554" s="14" t="n">
        <x:v>3</x:v>
      </x:c>
      <x:c r="J1554" s="14" t="n">
        <x:v>8</x:v>
      </x:c>
      <x:c r="K1554" s="14" t="n">
        <x:v>0</x:v>
      </x:c>
      <x:c r="L1554" s="15" t="n">
        <x:f>IF(J1554=0,"해당 없음",K1554/J1554)</x:f>
        <x:v>0</x:v>
      </x:c>
      <x:c r="M1554" s="14" t="n">
        <x:v>9</x:v>
      </x:c>
      <x:c r="N1554" s="14" t="n">
        <x:v>6</x:v>
      </x:c>
      <x:c r="O1554" s="15" t="n">
        <x:f>IF(M1554=0,"해당 없음",N1554/M1554)</x:f>
        <x:v>0.6666666666666666</x:v>
      </x:c>
      <x:c r="P1554" s="14" t="n">
        <x:v>102</x:v>
      </x:c>
    </x:row>
    <x:row r="1555" ht="22" customHeight="1">
      <x:c r="A1555" s="14" t="n">
        <x:v>775</x:v>
      </x:c>
      <x:c r="B1555" s="14" t="n">
        <x:v>20</x:v>
      </x:c>
      <x:c r="C1555" s="14" t="n">
        <x:v>76007</x:v>
      </x:c>
      <x:c r="D1555" s="2" t="str">
        <x:v>NAVY</x:v>
      </x:c>
      <x:c r="E1555" s="2" t="str">
        <x:v>160만</x:v>
      </x:c>
      <x:c r="F1555" s="2" t="str">
        <x:v>80만</x:v>
      </x:c>
      <x:c r="G1555" s="2" t="str">
        <x:v>승</x:v>
      </x:c>
      <x:c r="H1555" s="14" t="n">
        <x:v>3</x:v>
      </x:c>
      <x:c r="I1555" s="14" t="n">
        <x:v>0</x:v>
      </x:c>
      <x:c r="J1555" s="14" t="n">
        <x:v>10</x:v>
      </x:c>
      <x:c r="K1555" s="14" t="n">
        <x:v>3</x:v>
      </x:c>
      <x:c r="L1555" s="15" t="n">
        <x:f>IF(J1555=0,"해당 없음",K1555/J1555)</x:f>
        <x:v>0.3</x:v>
      </x:c>
      <x:c r="M1555" s="14" t="n">
        <x:v>11</x:v>
      </x:c>
      <x:c r="N1555" s="14" t="n">
        <x:v>9</x:v>
      </x:c>
      <x:c r="O1555" s="15" t="n">
        <x:f>IF(M1555=0,"해당 없음",N1555/M1555)</x:f>
        <x:v>0.8181818181818182</x:v>
      </x:c>
      <x:c r="P1555" s="14" t="n">
        <x:v>102</x:v>
      </x:c>
    </x:row>
    <x:row r="1556" ht="22" customHeight="1">
      <x:c r="A1556" s="14" t="n">
        <x:v>776</x:v>
      </x:c>
      <x:c r="B1556" s="14" t="n">
        <x:v>20</x:v>
      </x:c>
      <x:c r="C1556" s="14" t="n">
        <x:v>76007</x:v>
      </x:c>
      <x:c r="D1556" s="2" t="str">
        <x:v>RED</x:v>
      </x:c>
      <x:c r="E1556" s="2" t="str">
        <x:v>160만</x:v>
      </x:c>
      <x:c r="F1556" s="2" t="str">
        <x:v>80만</x:v>
      </x:c>
      <x:c r="G1556" s="2" t="str">
        <x:v>무</x:v>
      </x:c>
      <x:c r="H1556" s="14" t="n">
        <x:v>2</x:v>
      </x:c>
      <x:c r="I1556" s="14" t="n">
        <x:v>2</x:v>
      </x:c>
      <x:c r="J1556" s="14" t="n">
        <x:v>9</x:v>
      </x:c>
      <x:c r="K1556" s="14" t="n">
        <x:v>2</x:v>
      </x:c>
      <x:c r="L1556" s="15" t="n">
        <x:f>IF(J1556=0,"해당 없음",K1556/J1556)</x:f>
        <x:v>0.2222222222222222</x:v>
      </x:c>
      <x:c r="M1556" s="14" t="n">
        <x:v>7</x:v>
      </x:c>
      <x:c r="N1556" s="14" t="n">
        <x:v>5</x:v>
      </x:c>
      <x:c r="O1556" s="15" t="n">
        <x:f>IF(M1556=0,"해당 없음",N1556/M1556)</x:f>
        <x:v>0.7142857142857143</x:v>
      </x:c>
      <x:c r="P1556" s="14" t="n">
        <x:v>103</x:v>
      </x:c>
    </x:row>
    <x:row r="1557" ht="22" customHeight="1">
      <x:c r="A1557" s="14" t="n">
        <x:v>776</x:v>
      </x:c>
      <x:c r="B1557" s="14" t="n">
        <x:v>20</x:v>
      </x:c>
      <x:c r="C1557" s="14" t="n">
        <x:v>76007</x:v>
      </x:c>
      <x:c r="D1557" s="2" t="str">
        <x:v>NAVY</x:v>
      </x:c>
      <x:c r="E1557" s="2" t="str">
        <x:v>80만</x:v>
      </x:c>
      <x:c r="F1557" s="2" t="str">
        <x:v>160만</x:v>
      </x:c>
      <x:c r="G1557" s="2" t="str">
        <x:v>무</x:v>
      </x:c>
      <x:c r="H1557" s="14" t="n">
        <x:v>2</x:v>
      </x:c>
      <x:c r="I1557" s="14" t="n">
        <x:v>2</x:v>
      </x:c>
      <x:c r="J1557" s="14" t="n">
        <x:v>10</x:v>
      </x:c>
      <x:c r="K1557" s="14" t="n">
        <x:v>2</x:v>
      </x:c>
      <x:c r="L1557" s="15" t="n">
        <x:f>IF(J1557=0,"해당 없음",K1557/J1557)</x:f>
        <x:v>0.2</x:v>
      </x:c>
      <x:c r="M1557" s="14" t="n">
        <x:v>9</x:v>
      </x:c>
      <x:c r="N1557" s="14" t="n">
        <x:v>7</x:v>
      </x:c>
      <x:c r="O1557" s="15" t="n">
        <x:f>IF(M1557=0,"해당 없음",N1557/M1557)</x:f>
        <x:v>0.7777777777777778</x:v>
      </x:c>
      <x:c r="P1557" s="14" t="n">
        <x:v>102</x:v>
      </x:c>
    </x:row>
    <x:row r="1558" ht="22" customHeight="1">
      <x:c r="A1558" s="14" t="n">
        <x:v>777</x:v>
      </x:c>
      <x:c r="B1558" s="14" t="n">
        <x:v>20</x:v>
      </x:c>
      <x:c r="C1558" s="14" t="n">
        <x:v>76008</x:v>
      </x:c>
      <x:c r="D1558" s="2" t="str">
        <x:v>RED</x:v>
      </x:c>
      <x:c r="E1558" s="2" t="str">
        <x:v>80만</x:v>
      </x:c>
      <x:c r="F1558" s="2" t="str">
        <x:v>160만</x:v>
      </x:c>
      <x:c r="G1558" s="2" t="str">
        <x:v>패</x:v>
      </x:c>
      <x:c r="H1558" s="14" t="n">
        <x:v>2</x:v>
      </x:c>
      <x:c r="I1558" s="14" t="n">
        <x:v>6</x:v>
      </x:c>
      <x:c r="J1558" s="14" t="n">
        <x:v>8</x:v>
      </x:c>
      <x:c r="K1558" s="14" t="n">
        <x:v>2</x:v>
      </x:c>
      <x:c r="L1558" s="15" t="n">
        <x:f>IF(J1558=0,"해당 없음",K1558/J1558)</x:f>
        <x:v>0.25</x:v>
      </x:c>
      <x:c r="M1558" s="14" t="n">
        <x:v>5</x:v>
      </x:c>
      <x:c r="N1558" s="14" t="n">
        <x:v>3</x:v>
      </x:c>
      <x:c r="O1558" s="15" t="n">
        <x:f>IF(M1558=0,"해당 없음",N1558/M1558)</x:f>
        <x:v>0.6</x:v>
      </x:c>
      <x:c r="P1558" s="14" t="n">
        <x:v>105</x:v>
      </x:c>
    </x:row>
    <x:row r="1559" ht="22" customHeight="1">
      <x:c r="A1559" s="14" t="n">
        <x:v>777</x:v>
      </x:c>
      <x:c r="B1559" s="14" t="n">
        <x:v>20</x:v>
      </x:c>
      <x:c r="C1559" s="14" t="n">
        <x:v>76008</x:v>
      </x:c>
      <x:c r="D1559" s="2" t="str">
        <x:v>NAVY</x:v>
      </x:c>
      <x:c r="E1559" s="2" t="str">
        <x:v>160만</x:v>
      </x:c>
      <x:c r="F1559" s="2" t="str">
        <x:v>80만</x:v>
      </x:c>
      <x:c r="G1559" s="2" t="str">
        <x:v>승</x:v>
      </x:c>
      <x:c r="H1559" s="14" t="n">
        <x:v>6</x:v>
      </x:c>
      <x:c r="I1559" s="14" t="n">
        <x:v>2</x:v>
      </x:c>
      <x:c r="J1559" s="14" t="n">
        <x:v>9</x:v>
      </x:c>
      <x:c r="K1559" s="14" t="n">
        <x:v>6</x:v>
      </x:c>
      <x:c r="L1559" s="15" t="n">
        <x:f>IF(J1559=0,"해당 없음",K1559/J1559)</x:f>
        <x:v>0.6666666666666666</x:v>
      </x:c>
      <x:c r="M1559" s="14" t="n">
        <x:v>12</x:v>
      </x:c>
      <x:c r="N1559" s="14" t="n">
        <x:v>8</x:v>
      </x:c>
      <x:c r="O1559" s="15" t="n">
        <x:f>IF(M1559=0,"해당 없음",N1559/M1559)</x:f>
        <x:v>0.6666666666666666</x:v>
      </x:c>
      <x:c r="P1559" s="14" t="n">
        <x:v>105</x:v>
      </x:c>
    </x:row>
    <x:row r="1560" ht="22" customHeight="1">
      <x:c r="A1560" s="14" t="n">
        <x:v>778</x:v>
      </x:c>
      <x:c r="B1560" s="14" t="n">
        <x:v>20</x:v>
      </x:c>
      <x:c r="C1560" s="14" t="n">
        <x:v>76008</x:v>
      </x:c>
      <x:c r="D1560" s="2" t="str">
        <x:v>RED</x:v>
      </x:c>
      <x:c r="E1560" s="2" t="str">
        <x:v>160만</x:v>
      </x:c>
      <x:c r="F1560" s="2" t="str">
        <x:v>80만</x:v>
      </x:c>
      <x:c r="G1560" s="2" t="str">
        <x:v>승</x:v>
      </x:c>
      <x:c r="H1560" s="14" t="n">
        <x:v>2</x:v>
      </x:c>
      <x:c r="I1560" s="14" t="n">
        <x:v>1</x:v>
      </x:c>
      <x:c r="J1560" s="14" t="n">
        <x:v>9</x:v>
      </x:c>
      <x:c r="K1560" s="14" t="n">
        <x:v>2</x:v>
      </x:c>
      <x:c r="L1560" s="15" t="n">
        <x:f>IF(J1560=0,"해당 없음",K1560/J1560)</x:f>
        <x:v>0.2222222222222222</x:v>
      </x:c>
      <x:c r="M1560" s="14" t="n">
        <x:v>11</x:v>
      </x:c>
      <x:c r="N1560" s="14" t="n">
        <x:v>5</x:v>
      </x:c>
      <x:c r="O1560" s="15" t="n">
        <x:f>IF(M1560=0,"해당 없음",N1560/M1560)</x:f>
        <x:v>0.45454545454545453</x:v>
      </x:c>
      <x:c r="P1560" s="14" t="n">
        <x:v>101</x:v>
      </x:c>
    </x:row>
    <x:row r="1561" ht="22" customHeight="1">
      <x:c r="A1561" s="14" t="n">
        <x:v>778</x:v>
      </x:c>
      <x:c r="B1561" s="14" t="n">
        <x:v>20</x:v>
      </x:c>
      <x:c r="C1561" s="14" t="n">
        <x:v>76008</x:v>
      </x:c>
      <x:c r="D1561" s="2" t="str">
        <x:v>NAVY</x:v>
      </x:c>
      <x:c r="E1561" s="2" t="str">
        <x:v>80만</x:v>
      </x:c>
      <x:c r="F1561" s="2" t="str">
        <x:v>160만</x:v>
      </x:c>
      <x:c r="G1561" s="2" t="str">
        <x:v>패</x:v>
      </x:c>
      <x:c r="H1561" s="14" t="n">
        <x:v>1</x:v>
      </x:c>
      <x:c r="I1561" s="14" t="n">
        <x:v>2</x:v>
      </x:c>
      <x:c r="J1561" s="14" t="n">
        <x:v>7</x:v>
      </x:c>
      <x:c r="K1561" s="14" t="n">
        <x:v>1</x:v>
      </x:c>
      <x:c r="L1561" s="15" t="n">
        <x:f>IF(J1561=0,"해당 없음",K1561/J1561)</x:f>
        <x:v>0.14285714285714285</x:v>
      </x:c>
      <x:c r="M1561" s="14" t="n">
        <x:v>7</x:v>
      </x:c>
      <x:c r="N1561" s="14" t="n">
        <x:v>5</x:v>
      </x:c>
      <x:c r="O1561" s="15" t="n">
        <x:f>IF(M1561=0,"해당 없음",N1561/M1561)</x:f>
        <x:v>0.7142857142857143</x:v>
      </x:c>
      <x:c r="P1561" s="14" t="n">
        <x:v>103</x:v>
      </x:c>
    </x:row>
    <x:row r="1562" ht="22" customHeight="1">
      <x:c r="A1562" s="14" t="n">
        <x:v>779</x:v>
      </x:c>
      <x:c r="B1562" s="14" t="n">
        <x:v>20</x:v>
      </x:c>
      <x:c r="C1562" s="14" t="n">
        <x:v>76009</x:v>
      </x:c>
      <x:c r="D1562" s="2" t="str">
        <x:v>RED</x:v>
      </x:c>
      <x:c r="E1562" s="2" t="str">
        <x:v>80만</x:v>
      </x:c>
      <x:c r="F1562" s="2" t="str">
        <x:v>160만</x:v>
      </x:c>
      <x:c r="G1562" s="2" t="str">
        <x:v>패</x:v>
      </x:c>
      <x:c r="H1562" s="14" t="n">
        <x:v>0</x:v>
      </x:c>
      <x:c r="I1562" s="14" t="n">
        <x:v>1</x:v>
      </x:c>
      <x:c r="J1562" s="14" t="n">
        <x:v>7</x:v>
      </x:c>
      <x:c r="K1562" s="14" t="n">
        <x:v>0</x:v>
      </x:c>
      <x:c r="L1562" s="15" t="n">
        <x:f>IF(J1562=0,"해당 없음",K1562/J1562)</x:f>
        <x:v>0</x:v>
      </x:c>
      <x:c r="M1562" s="14" t="n">
        <x:v>7</x:v>
      </x:c>
      <x:c r="N1562" s="14" t="n">
        <x:v>2</x:v>
      </x:c>
      <x:c r="O1562" s="15" t="n">
        <x:f>IF(M1562=0,"해당 없음",N1562/M1562)</x:f>
        <x:v>0.2857142857142857</x:v>
      </x:c>
      <x:c r="P1562" s="14" t="n">
        <x:v>101</x:v>
      </x:c>
    </x:row>
    <x:row r="1563" ht="22" customHeight="1">
      <x:c r="A1563" s="14" t="n">
        <x:v>779</x:v>
      </x:c>
      <x:c r="B1563" s="14" t="n">
        <x:v>20</x:v>
      </x:c>
      <x:c r="C1563" s="14" t="n">
        <x:v>76009</x:v>
      </x:c>
      <x:c r="D1563" s="2" t="str">
        <x:v>NAVY</x:v>
      </x:c>
      <x:c r="E1563" s="2" t="str">
        <x:v>160만</x:v>
      </x:c>
      <x:c r="F1563" s="2" t="str">
        <x:v>80만</x:v>
      </x:c>
      <x:c r="G1563" s="2" t="str">
        <x:v>승</x:v>
      </x:c>
      <x:c r="H1563" s="14" t="n">
        <x:v>1</x:v>
      </x:c>
      <x:c r="I1563" s="14" t="n">
        <x:v>0</x:v>
      </x:c>
      <x:c r="J1563" s="14" t="n">
        <x:v>7</x:v>
      </x:c>
      <x:c r="K1563" s="14" t="n">
        <x:v>1</x:v>
      </x:c>
      <x:c r="L1563" s="15" t="n">
        <x:f>IF(J1563=0,"해당 없음",K1563/J1563)</x:f>
        <x:v>0.14285714285714285</x:v>
      </x:c>
      <x:c r="M1563" s="14" t="n">
        <x:v>7</x:v>
      </x:c>
      <x:c r="N1563" s="14" t="n">
        <x:v>4</x:v>
      </x:c>
      <x:c r="O1563" s="15" t="n">
        <x:f>IF(M1563=0,"해당 없음",N1563/M1563)</x:f>
        <x:v>0.5714285714285714</x:v>
      </x:c>
      <x:c r="P1563" s="14" t="n">
        <x:v>102</x:v>
      </x:c>
    </x:row>
    <x:row r="1564" ht="22" customHeight="1">
      <x:c r="A1564" s="14" t="n">
        <x:v>780</x:v>
      </x:c>
      <x:c r="B1564" s="14" t="n">
        <x:v>20</x:v>
      </x:c>
      <x:c r="C1564" s="14" t="n">
        <x:v>76009</x:v>
      </x:c>
      <x:c r="D1564" s="2" t="str">
        <x:v>RED</x:v>
      </x:c>
      <x:c r="E1564" s="2" t="str">
        <x:v>160만</x:v>
      </x:c>
      <x:c r="F1564" s="2" t="str">
        <x:v>80만</x:v>
      </x:c>
      <x:c r="G1564" s="2" t="str">
        <x:v>무</x:v>
      </x:c>
      <x:c r="H1564" s="14" t="n">
        <x:v>4</x:v>
      </x:c>
      <x:c r="I1564" s="14" t="n">
        <x:v>4</x:v>
      </x:c>
      <x:c r="J1564" s="14" t="n">
        <x:v>7</x:v>
      </x:c>
      <x:c r="K1564" s="14" t="n">
        <x:v>4</x:v>
      </x:c>
      <x:c r="L1564" s="15" t="n">
        <x:f>IF(J1564=0,"해당 없음",K1564/J1564)</x:f>
        <x:v>0.5714285714285714</x:v>
      </x:c>
      <x:c r="M1564" s="14" t="n">
        <x:v>11</x:v>
      </x:c>
      <x:c r="N1564" s="14" t="n">
        <x:v>9</x:v>
      </x:c>
      <x:c r="O1564" s="15" t="n">
        <x:f>IF(M1564=0,"해당 없음",N1564/M1564)</x:f>
        <x:v>0.8181818181818182</x:v>
      </x:c>
      <x:c r="P1564" s="14" t="n">
        <x:v>105</x:v>
      </x:c>
    </x:row>
    <x:row r="1565" ht="22" customHeight="1">
      <x:c r="A1565" s="14" t="n">
        <x:v>780</x:v>
      </x:c>
      <x:c r="B1565" s="14" t="n">
        <x:v>20</x:v>
      </x:c>
      <x:c r="C1565" s="14" t="n">
        <x:v>76009</x:v>
      </x:c>
      <x:c r="D1565" s="2" t="str">
        <x:v>NAVY</x:v>
      </x:c>
      <x:c r="E1565" s="2" t="str">
        <x:v>80만</x:v>
      </x:c>
      <x:c r="F1565" s="2" t="str">
        <x:v>160만</x:v>
      </x:c>
      <x:c r="G1565" s="2" t="str">
        <x:v>무</x:v>
      </x:c>
      <x:c r="H1565" s="14" t="n">
        <x:v>4</x:v>
      </x:c>
      <x:c r="I1565" s="14" t="n">
        <x:v>4</x:v>
      </x:c>
      <x:c r="J1565" s="14" t="n">
        <x:v>10</x:v>
      </x:c>
      <x:c r="K1565" s="14" t="n">
        <x:v>4</x:v>
      </x:c>
      <x:c r="L1565" s="15" t="n">
        <x:f>IF(J1565=0,"해당 없음",K1565/J1565)</x:f>
        <x:v>0.4</x:v>
      </x:c>
      <x:c r="M1565" s="14" t="n">
        <x:v>8</x:v>
      </x:c>
      <x:c r="N1565" s="14" t="n">
        <x:v>6</x:v>
      </x:c>
      <x:c r="O1565" s="15" t="n">
        <x:f>IF(M1565=0,"해당 없음",N1565/M1565)</x:f>
        <x:v>0.75</x:v>
      </x:c>
      <x:c r="P1565" s="14" t="n">
        <x:v>105</x:v>
      </x:c>
    </x:row>
    <x:row r="1566" ht="22" customHeight="1">
      <x:c r="A1566" s="14" t="n">
        <x:v>781</x:v>
      </x:c>
      <x:c r="B1566" s="14" t="n">
        <x:v>20</x:v>
      </x:c>
      <x:c r="C1566" s="14" t="n">
        <x:v>76010</x:v>
      </x:c>
      <x:c r="D1566" s="2" t="str">
        <x:v>RED</x:v>
      </x:c>
      <x:c r="E1566" s="2" t="str">
        <x:v>80만</x:v>
      </x:c>
      <x:c r="F1566" s="2" t="str">
        <x:v>160만</x:v>
      </x:c>
      <x:c r="G1566" s="2" t="str">
        <x:v>패</x:v>
      </x:c>
      <x:c r="H1566" s="14" t="n">
        <x:v>2</x:v>
      </x:c>
      <x:c r="I1566" s="14" t="n">
        <x:v>4</x:v>
      </x:c>
      <x:c r="J1566" s="14" t="n">
        <x:v>9</x:v>
      </x:c>
      <x:c r="K1566" s="14" t="n">
        <x:v>2</x:v>
      </x:c>
      <x:c r="L1566" s="15" t="n">
        <x:f>IF(J1566=0,"해당 없음",K1566/J1566)</x:f>
        <x:v>0.2222222222222222</x:v>
      </x:c>
      <x:c r="M1566" s="14" t="n">
        <x:v>7</x:v>
      </x:c>
      <x:c r="N1566" s="14" t="n">
        <x:v>7</x:v>
      </x:c>
      <x:c r="O1566" s="15" t="n">
        <x:f>IF(M1566=0,"해당 없음",N1566/M1566)</x:f>
        <x:v>1</x:v>
      </x:c>
      <x:c r="P1566" s="14" t="n">
        <x:v>103</x:v>
      </x:c>
    </x:row>
    <x:row r="1567" ht="22" customHeight="1">
      <x:c r="A1567" s="14" t="n">
        <x:v>781</x:v>
      </x:c>
      <x:c r="B1567" s="14" t="n">
        <x:v>20</x:v>
      </x:c>
      <x:c r="C1567" s="14" t="n">
        <x:v>76010</x:v>
      </x:c>
      <x:c r="D1567" s="2" t="str">
        <x:v>NAVY</x:v>
      </x:c>
      <x:c r="E1567" s="2" t="str">
        <x:v>160만</x:v>
      </x:c>
      <x:c r="F1567" s="2" t="str">
        <x:v>80만</x:v>
      </x:c>
      <x:c r="G1567" s="2" t="str">
        <x:v>승</x:v>
      </x:c>
      <x:c r="H1567" s="14" t="n">
        <x:v>4</x:v>
      </x:c>
      <x:c r="I1567" s="14" t="n">
        <x:v>2</x:v>
      </x:c>
      <x:c r="J1567" s="14" t="n">
        <x:v>6</x:v>
      </x:c>
      <x:c r="K1567" s="14" t="n">
        <x:v>4</x:v>
      </x:c>
      <x:c r="L1567" s="15" t="n">
        <x:f>IF(J1567=0,"해당 없음",K1567/J1567)</x:f>
        <x:v>0.6666666666666666</x:v>
      </x:c>
      <x:c r="M1567" s="14" t="n">
        <x:v>6</x:v>
      </x:c>
      <x:c r="N1567" s="14" t="n">
        <x:v>5</x:v>
      </x:c>
      <x:c r="O1567" s="15" t="n">
        <x:f>IF(M1567=0,"해당 없음",N1567/M1567)</x:f>
        <x:v>0.8333333333333334</x:v>
      </x:c>
      <x:c r="P1567" s="14" t="n">
        <x:v>104</x:v>
      </x:c>
    </x:row>
    <x:row r="1568" ht="22" customHeight="1">
      <x:c r="A1568" s="14" t="n">
        <x:v>782</x:v>
      </x:c>
      <x:c r="B1568" s="14" t="n">
        <x:v>20</x:v>
      </x:c>
      <x:c r="C1568" s="14" t="n">
        <x:v>76010</x:v>
      </x:c>
      <x:c r="D1568" s="2" t="str">
        <x:v>RED</x:v>
      </x:c>
      <x:c r="E1568" s="2" t="str">
        <x:v>160만</x:v>
      </x:c>
      <x:c r="F1568" s="2" t="str">
        <x:v>80만</x:v>
      </x:c>
      <x:c r="G1568" s="2" t="str">
        <x:v>승</x:v>
      </x:c>
      <x:c r="H1568" s="14" t="n">
        <x:v>2</x:v>
      </x:c>
      <x:c r="I1568" s="14" t="n">
        <x:v>1</x:v>
      </x:c>
      <x:c r="J1568" s="14" t="n">
        <x:v>7</x:v>
      </x:c>
      <x:c r="K1568" s="14" t="n">
        <x:v>2</x:v>
      </x:c>
      <x:c r="L1568" s="15" t="n">
        <x:f>IF(J1568=0,"해당 없음",K1568/J1568)</x:f>
        <x:v>0.2857142857142857</x:v>
      </x:c>
      <x:c r="M1568" s="14" t="n">
        <x:v>12</x:v>
      </x:c>
      <x:c r="N1568" s="14" t="n">
        <x:v>8</x:v>
      </x:c>
      <x:c r="O1568" s="15" t="n">
        <x:f>IF(M1568=0,"해당 없음",N1568/M1568)</x:f>
        <x:v>0.6666666666666666</x:v>
      </x:c>
      <x:c r="P1568" s="14" t="n">
        <x:v>100</x:v>
      </x:c>
    </x:row>
    <x:row r="1569" ht="22" customHeight="1">
      <x:c r="A1569" s="14" t="n">
        <x:v>782</x:v>
      </x:c>
      <x:c r="B1569" s="14" t="n">
        <x:v>20</x:v>
      </x:c>
      <x:c r="C1569" s="14" t="n">
        <x:v>76010</x:v>
      </x:c>
      <x:c r="D1569" s="2" t="str">
        <x:v>NAVY</x:v>
      </x:c>
      <x:c r="E1569" s="2" t="str">
        <x:v>80만</x:v>
      </x:c>
      <x:c r="F1569" s="2" t="str">
        <x:v>160만</x:v>
      </x:c>
      <x:c r="G1569" s="2" t="str">
        <x:v>패</x:v>
      </x:c>
      <x:c r="H1569" s="14" t="n">
        <x:v>1</x:v>
      </x:c>
      <x:c r="I1569" s="14" t="n">
        <x:v>2</x:v>
      </x:c>
      <x:c r="J1569" s="14" t="n">
        <x:v>9</x:v>
      </x:c>
      <x:c r="K1569" s="14" t="n">
        <x:v>1</x:v>
      </x:c>
      <x:c r="L1569" s="15" t="n">
        <x:f>IF(J1569=0,"해당 없음",K1569/J1569)</x:f>
        <x:v>0.1111111111111111</x:v>
      </x:c>
      <x:c r="M1569" s="14" t="n">
        <x:v>13</x:v>
      </x:c>
      <x:c r="N1569" s="14" t="n">
        <x:v>11</x:v>
      </x:c>
      <x:c r="O1569" s="15" t="n">
        <x:f>IF(M1569=0,"해당 없음",N1569/M1569)</x:f>
        <x:v>0.8461538461538461</x:v>
      </x:c>
      <x:c r="P1569" s="14" t="n">
        <x:v>102</x:v>
      </x:c>
    </x:row>
    <x:row r="1570" ht="22" customHeight="1">
      <x:c r="A1570" s="14" t="n">
        <x:v>783</x:v>
      </x:c>
      <x:c r="B1570" s="14" t="n">
        <x:v>20</x:v>
      </x:c>
      <x:c r="C1570" s="14" t="n">
        <x:v>76011</x:v>
      </x:c>
      <x:c r="D1570" s="2" t="str">
        <x:v>RED</x:v>
      </x:c>
      <x:c r="E1570" s="2" t="str">
        <x:v>80만</x:v>
      </x:c>
      <x:c r="F1570" s="2" t="str">
        <x:v>160만</x:v>
      </x:c>
      <x:c r="G1570" s="2" t="str">
        <x:v>패</x:v>
      </x:c>
      <x:c r="H1570" s="14" t="n">
        <x:v>2</x:v>
      </x:c>
      <x:c r="I1570" s="14" t="n">
        <x:v>3</x:v>
      </x:c>
      <x:c r="J1570" s="14" t="n">
        <x:v>8</x:v>
      </x:c>
      <x:c r="K1570" s="14" t="n">
        <x:v>2</x:v>
      </x:c>
      <x:c r="L1570" s="15" t="n">
        <x:f>IF(J1570=0,"해당 없음",K1570/J1570)</x:f>
        <x:v>0.25</x:v>
      </x:c>
      <x:c r="M1570" s="14" t="n">
        <x:v>10</x:v>
      </x:c>
      <x:c r="N1570" s="14" t="n">
        <x:v>6</x:v>
      </x:c>
      <x:c r="O1570" s="15" t="n">
        <x:f>IF(M1570=0,"해당 없음",N1570/M1570)</x:f>
        <x:v>0.6</x:v>
      </x:c>
      <x:c r="P1570" s="14" t="n">
        <x:v>103</x:v>
      </x:c>
    </x:row>
    <x:row r="1571" ht="22" customHeight="1">
      <x:c r="A1571" s="14" t="n">
        <x:v>783</x:v>
      </x:c>
      <x:c r="B1571" s="14" t="n">
        <x:v>20</x:v>
      </x:c>
      <x:c r="C1571" s="14" t="n">
        <x:v>76011</x:v>
      </x:c>
      <x:c r="D1571" s="2" t="str">
        <x:v>NAVY</x:v>
      </x:c>
      <x:c r="E1571" s="2" t="str">
        <x:v>160만</x:v>
      </x:c>
      <x:c r="F1571" s="2" t="str">
        <x:v>80만</x:v>
      </x:c>
      <x:c r="G1571" s="2" t="str">
        <x:v>승</x:v>
      </x:c>
      <x:c r="H1571" s="14" t="n">
        <x:v>3</x:v>
      </x:c>
      <x:c r="I1571" s="14" t="n">
        <x:v>2</x:v>
      </x:c>
      <x:c r="J1571" s="14" t="n">
        <x:v>13</x:v>
      </x:c>
      <x:c r="K1571" s="14" t="n">
        <x:v>3</x:v>
      </x:c>
      <x:c r="L1571" s="15" t="n">
        <x:f>IF(J1571=0,"해당 없음",K1571/J1571)</x:f>
        <x:v>0.23076923076923078</x:v>
      </x:c>
      <x:c r="M1571" s="14" t="n">
        <x:v>8</x:v>
      </x:c>
      <x:c r="N1571" s="14" t="n">
        <x:v>7</x:v>
      </x:c>
      <x:c r="O1571" s="15" t="n">
        <x:f>IF(M1571=0,"해당 없음",N1571/M1571)</x:f>
        <x:v>0.875</x:v>
      </x:c>
      <x:c r="P1571" s="14" t="n">
        <x:v>103</x:v>
      </x:c>
    </x:row>
    <x:row r="1572" ht="22" customHeight="1">
      <x:c r="A1572" s="14" t="n">
        <x:v>784</x:v>
      </x:c>
      <x:c r="B1572" s="14" t="n">
        <x:v>20</x:v>
      </x:c>
      <x:c r="C1572" s="14" t="n">
        <x:v>76011</x:v>
      </x:c>
      <x:c r="D1572" s="2" t="str">
        <x:v>RED</x:v>
      </x:c>
      <x:c r="E1572" s="2" t="str">
        <x:v>160만</x:v>
      </x:c>
      <x:c r="F1572" s="2" t="str">
        <x:v>80만</x:v>
      </x:c>
      <x:c r="G1572" s="2" t="str">
        <x:v>패</x:v>
      </x:c>
      <x:c r="H1572" s="14" t="n">
        <x:v>2</x:v>
      </x:c>
      <x:c r="I1572" s="14" t="n">
        <x:v>6</x:v>
      </x:c>
      <x:c r="J1572" s="14" t="n">
        <x:v>6</x:v>
      </x:c>
      <x:c r="K1572" s="14" t="n">
        <x:v>2</x:v>
      </x:c>
      <x:c r="L1572" s="15" t="n">
        <x:f>IF(J1572=0,"해당 없음",K1572/J1572)</x:f>
        <x:v>0.3333333333333333</x:v>
      </x:c>
      <x:c r="M1572" s="14" t="n">
        <x:v>8</x:v>
      </x:c>
      <x:c r="N1572" s="14" t="n">
        <x:v>5</x:v>
      </x:c>
      <x:c r="O1572" s="15" t="n">
        <x:f>IF(M1572=0,"해당 없음",N1572/M1572)</x:f>
        <x:v>0.625</x:v>
      </x:c>
      <x:c r="P1572" s="14" t="n">
        <x:v>103</x:v>
      </x:c>
    </x:row>
    <x:row r="1573" ht="22" customHeight="1">
      <x:c r="A1573" s="14" t="n">
        <x:v>784</x:v>
      </x:c>
      <x:c r="B1573" s="14" t="n">
        <x:v>20</x:v>
      </x:c>
      <x:c r="C1573" s="14" t="n">
        <x:v>76011</x:v>
      </x:c>
      <x:c r="D1573" s="2" t="str">
        <x:v>NAVY</x:v>
      </x:c>
      <x:c r="E1573" s="2" t="str">
        <x:v>80만</x:v>
      </x:c>
      <x:c r="F1573" s="2" t="str">
        <x:v>160만</x:v>
      </x:c>
      <x:c r="G1573" s="2" t="str">
        <x:v>승</x:v>
      </x:c>
      <x:c r="H1573" s="14" t="n">
        <x:v>6</x:v>
      </x:c>
      <x:c r="I1573" s="14" t="n">
        <x:v>2</x:v>
      </x:c>
      <x:c r="J1573" s="14" t="n">
        <x:v>9</x:v>
      </x:c>
      <x:c r="K1573" s="14" t="n">
        <x:v>6</x:v>
      </x:c>
      <x:c r="L1573" s="15" t="n">
        <x:f>IF(J1573=0,"해당 없음",K1573/J1573)</x:f>
        <x:v>0.6666666666666666</x:v>
      </x:c>
      <x:c r="M1573" s="14" t="n">
        <x:v>9</x:v>
      </x:c>
      <x:c r="N1573" s="14" t="n">
        <x:v>6</x:v>
      </x:c>
      <x:c r="O1573" s="15" t="n">
        <x:f>IF(M1573=0,"해당 없음",N1573/M1573)</x:f>
        <x:v>0.6666666666666666</x:v>
      </x:c>
      <x:c r="P1573" s="14" t="n">
        <x:v>103</x:v>
      </x:c>
    </x:row>
    <x:row r="1574" ht="22" customHeight="1">
      <x:c r="A1574" s="14" t="n">
        <x:v>785</x:v>
      </x:c>
      <x:c r="B1574" s="14" t="n">
        <x:v>20</x:v>
      </x:c>
      <x:c r="C1574" s="14" t="n">
        <x:v>76012</x:v>
      </x:c>
      <x:c r="D1574" s="2" t="str">
        <x:v>RED</x:v>
      </x:c>
      <x:c r="E1574" s="2" t="str">
        <x:v>80만</x:v>
      </x:c>
      <x:c r="F1574" s="2" t="str">
        <x:v>160만</x:v>
      </x:c>
      <x:c r="G1574" s="2" t="str">
        <x:v>승</x:v>
      </x:c>
      <x:c r="H1574" s="14" t="n">
        <x:v>7</x:v>
      </x:c>
      <x:c r="I1574" s="14" t="n">
        <x:v>0</x:v>
      </x:c>
      <x:c r="J1574" s="14" t="n">
        <x:v>14</x:v>
      </x:c>
      <x:c r="K1574" s="14" t="n">
        <x:v>7</x:v>
      </x:c>
      <x:c r="L1574" s="15" t="n">
        <x:f>IF(J1574=0,"해당 없음",K1574/J1574)</x:f>
        <x:v>0.5</x:v>
      </x:c>
      <x:c r="M1574" s="14" t="n">
        <x:v>9</x:v>
      </x:c>
      <x:c r="N1574" s="14" t="n">
        <x:v>7</x:v>
      </x:c>
      <x:c r="O1574" s="15" t="n">
        <x:f>IF(M1574=0,"해당 없음",N1574/M1574)</x:f>
        <x:v>0.7777777777777778</x:v>
      </x:c>
      <x:c r="P1574" s="14" t="n">
        <x:v>104</x:v>
      </x:c>
    </x:row>
    <x:row r="1575" ht="22" customHeight="1">
      <x:c r="A1575" s="14" t="n">
        <x:v>785</x:v>
      </x:c>
      <x:c r="B1575" s="14" t="n">
        <x:v>20</x:v>
      </x:c>
      <x:c r="C1575" s="14" t="n">
        <x:v>76012</x:v>
      </x:c>
      <x:c r="D1575" s="2" t="str">
        <x:v>NAVY</x:v>
      </x:c>
      <x:c r="E1575" s="2" t="str">
        <x:v>160만</x:v>
      </x:c>
      <x:c r="F1575" s="2" t="str">
        <x:v>80만</x:v>
      </x:c>
      <x:c r="G1575" s="2" t="str">
        <x:v>패</x:v>
      </x:c>
      <x:c r="H1575" s="14" t="n">
        <x:v>0</x:v>
      </x:c>
      <x:c r="I1575" s="14" t="n">
        <x:v>7</x:v>
      </x:c>
      <x:c r="J1575" s="14" t="n">
        <x:v>6</x:v>
      </x:c>
      <x:c r="K1575" s="14" t="n">
        <x:v>0</x:v>
      </x:c>
      <x:c r="L1575" s="15" t="n">
        <x:f>IF(J1575=0,"해당 없음",K1575/J1575)</x:f>
        <x:v>0</x:v>
      </x:c>
      <x:c r="M1575" s="14" t="n">
        <x:v>6</x:v>
      </x:c>
      <x:c r="N1575" s="14" t="n">
        <x:v>2</x:v>
      </x:c>
      <x:c r="O1575" s="15" t="n">
        <x:f>IF(M1575=0,"해당 없음",N1575/M1575)</x:f>
        <x:v>0.3333333333333333</x:v>
      </x:c>
      <x:c r="P1575" s="14" t="n">
        <x:v>105</x:v>
      </x:c>
    </x:row>
    <x:row r="1576" ht="22" customHeight="1">
      <x:c r="A1576" s="14" t="n">
        <x:v>786</x:v>
      </x:c>
      <x:c r="B1576" s="14" t="n">
        <x:v>20</x:v>
      </x:c>
      <x:c r="C1576" s="14" t="n">
        <x:v>76012</x:v>
      </x:c>
      <x:c r="D1576" s="2" t="str">
        <x:v>RED</x:v>
      </x:c>
      <x:c r="E1576" s="2" t="str">
        <x:v>160만</x:v>
      </x:c>
      <x:c r="F1576" s="2" t="str">
        <x:v>80만</x:v>
      </x:c>
      <x:c r="G1576" s="2" t="str">
        <x:v>승</x:v>
      </x:c>
      <x:c r="H1576" s="14" t="n">
        <x:v>6</x:v>
      </x:c>
      <x:c r="I1576" s="14" t="n">
        <x:v>1</x:v>
      </x:c>
      <x:c r="J1576" s="14" t="n">
        <x:v>11</x:v>
      </x:c>
      <x:c r="K1576" s="14" t="n">
        <x:v>6</x:v>
      </x:c>
      <x:c r="L1576" s="15" t="n">
        <x:f>IF(J1576=0,"해당 없음",K1576/J1576)</x:f>
        <x:v>0.5454545454545454</x:v>
      </x:c>
      <x:c r="M1576" s="14" t="n">
        <x:v>7</x:v>
      </x:c>
      <x:c r="N1576" s="14" t="n">
        <x:v>6</x:v>
      </x:c>
      <x:c r="O1576" s="15" t="n">
        <x:f>IF(M1576=0,"해당 없음",N1576/M1576)</x:f>
        <x:v>0.8571428571428571</x:v>
      </x:c>
      <x:c r="P1576" s="14" t="n">
        <x:v>107</x:v>
      </x:c>
    </x:row>
    <x:row r="1577" ht="22" customHeight="1">
      <x:c r="A1577" s="14" t="n">
        <x:v>786</x:v>
      </x:c>
      <x:c r="B1577" s="14" t="n">
        <x:v>20</x:v>
      </x:c>
      <x:c r="C1577" s="14" t="n">
        <x:v>76012</x:v>
      </x:c>
      <x:c r="D1577" s="2" t="str">
        <x:v>NAVY</x:v>
      </x:c>
      <x:c r="E1577" s="2" t="str">
        <x:v>80만</x:v>
      </x:c>
      <x:c r="F1577" s="2" t="str">
        <x:v>160만</x:v>
      </x:c>
      <x:c r="G1577" s="2" t="str">
        <x:v>패</x:v>
      </x:c>
      <x:c r="H1577" s="14" t="n">
        <x:v>1</x:v>
      </x:c>
      <x:c r="I1577" s="14" t="n">
        <x:v>6</x:v>
      </x:c>
      <x:c r="J1577" s="14" t="n">
        <x:v>6</x:v>
      </x:c>
      <x:c r="K1577" s="14" t="n">
        <x:v>1</x:v>
      </x:c>
      <x:c r="L1577" s="15" t="n">
        <x:f>IF(J1577=0,"해당 없음",K1577/J1577)</x:f>
        <x:v>0.16666666666666666</x:v>
      </x:c>
      <x:c r="M1577" s="14" t="n">
        <x:v>10</x:v>
      </x:c>
      <x:c r="N1577" s="14" t="n">
        <x:v>5</x:v>
      </x:c>
      <x:c r="O1577" s="15" t="n">
        <x:f>IF(M1577=0,"해당 없음",N1577/M1577)</x:f>
        <x:v>0.5</x:v>
      </x:c>
      <x:c r="P1577" s="14" t="n">
        <x:v>103</x:v>
      </x:c>
    </x:row>
    <x:row r="1578" ht="22" customHeight="1">
      <x:c r="A1578" s="14" t="n">
        <x:v>787</x:v>
      </x:c>
      <x:c r="B1578" s="14" t="n">
        <x:v>20</x:v>
      </x:c>
      <x:c r="C1578" s="14" t="n">
        <x:v>76013</x:v>
      </x:c>
      <x:c r="D1578" s="2" t="str">
        <x:v>RED</x:v>
      </x:c>
      <x:c r="E1578" s="2" t="str">
        <x:v>80만</x:v>
      </x:c>
      <x:c r="F1578" s="2" t="str">
        <x:v>160만</x:v>
      </x:c>
      <x:c r="G1578" s="2" t="str">
        <x:v>패</x:v>
      </x:c>
      <x:c r="H1578" s="14" t="n">
        <x:v>2</x:v>
      </x:c>
      <x:c r="I1578" s="14" t="n">
        <x:v>3</x:v>
      </x:c>
      <x:c r="J1578" s="14" t="n">
        <x:v>10</x:v>
      </x:c>
      <x:c r="K1578" s="14" t="n">
        <x:v>1</x:v>
      </x:c>
      <x:c r="L1578" s="15" t="n">
        <x:f>IF(J1578=0,"해당 없음",K1578/J1578)</x:f>
        <x:v>0.1</x:v>
      </x:c>
      <x:c r="M1578" s="14" t="n">
        <x:v>10</x:v>
      </x:c>
      <x:c r="N1578" s="14" t="n">
        <x:v>8</x:v>
      </x:c>
      <x:c r="O1578" s="15" t="n">
        <x:f>IF(M1578=0,"해당 없음",N1578/M1578)</x:f>
        <x:v>0.8</x:v>
      </x:c>
      <x:c r="P1578" s="14" t="n">
        <x:v>103</x:v>
      </x:c>
    </x:row>
    <x:row r="1579" ht="22" customHeight="1">
      <x:c r="A1579" s="14" t="n">
        <x:v>787</x:v>
      </x:c>
      <x:c r="B1579" s="14" t="n">
        <x:v>20</x:v>
      </x:c>
      <x:c r="C1579" s="14" t="n">
        <x:v>76013</x:v>
      </x:c>
      <x:c r="D1579" s="2" t="str">
        <x:v>NAVY</x:v>
      </x:c>
      <x:c r="E1579" s="2" t="str">
        <x:v>160만</x:v>
      </x:c>
      <x:c r="F1579" s="2" t="str">
        <x:v>80만</x:v>
      </x:c>
      <x:c r="G1579" s="2" t="str">
        <x:v>승</x:v>
      </x:c>
      <x:c r="H1579" s="14" t="n">
        <x:v>3</x:v>
      </x:c>
      <x:c r="I1579" s="14" t="n">
        <x:v>2</x:v>
      </x:c>
      <x:c r="J1579" s="14" t="n">
        <x:v>8</x:v>
      </x:c>
      <x:c r="K1579" s="14" t="n">
        <x:v>3</x:v>
      </x:c>
      <x:c r="L1579" s="15" t="n">
        <x:f>IF(J1579=0,"해당 없음",K1579/J1579)</x:f>
        <x:v>0.375</x:v>
      </x:c>
      <x:c r="M1579" s="14" t="n">
        <x:v>11</x:v>
      </x:c>
      <x:c r="N1579" s="14" t="n">
        <x:v>8</x:v>
      </x:c>
      <x:c r="O1579" s="15" t="n">
        <x:f>IF(M1579=0,"해당 없음",N1579/M1579)</x:f>
        <x:v>0.7272727272727273</x:v>
      </x:c>
      <x:c r="P1579" s="14" t="n">
        <x:v>105</x:v>
      </x:c>
    </x:row>
    <x:row r="1580" ht="22" customHeight="1">
      <x:c r="A1580" s="14" t="n">
        <x:v>788</x:v>
      </x:c>
      <x:c r="B1580" s="14" t="n">
        <x:v>20</x:v>
      </x:c>
      <x:c r="C1580" s="14" t="n">
        <x:v>76013</x:v>
      </x:c>
      <x:c r="D1580" s="2" t="str">
        <x:v>RED</x:v>
      </x:c>
      <x:c r="E1580" s="2" t="str">
        <x:v>160만</x:v>
      </x:c>
      <x:c r="F1580" s="2" t="str">
        <x:v>80만</x:v>
      </x:c>
      <x:c r="G1580" s="2" t="str">
        <x:v>무</x:v>
      </x:c>
      <x:c r="H1580" s="14" t="n">
        <x:v>2</x:v>
      </x:c>
      <x:c r="I1580" s="14" t="n">
        <x:v>2</x:v>
      </x:c>
      <x:c r="J1580" s="14" t="n">
        <x:v>9</x:v>
      </x:c>
      <x:c r="K1580" s="14" t="n">
        <x:v>2</x:v>
      </x:c>
      <x:c r="L1580" s="15" t="n">
        <x:f>IF(J1580=0,"해당 없음",K1580/J1580)</x:f>
        <x:v>0.2222222222222222</x:v>
      </x:c>
      <x:c r="M1580" s="14" t="n">
        <x:v>9</x:v>
      </x:c>
      <x:c r="N1580" s="14" t="n">
        <x:v>7</x:v>
      </x:c>
      <x:c r="O1580" s="15" t="n">
        <x:f>IF(M1580=0,"해당 없음",N1580/M1580)</x:f>
        <x:v>0.7777777777777778</x:v>
      </x:c>
      <x:c r="P1580" s="14" t="n">
        <x:v>103</x:v>
      </x:c>
    </x:row>
    <x:row r="1581" ht="22" customHeight="1">
      <x:c r="A1581" s="14" t="n">
        <x:v>788</x:v>
      </x:c>
      <x:c r="B1581" s="14" t="n">
        <x:v>20</x:v>
      </x:c>
      <x:c r="C1581" s="14" t="n">
        <x:v>76013</x:v>
      </x:c>
      <x:c r="D1581" s="2" t="str">
        <x:v>NAVY</x:v>
      </x:c>
      <x:c r="E1581" s="2" t="str">
        <x:v>80만</x:v>
      </x:c>
      <x:c r="F1581" s="2" t="str">
        <x:v>160만</x:v>
      </x:c>
      <x:c r="G1581" s="2" t="str">
        <x:v>무</x:v>
      </x:c>
      <x:c r="H1581" s="14" t="n">
        <x:v>2</x:v>
      </x:c>
      <x:c r="I1581" s="14" t="n">
        <x:v>2</x:v>
      </x:c>
      <x:c r="J1581" s="14" t="n">
        <x:v>11</x:v>
      </x:c>
      <x:c r="K1581" s="14" t="n">
        <x:v>2</x:v>
      </x:c>
      <x:c r="L1581" s="15" t="n">
        <x:f>IF(J1581=0,"해당 없음",K1581/J1581)</x:f>
        <x:v>0.18181818181818182</x:v>
      </x:c>
      <x:c r="M1581" s="14" t="n">
        <x:v>13</x:v>
      </x:c>
      <x:c r="N1581" s="14" t="n">
        <x:v>10</x:v>
      </x:c>
      <x:c r="O1581" s="15" t="n">
        <x:f>IF(M1581=0,"해당 없음",N1581/M1581)</x:f>
        <x:v>0.7692307692307693</x:v>
      </x:c>
      <x:c r="P1581" s="14" t="n">
        <x:v>102</x:v>
      </x:c>
    </x:row>
    <x:row r="1582" ht="22" customHeight="1">
      <x:c r="A1582" s="14" t="n">
        <x:v>789</x:v>
      </x:c>
      <x:c r="B1582" s="14" t="n">
        <x:v>20</x:v>
      </x:c>
      <x:c r="C1582" s="14" t="n">
        <x:v>76014</x:v>
      </x:c>
      <x:c r="D1582" s="2" t="str">
        <x:v>RED</x:v>
      </x:c>
      <x:c r="E1582" s="2" t="str">
        <x:v>80만</x:v>
      </x:c>
      <x:c r="F1582" s="2" t="str">
        <x:v>160만</x:v>
      </x:c>
      <x:c r="G1582" s="2" t="str">
        <x:v>패</x:v>
      </x:c>
      <x:c r="H1582" s="14" t="n">
        <x:v>3</x:v>
      </x:c>
      <x:c r="I1582" s="14" t="n">
        <x:v>4</x:v>
      </x:c>
      <x:c r="J1582" s="14" t="n">
        <x:v>8</x:v>
      </x:c>
      <x:c r="K1582" s="14" t="n">
        <x:v>3</x:v>
      </x:c>
      <x:c r="L1582" s="15" t="n">
        <x:f>IF(J1582=0,"해당 없음",K1582/J1582)</x:f>
        <x:v>0.375</x:v>
      </x:c>
      <x:c r="M1582" s="14" t="n">
        <x:v>11</x:v>
      </x:c>
      <x:c r="N1582" s="14" t="n">
        <x:v>8</x:v>
      </x:c>
      <x:c r="O1582" s="15" t="n">
        <x:f>IF(M1582=0,"해당 없음",N1582/M1582)</x:f>
        <x:v>0.7272727272727273</x:v>
      </x:c>
      <x:c r="P1582" s="14" t="n">
        <x:v>105</x:v>
      </x:c>
    </x:row>
    <x:row r="1583" ht="22" customHeight="1">
      <x:c r="A1583" s="14" t="n">
        <x:v>789</x:v>
      </x:c>
      <x:c r="B1583" s="14" t="n">
        <x:v>20</x:v>
      </x:c>
      <x:c r="C1583" s="14" t="n">
        <x:v>76014</x:v>
      </x:c>
      <x:c r="D1583" s="2" t="str">
        <x:v>NAVY</x:v>
      </x:c>
      <x:c r="E1583" s="2" t="str">
        <x:v>160만</x:v>
      </x:c>
      <x:c r="F1583" s="2" t="str">
        <x:v>80만</x:v>
      </x:c>
      <x:c r="G1583" s="2" t="str">
        <x:v>승</x:v>
      </x:c>
      <x:c r="H1583" s="14" t="n">
        <x:v>4</x:v>
      </x:c>
      <x:c r="I1583" s="14" t="n">
        <x:v>3</x:v>
      </x:c>
      <x:c r="J1583" s="14" t="n">
        <x:v>12</x:v>
      </x:c>
      <x:c r="K1583" s="14" t="n">
        <x:v>4</x:v>
      </x:c>
      <x:c r="L1583" s="15" t="n">
        <x:f>IF(J1583=0,"해당 없음",K1583/J1583)</x:f>
        <x:v>0.3333333333333333</x:v>
      </x:c>
      <x:c r="M1583" s="14" t="n">
        <x:v>8</x:v>
      </x:c>
      <x:c r="N1583" s="14" t="n">
        <x:v>7</x:v>
      </x:c>
      <x:c r="O1583" s="15" t="n">
        <x:f>IF(M1583=0,"해당 없음",N1583/M1583)</x:f>
        <x:v>0.875</x:v>
      </x:c>
      <x:c r="P1583" s="14" t="n">
        <x:v>107</x:v>
      </x:c>
    </x:row>
    <x:row r="1584" ht="22" customHeight="1">
      <x:c r="A1584" s="14" t="n">
        <x:v>790</x:v>
      </x:c>
      <x:c r="B1584" s="14" t="n">
        <x:v>20</x:v>
      </x:c>
      <x:c r="C1584" s="14" t="n">
        <x:v>76014</x:v>
      </x:c>
      <x:c r="D1584" s="2" t="str">
        <x:v>RED</x:v>
      </x:c>
      <x:c r="E1584" s="2" t="str">
        <x:v>160만</x:v>
      </x:c>
      <x:c r="F1584" s="2" t="str">
        <x:v>80만</x:v>
      </x:c>
      <x:c r="G1584" s="2" t="str">
        <x:v>승</x:v>
      </x:c>
      <x:c r="H1584" s="14" t="n">
        <x:v>8</x:v>
      </x:c>
      <x:c r="I1584" s="14" t="n">
        <x:v>1</x:v>
      </x:c>
      <x:c r="J1584" s="14" t="n">
        <x:v>14</x:v>
      </x:c>
      <x:c r="K1584" s="14" t="n">
        <x:v>8</x:v>
      </x:c>
      <x:c r="L1584" s="15" t="n">
        <x:f>IF(J1584=0,"해당 없음",K1584/J1584)</x:f>
        <x:v>0.5714285714285714</x:v>
      </x:c>
      <x:c r="M1584" s="14" t="n">
        <x:v>7</x:v>
      </x:c>
      <x:c r="N1584" s="14" t="n">
        <x:v>2</x:v>
      </x:c>
      <x:c r="O1584" s="15" t="n">
        <x:f>IF(M1584=0,"해당 없음",N1584/M1584)</x:f>
        <x:v>0.2857142857142857</x:v>
      </x:c>
      <x:c r="P1584" s="14" t="n">
        <x:v>105</x:v>
      </x:c>
    </x:row>
    <x:row r="1585" ht="22" customHeight="1">
      <x:c r="A1585" s="14" t="n">
        <x:v>790</x:v>
      </x:c>
      <x:c r="B1585" s="14" t="n">
        <x:v>20</x:v>
      </x:c>
      <x:c r="C1585" s="14" t="n">
        <x:v>76014</x:v>
      </x:c>
      <x:c r="D1585" s="2" t="str">
        <x:v>NAVY</x:v>
      </x:c>
      <x:c r="E1585" s="2" t="str">
        <x:v>80만</x:v>
      </x:c>
      <x:c r="F1585" s="2" t="str">
        <x:v>160만</x:v>
      </x:c>
      <x:c r="G1585" s="2" t="str">
        <x:v>패</x:v>
      </x:c>
      <x:c r="H1585" s="14" t="n">
        <x:v>1</x:v>
      </x:c>
      <x:c r="I1585" s="14" t="n">
        <x:v>8</x:v>
      </x:c>
      <x:c r="J1585" s="14" t="n">
        <x:v>3</x:v>
      </x:c>
      <x:c r="K1585" s="14" t="n">
        <x:v>1</x:v>
      </x:c>
      <x:c r="L1585" s="15" t="n">
        <x:f>IF(J1585=0,"해당 없음",K1585/J1585)</x:f>
        <x:v>0.3333333333333333</x:v>
      </x:c>
      <x:c r="M1585" s="14" t="n">
        <x:v>7</x:v>
      </x:c>
      <x:c r="N1585" s="14" t="n">
        <x:v>4</x:v>
      </x:c>
      <x:c r="O1585" s="15" t="n">
        <x:f>IF(M1585=0,"해당 없음",N1585/M1585)</x:f>
        <x:v>0.5714285714285714</x:v>
      </x:c>
      <x:c r="P1585" s="14" t="n">
        <x:v>106</x:v>
      </x:c>
    </x:row>
    <x:row r="1586" ht="22" customHeight="1">
      <x:c r="A1586" s="14" t="n">
        <x:v>791</x:v>
      </x:c>
      <x:c r="B1586" s="14" t="n">
        <x:v>20</x:v>
      </x:c>
      <x:c r="C1586" s="14" t="n">
        <x:v>76015</x:v>
      </x:c>
      <x:c r="D1586" s="2" t="str">
        <x:v>RED</x:v>
      </x:c>
      <x:c r="E1586" s="2" t="str">
        <x:v>80만</x:v>
      </x:c>
      <x:c r="F1586" s="2" t="str">
        <x:v>160만</x:v>
      </x:c>
      <x:c r="G1586" s="2" t="str">
        <x:v>승</x:v>
      </x:c>
      <x:c r="H1586" s="14" t="n">
        <x:v>5</x:v>
      </x:c>
      <x:c r="I1586" s="14" t="n">
        <x:v>4</x:v>
      </x:c>
      <x:c r="J1586" s="14" t="n">
        <x:v>13</x:v>
      </x:c>
      <x:c r="K1586" s="14" t="n">
        <x:v>5</x:v>
      </x:c>
      <x:c r="L1586" s="15" t="n">
        <x:f>IF(J1586=0,"해당 없음",K1586/J1586)</x:f>
        <x:v>0.38461538461538464</x:v>
      </x:c>
      <x:c r="M1586" s="14" t="n">
        <x:v>9</x:v>
      </x:c>
      <x:c r="N1586" s="14" t="n">
        <x:v>7</x:v>
      </x:c>
      <x:c r="O1586" s="15" t="n">
        <x:f>IF(M1586=0,"해당 없음",N1586/M1586)</x:f>
        <x:v>0.7777777777777778</x:v>
      </x:c>
      <x:c r="P1586" s="14" t="n">
        <x:v>105</x:v>
      </x:c>
    </x:row>
    <x:row r="1587" ht="22" customHeight="1">
      <x:c r="A1587" s="14" t="n">
        <x:v>791</x:v>
      </x:c>
      <x:c r="B1587" s="14" t="n">
        <x:v>20</x:v>
      </x:c>
      <x:c r="C1587" s="14" t="n">
        <x:v>76015</x:v>
      </x:c>
      <x:c r="D1587" s="2" t="str">
        <x:v>NAVY</x:v>
      </x:c>
      <x:c r="E1587" s="2" t="str">
        <x:v>160만</x:v>
      </x:c>
      <x:c r="F1587" s="2" t="str">
        <x:v>80만</x:v>
      </x:c>
      <x:c r="G1587" s="2" t="str">
        <x:v>패</x:v>
      </x:c>
      <x:c r="H1587" s="14" t="n">
        <x:v>4</x:v>
      </x:c>
      <x:c r="I1587" s="14" t="n">
        <x:v>5</x:v>
      </x:c>
      <x:c r="J1587" s="14" t="n">
        <x:v>7</x:v>
      </x:c>
      <x:c r="K1587" s="14" t="n">
        <x:v>4</x:v>
      </x:c>
      <x:c r="L1587" s="15" t="n">
        <x:f>IF(J1587=0,"해당 없음",K1587/J1587)</x:f>
        <x:v>0.5714285714285714</x:v>
      </x:c>
      <x:c r="M1587" s="14" t="n">
        <x:v>5</x:v>
      </x:c>
      <x:c r="N1587" s="14" t="n">
        <x:v>4</x:v>
      </x:c>
      <x:c r="O1587" s="15" t="n">
        <x:f>IF(M1587=0,"해당 없음",N1587/M1587)</x:f>
        <x:v>0.8</x:v>
      </x:c>
      <x:c r="P1587" s="14" t="n">
        <x:v>106</x:v>
      </x:c>
    </x:row>
    <x:row r="1588" ht="22" customHeight="1">
      <x:c r="A1588" s="14" t="n">
        <x:v>792</x:v>
      </x:c>
      <x:c r="B1588" s="14" t="n">
        <x:v>20</x:v>
      </x:c>
      <x:c r="C1588" s="14" t="n">
        <x:v>76015</x:v>
      </x:c>
      <x:c r="D1588" s="2" t="str">
        <x:v>RED</x:v>
      </x:c>
      <x:c r="E1588" s="2" t="str">
        <x:v>160만</x:v>
      </x:c>
      <x:c r="F1588" s="2" t="str">
        <x:v>80만</x:v>
      </x:c>
      <x:c r="G1588" s="2" t="str">
        <x:v>승</x:v>
      </x:c>
      <x:c r="H1588" s="14" t="n">
        <x:v>2</x:v>
      </x:c>
      <x:c r="I1588" s="14" t="n">
        <x:v>1</x:v>
      </x:c>
      <x:c r="J1588" s="14" t="n">
        <x:v>8</x:v>
      </x:c>
      <x:c r="K1588" s="14" t="n">
        <x:v>2</x:v>
      </x:c>
      <x:c r="L1588" s="15" t="n">
        <x:f>IF(J1588=0,"해당 없음",K1588/J1588)</x:f>
        <x:v>0.25</x:v>
      </x:c>
      <x:c r="M1588" s="14" t="n">
        <x:v>9</x:v>
      </x:c>
      <x:c r="N1588" s="14" t="n">
        <x:v>6</x:v>
      </x:c>
      <x:c r="O1588" s="15" t="n">
        <x:f>IF(M1588=0,"해당 없음",N1588/M1588)</x:f>
        <x:v>0.6666666666666666</x:v>
      </x:c>
      <x:c r="P1588" s="14" t="n">
        <x:v>103</x:v>
      </x:c>
    </x:row>
    <x:row r="1589" ht="22" customHeight="1">
      <x:c r="A1589" s="14" t="n">
        <x:v>792</x:v>
      </x:c>
      <x:c r="B1589" s="14" t="n">
        <x:v>20</x:v>
      </x:c>
      <x:c r="C1589" s="14" t="n">
        <x:v>76015</x:v>
      </x:c>
      <x:c r="D1589" s="2" t="str">
        <x:v>NAVY</x:v>
      </x:c>
      <x:c r="E1589" s="2" t="str">
        <x:v>80만</x:v>
      </x:c>
      <x:c r="F1589" s="2" t="str">
        <x:v>160만</x:v>
      </x:c>
      <x:c r="G1589" s="2" t="str">
        <x:v>패</x:v>
      </x:c>
      <x:c r="H1589" s="14" t="n">
        <x:v>1</x:v>
      </x:c>
      <x:c r="I1589" s="14" t="n">
        <x:v>2</x:v>
      </x:c>
      <x:c r="J1589" s="14" t="n">
        <x:v>12</x:v>
      </x:c>
      <x:c r="K1589" s="14" t="n">
        <x:v>1</x:v>
      </x:c>
      <x:c r="L1589" s="15" t="n">
        <x:f>IF(J1589=0,"해당 없음",K1589/J1589)</x:f>
        <x:v>0.08333333333333333</x:v>
      </x:c>
      <x:c r="M1589" s="14" t="n">
        <x:v>13</x:v>
      </x:c>
      <x:c r="N1589" s="14" t="n">
        <x:v>10</x:v>
      </x:c>
      <x:c r="O1589" s="15" t="n">
        <x:f>IF(M1589=0,"해당 없음",N1589/M1589)</x:f>
        <x:v>0.7692307692307693</x:v>
      </x:c>
      <x:c r="P1589" s="14" t="n">
        <x:v>100</x:v>
      </x:c>
    </x:row>
    <x:row r="1590" ht="22" customHeight="1">
      <x:c r="A1590" s="14" t="n">
        <x:v>793</x:v>
      </x:c>
      <x:c r="B1590" s="14" t="n">
        <x:v>20</x:v>
      </x:c>
      <x:c r="C1590" s="14" t="n">
        <x:v>76016</x:v>
      </x:c>
      <x:c r="D1590" s="2" t="str">
        <x:v>RED</x:v>
      </x:c>
      <x:c r="E1590" s="2" t="str">
        <x:v>80만</x:v>
      </x:c>
      <x:c r="F1590" s="2" t="str">
        <x:v>160만</x:v>
      </x:c>
      <x:c r="G1590" s="2" t="str">
        <x:v>승</x:v>
      </x:c>
      <x:c r="H1590" s="14" t="n">
        <x:v>3</x:v>
      </x:c>
      <x:c r="I1590" s="14" t="n">
        <x:v>1</x:v>
      </x:c>
      <x:c r="J1590" s="14" t="n">
        <x:v>11</x:v>
      </x:c>
      <x:c r="K1590" s="14" t="n">
        <x:v>3</x:v>
      </x:c>
      <x:c r="L1590" s="15" t="n">
        <x:f>IF(J1590=0,"해당 없음",K1590/J1590)</x:f>
        <x:v>0.2727272727272727</x:v>
      </x:c>
      <x:c r="M1590" s="14" t="n">
        <x:v>11</x:v>
      </x:c>
      <x:c r="N1590" s="14" t="n">
        <x:v>9</x:v>
      </x:c>
      <x:c r="O1590" s="15" t="n">
        <x:f>IF(M1590=0,"해당 없음",N1590/M1590)</x:f>
        <x:v>0.8181818181818182</x:v>
      </x:c>
      <x:c r="P1590" s="14" t="n">
        <x:v>101</x:v>
      </x:c>
    </x:row>
    <x:row r="1591" ht="22" customHeight="1">
      <x:c r="A1591" s="14" t="n">
        <x:v>793</x:v>
      </x:c>
      <x:c r="B1591" s="14" t="n">
        <x:v>20</x:v>
      </x:c>
      <x:c r="C1591" s="14" t="n">
        <x:v>76016</x:v>
      </x:c>
      <x:c r="D1591" s="2" t="str">
        <x:v>NAVY</x:v>
      </x:c>
      <x:c r="E1591" s="2" t="str">
        <x:v>160만</x:v>
      </x:c>
      <x:c r="F1591" s="2" t="str">
        <x:v>80만</x:v>
      </x:c>
      <x:c r="G1591" s="2" t="str">
        <x:v>패</x:v>
      </x:c>
      <x:c r="H1591" s="14" t="n">
        <x:v>1</x:v>
      </x:c>
      <x:c r="I1591" s="14" t="n">
        <x:v>3</x:v>
      </x:c>
      <x:c r="J1591" s="14" t="n">
        <x:v>7</x:v>
      </x:c>
      <x:c r="K1591" s="14" t="n">
        <x:v>1</x:v>
      </x:c>
      <x:c r="L1591" s="15" t="n">
        <x:f>IF(J1591=0,"해당 없음",K1591/J1591)</x:f>
        <x:v>0.14285714285714285</x:v>
      </x:c>
      <x:c r="M1591" s="14" t="n">
        <x:v>10</x:v>
      </x:c>
      <x:c r="N1591" s="14" t="n">
        <x:v>5</x:v>
      </x:c>
      <x:c r="O1591" s="15" t="n">
        <x:f>IF(M1591=0,"해당 없음",N1591/M1591)</x:f>
        <x:v>0.5</x:v>
      </x:c>
      <x:c r="P1591" s="14" t="n">
        <x:v>102</x:v>
      </x:c>
    </x:row>
    <x:row r="1592" ht="22" customHeight="1">
      <x:c r="A1592" s="14" t="n">
        <x:v>794</x:v>
      </x:c>
      <x:c r="B1592" s="14" t="n">
        <x:v>20</x:v>
      </x:c>
      <x:c r="C1592" s="14" t="n">
        <x:v>76016</x:v>
      </x:c>
      <x:c r="D1592" s="2" t="str">
        <x:v>RED</x:v>
      </x:c>
      <x:c r="E1592" s="2" t="str">
        <x:v>160만</x:v>
      </x:c>
      <x:c r="F1592" s="2" t="str">
        <x:v>80만</x:v>
      </x:c>
      <x:c r="G1592" s="2" t="str">
        <x:v>승</x:v>
      </x:c>
      <x:c r="H1592" s="14" t="n">
        <x:v>2</x:v>
      </x:c>
      <x:c r="I1592" s="14" t="n">
        <x:v>1</x:v>
      </x:c>
      <x:c r="J1592" s="14" t="n">
        <x:v>7</x:v>
      </x:c>
      <x:c r="K1592" s="14" t="n">
        <x:v>2</x:v>
      </x:c>
      <x:c r="L1592" s="15" t="n">
        <x:f>IF(J1592=0,"해당 없음",K1592/J1592)</x:f>
        <x:v>0.2857142857142857</x:v>
      </x:c>
      <x:c r="M1592" s="14" t="n">
        <x:v>12</x:v>
      </x:c>
      <x:c r="N1592" s="14" t="n">
        <x:v>9</x:v>
      </x:c>
      <x:c r="O1592" s="15" t="n">
        <x:f>IF(M1592=0,"해당 없음",N1592/M1592)</x:f>
        <x:v>0.75</x:v>
      </x:c>
      <x:c r="P1592" s="14" t="n">
        <x:v>102</x:v>
      </x:c>
    </x:row>
    <x:row r="1593" ht="22" customHeight="1">
      <x:c r="A1593" s="14" t="n">
        <x:v>794</x:v>
      </x:c>
      <x:c r="B1593" s="14" t="n">
        <x:v>20</x:v>
      </x:c>
      <x:c r="C1593" s="14" t="n">
        <x:v>76016</x:v>
      </x:c>
      <x:c r="D1593" s="2" t="str">
        <x:v>NAVY</x:v>
      </x:c>
      <x:c r="E1593" s="2" t="str">
        <x:v>80만</x:v>
      </x:c>
      <x:c r="F1593" s="2" t="str">
        <x:v>160만</x:v>
      </x:c>
      <x:c r="G1593" s="2" t="str">
        <x:v>패</x:v>
      </x:c>
      <x:c r="H1593" s="14" t="n">
        <x:v>1</x:v>
      </x:c>
      <x:c r="I1593" s="14" t="n">
        <x:v>2</x:v>
      </x:c>
      <x:c r="J1593" s="14" t="n">
        <x:v>8</x:v>
      </x:c>
      <x:c r="K1593" s="14" t="n">
        <x:v>1</x:v>
      </x:c>
      <x:c r="L1593" s="15" t="n">
        <x:f>IF(J1593=0,"해당 없음",K1593/J1593)</x:f>
        <x:v>0.125</x:v>
      </x:c>
      <x:c r="M1593" s="14" t="n">
        <x:v>12</x:v>
      </x:c>
      <x:c r="N1593" s="14" t="n">
        <x:v>10</x:v>
      </x:c>
      <x:c r="O1593" s="15" t="n">
        <x:f>IF(M1593=0,"해당 없음",N1593/M1593)</x:f>
        <x:v>0.8333333333333334</x:v>
      </x:c>
      <x:c r="P1593" s="14" t="n">
        <x:v>102</x:v>
      </x:c>
    </x:row>
    <x:row r="1594" ht="22" customHeight="1">
      <x:c r="A1594" s="14" t="n">
        <x:v>795</x:v>
      </x:c>
      <x:c r="B1594" s="14" t="n">
        <x:v>20</x:v>
      </x:c>
      <x:c r="C1594" s="14" t="n">
        <x:v>76017</x:v>
      </x:c>
      <x:c r="D1594" s="2" t="str">
        <x:v>RED</x:v>
      </x:c>
      <x:c r="E1594" s="2" t="str">
        <x:v>80만</x:v>
      </x:c>
      <x:c r="F1594" s="2" t="str">
        <x:v>160만</x:v>
      </x:c>
      <x:c r="G1594" s="2" t="str">
        <x:v>무</x:v>
      </x:c>
      <x:c r="H1594" s="14" t="n">
        <x:v>1</x:v>
      </x:c>
      <x:c r="I1594" s="14" t="n">
        <x:v>1</x:v>
      </x:c>
      <x:c r="J1594" s="14" t="n">
        <x:v>9</x:v>
      </x:c>
      <x:c r="K1594" s="14" t="n">
        <x:v>1</x:v>
      </x:c>
      <x:c r="L1594" s="15" t="n">
        <x:f>IF(J1594=0,"해당 없음",K1594/J1594)</x:f>
        <x:v>0.1111111111111111</x:v>
      </x:c>
      <x:c r="M1594" s="14" t="n">
        <x:v>10</x:v>
      </x:c>
      <x:c r="N1594" s="14" t="n">
        <x:v>10</x:v>
      </x:c>
      <x:c r="O1594" s="15" t="n">
        <x:f>IF(M1594=0,"해당 없음",N1594/M1594)</x:f>
        <x:v>1</x:v>
      </x:c>
      <x:c r="P1594" s="14" t="n">
        <x:v>101</x:v>
      </x:c>
    </x:row>
    <x:row r="1595" ht="22" customHeight="1">
      <x:c r="A1595" s="14" t="n">
        <x:v>795</x:v>
      </x:c>
      <x:c r="B1595" s="14" t="n">
        <x:v>20</x:v>
      </x:c>
      <x:c r="C1595" s="14" t="n">
        <x:v>76017</x:v>
      </x:c>
      <x:c r="D1595" s="2" t="str">
        <x:v>NAVY</x:v>
      </x:c>
      <x:c r="E1595" s="2" t="str">
        <x:v>160만</x:v>
      </x:c>
      <x:c r="F1595" s="2" t="str">
        <x:v>80만</x:v>
      </x:c>
      <x:c r="G1595" s="2" t="str">
        <x:v>무</x:v>
      </x:c>
      <x:c r="H1595" s="14" t="n">
        <x:v>1</x:v>
      </x:c>
      <x:c r="I1595" s="14" t="n">
        <x:v>1</x:v>
      </x:c>
      <x:c r="J1595" s="14" t="n">
        <x:v>9</x:v>
      </x:c>
      <x:c r="K1595" s="14" t="n">
        <x:v>1</x:v>
      </x:c>
      <x:c r="L1595" s="15" t="n">
        <x:f>IF(J1595=0,"해당 없음",K1595/J1595)</x:f>
        <x:v>0.1111111111111111</x:v>
      </x:c>
      <x:c r="M1595" s="14" t="n">
        <x:v>11</x:v>
      </x:c>
      <x:c r="N1595" s="14" t="n">
        <x:v>8</x:v>
      </x:c>
      <x:c r="O1595" s="15" t="n">
        <x:f>IF(M1595=0,"해당 없음",N1595/M1595)</x:f>
        <x:v>0.7272727272727273</x:v>
      </x:c>
      <x:c r="P1595" s="14" t="n">
        <x:v>101</x:v>
      </x:c>
    </x:row>
    <x:row r="1596" ht="22" customHeight="1">
      <x:c r="A1596" s="14" t="n">
        <x:v>796</x:v>
      </x:c>
      <x:c r="B1596" s="14" t="n">
        <x:v>20</x:v>
      </x:c>
      <x:c r="C1596" s="14" t="n">
        <x:v>76017</x:v>
      </x:c>
      <x:c r="D1596" s="2" t="str">
        <x:v>RED</x:v>
      </x:c>
      <x:c r="E1596" s="2" t="str">
        <x:v>160만</x:v>
      </x:c>
      <x:c r="F1596" s="2" t="str">
        <x:v>80만</x:v>
      </x:c>
      <x:c r="G1596" s="2" t="str">
        <x:v>패</x:v>
      </x:c>
      <x:c r="H1596" s="14" t="n">
        <x:v>3</x:v>
      </x:c>
      <x:c r="I1596" s="14" t="n">
        <x:v>4</x:v>
      </x:c>
      <x:c r="J1596" s="14" t="n">
        <x:v>4</x:v>
      </x:c>
      <x:c r="K1596" s="14" t="n">
        <x:v>3</x:v>
      </x:c>
      <x:c r="L1596" s="15" t="n">
        <x:f>IF(J1596=0,"해당 없음",K1596/J1596)</x:f>
        <x:v>0.75</x:v>
      </x:c>
      <x:c r="M1596" s="14" t="n">
        <x:v>6</x:v>
      </x:c>
      <x:c r="N1596" s="14" t="n">
        <x:v>4</x:v>
      </x:c>
      <x:c r="O1596" s="15" t="n">
        <x:f>IF(M1596=0,"해당 없음",N1596/M1596)</x:f>
        <x:v>0.6666666666666666</x:v>
      </x:c>
      <x:c r="P1596" s="14" t="n">
        <x:v>103</x:v>
      </x:c>
    </x:row>
    <x:row r="1597" ht="22" customHeight="1">
      <x:c r="A1597" s="14" t="n">
        <x:v>796</x:v>
      </x:c>
      <x:c r="B1597" s="14" t="n">
        <x:v>20</x:v>
      </x:c>
      <x:c r="C1597" s="14" t="n">
        <x:v>76017</x:v>
      </x:c>
      <x:c r="D1597" s="2" t="str">
        <x:v>NAVY</x:v>
      </x:c>
      <x:c r="E1597" s="2" t="str">
        <x:v>80만</x:v>
      </x:c>
      <x:c r="F1597" s="2" t="str">
        <x:v>160만</x:v>
      </x:c>
      <x:c r="G1597" s="2" t="str">
        <x:v>승</x:v>
      </x:c>
      <x:c r="H1597" s="14" t="n">
        <x:v>4</x:v>
      </x:c>
      <x:c r="I1597" s="14" t="n">
        <x:v>3</x:v>
      </x:c>
      <x:c r="J1597" s="14" t="n">
        <x:v>10</x:v>
      </x:c>
      <x:c r="K1597" s="14" t="n">
        <x:v>4</x:v>
      </x:c>
      <x:c r="L1597" s="15" t="n">
        <x:f>IF(J1597=0,"해당 없음",K1597/J1597)</x:f>
        <x:v>0.4</x:v>
      </x:c>
      <x:c r="M1597" s="14" t="n">
        <x:v>7</x:v>
      </x:c>
      <x:c r="N1597" s="14" t="n">
        <x:v>7</x:v>
      </x:c>
      <x:c r="O1597" s="15" t="n">
        <x:f>IF(M1597=0,"해당 없음",N1597/M1597)</x:f>
        <x:v>1</x:v>
      </x:c>
      <x:c r="P1597" s="14" t="n">
        <x:v>104</x:v>
      </x:c>
    </x:row>
    <x:row r="1598" ht="22" customHeight="1">
      <x:c r="A1598" s="14" t="n">
        <x:v>797</x:v>
      </x:c>
      <x:c r="B1598" s="14" t="n">
        <x:v>20</x:v>
      </x:c>
      <x:c r="C1598" s="14" t="n">
        <x:v>76018</x:v>
      </x:c>
      <x:c r="D1598" s="2" t="str">
        <x:v>RED</x:v>
      </x:c>
      <x:c r="E1598" s="2" t="str">
        <x:v>80만</x:v>
      </x:c>
      <x:c r="F1598" s="2" t="str">
        <x:v>160만</x:v>
      </x:c>
      <x:c r="G1598" s="2" t="str">
        <x:v>패</x:v>
      </x:c>
      <x:c r="H1598" s="14" t="n">
        <x:v>3</x:v>
      </x:c>
      <x:c r="I1598" s="14" t="n">
        <x:v>5</x:v>
      </x:c>
      <x:c r="J1598" s="14" t="n">
        <x:v>10</x:v>
      </x:c>
      <x:c r="K1598" s="14" t="n">
        <x:v>3</x:v>
      </x:c>
      <x:c r="L1598" s="15" t="n">
        <x:f>IF(J1598=0,"해당 없음",K1598/J1598)</x:f>
        <x:v>0.3</x:v>
      </x:c>
      <x:c r="M1598" s="14" t="n">
        <x:v>8</x:v>
      </x:c>
      <x:c r="N1598" s="14" t="n">
        <x:v>2</x:v>
      </x:c>
      <x:c r="O1598" s="15" t="n">
        <x:f>IF(M1598=0,"해당 없음",N1598/M1598)</x:f>
        <x:v>0.25</x:v>
      </x:c>
      <x:c r="P1598" s="14" t="n">
        <x:v>103</x:v>
      </x:c>
    </x:row>
    <x:row r="1599" ht="22" customHeight="1">
      <x:c r="A1599" s="14" t="n">
        <x:v>797</x:v>
      </x:c>
      <x:c r="B1599" s="14" t="n">
        <x:v>20</x:v>
      </x:c>
      <x:c r="C1599" s="14" t="n">
        <x:v>76018</x:v>
      </x:c>
      <x:c r="D1599" s="2" t="str">
        <x:v>NAVY</x:v>
      </x:c>
      <x:c r="E1599" s="2" t="str">
        <x:v>160만</x:v>
      </x:c>
      <x:c r="F1599" s="2" t="str">
        <x:v>80만</x:v>
      </x:c>
      <x:c r="G1599" s="2" t="str">
        <x:v>승</x:v>
      </x:c>
      <x:c r="H1599" s="14" t="n">
        <x:v>5</x:v>
      </x:c>
      <x:c r="I1599" s="14" t="n">
        <x:v>3</x:v>
      </x:c>
      <x:c r="J1599" s="14" t="n">
        <x:v>7</x:v>
      </x:c>
      <x:c r="K1599" s="14" t="n">
        <x:v>5</x:v>
      </x:c>
      <x:c r="L1599" s="15" t="n">
        <x:f>IF(J1599=0,"해당 없음",K1599/J1599)</x:f>
        <x:v>0.7142857142857143</x:v>
      </x:c>
      <x:c r="M1599" s="14" t="n">
        <x:v>11</x:v>
      </x:c>
      <x:c r="N1599" s="14" t="n">
        <x:v>6</x:v>
      </x:c>
      <x:c r="O1599" s="15" t="n">
        <x:f>IF(M1599=0,"해당 없음",N1599/M1599)</x:f>
        <x:v>0.5454545454545454</x:v>
      </x:c>
      <x:c r="P1599" s="14" t="n">
        <x:v>104</x:v>
      </x:c>
    </x:row>
    <x:row r="1600" ht="22" customHeight="1">
      <x:c r="A1600" s="14" t="n">
        <x:v>798</x:v>
      </x:c>
      <x:c r="B1600" s="14" t="n">
        <x:v>20</x:v>
      </x:c>
      <x:c r="C1600" s="14" t="n">
        <x:v>76018</x:v>
      </x:c>
      <x:c r="D1600" s="2" t="str">
        <x:v>RED</x:v>
      </x:c>
      <x:c r="E1600" s="2" t="str">
        <x:v>160만</x:v>
      </x:c>
      <x:c r="F1600" s="2" t="str">
        <x:v>80만</x:v>
      </x:c>
      <x:c r="G1600" s="2" t="str">
        <x:v>승</x:v>
      </x:c>
      <x:c r="H1600" s="14" t="n">
        <x:v>3</x:v>
      </x:c>
      <x:c r="I1600" s="14" t="n">
        <x:v>2</x:v>
      </x:c>
      <x:c r="J1600" s="14" t="n">
        <x:v>7</x:v>
      </x:c>
      <x:c r="K1600" s="14" t="n">
        <x:v>3</x:v>
      </x:c>
      <x:c r="L1600" s="15" t="n">
        <x:f>IF(J1600=0,"해당 없음",K1600/J1600)</x:f>
        <x:v>0.42857142857142855</x:v>
      </x:c>
      <x:c r="M1600" s="14" t="n">
        <x:v>5</x:v>
      </x:c>
      <x:c r="N1600" s="14" t="n">
        <x:v>4</x:v>
      </x:c>
      <x:c r="O1600" s="15" t="n">
        <x:f>IF(M1600=0,"해당 없음",N1600/M1600)</x:f>
        <x:v>0.8</x:v>
      </x:c>
      <x:c r="P1600" s="14" t="n">
        <x:v>101</x:v>
      </x:c>
    </x:row>
    <x:row r="1601" ht="22" customHeight="1">
      <x:c r="A1601" s="14" t="n">
        <x:v>798</x:v>
      </x:c>
      <x:c r="B1601" s="14" t="n">
        <x:v>20</x:v>
      </x:c>
      <x:c r="C1601" s="14" t="n">
        <x:v>76018</x:v>
      </x:c>
      <x:c r="D1601" s="2" t="str">
        <x:v>NAVY</x:v>
      </x:c>
      <x:c r="E1601" s="2" t="str">
        <x:v>80만</x:v>
      </x:c>
      <x:c r="F1601" s="2" t="str">
        <x:v>160만</x:v>
      </x:c>
      <x:c r="G1601" s="2" t="str">
        <x:v>패</x:v>
      </x:c>
      <x:c r="H1601" s="14" t="n">
        <x:v>2</x:v>
      </x:c>
      <x:c r="I1601" s="14" t="n">
        <x:v>3</x:v>
      </x:c>
      <x:c r="J1601" s="14" t="n">
        <x:v>9</x:v>
      </x:c>
      <x:c r="K1601" s="14" t="n">
        <x:v>2</x:v>
      </x:c>
      <x:c r="L1601" s="15" t="n">
        <x:f>IF(J1601=0,"해당 없음",K1601/J1601)</x:f>
        <x:v>0.2222222222222222</x:v>
      </x:c>
      <x:c r="M1601" s="14" t="n">
        <x:v>10</x:v>
      </x:c>
      <x:c r="N1601" s="14" t="n">
        <x:v>8</x:v>
      </x:c>
      <x:c r="O1601" s="15" t="n">
        <x:f>IF(M1601=0,"해당 없음",N1601/M1601)</x:f>
        <x:v>0.8</x:v>
      </x:c>
      <x:c r="P1601" s="14" t="n">
        <x:v>103</x:v>
      </x:c>
    </x:row>
    <x:row r="1602" ht="22" customHeight="1">
      <x:c r="A1602" s="14" t="n">
        <x:v>799</x:v>
      </x:c>
      <x:c r="B1602" s="14" t="n">
        <x:v>20</x:v>
      </x:c>
      <x:c r="C1602" s="14" t="n">
        <x:v>76019</x:v>
      </x:c>
      <x:c r="D1602" s="2" t="str">
        <x:v>RED</x:v>
      </x:c>
      <x:c r="E1602" s="2" t="str">
        <x:v>80만</x:v>
      </x:c>
      <x:c r="F1602" s="2" t="str">
        <x:v>160만</x:v>
      </x:c>
      <x:c r="G1602" s="2" t="str">
        <x:v>패</x:v>
      </x:c>
      <x:c r="H1602" s="14" t="n">
        <x:v>1</x:v>
      </x:c>
      <x:c r="I1602" s="14" t="n">
        <x:v>5</x:v>
      </x:c>
      <x:c r="J1602" s="14" t="n">
        <x:v>8</x:v>
      </x:c>
      <x:c r="K1602" s="14" t="n">
        <x:v>1</x:v>
      </x:c>
      <x:c r="L1602" s="15" t="n">
        <x:f>IF(J1602=0,"해당 없음",K1602/J1602)</x:f>
        <x:v>0.125</x:v>
      </x:c>
      <x:c r="M1602" s="14" t="n">
        <x:v>9</x:v>
      </x:c>
      <x:c r="N1602" s="14" t="n">
        <x:v>7</x:v>
      </x:c>
      <x:c r="O1602" s="15" t="n">
        <x:f>IF(M1602=0,"해당 없음",N1602/M1602)</x:f>
        <x:v>0.7777777777777778</x:v>
      </x:c>
      <x:c r="P1602" s="14" t="n">
        <x:v>104</x:v>
      </x:c>
    </x:row>
    <x:row r="1603" ht="22" customHeight="1">
      <x:c r="A1603" s="14" t="n">
        <x:v>799</x:v>
      </x:c>
      <x:c r="B1603" s="14" t="n">
        <x:v>20</x:v>
      </x:c>
      <x:c r="C1603" s="14" t="n">
        <x:v>76019</x:v>
      </x:c>
      <x:c r="D1603" s="2" t="str">
        <x:v>NAVY</x:v>
      </x:c>
      <x:c r="E1603" s="2" t="str">
        <x:v>160만</x:v>
      </x:c>
      <x:c r="F1603" s="2" t="str">
        <x:v>80만</x:v>
      </x:c>
      <x:c r="G1603" s="2" t="str">
        <x:v>승</x:v>
      </x:c>
      <x:c r="H1603" s="14" t="n">
        <x:v>5</x:v>
      </x:c>
      <x:c r="I1603" s="14" t="n">
        <x:v>1</x:v>
      </x:c>
      <x:c r="J1603" s="14" t="n">
        <x:v>9</x:v>
      </x:c>
      <x:c r="K1603" s="14" t="n">
        <x:v>5</x:v>
      </x:c>
      <x:c r="L1603" s="15" t="n">
        <x:f>IF(J1603=0,"해당 없음",K1603/J1603)</x:f>
        <x:v>0.5555555555555556</x:v>
      </x:c>
      <x:c r="M1603" s="14" t="n">
        <x:v>11</x:v>
      </x:c>
      <x:c r="N1603" s="14" t="n">
        <x:v>10</x:v>
      </x:c>
      <x:c r="O1603" s="15" t="n">
        <x:f>IF(M1603=0,"해당 없음",N1603/M1603)</x:f>
        <x:v>0.9090909090909091</x:v>
      </x:c>
      <x:c r="P1603" s="14" t="n">
        <x:v>103</x:v>
      </x:c>
    </x:row>
    <x:row r="1604" ht="22" customHeight="1">
      <x:c r="A1604" s="14" t="n">
        <x:v>800</x:v>
      </x:c>
      <x:c r="B1604" s="14" t="n">
        <x:v>20</x:v>
      </x:c>
      <x:c r="C1604" s="14" t="n">
        <x:v>76019</x:v>
      </x:c>
      <x:c r="D1604" s="2" t="str">
        <x:v>RED</x:v>
      </x:c>
      <x:c r="E1604" s="2" t="str">
        <x:v>160만</x:v>
      </x:c>
      <x:c r="F1604" s="2" t="str">
        <x:v>80만</x:v>
      </x:c>
      <x:c r="G1604" s="2" t="str">
        <x:v>승</x:v>
      </x:c>
      <x:c r="H1604" s="14" t="n">
        <x:v>5</x:v>
      </x:c>
      <x:c r="I1604" s="14" t="n">
        <x:v>3</x:v>
      </x:c>
      <x:c r="J1604" s="14" t="n">
        <x:v>8</x:v>
      </x:c>
      <x:c r="K1604" s="14" t="n">
        <x:v>5</x:v>
      </x:c>
      <x:c r="L1604" s="15" t="n">
        <x:f>IF(J1604=0,"해당 없음",K1604/J1604)</x:f>
        <x:v>0.625</x:v>
      </x:c>
      <x:c r="M1604" s="14" t="n">
        <x:v>7</x:v>
      </x:c>
      <x:c r="N1604" s="14" t="n">
        <x:v>5</x:v>
      </x:c>
      <x:c r="O1604" s="15" t="n">
        <x:f>IF(M1604=0,"해당 없음",N1604/M1604)</x:f>
        <x:v>0.7142857142857143</x:v>
      </x:c>
      <x:c r="P1604" s="14" t="n">
        <x:v>103</x:v>
      </x:c>
    </x:row>
    <x:row r="1605" ht="22" customHeight="1">
      <x:c r="A1605" s="14" t="n">
        <x:v>800</x:v>
      </x:c>
      <x:c r="B1605" s="14" t="n">
        <x:v>20</x:v>
      </x:c>
      <x:c r="C1605" s="14" t="n">
        <x:v>76019</x:v>
      </x:c>
      <x:c r="D1605" s="2" t="str">
        <x:v>NAVY</x:v>
      </x:c>
      <x:c r="E1605" s="2" t="str">
        <x:v>80만</x:v>
      </x:c>
      <x:c r="F1605" s="2" t="str">
        <x:v>160만</x:v>
      </x:c>
      <x:c r="G1605" s="2" t="str">
        <x:v>패</x:v>
      </x:c>
      <x:c r="H1605" s="14" t="n">
        <x:v>3</x:v>
      </x:c>
      <x:c r="I1605" s="14" t="n">
        <x:v>5</x:v>
      </x:c>
      <x:c r="J1605" s="14" t="n">
        <x:v>6</x:v>
      </x:c>
      <x:c r="K1605" s="14" t="n">
        <x:v>3</x:v>
      </x:c>
      <x:c r="L1605" s="15" t="n">
        <x:f>IF(J1605=0,"해당 없음",K1605/J1605)</x:f>
        <x:v>0.5</x:v>
      </x:c>
      <x:c r="M1605" s="14" t="n">
        <x:v>5</x:v>
      </x:c>
      <x:c r="N1605" s="14" t="n">
        <x:v>5</x:v>
      </x:c>
      <x:c r="O1605" s="15" t="n">
        <x:f>IF(M1605=0,"해당 없음",N1605/M1605)</x:f>
        <x:v>1</x:v>
      </x:c>
      <x:c r="P1605" s="14" t="n">
        <x:v>103</x:v>
      </x:c>
    </x:row>
    <x:row r="1606" ht="22" customHeight="1">
      <x:c r="A1606" s="14" t="n">
        <x:v>801</x:v>
      </x:c>
      <x:c r="B1606" s="14" t="n">
        <x:v>21</x:v>
      </x:c>
      <x:c r="C1606" s="14" t="n">
        <x:v>76000</x:v>
      </x:c>
      <x:c r="D1606" s="2" t="str">
        <x:v>RED</x:v>
      </x:c>
      <x:c r="E1606" s="2" t="str">
        <x:v>80만</x:v>
      </x:c>
      <x:c r="F1606" s="2" t="str">
        <x:v>200만</x:v>
      </x:c>
      <x:c r="G1606" s="2" t="str">
        <x:v>승</x:v>
      </x:c>
      <x:c r="H1606" s="14" t="n">
        <x:v>3</x:v>
      </x:c>
      <x:c r="I1606" s="14" t="n">
        <x:v>2</x:v>
      </x:c>
      <x:c r="J1606" s="14" t="n">
        <x:v>9</x:v>
      </x:c>
      <x:c r="K1606" s="14" t="n">
        <x:v>3</x:v>
      </x:c>
      <x:c r="L1606" s="15" t="n">
        <x:f>IF(J1606=0,"해당 없음",K1606/J1606)</x:f>
        <x:v>0.3333333333333333</x:v>
      </x:c>
      <x:c r="M1606" s="14" t="n">
        <x:v>9</x:v>
      </x:c>
      <x:c r="N1606" s="14" t="n">
        <x:v>7</x:v>
      </x:c>
      <x:c r="O1606" s="15" t="n">
        <x:f>IF(M1606=0,"해당 없음",N1606/M1606)</x:f>
        <x:v>0.7777777777777778</x:v>
      </x:c>
      <x:c r="P1606" s="14" t="n">
        <x:v>104</x:v>
      </x:c>
    </x:row>
    <x:row r="1607" ht="22" customHeight="1">
      <x:c r="A1607" s="14" t="n">
        <x:v>801</x:v>
      </x:c>
      <x:c r="B1607" s="14" t="n">
        <x:v>21</x:v>
      </x:c>
      <x:c r="C1607" s="14" t="n">
        <x:v>76000</x:v>
      </x:c>
      <x:c r="D1607" s="2" t="str">
        <x:v>NAVY</x:v>
      </x:c>
      <x:c r="E1607" s="2" t="str">
        <x:v>200만</x:v>
      </x:c>
      <x:c r="F1607" s="2" t="str">
        <x:v>80만</x:v>
      </x:c>
      <x:c r="G1607" s="2" t="str">
        <x:v>패</x:v>
      </x:c>
      <x:c r="H1607" s="14" t="n">
        <x:v>2</x:v>
      </x:c>
      <x:c r="I1607" s="14" t="n">
        <x:v>3</x:v>
      </x:c>
      <x:c r="J1607" s="14" t="n">
        <x:v>8</x:v>
      </x:c>
      <x:c r="K1607" s="14" t="n">
        <x:v>1</x:v>
      </x:c>
      <x:c r="L1607" s="15" t="n">
        <x:f>IF(J1607=0,"해당 없음",K1607/J1607)</x:f>
        <x:v>0.125</x:v>
      </x:c>
      <x:c r="M1607" s="14" t="n">
        <x:v>7</x:v>
      </x:c>
      <x:c r="N1607" s="14" t="n">
        <x:v>4</x:v>
      </x:c>
      <x:c r="O1607" s="15" t="n">
        <x:f>IF(M1607=0,"해당 없음",N1607/M1607)</x:f>
        <x:v>0.5714285714285714</x:v>
      </x:c>
      <x:c r="P1607" s="14" t="n">
        <x:v>103</x:v>
      </x:c>
    </x:row>
    <x:row r="1608" ht="22" customHeight="1">
      <x:c r="A1608" s="14" t="n">
        <x:v>802</x:v>
      </x:c>
      <x:c r="B1608" s="14" t="n">
        <x:v>21</x:v>
      </x:c>
      <x:c r="C1608" s="14" t="n">
        <x:v>76000</x:v>
      </x:c>
      <x:c r="D1608" s="2" t="str">
        <x:v>RED</x:v>
      </x:c>
      <x:c r="E1608" s="2" t="str">
        <x:v>200만</x:v>
      </x:c>
      <x:c r="F1608" s="2" t="str">
        <x:v>80만</x:v>
      </x:c>
      <x:c r="G1608" s="2" t="str">
        <x:v>승</x:v>
      </x:c>
      <x:c r="H1608" s="14" t="n">
        <x:v>3</x:v>
      </x:c>
      <x:c r="I1608" s="14" t="n">
        <x:v>2</x:v>
      </x:c>
      <x:c r="J1608" s="14" t="n">
        <x:v>7</x:v>
      </x:c>
      <x:c r="K1608" s="14" t="n">
        <x:v>3</x:v>
      </x:c>
      <x:c r="L1608" s="15" t="n">
        <x:f>IF(J1608=0,"해당 없음",K1608/J1608)</x:f>
        <x:v>0.42857142857142855</x:v>
      </x:c>
      <x:c r="M1608" s="14" t="n">
        <x:v>12</x:v>
      </x:c>
      <x:c r="N1608" s="14" t="n">
        <x:v>8</x:v>
      </x:c>
      <x:c r="O1608" s="15" t="n">
        <x:f>IF(M1608=0,"해당 없음",N1608/M1608)</x:f>
        <x:v>0.6666666666666666</x:v>
      </x:c>
      <x:c r="P1608" s="14" t="n">
        <x:v>103</x:v>
      </x:c>
    </x:row>
    <x:row r="1609" ht="22" customHeight="1">
      <x:c r="A1609" s="14" t="n">
        <x:v>802</x:v>
      </x:c>
      <x:c r="B1609" s="14" t="n">
        <x:v>21</x:v>
      </x:c>
      <x:c r="C1609" s="14" t="n">
        <x:v>76000</x:v>
      </x:c>
      <x:c r="D1609" s="2" t="str">
        <x:v>NAVY</x:v>
      </x:c>
      <x:c r="E1609" s="2" t="str">
        <x:v>80만</x:v>
      </x:c>
      <x:c r="F1609" s="2" t="str">
        <x:v>200만</x:v>
      </x:c>
      <x:c r="G1609" s="2" t="str">
        <x:v>패</x:v>
      </x:c>
      <x:c r="H1609" s="14" t="n">
        <x:v>2</x:v>
      </x:c>
      <x:c r="I1609" s="14" t="n">
        <x:v>3</x:v>
      </x:c>
      <x:c r="J1609" s="14" t="n">
        <x:v>8</x:v>
      </x:c>
      <x:c r="K1609" s="14" t="n">
        <x:v>2</x:v>
      </x:c>
      <x:c r="L1609" s="15" t="n">
        <x:f>IF(J1609=0,"해당 없음",K1609/J1609)</x:f>
        <x:v>0.25</x:v>
      </x:c>
      <x:c r="M1609" s="14" t="n">
        <x:v>9</x:v>
      </x:c>
      <x:c r="N1609" s="14" t="n">
        <x:v>6</x:v>
      </x:c>
      <x:c r="O1609" s="15" t="n">
        <x:f>IF(M1609=0,"해당 없음",N1609/M1609)</x:f>
        <x:v>0.6666666666666666</x:v>
      </x:c>
      <x:c r="P1609" s="14" t="n">
        <x:v>104</x:v>
      </x:c>
    </x:row>
    <x:row r="1610" ht="22" customHeight="1">
      <x:c r="A1610" s="14" t="n">
        <x:v>803</x:v>
      </x:c>
      <x:c r="B1610" s="14" t="n">
        <x:v>21</x:v>
      </x:c>
      <x:c r="C1610" s="14" t="n">
        <x:v>76001</x:v>
      </x:c>
      <x:c r="D1610" s="2" t="str">
        <x:v>RED</x:v>
      </x:c>
      <x:c r="E1610" s="2" t="str">
        <x:v>80만</x:v>
      </x:c>
      <x:c r="F1610" s="2" t="str">
        <x:v>200만</x:v>
      </x:c>
      <x:c r="G1610" s="2" t="str">
        <x:v>승</x:v>
      </x:c>
      <x:c r="H1610" s="14" t="n">
        <x:v>5</x:v>
      </x:c>
      <x:c r="I1610" s="14" t="n">
        <x:v>3</x:v>
      </x:c>
      <x:c r="J1610" s="14" t="n">
        <x:v>11</x:v>
      </x:c>
      <x:c r="K1610" s="14" t="n">
        <x:v>5</x:v>
      </x:c>
      <x:c r="L1610" s="15" t="n">
        <x:f>IF(J1610=0,"해당 없음",K1610/J1610)</x:f>
        <x:v>0.45454545454545453</x:v>
      </x:c>
      <x:c r="M1610" s="14" t="n">
        <x:v>8</x:v>
      </x:c>
      <x:c r="N1610" s="14" t="n">
        <x:v>8</x:v>
      </x:c>
      <x:c r="O1610" s="15" t="n">
        <x:f>IF(M1610=0,"해당 없음",N1610/M1610)</x:f>
        <x:v>1</x:v>
      </x:c>
      <x:c r="P1610" s="14" t="n">
        <x:v>107</x:v>
      </x:c>
    </x:row>
    <x:row r="1611" ht="22" customHeight="1">
      <x:c r="A1611" s="14" t="n">
        <x:v>803</x:v>
      </x:c>
      <x:c r="B1611" s="14" t="n">
        <x:v>21</x:v>
      </x:c>
      <x:c r="C1611" s="14" t="n">
        <x:v>76001</x:v>
      </x:c>
      <x:c r="D1611" s="2" t="str">
        <x:v>NAVY</x:v>
      </x:c>
      <x:c r="E1611" s="2" t="str">
        <x:v>200만</x:v>
      </x:c>
      <x:c r="F1611" s="2" t="str">
        <x:v>80만</x:v>
      </x:c>
      <x:c r="G1611" s="2" t="str">
        <x:v>패</x:v>
      </x:c>
      <x:c r="H1611" s="14" t="n">
        <x:v>3</x:v>
      </x:c>
      <x:c r="I1611" s="14" t="n">
        <x:v>5</x:v>
      </x:c>
      <x:c r="J1611" s="14" t="n">
        <x:v>7</x:v>
      </x:c>
      <x:c r="K1611" s="14" t="n">
        <x:v>3</x:v>
      </x:c>
      <x:c r="L1611" s="15" t="n">
        <x:f>IF(J1611=0,"해당 없음",K1611/J1611)</x:f>
        <x:v>0.42857142857142855</x:v>
      </x:c>
      <x:c r="M1611" s="14" t="n">
        <x:v>5</x:v>
      </x:c>
      <x:c r="N1611" s="14" t="n">
        <x:v>3</x:v>
      </x:c>
      <x:c r="O1611" s="15" t="n">
        <x:f>IF(M1611=0,"해당 없음",N1611/M1611)</x:f>
        <x:v>0.6</x:v>
      </x:c>
      <x:c r="P1611" s="14" t="n">
        <x:v>107</x:v>
      </x:c>
    </x:row>
    <x:row r="1612" ht="22" customHeight="1">
      <x:c r="A1612" s="14" t="n">
        <x:v>804</x:v>
      </x:c>
      <x:c r="B1612" s="14" t="n">
        <x:v>21</x:v>
      </x:c>
      <x:c r="C1612" s="14" t="n">
        <x:v>76001</x:v>
      </x:c>
      <x:c r="D1612" s="2" t="str">
        <x:v>RED</x:v>
      </x:c>
      <x:c r="E1612" s="2" t="str">
        <x:v>200만</x:v>
      </x:c>
      <x:c r="F1612" s="2" t="str">
        <x:v>80만</x:v>
      </x:c>
      <x:c r="G1612" s="2" t="str">
        <x:v>패</x:v>
      </x:c>
      <x:c r="H1612" s="14" t="n">
        <x:v>3</x:v>
      </x:c>
      <x:c r="I1612" s="14" t="n">
        <x:v>6</x:v>
      </x:c>
      <x:c r="J1612" s="14" t="n">
        <x:v>9</x:v>
      </x:c>
      <x:c r="K1612" s="14" t="n">
        <x:v>3</x:v>
      </x:c>
      <x:c r="L1612" s="15" t="n">
        <x:f>IF(J1612=0,"해당 없음",K1612/J1612)</x:f>
        <x:v>0.3333333333333333</x:v>
      </x:c>
      <x:c r="M1612" s="14" t="n">
        <x:v>8</x:v>
      </x:c>
      <x:c r="N1612" s="14" t="n">
        <x:v>6</x:v>
      </x:c>
      <x:c r="O1612" s="15" t="n">
        <x:f>IF(M1612=0,"해당 없음",N1612/M1612)</x:f>
        <x:v>0.75</x:v>
      </x:c>
      <x:c r="P1612" s="14" t="n">
        <x:v>105</x:v>
      </x:c>
    </x:row>
    <x:row r="1613" ht="22" customHeight="1">
      <x:c r="A1613" s="14" t="n">
        <x:v>804</x:v>
      </x:c>
      <x:c r="B1613" s="14" t="n">
        <x:v>21</x:v>
      </x:c>
      <x:c r="C1613" s="14" t="n">
        <x:v>76001</x:v>
      </x:c>
      <x:c r="D1613" s="2" t="str">
        <x:v>NAVY</x:v>
      </x:c>
      <x:c r="E1613" s="2" t="str">
        <x:v>80만</x:v>
      </x:c>
      <x:c r="F1613" s="2" t="str">
        <x:v>200만</x:v>
      </x:c>
      <x:c r="G1613" s="2" t="str">
        <x:v>승</x:v>
      </x:c>
      <x:c r="H1613" s="14" t="n">
        <x:v>6</x:v>
      </x:c>
      <x:c r="I1613" s="14" t="n">
        <x:v>3</x:v>
      </x:c>
      <x:c r="J1613" s="14" t="n">
        <x:v>11</x:v>
      </x:c>
      <x:c r="K1613" s="14" t="n">
        <x:v>6</x:v>
      </x:c>
      <x:c r="L1613" s="15" t="n">
        <x:f>IF(J1613=0,"해당 없음",K1613/J1613)</x:f>
        <x:v>0.5454545454545454</x:v>
      </x:c>
      <x:c r="M1613" s="14" t="n">
        <x:v>13</x:v>
      </x:c>
      <x:c r="N1613" s="14" t="n">
        <x:v>10</x:v>
      </x:c>
      <x:c r="O1613" s="15" t="n">
        <x:f>IF(M1613=0,"해당 없음",N1613/M1613)</x:f>
        <x:v>0.7692307692307693</x:v>
      </x:c>
      <x:c r="P1613" s="14" t="n">
        <x:v>105</x:v>
      </x:c>
    </x:row>
    <x:row r="1614" ht="22" customHeight="1">
      <x:c r="A1614" s="14" t="n">
        <x:v>805</x:v>
      </x:c>
      <x:c r="B1614" s="14" t="n">
        <x:v>21</x:v>
      </x:c>
      <x:c r="C1614" s="14" t="n">
        <x:v>76002</x:v>
      </x:c>
      <x:c r="D1614" s="2" t="str">
        <x:v>RED</x:v>
      </x:c>
      <x:c r="E1614" s="2" t="str">
        <x:v>80만</x:v>
      </x:c>
      <x:c r="F1614" s="2" t="str">
        <x:v>200만</x:v>
      </x:c>
      <x:c r="G1614" s="2" t="str">
        <x:v>무</x:v>
      </x:c>
      <x:c r="H1614" s="14" t="n">
        <x:v>1</x:v>
      </x:c>
      <x:c r="I1614" s="14" t="n">
        <x:v>1</x:v>
      </x:c>
      <x:c r="J1614" s="14" t="n">
        <x:v>13</x:v>
      </x:c>
      <x:c r="K1614" s="14" t="n">
        <x:v>1</x:v>
      </x:c>
      <x:c r="L1614" s="15" t="n">
        <x:f>IF(J1614=0,"해당 없음",K1614/J1614)</x:f>
        <x:v>0.07692307692307693</x:v>
      </x:c>
      <x:c r="M1614" s="14" t="n">
        <x:v>16</x:v>
      </x:c>
      <x:c r="N1614" s="14" t="n">
        <x:v>13</x:v>
      </x:c>
      <x:c r="O1614" s="15" t="n">
        <x:f>IF(M1614=0,"해당 없음",N1614/M1614)</x:f>
        <x:v>0.8125</x:v>
      </x:c>
      <x:c r="P1614" s="14" t="n">
        <x:v>102</x:v>
      </x:c>
    </x:row>
    <x:row r="1615" ht="22" customHeight="1">
      <x:c r="A1615" s="14" t="n">
        <x:v>805</x:v>
      </x:c>
      <x:c r="B1615" s="14" t="n">
        <x:v>21</x:v>
      </x:c>
      <x:c r="C1615" s="14" t="n">
        <x:v>76002</x:v>
      </x:c>
      <x:c r="D1615" s="2" t="str">
        <x:v>NAVY</x:v>
      </x:c>
      <x:c r="E1615" s="2" t="str">
        <x:v>200만</x:v>
      </x:c>
      <x:c r="F1615" s="2" t="str">
        <x:v>80만</x:v>
      </x:c>
      <x:c r="G1615" s="2" t="str">
        <x:v>무</x:v>
      </x:c>
      <x:c r="H1615" s="14" t="n">
        <x:v>1</x:v>
      </x:c>
      <x:c r="I1615" s="14" t="n">
        <x:v>1</x:v>
      </x:c>
      <x:c r="J1615" s="14" t="n">
        <x:v>7</x:v>
      </x:c>
      <x:c r="K1615" s="14" t="n">
        <x:v>1</x:v>
      </x:c>
      <x:c r="L1615" s="15" t="n">
        <x:f>IF(J1615=0,"해당 없음",K1615/J1615)</x:f>
        <x:v>0.14285714285714285</x:v>
      </x:c>
      <x:c r="M1615" s="14" t="n">
        <x:v>11</x:v>
      </x:c>
      <x:c r="N1615" s="14" t="n">
        <x:v>8</x:v>
      </x:c>
      <x:c r="O1615" s="15" t="n">
        <x:f>IF(M1615=0,"해당 없음",N1615/M1615)</x:f>
        <x:v>0.7272727272727273</x:v>
      </x:c>
      <x:c r="P1615" s="14" t="n">
        <x:v>100</x:v>
      </x:c>
    </x:row>
    <x:row r="1616" ht="22" customHeight="1">
      <x:c r="A1616" s="14" t="n">
        <x:v>806</x:v>
      </x:c>
      <x:c r="B1616" s="14" t="n">
        <x:v>21</x:v>
      </x:c>
      <x:c r="C1616" s="14" t="n">
        <x:v>76002</x:v>
      </x:c>
      <x:c r="D1616" s="2" t="str">
        <x:v>RED</x:v>
      </x:c>
      <x:c r="E1616" s="2" t="str">
        <x:v>200만</x:v>
      </x:c>
      <x:c r="F1616" s="2" t="str">
        <x:v>80만</x:v>
      </x:c>
      <x:c r="G1616" s="2" t="str">
        <x:v>승</x:v>
      </x:c>
      <x:c r="H1616" s="14" t="n">
        <x:v>4</x:v>
      </x:c>
      <x:c r="I1616" s="14" t="n">
        <x:v>3</x:v>
      </x:c>
      <x:c r="J1616" s="14" t="n">
        <x:v>9</x:v>
      </x:c>
      <x:c r="K1616" s="14" t="n">
        <x:v>4</x:v>
      </x:c>
      <x:c r="L1616" s="15" t="n">
        <x:f>IF(J1616=0,"해당 없음",K1616/J1616)</x:f>
        <x:v>0.4444444444444444</x:v>
      </x:c>
      <x:c r="M1616" s="14" t="n">
        <x:v>8</x:v>
      </x:c>
      <x:c r="N1616" s="14" t="n">
        <x:v>6</x:v>
      </x:c>
      <x:c r="O1616" s="15" t="n">
        <x:f>IF(M1616=0,"해당 없음",N1616/M1616)</x:f>
        <x:v>0.75</x:v>
      </x:c>
      <x:c r="P1616" s="14" t="n">
        <x:v>102</x:v>
      </x:c>
    </x:row>
    <x:row r="1617" ht="22" customHeight="1">
      <x:c r="A1617" s="14" t="n">
        <x:v>806</x:v>
      </x:c>
      <x:c r="B1617" s="14" t="n">
        <x:v>21</x:v>
      </x:c>
      <x:c r="C1617" s="14" t="n">
        <x:v>76002</x:v>
      </x:c>
      <x:c r="D1617" s="2" t="str">
        <x:v>NAVY</x:v>
      </x:c>
      <x:c r="E1617" s="2" t="str">
        <x:v>80만</x:v>
      </x:c>
      <x:c r="F1617" s="2" t="str">
        <x:v>200만</x:v>
      </x:c>
      <x:c r="G1617" s="2" t="str">
        <x:v>패</x:v>
      </x:c>
      <x:c r="H1617" s="14" t="n">
        <x:v>3</x:v>
      </x:c>
      <x:c r="I1617" s="14" t="n">
        <x:v>4</x:v>
      </x:c>
      <x:c r="J1617" s="14" t="n">
        <x:v>9</x:v>
      </x:c>
      <x:c r="K1617" s="14" t="n">
        <x:v>3</x:v>
      </x:c>
      <x:c r="L1617" s="15" t="n">
        <x:f>IF(J1617=0,"해당 없음",K1617/J1617)</x:f>
        <x:v>0.3333333333333333</x:v>
      </x:c>
      <x:c r="M1617" s="14" t="n">
        <x:v>13</x:v>
      </x:c>
      <x:c r="N1617" s="14" t="n">
        <x:v>9</x:v>
      </x:c>
      <x:c r="O1617" s="15" t="n">
        <x:f>IF(M1617=0,"해당 없음",N1617/M1617)</x:f>
        <x:v>0.6923076923076923</x:v>
      </x:c>
      <x:c r="P1617" s="14" t="n">
        <x:v>105</x:v>
      </x:c>
    </x:row>
    <x:row r="1618" ht="22" customHeight="1">
      <x:c r="A1618" s="14" t="n">
        <x:v>807</x:v>
      </x:c>
      <x:c r="B1618" s="14" t="n">
        <x:v>21</x:v>
      </x:c>
      <x:c r="C1618" s="14" t="n">
        <x:v>76003</x:v>
      </x:c>
      <x:c r="D1618" s="2" t="str">
        <x:v>RED</x:v>
      </x:c>
      <x:c r="E1618" s="2" t="str">
        <x:v>80만</x:v>
      </x:c>
      <x:c r="F1618" s="2" t="str">
        <x:v>200만</x:v>
      </x:c>
      <x:c r="G1618" s="2" t="str">
        <x:v>패</x:v>
      </x:c>
      <x:c r="H1618" s="14" t="n">
        <x:v>1</x:v>
      </x:c>
      <x:c r="I1618" s="14" t="n">
        <x:v>4</x:v>
      </x:c>
      <x:c r="J1618" s="14" t="n">
        <x:v>7</x:v>
      </x:c>
      <x:c r="K1618" s="14" t="n">
        <x:v>1</x:v>
      </x:c>
      <x:c r="L1618" s="15" t="n">
        <x:f>IF(J1618=0,"해당 없음",K1618/J1618)</x:f>
        <x:v>0.14285714285714285</x:v>
      </x:c>
      <x:c r="M1618" s="14" t="n">
        <x:v>6</x:v>
      </x:c>
      <x:c r="N1618" s="14" t="n">
        <x:v>4</x:v>
      </x:c>
      <x:c r="O1618" s="15" t="n">
        <x:f>IF(M1618=0,"해당 없음",N1618/M1618)</x:f>
        <x:v>0.6666666666666666</x:v>
      </x:c>
      <x:c r="P1618" s="14" t="n">
        <x:v>104</x:v>
      </x:c>
    </x:row>
    <x:row r="1619" ht="22" customHeight="1">
      <x:c r="A1619" s="14" t="n">
        <x:v>807</x:v>
      </x:c>
      <x:c r="B1619" s="14" t="n">
        <x:v>21</x:v>
      </x:c>
      <x:c r="C1619" s="14" t="n">
        <x:v>76003</x:v>
      </x:c>
      <x:c r="D1619" s="2" t="str">
        <x:v>NAVY</x:v>
      </x:c>
      <x:c r="E1619" s="2" t="str">
        <x:v>200만</x:v>
      </x:c>
      <x:c r="F1619" s="2" t="str">
        <x:v>80만</x:v>
      </x:c>
      <x:c r="G1619" s="2" t="str">
        <x:v>승</x:v>
      </x:c>
      <x:c r="H1619" s="14" t="n">
        <x:v>4</x:v>
      </x:c>
      <x:c r="I1619" s="14" t="n">
        <x:v>1</x:v>
      </x:c>
      <x:c r="J1619" s="14" t="n">
        <x:v>8</x:v>
      </x:c>
      <x:c r="K1619" s="14" t="n">
        <x:v>4</x:v>
      </x:c>
      <x:c r="L1619" s="15" t="n">
        <x:f>IF(J1619=0,"해당 없음",K1619/J1619)</x:f>
        <x:v>0.5</x:v>
      </x:c>
      <x:c r="M1619" s="14" t="n">
        <x:v>15</x:v>
      </x:c>
      <x:c r="N1619" s="14" t="n">
        <x:v>5</x:v>
      </x:c>
      <x:c r="O1619" s="15" t="n">
        <x:f>IF(M1619=0,"해당 없음",N1619/M1619)</x:f>
        <x:v>0.3333333333333333</x:v>
      </x:c>
      <x:c r="P1619" s="14" t="n">
        <x:v>103</x:v>
      </x:c>
    </x:row>
    <x:row r="1620" ht="22" customHeight="1">
      <x:c r="A1620" s="14" t="n">
        <x:v>808</x:v>
      </x:c>
      <x:c r="B1620" s="14" t="n">
        <x:v>21</x:v>
      </x:c>
      <x:c r="C1620" s="14" t="n">
        <x:v>76003</x:v>
      </x:c>
      <x:c r="D1620" s="2" t="str">
        <x:v>RED</x:v>
      </x:c>
      <x:c r="E1620" s="2" t="str">
        <x:v>200만</x:v>
      </x:c>
      <x:c r="F1620" s="2" t="str">
        <x:v>80만</x:v>
      </x:c>
      <x:c r="G1620" s="2" t="str">
        <x:v>승</x:v>
      </x:c>
      <x:c r="H1620" s="14" t="n">
        <x:v>3</x:v>
      </x:c>
      <x:c r="I1620" s="14" t="n">
        <x:v>2</x:v>
      </x:c>
      <x:c r="J1620" s="14" t="n">
        <x:v>10</x:v>
      </x:c>
      <x:c r="K1620" s="14" t="n">
        <x:v>3</x:v>
      </x:c>
      <x:c r="L1620" s="15" t="n">
        <x:f>IF(J1620=0,"해당 없음",K1620/J1620)</x:f>
        <x:v>0.3</x:v>
      </x:c>
      <x:c r="M1620" s="14" t="n">
        <x:v>10</x:v>
      </x:c>
      <x:c r="N1620" s="14" t="n">
        <x:v>9</x:v>
      </x:c>
      <x:c r="O1620" s="15" t="n">
        <x:f>IF(M1620=0,"해당 없음",N1620/M1620)</x:f>
        <x:v>0.9</x:v>
      </x:c>
      <x:c r="P1620" s="14" t="n">
        <x:v>104</x:v>
      </x:c>
    </x:row>
    <x:row r="1621" ht="22" customHeight="1">
      <x:c r="A1621" s="14" t="n">
        <x:v>808</x:v>
      </x:c>
      <x:c r="B1621" s="14" t="n">
        <x:v>21</x:v>
      </x:c>
      <x:c r="C1621" s="14" t="n">
        <x:v>76003</x:v>
      </x:c>
      <x:c r="D1621" s="2" t="str">
        <x:v>NAVY</x:v>
      </x:c>
      <x:c r="E1621" s="2" t="str">
        <x:v>80만</x:v>
      </x:c>
      <x:c r="F1621" s="2" t="str">
        <x:v>200만</x:v>
      </x:c>
      <x:c r="G1621" s="2" t="str">
        <x:v>패</x:v>
      </x:c>
      <x:c r="H1621" s="14" t="n">
        <x:v>2</x:v>
      </x:c>
      <x:c r="I1621" s="14" t="n">
        <x:v>3</x:v>
      </x:c>
      <x:c r="J1621" s="14" t="n">
        <x:v>10</x:v>
      </x:c>
      <x:c r="K1621" s="14" t="n">
        <x:v>2</x:v>
      </x:c>
      <x:c r="L1621" s="15" t="n">
        <x:f>IF(J1621=0,"해당 없음",K1621/J1621)</x:f>
        <x:v>0.2</x:v>
      </x:c>
      <x:c r="M1621" s="14" t="n">
        <x:v>16</x:v>
      </x:c>
      <x:c r="N1621" s="14" t="n">
        <x:v>12</x:v>
      </x:c>
      <x:c r="O1621" s="15" t="n">
        <x:f>IF(M1621=0,"해당 없음",N1621/M1621)</x:f>
        <x:v>0.75</x:v>
      </x:c>
      <x:c r="P1621" s="14" t="n">
        <x:v>102</x:v>
      </x:c>
    </x:row>
    <x:row r="1622" ht="22" customHeight="1">
      <x:c r="A1622" s="14" t="n">
        <x:v>809</x:v>
      </x:c>
      <x:c r="B1622" s="14" t="n">
        <x:v>21</x:v>
      </x:c>
      <x:c r="C1622" s="14" t="n">
        <x:v>76004</x:v>
      </x:c>
      <x:c r="D1622" s="2" t="str">
        <x:v>RED</x:v>
      </x:c>
      <x:c r="E1622" s="2" t="str">
        <x:v>80만</x:v>
      </x:c>
      <x:c r="F1622" s="2" t="str">
        <x:v>200만</x:v>
      </x:c>
      <x:c r="G1622" s="2" t="str">
        <x:v>승</x:v>
      </x:c>
      <x:c r="H1622" s="14" t="n">
        <x:v>5</x:v>
      </x:c>
      <x:c r="I1622" s="14" t="n">
        <x:v>3</x:v>
      </x:c>
      <x:c r="J1622" s="14" t="n">
        <x:v>12</x:v>
      </x:c>
      <x:c r="K1622" s="14" t="n">
        <x:v>5</x:v>
      </x:c>
      <x:c r="L1622" s="15" t="n">
        <x:f>IF(J1622=0,"해당 없음",K1622/J1622)</x:f>
        <x:v>0.4166666666666667</x:v>
      </x:c>
      <x:c r="M1622" s="14" t="n">
        <x:v>7</x:v>
      </x:c>
      <x:c r="N1622" s="14" t="n">
        <x:v>7</x:v>
      </x:c>
      <x:c r="O1622" s="15" t="n">
        <x:f>IF(M1622=0,"해당 없음",N1622/M1622)</x:f>
        <x:v>1</x:v>
      </x:c>
      <x:c r="P1622" s="14" t="n">
        <x:v>105</x:v>
      </x:c>
    </x:row>
    <x:row r="1623" ht="22" customHeight="1">
      <x:c r="A1623" s="14" t="n">
        <x:v>809</x:v>
      </x:c>
      <x:c r="B1623" s="14" t="n">
        <x:v>21</x:v>
      </x:c>
      <x:c r="C1623" s="14" t="n">
        <x:v>76004</x:v>
      </x:c>
      <x:c r="D1623" s="2" t="str">
        <x:v>NAVY</x:v>
      </x:c>
      <x:c r="E1623" s="2" t="str">
        <x:v>200만</x:v>
      </x:c>
      <x:c r="F1623" s="2" t="str">
        <x:v>80만</x:v>
      </x:c>
      <x:c r="G1623" s="2" t="str">
        <x:v>패</x:v>
      </x:c>
      <x:c r="H1623" s="14" t="n">
        <x:v>3</x:v>
      </x:c>
      <x:c r="I1623" s="14" t="n">
        <x:v>5</x:v>
      </x:c>
      <x:c r="J1623" s="14" t="n">
        <x:v>5</x:v>
      </x:c>
      <x:c r="K1623" s="14" t="n">
        <x:v>3</x:v>
      </x:c>
      <x:c r="L1623" s="15" t="n">
        <x:f>IF(J1623=0,"해당 없음",K1623/J1623)</x:f>
        <x:v>0.6</x:v>
      </x:c>
      <x:c r="M1623" s="14" t="n">
        <x:v>7</x:v>
      </x:c>
      <x:c r="N1623" s="14" t="n">
        <x:v>5</x:v>
      </x:c>
      <x:c r="O1623" s="15" t="n">
        <x:f>IF(M1623=0,"해당 없음",N1623/M1623)</x:f>
        <x:v>0.7142857142857143</x:v>
      </x:c>
      <x:c r="P1623" s="14" t="n">
        <x:v>104</x:v>
      </x:c>
    </x:row>
    <x:row r="1624" ht="22" customHeight="1">
      <x:c r="A1624" s="14" t="n">
        <x:v>810</x:v>
      </x:c>
      <x:c r="B1624" s="14" t="n">
        <x:v>21</x:v>
      </x:c>
      <x:c r="C1624" s="14" t="n">
        <x:v>76004</x:v>
      </x:c>
      <x:c r="D1624" s="2" t="str">
        <x:v>RED</x:v>
      </x:c>
      <x:c r="E1624" s="2" t="str">
        <x:v>200만</x:v>
      </x:c>
      <x:c r="F1624" s="2" t="str">
        <x:v>80만</x:v>
      </x:c>
      <x:c r="G1624" s="2" t="str">
        <x:v>패</x:v>
      </x:c>
      <x:c r="H1624" s="14" t="n">
        <x:v>1</x:v>
      </x:c>
      <x:c r="I1624" s="14" t="n">
        <x:v>3</x:v>
      </x:c>
      <x:c r="J1624" s="14" t="n">
        <x:v>8</x:v>
      </x:c>
      <x:c r="K1624" s="14" t="n">
        <x:v>1</x:v>
      </x:c>
      <x:c r="L1624" s="15" t="n">
        <x:f>IF(J1624=0,"해당 없음",K1624/J1624)</x:f>
        <x:v>0.125</x:v>
      </x:c>
      <x:c r="M1624" s="14" t="n">
        <x:v>9</x:v>
      </x:c>
      <x:c r="N1624" s="14" t="n">
        <x:v>7</x:v>
      </x:c>
      <x:c r="O1624" s="15" t="n">
        <x:f>IF(M1624=0,"해당 없음",N1624/M1624)</x:f>
        <x:v>0.7777777777777778</x:v>
      </x:c>
      <x:c r="P1624" s="14" t="n">
        <x:v>102</x:v>
      </x:c>
    </x:row>
    <x:row r="1625" ht="22" customHeight="1">
      <x:c r="A1625" s="14" t="n">
        <x:v>810</x:v>
      </x:c>
      <x:c r="B1625" s="14" t="n">
        <x:v>21</x:v>
      </x:c>
      <x:c r="C1625" s="14" t="n">
        <x:v>76004</x:v>
      </x:c>
      <x:c r="D1625" s="2" t="str">
        <x:v>NAVY</x:v>
      </x:c>
      <x:c r="E1625" s="2" t="str">
        <x:v>80만</x:v>
      </x:c>
      <x:c r="F1625" s="2" t="str">
        <x:v>200만</x:v>
      </x:c>
      <x:c r="G1625" s="2" t="str">
        <x:v>승</x:v>
      </x:c>
      <x:c r="H1625" s="14" t="n">
        <x:v>3</x:v>
      </x:c>
      <x:c r="I1625" s="14" t="n">
        <x:v>1</x:v>
      </x:c>
      <x:c r="J1625" s="14" t="n">
        <x:v>11</x:v>
      </x:c>
      <x:c r="K1625" s="14" t="n">
        <x:v>2</x:v>
      </x:c>
      <x:c r="L1625" s="15" t="n">
        <x:f>IF(J1625=0,"해당 없음",K1625/J1625)</x:f>
        <x:v>0.18181818181818182</x:v>
      </x:c>
      <x:c r="M1625" s="14" t="n">
        <x:v>15</x:v>
      </x:c>
      <x:c r="N1625" s="14" t="n">
        <x:v>10</x:v>
      </x:c>
      <x:c r="O1625" s="15" t="n">
        <x:f>IF(M1625=0,"해당 없음",N1625/M1625)</x:f>
        <x:v>0.6666666666666666</x:v>
      </x:c>
      <x:c r="P1625" s="14" t="n">
        <x:v>100</x:v>
      </x:c>
    </x:row>
    <x:row r="1626" ht="22" customHeight="1">
      <x:c r="A1626" s="14" t="n">
        <x:v>811</x:v>
      </x:c>
      <x:c r="B1626" s="14" t="n">
        <x:v>21</x:v>
      </x:c>
      <x:c r="C1626" s="14" t="n">
        <x:v>76005</x:v>
      </x:c>
      <x:c r="D1626" s="2" t="str">
        <x:v>RED</x:v>
      </x:c>
      <x:c r="E1626" s="2" t="str">
        <x:v>80만</x:v>
      </x:c>
      <x:c r="F1626" s="2" t="str">
        <x:v>200만</x:v>
      </x:c>
      <x:c r="G1626" s="2" t="str">
        <x:v>패</x:v>
      </x:c>
      <x:c r="H1626" s="14" t="n">
        <x:v>2</x:v>
      </x:c>
      <x:c r="I1626" s="14" t="n">
        <x:v>5</x:v>
      </x:c>
      <x:c r="J1626" s="14" t="n">
        <x:v>10</x:v>
      </x:c>
      <x:c r="K1626" s="14" t="n">
        <x:v>2</x:v>
      </x:c>
      <x:c r="L1626" s="15" t="n">
        <x:f>IF(J1626=0,"해당 없음",K1626/J1626)</x:f>
        <x:v>0.2</x:v>
      </x:c>
      <x:c r="M1626" s="14" t="n">
        <x:v>7</x:v>
      </x:c>
      <x:c r="N1626" s="14" t="n">
        <x:v>6</x:v>
      </x:c>
      <x:c r="O1626" s="15" t="n">
        <x:f>IF(M1626=0,"해당 없음",N1626/M1626)</x:f>
        <x:v>0.8571428571428571</x:v>
      </x:c>
      <x:c r="P1626" s="14" t="n">
        <x:v>105</x:v>
      </x:c>
    </x:row>
    <x:row r="1627" ht="22" customHeight="1">
      <x:c r="A1627" s="14" t="n">
        <x:v>811</x:v>
      </x:c>
      <x:c r="B1627" s="14" t="n">
        <x:v>21</x:v>
      </x:c>
      <x:c r="C1627" s="14" t="n">
        <x:v>76005</x:v>
      </x:c>
      <x:c r="D1627" s="2" t="str">
        <x:v>NAVY</x:v>
      </x:c>
      <x:c r="E1627" s="2" t="str">
        <x:v>200만</x:v>
      </x:c>
      <x:c r="F1627" s="2" t="str">
        <x:v>80만</x:v>
      </x:c>
      <x:c r="G1627" s="2" t="str">
        <x:v>승</x:v>
      </x:c>
      <x:c r="H1627" s="14" t="n">
        <x:v>5</x:v>
      </x:c>
      <x:c r="I1627" s="14" t="n">
        <x:v>2</x:v>
      </x:c>
      <x:c r="J1627" s="14" t="n">
        <x:v>7</x:v>
      </x:c>
      <x:c r="K1627" s="14" t="n">
        <x:v>5</x:v>
      </x:c>
      <x:c r="L1627" s="15" t="n">
        <x:f>IF(J1627=0,"해당 없음",K1627/J1627)</x:f>
        <x:v>0.7142857142857143</x:v>
      </x:c>
      <x:c r="M1627" s="14" t="n">
        <x:v>7</x:v>
      </x:c>
      <x:c r="N1627" s="14" t="n">
        <x:v>5</x:v>
      </x:c>
      <x:c r="O1627" s="15" t="n">
        <x:f>IF(M1627=0,"해당 없음",N1627/M1627)</x:f>
        <x:v>0.7142857142857143</x:v>
      </x:c>
      <x:c r="P1627" s="14" t="n">
        <x:v>104</x:v>
      </x:c>
    </x:row>
    <x:row r="1628" ht="22" customHeight="1">
      <x:c r="A1628" s="14" t="n">
        <x:v>812</x:v>
      </x:c>
      <x:c r="B1628" s="14" t="n">
        <x:v>21</x:v>
      </x:c>
      <x:c r="C1628" s="14" t="n">
        <x:v>76005</x:v>
      </x:c>
      <x:c r="D1628" s="2" t="str">
        <x:v>RED</x:v>
      </x:c>
      <x:c r="E1628" s="2" t="str">
        <x:v>200만</x:v>
      </x:c>
      <x:c r="F1628" s="2" t="str">
        <x:v>80만</x:v>
      </x:c>
      <x:c r="G1628" s="2" t="str">
        <x:v>패</x:v>
      </x:c>
      <x:c r="H1628" s="14" t="n">
        <x:v>1</x:v>
      </x:c>
      <x:c r="I1628" s="14" t="n">
        <x:v>3</x:v>
      </x:c>
      <x:c r="J1628" s="14" t="n">
        <x:v>10</x:v>
      </x:c>
      <x:c r="K1628" s="14" t="n">
        <x:v>1</x:v>
      </x:c>
      <x:c r="L1628" s="15" t="n">
        <x:f>IF(J1628=0,"해당 없음",K1628/J1628)</x:f>
        <x:v>0.1</x:v>
      </x:c>
      <x:c r="M1628" s="14" t="n">
        <x:v>11</x:v>
      </x:c>
      <x:c r="N1628" s="14" t="n">
        <x:v>8</x:v>
      </x:c>
      <x:c r="O1628" s="15" t="n">
        <x:f>IF(M1628=0,"해당 없음",N1628/M1628)</x:f>
        <x:v>0.7272727272727273</x:v>
      </x:c>
      <x:c r="P1628" s="14" t="n">
        <x:v>101</x:v>
      </x:c>
    </x:row>
    <x:row r="1629" ht="22" customHeight="1">
      <x:c r="A1629" s="14" t="n">
        <x:v>812</x:v>
      </x:c>
      <x:c r="B1629" s="14" t="n">
        <x:v>21</x:v>
      </x:c>
      <x:c r="C1629" s="14" t="n">
        <x:v>76005</x:v>
      </x:c>
      <x:c r="D1629" s="2" t="str">
        <x:v>NAVY</x:v>
      </x:c>
      <x:c r="E1629" s="2" t="str">
        <x:v>80만</x:v>
      </x:c>
      <x:c r="F1629" s="2" t="str">
        <x:v>200만</x:v>
      </x:c>
      <x:c r="G1629" s="2" t="str">
        <x:v>승</x:v>
      </x:c>
      <x:c r="H1629" s="14" t="n">
        <x:v>3</x:v>
      </x:c>
      <x:c r="I1629" s="14" t="n">
        <x:v>1</x:v>
      </x:c>
      <x:c r="J1629" s="14" t="n">
        <x:v>9</x:v>
      </x:c>
      <x:c r="K1629" s="14" t="n">
        <x:v>2</x:v>
      </x:c>
      <x:c r="L1629" s="15" t="n">
        <x:f>IF(J1629=0,"해당 없음",K1629/J1629)</x:f>
        <x:v>0.2222222222222222</x:v>
      </x:c>
      <x:c r="M1629" s="14" t="n">
        <x:v>18</x:v>
      </x:c>
      <x:c r="N1629" s="14" t="n">
        <x:v>12</x:v>
      </x:c>
      <x:c r="O1629" s="15" t="n">
        <x:f>IF(M1629=0,"해당 없음",N1629/M1629)</x:f>
        <x:v>0.6666666666666666</x:v>
      </x:c>
      <x:c r="P1629" s="14" t="n">
        <x:v>103</x:v>
      </x:c>
    </x:row>
    <x:row r="1630" ht="22" customHeight="1">
      <x:c r="A1630" s="14" t="n">
        <x:v>813</x:v>
      </x:c>
      <x:c r="B1630" s="14" t="n">
        <x:v>21</x:v>
      </x:c>
      <x:c r="C1630" s="14" t="n">
        <x:v>76006</x:v>
      </x:c>
      <x:c r="D1630" s="2" t="str">
        <x:v>RED</x:v>
      </x:c>
      <x:c r="E1630" s="2" t="str">
        <x:v>80만</x:v>
      </x:c>
      <x:c r="F1630" s="2" t="str">
        <x:v>200만</x:v>
      </x:c>
      <x:c r="G1630" s="2" t="str">
        <x:v>승</x:v>
      </x:c>
      <x:c r="H1630" s="14" t="n">
        <x:v>3</x:v>
      </x:c>
      <x:c r="I1630" s="14" t="n">
        <x:v>1</x:v>
      </x:c>
      <x:c r="J1630" s="14" t="n">
        <x:v>8</x:v>
      </x:c>
      <x:c r="K1630" s="14" t="n">
        <x:v>2</x:v>
      </x:c>
      <x:c r="L1630" s="15" t="n">
        <x:f>IF(J1630=0,"해당 없음",K1630/J1630)</x:f>
        <x:v>0.25</x:v>
      </x:c>
      <x:c r="M1630" s="14" t="n">
        <x:v>11</x:v>
      </x:c>
      <x:c r="N1630" s="14" t="n">
        <x:v>10</x:v>
      </x:c>
      <x:c r="O1630" s="15" t="n">
        <x:f>IF(M1630=0,"해당 없음",N1630/M1630)</x:f>
        <x:v>0.9090909090909091</x:v>
      </x:c>
      <x:c r="P1630" s="14" t="n">
        <x:v>101</x:v>
      </x:c>
    </x:row>
    <x:row r="1631" ht="22" customHeight="1">
      <x:c r="A1631" s="14" t="n">
        <x:v>813</x:v>
      </x:c>
      <x:c r="B1631" s="14" t="n">
        <x:v>21</x:v>
      </x:c>
      <x:c r="C1631" s="14" t="n">
        <x:v>76006</x:v>
      </x:c>
      <x:c r="D1631" s="2" t="str">
        <x:v>NAVY</x:v>
      </x:c>
      <x:c r="E1631" s="2" t="str">
        <x:v>200만</x:v>
      </x:c>
      <x:c r="F1631" s="2" t="str">
        <x:v>80만</x:v>
      </x:c>
      <x:c r="G1631" s="2" t="str">
        <x:v>패</x:v>
      </x:c>
      <x:c r="H1631" s="14" t="n">
        <x:v>1</x:v>
      </x:c>
      <x:c r="I1631" s="14" t="n">
        <x:v>3</x:v>
      </x:c>
      <x:c r="J1631" s="14" t="n">
        <x:v>5</x:v>
      </x:c>
      <x:c r="K1631" s="14" t="n">
        <x:v>1</x:v>
      </x:c>
      <x:c r="L1631" s="15" t="n">
        <x:f>IF(J1631=0,"해당 없음",K1631/J1631)</x:f>
        <x:v>0.2</x:v>
      </x:c>
      <x:c r="M1631" s="14" t="n">
        <x:v>7</x:v>
      </x:c>
      <x:c r="N1631" s="14" t="n">
        <x:v>4</x:v>
      </x:c>
      <x:c r="O1631" s="15" t="n">
        <x:f>IF(M1631=0,"해당 없음",N1631/M1631)</x:f>
        <x:v>0.5714285714285714</x:v>
      </x:c>
      <x:c r="P1631" s="14" t="n">
        <x:v>104</x:v>
      </x:c>
    </x:row>
    <x:row r="1632" ht="22" customHeight="1">
      <x:c r="A1632" s="14" t="n">
        <x:v>814</x:v>
      </x:c>
      <x:c r="B1632" s="14" t="n">
        <x:v>21</x:v>
      </x:c>
      <x:c r="C1632" s="14" t="n">
        <x:v>76006</x:v>
      </x:c>
      <x:c r="D1632" s="2" t="str">
        <x:v>RED</x:v>
      </x:c>
      <x:c r="E1632" s="2" t="str">
        <x:v>200만</x:v>
      </x:c>
      <x:c r="F1632" s="2" t="str">
        <x:v>80만</x:v>
      </x:c>
      <x:c r="G1632" s="2" t="str">
        <x:v>무</x:v>
      </x:c>
      <x:c r="H1632" s="14" t="n">
        <x:v>2</x:v>
      </x:c>
      <x:c r="I1632" s="14" t="n">
        <x:v>2</x:v>
      </x:c>
      <x:c r="J1632" s="14" t="n">
        <x:v>7</x:v>
      </x:c>
      <x:c r="K1632" s="14" t="n">
        <x:v>2</x:v>
      </x:c>
      <x:c r="L1632" s="15" t="n">
        <x:f>IF(J1632=0,"해당 없음",K1632/J1632)</x:f>
        <x:v>0.2857142857142857</x:v>
      </x:c>
      <x:c r="M1632" s="14" t="n">
        <x:v>6</x:v>
      </x:c>
      <x:c r="N1632" s="14" t="n">
        <x:v>4</x:v>
      </x:c>
      <x:c r="O1632" s="15" t="n">
        <x:f>IF(M1632=0,"해당 없음",N1632/M1632)</x:f>
        <x:v>0.6666666666666666</x:v>
      </x:c>
      <x:c r="P1632" s="14" t="n">
        <x:v>102</x:v>
      </x:c>
    </x:row>
    <x:row r="1633" ht="22" customHeight="1">
      <x:c r="A1633" s="14" t="n">
        <x:v>814</x:v>
      </x:c>
      <x:c r="B1633" s="14" t="n">
        <x:v>21</x:v>
      </x:c>
      <x:c r="C1633" s="14" t="n">
        <x:v>76006</x:v>
      </x:c>
      <x:c r="D1633" s="2" t="str">
        <x:v>NAVY</x:v>
      </x:c>
      <x:c r="E1633" s="2" t="str">
        <x:v>80만</x:v>
      </x:c>
      <x:c r="F1633" s="2" t="str">
        <x:v>200만</x:v>
      </x:c>
      <x:c r="G1633" s="2" t="str">
        <x:v>무</x:v>
      </x:c>
      <x:c r="H1633" s="14" t="n">
        <x:v>2</x:v>
      </x:c>
      <x:c r="I1633" s="14" t="n">
        <x:v>2</x:v>
      </x:c>
      <x:c r="J1633" s="14" t="n">
        <x:v>7</x:v>
      </x:c>
      <x:c r="K1633" s="14" t="n">
        <x:v>2</x:v>
      </x:c>
      <x:c r="L1633" s="15" t="n">
        <x:f>IF(J1633=0,"해당 없음",K1633/J1633)</x:f>
        <x:v>0.2857142857142857</x:v>
      </x:c>
      <x:c r="M1633" s="14" t="n">
        <x:v>12</x:v>
      </x:c>
      <x:c r="N1633" s="14" t="n">
        <x:v>9</x:v>
      </x:c>
      <x:c r="O1633" s="15" t="n">
        <x:f>IF(M1633=0,"해당 없음",N1633/M1633)</x:f>
        <x:v>0.75</x:v>
      </x:c>
      <x:c r="P1633" s="14" t="n">
        <x:v>102</x:v>
      </x:c>
    </x:row>
    <x:row r="1634" ht="22" customHeight="1">
      <x:c r="A1634" s="14" t="n">
        <x:v>815</x:v>
      </x:c>
      <x:c r="B1634" s="14" t="n">
        <x:v>21</x:v>
      </x:c>
      <x:c r="C1634" s="14" t="n">
        <x:v>76007</x:v>
      </x:c>
      <x:c r="D1634" s="2" t="str">
        <x:v>RED</x:v>
      </x:c>
      <x:c r="E1634" s="2" t="str">
        <x:v>80만</x:v>
      </x:c>
      <x:c r="F1634" s="2" t="str">
        <x:v>200만</x:v>
      </x:c>
      <x:c r="G1634" s="2" t="str">
        <x:v>패</x:v>
      </x:c>
      <x:c r="H1634" s="14" t="n">
        <x:v>4</x:v>
      </x:c>
      <x:c r="I1634" s="14" t="n">
        <x:v>6</x:v>
      </x:c>
      <x:c r="J1634" s="14" t="n">
        <x:v>8</x:v>
      </x:c>
      <x:c r="K1634" s="14" t="n">
        <x:v>4</x:v>
      </x:c>
      <x:c r="L1634" s="15" t="n">
        <x:f>IF(J1634=0,"해당 없음",K1634/J1634)</x:f>
        <x:v>0.5</x:v>
      </x:c>
      <x:c r="M1634" s="14" t="n">
        <x:v>9</x:v>
      </x:c>
      <x:c r="N1634" s="14" t="n">
        <x:v>7</x:v>
      </x:c>
      <x:c r="O1634" s="15" t="n">
        <x:f>IF(M1634=0,"해당 없음",N1634/M1634)</x:f>
        <x:v>0.7777777777777778</x:v>
      </x:c>
      <x:c r="P1634" s="14" t="n">
        <x:v>107</x:v>
      </x:c>
    </x:row>
    <x:row r="1635" ht="22" customHeight="1">
      <x:c r="A1635" s="14" t="n">
        <x:v>815</x:v>
      </x:c>
      <x:c r="B1635" s="14" t="n">
        <x:v>21</x:v>
      </x:c>
      <x:c r="C1635" s="14" t="n">
        <x:v>76007</x:v>
      </x:c>
      <x:c r="D1635" s="2" t="str">
        <x:v>NAVY</x:v>
      </x:c>
      <x:c r="E1635" s="2" t="str">
        <x:v>200만</x:v>
      </x:c>
      <x:c r="F1635" s="2" t="str">
        <x:v>80만</x:v>
      </x:c>
      <x:c r="G1635" s="2" t="str">
        <x:v>승</x:v>
      </x:c>
      <x:c r="H1635" s="14" t="n">
        <x:v>6</x:v>
      </x:c>
      <x:c r="I1635" s="14" t="n">
        <x:v>4</x:v>
      </x:c>
      <x:c r="J1635" s="14" t="n">
        <x:v>8</x:v>
      </x:c>
      <x:c r="K1635" s="14" t="n">
        <x:v>6</x:v>
      </x:c>
      <x:c r="L1635" s="15" t="n">
        <x:f>IF(J1635=0,"해당 없음",K1635/J1635)</x:f>
        <x:v>0.75</x:v>
      </x:c>
      <x:c r="M1635" s="14" t="n">
        <x:v>6</x:v>
      </x:c>
      <x:c r="N1635" s="14" t="n">
        <x:v>5</x:v>
      </x:c>
      <x:c r="O1635" s="15" t="n">
        <x:f>IF(M1635=0,"해당 없음",N1635/M1635)</x:f>
        <x:v>0.8333333333333334</x:v>
      </x:c>
      <x:c r="P1635" s="14" t="n">
        <x:v>106</x:v>
      </x:c>
    </x:row>
    <x:row r="1636" ht="22" customHeight="1">
      <x:c r="A1636" s="14" t="n">
        <x:v>816</x:v>
      </x:c>
      <x:c r="B1636" s="14" t="n">
        <x:v>21</x:v>
      </x:c>
      <x:c r="C1636" s="14" t="n">
        <x:v>76007</x:v>
      </x:c>
      <x:c r="D1636" s="2" t="str">
        <x:v>RED</x:v>
      </x:c>
      <x:c r="E1636" s="2" t="str">
        <x:v>200만</x:v>
      </x:c>
      <x:c r="F1636" s="2" t="str">
        <x:v>80만</x:v>
      </x:c>
      <x:c r="G1636" s="2" t="str">
        <x:v>패</x:v>
      </x:c>
      <x:c r="H1636" s="14" t="n">
        <x:v>2</x:v>
      </x:c>
      <x:c r="I1636" s="14" t="n">
        <x:v>3</x:v>
      </x:c>
      <x:c r="J1636" s="14" t="n">
        <x:v>6</x:v>
      </x:c>
      <x:c r="K1636" s="14" t="n">
        <x:v>2</x:v>
      </x:c>
      <x:c r="L1636" s="15" t="n">
        <x:f>IF(J1636=0,"해당 없음",K1636/J1636)</x:f>
        <x:v>0.3333333333333333</x:v>
      </x:c>
      <x:c r="M1636" s="14" t="n">
        <x:v>9</x:v>
      </x:c>
      <x:c r="N1636" s="14" t="n">
        <x:v>6</x:v>
      </x:c>
      <x:c r="O1636" s="15" t="n">
        <x:f>IF(M1636=0,"해당 없음",N1636/M1636)</x:f>
        <x:v>0.6666666666666666</x:v>
      </x:c>
      <x:c r="P1636" s="14" t="n">
        <x:v>102</x:v>
      </x:c>
    </x:row>
    <x:row r="1637" ht="22" customHeight="1">
      <x:c r="A1637" s="14" t="n">
        <x:v>816</x:v>
      </x:c>
      <x:c r="B1637" s="14" t="n">
        <x:v>21</x:v>
      </x:c>
      <x:c r="C1637" s="14" t="n">
        <x:v>76007</x:v>
      </x:c>
      <x:c r="D1637" s="2" t="str">
        <x:v>NAVY</x:v>
      </x:c>
      <x:c r="E1637" s="2" t="str">
        <x:v>80만</x:v>
      </x:c>
      <x:c r="F1637" s="2" t="str">
        <x:v>200만</x:v>
      </x:c>
      <x:c r="G1637" s="2" t="str">
        <x:v>승</x:v>
      </x:c>
      <x:c r="H1637" s="14" t="n">
        <x:v>3</x:v>
      </x:c>
      <x:c r="I1637" s="14" t="n">
        <x:v>2</x:v>
      </x:c>
      <x:c r="J1637" s="14" t="n">
        <x:v>10</x:v>
      </x:c>
      <x:c r="K1637" s="14" t="n">
        <x:v>3</x:v>
      </x:c>
      <x:c r="L1637" s="15" t="n">
        <x:f>IF(J1637=0,"해당 없음",K1637/J1637)</x:f>
        <x:v>0.3</x:v>
      </x:c>
      <x:c r="M1637" s="14" t="n">
        <x:v>6</x:v>
      </x:c>
      <x:c r="N1637" s="14" t="n">
        <x:v>6</x:v>
      </x:c>
      <x:c r="O1637" s="15" t="n">
        <x:f>IF(M1637=0,"해당 없음",N1637/M1637)</x:f>
        <x:v>1</x:v>
      </x:c>
      <x:c r="P1637" s="14" t="n">
        <x:v>103</x:v>
      </x:c>
    </x:row>
    <x:row r="1638" ht="22" customHeight="1">
      <x:c r="A1638" s="14" t="n">
        <x:v>817</x:v>
      </x:c>
      <x:c r="B1638" s="14" t="n">
        <x:v>21</x:v>
      </x:c>
      <x:c r="C1638" s="14" t="n">
        <x:v>76008</x:v>
      </x:c>
      <x:c r="D1638" s="2" t="str">
        <x:v>RED</x:v>
      </x:c>
      <x:c r="E1638" s="2" t="str">
        <x:v>80만</x:v>
      </x:c>
      <x:c r="F1638" s="2" t="str">
        <x:v>200만</x:v>
      </x:c>
      <x:c r="G1638" s="2" t="str">
        <x:v>승</x:v>
      </x:c>
      <x:c r="H1638" s="14" t="n">
        <x:v>4</x:v>
      </x:c>
      <x:c r="I1638" s="14" t="n">
        <x:v>1</x:v>
      </x:c>
      <x:c r="J1638" s="14" t="n">
        <x:v>7</x:v>
      </x:c>
      <x:c r="K1638" s="14" t="n">
        <x:v>3</x:v>
      </x:c>
      <x:c r="L1638" s="15" t="n">
        <x:f>IF(J1638=0,"해당 없음",K1638/J1638)</x:f>
        <x:v>0.42857142857142855</x:v>
      </x:c>
      <x:c r="M1638" s="14" t="n">
        <x:v>13</x:v>
      </x:c>
      <x:c r="N1638" s="14" t="n">
        <x:v>9</x:v>
      </x:c>
      <x:c r="O1638" s="15" t="n">
        <x:f>IF(M1638=0,"해당 없음",N1638/M1638)</x:f>
        <x:v>0.6923076923076923</x:v>
      </x:c>
      <x:c r="P1638" s="14" t="n">
        <x:v>102</x:v>
      </x:c>
    </x:row>
    <x:row r="1639" ht="22" customHeight="1">
      <x:c r="A1639" s="14" t="n">
        <x:v>817</x:v>
      </x:c>
      <x:c r="B1639" s="14" t="n">
        <x:v>21</x:v>
      </x:c>
      <x:c r="C1639" s="14" t="n">
        <x:v>76008</x:v>
      </x:c>
      <x:c r="D1639" s="2" t="str">
        <x:v>NAVY</x:v>
      </x:c>
      <x:c r="E1639" s="2" t="str">
        <x:v>200만</x:v>
      </x:c>
      <x:c r="F1639" s="2" t="str">
        <x:v>80만</x:v>
      </x:c>
      <x:c r="G1639" s="2" t="str">
        <x:v>패</x:v>
      </x:c>
      <x:c r="H1639" s="14" t="n">
        <x:v>1</x:v>
      </x:c>
      <x:c r="I1639" s="14" t="n">
        <x:v>4</x:v>
      </x:c>
      <x:c r="J1639" s="14" t="n">
        <x:v>10</x:v>
      </x:c>
      <x:c r="K1639" s="14" t="n">
        <x:v>1</x:v>
      </x:c>
      <x:c r="L1639" s="15" t="n">
        <x:f>IF(J1639=0,"해당 없음",K1639/J1639)</x:f>
        <x:v>0.1</x:v>
      </x:c>
      <x:c r="M1639" s="14" t="n">
        <x:v>7</x:v>
      </x:c>
      <x:c r="N1639" s="14" t="n">
        <x:v>6</x:v>
      </x:c>
      <x:c r="O1639" s="15" t="n">
        <x:f>IF(M1639=0,"해당 없음",N1639/M1639)</x:f>
        <x:v>0.8571428571428571</x:v>
      </x:c>
      <x:c r="P1639" s="14" t="n">
        <x:v>104</x:v>
      </x:c>
    </x:row>
    <x:row r="1640" ht="22" customHeight="1">
      <x:c r="A1640" s="14" t="n">
        <x:v>818</x:v>
      </x:c>
      <x:c r="B1640" s="14" t="n">
        <x:v>21</x:v>
      </x:c>
      <x:c r="C1640" s="14" t="n">
        <x:v>76008</x:v>
      </x:c>
      <x:c r="D1640" s="2" t="str">
        <x:v>RED</x:v>
      </x:c>
      <x:c r="E1640" s="2" t="str">
        <x:v>200만</x:v>
      </x:c>
      <x:c r="F1640" s="2" t="str">
        <x:v>80만</x:v>
      </x:c>
      <x:c r="G1640" s="2" t="str">
        <x:v>패</x:v>
      </x:c>
      <x:c r="H1640" s="14" t="n">
        <x:v>1</x:v>
      </x:c>
      <x:c r="I1640" s="14" t="n">
        <x:v>5</x:v>
      </x:c>
      <x:c r="J1640" s="14" t="n">
        <x:v>6</x:v>
      </x:c>
      <x:c r="K1640" s="14" t="n">
        <x:v>1</x:v>
      </x:c>
      <x:c r="L1640" s="15" t="n">
        <x:f>IF(J1640=0,"해당 없음",K1640/J1640)</x:f>
        <x:v>0.16666666666666666</x:v>
      </x:c>
      <x:c r="M1640" s="14" t="n">
        <x:v>6</x:v>
      </x:c>
      <x:c r="N1640" s="14" t="n">
        <x:v>3</x:v>
      </x:c>
      <x:c r="O1640" s="15" t="n">
        <x:f>IF(M1640=0,"해당 없음",N1640/M1640)</x:f>
        <x:v>0.5</x:v>
      </x:c>
      <x:c r="P1640" s="14" t="n">
        <x:v>103</x:v>
      </x:c>
    </x:row>
    <x:row r="1641" ht="22" customHeight="1">
      <x:c r="A1641" s="14" t="n">
        <x:v>818</x:v>
      </x:c>
      <x:c r="B1641" s="14" t="n">
        <x:v>21</x:v>
      </x:c>
      <x:c r="C1641" s="14" t="n">
        <x:v>76008</x:v>
      </x:c>
      <x:c r="D1641" s="2" t="str">
        <x:v>NAVY</x:v>
      </x:c>
      <x:c r="E1641" s="2" t="str">
        <x:v>80만</x:v>
      </x:c>
      <x:c r="F1641" s="2" t="str">
        <x:v>200만</x:v>
      </x:c>
      <x:c r="G1641" s="2" t="str">
        <x:v>승</x:v>
      </x:c>
      <x:c r="H1641" s="14" t="n">
        <x:v>5</x:v>
      </x:c>
      <x:c r="I1641" s="14" t="n">
        <x:v>1</x:v>
      </x:c>
      <x:c r="J1641" s="14" t="n">
        <x:v>9</x:v>
      </x:c>
      <x:c r="K1641" s="14" t="n">
        <x:v>5</x:v>
      </x:c>
      <x:c r="L1641" s="15" t="n">
        <x:f>IF(J1641=0,"해당 없음",K1641/J1641)</x:f>
        <x:v>0.5555555555555556</x:v>
      </x:c>
      <x:c r="M1641" s="14" t="n">
        <x:v>12</x:v>
      </x:c>
      <x:c r="N1641" s="14" t="n">
        <x:v>11</x:v>
      </x:c>
      <x:c r="O1641" s="15" t="n">
        <x:f>IF(M1641=0,"해당 없음",N1641/M1641)</x:f>
        <x:v>0.9166666666666666</x:v>
      </x:c>
      <x:c r="P1641" s="14" t="n">
        <x:v>103</x:v>
      </x:c>
    </x:row>
    <x:row r="1642" ht="22" customHeight="1">
      <x:c r="A1642" s="14" t="n">
        <x:v>819</x:v>
      </x:c>
      <x:c r="B1642" s="14" t="n">
        <x:v>21</x:v>
      </x:c>
      <x:c r="C1642" s="14" t="n">
        <x:v>76009</x:v>
      </x:c>
      <x:c r="D1642" s="2" t="str">
        <x:v>RED</x:v>
      </x:c>
      <x:c r="E1642" s="2" t="str">
        <x:v>80만</x:v>
      </x:c>
      <x:c r="F1642" s="2" t="str">
        <x:v>200만</x:v>
      </x:c>
      <x:c r="G1642" s="2" t="str">
        <x:v>패</x:v>
      </x:c>
      <x:c r="H1642" s="14" t="n">
        <x:v>1</x:v>
      </x:c>
      <x:c r="I1642" s="14" t="n">
        <x:v>2</x:v>
      </x:c>
      <x:c r="J1642" s="14" t="n">
        <x:v>6</x:v>
      </x:c>
      <x:c r="K1642" s="14" t="n">
        <x:v>1</x:v>
      </x:c>
      <x:c r="L1642" s="15" t="n">
        <x:f>IF(J1642=0,"해당 없음",K1642/J1642)</x:f>
        <x:v>0.16666666666666666</x:v>
      </x:c>
      <x:c r="M1642" s="14" t="n">
        <x:v>13</x:v>
      </x:c>
      <x:c r="N1642" s="14" t="n">
        <x:v>7</x:v>
      </x:c>
      <x:c r="O1642" s="15" t="n">
        <x:f>IF(M1642=0,"해당 없음",N1642/M1642)</x:f>
        <x:v>0.5384615384615384</x:v>
      </x:c>
      <x:c r="P1642" s="14" t="n">
        <x:v>102</x:v>
      </x:c>
    </x:row>
    <x:row r="1643" ht="22" customHeight="1">
      <x:c r="A1643" s="14" t="n">
        <x:v>819</x:v>
      </x:c>
      <x:c r="B1643" s="14" t="n">
        <x:v>21</x:v>
      </x:c>
      <x:c r="C1643" s="14" t="n">
        <x:v>76009</x:v>
      </x:c>
      <x:c r="D1643" s="2" t="str">
        <x:v>NAVY</x:v>
      </x:c>
      <x:c r="E1643" s="2" t="str">
        <x:v>200만</x:v>
      </x:c>
      <x:c r="F1643" s="2" t="str">
        <x:v>80만</x:v>
      </x:c>
      <x:c r="G1643" s="2" t="str">
        <x:v>승</x:v>
      </x:c>
      <x:c r="H1643" s="14" t="n">
        <x:v>2</x:v>
      </x:c>
      <x:c r="I1643" s="14" t="n">
        <x:v>1</x:v>
      </x:c>
      <x:c r="J1643" s="14" t="n">
        <x:v>13</x:v>
      </x:c>
      <x:c r="K1643" s="14" t="n">
        <x:v>2</x:v>
      </x:c>
      <x:c r="L1643" s="15" t="n">
        <x:f>IF(J1643=0,"해당 없음",K1643/J1643)</x:f>
        <x:v>0.15384615384615385</x:v>
      </x:c>
      <x:c r="M1643" s="14" t="n">
        <x:v>9</x:v>
      </x:c>
      <x:c r="N1643" s="14" t="n">
        <x:v>7</x:v>
      </x:c>
      <x:c r="O1643" s="15" t="n">
        <x:f>IF(M1643=0,"해당 없음",N1643/M1643)</x:f>
        <x:v>0.7777777777777778</x:v>
      </x:c>
      <x:c r="P1643" s="14" t="n">
        <x:v>101</x:v>
      </x:c>
    </x:row>
    <x:row r="1644" ht="22" customHeight="1">
      <x:c r="A1644" s="14" t="n">
        <x:v>820</x:v>
      </x:c>
      <x:c r="B1644" s="14" t="n">
        <x:v>21</x:v>
      </x:c>
      <x:c r="C1644" s="14" t="n">
        <x:v>76009</x:v>
      </x:c>
      <x:c r="D1644" s="2" t="str">
        <x:v>RED</x:v>
      </x:c>
      <x:c r="E1644" s="2" t="str">
        <x:v>200만</x:v>
      </x:c>
      <x:c r="F1644" s="2" t="str">
        <x:v>80만</x:v>
      </x:c>
      <x:c r="G1644" s="2" t="str">
        <x:v>승</x:v>
      </x:c>
      <x:c r="H1644" s="14" t="n">
        <x:v>5</x:v>
      </x:c>
      <x:c r="I1644" s="14" t="n">
        <x:v>2</x:v>
      </x:c>
      <x:c r="J1644" s="14" t="n">
        <x:v>8</x:v>
      </x:c>
      <x:c r="K1644" s="14" t="n">
        <x:v>5</x:v>
      </x:c>
      <x:c r="L1644" s="15" t="n">
        <x:f>IF(J1644=0,"해당 없음",K1644/J1644)</x:f>
        <x:v>0.625</x:v>
      </x:c>
      <x:c r="M1644" s="14" t="n">
        <x:v>13</x:v>
      </x:c>
      <x:c r="N1644" s="14" t="n">
        <x:v>9</x:v>
      </x:c>
      <x:c r="O1644" s="15" t="n">
        <x:f>IF(M1644=0,"해당 없음",N1644/M1644)</x:f>
        <x:v>0.6923076923076923</x:v>
      </x:c>
      <x:c r="P1644" s="14" t="n">
        <x:v>103</x:v>
      </x:c>
    </x:row>
    <x:row r="1645" ht="22" customHeight="1">
      <x:c r="A1645" s="14" t="n">
        <x:v>820</x:v>
      </x:c>
      <x:c r="B1645" s="14" t="n">
        <x:v>21</x:v>
      </x:c>
      <x:c r="C1645" s="14" t="n">
        <x:v>76009</x:v>
      </x:c>
      <x:c r="D1645" s="2" t="str">
        <x:v>NAVY</x:v>
      </x:c>
      <x:c r="E1645" s="2" t="str">
        <x:v>80만</x:v>
      </x:c>
      <x:c r="F1645" s="2" t="str">
        <x:v>200만</x:v>
      </x:c>
      <x:c r="G1645" s="2" t="str">
        <x:v>패</x:v>
      </x:c>
      <x:c r="H1645" s="14" t="n">
        <x:v>2</x:v>
      </x:c>
      <x:c r="I1645" s="14" t="n">
        <x:v>5</x:v>
      </x:c>
      <x:c r="J1645" s="14" t="n">
        <x:v>8</x:v>
      </x:c>
      <x:c r="K1645" s="14" t="n">
        <x:v>2</x:v>
      </x:c>
      <x:c r="L1645" s="15" t="n">
        <x:f>IF(J1645=0,"해당 없음",K1645/J1645)</x:f>
        <x:v>0.25</x:v>
      </x:c>
      <x:c r="M1645" s="14" t="n">
        <x:v>8</x:v>
      </x:c>
      <x:c r="N1645" s="14" t="n">
        <x:v>6</x:v>
      </x:c>
      <x:c r="O1645" s="15" t="n">
        <x:f>IF(M1645=0,"해당 없음",N1645/M1645)</x:f>
        <x:v>0.75</x:v>
      </x:c>
      <x:c r="P1645" s="14" t="n">
        <x:v>104</x:v>
      </x:c>
    </x:row>
    <x:row r="1646" ht="22" customHeight="1">
      <x:c r="A1646" s="14" t="n">
        <x:v>821</x:v>
      </x:c>
      <x:c r="B1646" s="14" t="n">
        <x:v>21</x:v>
      </x:c>
      <x:c r="C1646" s="14" t="n">
        <x:v>76010</x:v>
      </x:c>
      <x:c r="D1646" s="2" t="str">
        <x:v>RED</x:v>
      </x:c>
      <x:c r="E1646" s="2" t="str">
        <x:v>80만</x:v>
      </x:c>
      <x:c r="F1646" s="2" t="str">
        <x:v>200만</x:v>
      </x:c>
      <x:c r="G1646" s="2" t="str">
        <x:v>패</x:v>
      </x:c>
      <x:c r="H1646" s="14" t="n">
        <x:v>3</x:v>
      </x:c>
      <x:c r="I1646" s="14" t="n">
        <x:v>4</x:v>
      </x:c>
      <x:c r="J1646" s="14" t="n">
        <x:v>7</x:v>
      </x:c>
      <x:c r="K1646" s="14" t="n">
        <x:v>3</x:v>
      </x:c>
      <x:c r="L1646" s="15" t="n">
        <x:f>IF(J1646=0,"해당 없음",K1646/J1646)</x:f>
        <x:v>0.42857142857142855</x:v>
      </x:c>
      <x:c r="M1646" s="14" t="n">
        <x:v>8</x:v>
      </x:c>
      <x:c r="N1646" s="14" t="n">
        <x:v>5</x:v>
      </x:c>
      <x:c r="O1646" s="15" t="n">
        <x:f>IF(M1646=0,"해당 없음",N1646/M1646)</x:f>
        <x:v>0.625</x:v>
      </x:c>
      <x:c r="P1646" s="14" t="n">
        <x:v>104</x:v>
      </x:c>
    </x:row>
    <x:row r="1647" ht="22" customHeight="1">
      <x:c r="A1647" s="14" t="n">
        <x:v>821</x:v>
      </x:c>
      <x:c r="B1647" s="14" t="n">
        <x:v>21</x:v>
      </x:c>
      <x:c r="C1647" s="14" t="n">
        <x:v>76010</x:v>
      </x:c>
      <x:c r="D1647" s="2" t="str">
        <x:v>NAVY</x:v>
      </x:c>
      <x:c r="E1647" s="2" t="str">
        <x:v>200만</x:v>
      </x:c>
      <x:c r="F1647" s="2" t="str">
        <x:v>80만</x:v>
      </x:c>
      <x:c r="G1647" s="2" t="str">
        <x:v>승</x:v>
      </x:c>
      <x:c r="H1647" s="14" t="n">
        <x:v>4</x:v>
      </x:c>
      <x:c r="I1647" s="14" t="n">
        <x:v>3</x:v>
      </x:c>
      <x:c r="J1647" s="14" t="n">
        <x:v>11</x:v>
      </x:c>
      <x:c r="K1647" s="14" t="n">
        <x:v>4</x:v>
      </x:c>
      <x:c r="L1647" s="15" t="n">
        <x:f>IF(J1647=0,"해당 없음",K1647/J1647)</x:f>
        <x:v>0.36363636363636365</x:v>
      </x:c>
      <x:c r="M1647" s="14" t="n">
        <x:v>7</x:v>
      </x:c>
      <x:c r="N1647" s="14" t="n">
        <x:v>6</x:v>
      </x:c>
      <x:c r="O1647" s="15" t="n">
        <x:f>IF(M1647=0,"해당 없음",N1647/M1647)</x:f>
        <x:v>0.8571428571428571</x:v>
      </x:c>
      <x:c r="P1647" s="14" t="n">
        <x:v>105</x:v>
      </x:c>
    </x:row>
    <x:row r="1648" ht="22" customHeight="1">
      <x:c r="A1648" s="14" t="n">
        <x:v>822</x:v>
      </x:c>
      <x:c r="B1648" s="14" t="n">
        <x:v>21</x:v>
      </x:c>
      <x:c r="C1648" s="14" t="n">
        <x:v>76010</x:v>
      </x:c>
      <x:c r="D1648" s="2" t="str">
        <x:v>RED</x:v>
      </x:c>
      <x:c r="E1648" s="2" t="str">
        <x:v>200만</x:v>
      </x:c>
      <x:c r="F1648" s="2" t="str">
        <x:v>80만</x:v>
      </x:c>
      <x:c r="G1648" s="2" t="str">
        <x:v>무</x:v>
      </x:c>
      <x:c r="H1648" s="14" t="n">
        <x:v>3</x:v>
      </x:c>
      <x:c r="I1648" s="14" t="n">
        <x:v>3</x:v>
      </x:c>
      <x:c r="J1648" s="14" t="n">
        <x:v>11</x:v>
      </x:c>
      <x:c r="K1648" s="14" t="n">
        <x:v>3</x:v>
      </x:c>
      <x:c r="L1648" s="15" t="n">
        <x:f>IF(J1648=0,"해당 없음",K1648/J1648)</x:f>
        <x:v>0.2727272727272727</x:v>
      </x:c>
      <x:c r="M1648" s="14" t="n">
        <x:v>8</x:v>
      </x:c>
      <x:c r="N1648" s="14" t="n">
        <x:v>7</x:v>
      </x:c>
      <x:c r="O1648" s="15" t="n">
        <x:f>IF(M1648=0,"해당 없음",N1648/M1648)</x:f>
        <x:v>0.875</x:v>
      </x:c>
      <x:c r="P1648" s="14" t="n">
        <x:v>106</x:v>
      </x:c>
    </x:row>
    <x:row r="1649" ht="22" customHeight="1">
      <x:c r="A1649" s="14" t="n">
        <x:v>822</x:v>
      </x:c>
      <x:c r="B1649" s="14" t="n">
        <x:v>21</x:v>
      </x:c>
      <x:c r="C1649" s="14" t="n">
        <x:v>76010</x:v>
      </x:c>
      <x:c r="D1649" s="2" t="str">
        <x:v>NAVY</x:v>
      </x:c>
      <x:c r="E1649" s="2" t="str">
        <x:v>80만</x:v>
      </x:c>
      <x:c r="F1649" s="2" t="str">
        <x:v>200만</x:v>
      </x:c>
      <x:c r="G1649" s="2" t="str">
        <x:v>무</x:v>
      </x:c>
      <x:c r="H1649" s="14" t="n">
        <x:v>3</x:v>
      </x:c>
      <x:c r="I1649" s="14" t="n">
        <x:v>3</x:v>
      </x:c>
      <x:c r="J1649" s="14" t="n">
        <x:v>5</x:v>
      </x:c>
      <x:c r="K1649" s="14" t="n">
        <x:v>3</x:v>
      </x:c>
      <x:c r="L1649" s="15" t="n">
        <x:f>IF(J1649=0,"해당 없음",K1649/J1649)</x:f>
        <x:v>0.6</x:v>
      </x:c>
      <x:c r="M1649" s="14" t="n">
        <x:v>13</x:v>
      </x:c>
      <x:c r="N1649" s="14" t="n">
        <x:v>8</x:v>
      </x:c>
      <x:c r="O1649" s="15" t="n">
        <x:f>IF(M1649=0,"해당 없음",N1649/M1649)</x:f>
        <x:v>0.6153846153846154</x:v>
      </x:c>
      <x:c r="P1649" s="14" t="n">
        <x:v>105</x:v>
      </x:c>
    </x:row>
    <x:row r="1650" ht="22" customHeight="1">
      <x:c r="A1650" s="14" t="n">
        <x:v>823</x:v>
      </x:c>
      <x:c r="B1650" s="14" t="n">
        <x:v>21</x:v>
      </x:c>
      <x:c r="C1650" s="14" t="n">
        <x:v>76011</x:v>
      </x:c>
      <x:c r="D1650" s="2" t="str">
        <x:v>RED</x:v>
      </x:c>
      <x:c r="E1650" s="2" t="str">
        <x:v>80만</x:v>
      </x:c>
      <x:c r="F1650" s="2" t="str">
        <x:v>200만</x:v>
      </x:c>
      <x:c r="G1650" s="2" t="str">
        <x:v>승</x:v>
      </x:c>
      <x:c r="H1650" s="14" t="n">
        <x:v>5</x:v>
      </x:c>
      <x:c r="I1650" s="14" t="n">
        <x:v>3</x:v>
      </x:c>
      <x:c r="J1650" s="14" t="n">
        <x:v>7</x:v>
      </x:c>
      <x:c r="K1650" s="14" t="n">
        <x:v>5</x:v>
      </x:c>
      <x:c r="L1650" s="15" t="n">
        <x:f>IF(J1650=0,"해당 없음",K1650/J1650)</x:f>
        <x:v>0.7142857142857143</x:v>
      </x:c>
      <x:c r="M1650" s="14" t="n">
        <x:v>16</x:v>
      </x:c>
      <x:c r="N1650" s="14" t="n">
        <x:v>9</x:v>
      </x:c>
      <x:c r="O1650" s="15" t="n">
        <x:f>IF(M1650=0,"해당 없음",N1650/M1650)</x:f>
        <x:v>0.5625</x:v>
      </x:c>
      <x:c r="P1650" s="14" t="n">
        <x:v>104</x:v>
      </x:c>
    </x:row>
    <x:row r="1651" ht="22" customHeight="1">
      <x:c r="A1651" s="14" t="n">
        <x:v>823</x:v>
      </x:c>
      <x:c r="B1651" s="14" t="n">
        <x:v>21</x:v>
      </x:c>
      <x:c r="C1651" s="14" t="n">
        <x:v>76011</x:v>
      </x:c>
      <x:c r="D1651" s="2" t="str">
        <x:v>NAVY</x:v>
      </x:c>
      <x:c r="E1651" s="2" t="str">
        <x:v>200만</x:v>
      </x:c>
      <x:c r="F1651" s="2" t="str">
        <x:v>80만</x:v>
      </x:c>
      <x:c r="G1651" s="2" t="str">
        <x:v>패</x:v>
      </x:c>
      <x:c r="H1651" s="14" t="n">
        <x:v>3</x:v>
      </x:c>
      <x:c r="I1651" s="14" t="n">
        <x:v>5</x:v>
      </x:c>
      <x:c r="J1651" s="14" t="n">
        <x:v>10</x:v>
      </x:c>
      <x:c r="K1651" s="14" t="n">
        <x:v>3</x:v>
      </x:c>
      <x:c r="L1651" s="15" t="n">
        <x:f>IF(J1651=0,"해당 없음",K1651/J1651)</x:f>
        <x:v>0.3</x:v>
      </x:c>
      <x:c r="M1651" s="14" t="n">
        <x:v>3</x:v>
      </x:c>
      <x:c r="N1651" s="14" t="n">
        <x:v>3</x:v>
      </x:c>
      <x:c r="O1651" s="15" t="n">
        <x:f>IF(M1651=0,"해당 없음",N1651/M1651)</x:f>
        <x:v>1</x:v>
      </x:c>
      <x:c r="P1651" s="14" t="n">
        <x:v>104</x:v>
      </x:c>
    </x:row>
    <x:row r="1652" ht="22" customHeight="1">
      <x:c r="A1652" s="14" t="n">
        <x:v>824</x:v>
      </x:c>
      <x:c r="B1652" s="14" t="n">
        <x:v>21</x:v>
      </x:c>
      <x:c r="C1652" s="14" t="n">
        <x:v>76011</x:v>
      </x:c>
      <x:c r="D1652" s="2" t="str">
        <x:v>RED</x:v>
      </x:c>
      <x:c r="E1652" s="2" t="str">
        <x:v>200만</x:v>
      </x:c>
      <x:c r="F1652" s="2" t="str">
        <x:v>80만</x:v>
      </x:c>
      <x:c r="G1652" s="2" t="str">
        <x:v>패</x:v>
      </x:c>
      <x:c r="H1652" s="14" t="n">
        <x:v>1</x:v>
      </x:c>
      <x:c r="I1652" s="14" t="n">
        <x:v>2</x:v>
      </x:c>
      <x:c r="J1652" s="14" t="n">
        <x:v>8</x:v>
      </x:c>
      <x:c r="K1652" s="14" t="n">
        <x:v>1</x:v>
      </x:c>
      <x:c r="L1652" s="15" t="n">
        <x:f>IF(J1652=0,"해당 없음",K1652/J1652)</x:f>
        <x:v>0.125</x:v>
      </x:c>
      <x:c r="M1652" s="14" t="n">
        <x:v>8</x:v>
      </x:c>
      <x:c r="N1652" s="14" t="n">
        <x:v>5</x:v>
      </x:c>
      <x:c r="O1652" s="15" t="n">
        <x:f>IF(M1652=0,"해당 없음",N1652/M1652)</x:f>
        <x:v>0.625</x:v>
      </x:c>
      <x:c r="P1652" s="14" t="n">
        <x:v>101</x:v>
      </x:c>
    </x:row>
    <x:row r="1653" ht="22" customHeight="1">
      <x:c r="A1653" s="14" t="n">
        <x:v>824</x:v>
      </x:c>
      <x:c r="B1653" s="14" t="n">
        <x:v>21</x:v>
      </x:c>
      <x:c r="C1653" s="14" t="n">
        <x:v>76011</x:v>
      </x:c>
      <x:c r="D1653" s="2" t="str">
        <x:v>NAVY</x:v>
      </x:c>
      <x:c r="E1653" s="2" t="str">
        <x:v>80만</x:v>
      </x:c>
      <x:c r="F1653" s="2" t="str">
        <x:v>200만</x:v>
      </x:c>
      <x:c r="G1653" s="2" t="str">
        <x:v>승</x:v>
      </x:c>
      <x:c r="H1653" s="14" t="n">
        <x:v>2</x:v>
      </x:c>
      <x:c r="I1653" s="14" t="n">
        <x:v>1</x:v>
      </x:c>
      <x:c r="J1653" s="14" t="n">
        <x:v>7</x:v>
      </x:c>
      <x:c r="K1653" s="14" t="n">
        <x:v>2</x:v>
      </x:c>
      <x:c r="L1653" s="15" t="n">
        <x:f>IF(J1653=0,"해당 없음",K1653/J1653)</x:f>
        <x:v>0.2857142857142857</x:v>
      </x:c>
      <x:c r="M1653" s="14" t="n">
        <x:v>12</x:v>
      </x:c>
      <x:c r="N1653" s="14" t="n">
        <x:v>9</x:v>
      </x:c>
      <x:c r="O1653" s="15" t="n">
        <x:f>IF(M1653=0,"해당 없음",N1653/M1653)</x:f>
        <x:v>0.75</x:v>
      </x:c>
      <x:c r="P1653" s="14" t="n">
        <x:v>101</x:v>
      </x:c>
    </x:row>
    <x:row r="1654" ht="22" customHeight="1">
      <x:c r="A1654" s="14" t="n">
        <x:v>825</x:v>
      </x:c>
      <x:c r="B1654" s="14" t="n">
        <x:v>21</x:v>
      </x:c>
      <x:c r="C1654" s="14" t="n">
        <x:v>76012</x:v>
      </x:c>
      <x:c r="D1654" s="2" t="str">
        <x:v>RED</x:v>
      </x:c>
      <x:c r="E1654" s="2" t="str">
        <x:v>80만</x:v>
      </x:c>
      <x:c r="F1654" s="2" t="str">
        <x:v>200만</x:v>
      </x:c>
      <x:c r="G1654" s="2" t="str">
        <x:v>승</x:v>
      </x:c>
      <x:c r="H1654" s="14" t="n">
        <x:v>4</x:v>
      </x:c>
      <x:c r="I1654" s="14" t="n">
        <x:v>2</x:v>
      </x:c>
      <x:c r="J1654" s="14" t="n">
        <x:v>11</x:v>
      </x:c>
      <x:c r="K1654" s="14" t="n">
        <x:v>4</x:v>
      </x:c>
      <x:c r="L1654" s="15" t="n">
        <x:f>IF(J1654=0,"해당 없음",K1654/J1654)</x:f>
        <x:v>0.36363636363636365</x:v>
      </x:c>
      <x:c r="M1654" s="14" t="n">
        <x:v>9</x:v>
      </x:c>
      <x:c r="N1654" s="14" t="n">
        <x:v>9</x:v>
      </x:c>
      <x:c r="O1654" s="15" t="n">
        <x:f>IF(M1654=0,"해당 없음",N1654/M1654)</x:f>
        <x:v>1</x:v>
      </x:c>
      <x:c r="P1654" s="14" t="n">
        <x:v>103</x:v>
      </x:c>
    </x:row>
    <x:row r="1655" ht="22" customHeight="1">
      <x:c r="A1655" s="14" t="n">
        <x:v>825</x:v>
      </x:c>
      <x:c r="B1655" s="14" t="n">
        <x:v>21</x:v>
      </x:c>
      <x:c r="C1655" s="14" t="n">
        <x:v>76012</x:v>
      </x:c>
      <x:c r="D1655" s="2" t="str">
        <x:v>NAVY</x:v>
      </x:c>
      <x:c r="E1655" s="2" t="str">
        <x:v>200만</x:v>
      </x:c>
      <x:c r="F1655" s="2" t="str">
        <x:v>80만</x:v>
      </x:c>
      <x:c r="G1655" s="2" t="str">
        <x:v>패</x:v>
      </x:c>
      <x:c r="H1655" s="14" t="n">
        <x:v>2</x:v>
      </x:c>
      <x:c r="I1655" s="14" t="n">
        <x:v>4</x:v>
      </x:c>
      <x:c r="J1655" s="14" t="n">
        <x:v>7</x:v>
      </x:c>
      <x:c r="K1655" s="14" t="n">
        <x:v>2</x:v>
      </x:c>
      <x:c r="L1655" s="15" t="n">
        <x:f>IF(J1655=0,"해당 없음",K1655/J1655)</x:f>
        <x:v>0.2857142857142857</x:v>
      </x:c>
      <x:c r="M1655" s="14" t="n">
        <x:v>8</x:v>
      </x:c>
      <x:c r="N1655" s="14" t="n">
        <x:v>7</x:v>
      </x:c>
      <x:c r="O1655" s="15" t="n">
        <x:f>IF(M1655=0,"해당 없음",N1655/M1655)</x:f>
        <x:v>0.875</x:v>
      </x:c>
      <x:c r="P1655" s="14" t="n">
        <x:v>104</x:v>
      </x:c>
    </x:row>
    <x:row r="1656" ht="22" customHeight="1">
      <x:c r="A1656" s="14" t="n">
        <x:v>826</x:v>
      </x:c>
      <x:c r="B1656" s="14" t="n">
        <x:v>21</x:v>
      </x:c>
      <x:c r="C1656" s="14" t="n">
        <x:v>76012</x:v>
      </x:c>
      <x:c r="D1656" s="2" t="str">
        <x:v>RED</x:v>
      </x:c>
      <x:c r="E1656" s="2" t="str">
        <x:v>200만</x:v>
      </x:c>
      <x:c r="F1656" s="2" t="str">
        <x:v>80만</x:v>
      </x:c>
      <x:c r="G1656" s="2" t="str">
        <x:v>승</x:v>
      </x:c>
      <x:c r="H1656" s="14" t="n">
        <x:v>5</x:v>
      </x:c>
      <x:c r="I1656" s="14" t="n">
        <x:v>2</x:v>
      </x:c>
      <x:c r="J1656" s="14" t="n">
        <x:v>8</x:v>
      </x:c>
      <x:c r="K1656" s="14" t="n">
        <x:v>5</x:v>
      </x:c>
      <x:c r="L1656" s="15" t="n">
        <x:f>IF(J1656=0,"해당 없음",K1656/J1656)</x:f>
        <x:v>0.625</x:v>
      </x:c>
      <x:c r="M1656" s="14" t="n">
        <x:v>13</x:v>
      </x:c>
      <x:c r="N1656" s="14" t="n">
        <x:v>11</x:v>
      </x:c>
      <x:c r="O1656" s="15" t="n">
        <x:f>IF(M1656=0,"해당 없음",N1656/M1656)</x:f>
        <x:v>0.8461538461538461</x:v>
      </x:c>
      <x:c r="P1656" s="14" t="n">
        <x:v>105</x:v>
      </x:c>
    </x:row>
    <x:row r="1657" ht="22" customHeight="1">
      <x:c r="A1657" s="14" t="n">
        <x:v>826</x:v>
      </x:c>
      <x:c r="B1657" s="14" t="n">
        <x:v>21</x:v>
      </x:c>
      <x:c r="C1657" s="14" t="n">
        <x:v>76012</x:v>
      </x:c>
      <x:c r="D1657" s="2" t="str">
        <x:v>NAVY</x:v>
      </x:c>
      <x:c r="E1657" s="2" t="str">
        <x:v>80만</x:v>
      </x:c>
      <x:c r="F1657" s="2" t="str">
        <x:v>200만</x:v>
      </x:c>
      <x:c r="G1657" s="2" t="str">
        <x:v>패</x:v>
      </x:c>
      <x:c r="H1657" s="14" t="n">
        <x:v>2</x:v>
      </x:c>
      <x:c r="I1657" s="14" t="n">
        <x:v>5</x:v>
      </x:c>
      <x:c r="J1657" s="14" t="n">
        <x:v>5</x:v>
      </x:c>
      <x:c r="K1657" s="14" t="n">
        <x:v>2</x:v>
      </x:c>
      <x:c r="L1657" s="15" t="n">
        <x:f>IF(J1657=0,"해당 없음",K1657/J1657)</x:f>
        <x:v>0.4</x:v>
      </x:c>
      <x:c r="M1657" s="14" t="n">
        <x:v>9</x:v>
      </x:c>
      <x:c r="N1657" s="14" t="n">
        <x:v>6</x:v>
      </x:c>
      <x:c r="O1657" s="15" t="n">
        <x:f>IF(M1657=0,"해당 없음",N1657/M1657)</x:f>
        <x:v>0.6666666666666666</x:v>
      </x:c>
      <x:c r="P1657" s="14" t="n">
        <x:v>103</x:v>
      </x:c>
    </x:row>
    <x:row r="1658" ht="22" customHeight="1">
      <x:c r="A1658" s="14" t="n">
        <x:v>827</x:v>
      </x:c>
      <x:c r="B1658" s="14" t="n">
        <x:v>21</x:v>
      </x:c>
      <x:c r="C1658" s="14" t="n">
        <x:v>76013</x:v>
      </x:c>
      <x:c r="D1658" s="2" t="str">
        <x:v>RED</x:v>
      </x:c>
      <x:c r="E1658" s="2" t="str">
        <x:v>80만</x:v>
      </x:c>
      <x:c r="F1658" s="2" t="str">
        <x:v>200만</x:v>
      </x:c>
      <x:c r="G1658" s="2" t="str">
        <x:v>패</x:v>
      </x:c>
      <x:c r="H1658" s="14" t="n">
        <x:v>2</x:v>
      </x:c>
      <x:c r="I1658" s="14" t="n">
        <x:v>4</x:v>
      </x:c>
      <x:c r="J1658" s="14" t="n">
        <x:v>8</x:v>
      </x:c>
      <x:c r="K1658" s="14" t="n">
        <x:v>2</x:v>
      </x:c>
      <x:c r="L1658" s="15" t="n">
        <x:f>IF(J1658=0,"해당 없음",K1658/J1658)</x:f>
        <x:v>0.25</x:v>
      </x:c>
      <x:c r="M1658" s="14" t="n">
        <x:v>12</x:v>
      </x:c>
      <x:c r="N1658" s="14" t="n">
        <x:v>8</x:v>
      </x:c>
      <x:c r="O1658" s="15" t="n">
        <x:f>IF(M1658=0,"해당 없음",N1658/M1658)</x:f>
        <x:v>0.6666666666666666</x:v>
      </x:c>
      <x:c r="P1658" s="14" t="n">
        <x:v>102</x:v>
      </x:c>
    </x:row>
    <x:row r="1659" ht="22" customHeight="1">
      <x:c r="A1659" s="14" t="n">
        <x:v>827</x:v>
      </x:c>
      <x:c r="B1659" s="14" t="n">
        <x:v>21</x:v>
      </x:c>
      <x:c r="C1659" s="14" t="n">
        <x:v>76013</x:v>
      </x:c>
      <x:c r="D1659" s="2" t="str">
        <x:v>NAVY</x:v>
      </x:c>
      <x:c r="E1659" s="2" t="str">
        <x:v>200만</x:v>
      </x:c>
      <x:c r="F1659" s="2" t="str">
        <x:v>80만</x:v>
      </x:c>
      <x:c r="G1659" s="2" t="str">
        <x:v>승</x:v>
      </x:c>
      <x:c r="H1659" s="14" t="n">
        <x:v>4</x:v>
      </x:c>
      <x:c r="I1659" s="14" t="n">
        <x:v>2</x:v>
      </x:c>
      <x:c r="J1659" s="14" t="n">
        <x:v>11</x:v>
      </x:c>
      <x:c r="K1659" s="14" t="n">
        <x:v>4</x:v>
      </x:c>
      <x:c r="L1659" s="15" t="n">
        <x:f>IF(J1659=0,"해당 없음",K1659/J1659)</x:f>
        <x:v>0.36363636363636365</x:v>
      </x:c>
      <x:c r="M1659" s="14" t="n">
        <x:v>10</x:v>
      </x:c>
      <x:c r="N1659" s="14" t="n">
        <x:v>5</x:v>
      </x:c>
      <x:c r="O1659" s="15" t="n">
        <x:f>IF(M1659=0,"해당 없음",N1659/M1659)</x:f>
        <x:v>0.5</x:v>
      </x:c>
      <x:c r="P1659" s="14" t="n">
        <x:v>106</x:v>
      </x:c>
    </x:row>
    <x:row r="1660" ht="22" customHeight="1">
      <x:c r="A1660" s="14" t="n">
        <x:v>828</x:v>
      </x:c>
      <x:c r="B1660" s="14" t="n">
        <x:v>21</x:v>
      </x:c>
      <x:c r="C1660" s="14" t="n">
        <x:v>76013</x:v>
      </x:c>
      <x:c r="D1660" s="2" t="str">
        <x:v>RED</x:v>
      </x:c>
      <x:c r="E1660" s="2" t="str">
        <x:v>200만</x:v>
      </x:c>
      <x:c r="F1660" s="2" t="str">
        <x:v>80만</x:v>
      </x:c>
      <x:c r="G1660" s="2" t="str">
        <x:v>승</x:v>
      </x:c>
      <x:c r="H1660" s="14" t="n">
        <x:v>4</x:v>
      </x:c>
      <x:c r="I1660" s="14" t="n">
        <x:v>1</x:v>
      </x:c>
      <x:c r="J1660" s="14" t="n">
        <x:v>10</x:v>
      </x:c>
      <x:c r="K1660" s="14" t="n">
        <x:v>4</x:v>
      </x:c>
      <x:c r="L1660" s="15" t="n">
        <x:f>IF(J1660=0,"해당 없음",K1660/J1660)</x:f>
        <x:v>0.4</x:v>
      </x:c>
      <x:c r="M1660" s="14" t="n">
        <x:v>4</x:v>
      </x:c>
      <x:c r="N1660" s="14" t="n">
        <x:v>4</x:v>
      </x:c>
      <x:c r="O1660" s="15" t="n">
        <x:f>IF(M1660=0,"해당 없음",N1660/M1660)</x:f>
        <x:v>1</x:v>
      </x:c>
      <x:c r="P1660" s="14" t="n">
        <x:v>103</x:v>
      </x:c>
    </x:row>
    <x:row r="1661" ht="22" customHeight="1">
      <x:c r="A1661" s="14" t="n">
        <x:v>828</x:v>
      </x:c>
      <x:c r="B1661" s="14" t="n">
        <x:v>21</x:v>
      </x:c>
      <x:c r="C1661" s="14" t="n">
        <x:v>76013</x:v>
      </x:c>
      <x:c r="D1661" s="2" t="str">
        <x:v>NAVY</x:v>
      </x:c>
      <x:c r="E1661" s="2" t="str">
        <x:v>80만</x:v>
      </x:c>
      <x:c r="F1661" s="2" t="str">
        <x:v>200만</x:v>
      </x:c>
      <x:c r="G1661" s="2" t="str">
        <x:v>패</x:v>
      </x:c>
      <x:c r="H1661" s="14" t="n">
        <x:v>1</x:v>
      </x:c>
      <x:c r="I1661" s="14" t="n">
        <x:v>4</x:v>
      </x:c>
      <x:c r="J1661" s="14" t="n">
        <x:v>7</x:v>
      </x:c>
      <x:c r="K1661" s="14" t="n">
        <x:v>1</x:v>
      </x:c>
      <x:c r="L1661" s="15" t="n">
        <x:f>IF(J1661=0,"해당 없음",K1661/J1661)</x:f>
        <x:v>0.14285714285714285</x:v>
      </x:c>
      <x:c r="M1661" s="14" t="n">
        <x:v>8</x:v>
      </x:c>
      <x:c r="N1661" s="14" t="n">
        <x:v>7</x:v>
      </x:c>
      <x:c r="O1661" s="15" t="n">
        <x:f>IF(M1661=0,"해당 없음",N1661/M1661)</x:f>
        <x:v>0.875</x:v>
      </x:c>
      <x:c r="P1661" s="14" t="n">
        <x:v>102</x:v>
      </x:c>
    </x:row>
    <x:row r="1662" ht="22" customHeight="1">
      <x:c r="A1662" s="14" t="n">
        <x:v>829</x:v>
      </x:c>
      <x:c r="B1662" s="14" t="n">
        <x:v>21</x:v>
      </x:c>
      <x:c r="C1662" s="14" t="n">
        <x:v>76014</x:v>
      </x:c>
      <x:c r="D1662" s="2" t="str">
        <x:v>RED</x:v>
      </x:c>
      <x:c r="E1662" s="2" t="str">
        <x:v>80만</x:v>
      </x:c>
      <x:c r="F1662" s="2" t="str">
        <x:v>200만</x:v>
      </x:c>
      <x:c r="G1662" s="2" t="str">
        <x:v>패</x:v>
      </x:c>
      <x:c r="H1662" s="14" t="n">
        <x:v>1</x:v>
      </x:c>
      <x:c r="I1662" s="14" t="n">
        <x:v>4</x:v>
      </x:c>
      <x:c r="J1662" s="14" t="n">
        <x:v>11</x:v>
      </x:c>
      <x:c r="K1662" s="14" t="n">
        <x:v>1</x:v>
      </x:c>
      <x:c r="L1662" s="15" t="n">
        <x:f>IF(J1662=0,"해당 없음",K1662/J1662)</x:f>
        <x:v>0.09090909090909091</x:v>
      </x:c>
      <x:c r="M1662" s="14" t="n">
        <x:v>6</x:v>
      </x:c>
      <x:c r="N1662" s="14" t="n">
        <x:v>3</x:v>
      </x:c>
      <x:c r="O1662" s="15" t="n">
        <x:f>IF(M1662=0,"해당 없음",N1662/M1662)</x:f>
        <x:v>0.5</x:v>
      </x:c>
      <x:c r="P1662" s="14" t="n">
        <x:v>104</x:v>
      </x:c>
    </x:row>
    <x:row r="1663" ht="22" customHeight="1">
      <x:c r="A1663" s="14" t="n">
        <x:v>829</x:v>
      </x:c>
      <x:c r="B1663" s="14" t="n">
        <x:v>21</x:v>
      </x:c>
      <x:c r="C1663" s="14" t="n">
        <x:v>76014</x:v>
      </x:c>
      <x:c r="D1663" s="2" t="str">
        <x:v>NAVY</x:v>
      </x:c>
      <x:c r="E1663" s="2" t="str">
        <x:v>200만</x:v>
      </x:c>
      <x:c r="F1663" s="2" t="str">
        <x:v>80만</x:v>
      </x:c>
      <x:c r="G1663" s="2" t="str">
        <x:v>승</x:v>
      </x:c>
      <x:c r="H1663" s="14" t="n">
        <x:v>4</x:v>
      </x:c>
      <x:c r="I1663" s="14" t="n">
        <x:v>1</x:v>
      </x:c>
      <x:c r="J1663" s="14" t="n">
        <x:v>8</x:v>
      </x:c>
      <x:c r="K1663" s="14" t="n">
        <x:v>4</x:v>
      </x:c>
      <x:c r="L1663" s="15" t="n">
        <x:f>IF(J1663=0,"해당 없음",K1663/J1663)</x:f>
        <x:v>0.5</x:v>
      </x:c>
      <x:c r="M1663" s="14" t="n">
        <x:v>7</x:v>
      </x:c>
      <x:c r="N1663" s="14" t="n">
        <x:v>5</x:v>
      </x:c>
      <x:c r="O1663" s="15" t="n">
        <x:f>IF(M1663=0,"해당 없음",N1663/M1663)</x:f>
        <x:v>0.7142857142857143</x:v>
      </x:c>
      <x:c r="P1663" s="14" t="n">
        <x:v>105</x:v>
      </x:c>
    </x:row>
    <x:row r="1664" ht="22" customHeight="1">
      <x:c r="A1664" s="14" t="n">
        <x:v>830</x:v>
      </x:c>
      <x:c r="B1664" s="14" t="n">
        <x:v>21</x:v>
      </x:c>
      <x:c r="C1664" s="14" t="n">
        <x:v>76014</x:v>
      </x:c>
      <x:c r="D1664" s="2" t="str">
        <x:v>RED</x:v>
      </x:c>
      <x:c r="E1664" s="2" t="str">
        <x:v>200만</x:v>
      </x:c>
      <x:c r="F1664" s="2" t="str">
        <x:v>80만</x:v>
      </x:c>
      <x:c r="G1664" s="2" t="str">
        <x:v>승</x:v>
      </x:c>
      <x:c r="H1664" s="14" t="n">
        <x:v>5</x:v>
      </x:c>
      <x:c r="I1664" s="14" t="n">
        <x:v>3</x:v>
      </x:c>
      <x:c r="J1664" s="14" t="n">
        <x:v>8</x:v>
      </x:c>
      <x:c r="K1664" s="14" t="n">
        <x:v>5</x:v>
      </x:c>
      <x:c r="L1664" s="15" t="n">
        <x:f>IF(J1664=0,"해당 없음",K1664/J1664)</x:f>
        <x:v>0.625</x:v>
      </x:c>
      <x:c r="M1664" s="14" t="n">
        <x:v>9</x:v>
      </x:c>
      <x:c r="N1664" s="14" t="n">
        <x:v>7</x:v>
      </x:c>
      <x:c r="O1664" s="15" t="n">
        <x:f>IF(M1664=0,"해당 없음",N1664/M1664)</x:f>
        <x:v>0.7777777777777778</x:v>
      </x:c>
      <x:c r="P1664" s="14" t="n">
        <x:v>103</x:v>
      </x:c>
    </x:row>
    <x:row r="1665" ht="22" customHeight="1">
      <x:c r="A1665" s="14" t="n">
        <x:v>830</x:v>
      </x:c>
      <x:c r="B1665" s="14" t="n">
        <x:v>21</x:v>
      </x:c>
      <x:c r="C1665" s="14" t="n">
        <x:v>76014</x:v>
      </x:c>
      <x:c r="D1665" s="2" t="str">
        <x:v>NAVY</x:v>
      </x:c>
      <x:c r="E1665" s="2" t="str">
        <x:v>80만</x:v>
      </x:c>
      <x:c r="F1665" s="2" t="str">
        <x:v>200만</x:v>
      </x:c>
      <x:c r="G1665" s="2" t="str">
        <x:v>패</x:v>
      </x:c>
      <x:c r="H1665" s="14" t="n">
        <x:v>3</x:v>
      </x:c>
      <x:c r="I1665" s="14" t="n">
        <x:v>5</x:v>
      </x:c>
      <x:c r="J1665" s="14" t="n">
        <x:v>7</x:v>
      </x:c>
      <x:c r="K1665" s="14" t="n">
        <x:v>3</x:v>
      </x:c>
      <x:c r="L1665" s="15" t="n">
        <x:f>IF(J1665=0,"해당 없음",K1665/J1665)</x:f>
        <x:v>0.42857142857142855</x:v>
      </x:c>
      <x:c r="M1665" s="14" t="n">
        <x:v>8</x:v>
      </x:c>
      <x:c r="N1665" s="14" t="n">
        <x:v>6</x:v>
      </x:c>
      <x:c r="O1665" s="15" t="n">
        <x:f>IF(M1665=0,"해당 없음",N1665/M1665)</x:f>
        <x:v>0.75</x:v>
      </x:c>
      <x:c r="P1665" s="14" t="n">
        <x:v>105</x:v>
      </x:c>
    </x:row>
    <x:row r="1666" ht="22" customHeight="1">
      <x:c r="A1666" s="14" t="n">
        <x:v>831</x:v>
      </x:c>
      <x:c r="B1666" s="14" t="n">
        <x:v>21</x:v>
      </x:c>
      <x:c r="C1666" s="14" t="n">
        <x:v>76015</x:v>
      </x:c>
      <x:c r="D1666" s="2" t="str">
        <x:v>RED</x:v>
      </x:c>
      <x:c r="E1666" s="2" t="str">
        <x:v>80만</x:v>
      </x:c>
      <x:c r="F1666" s="2" t="str">
        <x:v>200만</x:v>
      </x:c>
      <x:c r="G1666" s="2" t="str">
        <x:v>무</x:v>
      </x:c>
      <x:c r="H1666" s="14" t="n">
        <x:v>3</x:v>
      </x:c>
      <x:c r="I1666" s="14" t="n">
        <x:v>3</x:v>
      </x:c>
      <x:c r="J1666" s="14" t="n">
        <x:v>7</x:v>
      </x:c>
      <x:c r="K1666" s="14" t="n">
        <x:v>3</x:v>
      </x:c>
      <x:c r="L1666" s="15" t="n">
        <x:f>IF(J1666=0,"해당 없음",K1666/J1666)</x:f>
        <x:v>0.42857142857142855</x:v>
      </x:c>
      <x:c r="M1666" s="14" t="n">
        <x:v>11</x:v>
      </x:c>
      <x:c r="N1666" s="14" t="n">
        <x:v>7</x:v>
      </x:c>
      <x:c r="O1666" s="15" t="n">
        <x:f>IF(M1666=0,"해당 없음",N1666/M1666)</x:f>
        <x:v>0.6363636363636364</x:v>
      </x:c>
      <x:c r="P1666" s="14" t="n">
        <x:v>103</x:v>
      </x:c>
    </x:row>
    <x:row r="1667" ht="22" customHeight="1">
      <x:c r="A1667" s="14" t="n">
        <x:v>831</x:v>
      </x:c>
      <x:c r="B1667" s="14" t="n">
        <x:v>21</x:v>
      </x:c>
      <x:c r="C1667" s="14" t="n">
        <x:v>76015</x:v>
      </x:c>
      <x:c r="D1667" s="2" t="str">
        <x:v>NAVY</x:v>
      </x:c>
      <x:c r="E1667" s="2" t="str">
        <x:v>200만</x:v>
      </x:c>
      <x:c r="F1667" s="2" t="str">
        <x:v>80만</x:v>
      </x:c>
      <x:c r="G1667" s="2" t="str">
        <x:v>무</x:v>
      </x:c>
      <x:c r="H1667" s="14" t="n">
        <x:v>3</x:v>
      </x:c>
      <x:c r="I1667" s="14" t="n">
        <x:v>3</x:v>
      </x:c>
      <x:c r="J1667" s="14" t="n">
        <x:v>9</x:v>
      </x:c>
      <x:c r="K1667" s="14" t="n">
        <x:v>3</x:v>
      </x:c>
      <x:c r="L1667" s="15" t="n">
        <x:f>IF(J1667=0,"해당 없음",K1667/J1667)</x:f>
        <x:v>0.3333333333333333</x:v>
      </x:c>
      <x:c r="M1667" s="14" t="n">
        <x:v>8</x:v>
      </x:c>
      <x:c r="N1667" s="14" t="n">
        <x:v>7</x:v>
      </x:c>
      <x:c r="O1667" s="15" t="n">
        <x:f>IF(M1667=0,"해당 없음",N1667/M1667)</x:f>
        <x:v>0.875</x:v>
      </x:c>
      <x:c r="P1667" s="14" t="n">
        <x:v>104</x:v>
      </x:c>
    </x:row>
    <x:row r="1668" ht="22" customHeight="1">
      <x:c r="A1668" s="14" t="n">
        <x:v>832</x:v>
      </x:c>
      <x:c r="B1668" s="14" t="n">
        <x:v>21</x:v>
      </x:c>
      <x:c r="C1668" s="14" t="n">
        <x:v>76015</x:v>
      </x:c>
      <x:c r="D1668" s="2" t="str">
        <x:v>RED</x:v>
      </x:c>
      <x:c r="E1668" s="2" t="str">
        <x:v>200만</x:v>
      </x:c>
      <x:c r="F1668" s="2" t="str">
        <x:v>80만</x:v>
      </x:c>
      <x:c r="G1668" s="2" t="str">
        <x:v>패</x:v>
      </x:c>
      <x:c r="H1668" s="14" t="n">
        <x:v>1</x:v>
      </x:c>
      <x:c r="I1668" s="14" t="n">
        <x:v>3</x:v>
      </x:c>
      <x:c r="J1668" s="14" t="n">
        <x:v>5</x:v>
      </x:c>
      <x:c r="K1668" s="14" t="n">
        <x:v>1</x:v>
      </x:c>
      <x:c r="L1668" s="15" t="n">
        <x:f>IF(J1668=0,"해당 없음",K1668/J1668)</x:f>
        <x:v>0.2</x:v>
      </x:c>
      <x:c r="M1668" s="14" t="n">
        <x:v>12</x:v>
      </x:c>
      <x:c r="N1668" s="14" t="n">
        <x:v>10</x:v>
      </x:c>
      <x:c r="O1668" s="15" t="n">
        <x:f>IF(M1668=0,"해당 없음",N1668/M1668)</x:f>
        <x:v>0.8333333333333334</x:v>
      </x:c>
      <x:c r="P1668" s="14" t="n">
        <x:v>101</x:v>
      </x:c>
    </x:row>
    <x:row r="1669" ht="22" customHeight="1">
      <x:c r="A1669" s="14" t="n">
        <x:v>832</x:v>
      </x:c>
      <x:c r="B1669" s="14" t="n">
        <x:v>21</x:v>
      </x:c>
      <x:c r="C1669" s="14" t="n">
        <x:v>76015</x:v>
      </x:c>
      <x:c r="D1669" s="2" t="str">
        <x:v>NAVY</x:v>
      </x:c>
      <x:c r="E1669" s="2" t="str">
        <x:v>80만</x:v>
      </x:c>
      <x:c r="F1669" s="2" t="str">
        <x:v>200만</x:v>
      </x:c>
      <x:c r="G1669" s="2" t="str">
        <x:v>승</x:v>
      </x:c>
      <x:c r="H1669" s="14" t="n">
        <x:v>3</x:v>
      </x:c>
      <x:c r="I1669" s="14" t="n">
        <x:v>1</x:v>
      </x:c>
      <x:c r="J1669" s="14" t="n">
        <x:v>12</x:v>
      </x:c>
      <x:c r="K1669" s="14" t="n">
        <x:v>2</x:v>
      </x:c>
      <x:c r="L1669" s="15" t="n">
        <x:f>IF(J1669=0,"해당 없음",K1669/J1669)</x:f>
        <x:v>0.16666666666666666</x:v>
      </x:c>
      <x:c r="M1669" s="14" t="n">
        <x:v>13</x:v>
      </x:c>
      <x:c r="N1669" s="14" t="n">
        <x:v>11</x:v>
      </x:c>
      <x:c r="O1669" s="15" t="n">
        <x:f>IF(M1669=0,"해당 없음",N1669/M1669)</x:f>
        <x:v>0.8461538461538461</x:v>
      </x:c>
      <x:c r="P1669" s="14" t="n">
        <x:v>103</x:v>
      </x:c>
    </x:row>
    <x:row r="1670" ht="22" customHeight="1">
      <x:c r="A1670" s="14" t="n">
        <x:v>833</x:v>
      </x:c>
      <x:c r="B1670" s="14" t="n">
        <x:v>21</x:v>
      </x:c>
      <x:c r="C1670" s="14" t="n">
        <x:v>76016</x:v>
      </x:c>
      <x:c r="D1670" s="2" t="str">
        <x:v>RED</x:v>
      </x:c>
      <x:c r="E1670" s="2" t="str">
        <x:v>80만</x:v>
      </x:c>
      <x:c r="F1670" s="2" t="str">
        <x:v>200만</x:v>
      </x:c>
      <x:c r="G1670" s="2" t="str">
        <x:v>승</x:v>
      </x:c>
      <x:c r="H1670" s="14" t="n">
        <x:v>4</x:v>
      </x:c>
      <x:c r="I1670" s="14" t="n">
        <x:v>2</x:v>
      </x:c>
      <x:c r="J1670" s="14" t="n">
        <x:v>16</x:v>
      </x:c>
      <x:c r="K1670" s="14" t="n">
        <x:v>4</x:v>
      </x:c>
      <x:c r="L1670" s="15" t="n">
        <x:f>IF(J1670=0,"해당 없음",K1670/J1670)</x:f>
        <x:v>0.25</x:v>
      </x:c>
      <x:c r="M1670" s="14" t="n">
        <x:v>9</x:v>
      </x:c>
      <x:c r="N1670" s="14" t="n">
        <x:v>8</x:v>
      </x:c>
      <x:c r="O1670" s="15" t="n">
        <x:f>IF(M1670=0,"해당 없음",N1670/M1670)</x:f>
        <x:v>0.8888888888888888</x:v>
      </x:c>
      <x:c r="P1670" s="14" t="n">
        <x:v>103</x:v>
      </x:c>
    </x:row>
    <x:row r="1671" ht="22" customHeight="1">
      <x:c r="A1671" s="14" t="n">
        <x:v>833</x:v>
      </x:c>
      <x:c r="B1671" s="14" t="n">
        <x:v>21</x:v>
      </x:c>
      <x:c r="C1671" s="14" t="n">
        <x:v>76016</x:v>
      </x:c>
      <x:c r="D1671" s="2" t="str">
        <x:v>NAVY</x:v>
      </x:c>
      <x:c r="E1671" s="2" t="str">
        <x:v>200만</x:v>
      </x:c>
      <x:c r="F1671" s="2" t="str">
        <x:v>80만</x:v>
      </x:c>
      <x:c r="G1671" s="2" t="str">
        <x:v>패</x:v>
      </x:c>
      <x:c r="H1671" s="14" t="n">
        <x:v>2</x:v>
      </x:c>
      <x:c r="I1671" s="14" t="n">
        <x:v>4</x:v>
      </x:c>
      <x:c r="J1671" s="14" t="n">
        <x:v>7</x:v>
      </x:c>
      <x:c r="K1671" s="14" t="n">
        <x:v>2</x:v>
      </x:c>
      <x:c r="L1671" s="15" t="n">
        <x:f>IF(J1671=0,"해당 없음",K1671/J1671)</x:f>
        <x:v>0.2857142857142857</x:v>
      </x:c>
      <x:c r="M1671" s="14" t="n">
        <x:v>6</x:v>
      </x:c>
      <x:c r="N1671" s="14" t="n">
        <x:v>4</x:v>
      </x:c>
      <x:c r="O1671" s="15" t="n">
        <x:f>IF(M1671=0,"해당 없음",N1671/M1671)</x:f>
        <x:v>0.6666666666666666</x:v>
      </x:c>
      <x:c r="P1671" s="14" t="n">
        <x:v>104</x:v>
      </x:c>
    </x:row>
    <x:row r="1672" ht="22" customHeight="1">
      <x:c r="A1672" s="14" t="n">
        <x:v>834</x:v>
      </x:c>
      <x:c r="B1672" s="14" t="n">
        <x:v>21</x:v>
      </x:c>
      <x:c r="C1672" s="14" t="n">
        <x:v>76016</x:v>
      </x:c>
      <x:c r="D1672" s="2" t="str">
        <x:v>RED</x:v>
      </x:c>
      <x:c r="E1672" s="2" t="str">
        <x:v>200만</x:v>
      </x:c>
      <x:c r="F1672" s="2" t="str">
        <x:v>80만</x:v>
      </x:c>
      <x:c r="G1672" s="2" t="str">
        <x:v>승</x:v>
      </x:c>
      <x:c r="H1672" s="14" t="n">
        <x:v>4</x:v>
      </x:c>
      <x:c r="I1672" s="14" t="n">
        <x:v>3</x:v>
      </x:c>
      <x:c r="J1672" s="14" t="n">
        <x:v>11</x:v>
      </x:c>
      <x:c r="K1672" s="14" t="n">
        <x:v>4</x:v>
      </x:c>
      <x:c r="L1672" s="15" t="n">
        <x:f>IF(J1672=0,"해당 없음",K1672/J1672)</x:f>
        <x:v>0.36363636363636365</x:v>
      </x:c>
      <x:c r="M1672" s="14" t="n">
        <x:v>10</x:v>
      </x:c>
      <x:c r="N1672" s="14" t="n">
        <x:v>8</x:v>
      </x:c>
      <x:c r="O1672" s="15" t="n">
        <x:f>IF(M1672=0,"해당 없음",N1672/M1672)</x:f>
        <x:v>0.8</x:v>
      </x:c>
      <x:c r="P1672" s="14" t="n">
        <x:v>105</x:v>
      </x:c>
    </x:row>
    <x:row r="1673" ht="22" customHeight="1">
      <x:c r="A1673" s="14" t="n">
        <x:v>834</x:v>
      </x:c>
      <x:c r="B1673" s="14" t="n">
        <x:v>21</x:v>
      </x:c>
      <x:c r="C1673" s="14" t="n">
        <x:v>76016</x:v>
      </x:c>
      <x:c r="D1673" s="2" t="str">
        <x:v>NAVY</x:v>
      </x:c>
      <x:c r="E1673" s="2" t="str">
        <x:v>80만</x:v>
      </x:c>
      <x:c r="F1673" s="2" t="str">
        <x:v>200만</x:v>
      </x:c>
      <x:c r="G1673" s="2" t="str">
        <x:v>패</x:v>
      </x:c>
      <x:c r="H1673" s="14" t="n">
        <x:v>3</x:v>
      </x:c>
      <x:c r="I1673" s="14" t="n">
        <x:v>4</x:v>
      </x:c>
      <x:c r="J1673" s="14" t="n">
        <x:v>5</x:v>
      </x:c>
      <x:c r="K1673" s="14" t="n">
        <x:v>3</x:v>
      </x:c>
      <x:c r="L1673" s="15" t="n">
        <x:f>IF(J1673=0,"해당 없음",K1673/J1673)</x:f>
        <x:v>0.6</x:v>
      </x:c>
      <x:c r="M1673" s="14" t="n">
        <x:v>13</x:v>
      </x:c>
      <x:c r="N1673" s="14" t="n">
        <x:v>8</x:v>
      </x:c>
      <x:c r="O1673" s="15" t="n">
        <x:f>IF(M1673=0,"해당 없음",N1673/M1673)</x:f>
        <x:v>0.6153846153846154</x:v>
      </x:c>
      <x:c r="P1673" s="14" t="n">
        <x:v>106</x:v>
      </x:c>
    </x:row>
    <x:row r="1674" ht="22" customHeight="1">
      <x:c r="A1674" s="14" t="n">
        <x:v>835</x:v>
      </x:c>
      <x:c r="B1674" s="14" t="n">
        <x:v>21</x:v>
      </x:c>
      <x:c r="C1674" s="14" t="n">
        <x:v>76017</x:v>
      </x:c>
      <x:c r="D1674" s="2" t="str">
        <x:v>RED</x:v>
      </x:c>
      <x:c r="E1674" s="2" t="str">
        <x:v>80만</x:v>
      </x:c>
      <x:c r="F1674" s="2" t="str">
        <x:v>200만</x:v>
      </x:c>
      <x:c r="G1674" s="2" t="str">
        <x:v>승</x:v>
      </x:c>
      <x:c r="H1674" s="14" t="n">
        <x:v>4</x:v>
      </x:c>
      <x:c r="I1674" s="14" t="n">
        <x:v>1</x:v>
      </x:c>
      <x:c r="J1674" s="14" t="n">
        <x:v>12</x:v>
      </x:c>
      <x:c r="K1674" s="14" t="n">
        <x:v>3</x:v>
      </x:c>
      <x:c r="L1674" s="15" t="n">
        <x:f>IF(J1674=0,"해당 없음",K1674/J1674)</x:f>
        <x:v>0.25</x:v>
      </x:c>
      <x:c r="M1674" s="14" t="n">
        <x:v>13</x:v>
      </x:c>
      <x:c r="N1674" s="14" t="n">
        <x:v>9</x:v>
      </x:c>
      <x:c r="O1674" s="15" t="n">
        <x:f>IF(M1674=0,"해당 없음",N1674/M1674)</x:f>
        <x:v>0.6923076923076923</x:v>
      </x:c>
      <x:c r="P1674" s="14" t="n">
        <x:v>102</x:v>
      </x:c>
    </x:row>
    <x:row r="1675" ht="22" customHeight="1">
      <x:c r="A1675" s="14" t="n">
        <x:v>835</x:v>
      </x:c>
      <x:c r="B1675" s="14" t="n">
        <x:v>21</x:v>
      </x:c>
      <x:c r="C1675" s="14" t="n">
        <x:v>76017</x:v>
      </x:c>
      <x:c r="D1675" s="2" t="str">
        <x:v>NAVY</x:v>
      </x:c>
      <x:c r="E1675" s="2" t="str">
        <x:v>200만</x:v>
      </x:c>
      <x:c r="F1675" s="2" t="str">
        <x:v>80만</x:v>
      </x:c>
      <x:c r="G1675" s="2" t="str">
        <x:v>패</x:v>
      </x:c>
      <x:c r="H1675" s="14" t="n">
        <x:v>1</x:v>
      </x:c>
      <x:c r="I1675" s="14" t="n">
        <x:v>4</x:v>
      </x:c>
      <x:c r="J1675" s="14" t="n">
        <x:v>8</x:v>
      </x:c>
      <x:c r="K1675" s="14" t="n">
        <x:v>1</x:v>
      </x:c>
      <x:c r="L1675" s="15" t="n">
        <x:f>IF(J1675=0,"해당 없음",K1675/J1675)</x:f>
        <x:v>0.125</x:v>
      </x:c>
      <x:c r="M1675" s="14" t="n">
        <x:v>4</x:v>
      </x:c>
      <x:c r="N1675" s="14" t="n">
        <x:v>3</x:v>
      </x:c>
      <x:c r="O1675" s="15" t="n">
        <x:f>IF(M1675=0,"해당 없음",N1675/M1675)</x:f>
        <x:v>0.75</x:v>
      </x:c>
      <x:c r="P1675" s="14" t="n">
        <x:v>104</x:v>
      </x:c>
    </x:row>
    <x:row r="1676" ht="22" customHeight="1">
      <x:c r="A1676" s="14" t="n">
        <x:v>836</x:v>
      </x:c>
      <x:c r="B1676" s="14" t="n">
        <x:v>21</x:v>
      </x:c>
      <x:c r="C1676" s="14" t="n">
        <x:v>76017</x:v>
      </x:c>
      <x:c r="D1676" s="2" t="str">
        <x:v>RED</x:v>
      </x:c>
      <x:c r="E1676" s="2" t="str">
        <x:v>200만</x:v>
      </x:c>
      <x:c r="F1676" s="2" t="str">
        <x:v>80만</x:v>
      </x:c>
      <x:c r="G1676" s="2" t="str">
        <x:v>패</x:v>
      </x:c>
      <x:c r="H1676" s="14" t="n">
        <x:v>0</x:v>
      </x:c>
      <x:c r="I1676" s="14" t="n">
        <x:v>3</x:v>
      </x:c>
      <x:c r="J1676" s="14" t="n">
        <x:v>10</x:v>
      </x:c>
      <x:c r="K1676" s="14" t="n">
        <x:v>0</x:v>
      </x:c>
      <x:c r="L1676" s="15" t="n">
        <x:f>IF(J1676=0,"해당 없음",K1676/J1676)</x:f>
        <x:v>0</x:v>
      </x:c>
      <x:c r="M1676" s="14" t="n">
        <x:v>9</x:v>
      </x:c>
      <x:c r="N1676" s="14" t="n">
        <x:v>5</x:v>
      </x:c>
      <x:c r="O1676" s="15" t="n">
        <x:f>IF(M1676=0,"해당 없음",N1676/M1676)</x:f>
        <x:v>0.5555555555555556</x:v>
      </x:c>
      <x:c r="P1676" s="14" t="n">
        <x:v>102</x:v>
      </x:c>
    </x:row>
    <x:row r="1677" ht="22" customHeight="1">
      <x:c r="A1677" s="14" t="n">
        <x:v>836</x:v>
      </x:c>
      <x:c r="B1677" s="14" t="n">
        <x:v>21</x:v>
      </x:c>
      <x:c r="C1677" s="14" t="n">
        <x:v>76017</x:v>
      </x:c>
      <x:c r="D1677" s="2" t="str">
        <x:v>NAVY</x:v>
      </x:c>
      <x:c r="E1677" s="2" t="str">
        <x:v>80만</x:v>
      </x:c>
      <x:c r="F1677" s="2" t="str">
        <x:v>200만</x:v>
      </x:c>
      <x:c r="G1677" s="2" t="str">
        <x:v>승</x:v>
      </x:c>
      <x:c r="H1677" s="14" t="n">
        <x:v>3</x:v>
      </x:c>
      <x:c r="I1677" s="14" t="n">
        <x:v>0</x:v>
      </x:c>
      <x:c r="J1677" s="14" t="n">
        <x:v>10</x:v>
      </x:c>
      <x:c r="K1677" s="14" t="n">
        <x:v>3</x:v>
      </x:c>
      <x:c r="L1677" s="15" t="n">
        <x:f>IF(J1677=0,"해당 없음",K1677/J1677)</x:f>
        <x:v>0.3</x:v>
      </x:c>
      <x:c r="M1677" s="14" t="n">
        <x:v>14</x:v>
      </x:c>
      <x:c r="N1677" s="14" t="n">
        <x:v>11</x:v>
      </x:c>
      <x:c r="O1677" s="15" t="n">
        <x:f>IF(M1677=0,"해당 없음",N1677/M1677)</x:f>
        <x:v>0.7857142857142857</x:v>
      </x:c>
      <x:c r="P1677" s="14" t="n">
        <x:v>102</x:v>
      </x:c>
    </x:row>
    <x:row r="1678" ht="22" customHeight="1">
      <x:c r="A1678" s="14" t="n">
        <x:v>837</x:v>
      </x:c>
      <x:c r="B1678" s="14" t="n">
        <x:v>21</x:v>
      </x:c>
      <x:c r="C1678" s="14" t="n">
        <x:v>76018</x:v>
      </x:c>
      <x:c r="D1678" s="2" t="str">
        <x:v>RED</x:v>
      </x:c>
      <x:c r="E1678" s="2" t="str">
        <x:v>80만</x:v>
      </x:c>
      <x:c r="F1678" s="2" t="str">
        <x:v>200만</x:v>
      </x:c>
      <x:c r="G1678" s="2" t="str">
        <x:v>패</x:v>
      </x:c>
      <x:c r="H1678" s="14" t="n">
        <x:v>2</x:v>
      </x:c>
      <x:c r="I1678" s="14" t="n">
        <x:v>3</x:v>
      </x:c>
      <x:c r="J1678" s="14" t="n">
        <x:v>10</x:v>
      </x:c>
      <x:c r="K1678" s="14" t="n">
        <x:v>2</x:v>
      </x:c>
      <x:c r="L1678" s="15" t="n">
        <x:f>IF(J1678=0,"해당 없음",K1678/J1678)</x:f>
        <x:v>0.2</x:v>
      </x:c>
      <x:c r="M1678" s="14" t="n">
        <x:v>8</x:v>
      </x:c>
      <x:c r="N1678" s="14" t="n">
        <x:v>7</x:v>
      </x:c>
      <x:c r="O1678" s="15" t="n">
        <x:f>IF(M1678=0,"해당 없음",N1678/M1678)</x:f>
        <x:v>0.875</x:v>
      </x:c>
      <x:c r="P1678" s="14" t="n">
        <x:v>102</x:v>
      </x:c>
    </x:row>
    <x:row r="1679" ht="22" customHeight="1">
      <x:c r="A1679" s="14" t="n">
        <x:v>837</x:v>
      </x:c>
      <x:c r="B1679" s="14" t="n">
        <x:v>21</x:v>
      </x:c>
      <x:c r="C1679" s="14" t="n">
        <x:v>76018</x:v>
      </x:c>
      <x:c r="D1679" s="2" t="str">
        <x:v>NAVY</x:v>
      </x:c>
      <x:c r="E1679" s="2" t="str">
        <x:v>200만</x:v>
      </x:c>
      <x:c r="F1679" s="2" t="str">
        <x:v>80만</x:v>
      </x:c>
      <x:c r="G1679" s="2" t="str">
        <x:v>승</x:v>
      </x:c>
      <x:c r="H1679" s="14" t="n">
        <x:v>3</x:v>
      </x:c>
      <x:c r="I1679" s="14" t="n">
        <x:v>2</x:v>
      </x:c>
      <x:c r="J1679" s="14" t="n">
        <x:v>6</x:v>
      </x:c>
      <x:c r="K1679" s="14" t="n">
        <x:v>3</x:v>
      </x:c>
      <x:c r="L1679" s="15" t="n">
        <x:f>IF(J1679=0,"해당 없음",K1679/J1679)</x:f>
        <x:v>0.5</x:v>
      </x:c>
      <x:c r="M1679" s="14" t="n">
        <x:v>10</x:v>
      </x:c>
      <x:c r="N1679" s="14" t="n">
        <x:v>5</x:v>
      </x:c>
      <x:c r="O1679" s="15" t="n">
        <x:f>IF(M1679=0,"해당 없음",N1679/M1679)</x:f>
        <x:v>0.5</x:v>
      </x:c>
      <x:c r="P1679" s="14" t="n">
        <x:v>103</x:v>
      </x:c>
    </x:row>
    <x:row r="1680" ht="22" customHeight="1">
      <x:c r="A1680" s="14" t="n">
        <x:v>838</x:v>
      </x:c>
      <x:c r="B1680" s="14" t="n">
        <x:v>21</x:v>
      </x:c>
      <x:c r="C1680" s="14" t="n">
        <x:v>76018</x:v>
      </x:c>
      <x:c r="D1680" s="2" t="str">
        <x:v>RED</x:v>
      </x:c>
      <x:c r="E1680" s="2" t="str">
        <x:v>200만</x:v>
      </x:c>
      <x:c r="F1680" s="2" t="str">
        <x:v>80만</x:v>
      </x:c>
      <x:c r="G1680" s="2" t="str">
        <x:v>패</x:v>
      </x:c>
      <x:c r="H1680" s="14" t="n">
        <x:v>3</x:v>
      </x:c>
      <x:c r="I1680" s="14" t="n">
        <x:v>4</x:v>
      </x:c>
      <x:c r="J1680" s="14" t="n">
        <x:v>9</x:v>
      </x:c>
      <x:c r="K1680" s="14" t="n">
        <x:v>3</x:v>
      </x:c>
      <x:c r="L1680" s="15" t="n">
        <x:f>IF(J1680=0,"해당 없음",K1680/J1680)</x:f>
        <x:v>0.3333333333333333</x:v>
      </x:c>
      <x:c r="M1680" s="14" t="n">
        <x:v>7</x:v>
      </x:c>
      <x:c r="N1680" s="14" t="n">
        <x:v>5</x:v>
      </x:c>
      <x:c r="O1680" s="15" t="n">
        <x:f>IF(M1680=0,"해당 없음",N1680/M1680)</x:f>
        <x:v>0.7142857142857143</x:v>
      </x:c>
      <x:c r="P1680" s="14" t="n">
        <x:v>102</x:v>
      </x:c>
    </x:row>
    <x:row r="1681" ht="22" customHeight="1">
      <x:c r="A1681" s="14" t="n">
        <x:v>838</x:v>
      </x:c>
      <x:c r="B1681" s="14" t="n">
        <x:v>21</x:v>
      </x:c>
      <x:c r="C1681" s="14" t="n">
        <x:v>76018</x:v>
      </x:c>
      <x:c r="D1681" s="2" t="str">
        <x:v>NAVY</x:v>
      </x:c>
      <x:c r="E1681" s="2" t="str">
        <x:v>80만</x:v>
      </x:c>
      <x:c r="F1681" s="2" t="str">
        <x:v>200만</x:v>
      </x:c>
      <x:c r="G1681" s="2" t="str">
        <x:v>승</x:v>
      </x:c>
      <x:c r="H1681" s="14" t="n">
        <x:v>4</x:v>
      </x:c>
      <x:c r="I1681" s="14" t="n">
        <x:v>3</x:v>
      </x:c>
      <x:c r="J1681" s="14" t="n">
        <x:v>9</x:v>
      </x:c>
      <x:c r="K1681" s="14" t="n">
        <x:v>4</x:v>
      </x:c>
      <x:c r="L1681" s="15" t="n">
        <x:f>IF(J1681=0,"해당 없음",K1681/J1681)</x:f>
        <x:v>0.4444444444444444</x:v>
      </x:c>
      <x:c r="M1681" s="14" t="n">
        <x:v>12</x:v>
      </x:c>
      <x:c r="N1681" s="14" t="n">
        <x:v>9</x:v>
      </x:c>
      <x:c r="O1681" s="15" t="n">
        <x:f>IF(M1681=0,"해당 없음",N1681/M1681)</x:f>
        <x:v>0.75</x:v>
      </x:c>
      <x:c r="P1681" s="14" t="n">
        <x:v>104</x:v>
      </x:c>
    </x:row>
    <x:row r="1682" ht="22" customHeight="1">
      <x:c r="A1682" s="14" t="n">
        <x:v>839</x:v>
      </x:c>
      <x:c r="B1682" s="14" t="n">
        <x:v>21</x:v>
      </x:c>
      <x:c r="C1682" s="14" t="n">
        <x:v>76019</x:v>
      </x:c>
      <x:c r="D1682" s="2" t="str">
        <x:v>RED</x:v>
      </x:c>
      <x:c r="E1682" s="2" t="str">
        <x:v>80만</x:v>
      </x:c>
      <x:c r="F1682" s="2" t="str">
        <x:v>200만</x:v>
      </x:c>
      <x:c r="G1682" s="2" t="str">
        <x:v>패</x:v>
      </x:c>
      <x:c r="H1682" s="14" t="n">
        <x:v>2</x:v>
      </x:c>
      <x:c r="I1682" s="14" t="n">
        <x:v>4</x:v>
      </x:c>
      <x:c r="J1682" s="14" t="n">
        <x:v>11</x:v>
      </x:c>
      <x:c r="K1682" s="14" t="n">
        <x:v>2</x:v>
      </x:c>
      <x:c r="L1682" s="15" t="n">
        <x:f>IF(J1682=0,"해당 없음",K1682/J1682)</x:f>
        <x:v>0.18181818181818182</x:v>
      </x:c>
      <x:c r="M1682" s="14" t="n">
        <x:v>6</x:v>
      </x:c>
      <x:c r="N1682" s="14" t="n">
        <x:v>6</x:v>
      </x:c>
      <x:c r="O1682" s="15" t="n">
        <x:f>IF(M1682=0,"해당 없음",N1682/M1682)</x:f>
        <x:v>1</x:v>
      </x:c>
      <x:c r="P1682" s="14" t="n">
        <x:v>104</x:v>
      </x:c>
    </x:row>
    <x:row r="1683" ht="22" customHeight="1">
      <x:c r="A1683" s="14" t="n">
        <x:v>839</x:v>
      </x:c>
      <x:c r="B1683" s="14" t="n">
        <x:v>21</x:v>
      </x:c>
      <x:c r="C1683" s="14" t="n">
        <x:v>76019</x:v>
      </x:c>
      <x:c r="D1683" s="2" t="str">
        <x:v>NAVY</x:v>
      </x:c>
      <x:c r="E1683" s="2" t="str">
        <x:v>200만</x:v>
      </x:c>
      <x:c r="F1683" s="2" t="str">
        <x:v>80만</x:v>
      </x:c>
      <x:c r="G1683" s="2" t="str">
        <x:v>승</x:v>
      </x:c>
      <x:c r="H1683" s="14" t="n">
        <x:v>4</x:v>
      </x:c>
      <x:c r="I1683" s="14" t="n">
        <x:v>2</x:v>
      </x:c>
      <x:c r="J1683" s="14" t="n">
        <x:v>8</x:v>
      </x:c>
      <x:c r="K1683" s="14" t="n">
        <x:v>4</x:v>
      </x:c>
      <x:c r="L1683" s="15" t="n">
        <x:f>IF(J1683=0,"해당 없음",K1683/J1683)</x:f>
        <x:v>0.5</x:v>
      </x:c>
      <x:c r="M1683" s="14" t="n">
        <x:v>10</x:v>
      </x:c>
      <x:c r="N1683" s="14" t="n">
        <x:v>8</x:v>
      </x:c>
      <x:c r="O1683" s="15" t="n">
        <x:f>IF(M1683=0,"해당 없음",N1683/M1683)</x:f>
        <x:v>0.8</x:v>
      </x:c>
      <x:c r="P1683" s="14" t="n">
        <x:v>105</x:v>
      </x:c>
    </x:row>
    <x:row r="1684" ht="22" customHeight="1">
      <x:c r="A1684" s="14" t="n">
        <x:v>840</x:v>
      </x:c>
      <x:c r="B1684" s="14" t="n">
        <x:v>21</x:v>
      </x:c>
      <x:c r="C1684" s="14" t="n">
        <x:v>76019</x:v>
      </x:c>
      <x:c r="D1684" s="2" t="str">
        <x:v>RED</x:v>
      </x:c>
      <x:c r="E1684" s="2" t="str">
        <x:v>200만</x:v>
      </x:c>
      <x:c r="F1684" s="2" t="str">
        <x:v>80만</x:v>
      </x:c>
      <x:c r="G1684" s="2" t="str">
        <x:v>패</x:v>
      </x:c>
      <x:c r="H1684" s="14" t="n">
        <x:v>5</x:v>
      </x:c>
      <x:c r="I1684" s="14" t="n">
        <x:v>6</x:v>
      </x:c>
      <x:c r="J1684" s="14" t="n">
        <x:v>10</x:v>
      </x:c>
      <x:c r="K1684" s="14" t="n">
        <x:v>5</x:v>
      </x:c>
      <x:c r="L1684" s="15" t="n">
        <x:f>IF(J1684=0,"해당 없음",K1684/J1684)</x:f>
        <x:v>0.5</x:v>
      </x:c>
      <x:c r="M1684" s="14" t="n">
        <x:v>7</x:v>
      </x:c>
      <x:c r="N1684" s="14" t="n">
        <x:v>7</x:v>
      </x:c>
      <x:c r="O1684" s="15" t="n">
        <x:f>IF(M1684=0,"해당 없음",N1684/M1684)</x:f>
        <x:v>1</x:v>
      </x:c>
      <x:c r="P1684" s="14" t="n">
        <x:v>104</x:v>
      </x:c>
    </x:row>
    <x:row r="1685" ht="22" customHeight="1">
      <x:c r="A1685" s="14" t="n">
        <x:v>840</x:v>
      </x:c>
      <x:c r="B1685" s="14" t="n">
        <x:v>21</x:v>
      </x:c>
      <x:c r="C1685" s="14" t="n">
        <x:v>76019</x:v>
      </x:c>
      <x:c r="D1685" s="2" t="str">
        <x:v>NAVY</x:v>
      </x:c>
      <x:c r="E1685" s="2" t="str">
        <x:v>80만</x:v>
      </x:c>
      <x:c r="F1685" s="2" t="str">
        <x:v>200만</x:v>
      </x:c>
      <x:c r="G1685" s="2" t="str">
        <x:v>승</x:v>
      </x:c>
      <x:c r="H1685" s="14" t="n">
        <x:v>6</x:v>
      </x:c>
      <x:c r="I1685" s="14" t="n">
        <x:v>5</x:v>
      </x:c>
      <x:c r="J1685" s="14" t="n">
        <x:v>9</x:v>
      </x:c>
      <x:c r="K1685" s="14" t="n">
        <x:v>6</x:v>
      </x:c>
      <x:c r="L1685" s="15" t="n">
        <x:f>IF(J1685=0,"해당 없음",K1685/J1685)</x:f>
        <x:v>0.6666666666666666</x:v>
      </x:c>
      <x:c r="M1685" s="14" t="n">
        <x:v>7</x:v>
      </x:c>
      <x:c r="N1685" s="14" t="n">
        <x:v>6</x:v>
      </x:c>
      <x:c r="O1685" s="15" t="n">
        <x:f>IF(M1685=0,"해당 없음",N1685/M1685)</x:f>
        <x:v>0.8571428571428571</x:v>
      </x:c>
      <x:c r="P1685" s="14" t="n">
        <x:v>105</x:v>
      </x:c>
    </x:row>
    <x:row r="1686" ht="22" customHeight="1">
      <x:c r="A1686" s="14" t="n">
        <x:v>841</x:v>
      </x:c>
      <x:c r="B1686" s="14" t="n">
        <x:v>22</x:v>
      </x:c>
      <x:c r="C1686" s="14" t="n">
        <x:v>76000</x:v>
      </x:c>
      <x:c r="D1686" s="2" t="str">
        <x:v>RED</x:v>
      </x:c>
      <x:c r="E1686" s="2" t="str">
        <x:v>80만</x:v>
      </x:c>
      <x:c r="F1686" s="2" t="str">
        <x:v>240만</x:v>
      </x:c>
      <x:c r="G1686" s="2" t="str">
        <x:v>무</x:v>
      </x:c>
      <x:c r="H1686" s="14" t="n">
        <x:v>3</x:v>
      </x:c>
      <x:c r="I1686" s="14" t="n">
        <x:v>3</x:v>
      </x:c>
      <x:c r="J1686" s="14" t="n">
        <x:v>10</x:v>
      </x:c>
      <x:c r="K1686" s="14" t="n">
        <x:v>3</x:v>
      </x:c>
      <x:c r="L1686" s="15" t="n">
        <x:f>IF(J1686=0,"해당 없음",K1686/J1686)</x:f>
        <x:v>0.3</x:v>
      </x:c>
      <x:c r="M1686" s="14" t="n">
        <x:v>7</x:v>
      </x:c>
      <x:c r="N1686" s="14" t="n">
        <x:v>6</x:v>
      </x:c>
      <x:c r="O1686" s="15" t="n">
        <x:f>IF(M1686=0,"해당 없음",N1686/M1686)</x:f>
        <x:v>0.8571428571428571</x:v>
      </x:c>
      <x:c r="P1686" s="14" t="n">
        <x:v>102</x:v>
      </x:c>
    </x:row>
    <x:row r="1687" ht="22" customHeight="1">
      <x:c r="A1687" s="14" t="n">
        <x:v>841</x:v>
      </x:c>
      <x:c r="B1687" s="14" t="n">
        <x:v>22</x:v>
      </x:c>
      <x:c r="C1687" s="14" t="n">
        <x:v>76000</x:v>
      </x:c>
      <x:c r="D1687" s="2" t="str">
        <x:v>NAVY</x:v>
      </x:c>
      <x:c r="E1687" s="2" t="str">
        <x:v>240만</x:v>
      </x:c>
      <x:c r="F1687" s="2" t="str">
        <x:v>80만</x:v>
      </x:c>
      <x:c r="G1687" s="2" t="str">
        <x:v>무</x:v>
      </x:c>
      <x:c r="H1687" s="14" t="n">
        <x:v>3</x:v>
      </x:c>
      <x:c r="I1687" s="14" t="n">
        <x:v>3</x:v>
      </x:c>
      <x:c r="J1687" s="14" t="n">
        <x:v>7</x:v>
      </x:c>
      <x:c r="K1687" s="14" t="n">
        <x:v>3</x:v>
      </x:c>
      <x:c r="L1687" s="15" t="n">
        <x:f>IF(J1687=0,"해당 없음",K1687/J1687)</x:f>
        <x:v>0.42857142857142855</x:v>
      </x:c>
      <x:c r="M1687" s="14" t="n">
        <x:v>11</x:v>
      </x:c>
      <x:c r="N1687" s="14" t="n">
        <x:v>8</x:v>
      </x:c>
      <x:c r="O1687" s="15" t="n">
        <x:f>IF(M1687=0,"해당 없음",N1687/M1687)</x:f>
        <x:v>0.7272727272727273</x:v>
      </x:c>
      <x:c r="P1687" s="14" t="n">
        <x:v>103</x:v>
      </x:c>
    </x:row>
    <x:row r="1688" ht="22" customHeight="1">
      <x:c r="A1688" s="14" t="n">
        <x:v>842</x:v>
      </x:c>
      <x:c r="B1688" s="14" t="n">
        <x:v>22</x:v>
      </x:c>
      <x:c r="C1688" s="14" t="n">
        <x:v>76000</x:v>
      </x:c>
      <x:c r="D1688" s="2" t="str">
        <x:v>RED</x:v>
      </x:c>
      <x:c r="E1688" s="2" t="str">
        <x:v>240만</x:v>
      </x:c>
      <x:c r="F1688" s="2" t="str">
        <x:v>80만</x:v>
      </x:c>
      <x:c r="G1688" s="2" t="str">
        <x:v>패</x:v>
      </x:c>
      <x:c r="H1688" s="14" t="n">
        <x:v>1</x:v>
      </x:c>
      <x:c r="I1688" s="14" t="n">
        <x:v>4</x:v>
      </x:c>
      <x:c r="J1688" s="14" t="n">
        <x:v>7</x:v>
      </x:c>
      <x:c r="K1688" s="14" t="n">
        <x:v>1</x:v>
      </x:c>
      <x:c r="L1688" s="15" t="n">
        <x:f>IF(J1688=0,"해당 없음",K1688/J1688)</x:f>
        <x:v>0.14285714285714285</x:v>
      </x:c>
      <x:c r="M1688" s="14" t="n">
        <x:v>13</x:v>
      </x:c>
      <x:c r="N1688" s="14" t="n">
        <x:v>4</x:v>
      </x:c>
      <x:c r="O1688" s="15" t="n">
        <x:f>IF(M1688=0,"해당 없음",N1688/M1688)</x:f>
        <x:v>0.3076923076923077</x:v>
      </x:c>
      <x:c r="P1688" s="14" t="n">
        <x:v>103</x:v>
      </x:c>
    </x:row>
    <x:row r="1689" ht="22" customHeight="1">
      <x:c r="A1689" s="14" t="n">
        <x:v>842</x:v>
      </x:c>
      <x:c r="B1689" s="14" t="n">
        <x:v>22</x:v>
      </x:c>
      <x:c r="C1689" s="14" t="n">
        <x:v>76000</x:v>
      </x:c>
      <x:c r="D1689" s="2" t="str">
        <x:v>NAVY</x:v>
      </x:c>
      <x:c r="E1689" s="2" t="str">
        <x:v>80만</x:v>
      </x:c>
      <x:c r="F1689" s="2" t="str">
        <x:v>240만</x:v>
      </x:c>
      <x:c r="G1689" s="2" t="str">
        <x:v>승</x:v>
      </x:c>
      <x:c r="H1689" s="14" t="n">
        <x:v>4</x:v>
      </x:c>
      <x:c r="I1689" s="14" t="n">
        <x:v>1</x:v>
      </x:c>
      <x:c r="J1689" s="14" t="n">
        <x:v>11</x:v>
      </x:c>
      <x:c r="K1689" s="14" t="n">
        <x:v>3</x:v>
      </x:c>
      <x:c r="L1689" s="15" t="n">
        <x:f>IF(J1689=0,"해당 없음",K1689/J1689)</x:f>
        <x:v>0.2727272727272727</x:v>
      </x:c>
      <x:c r="M1689" s="14" t="n">
        <x:v>7</x:v>
      </x:c>
      <x:c r="N1689" s="14" t="n">
        <x:v>7</x:v>
      </x:c>
      <x:c r="O1689" s="15" t="n">
        <x:f>IF(M1689=0,"해당 없음",N1689/M1689)</x:f>
        <x:v>1</x:v>
      </x:c>
      <x:c r="P1689" s="14" t="n">
        <x:v>100</x:v>
      </x:c>
    </x:row>
    <x:row r="1690" ht="22" customHeight="1">
      <x:c r="A1690" s="14" t="n">
        <x:v>843</x:v>
      </x:c>
      <x:c r="B1690" s="14" t="n">
        <x:v>22</x:v>
      </x:c>
      <x:c r="C1690" s="14" t="n">
        <x:v>76001</x:v>
      </x:c>
      <x:c r="D1690" s="2" t="str">
        <x:v>RED</x:v>
      </x:c>
      <x:c r="E1690" s="2" t="str">
        <x:v>80만</x:v>
      </x:c>
      <x:c r="F1690" s="2" t="str">
        <x:v>240만</x:v>
      </x:c>
      <x:c r="G1690" s="2" t="str">
        <x:v>패</x:v>
      </x:c>
      <x:c r="H1690" s="14" t="n">
        <x:v>1</x:v>
      </x:c>
      <x:c r="I1690" s="14" t="n">
        <x:v>4</x:v>
      </x:c>
      <x:c r="J1690" s="14" t="n">
        <x:v>9</x:v>
      </x:c>
      <x:c r="K1690" s="14" t="n">
        <x:v>1</x:v>
      </x:c>
      <x:c r="L1690" s="15" t="n">
        <x:f>IF(J1690=0,"해당 없음",K1690/J1690)</x:f>
        <x:v>0.1111111111111111</x:v>
      </x:c>
      <x:c r="M1690" s="14" t="n">
        <x:v>7</x:v>
      </x:c>
      <x:c r="N1690" s="14" t="n">
        <x:v>6</x:v>
      </x:c>
      <x:c r="O1690" s="15" t="n">
        <x:f>IF(M1690=0,"해당 없음",N1690/M1690)</x:f>
        <x:v>0.8571428571428571</x:v>
      </x:c>
      <x:c r="P1690" s="14" t="n">
        <x:v>104</x:v>
      </x:c>
    </x:row>
    <x:row r="1691" ht="22" customHeight="1">
      <x:c r="A1691" s="14" t="n">
        <x:v>843</x:v>
      </x:c>
      <x:c r="B1691" s="14" t="n">
        <x:v>22</x:v>
      </x:c>
      <x:c r="C1691" s="14" t="n">
        <x:v>76001</x:v>
      </x:c>
      <x:c r="D1691" s="2" t="str">
        <x:v>NAVY</x:v>
      </x:c>
      <x:c r="E1691" s="2" t="str">
        <x:v>240만</x:v>
      </x:c>
      <x:c r="F1691" s="2" t="str">
        <x:v>80만</x:v>
      </x:c>
      <x:c r="G1691" s="2" t="str">
        <x:v>승</x:v>
      </x:c>
      <x:c r="H1691" s="14" t="n">
        <x:v>4</x:v>
      </x:c>
      <x:c r="I1691" s="14" t="n">
        <x:v>1</x:v>
      </x:c>
      <x:c r="J1691" s="14" t="n">
        <x:v>8</x:v>
      </x:c>
      <x:c r="K1691" s="14" t="n">
        <x:v>4</x:v>
      </x:c>
      <x:c r="L1691" s="15" t="n">
        <x:f>IF(J1691=0,"해당 없음",K1691/J1691)</x:f>
        <x:v>0.5</x:v>
      </x:c>
      <x:c r="M1691" s="14" t="n">
        <x:v>8</x:v>
      </x:c>
      <x:c r="N1691" s="14" t="n">
        <x:v>7</x:v>
      </x:c>
      <x:c r="O1691" s="15" t="n">
        <x:f>IF(M1691=0,"해당 없음",N1691/M1691)</x:f>
        <x:v>0.875</x:v>
      </x:c>
      <x:c r="P1691" s="14" t="n">
        <x:v>103</x:v>
      </x:c>
    </x:row>
    <x:row r="1692" ht="22" customHeight="1">
      <x:c r="A1692" s="14" t="n">
        <x:v>844</x:v>
      </x:c>
      <x:c r="B1692" s="14" t="n">
        <x:v>22</x:v>
      </x:c>
      <x:c r="C1692" s="14" t="n">
        <x:v>76001</x:v>
      </x:c>
      <x:c r="D1692" s="2" t="str">
        <x:v>RED</x:v>
      </x:c>
      <x:c r="E1692" s="2" t="str">
        <x:v>240만</x:v>
      </x:c>
      <x:c r="F1692" s="2" t="str">
        <x:v>80만</x:v>
      </x:c>
      <x:c r="G1692" s="2" t="str">
        <x:v>승</x:v>
      </x:c>
      <x:c r="H1692" s="14" t="n">
        <x:v>2</x:v>
      </x:c>
      <x:c r="I1692" s="14" t="n">
        <x:v>0</x:v>
      </x:c>
      <x:c r="J1692" s="14" t="n">
        <x:v>6</x:v>
      </x:c>
      <x:c r="K1692" s="14" t="n">
        <x:v>2</x:v>
      </x:c>
      <x:c r="L1692" s="15" t="n">
        <x:f>IF(J1692=0,"해당 없음",K1692/J1692)</x:f>
        <x:v>0.3333333333333333</x:v>
      </x:c>
      <x:c r="M1692" s="14" t="n">
        <x:v>15</x:v>
      </x:c>
      <x:c r="N1692" s="14" t="n">
        <x:v>9</x:v>
      </x:c>
      <x:c r="O1692" s="15" t="n">
        <x:f>IF(M1692=0,"해당 없음",N1692/M1692)</x:f>
        <x:v>0.6</x:v>
      </x:c>
      <x:c r="P1692" s="14" t="n">
        <x:v>101</x:v>
      </x:c>
    </x:row>
    <x:row r="1693" ht="22" customHeight="1">
      <x:c r="A1693" s="14" t="n">
        <x:v>844</x:v>
      </x:c>
      <x:c r="B1693" s="14" t="n">
        <x:v>22</x:v>
      </x:c>
      <x:c r="C1693" s="14" t="n">
        <x:v>76001</x:v>
      </x:c>
      <x:c r="D1693" s="2" t="str">
        <x:v>NAVY</x:v>
      </x:c>
      <x:c r="E1693" s="2" t="str">
        <x:v>80만</x:v>
      </x:c>
      <x:c r="F1693" s="2" t="str">
        <x:v>240만</x:v>
      </x:c>
      <x:c r="G1693" s="2" t="str">
        <x:v>패</x:v>
      </x:c>
      <x:c r="H1693" s="14" t="n">
        <x:v>0</x:v>
      </x:c>
      <x:c r="I1693" s="14" t="n">
        <x:v>2</x:v>
      </x:c>
      <x:c r="J1693" s="14" t="n">
        <x:v>16</x:v>
      </x:c>
      <x:c r="K1693" s="14" t="n">
        <x:v>0</x:v>
      </x:c>
      <x:c r="L1693" s="15" t="n">
        <x:f>IF(J1693=0,"해당 없음",K1693/J1693)</x:f>
        <x:v>0</x:v>
      </x:c>
      <x:c r="M1693" s="14" t="n">
        <x:v>12</x:v>
      </x:c>
      <x:c r="N1693" s="14" t="n">
        <x:v>9</x:v>
      </x:c>
      <x:c r="O1693" s="15" t="n">
        <x:f>IF(M1693=0,"해당 없음",N1693/M1693)</x:f>
        <x:v>0.75</x:v>
      </x:c>
      <x:c r="P1693" s="14" t="n">
        <x:v>103</x:v>
      </x:c>
    </x:row>
    <x:row r="1694" ht="22" customHeight="1">
      <x:c r="A1694" s="14" t="n">
        <x:v>845</x:v>
      </x:c>
      <x:c r="B1694" s="14" t="n">
        <x:v>22</x:v>
      </x:c>
      <x:c r="C1694" s="14" t="n">
        <x:v>76002</x:v>
      </x:c>
      <x:c r="D1694" s="2" t="str">
        <x:v>RED</x:v>
      </x:c>
      <x:c r="E1694" s="2" t="str">
        <x:v>80만</x:v>
      </x:c>
      <x:c r="F1694" s="2" t="str">
        <x:v>240만</x:v>
      </x:c>
      <x:c r="G1694" s="2" t="str">
        <x:v>패</x:v>
      </x:c>
      <x:c r="H1694" s="14" t="n">
        <x:v>0</x:v>
      </x:c>
      <x:c r="I1694" s="14" t="n">
        <x:v>2</x:v>
      </x:c>
      <x:c r="J1694" s="14" t="n">
        <x:v>7</x:v>
      </x:c>
      <x:c r="K1694" s="14" t="n">
        <x:v>0</x:v>
      </x:c>
      <x:c r="L1694" s="15" t="n">
        <x:f>IF(J1694=0,"해당 없음",K1694/J1694)</x:f>
        <x:v>0</x:v>
      </x:c>
      <x:c r="M1694" s="14" t="n">
        <x:v>6</x:v>
      </x:c>
      <x:c r="N1694" s="14" t="n">
        <x:v>5</x:v>
      </x:c>
      <x:c r="O1694" s="15" t="n">
        <x:f>IF(M1694=0,"해당 없음",N1694/M1694)</x:f>
        <x:v>0.8333333333333334</x:v>
      </x:c>
      <x:c r="P1694" s="14" t="n">
        <x:v>103</x:v>
      </x:c>
    </x:row>
    <x:row r="1695" ht="22" customHeight="1">
      <x:c r="A1695" s="14" t="n">
        <x:v>845</x:v>
      </x:c>
      <x:c r="B1695" s="14" t="n">
        <x:v>22</x:v>
      </x:c>
      <x:c r="C1695" s="14" t="n">
        <x:v>76002</x:v>
      </x:c>
      <x:c r="D1695" s="2" t="str">
        <x:v>NAVY</x:v>
      </x:c>
      <x:c r="E1695" s="2" t="str">
        <x:v>240만</x:v>
      </x:c>
      <x:c r="F1695" s="2" t="str">
        <x:v>80만</x:v>
      </x:c>
      <x:c r="G1695" s="2" t="str">
        <x:v>승</x:v>
      </x:c>
      <x:c r="H1695" s="14" t="n">
        <x:v>2</x:v>
      </x:c>
      <x:c r="I1695" s="14" t="n">
        <x:v>0</x:v>
      </x:c>
      <x:c r="J1695" s="14" t="n">
        <x:v>10</x:v>
      </x:c>
      <x:c r="K1695" s="14" t="n">
        <x:v>2</x:v>
      </x:c>
      <x:c r="L1695" s="15" t="n">
        <x:f>IF(J1695=0,"해당 없음",K1695/J1695)</x:f>
        <x:v>0.2</x:v>
      </x:c>
      <x:c r="M1695" s="14" t="n">
        <x:v>17</x:v>
      </x:c>
      <x:c r="N1695" s="14" t="n">
        <x:v>13</x:v>
      </x:c>
      <x:c r="O1695" s="15" t="n">
        <x:f>IF(M1695=0,"해당 없음",N1695/M1695)</x:f>
        <x:v>0.7647058823529411</x:v>
      </x:c>
      <x:c r="P1695" s="14" t="n">
        <x:v>100</x:v>
      </x:c>
    </x:row>
    <x:row r="1696" ht="22" customHeight="1">
      <x:c r="A1696" s="14" t="n">
        <x:v>846</x:v>
      </x:c>
      <x:c r="B1696" s="14" t="n">
        <x:v>22</x:v>
      </x:c>
      <x:c r="C1696" s="14" t="n">
        <x:v>76002</x:v>
      </x:c>
      <x:c r="D1696" s="2" t="str">
        <x:v>RED</x:v>
      </x:c>
      <x:c r="E1696" s="2" t="str">
        <x:v>240만</x:v>
      </x:c>
      <x:c r="F1696" s="2" t="str">
        <x:v>80만</x:v>
      </x:c>
      <x:c r="G1696" s="2" t="str">
        <x:v>승</x:v>
      </x:c>
      <x:c r="H1696" s="14" t="n">
        <x:v>3</x:v>
      </x:c>
      <x:c r="I1696" s="14" t="n">
        <x:v>2</x:v>
      </x:c>
      <x:c r="J1696" s="14" t="n">
        <x:v>10</x:v>
      </x:c>
      <x:c r="K1696" s="14" t="n">
        <x:v>3</x:v>
      </x:c>
      <x:c r="L1696" s="15" t="n">
        <x:f>IF(J1696=0,"해당 없음",K1696/J1696)</x:f>
        <x:v>0.3</x:v>
      </x:c>
      <x:c r="M1696" s="14" t="n">
        <x:v>11</x:v>
      </x:c>
      <x:c r="N1696" s="14" t="n">
        <x:v>10</x:v>
      </x:c>
      <x:c r="O1696" s="15" t="n">
        <x:f>IF(M1696=0,"해당 없음",N1696/M1696)</x:f>
        <x:v>0.9090909090909091</x:v>
      </x:c>
      <x:c r="P1696" s="14" t="n">
        <x:v>102</x:v>
      </x:c>
    </x:row>
    <x:row r="1697" ht="22" customHeight="1">
      <x:c r="A1697" s="14" t="n">
        <x:v>846</x:v>
      </x:c>
      <x:c r="B1697" s="14" t="n">
        <x:v>22</x:v>
      </x:c>
      <x:c r="C1697" s="14" t="n">
        <x:v>76002</x:v>
      </x:c>
      <x:c r="D1697" s="2" t="str">
        <x:v>NAVY</x:v>
      </x:c>
      <x:c r="E1697" s="2" t="str">
        <x:v>80만</x:v>
      </x:c>
      <x:c r="F1697" s="2" t="str">
        <x:v>240만</x:v>
      </x:c>
      <x:c r="G1697" s="2" t="str">
        <x:v>패</x:v>
      </x:c>
      <x:c r="H1697" s="14" t="n">
        <x:v>2</x:v>
      </x:c>
      <x:c r="I1697" s="14" t="n">
        <x:v>3</x:v>
      </x:c>
      <x:c r="J1697" s="14" t="n">
        <x:v>8</x:v>
      </x:c>
      <x:c r="K1697" s="14" t="n">
        <x:v>2</x:v>
      </x:c>
      <x:c r="L1697" s="15" t="n">
        <x:f>IF(J1697=0,"해당 없음",K1697/J1697)</x:f>
        <x:v>0.25</x:v>
      </x:c>
      <x:c r="M1697" s="14" t="n">
        <x:v>9</x:v>
      </x:c>
      <x:c r="N1697" s="14" t="n">
        <x:v>7</x:v>
      </x:c>
      <x:c r="O1697" s="15" t="n">
        <x:f>IF(M1697=0,"해당 없음",N1697/M1697)</x:f>
        <x:v>0.7777777777777778</x:v>
      </x:c>
      <x:c r="P1697" s="14" t="n">
        <x:v>101</x:v>
      </x:c>
    </x:row>
    <x:row r="1698" ht="22" customHeight="1">
      <x:c r="A1698" s="14" t="n">
        <x:v>847</x:v>
      </x:c>
      <x:c r="B1698" s="14" t="n">
        <x:v>22</x:v>
      </x:c>
      <x:c r="C1698" s="14" t="n">
        <x:v>76003</x:v>
      </x:c>
      <x:c r="D1698" s="2" t="str">
        <x:v>RED</x:v>
      </x:c>
      <x:c r="E1698" s="2" t="str">
        <x:v>80만</x:v>
      </x:c>
      <x:c r="F1698" s="2" t="str">
        <x:v>240만</x:v>
      </x:c>
      <x:c r="G1698" s="2" t="str">
        <x:v>승</x:v>
      </x:c>
      <x:c r="H1698" s="14" t="n">
        <x:v>2</x:v>
      </x:c>
      <x:c r="I1698" s="14" t="n">
        <x:v>0</x:v>
      </x:c>
      <x:c r="J1698" s="14" t="n">
        <x:v>13</x:v>
      </x:c>
      <x:c r="K1698" s="14" t="n">
        <x:v>2</x:v>
      </x:c>
      <x:c r="L1698" s="15" t="n">
        <x:f>IF(J1698=0,"해당 없음",K1698/J1698)</x:f>
        <x:v>0.15384615384615385</x:v>
      </x:c>
      <x:c r="M1698" s="14" t="n">
        <x:v>7</x:v>
      </x:c>
      <x:c r="N1698" s="14" t="n">
        <x:v>4</x:v>
      </x:c>
      <x:c r="O1698" s="15" t="n">
        <x:f>IF(M1698=0,"해당 없음",N1698/M1698)</x:f>
        <x:v>0.5714285714285714</x:v>
      </x:c>
      <x:c r="P1698" s="14" t="n">
        <x:v>102</x:v>
      </x:c>
    </x:row>
    <x:row r="1699" ht="22" customHeight="1">
      <x:c r="A1699" s="14" t="n">
        <x:v>847</x:v>
      </x:c>
      <x:c r="B1699" s="14" t="n">
        <x:v>22</x:v>
      </x:c>
      <x:c r="C1699" s="14" t="n">
        <x:v>76003</x:v>
      </x:c>
      <x:c r="D1699" s="2" t="str">
        <x:v>NAVY</x:v>
      </x:c>
      <x:c r="E1699" s="2" t="str">
        <x:v>240만</x:v>
      </x:c>
      <x:c r="F1699" s="2" t="str">
        <x:v>80만</x:v>
      </x:c>
      <x:c r="G1699" s="2" t="str">
        <x:v>패</x:v>
      </x:c>
      <x:c r="H1699" s="14" t="n">
        <x:v>0</x:v>
      </x:c>
      <x:c r="I1699" s="14" t="n">
        <x:v>2</x:v>
      </x:c>
      <x:c r="J1699" s="14" t="n">
        <x:v>4</x:v>
      </x:c>
      <x:c r="K1699" s="14" t="n">
        <x:v>0</x:v>
      </x:c>
      <x:c r="L1699" s="15" t="n">
        <x:f>IF(J1699=0,"해당 없음",K1699/J1699)</x:f>
        <x:v>0</x:v>
      </x:c>
      <x:c r="M1699" s="14" t="n">
        <x:v>13</x:v>
      </x:c>
      <x:c r="N1699" s="14" t="n">
        <x:v>4</x:v>
      </x:c>
      <x:c r="O1699" s="15" t="n">
        <x:f>IF(M1699=0,"해당 없음",N1699/M1699)</x:f>
        <x:v>0.3076923076923077</x:v>
      </x:c>
      <x:c r="P1699" s="14" t="n">
        <x:v>101</x:v>
      </x:c>
    </x:row>
    <x:row r="1700" ht="22" customHeight="1">
      <x:c r="A1700" s="14" t="n">
        <x:v>848</x:v>
      </x:c>
      <x:c r="B1700" s="14" t="n">
        <x:v>22</x:v>
      </x:c>
      <x:c r="C1700" s="14" t="n">
        <x:v>76003</x:v>
      </x:c>
      <x:c r="D1700" s="2" t="str">
        <x:v>RED</x:v>
      </x:c>
      <x:c r="E1700" s="2" t="str">
        <x:v>240만</x:v>
      </x:c>
      <x:c r="F1700" s="2" t="str">
        <x:v>80만</x:v>
      </x:c>
      <x:c r="G1700" s="2" t="str">
        <x:v>패</x:v>
      </x:c>
      <x:c r="H1700" s="14" t="n">
        <x:v>1</x:v>
      </x:c>
      <x:c r="I1700" s="14" t="n">
        <x:v>4</x:v>
      </x:c>
      <x:c r="J1700" s="14" t="n">
        <x:v>5</x:v>
      </x:c>
      <x:c r="K1700" s="14" t="n">
        <x:v>1</x:v>
      </x:c>
      <x:c r="L1700" s="15" t="n">
        <x:f>IF(J1700=0,"해당 없음",K1700/J1700)</x:f>
        <x:v>0.2</x:v>
      </x:c>
      <x:c r="M1700" s="14" t="n">
        <x:v>5</x:v>
      </x:c>
      <x:c r="N1700" s="14" t="n">
        <x:v>3</x:v>
      </x:c>
      <x:c r="O1700" s="15" t="n">
        <x:f>IF(M1700=0,"해당 없음",N1700/M1700)</x:f>
        <x:v>0.6</x:v>
      </x:c>
      <x:c r="P1700" s="14" t="n">
        <x:v>102</x:v>
      </x:c>
    </x:row>
    <x:row r="1701" ht="22" customHeight="1">
      <x:c r="A1701" s="14" t="n">
        <x:v>848</x:v>
      </x:c>
      <x:c r="B1701" s="14" t="n">
        <x:v>22</x:v>
      </x:c>
      <x:c r="C1701" s="14" t="n">
        <x:v>76003</x:v>
      </x:c>
      <x:c r="D1701" s="2" t="str">
        <x:v>NAVY</x:v>
      </x:c>
      <x:c r="E1701" s="2" t="str">
        <x:v>80만</x:v>
      </x:c>
      <x:c r="F1701" s="2" t="str">
        <x:v>240만</x:v>
      </x:c>
      <x:c r="G1701" s="2" t="str">
        <x:v>승</x:v>
      </x:c>
      <x:c r="H1701" s="14" t="n">
        <x:v>4</x:v>
      </x:c>
      <x:c r="I1701" s="14" t="n">
        <x:v>1</x:v>
      </x:c>
      <x:c r="J1701" s="14" t="n">
        <x:v>13</x:v>
      </x:c>
      <x:c r="K1701" s="14" t="n">
        <x:v>4</x:v>
      </x:c>
      <x:c r="L1701" s="15" t="n">
        <x:f>IF(J1701=0,"해당 없음",K1701/J1701)</x:f>
        <x:v>0.3076923076923077</x:v>
      </x:c>
      <x:c r="M1701" s="14" t="n">
        <x:v>11</x:v>
      </x:c>
      <x:c r="N1701" s="14" t="n">
        <x:v>10</x:v>
      </x:c>
      <x:c r="O1701" s="15" t="n">
        <x:f>IF(M1701=0,"해당 없음",N1701/M1701)</x:f>
        <x:v>0.9090909090909091</x:v>
      </x:c>
      <x:c r="P1701" s="14" t="n">
        <x:v>103</x:v>
      </x:c>
    </x:row>
    <x:row r="1702" ht="22" customHeight="1">
      <x:c r="A1702" s="14" t="n">
        <x:v>849</x:v>
      </x:c>
      <x:c r="B1702" s="14" t="n">
        <x:v>22</x:v>
      </x:c>
      <x:c r="C1702" s="14" t="n">
        <x:v>76004</x:v>
      </x:c>
      <x:c r="D1702" s="2" t="str">
        <x:v>RED</x:v>
      </x:c>
      <x:c r="E1702" s="2" t="str">
        <x:v>80만</x:v>
      </x:c>
      <x:c r="F1702" s="2" t="str">
        <x:v>240만</x:v>
      </x:c>
      <x:c r="G1702" s="2" t="str">
        <x:v>패</x:v>
      </x:c>
      <x:c r="H1702" s="14" t="n">
        <x:v>3</x:v>
      </x:c>
      <x:c r="I1702" s="14" t="n">
        <x:v>8</x:v>
      </x:c>
      <x:c r="J1702" s="14" t="n">
        <x:v>12</x:v>
      </x:c>
      <x:c r="K1702" s="14" t="n">
        <x:v>3</x:v>
      </x:c>
      <x:c r="L1702" s="15" t="n">
        <x:f>IF(J1702=0,"해당 없음",K1702/J1702)</x:f>
        <x:v>0.25</x:v>
      </x:c>
      <x:c r="M1702" s="14" t="n">
        <x:v>3</x:v>
      </x:c>
      <x:c r="N1702" s="14" t="n">
        <x:v>1</x:v>
      </x:c>
      <x:c r="O1702" s="15" t="n">
        <x:f>IF(M1702=0,"해당 없음",N1702/M1702)</x:f>
        <x:v>0.3333333333333333</x:v>
      </x:c>
      <x:c r="P1702" s="14" t="n">
        <x:v>107</x:v>
      </x:c>
    </x:row>
    <x:row r="1703" ht="22" customHeight="1">
      <x:c r="A1703" s="14" t="n">
        <x:v>849</x:v>
      </x:c>
      <x:c r="B1703" s="14" t="n">
        <x:v>22</x:v>
      </x:c>
      <x:c r="C1703" s="14" t="n">
        <x:v>76004</x:v>
      </x:c>
      <x:c r="D1703" s="2" t="str">
        <x:v>NAVY</x:v>
      </x:c>
      <x:c r="E1703" s="2" t="str">
        <x:v>240만</x:v>
      </x:c>
      <x:c r="F1703" s="2" t="str">
        <x:v>80만</x:v>
      </x:c>
      <x:c r="G1703" s="2" t="str">
        <x:v>승</x:v>
      </x:c>
      <x:c r="H1703" s="14" t="n">
        <x:v>8</x:v>
      </x:c>
      <x:c r="I1703" s="14" t="n">
        <x:v>3</x:v>
      </x:c>
      <x:c r="J1703" s="14" t="n">
        <x:v>11</x:v>
      </x:c>
      <x:c r="K1703" s="14" t="n">
        <x:v>8</x:v>
      </x:c>
      <x:c r="L1703" s="15" t="n">
        <x:f>IF(J1703=0,"해당 없음",K1703/J1703)</x:f>
        <x:v>0.7272727272727273</x:v>
      </x:c>
      <x:c r="M1703" s="14" t="n">
        <x:v>8</x:v>
      </x:c>
      <x:c r="N1703" s="14" t="n">
        <x:v>5</x:v>
      </x:c>
      <x:c r="O1703" s="15" t="n">
        <x:f>IF(M1703=0,"해당 없음",N1703/M1703)</x:f>
        <x:v>0.625</x:v>
      </x:c>
      <x:c r="P1703" s="14" t="n">
        <x:v>106</x:v>
      </x:c>
    </x:row>
    <x:row r="1704" ht="22" customHeight="1">
      <x:c r="A1704" s="14" t="n">
        <x:v>850</x:v>
      </x:c>
      <x:c r="B1704" s="14" t="n">
        <x:v>22</x:v>
      </x:c>
      <x:c r="C1704" s="14" t="n">
        <x:v>76004</x:v>
      </x:c>
      <x:c r="D1704" s="2" t="str">
        <x:v>RED</x:v>
      </x:c>
      <x:c r="E1704" s="2" t="str">
        <x:v>240만</x:v>
      </x:c>
      <x:c r="F1704" s="2" t="str">
        <x:v>80만</x:v>
      </x:c>
      <x:c r="G1704" s="2" t="str">
        <x:v>무</x:v>
      </x:c>
      <x:c r="H1704" s="14" t="n">
        <x:v>2</x:v>
      </x:c>
      <x:c r="I1704" s="14" t="n">
        <x:v>2</x:v>
      </x:c>
      <x:c r="J1704" s="14" t="n">
        <x:v>9</x:v>
      </x:c>
      <x:c r="K1704" s="14" t="n">
        <x:v>2</x:v>
      </x:c>
      <x:c r="L1704" s="15" t="n">
        <x:f>IF(J1704=0,"해당 없음",K1704/J1704)</x:f>
        <x:v>0.2222222222222222</x:v>
      </x:c>
      <x:c r="M1704" s="14" t="n">
        <x:v>10</x:v>
      </x:c>
      <x:c r="N1704" s="14" t="n">
        <x:v>7</x:v>
      </x:c>
      <x:c r="O1704" s="15" t="n">
        <x:f>IF(M1704=0,"해당 없음",N1704/M1704)</x:f>
        <x:v>0.7</x:v>
      </x:c>
      <x:c r="P1704" s="14" t="n">
        <x:v>101</x:v>
      </x:c>
    </x:row>
    <x:row r="1705" ht="22" customHeight="1">
      <x:c r="A1705" s="14" t="n">
        <x:v>850</x:v>
      </x:c>
      <x:c r="B1705" s="14" t="n">
        <x:v>22</x:v>
      </x:c>
      <x:c r="C1705" s="14" t="n">
        <x:v>76004</x:v>
      </x:c>
      <x:c r="D1705" s="2" t="str">
        <x:v>NAVY</x:v>
      </x:c>
      <x:c r="E1705" s="2" t="str">
        <x:v>80만</x:v>
      </x:c>
      <x:c r="F1705" s="2" t="str">
        <x:v>240만</x:v>
      </x:c>
      <x:c r="G1705" s="2" t="str">
        <x:v>무</x:v>
      </x:c>
      <x:c r="H1705" s="14" t="n">
        <x:v>2</x:v>
      </x:c>
      <x:c r="I1705" s="14" t="n">
        <x:v>2</x:v>
      </x:c>
      <x:c r="J1705" s="14" t="n">
        <x:v>9</x:v>
      </x:c>
      <x:c r="K1705" s="14" t="n">
        <x:v>2</x:v>
      </x:c>
      <x:c r="L1705" s="15" t="n">
        <x:f>IF(J1705=0,"해당 없음",K1705/J1705)</x:f>
        <x:v>0.2222222222222222</x:v>
      </x:c>
      <x:c r="M1705" s="14" t="n">
        <x:v>12</x:v>
      </x:c>
      <x:c r="N1705" s="14" t="n">
        <x:v>10</x:v>
      </x:c>
      <x:c r="O1705" s="15" t="n">
        <x:f>IF(M1705=0,"해당 없음",N1705/M1705)</x:f>
        <x:v>0.8333333333333334</x:v>
      </x:c>
      <x:c r="P1705" s="14" t="n">
        <x:v>102</x:v>
      </x:c>
    </x:row>
    <x:row r="1706" ht="22" customHeight="1">
      <x:c r="A1706" s="14" t="n">
        <x:v>851</x:v>
      </x:c>
      <x:c r="B1706" s="14" t="n">
        <x:v>22</x:v>
      </x:c>
      <x:c r="C1706" s="14" t="n">
        <x:v>76005</x:v>
      </x:c>
      <x:c r="D1706" s="2" t="str">
        <x:v>RED</x:v>
      </x:c>
      <x:c r="E1706" s="2" t="str">
        <x:v>80만</x:v>
      </x:c>
      <x:c r="F1706" s="2" t="str">
        <x:v>240만</x:v>
      </x:c>
      <x:c r="G1706" s="2" t="str">
        <x:v>패</x:v>
      </x:c>
      <x:c r="H1706" s="14" t="n">
        <x:v>1</x:v>
      </x:c>
      <x:c r="I1706" s="14" t="n">
        <x:v>2</x:v>
      </x:c>
      <x:c r="J1706" s="14" t="n">
        <x:v>8</x:v>
      </x:c>
      <x:c r="K1706" s="14" t="n">
        <x:v>1</x:v>
      </x:c>
      <x:c r="L1706" s="15" t="n">
        <x:f>IF(J1706=0,"해당 없음",K1706/J1706)</x:f>
        <x:v>0.125</x:v>
      </x:c>
      <x:c r="M1706" s="14" t="n">
        <x:v>11</x:v>
      </x:c>
      <x:c r="N1706" s="14" t="n">
        <x:v>7</x:v>
      </x:c>
      <x:c r="O1706" s="15" t="n">
        <x:f>IF(M1706=0,"해당 없음",N1706/M1706)</x:f>
        <x:v>0.6363636363636364</x:v>
      </x:c>
      <x:c r="P1706" s="14" t="n">
        <x:v>101</x:v>
      </x:c>
    </x:row>
    <x:row r="1707" ht="22" customHeight="1">
      <x:c r="A1707" s="14" t="n">
        <x:v>851</x:v>
      </x:c>
      <x:c r="B1707" s="14" t="n">
        <x:v>22</x:v>
      </x:c>
      <x:c r="C1707" s="14" t="n">
        <x:v>76005</x:v>
      </x:c>
      <x:c r="D1707" s="2" t="str">
        <x:v>NAVY</x:v>
      </x:c>
      <x:c r="E1707" s="2" t="str">
        <x:v>240만</x:v>
      </x:c>
      <x:c r="F1707" s="2" t="str">
        <x:v>80만</x:v>
      </x:c>
      <x:c r="G1707" s="2" t="str">
        <x:v>승</x:v>
      </x:c>
      <x:c r="H1707" s="14" t="n">
        <x:v>2</x:v>
      </x:c>
      <x:c r="I1707" s="14" t="n">
        <x:v>1</x:v>
      </x:c>
      <x:c r="J1707" s="14" t="n">
        <x:v>7</x:v>
      </x:c>
      <x:c r="K1707" s="14" t="n">
        <x:v>2</x:v>
      </x:c>
      <x:c r="L1707" s="15" t="n">
        <x:f>IF(J1707=0,"해당 없음",K1707/J1707)</x:f>
        <x:v>0.2857142857142857</x:v>
      </x:c>
      <x:c r="M1707" s="14" t="n">
        <x:v>11</x:v>
      </x:c>
      <x:c r="N1707" s="14" t="n">
        <x:v>8</x:v>
      </x:c>
      <x:c r="O1707" s="15" t="n">
        <x:f>IF(M1707=0,"해당 없음",N1707/M1707)</x:f>
        <x:v>0.7272727272727273</x:v>
      </x:c>
      <x:c r="P1707" s="14" t="n">
        <x:v>102</x:v>
      </x:c>
    </x:row>
    <x:row r="1708" ht="22" customHeight="1">
      <x:c r="A1708" s="14" t="n">
        <x:v>852</x:v>
      </x:c>
      <x:c r="B1708" s="14" t="n">
        <x:v>22</x:v>
      </x:c>
      <x:c r="C1708" s="14" t="n">
        <x:v>76005</x:v>
      </x:c>
      <x:c r="D1708" s="2" t="str">
        <x:v>RED</x:v>
      </x:c>
      <x:c r="E1708" s="2" t="str">
        <x:v>240만</x:v>
      </x:c>
      <x:c r="F1708" s="2" t="str">
        <x:v>80만</x:v>
      </x:c>
      <x:c r="G1708" s="2" t="str">
        <x:v>승</x:v>
      </x:c>
      <x:c r="H1708" s="14" t="n">
        <x:v>4</x:v>
      </x:c>
      <x:c r="I1708" s="14" t="n">
        <x:v>2</x:v>
      </x:c>
      <x:c r="J1708" s="14" t="n">
        <x:v>11</x:v>
      </x:c>
      <x:c r="K1708" s="14" t="n">
        <x:v>4</x:v>
      </x:c>
      <x:c r="L1708" s="15" t="n">
        <x:f>IF(J1708=0,"해당 없음",K1708/J1708)</x:f>
        <x:v>0.36363636363636365</x:v>
      </x:c>
      <x:c r="M1708" s="14" t="n">
        <x:v>8</x:v>
      </x:c>
      <x:c r="N1708" s="14" t="n">
        <x:v>7</x:v>
      </x:c>
      <x:c r="O1708" s="15" t="n">
        <x:f>IF(M1708=0,"해당 없음",N1708/M1708)</x:f>
        <x:v>0.875</x:v>
      </x:c>
      <x:c r="P1708" s="14" t="n">
        <x:v>105</x:v>
      </x:c>
    </x:row>
    <x:row r="1709" ht="22" customHeight="1">
      <x:c r="A1709" s="14" t="n">
        <x:v>852</x:v>
      </x:c>
      <x:c r="B1709" s="14" t="n">
        <x:v>22</x:v>
      </x:c>
      <x:c r="C1709" s="14" t="n">
        <x:v>76005</x:v>
      </x:c>
      <x:c r="D1709" s="2" t="str">
        <x:v>NAVY</x:v>
      </x:c>
      <x:c r="E1709" s="2" t="str">
        <x:v>80만</x:v>
      </x:c>
      <x:c r="F1709" s="2" t="str">
        <x:v>240만</x:v>
      </x:c>
      <x:c r="G1709" s="2" t="str">
        <x:v>패</x:v>
      </x:c>
      <x:c r="H1709" s="14" t="n">
        <x:v>2</x:v>
      </x:c>
      <x:c r="I1709" s="14" t="n">
        <x:v>4</x:v>
      </x:c>
      <x:c r="J1709" s="14" t="n">
        <x:v>7</x:v>
      </x:c>
      <x:c r="K1709" s="14" t="n">
        <x:v>1</x:v>
      </x:c>
      <x:c r="L1709" s="15" t="n">
        <x:f>IF(J1709=0,"해당 없음",K1709/J1709)</x:f>
        <x:v>0.14285714285714285</x:v>
      </x:c>
      <x:c r="M1709" s="14" t="n">
        <x:v>10</x:v>
      </x:c>
      <x:c r="N1709" s="14" t="n">
        <x:v>7</x:v>
      </x:c>
      <x:c r="O1709" s="15" t="n">
        <x:f>IF(M1709=0,"해당 없음",N1709/M1709)</x:f>
        <x:v>0.7</x:v>
      </x:c>
      <x:c r="P1709" s="14" t="n">
        <x:v>104</x:v>
      </x:c>
    </x:row>
    <x:row r="1710" ht="22" customHeight="1">
      <x:c r="A1710" s="14" t="n">
        <x:v>853</x:v>
      </x:c>
      <x:c r="B1710" s="14" t="n">
        <x:v>22</x:v>
      </x:c>
      <x:c r="C1710" s="14" t="n">
        <x:v>76006</x:v>
      </x:c>
      <x:c r="D1710" s="2" t="str">
        <x:v>RED</x:v>
      </x:c>
      <x:c r="E1710" s="2" t="str">
        <x:v>80만</x:v>
      </x:c>
      <x:c r="F1710" s="2" t="str">
        <x:v>240만</x:v>
      </x:c>
      <x:c r="G1710" s="2" t="str">
        <x:v>승</x:v>
      </x:c>
      <x:c r="H1710" s="14" t="n">
        <x:v>3</x:v>
      </x:c>
      <x:c r="I1710" s="14" t="n">
        <x:v>2</x:v>
      </x:c>
      <x:c r="J1710" s="14" t="n">
        <x:v>13</x:v>
      </x:c>
      <x:c r="K1710" s="14" t="n">
        <x:v>3</x:v>
      </x:c>
      <x:c r="L1710" s="15" t="n">
        <x:f>IF(J1710=0,"해당 없음",K1710/J1710)</x:f>
        <x:v>0.23076923076923078</x:v>
      </x:c>
      <x:c r="M1710" s="14" t="n">
        <x:v>5</x:v>
      </x:c>
      <x:c r="N1710" s="14" t="n">
        <x:v>5</x:v>
      </x:c>
      <x:c r="O1710" s="15" t="n">
        <x:f>IF(M1710=0,"해당 없음",N1710/M1710)</x:f>
        <x:v>1</x:v>
      </x:c>
      <x:c r="P1710" s="14" t="n">
        <x:v>104</x:v>
      </x:c>
    </x:row>
    <x:row r="1711" ht="22" customHeight="1">
      <x:c r="A1711" s="14" t="n">
        <x:v>853</x:v>
      </x:c>
      <x:c r="B1711" s="14" t="n">
        <x:v>22</x:v>
      </x:c>
      <x:c r="C1711" s="14" t="n">
        <x:v>76006</x:v>
      </x:c>
      <x:c r="D1711" s="2" t="str">
        <x:v>NAVY</x:v>
      </x:c>
      <x:c r="E1711" s="2" t="str">
        <x:v>240만</x:v>
      </x:c>
      <x:c r="F1711" s="2" t="str">
        <x:v>80만</x:v>
      </x:c>
      <x:c r="G1711" s="2" t="str">
        <x:v>패</x:v>
      </x:c>
      <x:c r="H1711" s="14" t="n">
        <x:v>2</x:v>
      </x:c>
      <x:c r="I1711" s="14" t="n">
        <x:v>3</x:v>
      </x:c>
      <x:c r="J1711" s="14" t="n">
        <x:v>6</x:v>
      </x:c>
      <x:c r="K1711" s="14" t="n">
        <x:v>2</x:v>
      </x:c>
      <x:c r="L1711" s="15" t="n">
        <x:f>IF(J1711=0,"해당 없음",K1711/J1711)</x:f>
        <x:v>0.3333333333333333</x:v>
      </x:c>
      <x:c r="M1711" s="14" t="n">
        <x:v>9</x:v>
      </x:c>
      <x:c r="N1711" s="14" t="n">
        <x:v>5</x:v>
      </x:c>
      <x:c r="O1711" s="15" t="n">
        <x:f>IF(M1711=0,"해당 없음",N1711/M1711)</x:f>
        <x:v>0.5555555555555556</x:v>
      </x:c>
      <x:c r="P1711" s="14" t="n">
        <x:v>103</x:v>
      </x:c>
    </x:row>
    <x:row r="1712" ht="22" customHeight="1">
      <x:c r="A1712" s="14" t="n">
        <x:v>854</x:v>
      </x:c>
      <x:c r="B1712" s="14" t="n">
        <x:v>22</x:v>
      </x:c>
      <x:c r="C1712" s="14" t="n">
        <x:v>76006</x:v>
      </x:c>
      <x:c r="D1712" s="2" t="str">
        <x:v>RED</x:v>
      </x:c>
      <x:c r="E1712" s="2" t="str">
        <x:v>240만</x:v>
      </x:c>
      <x:c r="F1712" s="2" t="str">
        <x:v>80만</x:v>
      </x:c>
      <x:c r="G1712" s="2" t="str">
        <x:v>패</x:v>
      </x:c>
      <x:c r="H1712" s="14" t="n">
        <x:v>1</x:v>
      </x:c>
      <x:c r="I1712" s="14" t="n">
        <x:v>4</x:v>
      </x:c>
      <x:c r="J1712" s="14" t="n">
        <x:v>7</x:v>
      </x:c>
      <x:c r="K1712" s="14" t="n">
        <x:v>1</x:v>
      </x:c>
      <x:c r="L1712" s="15" t="n">
        <x:f>IF(J1712=0,"해당 없음",K1712/J1712)</x:f>
        <x:v>0.14285714285714285</x:v>
      </x:c>
      <x:c r="M1712" s="14" t="n">
        <x:v>9</x:v>
      </x:c>
      <x:c r="N1712" s="14" t="n">
        <x:v>6</x:v>
      </x:c>
      <x:c r="O1712" s="15" t="n">
        <x:f>IF(M1712=0,"해당 없음",N1712/M1712)</x:f>
        <x:v>0.6666666666666666</x:v>
      </x:c>
      <x:c r="P1712" s="14" t="n">
        <x:v>104</x:v>
      </x:c>
    </x:row>
    <x:row r="1713" ht="22" customHeight="1">
      <x:c r="A1713" s="14" t="n">
        <x:v>854</x:v>
      </x:c>
      <x:c r="B1713" s="14" t="n">
        <x:v>22</x:v>
      </x:c>
      <x:c r="C1713" s="14" t="n">
        <x:v>76006</x:v>
      </x:c>
      <x:c r="D1713" s="2" t="str">
        <x:v>NAVY</x:v>
      </x:c>
      <x:c r="E1713" s="2" t="str">
        <x:v>80만</x:v>
      </x:c>
      <x:c r="F1713" s="2" t="str">
        <x:v>240만</x:v>
      </x:c>
      <x:c r="G1713" s="2" t="str">
        <x:v>승</x:v>
      </x:c>
      <x:c r="H1713" s="14" t="n">
        <x:v>4</x:v>
      </x:c>
      <x:c r="I1713" s="14" t="n">
        <x:v>1</x:v>
      </x:c>
      <x:c r="J1713" s="14" t="n">
        <x:v>14</x:v>
      </x:c>
      <x:c r="K1713" s="14" t="n">
        <x:v>4</x:v>
      </x:c>
      <x:c r="L1713" s="15" t="n">
        <x:f>IF(J1713=0,"해당 없음",K1713/J1713)</x:f>
        <x:v>0.2857142857142857</x:v>
      </x:c>
      <x:c r="M1713" s="14" t="n">
        <x:v>19</x:v>
      </x:c>
      <x:c r="N1713" s="14" t="n">
        <x:v>18</x:v>
      </x:c>
      <x:c r="O1713" s="15" t="n">
        <x:f>IF(M1713=0,"해당 없음",N1713/M1713)</x:f>
        <x:v>0.9473684210526315</x:v>
      </x:c>
      <x:c r="P1713" s="14" t="n">
        <x:v>103</x:v>
      </x:c>
    </x:row>
    <x:row r="1714" ht="22" customHeight="1">
      <x:c r="A1714" s="14" t="n">
        <x:v>855</x:v>
      </x:c>
      <x:c r="B1714" s="14" t="n">
        <x:v>22</x:v>
      </x:c>
      <x:c r="C1714" s="14" t="n">
        <x:v>76007</x:v>
      </x:c>
      <x:c r="D1714" s="2" t="str">
        <x:v>RED</x:v>
      </x:c>
      <x:c r="E1714" s="2" t="str">
        <x:v>80만</x:v>
      </x:c>
      <x:c r="F1714" s="2" t="str">
        <x:v>240만</x:v>
      </x:c>
      <x:c r="G1714" s="2" t="str">
        <x:v>패</x:v>
      </x:c>
      <x:c r="H1714" s="14" t="n">
        <x:v>2</x:v>
      </x:c>
      <x:c r="I1714" s="14" t="n">
        <x:v>6</x:v>
      </x:c>
      <x:c r="J1714" s="14" t="n">
        <x:v>9</x:v>
      </x:c>
      <x:c r="K1714" s="14" t="n">
        <x:v>2</x:v>
      </x:c>
      <x:c r="L1714" s="15" t="n">
        <x:f>IF(J1714=0,"해당 없음",K1714/J1714)</x:f>
        <x:v>0.2222222222222222</x:v>
      </x:c>
      <x:c r="M1714" s="14" t="n">
        <x:v>5</x:v>
      </x:c>
      <x:c r="N1714" s="14" t="n">
        <x:v>5</x:v>
      </x:c>
      <x:c r="O1714" s="15" t="n">
        <x:f>IF(M1714=0,"해당 없음",N1714/M1714)</x:f>
        <x:v>1</x:v>
      </x:c>
      <x:c r="P1714" s="14" t="n">
        <x:v>102</x:v>
      </x:c>
    </x:row>
    <x:row r="1715" ht="22" customHeight="1">
      <x:c r="A1715" s="14" t="n">
        <x:v>855</x:v>
      </x:c>
      <x:c r="B1715" s="14" t="n">
        <x:v>22</x:v>
      </x:c>
      <x:c r="C1715" s="14" t="n">
        <x:v>76007</x:v>
      </x:c>
      <x:c r="D1715" s="2" t="str">
        <x:v>NAVY</x:v>
      </x:c>
      <x:c r="E1715" s="2" t="str">
        <x:v>240만</x:v>
      </x:c>
      <x:c r="F1715" s="2" t="str">
        <x:v>80만</x:v>
      </x:c>
      <x:c r="G1715" s="2" t="str">
        <x:v>승</x:v>
      </x:c>
      <x:c r="H1715" s="14" t="n">
        <x:v>6</x:v>
      </x:c>
      <x:c r="I1715" s="14" t="n">
        <x:v>2</x:v>
      </x:c>
      <x:c r="J1715" s="14" t="n">
        <x:v>8</x:v>
      </x:c>
      <x:c r="K1715" s="14" t="n">
        <x:v>6</x:v>
      </x:c>
      <x:c r="L1715" s="15" t="n">
        <x:f>IF(J1715=0,"해당 없음",K1715/J1715)</x:f>
        <x:v>0.75</x:v>
      </x:c>
      <x:c r="M1715" s="14" t="n">
        <x:v>6</x:v>
      </x:c>
      <x:c r="N1715" s="14" t="n">
        <x:v>3</x:v>
      </x:c>
      <x:c r="O1715" s="15" t="n">
        <x:f>IF(M1715=0,"해당 없음",N1715/M1715)</x:f>
        <x:v>0.5</x:v>
      </x:c>
      <x:c r="P1715" s="14" t="n">
        <x:v>104</x:v>
      </x:c>
    </x:row>
    <x:row r="1716" ht="22" customHeight="1">
      <x:c r="A1716" s="14" t="n">
        <x:v>856</x:v>
      </x:c>
      <x:c r="B1716" s="14" t="n">
        <x:v>22</x:v>
      </x:c>
      <x:c r="C1716" s="14" t="n">
        <x:v>76007</x:v>
      </x:c>
      <x:c r="D1716" s="2" t="str">
        <x:v>RED</x:v>
      </x:c>
      <x:c r="E1716" s="2" t="str">
        <x:v>240만</x:v>
      </x:c>
      <x:c r="F1716" s="2" t="str">
        <x:v>80만</x:v>
      </x:c>
      <x:c r="G1716" s="2" t="str">
        <x:v>무</x:v>
      </x:c>
      <x:c r="H1716" s="14" t="n">
        <x:v>2</x:v>
      </x:c>
      <x:c r="I1716" s="14" t="n">
        <x:v>2</x:v>
      </x:c>
      <x:c r="J1716" s="14" t="n">
        <x:v>9</x:v>
      </x:c>
      <x:c r="K1716" s="14" t="n">
        <x:v>2</x:v>
      </x:c>
      <x:c r="L1716" s="15" t="n">
        <x:f>IF(J1716=0,"해당 없음",K1716/J1716)</x:f>
        <x:v>0.2222222222222222</x:v>
      </x:c>
      <x:c r="M1716" s="14" t="n">
        <x:v>11</x:v>
      </x:c>
      <x:c r="N1716" s="14" t="n">
        <x:v>11</x:v>
      </x:c>
      <x:c r="O1716" s="15" t="n">
        <x:f>IF(M1716=0,"해당 없음",N1716/M1716)</x:f>
        <x:v>1</x:v>
      </x:c>
      <x:c r="P1716" s="14" t="n">
        <x:v>102</x:v>
      </x:c>
    </x:row>
    <x:row r="1717" ht="22" customHeight="1">
      <x:c r="A1717" s="14" t="n">
        <x:v>856</x:v>
      </x:c>
      <x:c r="B1717" s="14" t="n">
        <x:v>22</x:v>
      </x:c>
      <x:c r="C1717" s="14" t="n">
        <x:v>76007</x:v>
      </x:c>
      <x:c r="D1717" s="2" t="str">
        <x:v>NAVY</x:v>
      </x:c>
      <x:c r="E1717" s="2" t="str">
        <x:v>80만</x:v>
      </x:c>
      <x:c r="F1717" s="2" t="str">
        <x:v>240만</x:v>
      </x:c>
      <x:c r="G1717" s="2" t="str">
        <x:v>무</x:v>
      </x:c>
      <x:c r="H1717" s="14" t="n">
        <x:v>2</x:v>
      </x:c>
      <x:c r="I1717" s="14" t="n">
        <x:v>2</x:v>
      </x:c>
      <x:c r="J1717" s="14" t="n">
        <x:v>8</x:v>
      </x:c>
      <x:c r="K1717" s="14" t="n">
        <x:v>2</x:v>
      </x:c>
      <x:c r="L1717" s="15" t="n">
        <x:f>IF(J1717=0,"해당 없음",K1717/J1717)</x:f>
        <x:v>0.25</x:v>
      </x:c>
      <x:c r="M1717" s="14" t="n">
        <x:v>10</x:v>
      </x:c>
      <x:c r="N1717" s="14" t="n">
        <x:v>9</x:v>
      </x:c>
      <x:c r="O1717" s="15" t="n">
        <x:f>IF(M1717=0,"해당 없음",N1717/M1717)</x:f>
        <x:v>0.9</x:v>
      </x:c>
      <x:c r="P1717" s="14" t="n">
        <x:v>103</x:v>
      </x:c>
    </x:row>
    <x:row r="1718" ht="22" customHeight="1">
      <x:c r="A1718" s="14" t="n">
        <x:v>857</x:v>
      </x:c>
      <x:c r="B1718" s="14" t="n">
        <x:v>22</x:v>
      </x:c>
      <x:c r="C1718" s="14" t="n">
        <x:v>76008</x:v>
      </x:c>
      <x:c r="D1718" s="2" t="str">
        <x:v>RED</x:v>
      </x:c>
      <x:c r="E1718" s="2" t="str">
        <x:v>80만</x:v>
      </x:c>
      <x:c r="F1718" s="2" t="str">
        <x:v>240만</x:v>
      </x:c>
      <x:c r="G1718" s="2" t="str">
        <x:v>패</x:v>
      </x:c>
      <x:c r="H1718" s="14" t="n">
        <x:v>2</x:v>
      </x:c>
      <x:c r="I1718" s="14" t="n">
        <x:v>3</x:v>
      </x:c>
      <x:c r="J1718" s="14" t="n">
        <x:v>6</x:v>
      </x:c>
      <x:c r="K1718" s="14" t="n">
        <x:v>2</x:v>
      </x:c>
      <x:c r="L1718" s="15" t="n">
        <x:f>IF(J1718=0,"해당 없음",K1718/J1718)</x:f>
        <x:v>0.3333333333333333</x:v>
      </x:c>
      <x:c r="M1718" s="14" t="n">
        <x:v>13</x:v>
      </x:c>
      <x:c r="N1718" s="14" t="n">
        <x:v>9</x:v>
      </x:c>
      <x:c r="O1718" s="15" t="n">
        <x:f>IF(M1718=0,"해당 없음",N1718/M1718)</x:f>
        <x:v>0.6923076923076923</x:v>
      </x:c>
      <x:c r="P1718" s="14" t="n">
        <x:v>103</x:v>
      </x:c>
    </x:row>
    <x:row r="1719" ht="22" customHeight="1">
      <x:c r="A1719" s="14" t="n">
        <x:v>857</x:v>
      </x:c>
      <x:c r="B1719" s="14" t="n">
        <x:v>22</x:v>
      </x:c>
      <x:c r="C1719" s="14" t="n">
        <x:v>76008</x:v>
      </x:c>
      <x:c r="D1719" s="2" t="str">
        <x:v>NAVY</x:v>
      </x:c>
      <x:c r="E1719" s="2" t="str">
        <x:v>240만</x:v>
      </x:c>
      <x:c r="F1719" s="2" t="str">
        <x:v>80만</x:v>
      </x:c>
      <x:c r="G1719" s="2" t="str">
        <x:v>승</x:v>
      </x:c>
      <x:c r="H1719" s="14" t="n">
        <x:v>3</x:v>
      </x:c>
      <x:c r="I1719" s="14" t="n">
        <x:v>2</x:v>
      </x:c>
      <x:c r="J1719" s="14" t="n">
        <x:v>15</x:v>
      </x:c>
      <x:c r="K1719" s="14" t="n">
        <x:v>3</x:v>
      </x:c>
      <x:c r="L1719" s="15" t="n">
        <x:f>IF(J1719=0,"해당 없음",K1719/J1719)</x:f>
        <x:v>0.2</x:v>
      </x:c>
      <x:c r="M1719" s="14" t="n">
        <x:v>7</x:v>
      </x:c>
      <x:c r="N1719" s="14" t="n">
        <x:v>7</x:v>
      </x:c>
      <x:c r="O1719" s="15" t="n">
        <x:f>IF(M1719=0,"해당 없음",N1719/M1719)</x:f>
        <x:v>1</x:v>
      </x:c>
      <x:c r="P1719" s="14" t="n">
        <x:v>103</x:v>
      </x:c>
    </x:row>
    <x:row r="1720" ht="22" customHeight="1">
      <x:c r="A1720" s="14" t="n">
        <x:v>858</x:v>
      </x:c>
      <x:c r="B1720" s="14" t="n">
        <x:v>22</x:v>
      </x:c>
      <x:c r="C1720" s="14" t="n">
        <x:v>76008</x:v>
      </x:c>
      <x:c r="D1720" s="2" t="str">
        <x:v>RED</x:v>
      </x:c>
      <x:c r="E1720" s="2" t="str">
        <x:v>240만</x:v>
      </x:c>
      <x:c r="F1720" s="2" t="str">
        <x:v>80만</x:v>
      </x:c>
      <x:c r="G1720" s="2" t="str">
        <x:v>승</x:v>
      </x:c>
      <x:c r="H1720" s="14" t="n">
        <x:v>3</x:v>
      </x:c>
      <x:c r="I1720" s="14" t="n">
        <x:v>2</x:v>
      </x:c>
      <x:c r="J1720" s="14" t="n">
        <x:v>7</x:v>
      </x:c>
      <x:c r="K1720" s="14" t="n">
        <x:v>3</x:v>
      </x:c>
      <x:c r="L1720" s="15" t="n">
        <x:f>IF(J1720=0,"해당 없음",K1720/J1720)</x:f>
        <x:v>0.42857142857142855</x:v>
      </x:c>
      <x:c r="M1720" s="14" t="n">
        <x:v>14</x:v>
      </x:c>
      <x:c r="N1720" s="14" t="n">
        <x:v>11</x:v>
      </x:c>
      <x:c r="O1720" s="15" t="n">
        <x:f>IF(M1720=0,"해당 없음",N1720/M1720)</x:f>
        <x:v>0.7857142857142857</x:v>
      </x:c>
      <x:c r="P1720" s="14" t="n">
        <x:v>103</x:v>
      </x:c>
    </x:row>
    <x:row r="1721" ht="22" customHeight="1">
      <x:c r="A1721" s="14" t="n">
        <x:v>858</x:v>
      </x:c>
      <x:c r="B1721" s="14" t="n">
        <x:v>22</x:v>
      </x:c>
      <x:c r="C1721" s="14" t="n">
        <x:v>76008</x:v>
      </x:c>
      <x:c r="D1721" s="2" t="str">
        <x:v>NAVY</x:v>
      </x:c>
      <x:c r="E1721" s="2" t="str">
        <x:v>80만</x:v>
      </x:c>
      <x:c r="F1721" s="2" t="str">
        <x:v>240만</x:v>
      </x:c>
      <x:c r="G1721" s="2" t="str">
        <x:v>패</x:v>
      </x:c>
      <x:c r="H1721" s="14" t="n">
        <x:v>2</x:v>
      </x:c>
      <x:c r="I1721" s="14" t="n">
        <x:v>3</x:v>
      </x:c>
      <x:c r="J1721" s="14" t="n">
        <x:v>11</x:v>
      </x:c>
      <x:c r="K1721" s="14" t="n">
        <x:v>2</x:v>
      </x:c>
      <x:c r="L1721" s="15" t="n">
        <x:f>IF(J1721=0,"해당 없음",K1721/J1721)</x:f>
        <x:v>0.18181818181818182</x:v>
      </x:c>
      <x:c r="M1721" s="14" t="n">
        <x:v>9</x:v>
      </x:c>
      <x:c r="N1721" s="14" t="n">
        <x:v>7</x:v>
      </x:c>
      <x:c r="O1721" s="15" t="n">
        <x:f>IF(M1721=0,"해당 없음",N1721/M1721)</x:f>
        <x:v>0.7777777777777778</x:v>
      </x:c>
      <x:c r="P1721" s="14" t="n">
        <x:v>103</x:v>
      </x:c>
    </x:row>
    <x:row r="1722" ht="22" customHeight="1">
      <x:c r="A1722" s="14" t="n">
        <x:v>859</x:v>
      </x:c>
      <x:c r="B1722" s="14" t="n">
        <x:v>22</x:v>
      </x:c>
      <x:c r="C1722" s="14" t="n">
        <x:v>76009</x:v>
      </x:c>
      <x:c r="D1722" s="2" t="str">
        <x:v>RED</x:v>
      </x:c>
      <x:c r="E1722" s="2" t="str">
        <x:v>80만</x:v>
      </x:c>
      <x:c r="F1722" s="2" t="str">
        <x:v>240만</x:v>
      </x:c>
      <x:c r="G1722" s="2" t="str">
        <x:v>승</x:v>
      </x:c>
      <x:c r="H1722" s="14" t="n">
        <x:v>5</x:v>
      </x:c>
      <x:c r="I1722" s="14" t="n">
        <x:v>1</x:v>
      </x:c>
      <x:c r="J1722" s="14" t="n">
        <x:v>10</x:v>
      </x:c>
      <x:c r="K1722" s="14" t="n">
        <x:v>5</x:v>
      </x:c>
      <x:c r="L1722" s="15" t="n">
        <x:f>IF(J1722=0,"해당 없음",K1722/J1722)</x:f>
        <x:v>0.5</x:v>
      </x:c>
      <x:c r="M1722" s="14" t="n">
        <x:v>11</x:v>
      </x:c>
      <x:c r="N1722" s="14" t="n">
        <x:v>8</x:v>
      </x:c>
      <x:c r="O1722" s="15" t="n">
        <x:f>IF(M1722=0,"해당 없음",N1722/M1722)</x:f>
        <x:v>0.7272727272727273</x:v>
      </x:c>
      <x:c r="P1722" s="14" t="n">
        <x:v>103</x:v>
      </x:c>
    </x:row>
    <x:row r="1723" ht="22" customHeight="1">
      <x:c r="A1723" s="14" t="n">
        <x:v>859</x:v>
      </x:c>
      <x:c r="B1723" s="14" t="n">
        <x:v>22</x:v>
      </x:c>
      <x:c r="C1723" s="14" t="n">
        <x:v>76009</x:v>
      </x:c>
      <x:c r="D1723" s="2" t="str">
        <x:v>NAVY</x:v>
      </x:c>
      <x:c r="E1723" s="2" t="str">
        <x:v>240만</x:v>
      </x:c>
      <x:c r="F1723" s="2" t="str">
        <x:v>80만</x:v>
      </x:c>
      <x:c r="G1723" s="2" t="str">
        <x:v>패</x:v>
      </x:c>
      <x:c r="H1723" s="14" t="n">
        <x:v>1</x:v>
      </x:c>
      <x:c r="I1723" s="14" t="n">
        <x:v>5</x:v>
      </x:c>
      <x:c r="J1723" s="14" t="n">
        <x:v>5</x:v>
      </x:c>
      <x:c r="K1723" s="14" t="n">
        <x:v>1</x:v>
      </x:c>
      <x:c r="L1723" s="15" t="n">
        <x:f>IF(J1723=0,"해당 없음",K1723/J1723)</x:f>
        <x:v>0.2</x:v>
      </x:c>
      <x:c r="M1723" s="14" t="n">
        <x:v>9</x:v>
      </x:c>
      <x:c r="N1723" s="14" t="n">
        <x:v>7</x:v>
      </x:c>
      <x:c r="O1723" s="15" t="n">
        <x:f>IF(M1723=0,"해당 없음",N1723/M1723)</x:f>
        <x:v>0.7777777777777778</x:v>
      </x:c>
      <x:c r="P1723" s="14" t="n">
        <x:v>103</x:v>
      </x:c>
    </x:row>
    <x:row r="1724" ht="22" customHeight="1">
      <x:c r="A1724" s="14" t="n">
        <x:v>860</x:v>
      </x:c>
      <x:c r="B1724" s="14" t="n">
        <x:v>22</x:v>
      </x:c>
      <x:c r="C1724" s="14" t="n">
        <x:v>76009</x:v>
      </x:c>
      <x:c r="D1724" s="2" t="str">
        <x:v>RED</x:v>
      </x:c>
      <x:c r="E1724" s="2" t="str">
        <x:v>240만</x:v>
      </x:c>
      <x:c r="F1724" s="2" t="str">
        <x:v>80만</x:v>
      </x:c>
      <x:c r="G1724" s="2" t="str">
        <x:v>승</x:v>
      </x:c>
      <x:c r="H1724" s="14" t="n">
        <x:v>5</x:v>
      </x:c>
      <x:c r="I1724" s="14" t="n">
        <x:v>2</x:v>
      </x:c>
      <x:c r="J1724" s="14" t="n">
        <x:v>9</x:v>
      </x:c>
      <x:c r="K1724" s="14" t="n">
        <x:v>5</x:v>
      </x:c>
      <x:c r="L1724" s="15" t="n">
        <x:f>IF(J1724=0,"해당 없음",K1724/J1724)</x:f>
        <x:v>0.5555555555555556</x:v>
      </x:c>
      <x:c r="M1724" s="14" t="n">
        <x:v>12</x:v>
      </x:c>
      <x:c r="N1724" s="14" t="n">
        <x:v>5</x:v>
      </x:c>
      <x:c r="O1724" s="15" t="n">
        <x:f>IF(M1724=0,"해당 없음",N1724/M1724)</x:f>
        <x:v>0.4166666666666667</x:v>
      </x:c>
      <x:c r="P1724" s="14" t="n">
        <x:v>104</x:v>
      </x:c>
    </x:row>
    <x:row r="1725" ht="22" customHeight="1">
      <x:c r="A1725" s="14" t="n">
        <x:v>860</x:v>
      </x:c>
      <x:c r="B1725" s="14" t="n">
        <x:v>22</x:v>
      </x:c>
      <x:c r="C1725" s="14" t="n">
        <x:v>76009</x:v>
      </x:c>
      <x:c r="D1725" s="2" t="str">
        <x:v>NAVY</x:v>
      </x:c>
      <x:c r="E1725" s="2" t="str">
        <x:v>80만</x:v>
      </x:c>
      <x:c r="F1725" s="2" t="str">
        <x:v>240만</x:v>
      </x:c>
      <x:c r="G1725" s="2" t="str">
        <x:v>패</x:v>
      </x:c>
      <x:c r="H1725" s="14" t="n">
        <x:v>2</x:v>
      </x:c>
      <x:c r="I1725" s="14" t="n">
        <x:v>5</x:v>
      </x:c>
      <x:c r="J1725" s="14" t="n">
        <x:v>10</x:v>
      </x:c>
      <x:c r="K1725" s="14" t="n">
        <x:v>2</x:v>
      </x:c>
      <x:c r="L1725" s="15" t="n">
        <x:f>IF(J1725=0,"해당 없음",K1725/J1725)</x:f>
        <x:v>0.2</x:v>
      </x:c>
      <x:c r="M1725" s="14" t="n">
        <x:v>9</x:v>
      </x:c>
      <x:c r="N1725" s="14" t="n">
        <x:v>6</x:v>
      </x:c>
      <x:c r="O1725" s="15" t="n">
        <x:f>IF(M1725=0,"해당 없음",N1725/M1725)</x:f>
        <x:v>0.6666666666666666</x:v>
      </x:c>
      <x:c r="P1725" s="14" t="n">
        <x:v>104</x:v>
      </x:c>
    </x:row>
    <x:row r="1726" ht="22" customHeight="1">
      <x:c r="A1726" s="14" t="n">
        <x:v>861</x:v>
      </x:c>
      <x:c r="B1726" s="14" t="n">
        <x:v>22</x:v>
      </x:c>
      <x:c r="C1726" s="14" t="n">
        <x:v>76010</x:v>
      </x:c>
      <x:c r="D1726" s="2" t="str">
        <x:v>RED</x:v>
      </x:c>
      <x:c r="E1726" s="2" t="str">
        <x:v>80만</x:v>
      </x:c>
      <x:c r="F1726" s="2" t="str">
        <x:v>240만</x:v>
      </x:c>
      <x:c r="G1726" s="2" t="str">
        <x:v>승</x:v>
      </x:c>
      <x:c r="H1726" s="14" t="n">
        <x:v>2</x:v>
      </x:c>
      <x:c r="I1726" s="14" t="n">
        <x:v>1</x:v>
      </x:c>
      <x:c r="J1726" s="14" t="n">
        <x:v>11</x:v>
      </x:c>
      <x:c r="K1726" s="14" t="n">
        <x:v>2</x:v>
      </x:c>
      <x:c r="L1726" s="15" t="n">
        <x:f>IF(J1726=0,"해당 없음",K1726/J1726)</x:f>
        <x:v>0.18181818181818182</x:v>
      </x:c>
      <x:c r="M1726" s="14" t="n">
        <x:v>14</x:v>
      </x:c>
      <x:c r="N1726" s="14" t="n">
        <x:v>7</x:v>
      </x:c>
      <x:c r="O1726" s="15" t="n">
        <x:f>IF(M1726=0,"해당 없음",N1726/M1726)</x:f>
        <x:v>0.5</x:v>
      </x:c>
      <x:c r="P1726" s="14" t="n">
        <x:v>102</x:v>
      </x:c>
    </x:row>
    <x:row r="1727" ht="22" customHeight="1">
      <x:c r="A1727" s="14" t="n">
        <x:v>861</x:v>
      </x:c>
      <x:c r="B1727" s="14" t="n">
        <x:v>22</x:v>
      </x:c>
      <x:c r="C1727" s="14" t="n">
        <x:v>76010</x:v>
      </x:c>
      <x:c r="D1727" s="2" t="str">
        <x:v>NAVY</x:v>
      </x:c>
      <x:c r="E1727" s="2" t="str">
        <x:v>240만</x:v>
      </x:c>
      <x:c r="F1727" s="2" t="str">
        <x:v>80만</x:v>
      </x:c>
      <x:c r="G1727" s="2" t="str">
        <x:v>패</x:v>
      </x:c>
      <x:c r="H1727" s="14" t="n">
        <x:v>1</x:v>
      </x:c>
      <x:c r="I1727" s="14" t="n">
        <x:v>2</x:v>
      </x:c>
      <x:c r="J1727" s="14" t="n">
        <x:v>6</x:v>
      </x:c>
      <x:c r="K1727" s="14" t="n">
        <x:v>1</x:v>
      </x:c>
      <x:c r="L1727" s="15" t="n">
        <x:f>IF(J1727=0,"해당 없음",K1727/J1727)</x:f>
        <x:v>0.16666666666666666</x:v>
      </x:c>
      <x:c r="M1727" s="14" t="n">
        <x:v>10</x:v>
      </x:c>
      <x:c r="N1727" s="14" t="n">
        <x:v>6</x:v>
      </x:c>
      <x:c r="O1727" s="15" t="n">
        <x:f>IF(M1727=0,"해당 없음",N1727/M1727)</x:f>
        <x:v>0.6</x:v>
      </x:c>
      <x:c r="P1727" s="14" t="n">
        <x:v>101</x:v>
      </x:c>
    </x:row>
    <x:row r="1728" ht="22" customHeight="1">
      <x:c r="A1728" s="14" t="n">
        <x:v>862</x:v>
      </x:c>
      <x:c r="B1728" s="14" t="n">
        <x:v>22</x:v>
      </x:c>
      <x:c r="C1728" s="14" t="n">
        <x:v>76010</x:v>
      </x:c>
      <x:c r="D1728" s="2" t="str">
        <x:v>RED</x:v>
      </x:c>
      <x:c r="E1728" s="2" t="str">
        <x:v>240만</x:v>
      </x:c>
      <x:c r="F1728" s="2" t="str">
        <x:v>80만</x:v>
      </x:c>
      <x:c r="G1728" s="2" t="str">
        <x:v>무</x:v>
      </x:c>
      <x:c r="H1728" s="14" t="n">
        <x:v>2</x:v>
      </x:c>
      <x:c r="I1728" s="14" t="n">
        <x:v>2</x:v>
      </x:c>
      <x:c r="J1728" s="14" t="n">
        <x:v>7</x:v>
      </x:c>
      <x:c r="K1728" s="14" t="n">
        <x:v>2</x:v>
      </x:c>
      <x:c r="L1728" s="15" t="n">
        <x:f>IF(J1728=0,"해당 없음",K1728/J1728)</x:f>
        <x:v>0.2857142857142857</x:v>
      </x:c>
      <x:c r="M1728" s="14" t="n">
        <x:v>12</x:v>
      </x:c>
      <x:c r="N1728" s="14" t="n">
        <x:v>9</x:v>
      </x:c>
      <x:c r="O1728" s="15" t="n">
        <x:f>IF(M1728=0,"해당 없음",N1728/M1728)</x:f>
        <x:v>0.75</x:v>
      </x:c>
      <x:c r="P1728" s="14" t="n">
        <x:v>101</x:v>
      </x:c>
    </x:row>
    <x:row r="1729" ht="22" customHeight="1">
      <x:c r="A1729" s="14" t="n">
        <x:v>862</x:v>
      </x:c>
      <x:c r="B1729" s="14" t="n">
        <x:v>22</x:v>
      </x:c>
      <x:c r="C1729" s="14" t="n">
        <x:v>76010</x:v>
      </x:c>
      <x:c r="D1729" s="2" t="str">
        <x:v>NAVY</x:v>
      </x:c>
      <x:c r="E1729" s="2" t="str">
        <x:v>80만</x:v>
      </x:c>
      <x:c r="F1729" s="2" t="str">
        <x:v>240만</x:v>
      </x:c>
      <x:c r="G1729" s="2" t="str">
        <x:v>무</x:v>
      </x:c>
      <x:c r="H1729" s="14" t="n">
        <x:v>2</x:v>
      </x:c>
      <x:c r="I1729" s="14" t="n">
        <x:v>2</x:v>
      </x:c>
      <x:c r="J1729" s="14" t="n">
        <x:v>10</x:v>
      </x:c>
      <x:c r="K1729" s="14" t="n">
        <x:v>2</x:v>
      </x:c>
      <x:c r="L1729" s="15" t="n">
        <x:f>IF(J1729=0,"해당 없음",K1729/J1729)</x:f>
        <x:v>0.2</x:v>
      </x:c>
      <x:c r="M1729" s="14" t="n">
        <x:v>10</x:v>
      </x:c>
      <x:c r="N1729" s="14" t="n">
        <x:v>8</x:v>
      </x:c>
      <x:c r="O1729" s="15" t="n">
        <x:f>IF(M1729=0,"해당 없음",N1729/M1729)</x:f>
        <x:v>0.8</x:v>
      </x:c>
      <x:c r="P1729" s="14" t="n">
        <x:v>102</x:v>
      </x:c>
    </x:row>
    <x:row r="1730" ht="22" customHeight="1">
      <x:c r="A1730" s="14" t="n">
        <x:v>863</x:v>
      </x:c>
      <x:c r="B1730" s="14" t="n">
        <x:v>22</x:v>
      </x:c>
      <x:c r="C1730" s="14" t="n">
        <x:v>76011</x:v>
      </x:c>
      <x:c r="D1730" s="2" t="str">
        <x:v>RED</x:v>
      </x:c>
      <x:c r="E1730" s="2" t="str">
        <x:v>80만</x:v>
      </x:c>
      <x:c r="F1730" s="2" t="str">
        <x:v>240만</x:v>
      </x:c>
      <x:c r="G1730" s="2" t="str">
        <x:v>패</x:v>
      </x:c>
      <x:c r="H1730" s="14" t="n">
        <x:v>1</x:v>
      </x:c>
      <x:c r="I1730" s="14" t="n">
        <x:v>4</x:v>
      </x:c>
      <x:c r="J1730" s="14" t="n">
        <x:v>10</x:v>
      </x:c>
      <x:c r="K1730" s="14" t="n">
        <x:v>1</x:v>
      </x:c>
      <x:c r="L1730" s="15" t="n">
        <x:f>IF(J1730=0,"해당 없음",K1730/J1730)</x:f>
        <x:v>0.1</x:v>
      </x:c>
      <x:c r="M1730" s="14" t="n">
        <x:v>11</x:v>
      </x:c>
      <x:c r="N1730" s="14" t="n">
        <x:v>6</x:v>
      </x:c>
      <x:c r="O1730" s="15" t="n">
        <x:f>IF(M1730=0,"해당 없음",N1730/M1730)</x:f>
        <x:v>0.5454545454545454</x:v>
      </x:c>
      <x:c r="P1730" s="14" t="n">
        <x:v>104</x:v>
      </x:c>
    </x:row>
    <x:row r="1731" ht="22" customHeight="1">
      <x:c r="A1731" s="14" t="n">
        <x:v>863</x:v>
      </x:c>
      <x:c r="B1731" s="14" t="n">
        <x:v>22</x:v>
      </x:c>
      <x:c r="C1731" s="14" t="n">
        <x:v>76011</x:v>
      </x:c>
      <x:c r="D1731" s="2" t="str">
        <x:v>NAVY</x:v>
      </x:c>
      <x:c r="E1731" s="2" t="str">
        <x:v>240만</x:v>
      </x:c>
      <x:c r="F1731" s="2" t="str">
        <x:v>80만</x:v>
      </x:c>
      <x:c r="G1731" s="2" t="str">
        <x:v>승</x:v>
      </x:c>
      <x:c r="H1731" s="14" t="n">
        <x:v>4</x:v>
      </x:c>
      <x:c r="I1731" s="14" t="n">
        <x:v>1</x:v>
      </x:c>
      <x:c r="J1731" s="14" t="n">
        <x:v>11</x:v>
      </x:c>
      <x:c r="K1731" s="14" t="n">
        <x:v>4</x:v>
      </x:c>
      <x:c r="L1731" s="15" t="n">
        <x:f>IF(J1731=0,"해당 없음",K1731/J1731)</x:f>
        <x:v>0.36363636363636365</x:v>
      </x:c>
      <x:c r="M1731" s="14" t="n">
        <x:v>8</x:v>
      </x:c>
      <x:c r="N1731" s="14" t="n">
        <x:v>7</x:v>
      </x:c>
      <x:c r="O1731" s="15" t="n">
        <x:f>IF(M1731=0,"해당 없음",N1731/M1731)</x:f>
        <x:v>0.875</x:v>
      </x:c>
      <x:c r="P1731" s="14" t="n">
        <x:v>102</x:v>
      </x:c>
    </x:row>
    <x:row r="1732" ht="22" customHeight="1">
      <x:c r="A1732" s="14" t="n">
        <x:v>864</x:v>
      </x:c>
      <x:c r="B1732" s="14" t="n">
        <x:v>22</x:v>
      </x:c>
      <x:c r="C1732" s="14" t="n">
        <x:v>76011</x:v>
      </x:c>
      <x:c r="D1732" s="2" t="str">
        <x:v>RED</x:v>
      </x:c>
      <x:c r="E1732" s="2" t="str">
        <x:v>240만</x:v>
      </x:c>
      <x:c r="F1732" s="2" t="str">
        <x:v>80만</x:v>
      </x:c>
      <x:c r="G1732" s="2" t="str">
        <x:v>패</x:v>
      </x:c>
      <x:c r="H1732" s="14" t="n">
        <x:v>1</x:v>
      </x:c>
      <x:c r="I1732" s="14" t="n">
        <x:v>2</x:v>
      </x:c>
      <x:c r="J1732" s="14" t="n">
        <x:v>11</x:v>
      </x:c>
      <x:c r="K1732" s="14" t="n">
        <x:v>1</x:v>
      </x:c>
      <x:c r="L1732" s="15" t="n">
        <x:f>IF(J1732=0,"해당 없음",K1732/J1732)</x:f>
        <x:v>0.09090909090909091</x:v>
      </x:c>
      <x:c r="M1732" s="14" t="n">
        <x:v>8</x:v>
      </x:c>
      <x:c r="N1732" s="14" t="n">
        <x:v>5</x:v>
      </x:c>
      <x:c r="O1732" s="15" t="n">
        <x:f>IF(M1732=0,"해당 없음",N1732/M1732)</x:f>
        <x:v>0.625</x:v>
      </x:c>
      <x:c r="P1732" s="14" t="n">
        <x:v>101</x:v>
      </x:c>
    </x:row>
    <x:row r="1733" ht="22" customHeight="1">
      <x:c r="A1733" s="14" t="n">
        <x:v>864</x:v>
      </x:c>
      <x:c r="B1733" s="14" t="n">
        <x:v>22</x:v>
      </x:c>
      <x:c r="C1733" s="14" t="n">
        <x:v>76011</x:v>
      </x:c>
      <x:c r="D1733" s="2" t="str">
        <x:v>NAVY</x:v>
      </x:c>
      <x:c r="E1733" s="2" t="str">
        <x:v>80만</x:v>
      </x:c>
      <x:c r="F1733" s="2" t="str">
        <x:v>240만</x:v>
      </x:c>
      <x:c r="G1733" s="2" t="str">
        <x:v>승</x:v>
      </x:c>
      <x:c r="H1733" s="14" t="n">
        <x:v>2</x:v>
      </x:c>
      <x:c r="I1733" s="14" t="n">
        <x:v>1</x:v>
      </x:c>
      <x:c r="J1733" s="14" t="n">
        <x:v>7</x:v>
      </x:c>
      <x:c r="K1733" s="14" t="n">
        <x:v>2</x:v>
      </x:c>
      <x:c r="L1733" s="15" t="n">
        <x:f>IF(J1733=0,"해당 없음",K1733/J1733)</x:f>
        <x:v>0.2857142857142857</x:v>
      </x:c>
      <x:c r="M1733" s="14" t="n">
        <x:v>10</x:v>
      </x:c>
      <x:c r="N1733" s="14" t="n">
        <x:v>9</x:v>
      </x:c>
      <x:c r="O1733" s="15" t="n">
        <x:f>IF(M1733=0,"해당 없음",N1733/M1733)</x:f>
        <x:v>0.9</x:v>
      </x:c>
      <x:c r="P1733" s="14" t="n">
        <x:v>102</x:v>
      </x:c>
    </x:row>
    <x:row r="1734" ht="22" customHeight="1">
      <x:c r="A1734" s="14" t="n">
        <x:v>865</x:v>
      </x:c>
      <x:c r="B1734" s="14" t="n">
        <x:v>22</x:v>
      </x:c>
      <x:c r="C1734" s="14" t="n">
        <x:v>76012</x:v>
      </x:c>
      <x:c r="D1734" s="2" t="str">
        <x:v>RED</x:v>
      </x:c>
      <x:c r="E1734" s="2" t="str">
        <x:v>80만</x:v>
      </x:c>
      <x:c r="F1734" s="2" t="str">
        <x:v>240만</x:v>
      </x:c>
      <x:c r="G1734" s="2" t="str">
        <x:v>무</x:v>
      </x:c>
      <x:c r="H1734" s="14" t="n">
        <x:v>4</x:v>
      </x:c>
      <x:c r="I1734" s="14" t="n">
        <x:v>4</x:v>
      </x:c>
      <x:c r="J1734" s="14" t="n">
        <x:v>9</x:v>
      </x:c>
      <x:c r="K1734" s="14" t="n">
        <x:v>3</x:v>
      </x:c>
      <x:c r="L1734" s="15" t="n">
        <x:f>IF(J1734=0,"해당 없음",K1734/J1734)</x:f>
        <x:v>0.3333333333333333</x:v>
      </x:c>
      <x:c r="M1734" s="14" t="n">
        <x:v>6</x:v>
      </x:c>
      <x:c r="N1734" s="14" t="n">
        <x:v>6</x:v>
      </x:c>
      <x:c r="O1734" s="15" t="n">
        <x:f>IF(M1734=0,"해당 없음",N1734/M1734)</x:f>
        <x:v>1</x:v>
      </x:c>
      <x:c r="P1734" s="14" t="n">
        <x:v>107</x:v>
      </x:c>
    </x:row>
    <x:row r="1735" ht="22" customHeight="1">
      <x:c r="A1735" s="14" t="n">
        <x:v>865</x:v>
      </x:c>
      <x:c r="B1735" s="14" t="n">
        <x:v>22</x:v>
      </x:c>
      <x:c r="C1735" s="14" t="n">
        <x:v>76012</x:v>
      </x:c>
      <x:c r="D1735" s="2" t="str">
        <x:v>NAVY</x:v>
      </x:c>
      <x:c r="E1735" s="2" t="str">
        <x:v>240만</x:v>
      </x:c>
      <x:c r="F1735" s="2" t="str">
        <x:v>80만</x:v>
      </x:c>
      <x:c r="G1735" s="2" t="str">
        <x:v>무</x:v>
      </x:c>
      <x:c r="H1735" s="14" t="n">
        <x:v>4</x:v>
      </x:c>
      <x:c r="I1735" s="14" t="n">
        <x:v>4</x:v>
      </x:c>
      <x:c r="J1735" s="14" t="n">
        <x:v>7</x:v>
      </x:c>
      <x:c r="K1735" s="14" t="n">
        <x:v>4</x:v>
      </x:c>
      <x:c r="L1735" s="15" t="n">
        <x:f>IF(J1735=0,"해당 없음",K1735/J1735)</x:f>
        <x:v>0.5714285714285714</x:v>
      </x:c>
      <x:c r="M1735" s="14" t="n">
        <x:v>9</x:v>
      </x:c>
      <x:c r="N1735" s="14" t="n">
        <x:v>5</x:v>
      </x:c>
      <x:c r="O1735" s="15" t="n">
        <x:f>IF(M1735=0,"해당 없음",N1735/M1735)</x:f>
        <x:v>0.5555555555555556</x:v>
      </x:c>
      <x:c r="P1735" s="14" t="n">
        <x:v>105</x:v>
      </x:c>
    </x:row>
    <x:row r="1736" ht="22" customHeight="1">
      <x:c r="A1736" s="14" t="n">
        <x:v>866</x:v>
      </x:c>
      <x:c r="B1736" s="14" t="n">
        <x:v>22</x:v>
      </x:c>
      <x:c r="C1736" s="14" t="n">
        <x:v>76012</x:v>
      </x:c>
      <x:c r="D1736" s="2" t="str">
        <x:v>RED</x:v>
      </x:c>
      <x:c r="E1736" s="2" t="str">
        <x:v>240만</x:v>
      </x:c>
      <x:c r="F1736" s="2" t="str">
        <x:v>80만</x:v>
      </x:c>
      <x:c r="G1736" s="2" t="str">
        <x:v>무</x:v>
      </x:c>
      <x:c r="H1736" s="14" t="n">
        <x:v>3</x:v>
      </x:c>
      <x:c r="I1736" s="14" t="n">
        <x:v>3</x:v>
      </x:c>
      <x:c r="J1736" s="14" t="n">
        <x:v>7</x:v>
      </x:c>
      <x:c r="K1736" s="14" t="n">
        <x:v>3</x:v>
      </x:c>
      <x:c r="L1736" s="15" t="n">
        <x:f>IF(J1736=0,"해당 없음",K1736/J1736)</x:f>
        <x:v>0.42857142857142855</x:v>
      </x:c>
      <x:c r="M1736" s="14" t="n">
        <x:v>8</x:v>
      </x:c>
      <x:c r="N1736" s="14" t="n">
        <x:v>4</x:v>
      </x:c>
      <x:c r="O1736" s="15" t="n">
        <x:f>IF(M1736=0,"해당 없음",N1736/M1736)</x:f>
        <x:v>0.5</x:v>
      </x:c>
      <x:c r="P1736" s="14" t="n">
        <x:v>105</x:v>
      </x:c>
    </x:row>
    <x:row r="1737" ht="22" customHeight="1">
      <x:c r="A1737" s="14" t="n">
        <x:v>866</x:v>
      </x:c>
      <x:c r="B1737" s="14" t="n">
        <x:v>22</x:v>
      </x:c>
      <x:c r="C1737" s="14" t="n">
        <x:v>76012</x:v>
      </x:c>
      <x:c r="D1737" s="2" t="str">
        <x:v>NAVY</x:v>
      </x:c>
      <x:c r="E1737" s="2" t="str">
        <x:v>80만</x:v>
      </x:c>
      <x:c r="F1737" s="2" t="str">
        <x:v>240만</x:v>
      </x:c>
      <x:c r="G1737" s="2" t="str">
        <x:v>무</x:v>
      </x:c>
      <x:c r="H1737" s="14" t="n">
        <x:v>3</x:v>
      </x:c>
      <x:c r="I1737" s="14" t="n">
        <x:v>3</x:v>
      </x:c>
      <x:c r="J1737" s="14" t="n">
        <x:v>11</x:v>
      </x:c>
      <x:c r="K1737" s="14" t="n">
        <x:v>3</x:v>
      </x:c>
      <x:c r="L1737" s="15" t="n">
        <x:f>IF(J1737=0,"해당 없음",K1737/J1737)</x:f>
        <x:v>0.2727272727272727</x:v>
      </x:c>
      <x:c r="M1737" s="14" t="n">
        <x:v>13</x:v>
      </x:c>
      <x:c r="N1737" s="14" t="n">
        <x:v>11</x:v>
      </x:c>
      <x:c r="O1737" s="15" t="n">
        <x:f>IF(M1737=0,"해당 없음",N1737/M1737)</x:f>
        <x:v>0.8461538461538461</x:v>
      </x:c>
      <x:c r="P1737" s="14" t="n">
        <x:v>104</x:v>
      </x:c>
    </x:row>
    <x:row r="1738" ht="22" customHeight="1">
      <x:c r="A1738" s="14" t="n">
        <x:v>867</x:v>
      </x:c>
      <x:c r="B1738" s="14" t="n">
        <x:v>22</x:v>
      </x:c>
      <x:c r="C1738" s="14" t="n">
        <x:v>76013</x:v>
      </x:c>
      <x:c r="D1738" s="2" t="str">
        <x:v>RED</x:v>
      </x:c>
      <x:c r="E1738" s="2" t="str">
        <x:v>80만</x:v>
      </x:c>
      <x:c r="F1738" s="2" t="str">
        <x:v>240만</x:v>
      </x:c>
      <x:c r="G1738" s="2" t="str">
        <x:v>무</x:v>
      </x:c>
      <x:c r="H1738" s="14" t="n">
        <x:v>2</x:v>
      </x:c>
      <x:c r="I1738" s="14" t="n">
        <x:v>2</x:v>
      </x:c>
      <x:c r="J1738" s="14" t="n">
        <x:v>13</x:v>
      </x:c>
      <x:c r="K1738" s="14" t="n">
        <x:v>2</x:v>
      </x:c>
      <x:c r="L1738" s="15" t="n">
        <x:f>IF(J1738=0,"해당 없음",K1738/J1738)</x:f>
        <x:v>0.15384615384615385</x:v>
      </x:c>
      <x:c r="M1738" s="14" t="n">
        <x:v>10</x:v>
      </x:c>
      <x:c r="N1738" s="14" t="n">
        <x:v>7</x:v>
      </x:c>
      <x:c r="O1738" s="15" t="n">
        <x:f>IF(M1738=0,"해당 없음",N1738/M1738)</x:f>
        <x:v>0.7</x:v>
      </x:c>
      <x:c r="P1738" s="14" t="n">
        <x:v>103</x:v>
      </x:c>
    </x:row>
    <x:row r="1739" ht="22" customHeight="1">
      <x:c r="A1739" s="14" t="n">
        <x:v>867</x:v>
      </x:c>
      <x:c r="B1739" s="14" t="n">
        <x:v>22</x:v>
      </x:c>
      <x:c r="C1739" s="14" t="n">
        <x:v>76013</x:v>
      </x:c>
      <x:c r="D1739" s="2" t="str">
        <x:v>NAVY</x:v>
      </x:c>
      <x:c r="E1739" s="2" t="str">
        <x:v>240만</x:v>
      </x:c>
      <x:c r="F1739" s="2" t="str">
        <x:v>80만</x:v>
      </x:c>
      <x:c r="G1739" s="2" t="str">
        <x:v>무</x:v>
      </x:c>
      <x:c r="H1739" s="14" t="n">
        <x:v>2</x:v>
      </x:c>
      <x:c r="I1739" s="14" t="n">
        <x:v>2</x:v>
      </x:c>
      <x:c r="J1739" s="14" t="n">
        <x:v>5</x:v>
      </x:c>
      <x:c r="K1739" s="14" t="n">
        <x:v>2</x:v>
      </x:c>
      <x:c r="L1739" s="15" t="n">
        <x:f>IF(J1739=0,"해당 없음",K1739/J1739)</x:f>
        <x:v>0.4</x:v>
      </x:c>
      <x:c r="M1739" s="14" t="n">
        <x:v>7</x:v>
      </x:c>
      <x:c r="N1739" s="14" t="n">
        <x:v>4</x:v>
      </x:c>
      <x:c r="O1739" s="15" t="n">
        <x:f>IF(M1739=0,"해당 없음",N1739/M1739)</x:f>
        <x:v>0.5714285714285714</x:v>
      </x:c>
      <x:c r="P1739" s="14" t="n">
        <x:v>103</x:v>
      </x:c>
    </x:row>
    <x:row r="1740" ht="22" customHeight="1">
      <x:c r="A1740" s="14" t="n">
        <x:v>868</x:v>
      </x:c>
      <x:c r="B1740" s="14" t="n">
        <x:v>22</x:v>
      </x:c>
      <x:c r="C1740" s="14" t="n">
        <x:v>76013</x:v>
      </x:c>
      <x:c r="D1740" s="2" t="str">
        <x:v>RED</x:v>
      </x:c>
      <x:c r="E1740" s="2" t="str">
        <x:v>240만</x:v>
      </x:c>
      <x:c r="F1740" s="2" t="str">
        <x:v>80만</x:v>
      </x:c>
      <x:c r="G1740" s="2" t="str">
        <x:v>패</x:v>
      </x:c>
      <x:c r="H1740" s="14" t="n">
        <x:v>0</x:v>
      </x:c>
      <x:c r="I1740" s="14" t="n">
        <x:v>2</x:v>
      </x:c>
      <x:c r="J1740" s="14" t="n">
        <x:v>4</x:v>
      </x:c>
      <x:c r="K1740" s="14" t="n">
        <x:v>0</x:v>
      </x:c>
      <x:c r="L1740" s="15" t="n">
        <x:f>IF(J1740=0,"해당 없음",K1740/J1740)</x:f>
        <x:v>0</x:v>
      </x:c>
      <x:c r="M1740" s="14" t="n">
        <x:v>11</x:v>
      </x:c>
      <x:c r="N1740" s="14" t="n">
        <x:v>8</x:v>
      </x:c>
      <x:c r="O1740" s="15" t="n">
        <x:f>IF(M1740=0,"해당 없음",N1740/M1740)</x:f>
        <x:v>0.7272727272727273</x:v>
      </x:c>
      <x:c r="P1740" s="14" t="n">
        <x:v>100</x:v>
      </x:c>
    </x:row>
    <x:row r="1741" ht="22" customHeight="1">
      <x:c r="A1741" s="14" t="n">
        <x:v>868</x:v>
      </x:c>
      <x:c r="B1741" s="14" t="n">
        <x:v>22</x:v>
      </x:c>
      <x:c r="C1741" s="14" t="n">
        <x:v>76013</x:v>
      </x:c>
      <x:c r="D1741" s="2" t="str">
        <x:v>NAVY</x:v>
      </x:c>
      <x:c r="E1741" s="2" t="str">
        <x:v>80만</x:v>
      </x:c>
      <x:c r="F1741" s="2" t="str">
        <x:v>240만</x:v>
      </x:c>
      <x:c r="G1741" s="2" t="str">
        <x:v>승</x:v>
      </x:c>
      <x:c r="H1741" s="14" t="n">
        <x:v>2</x:v>
      </x:c>
      <x:c r="I1741" s="14" t="n">
        <x:v>0</x:v>
      </x:c>
      <x:c r="J1741" s="14" t="n">
        <x:v>8</x:v>
      </x:c>
      <x:c r="K1741" s="14" t="n">
        <x:v>2</x:v>
      </x:c>
      <x:c r="L1741" s="15" t="n">
        <x:f>IF(J1741=0,"해당 없음",K1741/J1741)</x:f>
        <x:v>0.25</x:v>
      </x:c>
      <x:c r="M1741" s="14" t="n">
        <x:v>15</x:v>
      </x:c>
      <x:c r="N1741" s="14" t="n">
        <x:v>13</x:v>
      </x:c>
      <x:c r="O1741" s="15" t="n">
        <x:f>IF(M1741=0,"해당 없음",N1741/M1741)</x:f>
        <x:v>0.8666666666666667</x:v>
      </x:c>
      <x:c r="P1741" s="14" t="n">
        <x:v>101</x:v>
      </x:c>
    </x:row>
    <x:row r="1742" ht="22" customHeight="1">
      <x:c r="A1742" s="14" t="n">
        <x:v>869</x:v>
      </x:c>
      <x:c r="B1742" s="14" t="n">
        <x:v>22</x:v>
      </x:c>
      <x:c r="C1742" s="14" t="n">
        <x:v>76014</x:v>
      </x:c>
      <x:c r="D1742" s="2" t="str">
        <x:v>RED</x:v>
      </x:c>
      <x:c r="E1742" s="2" t="str">
        <x:v>80만</x:v>
      </x:c>
      <x:c r="F1742" s="2" t="str">
        <x:v>240만</x:v>
      </x:c>
      <x:c r="G1742" s="2" t="str">
        <x:v>패</x:v>
      </x:c>
      <x:c r="H1742" s="14" t="n">
        <x:v>0</x:v>
      </x:c>
      <x:c r="I1742" s="14" t="n">
        <x:v>5</x:v>
      </x:c>
      <x:c r="J1742" s="14" t="n">
        <x:v>6</x:v>
      </x:c>
      <x:c r="K1742" s="14" t="n">
        <x:v>0</x:v>
      </x:c>
      <x:c r="L1742" s="15" t="n">
        <x:f>IF(J1742=0,"해당 없음",K1742/J1742)</x:f>
        <x:v>0</x:v>
      </x:c>
      <x:c r="M1742" s="14" t="n">
        <x:v>6</x:v>
      </x:c>
      <x:c r="N1742" s="14" t="n">
        <x:v>5</x:v>
      </x:c>
      <x:c r="O1742" s="15" t="n">
        <x:f>IF(M1742=0,"해당 없음",N1742/M1742)</x:f>
        <x:v>0.8333333333333334</x:v>
      </x:c>
      <x:c r="P1742" s="14" t="n">
        <x:v>104</x:v>
      </x:c>
    </x:row>
    <x:row r="1743" ht="22" customHeight="1">
      <x:c r="A1743" s="14" t="n">
        <x:v>869</x:v>
      </x:c>
      <x:c r="B1743" s="14" t="n">
        <x:v>22</x:v>
      </x:c>
      <x:c r="C1743" s="14" t="n">
        <x:v>76014</x:v>
      </x:c>
      <x:c r="D1743" s="2" t="str">
        <x:v>NAVY</x:v>
      </x:c>
      <x:c r="E1743" s="2" t="str">
        <x:v>240만</x:v>
      </x:c>
      <x:c r="F1743" s="2" t="str">
        <x:v>80만</x:v>
      </x:c>
      <x:c r="G1743" s="2" t="str">
        <x:v>승</x:v>
      </x:c>
      <x:c r="H1743" s="14" t="n">
        <x:v>5</x:v>
      </x:c>
      <x:c r="I1743" s="14" t="n">
        <x:v>0</x:v>
      </x:c>
      <x:c r="J1743" s="14" t="n">
        <x:v>10</x:v>
      </x:c>
      <x:c r="K1743" s="14" t="n">
        <x:v>5</x:v>
      </x:c>
      <x:c r="L1743" s="15" t="n">
        <x:f>IF(J1743=0,"해당 없음",K1743/J1743)</x:f>
        <x:v>0.5</x:v>
      </x:c>
      <x:c r="M1743" s="14" t="n">
        <x:v>9</x:v>
      </x:c>
      <x:c r="N1743" s="14" t="n">
        <x:v>8</x:v>
      </x:c>
      <x:c r="O1743" s="15" t="n">
        <x:f>IF(M1743=0,"해당 없음",N1743/M1743)</x:f>
        <x:v>0.8888888888888888</x:v>
      </x:c>
      <x:c r="P1743" s="14" t="n">
        <x:v>103</x:v>
      </x:c>
    </x:row>
    <x:row r="1744" ht="22" customHeight="1">
      <x:c r="A1744" s="14" t="n">
        <x:v>870</x:v>
      </x:c>
      <x:c r="B1744" s="14" t="n">
        <x:v>22</x:v>
      </x:c>
      <x:c r="C1744" s="14" t="n">
        <x:v>76014</x:v>
      </x:c>
      <x:c r="D1744" s="2" t="str">
        <x:v>RED</x:v>
      </x:c>
      <x:c r="E1744" s="2" t="str">
        <x:v>240만</x:v>
      </x:c>
      <x:c r="F1744" s="2" t="str">
        <x:v>80만</x:v>
      </x:c>
      <x:c r="G1744" s="2" t="str">
        <x:v>승</x:v>
      </x:c>
      <x:c r="H1744" s="14" t="n">
        <x:v>3</x:v>
      </x:c>
      <x:c r="I1744" s="14" t="n">
        <x:v>1</x:v>
      </x:c>
      <x:c r="J1744" s="14" t="n">
        <x:v>9</x:v>
      </x:c>
      <x:c r="K1744" s="14" t="n">
        <x:v>3</x:v>
      </x:c>
      <x:c r="L1744" s="15" t="n">
        <x:f>IF(J1744=0,"해당 없음",K1744/J1744)</x:f>
        <x:v>0.3333333333333333</x:v>
      </x:c>
      <x:c r="M1744" s="14" t="n">
        <x:v>13</x:v>
      </x:c>
      <x:c r="N1744" s="14" t="n">
        <x:v>9</x:v>
      </x:c>
      <x:c r="O1744" s="15" t="n">
        <x:f>IF(M1744=0,"해당 없음",N1744/M1744)</x:f>
        <x:v>0.6923076923076923</x:v>
      </x:c>
      <x:c r="P1744" s="14" t="n">
        <x:v>104</x:v>
      </x:c>
    </x:row>
    <x:row r="1745" ht="22" customHeight="1">
      <x:c r="A1745" s="14" t="n">
        <x:v>870</x:v>
      </x:c>
      <x:c r="B1745" s="14" t="n">
        <x:v>22</x:v>
      </x:c>
      <x:c r="C1745" s="14" t="n">
        <x:v>76014</x:v>
      </x:c>
      <x:c r="D1745" s="2" t="str">
        <x:v>NAVY</x:v>
      </x:c>
      <x:c r="E1745" s="2" t="str">
        <x:v>80만</x:v>
      </x:c>
      <x:c r="F1745" s="2" t="str">
        <x:v>240만</x:v>
      </x:c>
      <x:c r="G1745" s="2" t="str">
        <x:v>패</x:v>
      </x:c>
      <x:c r="H1745" s="14" t="n">
        <x:v>1</x:v>
      </x:c>
      <x:c r="I1745" s="14" t="n">
        <x:v>3</x:v>
      </x:c>
      <x:c r="J1745" s="14" t="n">
        <x:v>8</x:v>
      </x:c>
      <x:c r="K1745" s="14" t="n">
        <x:v>1</x:v>
      </x:c>
      <x:c r="L1745" s="15" t="n">
        <x:f>IF(J1745=0,"해당 없음",K1745/J1745)</x:f>
        <x:v>0.125</x:v>
      </x:c>
      <x:c r="M1745" s="14" t="n">
        <x:v>12</x:v>
      </x:c>
      <x:c r="N1745" s="14" t="n">
        <x:v>9</x:v>
      </x:c>
      <x:c r="O1745" s="15" t="n">
        <x:f>IF(M1745=0,"해당 없음",N1745/M1745)</x:f>
        <x:v>0.75</x:v>
      </x:c>
      <x:c r="P1745" s="14" t="n">
        <x:v>102</x:v>
      </x:c>
    </x:row>
    <x:row r="1746" ht="22" customHeight="1">
      <x:c r="A1746" s="14" t="n">
        <x:v>871</x:v>
      </x:c>
      <x:c r="B1746" s="14" t="n">
        <x:v>22</x:v>
      </x:c>
      <x:c r="C1746" s="14" t="n">
        <x:v>76015</x:v>
      </x:c>
      <x:c r="D1746" s="2" t="str">
        <x:v>RED</x:v>
      </x:c>
      <x:c r="E1746" s="2" t="str">
        <x:v>80만</x:v>
      </x:c>
      <x:c r="F1746" s="2" t="str">
        <x:v>240만</x:v>
      </x:c>
      <x:c r="G1746" s="2" t="str">
        <x:v>승</x:v>
      </x:c>
      <x:c r="H1746" s="14" t="n">
        <x:v>4</x:v>
      </x:c>
      <x:c r="I1746" s="14" t="n">
        <x:v>1</x:v>
      </x:c>
      <x:c r="J1746" s="14" t="n">
        <x:v>14</x:v>
      </x:c>
      <x:c r="K1746" s="14" t="n">
        <x:v>4</x:v>
      </x:c>
      <x:c r="L1746" s="15" t="n">
        <x:f>IF(J1746=0,"해당 없음",K1746/J1746)</x:f>
        <x:v>0.2857142857142857</x:v>
      </x:c>
      <x:c r="M1746" s="14" t="n">
        <x:v>6</x:v>
      </x:c>
      <x:c r="N1746" s="14" t="n">
        <x:v>3</x:v>
      </x:c>
      <x:c r="O1746" s="15" t="n">
        <x:f>IF(M1746=0,"해당 없음",N1746/M1746)</x:f>
        <x:v>0.5</x:v>
      </x:c>
      <x:c r="P1746" s="14" t="n">
        <x:v>104</x:v>
      </x:c>
    </x:row>
    <x:row r="1747" ht="22" customHeight="1">
      <x:c r="A1747" s="14" t="n">
        <x:v>871</x:v>
      </x:c>
      <x:c r="B1747" s="14" t="n">
        <x:v>22</x:v>
      </x:c>
      <x:c r="C1747" s="14" t="n">
        <x:v>76015</x:v>
      </x:c>
      <x:c r="D1747" s="2" t="str">
        <x:v>NAVY</x:v>
      </x:c>
      <x:c r="E1747" s="2" t="str">
        <x:v>240만</x:v>
      </x:c>
      <x:c r="F1747" s="2" t="str">
        <x:v>80만</x:v>
      </x:c>
      <x:c r="G1747" s="2" t="str">
        <x:v>패</x:v>
      </x:c>
      <x:c r="H1747" s="14" t="n">
        <x:v>1</x:v>
      </x:c>
      <x:c r="I1747" s="14" t="n">
        <x:v>4</x:v>
      </x:c>
      <x:c r="J1747" s="14" t="n">
        <x:v>4</x:v>
      </x:c>
      <x:c r="K1747" s="14" t="n">
        <x:v>1</x:v>
      </x:c>
      <x:c r="L1747" s="15" t="n">
        <x:f>IF(J1747=0,"해당 없음",K1747/J1747)</x:f>
        <x:v>0.25</x:v>
      </x:c>
      <x:c r="M1747" s="14" t="n">
        <x:v>10</x:v>
      </x:c>
      <x:c r="N1747" s="14" t="n">
        <x:v>7</x:v>
      </x:c>
      <x:c r="O1747" s="15" t="n">
        <x:f>IF(M1747=0,"해당 없음",N1747/M1747)</x:f>
        <x:v>0.7</x:v>
      </x:c>
      <x:c r="P1747" s="14" t="n">
        <x:v>101</x:v>
      </x:c>
    </x:row>
    <x:row r="1748" ht="22" customHeight="1">
      <x:c r="A1748" s="14" t="n">
        <x:v>872</x:v>
      </x:c>
      <x:c r="B1748" s="14" t="n">
        <x:v>22</x:v>
      </x:c>
      <x:c r="C1748" s="14" t="n">
        <x:v>76015</x:v>
      </x:c>
      <x:c r="D1748" s="2" t="str">
        <x:v>RED</x:v>
      </x:c>
      <x:c r="E1748" s="2" t="str">
        <x:v>240만</x:v>
      </x:c>
      <x:c r="F1748" s="2" t="str">
        <x:v>80만</x:v>
      </x:c>
      <x:c r="G1748" s="2" t="str">
        <x:v>승</x:v>
      </x:c>
      <x:c r="H1748" s="14" t="n">
        <x:v>3</x:v>
      </x:c>
      <x:c r="I1748" s="14" t="n">
        <x:v>2</x:v>
      </x:c>
      <x:c r="J1748" s="14" t="n">
        <x:v>9</x:v>
      </x:c>
      <x:c r="K1748" s="14" t="n">
        <x:v>3</x:v>
      </x:c>
      <x:c r="L1748" s="15" t="n">
        <x:f>IF(J1748=0,"해당 없음",K1748/J1748)</x:f>
        <x:v>0.3333333333333333</x:v>
      </x:c>
      <x:c r="M1748" s="14" t="n">
        <x:v>10</x:v>
      </x:c>
      <x:c r="N1748" s="14" t="n">
        <x:v>8</x:v>
      </x:c>
      <x:c r="O1748" s="15" t="n">
        <x:f>IF(M1748=0,"해당 없음",N1748/M1748)</x:f>
        <x:v>0.8</x:v>
      </x:c>
      <x:c r="P1748" s="14" t="n">
        <x:v>101</x:v>
      </x:c>
    </x:row>
    <x:row r="1749" ht="22" customHeight="1">
      <x:c r="A1749" s="14" t="n">
        <x:v>872</x:v>
      </x:c>
      <x:c r="B1749" s="14" t="n">
        <x:v>22</x:v>
      </x:c>
      <x:c r="C1749" s="14" t="n">
        <x:v>76015</x:v>
      </x:c>
      <x:c r="D1749" s="2" t="str">
        <x:v>NAVY</x:v>
      </x:c>
      <x:c r="E1749" s="2" t="str">
        <x:v>80만</x:v>
      </x:c>
      <x:c r="F1749" s="2" t="str">
        <x:v>240만</x:v>
      </x:c>
      <x:c r="G1749" s="2" t="str">
        <x:v>패</x:v>
      </x:c>
      <x:c r="H1749" s="14" t="n">
        <x:v>2</x:v>
      </x:c>
      <x:c r="I1749" s="14" t="n">
        <x:v>3</x:v>
      </x:c>
      <x:c r="J1749" s="14" t="n">
        <x:v>10</x:v>
      </x:c>
      <x:c r="K1749" s="14" t="n">
        <x:v>2</x:v>
      </x:c>
      <x:c r="L1749" s="15" t="n">
        <x:f>IF(J1749=0,"해당 없음",K1749/J1749)</x:f>
        <x:v>0.2</x:v>
      </x:c>
      <x:c r="M1749" s="14" t="n">
        <x:v>12</x:v>
      </x:c>
      <x:c r="N1749" s="14" t="n">
        <x:v>11</x:v>
      </x:c>
      <x:c r="O1749" s="15" t="n">
        <x:f>IF(M1749=0,"해당 없음",N1749/M1749)</x:f>
        <x:v>0.9166666666666666</x:v>
      </x:c>
      <x:c r="P1749" s="14" t="n">
        <x:v>101</x:v>
      </x:c>
    </x:row>
    <x:row r="1750" ht="22" customHeight="1">
      <x:c r="A1750" s="14" t="n">
        <x:v>873</x:v>
      </x:c>
      <x:c r="B1750" s="14" t="n">
        <x:v>22</x:v>
      </x:c>
      <x:c r="C1750" s="14" t="n">
        <x:v>76016</x:v>
      </x:c>
      <x:c r="D1750" s="2" t="str">
        <x:v>RED</x:v>
      </x:c>
      <x:c r="E1750" s="2" t="str">
        <x:v>80만</x:v>
      </x:c>
      <x:c r="F1750" s="2" t="str">
        <x:v>240만</x:v>
      </x:c>
      <x:c r="G1750" s="2" t="str">
        <x:v>패</x:v>
      </x:c>
      <x:c r="H1750" s="14" t="n">
        <x:v>2</x:v>
      </x:c>
      <x:c r="I1750" s="14" t="n">
        <x:v>3</x:v>
      </x:c>
      <x:c r="J1750" s="14" t="n">
        <x:v>15</x:v>
      </x:c>
      <x:c r="K1750" s="14" t="n">
        <x:v>2</x:v>
      </x:c>
      <x:c r="L1750" s="15" t="n">
        <x:f>IF(J1750=0,"해당 없음",K1750/J1750)</x:f>
        <x:v>0.13333333333333333</x:v>
      </x:c>
      <x:c r="M1750" s="14" t="n">
        <x:v>7</x:v>
      </x:c>
      <x:c r="N1750" s="14" t="n">
        <x:v>5</x:v>
      </x:c>
      <x:c r="O1750" s="15" t="n">
        <x:f>IF(M1750=0,"해당 없음",N1750/M1750)</x:f>
        <x:v>0.7142857142857143</x:v>
      </x:c>
      <x:c r="P1750" s="14" t="n">
        <x:v>104</x:v>
      </x:c>
    </x:row>
    <x:row r="1751" ht="22" customHeight="1">
      <x:c r="A1751" s="14" t="n">
        <x:v>873</x:v>
      </x:c>
      <x:c r="B1751" s="14" t="n">
        <x:v>22</x:v>
      </x:c>
      <x:c r="C1751" s="14" t="n">
        <x:v>76016</x:v>
      </x:c>
      <x:c r="D1751" s="2" t="str">
        <x:v>NAVY</x:v>
      </x:c>
      <x:c r="E1751" s="2" t="str">
        <x:v>240만</x:v>
      </x:c>
      <x:c r="F1751" s="2" t="str">
        <x:v>80만</x:v>
      </x:c>
      <x:c r="G1751" s="2" t="str">
        <x:v>승</x:v>
      </x:c>
      <x:c r="H1751" s="14" t="n">
        <x:v>3</x:v>
      </x:c>
      <x:c r="I1751" s="14" t="n">
        <x:v>2</x:v>
      </x:c>
      <x:c r="J1751" s="14" t="n">
        <x:v>5</x:v>
      </x:c>
      <x:c r="K1751" s="14" t="n">
        <x:v>3</x:v>
      </x:c>
      <x:c r="L1751" s="15" t="n">
        <x:f>IF(J1751=0,"해당 없음",K1751/J1751)</x:f>
        <x:v>0.6</x:v>
      </x:c>
      <x:c r="M1751" s="14" t="n">
        <x:v>8</x:v>
      </x:c>
      <x:c r="N1751" s="14" t="n">
        <x:v>6</x:v>
      </x:c>
      <x:c r="O1751" s="15" t="n">
        <x:f>IF(M1751=0,"해당 없음",N1751/M1751)</x:f>
        <x:v>0.75</x:v>
      </x:c>
      <x:c r="P1751" s="14" t="n">
        <x:v>103</x:v>
      </x:c>
    </x:row>
    <x:row r="1752" ht="22" customHeight="1">
      <x:c r="A1752" s="14" t="n">
        <x:v>874</x:v>
      </x:c>
      <x:c r="B1752" s="14" t="n">
        <x:v>22</x:v>
      </x:c>
      <x:c r="C1752" s="14" t="n">
        <x:v>76016</x:v>
      </x:c>
      <x:c r="D1752" s="2" t="str">
        <x:v>RED</x:v>
      </x:c>
      <x:c r="E1752" s="2" t="str">
        <x:v>240만</x:v>
      </x:c>
      <x:c r="F1752" s="2" t="str">
        <x:v>80만</x:v>
      </x:c>
      <x:c r="G1752" s="2" t="str">
        <x:v>패</x:v>
      </x:c>
      <x:c r="H1752" s="14" t="n">
        <x:v>2</x:v>
      </x:c>
      <x:c r="I1752" s="14" t="n">
        <x:v>3</x:v>
      </x:c>
      <x:c r="J1752" s="14" t="n">
        <x:v>9</x:v>
      </x:c>
      <x:c r="K1752" s="14" t="n">
        <x:v>2</x:v>
      </x:c>
      <x:c r="L1752" s="15" t="n">
        <x:f>IF(J1752=0,"해당 없음",K1752/J1752)</x:f>
        <x:v>0.2222222222222222</x:v>
      </x:c>
      <x:c r="M1752" s="14" t="n">
        <x:v>10</x:v>
      </x:c>
      <x:c r="N1752" s="14" t="n">
        <x:v>8</x:v>
      </x:c>
      <x:c r="O1752" s="15" t="n">
        <x:f>IF(M1752=0,"해당 없음",N1752/M1752)</x:f>
        <x:v>0.8</x:v>
      </x:c>
      <x:c r="P1752" s="14" t="n">
        <x:v>103</x:v>
      </x:c>
    </x:row>
    <x:row r="1753" ht="22" customHeight="1">
      <x:c r="A1753" s="14" t="n">
        <x:v>874</x:v>
      </x:c>
      <x:c r="B1753" s="14" t="n">
        <x:v>22</x:v>
      </x:c>
      <x:c r="C1753" s="14" t="n">
        <x:v>76016</x:v>
      </x:c>
      <x:c r="D1753" s="2" t="str">
        <x:v>NAVY</x:v>
      </x:c>
      <x:c r="E1753" s="2" t="str">
        <x:v>80만</x:v>
      </x:c>
      <x:c r="F1753" s="2" t="str">
        <x:v>240만</x:v>
      </x:c>
      <x:c r="G1753" s="2" t="str">
        <x:v>승</x:v>
      </x:c>
      <x:c r="H1753" s="14" t="n">
        <x:v>3</x:v>
      </x:c>
      <x:c r="I1753" s="14" t="n">
        <x:v>2</x:v>
      </x:c>
      <x:c r="J1753" s="14" t="n">
        <x:v>10</x:v>
      </x:c>
      <x:c r="K1753" s="14" t="n">
        <x:v>3</x:v>
      </x:c>
      <x:c r="L1753" s="15" t="n">
        <x:f>IF(J1753=0,"해당 없음",K1753/J1753)</x:f>
        <x:v>0.3</x:v>
      </x:c>
      <x:c r="M1753" s="14" t="n">
        <x:v>15</x:v>
      </x:c>
      <x:c r="N1753" s="14" t="n">
        <x:v>12</x:v>
      </x:c>
      <x:c r="O1753" s="15" t="n">
        <x:f>IF(M1753=0,"해당 없음",N1753/M1753)</x:f>
        <x:v>0.8</x:v>
      </x:c>
      <x:c r="P1753" s="14" t="n">
        <x:v>104</x:v>
      </x:c>
    </x:row>
    <x:row r="1754" ht="22" customHeight="1">
      <x:c r="A1754" s="14" t="n">
        <x:v>875</x:v>
      </x:c>
      <x:c r="B1754" s="14" t="n">
        <x:v>22</x:v>
      </x:c>
      <x:c r="C1754" s="14" t="n">
        <x:v>76017</x:v>
      </x:c>
      <x:c r="D1754" s="2" t="str">
        <x:v>RED</x:v>
      </x:c>
      <x:c r="E1754" s="2" t="str">
        <x:v>80만</x:v>
      </x:c>
      <x:c r="F1754" s="2" t="str">
        <x:v>240만</x:v>
      </x:c>
      <x:c r="G1754" s="2" t="str">
        <x:v>승</x:v>
      </x:c>
      <x:c r="H1754" s="14" t="n">
        <x:v>5</x:v>
      </x:c>
      <x:c r="I1754" s="14" t="n">
        <x:v>3</x:v>
      </x:c>
      <x:c r="J1754" s="14" t="n">
        <x:v>10</x:v>
      </x:c>
      <x:c r="K1754" s="14" t="n">
        <x:v>5</x:v>
      </x:c>
      <x:c r="L1754" s="15" t="n">
        <x:f>IF(J1754=0,"해당 없음",K1754/J1754)</x:f>
        <x:v>0.5</x:v>
      </x:c>
      <x:c r="M1754" s="14" t="n">
        <x:v>9</x:v>
      </x:c>
      <x:c r="N1754" s="14" t="n">
        <x:v>4</x:v>
      </x:c>
      <x:c r="O1754" s="15" t="n">
        <x:f>IF(M1754=0,"해당 없음",N1754/M1754)</x:f>
        <x:v>0.4444444444444444</x:v>
      </x:c>
      <x:c r="P1754" s="14" t="n">
        <x:v>104</x:v>
      </x:c>
    </x:row>
    <x:row r="1755" ht="22" customHeight="1">
      <x:c r="A1755" s="14" t="n">
        <x:v>875</x:v>
      </x:c>
      <x:c r="B1755" s="14" t="n">
        <x:v>22</x:v>
      </x:c>
      <x:c r="C1755" s="14" t="n">
        <x:v>76017</x:v>
      </x:c>
      <x:c r="D1755" s="2" t="str">
        <x:v>NAVY</x:v>
      </x:c>
      <x:c r="E1755" s="2" t="str">
        <x:v>240만</x:v>
      </x:c>
      <x:c r="F1755" s="2" t="str">
        <x:v>80만</x:v>
      </x:c>
      <x:c r="G1755" s="2" t="str">
        <x:v>패</x:v>
      </x:c>
      <x:c r="H1755" s="14" t="n">
        <x:v>3</x:v>
      </x:c>
      <x:c r="I1755" s="14" t="n">
        <x:v>5</x:v>
      </x:c>
      <x:c r="J1755" s="14" t="n">
        <x:v>7</x:v>
      </x:c>
      <x:c r="K1755" s="14" t="n">
        <x:v>3</x:v>
      </x:c>
      <x:c r="L1755" s="15" t="n">
        <x:f>IF(J1755=0,"해당 없음",K1755/J1755)</x:f>
        <x:v>0.42857142857142855</x:v>
      </x:c>
      <x:c r="M1755" s="14" t="n">
        <x:v>7</x:v>
      </x:c>
      <x:c r="N1755" s="14" t="n">
        <x:v>7</x:v>
      </x:c>
      <x:c r="O1755" s="15" t="n">
        <x:f>IF(M1755=0,"해당 없음",N1755/M1755)</x:f>
        <x:v>1</x:v>
      </x:c>
      <x:c r="P1755" s="14" t="n">
        <x:v>106</x:v>
      </x:c>
    </x:row>
    <x:row r="1756" ht="22" customHeight="1">
      <x:c r="A1756" s="14" t="n">
        <x:v>876</x:v>
      </x:c>
      <x:c r="B1756" s="14" t="n">
        <x:v>22</x:v>
      </x:c>
      <x:c r="C1756" s="14" t="n">
        <x:v>76017</x:v>
      </x:c>
      <x:c r="D1756" s="2" t="str">
        <x:v>RED</x:v>
      </x:c>
      <x:c r="E1756" s="2" t="str">
        <x:v>240만</x:v>
      </x:c>
      <x:c r="F1756" s="2" t="str">
        <x:v>80만</x:v>
      </x:c>
      <x:c r="G1756" s="2" t="str">
        <x:v>패</x:v>
      </x:c>
      <x:c r="H1756" s="14" t="n">
        <x:v>2</x:v>
      </x:c>
      <x:c r="I1756" s="14" t="n">
        <x:v>4</x:v>
      </x:c>
      <x:c r="J1756" s="14" t="n">
        <x:v>9</x:v>
      </x:c>
      <x:c r="K1756" s="14" t="n">
        <x:v>2</x:v>
      </x:c>
      <x:c r="L1756" s="15" t="n">
        <x:f>IF(J1756=0,"해당 없음",K1756/J1756)</x:f>
        <x:v>0.2222222222222222</x:v>
      </x:c>
      <x:c r="M1756" s="14" t="n">
        <x:v>10</x:v>
      </x:c>
      <x:c r="N1756" s="14" t="n">
        <x:v>8</x:v>
      </x:c>
      <x:c r="O1756" s="15" t="n">
        <x:f>IF(M1756=0,"해당 없음",N1756/M1756)</x:f>
        <x:v>0.8</x:v>
      </x:c>
      <x:c r="P1756" s="14" t="n">
        <x:v>103</x:v>
      </x:c>
    </x:row>
    <x:row r="1757" ht="22" customHeight="1">
      <x:c r="A1757" s="14" t="n">
        <x:v>876</x:v>
      </x:c>
      <x:c r="B1757" s="14" t="n">
        <x:v>22</x:v>
      </x:c>
      <x:c r="C1757" s="14" t="n">
        <x:v>76017</x:v>
      </x:c>
      <x:c r="D1757" s="2" t="str">
        <x:v>NAVY</x:v>
      </x:c>
      <x:c r="E1757" s="2" t="str">
        <x:v>80만</x:v>
      </x:c>
      <x:c r="F1757" s="2" t="str">
        <x:v>240만</x:v>
      </x:c>
      <x:c r="G1757" s="2" t="str">
        <x:v>승</x:v>
      </x:c>
      <x:c r="H1757" s="14" t="n">
        <x:v>4</x:v>
      </x:c>
      <x:c r="I1757" s="14" t="n">
        <x:v>2</x:v>
      </x:c>
      <x:c r="J1757" s="14" t="n">
        <x:v>12</x:v>
      </x:c>
      <x:c r="K1757" s="14" t="n">
        <x:v>4</x:v>
      </x:c>
      <x:c r="L1757" s="15" t="n">
        <x:f>IF(J1757=0,"해당 없음",K1757/J1757)</x:f>
        <x:v>0.3333333333333333</x:v>
      </x:c>
      <x:c r="M1757" s="14" t="n">
        <x:v>9</x:v>
      </x:c>
      <x:c r="N1757" s="14" t="n">
        <x:v>7</x:v>
      </x:c>
      <x:c r="O1757" s="15" t="n">
        <x:f>IF(M1757=0,"해당 없음",N1757/M1757)</x:f>
        <x:v>0.7777777777777778</x:v>
      </x:c>
      <x:c r="P1757" s="14" t="n">
        <x:v>102</x:v>
      </x:c>
    </x:row>
    <x:row r="1758" ht="22" customHeight="1">
      <x:c r="A1758" s="14" t="n">
        <x:v>877</x:v>
      </x:c>
      <x:c r="B1758" s="14" t="n">
        <x:v>22</x:v>
      </x:c>
      <x:c r="C1758" s="14" t="n">
        <x:v>76018</x:v>
      </x:c>
      <x:c r="D1758" s="2" t="str">
        <x:v>RED</x:v>
      </x:c>
      <x:c r="E1758" s="2" t="str">
        <x:v>80만</x:v>
      </x:c>
      <x:c r="F1758" s="2" t="str">
        <x:v>240만</x:v>
      </x:c>
      <x:c r="G1758" s="2" t="str">
        <x:v>승</x:v>
      </x:c>
      <x:c r="H1758" s="14" t="n">
        <x:v>2</x:v>
      </x:c>
      <x:c r="I1758" s="14" t="n">
        <x:v>0</x:v>
      </x:c>
      <x:c r="J1758" s="14" t="n">
        <x:v>8</x:v>
      </x:c>
      <x:c r="K1758" s="14" t="n">
        <x:v>2</x:v>
      </x:c>
      <x:c r="L1758" s="15" t="n">
        <x:f>IF(J1758=0,"해당 없음",K1758/J1758)</x:f>
        <x:v>0.25</x:v>
      </x:c>
      <x:c r="M1758" s="14" t="n">
        <x:v>14</x:v>
      </x:c>
      <x:c r="N1758" s="14" t="n">
        <x:v>13</x:v>
      </x:c>
      <x:c r="O1758" s="15" t="n">
        <x:f>IF(M1758=0,"해당 없음",N1758/M1758)</x:f>
        <x:v>0.9285714285714286</x:v>
      </x:c>
      <x:c r="P1758" s="14" t="n">
        <x:v>101</x:v>
      </x:c>
    </x:row>
    <x:row r="1759" ht="22" customHeight="1">
      <x:c r="A1759" s="14" t="n">
        <x:v>877</x:v>
      </x:c>
      <x:c r="B1759" s="14" t="n">
        <x:v>22</x:v>
      </x:c>
      <x:c r="C1759" s="14" t="n">
        <x:v>76018</x:v>
      </x:c>
      <x:c r="D1759" s="2" t="str">
        <x:v>NAVY</x:v>
      </x:c>
      <x:c r="E1759" s="2" t="str">
        <x:v>240만</x:v>
      </x:c>
      <x:c r="F1759" s="2" t="str">
        <x:v>80만</x:v>
      </x:c>
      <x:c r="G1759" s="2" t="str">
        <x:v>패</x:v>
      </x:c>
      <x:c r="H1759" s="14" t="n">
        <x:v>0</x:v>
      </x:c>
      <x:c r="I1759" s="14" t="n">
        <x:v>2</x:v>
      </x:c>
      <x:c r="J1759" s="14" t="n">
        <x:v>8</x:v>
      </x:c>
      <x:c r="K1759" s="14" t="n">
        <x:v>0</x:v>
      </x:c>
      <x:c r="L1759" s="15" t="n">
        <x:f>IF(J1759=0,"해당 없음",K1759/J1759)</x:f>
        <x:v>0</x:v>
      </x:c>
      <x:c r="M1759" s="14" t="n">
        <x:v>12</x:v>
      </x:c>
      <x:c r="N1759" s="14" t="n">
        <x:v>9</x:v>
      </x:c>
      <x:c r="O1759" s="15" t="n">
        <x:f>IF(M1759=0,"해당 없음",N1759/M1759)</x:f>
        <x:v>0.75</x:v>
      </x:c>
      <x:c r="P1759" s="14" t="n">
        <x:v>101</x:v>
      </x:c>
    </x:row>
    <x:row r="1760" ht="22" customHeight="1">
      <x:c r="A1760" s="14" t="n">
        <x:v>878</x:v>
      </x:c>
      <x:c r="B1760" s="14" t="n">
        <x:v>22</x:v>
      </x:c>
      <x:c r="C1760" s="14" t="n">
        <x:v>76018</x:v>
      </x:c>
      <x:c r="D1760" s="2" t="str">
        <x:v>RED</x:v>
      </x:c>
      <x:c r="E1760" s="2" t="str">
        <x:v>240만</x:v>
      </x:c>
      <x:c r="F1760" s="2" t="str">
        <x:v>80만</x:v>
      </x:c>
      <x:c r="G1760" s="2" t="str">
        <x:v>승</x:v>
      </x:c>
      <x:c r="H1760" s="14" t="n">
        <x:v>2</x:v>
      </x:c>
      <x:c r="I1760" s="14" t="n">
        <x:v>0</x:v>
      </x:c>
      <x:c r="J1760" s="14" t="n">
        <x:v>13</x:v>
      </x:c>
      <x:c r="K1760" s="14" t="n">
        <x:v>2</x:v>
      </x:c>
      <x:c r="L1760" s="15" t="n">
        <x:f>IF(J1760=0,"해당 없음",K1760/J1760)</x:f>
        <x:v>0.15384615384615385</x:v>
      </x:c>
      <x:c r="M1760" s="14" t="n">
        <x:v>6</x:v>
      </x:c>
      <x:c r="N1760" s="14" t="n">
        <x:v>6</x:v>
      </x:c>
      <x:c r="O1760" s="15" t="n">
        <x:f>IF(M1760=0,"해당 없음",N1760/M1760)</x:f>
        <x:v>1</x:v>
      </x:c>
      <x:c r="P1760" s="14" t="n">
        <x:v>102</x:v>
      </x:c>
    </x:row>
    <x:row r="1761" ht="22" customHeight="1">
      <x:c r="A1761" s="14" t="n">
        <x:v>878</x:v>
      </x:c>
      <x:c r="B1761" s="14" t="n">
        <x:v>22</x:v>
      </x:c>
      <x:c r="C1761" s="14" t="n">
        <x:v>76018</x:v>
      </x:c>
      <x:c r="D1761" s="2" t="str">
        <x:v>NAVY</x:v>
      </x:c>
      <x:c r="E1761" s="2" t="str">
        <x:v>80만</x:v>
      </x:c>
      <x:c r="F1761" s="2" t="str">
        <x:v>240만</x:v>
      </x:c>
      <x:c r="G1761" s="2" t="str">
        <x:v>패</x:v>
      </x:c>
      <x:c r="H1761" s="14" t="n">
        <x:v>0</x:v>
      </x:c>
      <x:c r="I1761" s="14" t="n">
        <x:v>2</x:v>
      </x:c>
      <x:c r="J1761" s="14" t="n">
        <x:v>6</x:v>
      </x:c>
      <x:c r="K1761" s="14" t="n">
        <x:v>0</x:v>
      </x:c>
      <x:c r="L1761" s="15" t="n">
        <x:f>IF(J1761=0,"해당 없음",K1761/J1761)</x:f>
        <x:v>0</x:v>
      </x:c>
      <x:c r="M1761" s="14" t="n">
        <x:v>10</x:v>
      </x:c>
      <x:c r="N1761" s="14" t="n">
        <x:v>10</x:v>
      </x:c>
      <x:c r="O1761" s="15" t="n">
        <x:f>IF(M1761=0,"해당 없음",N1761/M1761)</x:f>
        <x:v>1</x:v>
      </x:c>
      <x:c r="P1761" s="14" t="n">
        <x:v>101</x:v>
      </x:c>
    </x:row>
    <x:row r="1762" ht="22" customHeight="1">
      <x:c r="A1762" s="14" t="n">
        <x:v>879</x:v>
      </x:c>
      <x:c r="B1762" s="14" t="n">
        <x:v>22</x:v>
      </x:c>
      <x:c r="C1762" s="14" t="n">
        <x:v>76019</x:v>
      </x:c>
      <x:c r="D1762" s="2" t="str">
        <x:v>RED</x:v>
      </x:c>
      <x:c r="E1762" s="2" t="str">
        <x:v>80만</x:v>
      </x:c>
      <x:c r="F1762" s="2" t="str">
        <x:v>240만</x:v>
      </x:c>
      <x:c r="G1762" s="2" t="str">
        <x:v>승</x:v>
      </x:c>
      <x:c r="H1762" s="14" t="n">
        <x:v>3</x:v>
      </x:c>
      <x:c r="I1762" s="14" t="n">
        <x:v>2</x:v>
      </x:c>
      <x:c r="J1762" s="14" t="n">
        <x:v>15</x:v>
      </x:c>
      <x:c r="K1762" s="14" t="n">
        <x:v>3</x:v>
      </x:c>
      <x:c r="L1762" s="15" t="n">
        <x:f>IF(J1762=0,"해당 없음",K1762/J1762)</x:f>
        <x:v>0.2</x:v>
      </x:c>
      <x:c r="M1762" s="14" t="n">
        <x:v>11</x:v>
      </x:c>
      <x:c r="N1762" s="14" t="n">
        <x:v>9</x:v>
      </x:c>
      <x:c r="O1762" s="15" t="n">
        <x:f>IF(M1762=0,"해당 없음",N1762/M1762)</x:f>
        <x:v>0.8181818181818182</x:v>
      </x:c>
      <x:c r="P1762" s="14" t="n">
        <x:v>104</x:v>
      </x:c>
    </x:row>
    <x:row r="1763" ht="22" customHeight="1">
      <x:c r="A1763" s="14" t="n">
        <x:v>879</x:v>
      </x:c>
      <x:c r="B1763" s="14" t="n">
        <x:v>22</x:v>
      </x:c>
      <x:c r="C1763" s="14" t="n">
        <x:v>76019</x:v>
      </x:c>
      <x:c r="D1763" s="2" t="str">
        <x:v>NAVY</x:v>
      </x:c>
      <x:c r="E1763" s="2" t="str">
        <x:v>240만</x:v>
      </x:c>
      <x:c r="F1763" s="2" t="str">
        <x:v>80만</x:v>
      </x:c>
      <x:c r="G1763" s="2" t="str">
        <x:v>패</x:v>
      </x:c>
      <x:c r="H1763" s="14" t="n">
        <x:v>2</x:v>
      </x:c>
      <x:c r="I1763" s="14" t="n">
        <x:v>3</x:v>
      </x:c>
      <x:c r="J1763" s="14" t="n">
        <x:v>7</x:v>
      </x:c>
      <x:c r="K1763" s="14" t="n">
        <x:v>2</x:v>
      </x:c>
      <x:c r="L1763" s="15" t="n">
        <x:f>IF(J1763=0,"해당 없음",K1763/J1763)</x:f>
        <x:v>0.2857142857142857</x:v>
      </x:c>
      <x:c r="M1763" s="14" t="n">
        <x:v>8</x:v>
      </x:c>
      <x:c r="N1763" s="14" t="n">
        <x:v>5</x:v>
      </x:c>
      <x:c r="O1763" s="15" t="n">
        <x:f>IF(M1763=0,"해당 없음",N1763/M1763)</x:f>
        <x:v>0.625</x:v>
      </x:c>
      <x:c r="P1763" s="14" t="n">
        <x:v>103</x:v>
      </x:c>
    </x:row>
    <x:row r="1764" ht="22" customHeight="1">
      <x:c r="A1764" s="14" t="n">
        <x:v>880</x:v>
      </x:c>
      <x:c r="B1764" s="14" t="n">
        <x:v>22</x:v>
      </x:c>
      <x:c r="C1764" s="14" t="n">
        <x:v>76019</x:v>
      </x:c>
      <x:c r="D1764" s="2" t="str">
        <x:v>RED</x:v>
      </x:c>
      <x:c r="E1764" s="2" t="str">
        <x:v>240만</x:v>
      </x:c>
      <x:c r="F1764" s="2" t="str">
        <x:v>80만</x:v>
      </x:c>
      <x:c r="G1764" s="2" t="str">
        <x:v>승</x:v>
      </x:c>
      <x:c r="H1764" s="14" t="n">
        <x:v>5</x:v>
      </x:c>
      <x:c r="I1764" s="14" t="n">
        <x:v>3</x:v>
      </x:c>
      <x:c r="J1764" s="14" t="n">
        <x:v>8</x:v>
      </x:c>
      <x:c r="K1764" s="14" t="n">
        <x:v>5</x:v>
      </x:c>
      <x:c r="L1764" s="15" t="n">
        <x:f>IF(J1764=0,"해당 없음",K1764/J1764)</x:f>
        <x:v>0.625</x:v>
      </x:c>
      <x:c r="M1764" s="14" t="n">
        <x:v>10</x:v>
      </x:c>
      <x:c r="N1764" s="14" t="n">
        <x:v>9</x:v>
      </x:c>
      <x:c r="O1764" s="15" t="n">
        <x:f>IF(M1764=0,"해당 없음",N1764/M1764)</x:f>
        <x:v>0.9</x:v>
      </x:c>
      <x:c r="P1764" s="14" t="n">
        <x:v>101</x:v>
      </x:c>
    </x:row>
    <x:row r="1765" ht="22" customHeight="1">
      <x:c r="A1765" s="14" t="n">
        <x:v>880</x:v>
      </x:c>
      <x:c r="B1765" s="14" t="n">
        <x:v>22</x:v>
      </x:c>
      <x:c r="C1765" s="14" t="n">
        <x:v>76019</x:v>
      </x:c>
      <x:c r="D1765" s="2" t="str">
        <x:v>NAVY</x:v>
      </x:c>
      <x:c r="E1765" s="2" t="str">
        <x:v>80만</x:v>
      </x:c>
      <x:c r="F1765" s="2" t="str">
        <x:v>240만</x:v>
      </x:c>
      <x:c r="G1765" s="2" t="str">
        <x:v>패</x:v>
      </x:c>
      <x:c r="H1765" s="14" t="n">
        <x:v>3</x:v>
      </x:c>
      <x:c r="I1765" s="14" t="n">
        <x:v>5</x:v>
      </x:c>
      <x:c r="J1765" s="14" t="n">
        <x:v>8</x:v>
      </x:c>
      <x:c r="K1765" s="14" t="n">
        <x:v>3</x:v>
      </x:c>
      <x:c r="L1765" s="15" t="n">
        <x:f>IF(J1765=0,"해당 없음",K1765/J1765)</x:f>
        <x:v>0.375</x:v>
      </x:c>
      <x:c r="M1765" s="14" t="n">
        <x:v>6</x:v>
      </x:c>
      <x:c r="N1765" s="14" t="n">
        <x:v>5</x:v>
      </x:c>
      <x:c r="O1765" s="15" t="n">
        <x:f>IF(M1765=0,"해당 없음",N1765/M1765)</x:f>
        <x:v>0.8333333333333334</x:v>
      </x:c>
      <x:c r="P1765" s="14" t="n">
        <x:v>103</x:v>
      </x:c>
    </x:row>
    <x:row r="1766" ht="22" customHeight="1">
      <x:c r="A1766" s="14" t="n">
        <x:v>881</x:v>
      </x:c>
      <x:c r="B1766" s="14" t="n">
        <x:v>23</x:v>
      </x:c>
      <x:c r="C1766" s="14" t="n">
        <x:v>76000</x:v>
      </x:c>
      <x:c r="D1766" s="2" t="str">
        <x:v>RED</x:v>
      </x:c>
      <x:c r="E1766" s="2" t="str">
        <x:v>120만</x:v>
      </x:c>
      <x:c r="F1766" s="2" t="str">
        <x:v>160만</x:v>
      </x:c>
      <x:c r="G1766" s="2" t="str">
        <x:v>무</x:v>
      </x:c>
      <x:c r="H1766" s="14" t="n">
        <x:v>2</x:v>
      </x:c>
      <x:c r="I1766" s="14" t="n">
        <x:v>2</x:v>
      </x:c>
      <x:c r="J1766" s="14" t="n">
        <x:v>8</x:v>
      </x:c>
      <x:c r="K1766" s="14" t="n">
        <x:v>2</x:v>
      </x:c>
      <x:c r="L1766" s="15" t="n">
        <x:f>IF(J1766=0,"해당 없음",K1766/J1766)</x:f>
        <x:v>0.25</x:v>
      </x:c>
      <x:c r="M1766" s="14" t="n">
        <x:v>8</x:v>
      </x:c>
      <x:c r="N1766" s="14" t="n">
        <x:v>7</x:v>
      </x:c>
      <x:c r="O1766" s="15" t="n">
        <x:f>IF(M1766=0,"해당 없음",N1766/M1766)</x:f>
        <x:v>0.875</x:v>
      </x:c>
      <x:c r="P1766" s="14" t="n">
        <x:v>102</x:v>
      </x:c>
    </x:row>
    <x:row r="1767" ht="22" customHeight="1">
      <x:c r="A1767" s="14" t="n">
        <x:v>881</x:v>
      </x:c>
      <x:c r="B1767" s="14" t="n">
        <x:v>23</x:v>
      </x:c>
      <x:c r="C1767" s="14" t="n">
        <x:v>76000</x:v>
      </x:c>
      <x:c r="D1767" s="2" t="str">
        <x:v>NAVY</x:v>
      </x:c>
      <x:c r="E1767" s="2" t="str">
        <x:v>160만</x:v>
      </x:c>
      <x:c r="F1767" s="2" t="str">
        <x:v>120만</x:v>
      </x:c>
      <x:c r="G1767" s="2" t="str">
        <x:v>무</x:v>
      </x:c>
      <x:c r="H1767" s="14" t="n">
        <x:v>2</x:v>
      </x:c>
      <x:c r="I1767" s="14" t="n">
        <x:v>2</x:v>
      </x:c>
      <x:c r="J1767" s="14" t="n">
        <x:v>8</x:v>
      </x:c>
      <x:c r="K1767" s="14" t="n">
        <x:v>2</x:v>
      </x:c>
      <x:c r="L1767" s="15" t="n">
        <x:f>IF(J1767=0,"해당 없음",K1767/J1767)</x:f>
        <x:v>0.25</x:v>
      </x:c>
      <x:c r="M1767" s="14" t="n">
        <x:v>13</x:v>
      </x:c>
      <x:c r="N1767" s="14" t="n">
        <x:v>10</x:v>
      </x:c>
      <x:c r="O1767" s="15" t="n">
        <x:f>IF(M1767=0,"해당 없음",N1767/M1767)</x:f>
        <x:v>0.7692307692307693</x:v>
      </x:c>
      <x:c r="P1767" s="14" t="n">
        <x:v>102</x:v>
      </x:c>
    </x:row>
    <x:row r="1768" ht="22" customHeight="1">
      <x:c r="A1768" s="14" t="n">
        <x:v>882</x:v>
      </x:c>
      <x:c r="B1768" s="14" t="n">
        <x:v>23</x:v>
      </x:c>
      <x:c r="C1768" s="14" t="n">
        <x:v>76000</x:v>
      </x:c>
      <x:c r="D1768" s="2" t="str">
        <x:v>RED</x:v>
      </x:c>
      <x:c r="E1768" s="2" t="str">
        <x:v>160만</x:v>
      </x:c>
      <x:c r="F1768" s="2" t="str">
        <x:v>120만</x:v>
      </x:c>
      <x:c r="G1768" s="2" t="str">
        <x:v>무</x:v>
      </x:c>
      <x:c r="H1768" s="14" t="n">
        <x:v>1</x:v>
      </x:c>
      <x:c r="I1768" s="14" t="n">
        <x:v>1</x:v>
      </x:c>
      <x:c r="J1768" s="14" t="n">
        <x:v>10</x:v>
      </x:c>
      <x:c r="K1768" s="14" t="n">
        <x:v>1</x:v>
      </x:c>
      <x:c r="L1768" s="15" t="n">
        <x:f>IF(J1768=0,"해당 없음",K1768/J1768)</x:f>
        <x:v>0.1</x:v>
      </x:c>
      <x:c r="M1768" s="14" t="n">
        <x:v>9</x:v>
      </x:c>
      <x:c r="N1768" s="14" t="n">
        <x:v>6</x:v>
      </x:c>
      <x:c r="O1768" s="15" t="n">
        <x:f>IF(M1768=0,"해당 없음",N1768/M1768)</x:f>
        <x:v>0.6666666666666666</x:v>
      </x:c>
      <x:c r="P1768" s="14" t="n">
        <x:v>101</x:v>
      </x:c>
    </x:row>
    <x:row r="1769" ht="22" customHeight="1">
      <x:c r="A1769" s="14" t="n">
        <x:v>882</x:v>
      </x:c>
      <x:c r="B1769" s="14" t="n">
        <x:v>23</x:v>
      </x:c>
      <x:c r="C1769" s="14" t="n">
        <x:v>76000</x:v>
      </x:c>
      <x:c r="D1769" s="2" t="str">
        <x:v>NAVY</x:v>
      </x:c>
      <x:c r="E1769" s="2" t="str">
        <x:v>120만</x:v>
      </x:c>
      <x:c r="F1769" s="2" t="str">
        <x:v>160만</x:v>
      </x:c>
      <x:c r="G1769" s="2" t="str">
        <x:v>무</x:v>
      </x:c>
      <x:c r="H1769" s="14" t="n">
        <x:v>1</x:v>
      </x:c>
      <x:c r="I1769" s="14" t="n">
        <x:v>1</x:v>
      </x:c>
      <x:c r="J1769" s="14" t="n">
        <x:v>7</x:v>
      </x:c>
      <x:c r="K1769" s="14" t="n">
        <x:v>1</x:v>
      </x:c>
      <x:c r="L1769" s="15" t="n">
        <x:f>IF(J1769=0,"해당 없음",K1769/J1769)</x:f>
        <x:v>0.14285714285714285</x:v>
      </x:c>
      <x:c r="M1769" s="14" t="n">
        <x:v>12</x:v>
      </x:c>
      <x:c r="N1769" s="14" t="n">
        <x:v>10</x:v>
      </x:c>
      <x:c r="O1769" s="15" t="n">
        <x:f>IF(M1769=0,"해당 없음",N1769/M1769)</x:f>
        <x:v>0.8333333333333334</x:v>
      </x:c>
      <x:c r="P1769" s="14" t="n">
        <x:v>103</x:v>
      </x:c>
    </x:row>
    <x:row r="1770" ht="22" customHeight="1">
      <x:c r="A1770" s="14" t="n">
        <x:v>883</x:v>
      </x:c>
      <x:c r="B1770" s="14" t="n">
        <x:v>23</x:v>
      </x:c>
      <x:c r="C1770" s="14" t="n">
        <x:v>76001</x:v>
      </x:c>
      <x:c r="D1770" s="2" t="str">
        <x:v>RED</x:v>
      </x:c>
      <x:c r="E1770" s="2" t="str">
        <x:v>120만</x:v>
      </x:c>
      <x:c r="F1770" s="2" t="str">
        <x:v>160만</x:v>
      </x:c>
      <x:c r="G1770" s="2" t="str">
        <x:v>승</x:v>
      </x:c>
      <x:c r="H1770" s="14" t="n">
        <x:v>4</x:v>
      </x:c>
      <x:c r="I1770" s="14" t="n">
        <x:v>2</x:v>
      </x:c>
      <x:c r="J1770" s="14" t="n">
        <x:v>11</x:v>
      </x:c>
      <x:c r="K1770" s="14" t="n">
        <x:v>4</x:v>
      </x:c>
      <x:c r="L1770" s="15" t="n">
        <x:f>IF(J1770=0,"해당 없음",K1770/J1770)</x:f>
        <x:v>0.36363636363636365</x:v>
      </x:c>
      <x:c r="M1770" s="14" t="n">
        <x:v>11</x:v>
      </x:c>
      <x:c r="N1770" s="14" t="n">
        <x:v>8</x:v>
      </x:c>
      <x:c r="O1770" s="15" t="n">
        <x:f>IF(M1770=0,"해당 없음",N1770/M1770)</x:f>
        <x:v>0.7272727272727273</x:v>
      </x:c>
      <x:c r="P1770" s="14" t="n">
        <x:v>102</x:v>
      </x:c>
    </x:row>
    <x:row r="1771" ht="22" customHeight="1">
      <x:c r="A1771" s="14" t="n">
        <x:v>883</x:v>
      </x:c>
      <x:c r="B1771" s="14" t="n">
        <x:v>23</x:v>
      </x:c>
      <x:c r="C1771" s="14" t="n">
        <x:v>76001</x:v>
      </x:c>
      <x:c r="D1771" s="2" t="str">
        <x:v>NAVY</x:v>
      </x:c>
      <x:c r="E1771" s="2" t="str">
        <x:v>160만</x:v>
      </x:c>
      <x:c r="F1771" s="2" t="str">
        <x:v>120만</x:v>
      </x:c>
      <x:c r="G1771" s="2" t="str">
        <x:v>패</x:v>
      </x:c>
      <x:c r="H1771" s="14" t="n">
        <x:v>2</x:v>
      </x:c>
      <x:c r="I1771" s="14" t="n">
        <x:v>4</x:v>
      </x:c>
      <x:c r="J1771" s="14" t="n">
        <x:v>6</x:v>
      </x:c>
      <x:c r="K1771" s="14" t="n">
        <x:v>2</x:v>
      </x:c>
      <x:c r="L1771" s="15" t="n">
        <x:f>IF(J1771=0,"해당 없음",K1771/J1771)</x:f>
        <x:v>0.3333333333333333</x:v>
      </x:c>
      <x:c r="M1771" s="14" t="n">
        <x:v>10</x:v>
      </x:c>
      <x:c r="N1771" s="14" t="n">
        <x:v>10</x:v>
      </x:c>
      <x:c r="O1771" s="15" t="n">
        <x:f>IF(M1771=0,"해당 없음",N1771/M1771)</x:f>
        <x:v>1</x:v>
      </x:c>
      <x:c r="P1771" s="14" t="n">
        <x:v>104</x:v>
      </x:c>
    </x:row>
    <x:row r="1772" ht="22" customHeight="1">
      <x:c r="A1772" s="14" t="n">
        <x:v>884</x:v>
      </x:c>
      <x:c r="B1772" s="14" t="n">
        <x:v>23</x:v>
      </x:c>
      <x:c r="C1772" s="14" t="n">
        <x:v>76001</x:v>
      </x:c>
      <x:c r="D1772" s="2" t="str">
        <x:v>RED</x:v>
      </x:c>
      <x:c r="E1772" s="2" t="str">
        <x:v>160만</x:v>
      </x:c>
      <x:c r="F1772" s="2" t="str">
        <x:v>120만</x:v>
      </x:c>
      <x:c r="G1772" s="2" t="str">
        <x:v>패</x:v>
      </x:c>
      <x:c r="H1772" s="14" t="n">
        <x:v>1</x:v>
      </x:c>
      <x:c r="I1772" s="14" t="n">
        <x:v>2</x:v>
      </x:c>
      <x:c r="J1772" s="14" t="n">
        <x:v>9</x:v>
      </x:c>
      <x:c r="K1772" s="14" t="n">
        <x:v>1</x:v>
      </x:c>
      <x:c r="L1772" s="15" t="n">
        <x:f>IF(J1772=0,"해당 없음",K1772/J1772)</x:f>
        <x:v>0.1111111111111111</x:v>
      </x:c>
      <x:c r="M1772" s="14" t="n">
        <x:v>5</x:v>
      </x:c>
      <x:c r="N1772" s="14" t="n">
        <x:v>5</x:v>
      </x:c>
      <x:c r="O1772" s="15" t="n">
        <x:f>IF(M1772=0,"해당 없음",N1772/M1772)</x:f>
        <x:v>1</x:v>
      </x:c>
      <x:c r="P1772" s="14" t="n">
        <x:v>102</x:v>
      </x:c>
    </x:row>
    <x:row r="1773" ht="22" customHeight="1">
      <x:c r="A1773" s="14" t="n">
        <x:v>884</x:v>
      </x:c>
      <x:c r="B1773" s="14" t="n">
        <x:v>23</x:v>
      </x:c>
      <x:c r="C1773" s="14" t="n">
        <x:v>76001</x:v>
      </x:c>
      <x:c r="D1773" s="2" t="str">
        <x:v>NAVY</x:v>
      </x:c>
      <x:c r="E1773" s="2" t="str">
        <x:v>120만</x:v>
      </x:c>
      <x:c r="F1773" s="2" t="str">
        <x:v>160만</x:v>
      </x:c>
      <x:c r="G1773" s="2" t="str">
        <x:v>승</x:v>
      </x:c>
      <x:c r="H1773" s="14" t="n">
        <x:v>2</x:v>
      </x:c>
      <x:c r="I1773" s="14" t="n">
        <x:v>1</x:v>
      </x:c>
      <x:c r="J1773" s="14" t="n">
        <x:v>9</x:v>
      </x:c>
      <x:c r="K1773" s="14" t="n">
        <x:v>2</x:v>
      </x:c>
      <x:c r="L1773" s="15" t="n">
        <x:f>IF(J1773=0,"해당 없음",K1773/J1773)</x:f>
        <x:v>0.2222222222222222</x:v>
      </x:c>
      <x:c r="M1773" s="14" t="n">
        <x:v>12</x:v>
      </x:c>
      <x:c r="N1773" s="14" t="n">
        <x:v>7</x:v>
      </x:c>
      <x:c r="O1773" s="15" t="n">
        <x:f>IF(M1773=0,"해당 없음",N1773/M1773)</x:f>
        <x:v>0.5833333333333334</x:v>
      </x:c>
      <x:c r="P1773" s="14" t="n">
        <x:v>101</x:v>
      </x:c>
    </x:row>
    <x:row r="1774" ht="22" customHeight="1">
      <x:c r="A1774" s="14" t="n">
        <x:v>885</x:v>
      </x:c>
      <x:c r="B1774" s="14" t="n">
        <x:v>23</x:v>
      </x:c>
      <x:c r="C1774" s="14" t="n">
        <x:v>76002</x:v>
      </x:c>
      <x:c r="D1774" s="2" t="str">
        <x:v>RED</x:v>
      </x:c>
      <x:c r="E1774" s="2" t="str">
        <x:v>120만</x:v>
      </x:c>
      <x:c r="F1774" s="2" t="str">
        <x:v>160만</x:v>
      </x:c>
      <x:c r="G1774" s="2" t="str">
        <x:v>패</x:v>
      </x:c>
      <x:c r="H1774" s="14" t="n">
        <x:v>1</x:v>
      </x:c>
      <x:c r="I1774" s="14" t="n">
        <x:v>3</x:v>
      </x:c>
      <x:c r="J1774" s="14" t="n">
        <x:v>8</x:v>
      </x:c>
      <x:c r="K1774" s="14" t="n">
        <x:v>1</x:v>
      </x:c>
      <x:c r="L1774" s="15" t="n">
        <x:f>IF(J1774=0,"해당 없음",K1774/J1774)</x:f>
        <x:v>0.125</x:v>
      </x:c>
      <x:c r="M1774" s="14" t="n">
        <x:v>13</x:v>
      </x:c>
      <x:c r="N1774" s="14" t="n">
        <x:v>10</x:v>
      </x:c>
      <x:c r="O1774" s="15" t="n">
        <x:f>IF(M1774=0,"해당 없음",N1774/M1774)</x:f>
        <x:v>0.7692307692307693</x:v>
      </x:c>
      <x:c r="P1774" s="14" t="n">
        <x:v>102</x:v>
      </x:c>
    </x:row>
    <x:row r="1775" ht="22" customHeight="1">
      <x:c r="A1775" s="14" t="n">
        <x:v>885</x:v>
      </x:c>
      <x:c r="B1775" s="14" t="n">
        <x:v>23</x:v>
      </x:c>
      <x:c r="C1775" s="14" t="n">
        <x:v>76002</x:v>
      </x:c>
      <x:c r="D1775" s="2" t="str">
        <x:v>NAVY</x:v>
      </x:c>
      <x:c r="E1775" s="2" t="str">
        <x:v>160만</x:v>
      </x:c>
      <x:c r="F1775" s="2" t="str">
        <x:v>120만</x:v>
      </x:c>
      <x:c r="G1775" s="2" t="str">
        <x:v>승</x:v>
      </x:c>
      <x:c r="H1775" s="14" t="n">
        <x:v>3</x:v>
      </x:c>
      <x:c r="I1775" s="14" t="n">
        <x:v>1</x:v>
      </x:c>
      <x:c r="J1775" s="14" t="n">
        <x:v>7</x:v>
      </x:c>
      <x:c r="K1775" s="14" t="n">
        <x:v>2</x:v>
      </x:c>
      <x:c r="L1775" s="15" t="n">
        <x:f>IF(J1775=0,"해당 없음",K1775/J1775)</x:f>
        <x:v>0.2857142857142857</x:v>
      </x:c>
      <x:c r="M1775" s="14" t="n">
        <x:v>9</x:v>
      </x:c>
      <x:c r="N1775" s="14" t="n">
        <x:v>6</x:v>
      </x:c>
      <x:c r="O1775" s="15" t="n">
        <x:f>IF(M1775=0,"해당 없음",N1775/M1775)</x:f>
        <x:v>0.6666666666666666</x:v>
      </x:c>
      <x:c r="P1775" s="14" t="n">
        <x:v>102</x:v>
      </x:c>
    </x:row>
    <x:row r="1776" ht="22" customHeight="1">
      <x:c r="A1776" s="14" t="n">
        <x:v>886</x:v>
      </x:c>
      <x:c r="B1776" s="14" t="n">
        <x:v>23</x:v>
      </x:c>
      <x:c r="C1776" s="14" t="n">
        <x:v>76002</x:v>
      </x:c>
      <x:c r="D1776" s="2" t="str">
        <x:v>RED</x:v>
      </x:c>
      <x:c r="E1776" s="2" t="str">
        <x:v>160만</x:v>
      </x:c>
      <x:c r="F1776" s="2" t="str">
        <x:v>120만</x:v>
      </x:c>
      <x:c r="G1776" s="2" t="str">
        <x:v>패</x:v>
      </x:c>
      <x:c r="H1776" s="14" t="n">
        <x:v>0</x:v>
      </x:c>
      <x:c r="I1776" s="14" t="n">
        <x:v>2</x:v>
      </x:c>
      <x:c r="J1776" s="14" t="n">
        <x:v>2</x:v>
      </x:c>
      <x:c r="K1776" s="14" t="n">
        <x:v>0</x:v>
      </x:c>
      <x:c r="L1776" s="15" t="n">
        <x:f>IF(J1776=0,"해당 없음",K1776/J1776)</x:f>
        <x:v>0</x:v>
      </x:c>
      <x:c r="M1776" s="14" t="n">
        <x:v>3</x:v>
      </x:c>
      <x:c r="N1776" s="14" t="n">
        <x:v>2</x:v>
      </x:c>
      <x:c r="O1776" s="15" t="n">
        <x:f>IF(M1776=0,"해당 없음",N1776/M1776)</x:f>
        <x:v>0.6666666666666666</x:v>
      </x:c>
      <x:c r="P1776" s="14" t="n">
        <x:v>102</x:v>
      </x:c>
    </x:row>
    <x:row r="1777" ht="22" customHeight="1">
      <x:c r="A1777" s="14" t="n">
        <x:v>886</x:v>
      </x:c>
      <x:c r="B1777" s="14" t="n">
        <x:v>23</x:v>
      </x:c>
      <x:c r="C1777" s="14" t="n">
        <x:v>76002</x:v>
      </x:c>
      <x:c r="D1777" s="2" t="str">
        <x:v>NAVY</x:v>
      </x:c>
      <x:c r="E1777" s="2" t="str">
        <x:v>120만</x:v>
      </x:c>
      <x:c r="F1777" s="2" t="str">
        <x:v>160만</x:v>
      </x:c>
      <x:c r="G1777" s="2" t="str">
        <x:v>승</x:v>
      </x:c>
      <x:c r="H1777" s="14" t="n">
        <x:v>2</x:v>
      </x:c>
      <x:c r="I1777" s="14" t="n">
        <x:v>0</x:v>
      </x:c>
      <x:c r="J1777" s="14" t="n">
        <x:v>6</x:v>
      </x:c>
      <x:c r="K1777" s="14" t="n">
        <x:v>2</x:v>
      </x:c>
      <x:c r="L1777" s="15" t="n">
        <x:f>IF(J1777=0,"해당 없음",K1777/J1777)</x:f>
        <x:v>0.3333333333333333</x:v>
      </x:c>
      <x:c r="M1777" s="14" t="n">
        <x:v>5</x:v>
      </x:c>
      <x:c r="N1777" s="14" t="n">
        <x:v>5</x:v>
      </x:c>
      <x:c r="O1777" s="15" t="n">
        <x:f>IF(M1777=0,"해당 없음",N1777/M1777)</x:f>
        <x:v>1</x:v>
      </x:c>
      <x:c r="P1777" s="14" t="n">
        <x:v>103</x:v>
      </x:c>
    </x:row>
    <x:row r="1778" ht="22" customHeight="1">
      <x:c r="A1778" s="14" t="n">
        <x:v>887</x:v>
      </x:c>
      <x:c r="B1778" s="14" t="n">
        <x:v>23</x:v>
      </x:c>
      <x:c r="C1778" s="14" t="n">
        <x:v>76003</x:v>
      </x:c>
      <x:c r="D1778" s="2" t="str">
        <x:v>RED</x:v>
      </x:c>
      <x:c r="E1778" s="2" t="str">
        <x:v>120만</x:v>
      </x:c>
      <x:c r="F1778" s="2" t="str">
        <x:v>160만</x:v>
      </x:c>
      <x:c r="G1778" s="2" t="str">
        <x:v>패</x:v>
      </x:c>
      <x:c r="H1778" s="14" t="n">
        <x:v>3</x:v>
      </x:c>
      <x:c r="I1778" s="14" t="n">
        <x:v>5</x:v>
      </x:c>
      <x:c r="J1778" s="14" t="n">
        <x:v>8</x:v>
      </x:c>
      <x:c r="K1778" s="14" t="n">
        <x:v>3</x:v>
      </x:c>
      <x:c r="L1778" s="15" t="n">
        <x:f>IF(J1778=0,"해당 없음",K1778/J1778)</x:f>
        <x:v>0.375</x:v>
      </x:c>
      <x:c r="M1778" s="14" t="n">
        <x:v>5</x:v>
      </x:c>
      <x:c r="N1778" s="14" t="n">
        <x:v>4</x:v>
      </x:c>
      <x:c r="O1778" s="15" t="n">
        <x:f>IF(M1778=0,"해당 없음",N1778/M1778)</x:f>
        <x:v>0.8</x:v>
      </x:c>
      <x:c r="P1778" s="14" t="n">
        <x:v>104</x:v>
      </x:c>
    </x:row>
    <x:row r="1779" ht="22" customHeight="1">
      <x:c r="A1779" s="14" t="n">
        <x:v>887</x:v>
      </x:c>
      <x:c r="B1779" s="14" t="n">
        <x:v>23</x:v>
      </x:c>
      <x:c r="C1779" s="14" t="n">
        <x:v>76003</x:v>
      </x:c>
      <x:c r="D1779" s="2" t="str">
        <x:v>NAVY</x:v>
      </x:c>
      <x:c r="E1779" s="2" t="str">
        <x:v>160만</x:v>
      </x:c>
      <x:c r="F1779" s="2" t="str">
        <x:v>120만</x:v>
      </x:c>
      <x:c r="G1779" s="2" t="str">
        <x:v>승</x:v>
      </x:c>
      <x:c r="H1779" s="14" t="n">
        <x:v>5</x:v>
      </x:c>
      <x:c r="I1779" s="14" t="n">
        <x:v>3</x:v>
      </x:c>
      <x:c r="J1779" s="14" t="n">
        <x:v>7</x:v>
      </x:c>
      <x:c r="K1779" s="14" t="n">
        <x:v>5</x:v>
      </x:c>
      <x:c r="L1779" s="15" t="n">
        <x:f>IF(J1779=0,"해당 없음",K1779/J1779)</x:f>
        <x:v>0.7142857142857143</x:v>
      </x:c>
      <x:c r="M1779" s="14" t="n">
        <x:v>11</x:v>
      </x:c>
      <x:c r="N1779" s="14" t="n">
        <x:v>8</x:v>
      </x:c>
      <x:c r="O1779" s="15" t="n">
        <x:f>IF(M1779=0,"해당 없음",N1779/M1779)</x:f>
        <x:v>0.7272727272727273</x:v>
      </x:c>
      <x:c r="P1779" s="14" t="n">
        <x:v>105</x:v>
      </x:c>
    </x:row>
    <x:row r="1780" ht="22" customHeight="1">
      <x:c r="A1780" s="14" t="n">
        <x:v>888</x:v>
      </x:c>
      <x:c r="B1780" s="14" t="n">
        <x:v>23</x:v>
      </x:c>
      <x:c r="C1780" s="14" t="n">
        <x:v>76003</x:v>
      </x:c>
      <x:c r="D1780" s="2" t="str">
        <x:v>RED</x:v>
      </x:c>
      <x:c r="E1780" s="2" t="str">
        <x:v>160만</x:v>
      </x:c>
      <x:c r="F1780" s="2" t="str">
        <x:v>120만</x:v>
      </x:c>
      <x:c r="G1780" s="2" t="str">
        <x:v>무</x:v>
      </x:c>
      <x:c r="H1780" s="14" t="n">
        <x:v>3</x:v>
      </x:c>
      <x:c r="I1780" s="14" t="n">
        <x:v>3</x:v>
      </x:c>
      <x:c r="J1780" s="14" t="n">
        <x:v>8</x:v>
      </x:c>
      <x:c r="K1780" s="14" t="n">
        <x:v>3</x:v>
      </x:c>
      <x:c r="L1780" s="15" t="n">
        <x:f>IF(J1780=0,"해당 없음",K1780/J1780)</x:f>
        <x:v>0.375</x:v>
      </x:c>
      <x:c r="M1780" s="14" t="n">
        <x:v>13</x:v>
      </x:c>
      <x:c r="N1780" s="14" t="n">
        <x:v>10</x:v>
      </x:c>
      <x:c r="O1780" s="15" t="n">
        <x:f>IF(M1780=0,"해당 없음",N1780/M1780)</x:f>
        <x:v>0.7692307692307693</x:v>
      </x:c>
      <x:c r="P1780" s="14" t="n">
        <x:v>103</x:v>
      </x:c>
    </x:row>
    <x:row r="1781" ht="22" customHeight="1">
      <x:c r="A1781" s="14" t="n">
        <x:v>888</x:v>
      </x:c>
      <x:c r="B1781" s="14" t="n">
        <x:v>23</x:v>
      </x:c>
      <x:c r="C1781" s="14" t="n">
        <x:v>76003</x:v>
      </x:c>
      <x:c r="D1781" s="2" t="str">
        <x:v>NAVY</x:v>
      </x:c>
      <x:c r="E1781" s="2" t="str">
        <x:v>120만</x:v>
      </x:c>
      <x:c r="F1781" s="2" t="str">
        <x:v>160만</x:v>
      </x:c>
      <x:c r="G1781" s="2" t="str">
        <x:v>무</x:v>
      </x:c>
      <x:c r="H1781" s="14" t="n">
        <x:v>3</x:v>
      </x:c>
      <x:c r="I1781" s="14" t="n">
        <x:v>3</x:v>
      </x:c>
      <x:c r="J1781" s="14" t="n">
        <x:v>9</x:v>
      </x:c>
      <x:c r="K1781" s="14" t="n">
        <x:v>3</x:v>
      </x:c>
      <x:c r="L1781" s="15" t="n">
        <x:f>IF(J1781=0,"해당 없음",K1781/J1781)</x:f>
        <x:v>0.3333333333333333</x:v>
      </x:c>
      <x:c r="M1781" s="14" t="n">
        <x:v>9</x:v>
      </x:c>
      <x:c r="N1781" s="14" t="n">
        <x:v>7</x:v>
      </x:c>
      <x:c r="O1781" s="15" t="n">
        <x:f>IF(M1781=0,"해당 없음",N1781/M1781)</x:f>
        <x:v>0.7777777777777778</x:v>
      </x:c>
      <x:c r="P1781" s="14" t="n">
        <x:v>103</x:v>
      </x:c>
    </x:row>
    <x:row r="1782" ht="22" customHeight="1">
      <x:c r="A1782" s="14" t="n">
        <x:v>889</x:v>
      </x:c>
      <x:c r="B1782" s="14" t="n">
        <x:v>23</x:v>
      </x:c>
      <x:c r="C1782" s="14" t="n">
        <x:v>76004</x:v>
      </x:c>
      <x:c r="D1782" s="2" t="str">
        <x:v>RED</x:v>
      </x:c>
      <x:c r="E1782" s="2" t="str">
        <x:v>120만</x:v>
      </x:c>
      <x:c r="F1782" s="2" t="str">
        <x:v>160만</x:v>
      </x:c>
      <x:c r="G1782" s="2" t="str">
        <x:v>패</x:v>
      </x:c>
      <x:c r="H1782" s="14" t="n">
        <x:v>0</x:v>
      </x:c>
      <x:c r="I1782" s="14" t="n">
        <x:v>2</x:v>
      </x:c>
      <x:c r="J1782" s="14" t="n">
        <x:v>17</x:v>
      </x:c>
      <x:c r="K1782" s="14" t="n">
        <x:v>0</x:v>
      </x:c>
      <x:c r="L1782" s="15" t="n">
        <x:f>IF(J1782=0,"해당 없음",K1782/J1782)</x:f>
        <x:v>0</x:v>
      </x:c>
      <x:c r="M1782" s="14" t="n">
        <x:v>7</x:v>
      </x:c>
      <x:c r="N1782" s="14" t="n">
        <x:v>4</x:v>
      </x:c>
      <x:c r="O1782" s="15" t="n">
        <x:f>IF(M1782=0,"해당 없음",N1782/M1782)</x:f>
        <x:v>0.5714285714285714</x:v>
      </x:c>
      <x:c r="P1782" s="14" t="n">
        <x:v>101</x:v>
      </x:c>
    </x:row>
    <x:row r="1783" ht="22" customHeight="1">
      <x:c r="A1783" s="14" t="n">
        <x:v>889</x:v>
      </x:c>
      <x:c r="B1783" s="14" t="n">
        <x:v>23</x:v>
      </x:c>
      <x:c r="C1783" s="14" t="n">
        <x:v>76004</x:v>
      </x:c>
      <x:c r="D1783" s="2" t="str">
        <x:v>NAVY</x:v>
      </x:c>
      <x:c r="E1783" s="2" t="str">
        <x:v>160만</x:v>
      </x:c>
      <x:c r="F1783" s="2" t="str">
        <x:v>120만</x:v>
      </x:c>
      <x:c r="G1783" s="2" t="str">
        <x:v>승</x:v>
      </x:c>
      <x:c r="H1783" s="14" t="n">
        <x:v>2</x:v>
      </x:c>
      <x:c r="I1783" s="14" t="n">
        <x:v>0</x:v>
      </x:c>
      <x:c r="J1783" s="14" t="n">
        <x:v>5</x:v>
      </x:c>
      <x:c r="K1783" s="14" t="n">
        <x:v>2</x:v>
      </x:c>
      <x:c r="L1783" s="15" t="n">
        <x:f>IF(J1783=0,"해당 없음",K1783/J1783)</x:f>
        <x:v>0.4</x:v>
      </x:c>
      <x:c r="M1783" s="14" t="n">
        <x:v>9</x:v>
      </x:c>
      <x:c r="N1783" s="14" t="n">
        <x:v>8</x:v>
      </x:c>
      <x:c r="O1783" s="15" t="n">
        <x:f>IF(M1783=0,"해당 없음",N1783/M1783)</x:f>
        <x:v>0.8888888888888888</x:v>
      </x:c>
      <x:c r="P1783" s="14" t="n">
        <x:v>102</x:v>
      </x:c>
    </x:row>
    <x:row r="1784" ht="22" customHeight="1">
      <x:c r="A1784" s="14" t="n">
        <x:v>890</x:v>
      </x:c>
      <x:c r="B1784" s="14" t="n">
        <x:v>23</x:v>
      </x:c>
      <x:c r="C1784" s="14" t="n">
        <x:v>76004</x:v>
      </x:c>
      <x:c r="D1784" s="2" t="str">
        <x:v>RED</x:v>
      </x:c>
      <x:c r="E1784" s="2" t="str">
        <x:v>160만</x:v>
      </x:c>
      <x:c r="F1784" s="2" t="str">
        <x:v>120만</x:v>
      </x:c>
      <x:c r="G1784" s="2" t="str">
        <x:v>무</x:v>
      </x:c>
      <x:c r="H1784" s="14" t="n">
        <x:v>2</x:v>
      </x:c>
      <x:c r="I1784" s="14" t="n">
        <x:v>2</x:v>
      </x:c>
      <x:c r="J1784" s="14" t="n">
        <x:v>10</x:v>
      </x:c>
      <x:c r="K1784" s="14" t="n">
        <x:v>2</x:v>
      </x:c>
      <x:c r="L1784" s="15" t="n">
        <x:f>IF(J1784=0,"해당 없음",K1784/J1784)</x:f>
        <x:v>0.2</x:v>
      </x:c>
      <x:c r="M1784" s="14" t="n">
        <x:v>10</x:v>
      </x:c>
      <x:c r="N1784" s="14" t="n">
        <x:v>7</x:v>
      </x:c>
      <x:c r="O1784" s="15" t="n">
        <x:f>IF(M1784=0,"해당 없음",N1784/M1784)</x:f>
        <x:v>0.7</x:v>
      </x:c>
      <x:c r="P1784" s="14" t="n">
        <x:v>103</x:v>
      </x:c>
    </x:row>
    <x:row r="1785" ht="22" customHeight="1">
      <x:c r="A1785" s="14" t="n">
        <x:v>890</x:v>
      </x:c>
      <x:c r="B1785" s="14" t="n">
        <x:v>23</x:v>
      </x:c>
      <x:c r="C1785" s="14" t="n">
        <x:v>76004</x:v>
      </x:c>
      <x:c r="D1785" s="2" t="str">
        <x:v>NAVY</x:v>
      </x:c>
      <x:c r="E1785" s="2" t="str">
        <x:v>120만</x:v>
      </x:c>
      <x:c r="F1785" s="2" t="str">
        <x:v>160만</x:v>
      </x:c>
      <x:c r="G1785" s="2" t="str">
        <x:v>무</x:v>
      </x:c>
      <x:c r="H1785" s="14" t="n">
        <x:v>2</x:v>
      </x:c>
      <x:c r="I1785" s="14" t="n">
        <x:v>2</x:v>
      </x:c>
      <x:c r="J1785" s="14" t="n">
        <x:v>9</x:v>
      </x:c>
      <x:c r="K1785" s="14" t="n">
        <x:v>2</x:v>
      </x:c>
      <x:c r="L1785" s="15" t="n">
        <x:f>IF(J1785=0,"해당 없음",K1785/J1785)</x:f>
        <x:v>0.2222222222222222</x:v>
      </x:c>
      <x:c r="M1785" s="14" t="n">
        <x:v>9</x:v>
      </x:c>
      <x:c r="N1785" s="14" t="n">
        <x:v>7</x:v>
      </x:c>
      <x:c r="O1785" s="15" t="n">
        <x:f>IF(M1785=0,"해당 없음",N1785/M1785)</x:f>
        <x:v>0.7777777777777778</x:v>
      </x:c>
      <x:c r="P1785" s="14" t="n">
        <x:v>105</x:v>
      </x:c>
    </x:row>
    <x:row r="1786" ht="22" customHeight="1">
      <x:c r="A1786" s="14" t="n">
        <x:v>891</x:v>
      </x:c>
      <x:c r="B1786" s="14" t="n">
        <x:v>23</x:v>
      </x:c>
      <x:c r="C1786" s="14" t="n">
        <x:v>76005</x:v>
      </x:c>
      <x:c r="D1786" s="2" t="str">
        <x:v>RED</x:v>
      </x:c>
      <x:c r="E1786" s="2" t="str">
        <x:v>120만</x:v>
      </x:c>
      <x:c r="F1786" s="2" t="str">
        <x:v>160만</x:v>
      </x:c>
      <x:c r="G1786" s="2" t="str">
        <x:v>승</x:v>
      </x:c>
      <x:c r="H1786" s="14" t="n">
        <x:v>3</x:v>
      </x:c>
      <x:c r="I1786" s="14" t="n">
        <x:v>2</x:v>
      </x:c>
      <x:c r="J1786" s="14" t="n">
        <x:v>12</x:v>
      </x:c>
      <x:c r="K1786" s="14" t="n">
        <x:v>3</x:v>
      </x:c>
      <x:c r="L1786" s="15" t="n">
        <x:f>IF(J1786=0,"해당 없음",K1786/J1786)</x:f>
        <x:v>0.25</x:v>
      </x:c>
      <x:c r="M1786" s="14" t="n">
        <x:v>10</x:v>
      </x:c>
      <x:c r="N1786" s="14" t="n">
        <x:v>8</x:v>
      </x:c>
      <x:c r="O1786" s="15" t="n">
        <x:f>IF(M1786=0,"해당 없음",N1786/M1786)</x:f>
        <x:v>0.8</x:v>
      </x:c>
      <x:c r="P1786" s="14" t="n">
        <x:v>102</x:v>
      </x:c>
    </x:row>
    <x:row r="1787" ht="22" customHeight="1">
      <x:c r="A1787" s="14" t="n">
        <x:v>891</x:v>
      </x:c>
      <x:c r="B1787" s="14" t="n">
        <x:v>23</x:v>
      </x:c>
      <x:c r="C1787" s="14" t="n">
        <x:v>76005</x:v>
      </x:c>
      <x:c r="D1787" s="2" t="str">
        <x:v>NAVY</x:v>
      </x:c>
      <x:c r="E1787" s="2" t="str">
        <x:v>160만</x:v>
      </x:c>
      <x:c r="F1787" s="2" t="str">
        <x:v>120만</x:v>
      </x:c>
      <x:c r="G1787" s="2" t="str">
        <x:v>패</x:v>
      </x:c>
      <x:c r="H1787" s="14" t="n">
        <x:v>2</x:v>
      </x:c>
      <x:c r="I1787" s="14" t="n">
        <x:v>3</x:v>
      </x:c>
      <x:c r="J1787" s="14" t="n">
        <x:v>11</x:v>
      </x:c>
      <x:c r="K1787" s="14" t="n">
        <x:v>2</x:v>
      </x:c>
      <x:c r="L1787" s="15" t="n">
        <x:f>IF(J1787=0,"해당 없음",K1787/J1787)</x:f>
        <x:v>0.18181818181818182</x:v>
      </x:c>
      <x:c r="M1787" s="14" t="n">
        <x:v>8</x:v>
      </x:c>
      <x:c r="N1787" s="14" t="n">
        <x:v>8</x:v>
      </x:c>
      <x:c r="O1787" s="15" t="n">
        <x:f>IF(M1787=0,"해당 없음",N1787/M1787)</x:f>
        <x:v>1</x:v>
      </x:c>
      <x:c r="P1787" s="14" t="n">
        <x:v>104</x:v>
      </x:c>
    </x:row>
    <x:row r="1788" ht="22" customHeight="1">
      <x:c r="A1788" s="14" t="n">
        <x:v>892</x:v>
      </x:c>
      <x:c r="B1788" s="14" t="n">
        <x:v>23</x:v>
      </x:c>
      <x:c r="C1788" s="14" t="n">
        <x:v>76005</x:v>
      </x:c>
      <x:c r="D1788" s="2" t="str">
        <x:v>RED</x:v>
      </x:c>
      <x:c r="E1788" s="2" t="str">
        <x:v>160만</x:v>
      </x:c>
      <x:c r="F1788" s="2" t="str">
        <x:v>120만</x:v>
      </x:c>
      <x:c r="G1788" s="2" t="str">
        <x:v>승</x:v>
      </x:c>
      <x:c r="H1788" s="14" t="n">
        <x:v>3</x:v>
      </x:c>
      <x:c r="I1788" s="14" t="n">
        <x:v>1</x:v>
      </x:c>
      <x:c r="J1788" s="14" t="n">
        <x:v>13</x:v>
      </x:c>
      <x:c r="K1788" s="14" t="n">
        <x:v>3</x:v>
      </x:c>
      <x:c r="L1788" s="15" t="n">
        <x:f>IF(J1788=0,"해당 없음",K1788/J1788)</x:f>
        <x:v>0.23076923076923078</x:v>
      </x:c>
      <x:c r="M1788" s="14" t="n">
        <x:v>10</x:v>
      </x:c>
      <x:c r="N1788" s="14" t="n">
        <x:v>7</x:v>
      </x:c>
      <x:c r="O1788" s="15" t="n">
        <x:f>IF(M1788=0,"해당 없음",N1788/M1788)</x:f>
        <x:v>0.7</x:v>
      </x:c>
      <x:c r="P1788" s="14" t="n">
        <x:v>101</x:v>
      </x:c>
    </x:row>
    <x:row r="1789" ht="22" customHeight="1">
      <x:c r="A1789" s="14" t="n">
        <x:v>892</x:v>
      </x:c>
      <x:c r="B1789" s="14" t="n">
        <x:v>23</x:v>
      </x:c>
      <x:c r="C1789" s="14" t="n">
        <x:v>76005</x:v>
      </x:c>
      <x:c r="D1789" s="2" t="str">
        <x:v>NAVY</x:v>
      </x:c>
      <x:c r="E1789" s="2" t="str">
        <x:v>120만</x:v>
      </x:c>
      <x:c r="F1789" s="2" t="str">
        <x:v>160만</x:v>
      </x:c>
      <x:c r="G1789" s="2" t="str">
        <x:v>패</x:v>
      </x:c>
      <x:c r="H1789" s="14" t="n">
        <x:v>1</x:v>
      </x:c>
      <x:c r="I1789" s="14" t="n">
        <x:v>3</x:v>
      </x:c>
      <x:c r="J1789" s="14" t="n">
        <x:v>6</x:v>
      </x:c>
      <x:c r="K1789" s="14" t="n">
        <x:v>1</x:v>
      </x:c>
      <x:c r="L1789" s="15" t="n">
        <x:f>IF(J1789=0,"해당 없음",K1789/J1789)</x:f>
        <x:v>0.16666666666666666</x:v>
      </x:c>
      <x:c r="M1789" s="14" t="n">
        <x:v>9</x:v>
      </x:c>
      <x:c r="N1789" s="14" t="n">
        <x:v>6</x:v>
      </x:c>
      <x:c r="O1789" s="15" t="n">
        <x:f>IF(M1789=0,"해당 없음",N1789/M1789)</x:f>
        <x:v>0.6666666666666666</x:v>
      </x:c>
      <x:c r="P1789" s="14" t="n">
        <x:v>103</x:v>
      </x:c>
    </x:row>
    <x:row r="1790" ht="22" customHeight="1">
      <x:c r="A1790" s="14" t="n">
        <x:v>893</x:v>
      </x:c>
      <x:c r="B1790" s="14" t="n">
        <x:v>23</x:v>
      </x:c>
      <x:c r="C1790" s="14" t="n">
        <x:v>76006</x:v>
      </x:c>
      <x:c r="D1790" s="2" t="str">
        <x:v>RED</x:v>
      </x:c>
      <x:c r="E1790" s="2" t="str">
        <x:v>120만</x:v>
      </x:c>
      <x:c r="F1790" s="2" t="str">
        <x:v>160만</x:v>
      </x:c>
      <x:c r="G1790" s="2" t="str">
        <x:v>승</x:v>
      </x:c>
      <x:c r="H1790" s="14" t="n">
        <x:v>4</x:v>
      </x:c>
      <x:c r="I1790" s="14" t="n">
        <x:v>1</x:v>
      </x:c>
      <x:c r="J1790" s="14" t="n">
        <x:v>8</x:v>
      </x:c>
      <x:c r="K1790" s="14" t="n">
        <x:v>4</x:v>
      </x:c>
      <x:c r="L1790" s="15" t="n">
        <x:f>IF(J1790=0,"해당 없음",K1790/J1790)</x:f>
        <x:v>0.5</x:v>
      </x:c>
      <x:c r="M1790" s="14" t="n">
        <x:v>12</x:v>
      </x:c>
      <x:c r="N1790" s="14" t="n">
        <x:v>11</x:v>
      </x:c>
      <x:c r="O1790" s="15" t="n">
        <x:f>IF(M1790=0,"해당 없음",N1790/M1790)</x:f>
        <x:v>0.9166666666666666</x:v>
      </x:c>
      <x:c r="P1790" s="14" t="n">
        <x:v>103</x:v>
      </x:c>
    </x:row>
    <x:row r="1791" ht="22" customHeight="1">
      <x:c r="A1791" s="14" t="n">
        <x:v>893</x:v>
      </x:c>
      <x:c r="B1791" s="14" t="n">
        <x:v>23</x:v>
      </x:c>
      <x:c r="C1791" s="14" t="n">
        <x:v>76006</x:v>
      </x:c>
      <x:c r="D1791" s="2" t="str">
        <x:v>NAVY</x:v>
      </x:c>
      <x:c r="E1791" s="2" t="str">
        <x:v>160만</x:v>
      </x:c>
      <x:c r="F1791" s="2" t="str">
        <x:v>120만</x:v>
      </x:c>
      <x:c r="G1791" s="2" t="str">
        <x:v>패</x:v>
      </x:c>
      <x:c r="H1791" s="14" t="n">
        <x:v>1</x:v>
      </x:c>
      <x:c r="I1791" s="14" t="n">
        <x:v>4</x:v>
      </x:c>
      <x:c r="J1791" s="14" t="n">
        <x:v>8</x:v>
      </x:c>
      <x:c r="K1791" s="14" t="n">
        <x:v>1</x:v>
      </x:c>
      <x:c r="L1791" s="15" t="n">
        <x:f>IF(J1791=0,"해당 없음",K1791/J1791)</x:f>
        <x:v>0.125</x:v>
      </x:c>
      <x:c r="M1791" s="14" t="n">
        <x:v>7</x:v>
      </x:c>
      <x:c r="N1791" s="14" t="n">
        <x:v>5</x:v>
      </x:c>
      <x:c r="O1791" s="15" t="n">
        <x:f>IF(M1791=0,"해당 없음",N1791/M1791)</x:f>
        <x:v>0.7142857142857143</x:v>
      </x:c>
      <x:c r="P1791" s="14" t="n">
        <x:v>104</x:v>
      </x:c>
    </x:row>
    <x:row r="1792" ht="22" customHeight="1">
      <x:c r="A1792" s="14" t="n">
        <x:v>894</x:v>
      </x:c>
      <x:c r="B1792" s="14" t="n">
        <x:v>23</x:v>
      </x:c>
      <x:c r="C1792" s="14" t="n">
        <x:v>76006</x:v>
      </x:c>
      <x:c r="D1792" s="2" t="str">
        <x:v>RED</x:v>
      </x:c>
      <x:c r="E1792" s="2" t="str">
        <x:v>160만</x:v>
      </x:c>
      <x:c r="F1792" s="2" t="str">
        <x:v>120만</x:v>
      </x:c>
      <x:c r="G1792" s="2" t="str">
        <x:v>승</x:v>
      </x:c>
      <x:c r="H1792" s="14" t="n">
        <x:v>3</x:v>
      </x:c>
      <x:c r="I1792" s="14" t="n">
        <x:v>1</x:v>
      </x:c>
      <x:c r="J1792" s="14" t="n">
        <x:v>9</x:v>
      </x:c>
      <x:c r="K1792" s="14" t="n">
        <x:v>3</x:v>
      </x:c>
      <x:c r="L1792" s="15" t="n">
        <x:f>IF(J1792=0,"해당 없음",K1792/J1792)</x:f>
        <x:v>0.3333333333333333</x:v>
      </x:c>
      <x:c r="M1792" s="14" t="n">
        <x:v>8</x:v>
      </x:c>
      <x:c r="N1792" s="14" t="n">
        <x:v>4</x:v>
      </x:c>
      <x:c r="O1792" s="15" t="n">
        <x:f>IF(M1792=0,"해당 없음",N1792/M1792)</x:f>
        <x:v>0.5</x:v>
      </x:c>
      <x:c r="P1792" s="14" t="n">
        <x:v>101</x:v>
      </x:c>
    </x:row>
    <x:row r="1793" ht="22" customHeight="1">
      <x:c r="A1793" s="14" t="n">
        <x:v>894</x:v>
      </x:c>
      <x:c r="B1793" s="14" t="n">
        <x:v>23</x:v>
      </x:c>
      <x:c r="C1793" s="14" t="n">
        <x:v>76006</x:v>
      </x:c>
      <x:c r="D1793" s="2" t="str">
        <x:v>NAVY</x:v>
      </x:c>
      <x:c r="E1793" s="2" t="str">
        <x:v>120만</x:v>
      </x:c>
      <x:c r="F1793" s="2" t="str">
        <x:v>160만</x:v>
      </x:c>
      <x:c r="G1793" s="2" t="str">
        <x:v>패</x:v>
      </x:c>
      <x:c r="H1793" s="14" t="n">
        <x:v>1</x:v>
      </x:c>
      <x:c r="I1793" s="14" t="n">
        <x:v>3</x:v>
      </x:c>
      <x:c r="J1793" s="14" t="n">
        <x:v>8</x:v>
      </x:c>
      <x:c r="K1793" s="14" t="n">
        <x:v>1</x:v>
      </x:c>
      <x:c r="L1793" s="15" t="n">
        <x:f>IF(J1793=0,"해당 없음",K1793/J1793)</x:f>
        <x:v>0.125</x:v>
      </x:c>
      <x:c r="M1793" s="14" t="n">
        <x:v>10</x:v>
      </x:c>
      <x:c r="N1793" s="14" t="n">
        <x:v>8</x:v>
      </x:c>
      <x:c r="O1793" s="15" t="n">
        <x:f>IF(M1793=0,"해당 없음",N1793/M1793)</x:f>
        <x:v>0.8</x:v>
      </x:c>
      <x:c r="P1793" s="14" t="n">
        <x:v>104</x:v>
      </x:c>
    </x:row>
    <x:row r="1794" ht="22" customHeight="1">
      <x:c r="A1794" s="14" t="n">
        <x:v>895</x:v>
      </x:c>
      <x:c r="B1794" s="14" t="n">
        <x:v>23</x:v>
      </x:c>
      <x:c r="C1794" s="14" t="n">
        <x:v>76007</x:v>
      </x:c>
      <x:c r="D1794" s="2" t="str">
        <x:v>RED</x:v>
      </x:c>
      <x:c r="E1794" s="2" t="str">
        <x:v>120만</x:v>
      </x:c>
      <x:c r="F1794" s="2" t="str">
        <x:v>160만</x:v>
      </x:c>
      <x:c r="G1794" s="2" t="str">
        <x:v>승</x:v>
      </x:c>
      <x:c r="H1794" s="14" t="n">
        <x:v>7</x:v>
      </x:c>
      <x:c r="I1794" s="14" t="n">
        <x:v>3</x:v>
      </x:c>
      <x:c r="J1794" s="14" t="n">
        <x:v>12</x:v>
      </x:c>
      <x:c r="K1794" s="14" t="n">
        <x:v>7</x:v>
      </x:c>
      <x:c r="L1794" s="15" t="n">
        <x:f>IF(J1794=0,"해당 없음",K1794/J1794)</x:f>
        <x:v>0.5833333333333334</x:v>
      </x:c>
      <x:c r="M1794" s="14" t="n">
        <x:v>9</x:v>
      </x:c>
      <x:c r="N1794" s="14" t="n">
        <x:v>5</x:v>
      </x:c>
      <x:c r="O1794" s="15" t="n">
        <x:f>IF(M1794=0,"해당 없음",N1794/M1794)</x:f>
        <x:v>0.5555555555555556</x:v>
      </x:c>
      <x:c r="P1794" s="14" t="n">
        <x:v>105</x:v>
      </x:c>
    </x:row>
    <x:row r="1795" ht="22" customHeight="1">
      <x:c r="A1795" s="14" t="n">
        <x:v>895</x:v>
      </x:c>
      <x:c r="B1795" s="14" t="n">
        <x:v>23</x:v>
      </x:c>
      <x:c r="C1795" s="14" t="n">
        <x:v>76007</x:v>
      </x:c>
      <x:c r="D1795" s="2" t="str">
        <x:v>NAVY</x:v>
      </x:c>
      <x:c r="E1795" s="2" t="str">
        <x:v>160만</x:v>
      </x:c>
      <x:c r="F1795" s="2" t="str">
        <x:v>120만</x:v>
      </x:c>
      <x:c r="G1795" s="2" t="str">
        <x:v>패</x:v>
      </x:c>
      <x:c r="H1795" s="14" t="n">
        <x:v>3</x:v>
      </x:c>
      <x:c r="I1795" s="14" t="n">
        <x:v>7</x:v>
      </x:c>
      <x:c r="J1795" s="14" t="n">
        <x:v>6</x:v>
      </x:c>
      <x:c r="K1795" s="14" t="n">
        <x:v>3</x:v>
      </x:c>
      <x:c r="L1795" s="15" t="n">
        <x:f>IF(J1795=0,"해당 없음",K1795/J1795)</x:f>
        <x:v>0.5</x:v>
      </x:c>
      <x:c r="M1795" s="14" t="n">
        <x:v>9</x:v>
      </x:c>
      <x:c r="N1795" s="14" t="n">
        <x:v>8</x:v>
      </x:c>
      <x:c r="O1795" s="15" t="n">
        <x:f>IF(M1795=0,"해당 없음",N1795/M1795)</x:f>
        <x:v>0.8888888888888888</x:v>
      </x:c>
      <x:c r="P1795" s="14" t="n">
        <x:v>105</x:v>
      </x:c>
    </x:row>
    <x:row r="1796" ht="22" customHeight="1">
      <x:c r="A1796" s="14" t="n">
        <x:v>896</x:v>
      </x:c>
      <x:c r="B1796" s="14" t="n">
        <x:v>23</x:v>
      </x:c>
      <x:c r="C1796" s="14" t="n">
        <x:v>76007</x:v>
      </x:c>
      <x:c r="D1796" s="2" t="str">
        <x:v>RED</x:v>
      </x:c>
      <x:c r="E1796" s="2" t="str">
        <x:v>160만</x:v>
      </x:c>
      <x:c r="F1796" s="2" t="str">
        <x:v>120만</x:v>
      </x:c>
      <x:c r="G1796" s="2" t="str">
        <x:v>승</x:v>
      </x:c>
      <x:c r="H1796" s="14" t="n">
        <x:v>2</x:v>
      </x:c>
      <x:c r="I1796" s="14" t="n">
        <x:v>0</x:v>
      </x:c>
      <x:c r="J1796" s="14" t="n">
        <x:v>11</x:v>
      </x:c>
      <x:c r="K1796" s="14" t="n">
        <x:v>2</x:v>
      </x:c>
      <x:c r="L1796" s="15" t="n">
        <x:f>IF(J1796=0,"해당 없음",K1796/J1796)</x:f>
        <x:v>0.18181818181818182</x:v>
      </x:c>
      <x:c r="M1796" s="14" t="n">
        <x:v>4</x:v>
      </x:c>
      <x:c r="N1796" s="14" t="n">
        <x:v>4</x:v>
      </x:c>
      <x:c r="O1796" s="15" t="n">
        <x:f>IF(M1796=0,"해당 없음",N1796/M1796)</x:f>
        <x:v>1</x:v>
      </x:c>
      <x:c r="P1796" s="14" t="n">
        <x:v>102</x:v>
      </x:c>
    </x:row>
    <x:row r="1797" ht="22" customHeight="1">
      <x:c r="A1797" s="14" t="n">
        <x:v>896</x:v>
      </x:c>
      <x:c r="B1797" s="14" t="n">
        <x:v>23</x:v>
      </x:c>
      <x:c r="C1797" s="14" t="n">
        <x:v>76007</x:v>
      </x:c>
      <x:c r="D1797" s="2" t="str">
        <x:v>NAVY</x:v>
      </x:c>
      <x:c r="E1797" s="2" t="str">
        <x:v>120만</x:v>
      </x:c>
      <x:c r="F1797" s="2" t="str">
        <x:v>160만</x:v>
      </x:c>
      <x:c r="G1797" s="2" t="str">
        <x:v>패</x:v>
      </x:c>
      <x:c r="H1797" s="14" t="n">
        <x:v>0</x:v>
      </x:c>
      <x:c r="I1797" s="14" t="n">
        <x:v>2</x:v>
      </x:c>
      <x:c r="J1797" s="14" t="n">
        <x:v>3</x:v>
      </x:c>
      <x:c r="K1797" s="14" t="n">
        <x:v>0</x:v>
      </x:c>
      <x:c r="L1797" s="15" t="n">
        <x:f>IF(J1797=0,"해당 없음",K1797/J1797)</x:f>
        <x:v>0</x:v>
      </x:c>
      <x:c r="M1797" s="14" t="n">
        <x:v>10</x:v>
      </x:c>
      <x:c r="N1797" s="14" t="n">
        <x:v>8</x:v>
      </x:c>
      <x:c r="O1797" s="15" t="n">
        <x:f>IF(M1797=0,"해당 없음",N1797/M1797)</x:f>
        <x:v>0.8</x:v>
      </x:c>
      <x:c r="P1797" s="14" t="n">
        <x:v>102</x:v>
      </x:c>
    </x:row>
    <x:row r="1798" ht="22" customHeight="1">
      <x:c r="A1798" s="14" t="n">
        <x:v>897</x:v>
      </x:c>
      <x:c r="B1798" s="14" t="n">
        <x:v>23</x:v>
      </x:c>
      <x:c r="C1798" s="14" t="n">
        <x:v>76008</x:v>
      </x:c>
      <x:c r="D1798" s="2" t="str">
        <x:v>RED</x:v>
      </x:c>
      <x:c r="E1798" s="2" t="str">
        <x:v>120만</x:v>
      </x:c>
      <x:c r="F1798" s="2" t="str">
        <x:v>160만</x:v>
      </x:c>
      <x:c r="G1798" s="2" t="str">
        <x:v>무</x:v>
      </x:c>
      <x:c r="H1798" s="14" t="n">
        <x:v>1</x:v>
      </x:c>
      <x:c r="I1798" s="14" t="n">
        <x:v>1</x:v>
      </x:c>
      <x:c r="J1798" s="14" t="n">
        <x:v>10</x:v>
      </x:c>
      <x:c r="K1798" s="14" t="n">
        <x:v>1</x:v>
      </x:c>
      <x:c r="L1798" s="15" t="n">
        <x:f>IF(J1798=0,"해당 없음",K1798/J1798)</x:f>
        <x:v>0.1</x:v>
      </x:c>
      <x:c r="M1798" s="14" t="n">
        <x:v>9</x:v>
      </x:c>
      <x:c r="N1798" s="14" t="n">
        <x:v>6</x:v>
      </x:c>
      <x:c r="O1798" s="15" t="n">
        <x:f>IF(M1798=0,"해당 없음",N1798/M1798)</x:f>
        <x:v>0.6666666666666666</x:v>
      </x:c>
      <x:c r="P1798" s="14" t="n">
        <x:v>101</x:v>
      </x:c>
    </x:row>
    <x:row r="1799" ht="22" customHeight="1">
      <x:c r="A1799" s="14" t="n">
        <x:v>897</x:v>
      </x:c>
      <x:c r="B1799" s="14" t="n">
        <x:v>23</x:v>
      </x:c>
      <x:c r="C1799" s="14" t="n">
        <x:v>76008</x:v>
      </x:c>
      <x:c r="D1799" s="2" t="str">
        <x:v>NAVY</x:v>
      </x:c>
      <x:c r="E1799" s="2" t="str">
        <x:v>160만</x:v>
      </x:c>
      <x:c r="F1799" s="2" t="str">
        <x:v>120만</x:v>
      </x:c>
      <x:c r="G1799" s="2" t="str">
        <x:v>무</x:v>
      </x:c>
      <x:c r="H1799" s="14" t="n">
        <x:v>1</x:v>
      </x:c>
      <x:c r="I1799" s="14" t="n">
        <x:v>1</x:v>
      </x:c>
      <x:c r="J1799" s="14" t="n">
        <x:v>6</x:v>
      </x:c>
      <x:c r="K1799" s="14" t="n">
        <x:v>1</x:v>
      </x:c>
      <x:c r="L1799" s="15" t="n">
        <x:f>IF(J1799=0,"해당 없음",K1799/J1799)</x:f>
        <x:v>0.16666666666666666</x:v>
      </x:c>
      <x:c r="M1799" s="14" t="n">
        <x:v>9</x:v>
      </x:c>
      <x:c r="N1799" s="14" t="n">
        <x:v>8</x:v>
      </x:c>
      <x:c r="O1799" s="15" t="n">
        <x:f>IF(M1799=0,"해당 없음",N1799/M1799)</x:f>
        <x:v>0.8888888888888888</x:v>
      </x:c>
      <x:c r="P1799" s="14" t="n">
        <x:v>101</x:v>
      </x:c>
    </x:row>
    <x:row r="1800" ht="22" customHeight="1">
      <x:c r="A1800" s="14" t="n">
        <x:v>898</x:v>
      </x:c>
      <x:c r="B1800" s="14" t="n">
        <x:v>23</x:v>
      </x:c>
      <x:c r="C1800" s="14" t="n">
        <x:v>76008</x:v>
      </x:c>
      <x:c r="D1800" s="2" t="str">
        <x:v>RED</x:v>
      </x:c>
      <x:c r="E1800" s="2" t="str">
        <x:v>160만</x:v>
      </x:c>
      <x:c r="F1800" s="2" t="str">
        <x:v>120만</x:v>
      </x:c>
      <x:c r="G1800" s="2" t="str">
        <x:v>무</x:v>
      </x:c>
      <x:c r="H1800" s="14" t="n">
        <x:v>2</x:v>
      </x:c>
      <x:c r="I1800" s="14" t="n">
        <x:v>2</x:v>
      </x:c>
      <x:c r="J1800" s="14" t="n">
        <x:v>5</x:v>
      </x:c>
      <x:c r="K1800" s="14" t="n">
        <x:v>2</x:v>
      </x:c>
      <x:c r="L1800" s="15" t="n">
        <x:f>IF(J1800=0,"해당 없음",K1800/J1800)</x:f>
        <x:v>0.4</x:v>
      </x:c>
      <x:c r="M1800" s="14" t="n">
        <x:v>12</x:v>
      </x:c>
      <x:c r="N1800" s="14" t="n">
        <x:v>9</x:v>
      </x:c>
      <x:c r="O1800" s="15" t="n">
        <x:f>IF(M1800=0,"해당 없음",N1800/M1800)</x:f>
        <x:v>0.75</x:v>
      </x:c>
      <x:c r="P1800" s="14" t="n">
        <x:v>101</x:v>
      </x:c>
    </x:row>
    <x:row r="1801" ht="22" customHeight="1">
      <x:c r="A1801" s="14" t="n">
        <x:v>898</x:v>
      </x:c>
      <x:c r="B1801" s="14" t="n">
        <x:v>23</x:v>
      </x:c>
      <x:c r="C1801" s="14" t="n">
        <x:v>76008</x:v>
      </x:c>
      <x:c r="D1801" s="2" t="str">
        <x:v>NAVY</x:v>
      </x:c>
      <x:c r="E1801" s="2" t="str">
        <x:v>120만</x:v>
      </x:c>
      <x:c r="F1801" s="2" t="str">
        <x:v>160만</x:v>
      </x:c>
      <x:c r="G1801" s="2" t="str">
        <x:v>무</x:v>
      </x:c>
      <x:c r="H1801" s="14" t="n">
        <x:v>2</x:v>
      </x:c>
      <x:c r="I1801" s="14" t="n">
        <x:v>2</x:v>
      </x:c>
      <x:c r="J1801" s="14" t="n">
        <x:v>12</x:v>
      </x:c>
      <x:c r="K1801" s="14" t="n">
        <x:v>2</x:v>
      </x:c>
      <x:c r="L1801" s="15" t="n">
        <x:f>IF(J1801=0,"해당 없음",K1801/J1801)</x:f>
        <x:v>0.16666666666666666</x:v>
      </x:c>
      <x:c r="M1801" s="14" t="n">
        <x:v>6</x:v>
      </x:c>
      <x:c r="N1801" s="14" t="n">
        <x:v>5</x:v>
      </x:c>
      <x:c r="O1801" s="15" t="n">
        <x:f>IF(M1801=0,"해당 없음",N1801/M1801)</x:f>
        <x:v>0.8333333333333334</x:v>
      </x:c>
      <x:c r="P1801" s="14" t="n">
        <x:v>102</x:v>
      </x:c>
    </x:row>
    <x:row r="1802" ht="22" customHeight="1">
      <x:c r="A1802" s="14" t="n">
        <x:v>899</x:v>
      </x:c>
      <x:c r="B1802" s="14" t="n">
        <x:v>23</x:v>
      </x:c>
      <x:c r="C1802" s="14" t="n">
        <x:v>76009</x:v>
      </x:c>
      <x:c r="D1802" s="2" t="str">
        <x:v>RED</x:v>
      </x:c>
      <x:c r="E1802" s="2" t="str">
        <x:v>120만</x:v>
      </x:c>
      <x:c r="F1802" s="2" t="str">
        <x:v>160만</x:v>
      </x:c>
      <x:c r="G1802" s="2" t="str">
        <x:v>승</x:v>
      </x:c>
      <x:c r="H1802" s="14" t="n">
        <x:v>7</x:v>
      </x:c>
      <x:c r="I1802" s="14" t="n">
        <x:v>0</x:v>
      </x:c>
      <x:c r="J1802" s="14" t="n">
        <x:v>12</x:v>
      </x:c>
      <x:c r="K1802" s="14" t="n">
        <x:v>7</x:v>
      </x:c>
      <x:c r="L1802" s="15" t="n">
        <x:f>IF(J1802=0,"해당 없음",K1802/J1802)</x:f>
        <x:v>0.5833333333333334</x:v>
      </x:c>
      <x:c r="M1802" s="14" t="n">
        <x:v>6</x:v>
      </x:c>
      <x:c r="N1802" s="14" t="n">
        <x:v>4</x:v>
      </x:c>
      <x:c r="O1802" s="15" t="n">
        <x:f>IF(M1802=0,"해당 없음",N1802/M1802)</x:f>
        <x:v>0.6666666666666666</x:v>
      </x:c>
      <x:c r="P1802" s="14" t="n">
        <x:v>105</x:v>
      </x:c>
    </x:row>
    <x:row r="1803" ht="22" customHeight="1">
      <x:c r="A1803" s="14" t="n">
        <x:v>899</x:v>
      </x:c>
      <x:c r="B1803" s="14" t="n">
        <x:v>23</x:v>
      </x:c>
      <x:c r="C1803" s="14" t="n">
        <x:v>76009</x:v>
      </x:c>
      <x:c r="D1803" s="2" t="str">
        <x:v>NAVY</x:v>
      </x:c>
      <x:c r="E1803" s="2" t="str">
        <x:v>160만</x:v>
      </x:c>
      <x:c r="F1803" s="2" t="str">
        <x:v>120만</x:v>
      </x:c>
      <x:c r="G1803" s="2" t="str">
        <x:v>패</x:v>
      </x:c>
      <x:c r="H1803" s="14" t="n">
        <x:v>0</x:v>
      </x:c>
      <x:c r="I1803" s="14" t="n">
        <x:v>7</x:v>
      </x:c>
      <x:c r="J1803" s="14" t="n">
        <x:v>6</x:v>
      </x:c>
      <x:c r="K1803" s="14" t="n">
        <x:v>0</x:v>
      </x:c>
      <x:c r="L1803" s="15" t="n">
        <x:f>IF(J1803=0,"해당 없음",K1803/J1803)</x:f>
        <x:v>0</x:v>
      </x:c>
      <x:c r="M1803" s="14" t="n">
        <x:v>6</x:v>
      </x:c>
      <x:c r="N1803" s="14" t="n">
        <x:v>5</x:v>
      </x:c>
      <x:c r="O1803" s="15" t="n">
        <x:f>IF(M1803=0,"해당 없음",N1803/M1803)</x:f>
        <x:v>0.8333333333333334</x:v>
      </x:c>
      <x:c r="P1803" s="14" t="n">
        <x:v>103</x:v>
      </x:c>
    </x:row>
    <x:row r="1804" ht="22" customHeight="1">
      <x:c r="A1804" s="14" t="n">
        <x:v>900</x:v>
      </x:c>
      <x:c r="B1804" s="14" t="n">
        <x:v>23</x:v>
      </x:c>
      <x:c r="C1804" s="14" t="n">
        <x:v>76009</x:v>
      </x:c>
      <x:c r="D1804" s="2" t="str">
        <x:v>RED</x:v>
      </x:c>
      <x:c r="E1804" s="2" t="str">
        <x:v>160만</x:v>
      </x:c>
      <x:c r="F1804" s="2" t="str">
        <x:v>120만</x:v>
      </x:c>
      <x:c r="G1804" s="2" t="str">
        <x:v>패</x:v>
      </x:c>
      <x:c r="H1804" s="14" t="n">
        <x:v>0</x:v>
      </x:c>
      <x:c r="I1804" s="14" t="n">
        <x:v>2</x:v>
      </x:c>
      <x:c r="J1804" s="14" t="n">
        <x:v>9</x:v>
      </x:c>
      <x:c r="K1804" s="14" t="n">
        <x:v>0</x:v>
      </x:c>
      <x:c r="L1804" s="15" t="n">
        <x:f>IF(J1804=0,"해당 없음",K1804/J1804)</x:f>
        <x:v>0</x:v>
      </x:c>
      <x:c r="M1804" s="14" t="n">
        <x:v>9</x:v>
      </x:c>
      <x:c r="N1804" s="14" t="n">
        <x:v>6</x:v>
      </x:c>
      <x:c r="O1804" s="15" t="n">
        <x:f>IF(M1804=0,"해당 없음",N1804/M1804)</x:f>
        <x:v>0.6666666666666666</x:v>
      </x:c>
      <x:c r="P1804" s="14" t="n">
        <x:v>102</x:v>
      </x:c>
    </x:row>
    <x:row r="1805" ht="22" customHeight="1">
      <x:c r="A1805" s="14" t="n">
        <x:v>900</x:v>
      </x:c>
      <x:c r="B1805" s="14" t="n">
        <x:v>23</x:v>
      </x:c>
      <x:c r="C1805" s="14" t="n">
        <x:v>76009</x:v>
      </x:c>
      <x:c r="D1805" s="2" t="str">
        <x:v>NAVY</x:v>
      </x:c>
      <x:c r="E1805" s="2" t="str">
        <x:v>120만</x:v>
      </x:c>
      <x:c r="F1805" s="2" t="str">
        <x:v>160만</x:v>
      </x:c>
      <x:c r="G1805" s="2" t="str">
        <x:v>승</x:v>
      </x:c>
      <x:c r="H1805" s="14" t="n">
        <x:v>2</x:v>
      </x:c>
      <x:c r="I1805" s="14" t="n">
        <x:v>0</x:v>
      </x:c>
      <x:c r="J1805" s="14" t="n">
        <x:v>7</x:v>
      </x:c>
      <x:c r="K1805" s="14" t="n">
        <x:v>2</x:v>
      </x:c>
      <x:c r="L1805" s="15" t="n">
        <x:f>IF(J1805=0,"해당 없음",K1805/J1805)</x:f>
        <x:v>0.2857142857142857</x:v>
      </x:c>
      <x:c r="M1805" s="14" t="n">
        <x:v>13</x:v>
      </x:c>
      <x:c r="N1805" s="14" t="n">
        <x:v>8</x:v>
      </x:c>
      <x:c r="O1805" s="15" t="n">
        <x:f>IF(M1805=0,"해당 없음",N1805/M1805)</x:f>
        <x:v>0.6153846153846154</x:v>
      </x:c>
      <x:c r="P1805" s="14" t="n">
        <x:v>101</x:v>
      </x:c>
    </x:row>
    <x:row r="1806" ht="22" customHeight="1">
      <x:c r="A1806" s="14" t="n">
        <x:v>901</x:v>
      </x:c>
      <x:c r="B1806" s="14" t="n">
        <x:v>23</x:v>
      </x:c>
      <x:c r="C1806" s="14" t="n">
        <x:v>76010</x:v>
      </x:c>
      <x:c r="D1806" s="2" t="str">
        <x:v>RED</x:v>
      </x:c>
      <x:c r="E1806" s="2" t="str">
        <x:v>120만</x:v>
      </x:c>
      <x:c r="F1806" s="2" t="str">
        <x:v>160만</x:v>
      </x:c>
      <x:c r="G1806" s="2" t="str">
        <x:v>패</x:v>
      </x:c>
      <x:c r="H1806" s="14" t="n">
        <x:v>2</x:v>
      </x:c>
      <x:c r="I1806" s="14" t="n">
        <x:v>3</x:v>
      </x:c>
      <x:c r="J1806" s="14" t="n">
        <x:v>7</x:v>
      </x:c>
      <x:c r="K1806" s="14" t="n">
        <x:v>2</x:v>
      </x:c>
      <x:c r="L1806" s="15" t="n">
        <x:f>IF(J1806=0,"해당 없음",K1806/J1806)</x:f>
        <x:v>0.2857142857142857</x:v>
      </x:c>
      <x:c r="M1806" s="14" t="n">
        <x:v>8</x:v>
      </x:c>
      <x:c r="N1806" s="14" t="n">
        <x:v>3</x:v>
      </x:c>
      <x:c r="O1806" s="15" t="n">
        <x:f>IF(M1806=0,"해당 없음",N1806/M1806)</x:f>
        <x:v>0.375</x:v>
      </x:c>
      <x:c r="P1806" s="14" t="n">
        <x:v>105</x:v>
      </x:c>
    </x:row>
    <x:row r="1807" ht="22" customHeight="1">
      <x:c r="A1807" s="14" t="n">
        <x:v>901</x:v>
      </x:c>
      <x:c r="B1807" s="14" t="n">
        <x:v>23</x:v>
      </x:c>
      <x:c r="C1807" s="14" t="n">
        <x:v>76010</x:v>
      </x:c>
      <x:c r="D1807" s="2" t="str">
        <x:v>NAVY</x:v>
      </x:c>
      <x:c r="E1807" s="2" t="str">
        <x:v>160만</x:v>
      </x:c>
      <x:c r="F1807" s="2" t="str">
        <x:v>120만</x:v>
      </x:c>
      <x:c r="G1807" s="2" t="str">
        <x:v>승</x:v>
      </x:c>
      <x:c r="H1807" s="14" t="n">
        <x:v>3</x:v>
      </x:c>
      <x:c r="I1807" s="14" t="n">
        <x:v>2</x:v>
      </x:c>
      <x:c r="J1807" s="14" t="n">
        <x:v>8</x:v>
      </x:c>
      <x:c r="K1807" s="14" t="n">
        <x:v>3</x:v>
      </x:c>
      <x:c r="L1807" s="15" t="n">
        <x:f>IF(J1807=0,"해당 없음",K1807/J1807)</x:f>
        <x:v>0.375</x:v>
      </x:c>
      <x:c r="M1807" s="14" t="n">
        <x:v>13</x:v>
      </x:c>
      <x:c r="N1807" s="14" t="n">
        <x:v>10</x:v>
      </x:c>
      <x:c r="O1807" s="15" t="n">
        <x:f>IF(M1807=0,"해당 없음",N1807/M1807)</x:f>
        <x:v>0.7692307692307693</x:v>
      </x:c>
      <x:c r="P1807" s="14" t="n">
        <x:v>103</x:v>
      </x:c>
    </x:row>
    <x:row r="1808" ht="22" customHeight="1">
      <x:c r="A1808" s="14" t="n">
        <x:v>902</x:v>
      </x:c>
      <x:c r="B1808" s="14" t="n">
        <x:v>23</x:v>
      </x:c>
      <x:c r="C1808" s="14" t="n">
        <x:v>76010</x:v>
      </x:c>
      <x:c r="D1808" s="2" t="str">
        <x:v>RED</x:v>
      </x:c>
      <x:c r="E1808" s="2" t="str">
        <x:v>160만</x:v>
      </x:c>
      <x:c r="F1808" s="2" t="str">
        <x:v>120만</x:v>
      </x:c>
      <x:c r="G1808" s="2" t="str">
        <x:v>무</x:v>
      </x:c>
      <x:c r="H1808" s="14" t="n">
        <x:v>1</x:v>
      </x:c>
      <x:c r="I1808" s="14" t="n">
        <x:v>1</x:v>
      </x:c>
      <x:c r="J1808" s="14" t="n">
        <x:v>11</x:v>
      </x:c>
      <x:c r="K1808" s="14" t="n">
        <x:v>1</x:v>
      </x:c>
      <x:c r="L1808" s="15" t="n">
        <x:f>IF(J1808=0,"해당 없음",K1808/J1808)</x:f>
        <x:v>0.09090909090909091</x:v>
      </x:c>
      <x:c r="M1808" s="14" t="n">
        <x:v>14</x:v>
      </x:c>
      <x:c r="N1808" s="14" t="n">
        <x:v>12</x:v>
      </x:c>
      <x:c r="O1808" s="15" t="n">
        <x:f>IF(M1808=0,"해당 없음",N1808/M1808)</x:f>
        <x:v>0.8571428571428571</x:v>
      </x:c>
      <x:c r="P1808" s="14" t="n">
        <x:v>103</x:v>
      </x:c>
    </x:row>
    <x:row r="1809" ht="22" customHeight="1">
      <x:c r="A1809" s="14" t="n">
        <x:v>902</x:v>
      </x:c>
      <x:c r="B1809" s="14" t="n">
        <x:v>23</x:v>
      </x:c>
      <x:c r="C1809" s="14" t="n">
        <x:v>76010</x:v>
      </x:c>
      <x:c r="D1809" s="2" t="str">
        <x:v>NAVY</x:v>
      </x:c>
      <x:c r="E1809" s="2" t="str">
        <x:v>120만</x:v>
      </x:c>
      <x:c r="F1809" s="2" t="str">
        <x:v>160만</x:v>
      </x:c>
      <x:c r="G1809" s="2" t="str">
        <x:v>무</x:v>
      </x:c>
      <x:c r="H1809" s="14" t="n">
        <x:v>1</x:v>
      </x:c>
      <x:c r="I1809" s="14" t="n">
        <x:v>1</x:v>
      </x:c>
      <x:c r="J1809" s="14" t="n">
        <x:v>8</x:v>
      </x:c>
      <x:c r="K1809" s="14" t="n">
        <x:v>1</x:v>
      </x:c>
      <x:c r="L1809" s="15" t="n">
        <x:f>IF(J1809=0,"해당 없음",K1809/J1809)</x:f>
        <x:v>0.125</x:v>
      </x:c>
      <x:c r="M1809" s="14" t="n">
        <x:v>14</x:v>
      </x:c>
      <x:c r="N1809" s="14" t="n">
        <x:v>11</x:v>
      </x:c>
      <x:c r="O1809" s="15" t="n">
        <x:f>IF(M1809=0,"해당 없음",N1809/M1809)</x:f>
        <x:v>0.7857142857142857</x:v>
      </x:c>
      <x:c r="P1809" s="14" t="n">
        <x:v>102</x:v>
      </x:c>
    </x:row>
    <x:row r="1810" ht="22" customHeight="1">
      <x:c r="A1810" s="14" t="n">
        <x:v>903</x:v>
      </x:c>
      <x:c r="B1810" s="14" t="n">
        <x:v>23</x:v>
      </x:c>
      <x:c r="C1810" s="14" t="n">
        <x:v>76011</x:v>
      </x:c>
      <x:c r="D1810" s="2" t="str">
        <x:v>RED</x:v>
      </x:c>
      <x:c r="E1810" s="2" t="str">
        <x:v>120만</x:v>
      </x:c>
      <x:c r="F1810" s="2" t="str">
        <x:v>160만</x:v>
      </x:c>
      <x:c r="G1810" s="2" t="str">
        <x:v>승</x:v>
      </x:c>
      <x:c r="H1810" s="14" t="n">
        <x:v>3</x:v>
      </x:c>
      <x:c r="I1810" s="14" t="n">
        <x:v>1</x:v>
      </x:c>
      <x:c r="J1810" s="14" t="n">
        <x:v>12</x:v>
      </x:c>
      <x:c r="K1810" s="14" t="n">
        <x:v>3</x:v>
      </x:c>
      <x:c r="L1810" s="15" t="n">
        <x:f>IF(J1810=0,"해당 없음",K1810/J1810)</x:f>
        <x:v>0.25</x:v>
      </x:c>
      <x:c r="M1810" s="14" t="n">
        <x:v>13</x:v>
      </x:c>
      <x:c r="N1810" s="14" t="n">
        <x:v>13</x:v>
      </x:c>
      <x:c r="O1810" s="15" t="n">
        <x:f>IF(M1810=0,"해당 없음",N1810/M1810)</x:f>
        <x:v>1</x:v>
      </x:c>
      <x:c r="P1810" s="14" t="n">
        <x:v>104</x:v>
      </x:c>
    </x:row>
    <x:row r="1811" ht="22" customHeight="1">
      <x:c r="A1811" s="14" t="n">
        <x:v>903</x:v>
      </x:c>
      <x:c r="B1811" s="14" t="n">
        <x:v>23</x:v>
      </x:c>
      <x:c r="C1811" s="14" t="n">
        <x:v>76011</x:v>
      </x:c>
      <x:c r="D1811" s="2" t="str">
        <x:v>NAVY</x:v>
      </x:c>
      <x:c r="E1811" s="2" t="str">
        <x:v>160만</x:v>
      </x:c>
      <x:c r="F1811" s="2" t="str">
        <x:v>120만</x:v>
      </x:c>
      <x:c r="G1811" s="2" t="str">
        <x:v>패</x:v>
      </x:c>
      <x:c r="H1811" s="14" t="n">
        <x:v>1</x:v>
      </x:c>
      <x:c r="I1811" s="14" t="n">
        <x:v>3</x:v>
      </x:c>
      <x:c r="J1811" s="14" t="n">
        <x:v>5</x:v>
      </x:c>
      <x:c r="K1811" s="14" t="n">
        <x:v>1</x:v>
      </x:c>
      <x:c r="L1811" s="15" t="n">
        <x:f>IF(J1811=0,"해당 없음",K1811/J1811)</x:f>
        <x:v>0.2</x:v>
      </x:c>
      <x:c r="M1811" s="14" t="n">
        <x:v>12</x:v>
      </x:c>
      <x:c r="N1811" s="14" t="n">
        <x:v>7</x:v>
      </x:c>
      <x:c r="O1811" s="15" t="n">
        <x:f>IF(M1811=0,"해당 없음",N1811/M1811)</x:f>
        <x:v>0.5833333333333334</x:v>
      </x:c>
      <x:c r="P1811" s="14" t="n">
        <x:v>103</x:v>
      </x:c>
    </x:row>
    <x:row r="1812" ht="22" customHeight="1">
      <x:c r="A1812" s="14" t="n">
        <x:v>904</x:v>
      </x:c>
      <x:c r="B1812" s="14" t="n">
        <x:v>23</x:v>
      </x:c>
      <x:c r="C1812" s="14" t="n">
        <x:v>76011</x:v>
      </x:c>
      <x:c r="D1812" s="2" t="str">
        <x:v>RED</x:v>
      </x:c>
      <x:c r="E1812" s="2" t="str">
        <x:v>160만</x:v>
      </x:c>
      <x:c r="F1812" s="2" t="str">
        <x:v>120만</x:v>
      </x:c>
      <x:c r="G1812" s="2" t="str">
        <x:v>승</x:v>
      </x:c>
      <x:c r="H1812" s="14" t="n">
        <x:v>5</x:v>
      </x:c>
      <x:c r="I1812" s="14" t="n">
        <x:v>3</x:v>
      </x:c>
      <x:c r="J1812" s="14" t="n">
        <x:v>6</x:v>
      </x:c>
      <x:c r="K1812" s="14" t="n">
        <x:v>5</x:v>
      </x:c>
      <x:c r="L1812" s="15" t="n">
        <x:f>IF(J1812=0,"해당 없음",K1812/J1812)</x:f>
        <x:v>0.8333333333333334</x:v>
      </x:c>
      <x:c r="M1812" s="14" t="n">
        <x:v>9</x:v>
      </x:c>
      <x:c r="N1812" s="14" t="n">
        <x:v>8</x:v>
      </x:c>
      <x:c r="O1812" s="15" t="n">
        <x:f>IF(M1812=0,"해당 없음",N1812/M1812)</x:f>
        <x:v>0.8888888888888888</x:v>
      </x:c>
      <x:c r="P1812" s="14" t="n">
        <x:v>103</x:v>
      </x:c>
    </x:row>
    <x:row r="1813" ht="22" customHeight="1">
      <x:c r="A1813" s="14" t="n">
        <x:v>904</x:v>
      </x:c>
      <x:c r="B1813" s="14" t="n">
        <x:v>23</x:v>
      </x:c>
      <x:c r="C1813" s="14" t="n">
        <x:v>76011</x:v>
      </x:c>
      <x:c r="D1813" s="2" t="str">
        <x:v>NAVY</x:v>
      </x:c>
      <x:c r="E1813" s="2" t="str">
        <x:v>120만</x:v>
      </x:c>
      <x:c r="F1813" s="2" t="str">
        <x:v>160만</x:v>
      </x:c>
      <x:c r="G1813" s="2" t="str">
        <x:v>패</x:v>
      </x:c>
      <x:c r="H1813" s="14" t="n">
        <x:v>3</x:v>
      </x:c>
      <x:c r="I1813" s="14" t="n">
        <x:v>5</x:v>
      </x:c>
      <x:c r="J1813" s="14" t="n">
        <x:v>8</x:v>
      </x:c>
      <x:c r="K1813" s="14" t="n">
        <x:v>3</x:v>
      </x:c>
      <x:c r="L1813" s="15" t="n">
        <x:f>IF(J1813=0,"해당 없음",K1813/J1813)</x:f>
        <x:v>0.375</x:v>
      </x:c>
      <x:c r="M1813" s="14" t="n">
        <x:v>6</x:v>
      </x:c>
      <x:c r="N1813" s="14" t="n">
        <x:v>6</x:v>
      </x:c>
      <x:c r="O1813" s="15" t="n">
        <x:f>IF(M1813=0,"해당 없음",N1813/M1813)</x:f>
        <x:v>1</x:v>
      </x:c>
      <x:c r="P1813" s="14" t="n">
        <x:v>104</x:v>
      </x:c>
    </x:row>
    <x:row r="1814" ht="22" customHeight="1">
      <x:c r="A1814" s="14" t="n">
        <x:v>905</x:v>
      </x:c>
      <x:c r="B1814" s="14" t="n">
        <x:v>23</x:v>
      </x:c>
      <x:c r="C1814" s="14" t="n">
        <x:v>76012</x:v>
      </x:c>
      <x:c r="D1814" s="2" t="str">
        <x:v>RED</x:v>
      </x:c>
      <x:c r="E1814" s="2" t="str">
        <x:v>120만</x:v>
      </x:c>
      <x:c r="F1814" s="2" t="str">
        <x:v>160만</x:v>
      </x:c>
      <x:c r="G1814" s="2" t="str">
        <x:v>무</x:v>
      </x:c>
      <x:c r="H1814" s="14" t="n">
        <x:v>1</x:v>
      </x:c>
      <x:c r="I1814" s="14" t="n">
        <x:v>1</x:v>
      </x:c>
      <x:c r="J1814" s="14" t="n">
        <x:v>8</x:v>
      </x:c>
      <x:c r="K1814" s="14" t="n">
        <x:v>1</x:v>
      </x:c>
      <x:c r="L1814" s="15" t="n">
        <x:f>IF(J1814=0,"해당 없음",K1814/J1814)</x:f>
        <x:v>0.125</x:v>
      </x:c>
      <x:c r="M1814" s="14" t="n">
        <x:v>9</x:v>
      </x:c>
      <x:c r="N1814" s="14" t="n">
        <x:v>6</x:v>
      </x:c>
      <x:c r="O1814" s="15" t="n">
        <x:f>IF(M1814=0,"해당 없음",N1814/M1814)</x:f>
        <x:v>0.6666666666666666</x:v>
      </x:c>
      <x:c r="P1814" s="14" t="n">
        <x:v>101</x:v>
      </x:c>
    </x:row>
    <x:row r="1815" ht="22" customHeight="1">
      <x:c r="A1815" s="14" t="n">
        <x:v>905</x:v>
      </x:c>
      <x:c r="B1815" s="14" t="n">
        <x:v>23</x:v>
      </x:c>
      <x:c r="C1815" s="14" t="n">
        <x:v>76012</x:v>
      </x:c>
      <x:c r="D1815" s="2" t="str">
        <x:v>NAVY</x:v>
      </x:c>
      <x:c r="E1815" s="2" t="str">
        <x:v>160만</x:v>
      </x:c>
      <x:c r="F1815" s="2" t="str">
        <x:v>120만</x:v>
      </x:c>
      <x:c r="G1815" s="2" t="str">
        <x:v>무</x:v>
      </x:c>
      <x:c r="H1815" s="14" t="n">
        <x:v>1</x:v>
      </x:c>
      <x:c r="I1815" s="14" t="n">
        <x:v>1</x:v>
      </x:c>
      <x:c r="J1815" s="14" t="n">
        <x:v>8</x:v>
      </x:c>
      <x:c r="K1815" s="14" t="n">
        <x:v>1</x:v>
      </x:c>
      <x:c r="L1815" s="15" t="n">
        <x:f>IF(J1815=0,"해당 없음",K1815/J1815)</x:f>
        <x:v>0.125</x:v>
      </x:c>
      <x:c r="M1815" s="14" t="n">
        <x:v>12</x:v>
      </x:c>
      <x:c r="N1815" s="14" t="n">
        <x:v>8</x:v>
      </x:c>
      <x:c r="O1815" s="15" t="n">
        <x:f>IF(M1815=0,"해당 없음",N1815/M1815)</x:f>
        <x:v>0.6666666666666666</x:v>
      </x:c>
      <x:c r="P1815" s="14" t="n">
        <x:v>101</x:v>
      </x:c>
    </x:row>
    <x:row r="1816" ht="22" customHeight="1">
      <x:c r="A1816" s="14" t="n">
        <x:v>906</x:v>
      </x:c>
      <x:c r="B1816" s="14" t="n">
        <x:v>23</x:v>
      </x:c>
      <x:c r="C1816" s="14" t="n">
        <x:v>76012</x:v>
      </x:c>
      <x:c r="D1816" s="2" t="str">
        <x:v>RED</x:v>
      </x:c>
      <x:c r="E1816" s="2" t="str">
        <x:v>160만</x:v>
      </x:c>
      <x:c r="F1816" s="2" t="str">
        <x:v>120만</x:v>
      </x:c>
      <x:c r="G1816" s="2" t="str">
        <x:v>패</x:v>
      </x:c>
      <x:c r="H1816" s="14" t="n">
        <x:v>1</x:v>
      </x:c>
      <x:c r="I1816" s="14" t="n">
        <x:v>2</x:v>
      </x:c>
      <x:c r="J1816" s="14" t="n">
        <x:v>5</x:v>
      </x:c>
      <x:c r="K1816" s="14" t="n">
        <x:v>1</x:v>
      </x:c>
      <x:c r="L1816" s="15" t="n">
        <x:f>IF(J1816=0,"해당 없음",K1816/J1816)</x:f>
        <x:v>0.2</x:v>
      </x:c>
      <x:c r="M1816" s="14" t="n">
        <x:v>12</x:v>
      </x:c>
      <x:c r="N1816" s="14" t="n">
        <x:v>8</x:v>
      </x:c>
      <x:c r="O1816" s="15" t="n">
        <x:f>IF(M1816=0,"해당 없음",N1816/M1816)</x:f>
        <x:v>0.6666666666666666</x:v>
      </x:c>
      <x:c r="P1816" s="14" t="n">
        <x:v>102</x:v>
      </x:c>
    </x:row>
    <x:row r="1817" ht="22" customHeight="1">
      <x:c r="A1817" s="14" t="n">
        <x:v>906</x:v>
      </x:c>
      <x:c r="B1817" s="14" t="n">
        <x:v>23</x:v>
      </x:c>
      <x:c r="C1817" s="14" t="n">
        <x:v>76012</x:v>
      </x:c>
      <x:c r="D1817" s="2" t="str">
        <x:v>NAVY</x:v>
      </x:c>
      <x:c r="E1817" s="2" t="str">
        <x:v>120만</x:v>
      </x:c>
      <x:c r="F1817" s="2" t="str">
        <x:v>160만</x:v>
      </x:c>
      <x:c r="G1817" s="2" t="str">
        <x:v>승</x:v>
      </x:c>
      <x:c r="H1817" s="14" t="n">
        <x:v>2</x:v>
      </x:c>
      <x:c r="I1817" s="14" t="n">
        <x:v>1</x:v>
      </x:c>
      <x:c r="J1817" s="14" t="n">
        <x:v>7</x:v>
      </x:c>
      <x:c r="K1817" s="14" t="n">
        <x:v>2</x:v>
      </x:c>
      <x:c r="L1817" s="15" t="n">
        <x:f>IF(J1817=0,"해당 없음",K1817/J1817)</x:f>
        <x:v>0.2857142857142857</x:v>
      </x:c>
      <x:c r="M1817" s="14" t="n">
        <x:v>12</x:v>
      </x:c>
      <x:c r="N1817" s="14" t="n">
        <x:v>10</x:v>
      </x:c>
      <x:c r="O1817" s="15" t="n">
        <x:f>IF(M1817=0,"해당 없음",N1817/M1817)</x:f>
        <x:v>0.8333333333333334</x:v>
      </x:c>
      <x:c r="P1817" s="14" t="n">
        <x:v>102</x:v>
      </x:c>
    </x:row>
    <x:row r="1818" ht="22" customHeight="1">
      <x:c r="A1818" s="14" t="n">
        <x:v>907</x:v>
      </x:c>
      <x:c r="B1818" s="14" t="n">
        <x:v>23</x:v>
      </x:c>
      <x:c r="C1818" s="14" t="n">
        <x:v>76013</x:v>
      </x:c>
      <x:c r="D1818" s="2" t="str">
        <x:v>RED</x:v>
      </x:c>
      <x:c r="E1818" s="2" t="str">
        <x:v>120만</x:v>
      </x:c>
      <x:c r="F1818" s="2" t="str">
        <x:v>160만</x:v>
      </x:c>
      <x:c r="G1818" s="2" t="str">
        <x:v>승</x:v>
      </x:c>
      <x:c r="H1818" s="14" t="n">
        <x:v>2</x:v>
      </x:c>
      <x:c r="I1818" s="14" t="n">
        <x:v>0</x:v>
      </x:c>
      <x:c r="J1818" s="14" t="n">
        <x:v>10</x:v>
      </x:c>
      <x:c r="K1818" s="14" t="n">
        <x:v>2</x:v>
      </x:c>
      <x:c r="L1818" s="15" t="n">
        <x:f>IF(J1818=0,"해당 없음",K1818/J1818)</x:f>
        <x:v>0.2</x:v>
      </x:c>
      <x:c r="M1818" s="14" t="n">
        <x:v>11</x:v>
      </x:c>
      <x:c r="N1818" s="14" t="n">
        <x:v>8</x:v>
      </x:c>
      <x:c r="O1818" s="15" t="n">
        <x:f>IF(M1818=0,"해당 없음",N1818/M1818)</x:f>
        <x:v>0.7272727272727273</x:v>
      </x:c>
      <x:c r="P1818" s="14" t="n">
        <x:v>103</x:v>
      </x:c>
    </x:row>
    <x:row r="1819" ht="22" customHeight="1">
      <x:c r="A1819" s="14" t="n">
        <x:v>907</x:v>
      </x:c>
      <x:c r="B1819" s="14" t="n">
        <x:v>23</x:v>
      </x:c>
      <x:c r="C1819" s="14" t="n">
        <x:v>76013</x:v>
      </x:c>
      <x:c r="D1819" s="2" t="str">
        <x:v>NAVY</x:v>
      </x:c>
      <x:c r="E1819" s="2" t="str">
        <x:v>160만</x:v>
      </x:c>
      <x:c r="F1819" s="2" t="str">
        <x:v>120만</x:v>
      </x:c>
      <x:c r="G1819" s="2" t="str">
        <x:v>패</x:v>
      </x:c>
      <x:c r="H1819" s="14" t="n">
        <x:v>0</x:v>
      </x:c>
      <x:c r="I1819" s="14" t="n">
        <x:v>2</x:v>
      </x:c>
      <x:c r="J1819" s="14" t="n">
        <x:v>8</x:v>
      </x:c>
      <x:c r="K1819" s="14" t="n">
        <x:v>0</x:v>
      </x:c>
      <x:c r="L1819" s="15" t="n">
        <x:f>IF(J1819=0,"해당 없음",K1819/J1819)</x:f>
        <x:v>0</x:v>
      </x:c>
      <x:c r="M1819" s="14" t="n">
        <x:v>8</x:v>
      </x:c>
      <x:c r="N1819" s="14" t="n">
        <x:v>5</x:v>
      </x:c>
      <x:c r="O1819" s="15" t="n">
        <x:f>IF(M1819=0,"해당 없음",N1819/M1819)</x:f>
        <x:v>0.625</x:v>
      </x:c>
      <x:c r="P1819" s="14" t="n">
        <x:v>103</x:v>
      </x:c>
    </x:row>
    <x:row r="1820" ht="22" customHeight="1">
      <x:c r="A1820" s="14" t="n">
        <x:v>908</x:v>
      </x:c>
      <x:c r="B1820" s="14" t="n">
        <x:v>23</x:v>
      </x:c>
      <x:c r="C1820" s="14" t="n">
        <x:v>76013</x:v>
      </x:c>
      <x:c r="D1820" s="2" t="str">
        <x:v>RED</x:v>
      </x:c>
      <x:c r="E1820" s="2" t="str">
        <x:v>160만</x:v>
      </x:c>
      <x:c r="F1820" s="2" t="str">
        <x:v>120만</x:v>
      </x:c>
      <x:c r="G1820" s="2" t="str">
        <x:v>패</x:v>
      </x:c>
      <x:c r="H1820" s="14" t="n">
        <x:v>3</x:v>
      </x:c>
      <x:c r="I1820" s="14" t="n">
        <x:v>4</x:v>
      </x:c>
      <x:c r="J1820" s="14" t="n">
        <x:v>10</x:v>
      </x:c>
      <x:c r="K1820" s="14" t="n">
        <x:v>3</x:v>
      </x:c>
      <x:c r="L1820" s="15" t="n">
        <x:f>IF(J1820=0,"해당 없음",K1820/J1820)</x:f>
        <x:v>0.3</x:v>
      </x:c>
      <x:c r="M1820" s="14" t="n">
        <x:v>8</x:v>
      </x:c>
      <x:c r="N1820" s="14" t="n">
        <x:v>8</x:v>
      </x:c>
      <x:c r="O1820" s="15" t="n">
        <x:f>IF(M1820=0,"해당 없음",N1820/M1820)</x:f>
        <x:v>1</x:v>
      </x:c>
      <x:c r="P1820" s="14" t="n">
        <x:v>105</x:v>
      </x:c>
    </x:row>
    <x:row r="1821" ht="22" customHeight="1">
      <x:c r="A1821" s="14" t="n">
        <x:v>908</x:v>
      </x:c>
      <x:c r="B1821" s="14" t="n">
        <x:v>23</x:v>
      </x:c>
      <x:c r="C1821" s="14" t="n">
        <x:v>76013</x:v>
      </x:c>
      <x:c r="D1821" s="2" t="str">
        <x:v>NAVY</x:v>
      </x:c>
      <x:c r="E1821" s="2" t="str">
        <x:v>120만</x:v>
      </x:c>
      <x:c r="F1821" s="2" t="str">
        <x:v>160만</x:v>
      </x:c>
      <x:c r="G1821" s="2" t="str">
        <x:v>승</x:v>
      </x:c>
      <x:c r="H1821" s="14" t="n">
        <x:v>4</x:v>
      </x:c>
      <x:c r="I1821" s="14" t="n">
        <x:v>3</x:v>
      </x:c>
      <x:c r="J1821" s="14" t="n">
        <x:v>8</x:v>
      </x:c>
      <x:c r="K1821" s="14" t="n">
        <x:v>4</x:v>
      </x:c>
      <x:c r="L1821" s="15" t="n">
        <x:f>IF(J1821=0,"해당 없음",K1821/J1821)</x:f>
        <x:v>0.5</x:v>
      </x:c>
      <x:c r="M1821" s="14" t="n">
        <x:v>9</x:v>
      </x:c>
      <x:c r="N1821" s="14" t="n">
        <x:v>7</x:v>
      </x:c>
      <x:c r="O1821" s="15" t="n">
        <x:f>IF(M1821=0,"해당 없음",N1821/M1821)</x:f>
        <x:v>0.7777777777777778</x:v>
      </x:c>
      <x:c r="P1821" s="14" t="n">
        <x:v>105</x:v>
      </x:c>
    </x:row>
    <x:row r="1822" ht="22" customHeight="1">
      <x:c r="A1822" s="14" t="n">
        <x:v>909</x:v>
      </x:c>
      <x:c r="B1822" s="14" t="n">
        <x:v>23</x:v>
      </x:c>
      <x:c r="C1822" s="14" t="n">
        <x:v>76014</x:v>
      </x:c>
      <x:c r="D1822" s="2" t="str">
        <x:v>RED</x:v>
      </x:c>
      <x:c r="E1822" s="2" t="str">
        <x:v>120만</x:v>
      </x:c>
      <x:c r="F1822" s="2" t="str">
        <x:v>160만</x:v>
      </x:c>
      <x:c r="G1822" s="2" t="str">
        <x:v>승</x:v>
      </x:c>
      <x:c r="H1822" s="14" t="n">
        <x:v>2</x:v>
      </x:c>
      <x:c r="I1822" s="14" t="n">
        <x:v>1</x:v>
      </x:c>
      <x:c r="J1822" s="14" t="n">
        <x:v>8</x:v>
      </x:c>
      <x:c r="K1822" s="14" t="n">
        <x:v>2</x:v>
      </x:c>
      <x:c r="L1822" s="15" t="n">
        <x:f>IF(J1822=0,"해당 없음",K1822/J1822)</x:f>
        <x:v>0.25</x:v>
      </x:c>
      <x:c r="M1822" s="14" t="n">
        <x:v>15</x:v>
      </x:c>
      <x:c r="N1822" s="14" t="n">
        <x:v>11</x:v>
      </x:c>
      <x:c r="O1822" s="15" t="n">
        <x:f>IF(M1822=0,"해당 없음",N1822/M1822)</x:f>
        <x:v>0.7333333333333333</x:v>
      </x:c>
      <x:c r="P1822" s="14" t="n">
        <x:v>103</x:v>
      </x:c>
    </x:row>
    <x:row r="1823" ht="22" customHeight="1">
      <x:c r="A1823" s="14" t="n">
        <x:v>909</x:v>
      </x:c>
      <x:c r="B1823" s="14" t="n">
        <x:v>23</x:v>
      </x:c>
      <x:c r="C1823" s="14" t="n">
        <x:v>76014</x:v>
      </x:c>
      <x:c r="D1823" s="2" t="str">
        <x:v>NAVY</x:v>
      </x:c>
      <x:c r="E1823" s="2" t="str">
        <x:v>160만</x:v>
      </x:c>
      <x:c r="F1823" s="2" t="str">
        <x:v>120만</x:v>
      </x:c>
      <x:c r="G1823" s="2" t="str">
        <x:v>패</x:v>
      </x:c>
      <x:c r="H1823" s="14" t="n">
        <x:v>1</x:v>
      </x:c>
      <x:c r="I1823" s="14" t="n">
        <x:v>2</x:v>
      </x:c>
      <x:c r="J1823" s="14" t="n">
        <x:v>6</x:v>
      </x:c>
      <x:c r="K1823" s="14" t="n">
        <x:v>1</x:v>
      </x:c>
      <x:c r="L1823" s="15" t="n">
        <x:f>IF(J1823=0,"해당 없음",K1823/J1823)</x:f>
        <x:v>0.16666666666666666</x:v>
      </x:c>
      <x:c r="M1823" s="14" t="n">
        <x:v>11</x:v>
      </x:c>
      <x:c r="N1823" s="14" t="n">
        <x:v>9</x:v>
      </x:c>
      <x:c r="O1823" s="15" t="n">
        <x:f>IF(M1823=0,"해당 없음",N1823/M1823)</x:f>
        <x:v>0.8181818181818182</x:v>
      </x:c>
      <x:c r="P1823" s="14" t="n">
        <x:v>103</x:v>
      </x:c>
    </x:row>
    <x:row r="1824" ht="22" customHeight="1">
      <x:c r="A1824" s="14" t="n">
        <x:v>910</x:v>
      </x:c>
      <x:c r="B1824" s="14" t="n">
        <x:v>23</x:v>
      </x:c>
      <x:c r="C1824" s="14" t="n">
        <x:v>76014</x:v>
      </x:c>
      <x:c r="D1824" s="2" t="str">
        <x:v>RED</x:v>
      </x:c>
      <x:c r="E1824" s="2" t="str">
        <x:v>160만</x:v>
      </x:c>
      <x:c r="F1824" s="2" t="str">
        <x:v>120만</x:v>
      </x:c>
      <x:c r="G1824" s="2" t="str">
        <x:v>승</x:v>
      </x:c>
      <x:c r="H1824" s="14" t="n">
        <x:v>4</x:v>
      </x:c>
      <x:c r="I1824" s="14" t="n">
        <x:v>0</x:v>
      </x:c>
      <x:c r="J1824" s="14" t="n">
        <x:v>12</x:v>
      </x:c>
      <x:c r="K1824" s="14" t="n">
        <x:v>4</x:v>
      </x:c>
      <x:c r="L1824" s="15" t="n">
        <x:f>IF(J1824=0,"해당 없음",K1824/J1824)</x:f>
        <x:v>0.3333333333333333</x:v>
      </x:c>
      <x:c r="M1824" s="14" t="n">
        <x:v>12</x:v>
      </x:c>
      <x:c r="N1824" s="14" t="n">
        <x:v>8</x:v>
      </x:c>
      <x:c r="O1824" s="15" t="n">
        <x:f>IF(M1824=0,"해당 없음",N1824/M1824)</x:f>
        <x:v>0.6666666666666666</x:v>
      </x:c>
      <x:c r="P1824" s="14" t="n">
        <x:v>104</x:v>
      </x:c>
    </x:row>
    <x:row r="1825" ht="22" customHeight="1">
      <x:c r="A1825" s="14" t="n">
        <x:v>910</x:v>
      </x:c>
      <x:c r="B1825" s="14" t="n">
        <x:v>23</x:v>
      </x:c>
      <x:c r="C1825" s="14" t="n">
        <x:v>76014</x:v>
      </x:c>
      <x:c r="D1825" s="2" t="str">
        <x:v>NAVY</x:v>
      </x:c>
      <x:c r="E1825" s="2" t="str">
        <x:v>120만</x:v>
      </x:c>
      <x:c r="F1825" s="2" t="str">
        <x:v>160만</x:v>
      </x:c>
      <x:c r="G1825" s="2" t="str">
        <x:v>패</x:v>
      </x:c>
      <x:c r="H1825" s="14" t="n">
        <x:v>0</x:v>
      </x:c>
      <x:c r="I1825" s="14" t="n">
        <x:v>4</x:v>
      </x:c>
      <x:c r="J1825" s="14" t="n">
        <x:v>9</x:v>
      </x:c>
      <x:c r="K1825" s="14" t="n">
        <x:v>0</x:v>
      </x:c>
      <x:c r="L1825" s="15" t="n">
        <x:f>IF(J1825=0,"해당 없음",K1825/J1825)</x:f>
        <x:v>0</x:v>
      </x:c>
      <x:c r="M1825" s="14" t="n">
        <x:v>6</x:v>
      </x:c>
      <x:c r="N1825" s="14" t="n">
        <x:v>2</x:v>
      </x:c>
      <x:c r="O1825" s="15" t="n">
        <x:f>IF(M1825=0,"해당 없음",N1825/M1825)</x:f>
        <x:v>0.3333333333333333</x:v>
      </x:c>
      <x:c r="P1825" s="14" t="n">
        <x:v>101</x:v>
      </x:c>
    </x:row>
    <x:row r="1826" ht="22" customHeight="1">
      <x:c r="A1826" s="14" t="n">
        <x:v>911</x:v>
      </x:c>
      <x:c r="B1826" s="14" t="n">
        <x:v>23</x:v>
      </x:c>
      <x:c r="C1826" s="14" t="n">
        <x:v>76015</x:v>
      </x:c>
      <x:c r="D1826" s="2" t="str">
        <x:v>RED</x:v>
      </x:c>
      <x:c r="E1826" s="2" t="str">
        <x:v>120만</x:v>
      </x:c>
      <x:c r="F1826" s="2" t="str">
        <x:v>160만</x:v>
      </x:c>
      <x:c r="G1826" s="2" t="str">
        <x:v>승</x:v>
      </x:c>
      <x:c r="H1826" s="14" t="n">
        <x:v>4</x:v>
      </x:c>
      <x:c r="I1826" s="14" t="n">
        <x:v>1</x:v>
      </x:c>
      <x:c r="J1826" s="14" t="n">
        <x:v>11</x:v>
      </x:c>
      <x:c r="K1826" s="14" t="n">
        <x:v>4</x:v>
      </x:c>
      <x:c r="L1826" s="15" t="n">
        <x:f>IF(J1826=0,"해당 없음",K1826/J1826)</x:f>
        <x:v>0.36363636363636365</x:v>
      </x:c>
      <x:c r="M1826" s="14" t="n">
        <x:v>8</x:v>
      </x:c>
      <x:c r="N1826" s="14" t="n">
        <x:v>7</x:v>
      </x:c>
      <x:c r="O1826" s="15" t="n">
        <x:f>IF(M1826=0,"해당 없음",N1826/M1826)</x:f>
        <x:v>0.875</x:v>
      </x:c>
      <x:c r="P1826" s="14" t="n">
        <x:v>105</x:v>
      </x:c>
    </x:row>
    <x:row r="1827" ht="22" customHeight="1">
      <x:c r="A1827" s="14" t="n">
        <x:v>911</x:v>
      </x:c>
      <x:c r="B1827" s="14" t="n">
        <x:v>23</x:v>
      </x:c>
      <x:c r="C1827" s="14" t="n">
        <x:v>76015</x:v>
      </x:c>
      <x:c r="D1827" s="2" t="str">
        <x:v>NAVY</x:v>
      </x:c>
      <x:c r="E1827" s="2" t="str">
        <x:v>160만</x:v>
      </x:c>
      <x:c r="F1827" s="2" t="str">
        <x:v>120만</x:v>
      </x:c>
      <x:c r="G1827" s="2" t="str">
        <x:v>패</x:v>
      </x:c>
      <x:c r="H1827" s="14" t="n">
        <x:v>1</x:v>
      </x:c>
      <x:c r="I1827" s="14" t="n">
        <x:v>4</x:v>
      </x:c>
      <x:c r="J1827" s="14" t="n">
        <x:v>6</x:v>
      </x:c>
      <x:c r="K1827" s="14" t="n">
        <x:v>1</x:v>
      </x:c>
      <x:c r="L1827" s="15" t="n">
        <x:f>IF(J1827=0,"해당 없음",K1827/J1827)</x:f>
        <x:v>0.16666666666666666</x:v>
      </x:c>
      <x:c r="M1827" s="14" t="n">
        <x:v>8</x:v>
      </x:c>
      <x:c r="N1827" s="14" t="n">
        <x:v>4</x:v>
      </x:c>
      <x:c r="O1827" s="15" t="n">
        <x:f>IF(M1827=0,"해당 없음",N1827/M1827)</x:f>
        <x:v>0.5</x:v>
      </x:c>
      <x:c r="P1827" s="14" t="n">
        <x:v>105</x:v>
      </x:c>
    </x:row>
    <x:row r="1828" ht="22" customHeight="1">
      <x:c r="A1828" s="14" t="n">
        <x:v>912</x:v>
      </x:c>
      <x:c r="B1828" s="14" t="n">
        <x:v>23</x:v>
      </x:c>
      <x:c r="C1828" s="14" t="n">
        <x:v>76015</x:v>
      </x:c>
      <x:c r="D1828" s="2" t="str">
        <x:v>RED</x:v>
      </x:c>
      <x:c r="E1828" s="2" t="str">
        <x:v>160만</x:v>
      </x:c>
      <x:c r="F1828" s="2" t="str">
        <x:v>120만</x:v>
      </x:c>
      <x:c r="G1828" s="2" t="str">
        <x:v>무</x:v>
      </x:c>
      <x:c r="H1828" s="14" t="n">
        <x:v>2</x:v>
      </x:c>
      <x:c r="I1828" s="14" t="n">
        <x:v>2</x:v>
      </x:c>
      <x:c r="J1828" s="14" t="n">
        <x:v>6</x:v>
      </x:c>
      <x:c r="K1828" s="14" t="n">
        <x:v>2</x:v>
      </x:c>
      <x:c r="L1828" s="15" t="n">
        <x:f>IF(J1828=0,"해당 없음",K1828/J1828)</x:f>
        <x:v>0.3333333333333333</x:v>
      </x:c>
      <x:c r="M1828" s="14" t="n">
        <x:v>13</x:v>
      </x:c>
      <x:c r="N1828" s="14" t="n">
        <x:v>10</x:v>
      </x:c>
      <x:c r="O1828" s="15" t="n">
        <x:f>IF(M1828=0,"해당 없음",N1828/M1828)</x:f>
        <x:v>0.7692307692307693</x:v>
      </x:c>
      <x:c r="P1828" s="14" t="n">
        <x:v>101</x:v>
      </x:c>
    </x:row>
    <x:row r="1829" ht="22" customHeight="1">
      <x:c r="A1829" s="14" t="n">
        <x:v>912</x:v>
      </x:c>
      <x:c r="B1829" s="14" t="n">
        <x:v>23</x:v>
      </x:c>
      <x:c r="C1829" s="14" t="n">
        <x:v>76015</x:v>
      </x:c>
      <x:c r="D1829" s="2" t="str">
        <x:v>NAVY</x:v>
      </x:c>
      <x:c r="E1829" s="2" t="str">
        <x:v>120만</x:v>
      </x:c>
      <x:c r="F1829" s="2" t="str">
        <x:v>160만</x:v>
      </x:c>
      <x:c r="G1829" s="2" t="str">
        <x:v>무</x:v>
      </x:c>
      <x:c r="H1829" s="14" t="n">
        <x:v>2</x:v>
      </x:c>
      <x:c r="I1829" s="14" t="n">
        <x:v>2</x:v>
      </x:c>
      <x:c r="J1829" s="14" t="n">
        <x:v>10</x:v>
      </x:c>
      <x:c r="K1829" s="14" t="n">
        <x:v>2</x:v>
      </x:c>
      <x:c r="L1829" s="15" t="n">
        <x:f>IF(J1829=0,"해당 없음",K1829/J1829)</x:f>
        <x:v>0.2</x:v>
      </x:c>
      <x:c r="M1829" s="14" t="n">
        <x:v>10</x:v>
      </x:c>
      <x:c r="N1829" s="14" t="n">
        <x:v>9</x:v>
      </x:c>
      <x:c r="O1829" s="15" t="n">
        <x:f>IF(M1829=0,"해당 없음",N1829/M1829)</x:f>
        <x:v>0.9</x:v>
      </x:c>
      <x:c r="P1829" s="14" t="n">
        <x:v>101</x:v>
      </x:c>
    </x:row>
    <x:row r="1830" ht="22" customHeight="1">
      <x:c r="A1830" s="14" t="n">
        <x:v>913</x:v>
      </x:c>
      <x:c r="B1830" s="14" t="n">
        <x:v>23</x:v>
      </x:c>
      <x:c r="C1830" s="14" t="n">
        <x:v>76016</x:v>
      </x:c>
      <x:c r="D1830" s="2" t="str">
        <x:v>RED</x:v>
      </x:c>
      <x:c r="E1830" s="2" t="str">
        <x:v>120만</x:v>
      </x:c>
      <x:c r="F1830" s="2" t="str">
        <x:v>160만</x:v>
      </x:c>
      <x:c r="G1830" s="2" t="str">
        <x:v>무</x:v>
      </x:c>
      <x:c r="H1830" s="14" t="n">
        <x:v>3</x:v>
      </x:c>
      <x:c r="I1830" s="14" t="n">
        <x:v>3</x:v>
      </x:c>
      <x:c r="J1830" s="14" t="n">
        <x:v>8</x:v>
      </x:c>
      <x:c r="K1830" s="14" t="n">
        <x:v>3</x:v>
      </x:c>
      <x:c r="L1830" s="15" t="n">
        <x:f>IF(J1830=0,"해당 없음",K1830/J1830)</x:f>
        <x:v>0.375</x:v>
      </x:c>
      <x:c r="M1830" s="14" t="n">
        <x:v>9</x:v>
      </x:c>
      <x:c r="N1830" s="14" t="n">
        <x:v>7</x:v>
      </x:c>
      <x:c r="O1830" s="15" t="n">
        <x:f>IF(M1830=0,"해당 없음",N1830/M1830)</x:f>
        <x:v>0.7777777777777778</x:v>
      </x:c>
      <x:c r="P1830" s="14" t="n">
        <x:v>103</x:v>
      </x:c>
    </x:row>
    <x:row r="1831" ht="22" customHeight="1">
      <x:c r="A1831" s="14" t="n">
        <x:v>913</x:v>
      </x:c>
      <x:c r="B1831" s="14" t="n">
        <x:v>23</x:v>
      </x:c>
      <x:c r="C1831" s="14" t="n">
        <x:v>76016</x:v>
      </x:c>
      <x:c r="D1831" s="2" t="str">
        <x:v>NAVY</x:v>
      </x:c>
      <x:c r="E1831" s="2" t="str">
        <x:v>160만</x:v>
      </x:c>
      <x:c r="F1831" s="2" t="str">
        <x:v>120만</x:v>
      </x:c>
      <x:c r="G1831" s="2" t="str">
        <x:v>무</x:v>
      </x:c>
      <x:c r="H1831" s="14" t="n">
        <x:v>3</x:v>
      </x:c>
      <x:c r="I1831" s="14" t="n">
        <x:v>3</x:v>
      </x:c>
      <x:c r="J1831" s="14" t="n">
        <x:v>7</x:v>
      </x:c>
      <x:c r="K1831" s="14" t="n">
        <x:v>3</x:v>
      </x:c>
      <x:c r="L1831" s="15" t="n">
        <x:f>IF(J1831=0,"해당 없음",K1831/J1831)</x:f>
        <x:v>0.42857142857142855</x:v>
      </x:c>
      <x:c r="M1831" s="14" t="n">
        <x:v>10</x:v>
      </x:c>
      <x:c r="N1831" s="14" t="n">
        <x:v>8</x:v>
      </x:c>
      <x:c r="O1831" s="15" t="n">
        <x:f>IF(M1831=0,"해당 없음",N1831/M1831)</x:f>
        <x:v>0.8</x:v>
      </x:c>
      <x:c r="P1831" s="14" t="n">
        <x:v>103</x:v>
      </x:c>
    </x:row>
    <x:row r="1832" ht="22" customHeight="1">
      <x:c r="A1832" s="14" t="n">
        <x:v>914</x:v>
      </x:c>
      <x:c r="B1832" s="14" t="n">
        <x:v>23</x:v>
      </x:c>
      <x:c r="C1832" s="14" t="n">
        <x:v>76016</x:v>
      </x:c>
      <x:c r="D1832" s="2" t="str">
        <x:v>RED</x:v>
      </x:c>
      <x:c r="E1832" s="2" t="str">
        <x:v>160만</x:v>
      </x:c>
      <x:c r="F1832" s="2" t="str">
        <x:v>120만</x:v>
      </x:c>
      <x:c r="G1832" s="2" t="str">
        <x:v>승</x:v>
      </x:c>
      <x:c r="H1832" s="14" t="n">
        <x:v>4</x:v>
      </x:c>
      <x:c r="I1832" s="14" t="n">
        <x:v>2</x:v>
      </x:c>
      <x:c r="J1832" s="14" t="n">
        <x:v>8</x:v>
      </x:c>
      <x:c r="K1832" s="14" t="n">
        <x:v>4</x:v>
      </x:c>
      <x:c r="L1832" s="15" t="n">
        <x:f>IF(J1832=0,"해당 없음",K1832/J1832)</x:f>
        <x:v>0.5</x:v>
      </x:c>
      <x:c r="M1832" s="14" t="n">
        <x:v>8</x:v>
      </x:c>
      <x:c r="N1832" s="14" t="n">
        <x:v>6</x:v>
      </x:c>
      <x:c r="O1832" s="15" t="n">
        <x:f>IF(M1832=0,"해당 없음",N1832/M1832)</x:f>
        <x:v>0.75</x:v>
      </x:c>
      <x:c r="P1832" s="14" t="n">
        <x:v>103</x:v>
      </x:c>
    </x:row>
    <x:row r="1833" ht="22" customHeight="1">
      <x:c r="A1833" s="14" t="n">
        <x:v>914</x:v>
      </x:c>
      <x:c r="B1833" s="14" t="n">
        <x:v>23</x:v>
      </x:c>
      <x:c r="C1833" s="14" t="n">
        <x:v>76016</x:v>
      </x:c>
      <x:c r="D1833" s="2" t="str">
        <x:v>NAVY</x:v>
      </x:c>
      <x:c r="E1833" s="2" t="str">
        <x:v>120만</x:v>
      </x:c>
      <x:c r="F1833" s="2" t="str">
        <x:v>160만</x:v>
      </x:c>
      <x:c r="G1833" s="2" t="str">
        <x:v>패</x:v>
      </x:c>
      <x:c r="H1833" s="14" t="n">
        <x:v>2</x:v>
      </x:c>
      <x:c r="I1833" s="14" t="n">
        <x:v>4</x:v>
      </x:c>
      <x:c r="J1833" s="14" t="n">
        <x:v>5</x:v>
      </x:c>
      <x:c r="K1833" s="14" t="n">
        <x:v>2</x:v>
      </x:c>
      <x:c r="L1833" s="15" t="n">
        <x:f>IF(J1833=0,"해당 없음",K1833/J1833)</x:f>
        <x:v>0.4</x:v>
      </x:c>
      <x:c r="M1833" s="14" t="n">
        <x:v>9</x:v>
      </x:c>
      <x:c r="N1833" s="14" t="n">
        <x:v>8</x:v>
      </x:c>
      <x:c r="O1833" s="15" t="n">
        <x:f>IF(M1833=0,"해당 없음",N1833/M1833)</x:f>
        <x:v>0.8888888888888888</x:v>
      </x:c>
      <x:c r="P1833" s="14" t="n">
        <x:v>103</x:v>
      </x:c>
    </x:row>
    <x:row r="1834" ht="22" customHeight="1">
      <x:c r="A1834" s="14" t="n">
        <x:v>915</x:v>
      </x:c>
      <x:c r="B1834" s="14" t="n">
        <x:v>23</x:v>
      </x:c>
      <x:c r="C1834" s="14" t="n">
        <x:v>76017</x:v>
      </x:c>
      <x:c r="D1834" s="2" t="str">
        <x:v>RED</x:v>
      </x:c>
      <x:c r="E1834" s="2" t="str">
        <x:v>120만</x:v>
      </x:c>
      <x:c r="F1834" s="2" t="str">
        <x:v>160만</x:v>
      </x:c>
      <x:c r="G1834" s="2" t="str">
        <x:v>패</x:v>
      </x:c>
      <x:c r="H1834" s="14" t="n">
        <x:v>3</x:v>
      </x:c>
      <x:c r="I1834" s="14" t="n">
        <x:v>5</x:v>
      </x:c>
      <x:c r="J1834" s="14" t="n">
        <x:v>6</x:v>
      </x:c>
      <x:c r="K1834" s="14" t="n">
        <x:v>3</x:v>
      </x:c>
      <x:c r="L1834" s="15" t="n">
        <x:f>IF(J1834=0,"해당 없음",K1834/J1834)</x:f>
        <x:v>0.5</x:v>
      </x:c>
      <x:c r="M1834" s="14" t="n">
        <x:v>6</x:v>
      </x:c>
      <x:c r="N1834" s="14" t="n">
        <x:v>3</x:v>
      </x:c>
      <x:c r="O1834" s="15" t="n">
        <x:f>IF(M1834=0,"해당 없음",N1834/M1834)</x:f>
        <x:v>0.5</x:v>
      </x:c>
      <x:c r="P1834" s="14" t="n">
        <x:v>104</x:v>
      </x:c>
    </x:row>
    <x:row r="1835" ht="22" customHeight="1">
      <x:c r="A1835" s="14" t="n">
        <x:v>915</x:v>
      </x:c>
      <x:c r="B1835" s="14" t="n">
        <x:v>23</x:v>
      </x:c>
      <x:c r="C1835" s="14" t="n">
        <x:v>76017</x:v>
      </x:c>
      <x:c r="D1835" s="2" t="str">
        <x:v>NAVY</x:v>
      </x:c>
      <x:c r="E1835" s="2" t="str">
        <x:v>160만</x:v>
      </x:c>
      <x:c r="F1835" s="2" t="str">
        <x:v>120만</x:v>
      </x:c>
      <x:c r="G1835" s="2" t="str">
        <x:v>승</x:v>
      </x:c>
      <x:c r="H1835" s="14" t="n">
        <x:v>5</x:v>
      </x:c>
      <x:c r="I1835" s="14" t="n">
        <x:v>3</x:v>
      </x:c>
      <x:c r="J1835" s="14" t="n">
        <x:v>10</x:v>
      </x:c>
      <x:c r="K1835" s="14" t="n">
        <x:v>5</x:v>
      </x:c>
      <x:c r="L1835" s="15" t="n">
        <x:f>IF(J1835=0,"해당 없음",K1835/J1835)</x:f>
        <x:v>0.5</x:v>
      </x:c>
      <x:c r="M1835" s="14" t="n">
        <x:v>11</x:v>
      </x:c>
      <x:c r="N1835" s="14" t="n">
        <x:v>9</x:v>
      </x:c>
      <x:c r="O1835" s="15" t="n">
        <x:f>IF(M1835=0,"해당 없음",N1835/M1835)</x:f>
        <x:v>0.8181818181818182</x:v>
      </x:c>
      <x:c r="P1835" s="14" t="n">
        <x:v>102</x:v>
      </x:c>
    </x:row>
    <x:row r="1836" ht="22" customHeight="1">
      <x:c r="A1836" s="14" t="n">
        <x:v>916</x:v>
      </x:c>
      <x:c r="B1836" s="14" t="n">
        <x:v>23</x:v>
      </x:c>
      <x:c r="C1836" s="14" t="n">
        <x:v>76017</x:v>
      </x:c>
      <x:c r="D1836" s="2" t="str">
        <x:v>RED</x:v>
      </x:c>
      <x:c r="E1836" s="2" t="str">
        <x:v>160만</x:v>
      </x:c>
      <x:c r="F1836" s="2" t="str">
        <x:v>120만</x:v>
      </x:c>
      <x:c r="G1836" s="2" t="str">
        <x:v>무</x:v>
      </x:c>
      <x:c r="H1836" s="14" t="n">
        <x:v>2</x:v>
      </x:c>
      <x:c r="I1836" s="14" t="n">
        <x:v>2</x:v>
      </x:c>
      <x:c r="J1836" s="14" t="n">
        <x:v>5</x:v>
      </x:c>
      <x:c r="K1836" s="14" t="n">
        <x:v>2</x:v>
      </x:c>
      <x:c r="L1836" s="15" t="n">
        <x:f>IF(J1836=0,"해당 없음",K1836/J1836)</x:f>
        <x:v>0.4</x:v>
      </x:c>
      <x:c r="M1836" s="14" t="n">
        <x:v>6</x:v>
      </x:c>
      <x:c r="N1836" s="14" t="n">
        <x:v>4</x:v>
      </x:c>
      <x:c r="O1836" s="15" t="n">
        <x:f>IF(M1836=0,"해당 없음",N1836/M1836)</x:f>
        <x:v>0.6666666666666666</x:v>
      </x:c>
      <x:c r="P1836" s="14" t="n">
        <x:v>102</x:v>
      </x:c>
    </x:row>
    <x:row r="1837" ht="22" customHeight="1">
      <x:c r="A1837" s="14" t="n">
        <x:v>916</x:v>
      </x:c>
      <x:c r="B1837" s="14" t="n">
        <x:v>23</x:v>
      </x:c>
      <x:c r="C1837" s="14" t="n">
        <x:v>76017</x:v>
      </x:c>
      <x:c r="D1837" s="2" t="str">
        <x:v>NAVY</x:v>
      </x:c>
      <x:c r="E1837" s="2" t="str">
        <x:v>120만</x:v>
      </x:c>
      <x:c r="F1837" s="2" t="str">
        <x:v>160만</x:v>
      </x:c>
      <x:c r="G1837" s="2" t="str">
        <x:v>무</x:v>
      </x:c>
      <x:c r="H1837" s="14" t="n">
        <x:v>2</x:v>
      </x:c>
      <x:c r="I1837" s="14" t="n">
        <x:v>2</x:v>
      </x:c>
      <x:c r="J1837" s="14" t="n">
        <x:v>10</x:v>
      </x:c>
      <x:c r="K1837" s="14" t="n">
        <x:v>2</x:v>
      </x:c>
      <x:c r="L1837" s="15" t="n">
        <x:f>IF(J1837=0,"해당 없음",K1837/J1837)</x:f>
        <x:v>0.2</x:v>
      </x:c>
      <x:c r="M1837" s="14" t="n">
        <x:v>3</x:v>
      </x:c>
      <x:c r="N1837" s="14" t="n">
        <x:v>0</x:v>
      </x:c>
      <x:c r="O1837" s="15" t="n">
        <x:f>IF(M1837=0,"해당 없음",N1837/M1837)</x:f>
        <x:v>0</x:v>
      </x:c>
      <x:c r="P1837" s="14" t="n">
        <x:v>102</x:v>
      </x:c>
    </x:row>
    <x:row r="1838" ht="22" customHeight="1">
      <x:c r="A1838" s="14" t="n">
        <x:v>917</x:v>
      </x:c>
      <x:c r="B1838" s="14" t="n">
        <x:v>23</x:v>
      </x:c>
      <x:c r="C1838" s="14" t="n">
        <x:v>76018</x:v>
      </x:c>
      <x:c r="D1838" s="2" t="str">
        <x:v>RED</x:v>
      </x:c>
      <x:c r="E1838" s="2" t="str">
        <x:v>120만</x:v>
      </x:c>
      <x:c r="F1838" s="2" t="str">
        <x:v>160만</x:v>
      </x:c>
      <x:c r="G1838" s="2" t="str">
        <x:v>무</x:v>
      </x:c>
      <x:c r="H1838" s="14" t="n">
        <x:v>2</x:v>
      </x:c>
      <x:c r="I1838" s="14" t="n">
        <x:v>2</x:v>
      </x:c>
      <x:c r="J1838" s="14" t="n">
        <x:v>14</x:v>
      </x:c>
      <x:c r="K1838" s="14" t="n">
        <x:v>2</x:v>
      </x:c>
      <x:c r="L1838" s="15" t="n">
        <x:f>IF(J1838=0,"해당 없음",K1838/J1838)</x:f>
        <x:v>0.14285714285714285</x:v>
      </x:c>
      <x:c r="M1838" s="14" t="n">
        <x:v>8</x:v>
      </x:c>
      <x:c r="N1838" s="14" t="n">
        <x:v>7</x:v>
      </x:c>
      <x:c r="O1838" s="15" t="n">
        <x:f>IF(M1838=0,"해당 없음",N1838/M1838)</x:f>
        <x:v>0.875</x:v>
      </x:c>
      <x:c r="P1838" s="14" t="n">
        <x:v>102</x:v>
      </x:c>
    </x:row>
    <x:row r="1839" ht="22" customHeight="1">
      <x:c r="A1839" s="14" t="n">
        <x:v>917</x:v>
      </x:c>
      <x:c r="B1839" s="14" t="n">
        <x:v>23</x:v>
      </x:c>
      <x:c r="C1839" s="14" t="n">
        <x:v>76018</x:v>
      </x:c>
      <x:c r="D1839" s="2" t="str">
        <x:v>NAVY</x:v>
      </x:c>
      <x:c r="E1839" s="2" t="str">
        <x:v>160만</x:v>
      </x:c>
      <x:c r="F1839" s="2" t="str">
        <x:v>120만</x:v>
      </x:c>
      <x:c r="G1839" s="2" t="str">
        <x:v>무</x:v>
      </x:c>
      <x:c r="H1839" s="14" t="n">
        <x:v>2</x:v>
      </x:c>
      <x:c r="I1839" s="14" t="n">
        <x:v>2</x:v>
      </x:c>
      <x:c r="J1839" s="14" t="n">
        <x:v>9</x:v>
      </x:c>
      <x:c r="K1839" s="14" t="n">
        <x:v>2</x:v>
      </x:c>
      <x:c r="L1839" s="15" t="n">
        <x:f>IF(J1839=0,"해당 없음",K1839/J1839)</x:f>
        <x:v>0.2222222222222222</x:v>
      </x:c>
      <x:c r="M1839" s="14" t="n">
        <x:v>9</x:v>
      </x:c>
      <x:c r="N1839" s="14" t="n">
        <x:v>7</x:v>
      </x:c>
      <x:c r="O1839" s="15" t="n">
        <x:f>IF(M1839=0,"해당 없음",N1839/M1839)</x:f>
        <x:v>0.7777777777777778</x:v>
      </x:c>
      <x:c r="P1839" s="14" t="n">
        <x:v>102</x:v>
      </x:c>
    </x:row>
    <x:row r="1840" ht="22" customHeight="1">
      <x:c r="A1840" s="14" t="n">
        <x:v>918</x:v>
      </x:c>
      <x:c r="B1840" s="14" t="n">
        <x:v>23</x:v>
      </x:c>
      <x:c r="C1840" s="14" t="n">
        <x:v>76018</x:v>
      </x:c>
      <x:c r="D1840" s="2" t="str">
        <x:v>RED</x:v>
      </x:c>
      <x:c r="E1840" s="2" t="str">
        <x:v>160만</x:v>
      </x:c>
      <x:c r="F1840" s="2" t="str">
        <x:v>120만</x:v>
      </x:c>
      <x:c r="G1840" s="2" t="str">
        <x:v>승</x:v>
      </x:c>
      <x:c r="H1840" s="14" t="n">
        <x:v>4</x:v>
      </x:c>
      <x:c r="I1840" s="14" t="n">
        <x:v>2</x:v>
      </x:c>
      <x:c r="J1840" s="14" t="n">
        <x:v>14</x:v>
      </x:c>
      <x:c r="K1840" s="14" t="n">
        <x:v>4</x:v>
      </x:c>
      <x:c r="L1840" s="15" t="n">
        <x:f>IF(J1840=0,"해당 없음",K1840/J1840)</x:f>
        <x:v>0.2857142857142857</x:v>
      </x:c>
      <x:c r="M1840" s="14" t="n">
        <x:v>3</x:v>
      </x:c>
      <x:c r="N1840" s="14" t="n">
        <x:v>2</x:v>
      </x:c>
      <x:c r="O1840" s="15" t="n">
        <x:f>IF(M1840=0,"해당 없음",N1840/M1840)</x:f>
        <x:v>0.6666666666666666</x:v>
      </x:c>
      <x:c r="P1840" s="14" t="n">
        <x:v>105</x:v>
      </x:c>
    </x:row>
    <x:row r="1841" ht="22" customHeight="1">
      <x:c r="A1841" s="14" t="n">
        <x:v>918</x:v>
      </x:c>
      <x:c r="B1841" s="14" t="n">
        <x:v>23</x:v>
      </x:c>
      <x:c r="C1841" s="14" t="n">
        <x:v>76018</x:v>
      </x:c>
      <x:c r="D1841" s="2" t="str">
        <x:v>NAVY</x:v>
      </x:c>
      <x:c r="E1841" s="2" t="str">
        <x:v>120만</x:v>
      </x:c>
      <x:c r="F1841" s="2" t="str">
        <x:v>160만</x:v>
      </x:c>
      <x:c r="G1841" s="2" t="str">
        <x:v>패</x:v>
      </x:c>
      <x:c r="H1841" s="14" t="n">
        <x:v>2</x:v>
      </x:c>
      <x:c r="I1841" s="14" t="n">
        <x:v>4</x:v>
      </x:c>
      <x:c r="J1841" s="14" t="n">
        <x:v>5</x:v>
      </x:c>
      <x:c r="K1841" s="14" t="n">
        <x:v>2</x:v>
      </x:c>
      <x:c r="L1841" s="15" t="n">
        <x:f>IF(J1841=0,"해당 없음",K1841/J1841)</x:f>
        <x:v>0.4</x:v>
      </x:c>
      <x:c r="M1841" s="14" t="n">
        <x:v>12</x:v>
      </x:c>
      <x:c r="N1841" s="14" t="n">
        <x:v>10</x:v>
      </x:c>
      <x:c r="O1841" s="15" t="n">
        <x:f>IF(M1841=0,"해당 없음",N1841/M1841)</x:f>
        <x:v>0.8333333333333334</x:v>
      </x:c>
      <x:c r="P1841" s="14" t="n">
        <x:v>104</x:v>
      </x:c>
    </x:row>
    <x:row r="1842" ht="22" customHeight="1">
      <x:c r="A1842" s="14" t="n">
        <x:v>919</x:v>
      </x:c>
      <x:c r="B1842" s="14" t="n">
        <x:v>23</x:v>
      </x:c>
      <x:c r="C1842" s="14" t="n">
        <x:v>76019</x:v>
      </x:c>
      <x:c r="D1842" s="2" t="str">
        <x:v>RED</x:v>
      </x:c>
      <x:c r="E1842" s="2" t="str">
        <x:v>120만</x:v>
      </x:c>
      <x:c r="F1842" s="2" t="str">
        <x:v>160만</x:v>
      </x:c>
      <x:c r="G1842" s="2" t="str">
        <x:v>무</x:v>
      </x:c>
      <x:c r="H1842" s="14" t="n">
        <x:v>3</x:v>
      </x:c>
      <x:c r="I1842" s="14" t="n">
        <x:v>3</x:v>
      </x:c>
      <x:c r="J1842" s="14" t="n">
        <x:v>10</x:v>
      </x:c>
      <x:c r="K1842" s="14" t="n">
        <x:v>3</x:v>
      </x:c>
      <x:c r="L1842" s="15" t="n">
        <x:f>IF(J1842=0,"해당 없음",K1842/J1842)</x:f>
        <x:v>0.3</x:v>
      </x:c>
      <x:c r="M1842" s="14" t="n">
        <x:v>8</x:v>
      </x:c>
      <x:c r="N1842" s="14" t="n">
        <x:v>5</x:v>
      </x:c>
      <x:c r="O1842" s="15" t="n">
        <x:f>IF(M1842=0,"해당 없음",N1842/M1842)</x:f>
        <x:v>0.625</x:v>
      </x:c>
      <x:c r="P1842" s="14" t="n">
        <x:v>103</x:v>
      </x:c>
    </x:row>
    <x:row r="1843" ht="22" customHeight="1">
      <x:c r="A1843" s="14" t="n">
        <x:v>919</x:v>
      </x:c>
      <x:c r="B1843" s="14" t="n">
        <x:v>23</x:v>
      </x:c>
      <x:c r="C1843" s="14" t="n">
        <x:v>76019</x:v>
      </x:c>
      <x:c r="D1843" s="2" t="str">
        <x:v>NAVY</x:v>
      </x:c>
      <x:c r="E1843" s="2" t="str">
        <x:v>160만</x:v>
      </x:c>
      <x:c r="F1843" s="2" t="str">
        <x:v>120만</x:v>
      </x:c>
      <x:c r="G1843" s="2" t="str">
        <x:v>무</x:v>
      </x:c>
      <x:c r="H1843" s="14" t="n">
        <x:v>3</x:v>
      </x:c>
      <x:c r="I1843" s="14" t="n">
        <x:v>3</x:v>
      </x:c>
      <x:c r="J1843" s="14" t="n">
        <x:v>5</x:v>
      </x:c>
      <x:c r="K1843" s="14" t="n">
        <x:v>2</x:v>
      </x:c>
      <x:c r="L1843" s="15" t="n">
        <x:f>IF(J1843=0,"해당 없음",K1843/J1843)</x:f>
        <x:v>0.4</x:v>
      </x:c>
      <x:c r="M1843" s="14" t="n">
        <x:v>11</x:v>
      </x:c>
      <x:c r="N1843" s="14" t="n">
        <x:v>6</x:v>
      </x:c>
      <x:c r="O1843" s="15" t="n">
        <x:f>IF(M1843=0,"해당 없음",N1843/M1843)</x:f>
        <x:v>0.5454545454545454</x:v>
      </x:c>
      <x:c r="P1843" s="14" t="n">
        <x:v>103</x:v>
      </x:c>
    </x:row>
    <x:row r="1844" ht="22" customHeight="1">
      <x:c r="A1844" s="14" t="n">
        <x:v>920</x:v>
      </x:c>
      <x:c r="B1844" s="14" t="n">
        <x:v>23</x:v>
      </x:c>
      <x:c r="C1844" s="14" t="n">
        <x:v>76019</x:v>
      </x:c>
      <x:c r="D1844" s="2" t="str">
        <x:v>RED</x:v>
      </x:c>
      <x:c r="E1844" s="2" t="str">
        <x:v>160만</x:v>
      </x:c>
      <x:c r="F1844" s="2" t="str">
        <x:v>120만</x:v>
      </x:c>
      <x:c r="G1844" s="2" t="str">
        <x:v>승</x:v>
      </x:c>
      <x:c r="H1844" s="14" t="n">
        <x:v>3</x:v>
      </x:c>
      <x:c r="I1844" s="14" t="n">
        <x:v>0</x:v>
      </x:c>
      <x:c r="J1844" s="14" t="n">
        <x:v>11</x:v>
      </x:c>
      <x:c r="K1844" s="14" t="n">
        <x:v>3</x:v>
      </x:c>
      <x:c r="L1844" s="15" t="n">
        <x:f>IF(J1844=0,"해당 없음",K1844/J1844)</x:f>
        <x:v>0.2727272727272727</x:v>
      </x:c>
      <x:c r="M1844" s="14" t="n">
        <x:v>10</x:v>
      </x:c>
      <x:c r="N1844" s="14" t="n">
        <x:v>7</x:v>
      </x:c>
      <x:c r="O1844" s="15" t="n">
        <x:f>IF(M1844=0,"해당 없음",N1844/M1844)</x:f>
        <x:v>0.7</x:v>
      </x:c>
      <x:c r="P1844" s="14" t="n">
        <x:v>104</x:v>
      </x:c>
    </x:row>
    <x:row r="1845" ht="22" customHeight="1">
      <x:c r="A1845" s="14" t="n">
        <x:v>920</x:v>
      </x:c>
      <x:c r="B1845" s="14" t="n">
        <x:v>23</x:v>
      </x:c>
      <x:c r="C1845" s="14" t="n">
        <x:v>76019</x:v>
      </x:c>
      <x:c r="D1845" s="2" t="str">
        <x:v>NAVY</x:v>
      </x:c>
      <x:c r="E1845" s="2" t="str">
        <x:v>120만</x:v>
      </x:c>
      <x:c r="F1845" s="2" t="str">
        <x:v>160만</x:v>
      </x:c>
      <x:c r="G1845" s="2" t="str">
        <x:v>패</x:v>
      </x:c>
      <x:c r="H1845" s="14" t="n">
        <x:v>0</x:v>
      </x:c>
      <x:c r="I1845" s="14" t="n">
        <x:v>3</x:v>
      </x:c>
      <x:c r="J1845" s="14" t="n">
        <x:v>6</x:v>
      </x:c>
      <x:c r="K1845" s="14" t="n">
        <x:v>0</x:v>
      </x:c>
      <x:c r="L1845" s="15" t="n">
        <x:f>IF(J1845=0,"해당 없음",K1845/J1845)</x:f>
        <x:v>0</x:v>
      </x:c>
      <x:c r="M1845" s="14" t="n">
        <x:v>13</x:v>
      </x:c>
      <x:c r="N1845" s="14" t="n">
        <x:v>9</x:v>
      </x:c>
      <x:c r="O1845" s="15" t="n">
        <x:f>IF(M1845=0,"해당 없음",N1845/M1845)</x:f>
        <x:v>0.6923076923076923</x:v>
      </x:c>
      <x:c r="P1845" s="14" t="n">
        <x:v>103</x:v>
      </x:c>
    </x:row>
    <x:row r="1846" ht="22" customHeight="1">
      <x:c r="A1846" s="14" t="n">
        <x:v>921</x:v>
      </x:c>
      <x:c r="B1846" s="14" t="n">
        <x:v>24</x:v>
      </x:c>
      <x:c r="C1846" s="14" t="n">
        <x:v>76000</x:v>
      </x:c>
      <x:c r="D1846" s="2" t="str">
        <x:v>RED</x:v>
      </x:c>
      <x:c r="E1846" s="2" t="str">
        <x:v>120만</x:v>
      </x:c>
      <x:c r="F1846" s="2" t="str">
        <x:v>200만</x:v>
      </x:c>
      <x:c r="G1846" s="2" t="str">
        <x:v>무</x:v>
      </x:c>
      <x:c r="H1846" s="14" t="n">
        <x:v>3</x:v>
      </x:c>
      <x:c r="I1846" s="14" t="n">
        <x:v>3</x:v>
      </x:c>
      <x:c r="J1846" s="14" t="n">
        <x:v>10</x:v>
      </x:c>
      <x:c r="K1846" s="14" t="n">
        <x:v>3</x:v>
      </x:c>
      <x:c r="L1846" s="15" t="n">
        <x:f>IF(J1846=0,"해당 없음",K1846/J1846)</x:f>
        <x:v>0.3</x:v>
      </x:c>
      <x:c r="M1846" s="14" t="n">
        <x:v>7</x:v>
      </x:c>
      <x:c r="N1846" s="14" t="n">
        <x:v>7</x:v>
      </x:c>
      <x:c r="O1846" s="15" t="n">
        <x:f>IF(M1846=0,"해당 없음",N1846/M1846)</x:f>
        <x:v>1</x:v>
      </x:c>
      <x:c r="P1846" s="14" t="n">
        <x:v>104</x:v>
      </x:c>
    </x:row>
    <x:row r="1847" ht="22" customHeight="1">
      <x:c r="A1847" s="14" t="n">
        <x:v>921</x:v>
      </x:c>
      <x:c r="B1847" s="14" t="n">
        <x:v>24</x:v>
      </x:c>
      <x:c r="C1847" s="14" t="n">
        <x:v>76000</x:v>
      </x:c>
      <x:c r="D1847" s="2" t="str">
        <x:v>NAVY</x:v>
      </x:c>
      <x:c r="E1847" s="2" t="str">
        <x:v>200만</x:v>
      </x:c>
      <x:c r="F1847" s="2" t="str">
        <x:v>120만</x:v>
      </x:c>
      <x:c r="G1847" s="2" t="str">
        <x:v>무</x:v>
      </x:c>
      <x:c r="H1847" s="14" t="n">
        <x:v>3</x:v>
      </x:c>
      <x:c r="I1847" s="14" t="n">
        <x:v>3</x:v>
      </x:c>
      <x:c r="J1847" s="14" t="n">
        <x:v>6</x:v>
      </x:c>
      <x:c r="K1847" s="14" t="n">
        <x:v>3</x:v>
      </x:c>
      <x:c r="L1847" s="15" t="n">
        <x:f>IF(J1847=0,"해당 없음",K1847/J1847)</x:f>
        <x:v>0.5</x:v>
      </x:c>
      <x:c r="M1847" s="14" t="n">
        <x:v>12</x:v>
      </x:c>
      <x:c r="N1847" s="14" t="n">
        <x:v>10</x:v>
      </x:c>
      <x:c r="O1847" s="15" t="n">
        <x:f>IF(M1847=0,"해당 없음",N1847/M1847)</x:f>
        <x:v>0.8333333333333334</x:v>
      </x:c>
      <x:c r="P1847" s="14" t="n">
        <x:v>103</x:v>
      </x:c>
    </x:row>
    <x:row r="1848" ht="22" customHeight="1">
      <x:c r="A1848" s="14" t="n">
        <x:v>922</x:v>
      </x:c>
      <x:c r="B1848" s="14" t="n">
        <x:v>24</x:v>
      </x:c>
      <x:c r="C1848" s="14" t="n">
        <x:v>76000</x:v>
      </x:c>
      <x:c r="D1848" s="2" t="str">
        <x:v>RED</x:v>
      </x:c>
      <x:c r="E1848" s="2" t="str">
        <x:v>200만</x:v>
      </x:c>
      <x:c r="F1848" s="2" t="str">
        <x:v>120만</x:v>
      </x:c>
      <x:c r="G1848" s="2" t="str">
        <x:v>무</x:v>
      </x:c>
      <x:c r="H1848" s="14" t="n">
        <x:v>2</x:v>
      </x:c>
      <x:c r="I1848" s="14" t="n">
        <x:v>2</x:v>
      </x:c>
      <x:c r="J1848" s="14" t="n">
        <x:v>7</x:v>
      </x:c>
      <x:c r="K1848" s="14" t="n">
        <x:v>2</x:v>
      </x:c>
      <x:c r="L1848" s="15" t="n">
        <x:f>IF(J1848=0,"해당 없음",K1848/J1848)</x:f>
        <x:v>0.2857142857142857</x:v>
      </x:c>
      <x:c r="M1848" s="14" t="n">
        <x:v>7</x:v>
      </x:c>
      <x:c r="N1848" s="14" t="n">
        <x:v>3</x:v>
      </x:c>
      <x:c r="O1848" s="15" t="n">
        <x:f>IF(M1848=0,"해당 없음",N1848/M1848)</x:f>
        <x:v>0.42857142857142855</x:v>
      </x:c>
      <x:c r="P1848" s="14" t="n">
        <x:v>104</x:v>
      </x:c>
    </x:row>
    <x:row r="1849" ht="22" customHeight="1">
      <x:c r="A1849" s="14" t="n">
        <x:v>922</x:v>
      </x:c>
      <x:c r="B1849" s="14" t="n">
        <x:v>24</x:v>
      </x:c>
      <x:c r="C1849" s="14" t="n">
        <x:v>76000</x:v>
      </x:c>
      <x:c r="D1849" s="2" t="str">
        <x:v>NAVY</x:v>
      </x:c>
      <x:c r="E1849" s="2" t="str">
        <x:v>120만</x:v>
      </x:c>
      <x:c r="F1849" s="2" t="str">
        <x:v>200만</x:v>
      </x:c>
      <x:c r="G1849" s="2" t="str">
        <x:v>무</x:v>
      </x:c>
      <x:c r="H1849" s="14" t="n">
        <x:v>2</x:v>
      </x:c>
      <x:c r="I1849" s="14" t="n">
        <x:v>2</x:v>
      </x:c>
      <x:c r="J1849" s="14" t="n">
        <x:v>14</x:v>
      </x:c>
      <x:c r="K1849" s="14" t="n">
        <x:v>2</x:v>
      </x:c>
      <x:c r="L1849" s="15" t="n">
        <x:f>IF(J1849=0,"해당 없음",K1849/J1849)</x:f>
        <x:v>0.14285714285714285</x:v>
      </x:c>
      <x:c r="M1849" s="14" t="n">
        <x:v>8</x:v>
      </x:c>
      <x:c r="N1849" s="14" t="n">
        <x:v>5</x:v>
      </x:c>
      <x:c r="O1849" s="15" t="n">
        <x:f>IF(M1849=0,"해당 없음",N1849/M1849)</x:f>
        <x:v>0.625</x:v>
      </x:c>
      <x:c r="P1849" s="14" t="n">
        <x:v>102</x:v>
      </x:c>
    </x:row>
    <x:row r="1850" ht="22" customHeight="1">
      <x:c r="A1850" s="14" t="n">
        <x:v>923</x:v>
      </x:c>
      <x:c r="B1850" s="14" t="n">
        <x:v>24</x:v>
      </x:c>
      <x:c r="C1850" s="14" t="n">
        <x:v>76001</x:v>
      </x:c>
      <x:c r="D1850" s="2" t="str">
        <x:v>RED</x:v>
      </x:c>
      <x:c r="E1850" s="2" t="str">
        <x:v>120만</x:v>
      </x:c>
      <x:c r="F1850" s="2" t="str">
        <x:v>200만</x:v>
      </x:c>
      <x:c r="G1850" s="2" t="str">
        <x:v>패</x:v>
      </x:c>
      <x:c r="H1850" s="14" t="n">
        <x:v>4</x:v>
      </x:c>
      <x:c r="I1850" s="14" t="n">
        <x:v>5</x:v>
      </x:c>
      <x:c r="J1850" s="14" t="n">
        <x:v>10</x:v>
      </x:c>
      <x:c r="K1850" s="14" t="n">
        <x:v>4</x:v>
      </x:c>
      <x:c r="L1850" s="15" t="n">
        <x:f>IF(J1850=0,"해당 없음",K1850/J1850)</x:f>
        <x:v>0.4</x:v>
      </x:c>
      <x:c r="M1850" s="14" t="n">
        <x:v>10</x:v>
      </x:c>
      <x:c r="N1850" s="14" t="n">
        <x:v>8</x:v>
      </x:c>
      <x:c r="O1850" s="15" t="n">
        <x:f>IF(M1850=0,"해당 없음",N1850/M1850)</x:f>
        <x:v>0.8</x:v>
      </x:c>
      <x:c r="P1850" s="14" t="n">
        <x:v>103</x:v>
      </x:c>
    </x:row>
    <x:row r="1851" ht="22" customHeight="1">
      <x:c r="A1851" s="14" t="n">
        <x:v>923</x:v>
      </x:c>
      <x:c r="B1851" s="14" t="n">
        <x:v>24</x:v>
      </x:c>
      <x:c r="C1851" s="14" t="n">
        <x:v>76001</x:v>
      </x:c>
      <x:c r="D1851" s="2" t="str">
        <x:v>NAVY</x:v>
      </x:c>
      <x:c r="E1851" s="2" t="str">
        <x:v>200만</x:v>
      </x:c>
      <x:c r="F1851" s="2" t="str">
        <x:v>120만</x:v>
      </x:c>
      <x:c r="G1851" s="2" t="str">
        <x:v>승</x:v>
      </x:c>
      <x:c r="H1851" s="14" t="n">
        <x:v>5</x:v>
      </x:c>
      <x:c r="I1851" s="14" t="n">
        <x:v>4</x:v>
      </x:c>
      <x:c r="J1851" s="14" t="n">
        <x:v>8</x:v>
      </x:c>
      <x:c r="K1851" s="14" t="n">
        <x:v>5</x:v>
      </x:c>
      <x:c r="L1851" s="15" t="n">
        <x:f>IF(J1851=0,"해당 없음",K1851/J1851)</x:f>
        <x:v>0.625</x:v>
      </x:c>
      <x:c r="M1851" s="14" t="n">
        <x:v>11</x:v>
      </x:c>
      <x:c r="N1851" s="14" t="n">
        <x:v>9</x:v>
      </x:c>
      <x:c r="O1851" s="15" t="n">
        <x:f>IF(M1851=0,"해당 없음",N1851/M1851)</x:f>
        <x:v>0.8181818181818182</x:v>
      </x:c>
      <x:c r="P1851" s="14" t="n">
        <x:v>105</x:v>
      </x:c>
    </x:row>
    <x:row r="1852" ht="22" customHeight="1">
      <x:c r="A1852" s="14" t="n">
        <x:v>924</x:v>
      </x:c>
      <x:c r="B1852" s="14" t="n">
        <x:v>24</x:v>
      </x:c>
      <x:c r="C1852" s="14" t="n">
        <x:v>76001</x:v>
      </x:c>
      <x:c r="D1852" s="2" t="str">
        <x:v>RED</x:v>
      </x:c>
      <x:c r="E1852" s="2" t="str">
        <x:v>200만</x:v>
      </x:c>
      <x:c r="F1852" s="2" t="str">
        <x:v>120만</x:v>
      </x:c>
      <x:c r="G1852" s="2" t="str">
        <x:v>승</x:v>
      </x:c>
      <x:c r="H1852" s="14" t="n">
        <x:v>1</x:v>
      </x:c>
      <x:c r="I1852" s="14" t="n">
        <x:v>0</x:v>
      </x:c>
      <x:c r="J1852" s="14" t="n">
        <x:v>8</x:v>
      </x:c>
      <x:c r="K1852" s="14" t="n">
        <x:v>1</x:v>
      </x:c>
      <x:c r="L1852" s="15" t="n">
        <x:f>IF(J1852=0,"해당 없음",K1852/J1852)</x:f>
        <x:v>0.125</x:v>
      </x:c>
      <x:c r="M1852" s="14" t="n">
        <x:v>9</x:v>
      </x:c>
      <x:c r="N1852" s="14" t="n">
        <x:v>7</x:v>
      </x:c>
      <x:c r="O1852" s="15" t="n">
        <x:f>IF(M1852=0,"해당 없음",N1852/M1852)</x:f>
        <x:v>0.7777777777777778</x:v>
      </x:c>
      <x:c r="P1852" s="14" t="n">
        <x:v>100</x:v>
      </x:c>
    </x:row>
    <x:row r="1853" ht="22" customHeight="1">
      <x:c r="A1853" s="14" t="n">
        <x:v>924</x:v>
      </x:c>
      <x:c r="B1853" s="14" t="n">
        <x:v>24</x:v>
      </x:c>
      <x:c r="C1853" s="14" t="n">
        <x:v>76001</x:v>
      </x:c>
      <x:c r="D1853" s="2" t="str">
        <x:v>NAVY</x:v>
      </x:c>
      <x:c r="E1853" s="2" t="str">
        <x:v>120만</x:v>
      </x:c>
      <x:c r="F1853" s="2" t="str">
        <x:v>200만</x:v>
      </x:c>
      <x:c r="G1853" s="2" t="str">
        <x:v>패</x:v>
      </x:c>
      <x:c r="H1853" s="14" t="n">
        <x:v>0</x:v>
      </x:c>
      <x:c r="I1853" s="14" t="n">
        <x:v>1</x:v>
      </x:c>
      <x:c r="J1853" s="14" t="n">
        <x:v>6</x:v>
      </x:c>
      <x:c r="K1853" s="14" t="n">
        <x:v>0</x:v>
      </x:c>
      <x:c r="L1853" s="15" t="n">
        <x:f>IF(J1853=0,"해당 없음",K1853/J1853)</x:f>
        <x:v>0</x:v>
      </x:c>
      <x:c r="M1853" s="14" t="n">
        <x:v>7</x:v>
      </x:c>
      <x:c r="N1853" s="14" t="n">
        <x:v>4</x:v>
      </x:c>
      <x:c r="O1853" s="15" t="n">
        <x:f>IF(M1853=0,"해당 없음",N1853/M1853)</x:f>
        <x:v>0.5714285714285714</x:v>
      </x:c>
      <x:c r="P1853" s="14" t="n">
        <x:v>101</x:v>
      </x:c>
    </x:row>
    <x:row r="1854" ht="22" customHeight="1">
      <x:c r="A1854" s="14" t="n">
        <x:v>925</x:v>
      </x:c>
      <x:c r="B1854" s="14" t="n">
        <x:v>24</x:v>
      </x:c>
      <x:c r="C1854" s="14" t="n">
        <x:v>76002</x:v>
      </x:c>
      <x:c r="D1854" s="2" t="str">
        <x:v>RED</x:v>
      </x:c>
      <x:c r="E1854" s="2" t="str">
        <x:v>120만</x:v>
      </x:c>
      <x:c r="F1854" s="2" t="str">
        <x:v>200만</x:v>
      </x:c>
      <x:c r="G1854" s="2" t="str">
        <x:v>승</x:v>
      </x:c>
      <x:c r="H1854" s="14" t="n">
        <x:v>4</x:v>
      </x:c>
      <x:c r="I1854" s="14" t="n">
        <x:v>0</x:v>
      </x:c>
      <x:c r="J1854" s="14" t="n">
        <x:v>9</x:v>
      </x:c>
      <x:c r="K1854" s="14" t="n">
        <x:v>4</x:v>
      </x:c>
      <x:c r="L1854" s="15" t="n">
        <x:f>IF(J1854=0,"해당 없음",K1854/J1854)</x:f>
        <x:v>0.4444444444444444</x:v>
      </x:c>
      <x:c r="M1854" s="14" t="n">
        <x:v>15</x:v>
      </x:c>
      <x:c r="N1854" s="14" t="n">
        <x:v>9</x:v>
      </x:c>
      <x:c r="O1854" s="15" t="n">
        <x:f>IF(M1854=0,"해당 없음",N1854/M1854)</x:f>
        <x:v>0.6</x:v>
      </x:c>
      <x:c r="P1854" s="14" t="n">
        <x:v>103</x:v>
      </x:c>
    </x:row>
    <x:row r="1855" ht="22" customHeight="1">
      <x:c r="A1855" s="14" t="n">
        <x:v>925</x:v>
      </x:c>
      <x:c r="B1855" s="14" t="n">
        <x:v>24</x:v>
      </x:c>
      <x:c r="C1855" s="14" t="n">
        <x:v>76002</x:v>
      </x:c>
      <x:c r="D1855" s="2" t="str">
        <x:v>NAVY</x:v>
      </x:c>
      <x:c r="E1855" s="2" t="str">
        <x:v>200만</x:v>
      </x:c>
      <x:c r="F1855" s="2" t="str">
        <x:v>120만</x:v>
      </x:c>
      <x:c r="G1855" s="2" t="str">
        <x:v>패</x:v>
      </x:c>
      <x:c r="H1855" s="14" t="n">
        <x:v>0</x:v>
      </x:c>
      <x:c r="I1855" s="14" t="n">
        <x:v>4</x:v>
      </x:c>
      <x:c r="J1855" s="14" t="n">
        <x:v>7</x:v>
      </x:c>
      <x:c r="K1855" s="14" t="n">
        <x:v>0</x:v>
      </x:c>
      <x:c r="L1855" s="15" t="n">
        <x:f>IF(J1855=0,"해당 없음",K1855/J1855)</x:f>
        <x:v>0</x:v>
      </x:c>
      <x:c r="M1855" s="14" t="n">
        <x:v>8</x:v>
      </x:c>
      <x:c r="N1855" s="14" t="n">
        <x:v>6</x:v>
      </x:c>
      <x:c r="O1855" s="15" t="n">
        <x:f>IF(M1855=0,"해당 없음",N1855/M1855)</x:f>
        <x:v>0.75</x:v>
      </x:c>
      <x:c r="P1855" s="14" t="n">
        <x:v>102</x:v>
      </x:c>
    </x:row>
    <x:row r="1856" ht="22" customHeight="1">
      <x:c r="A1856" s="14" t="n">
        <x:v>926</x:v>
      </x:c>
      <x:c r="B1856" s="14" t="n">
        <x:v>24</x:v>
      </x:c>
      <x:c r="C1856" s="14" t="n">
        <x:v>76002</x:v>
      </x:c>
      <x:c r="D1856" s="2" t="str">
        <x:v>RED</x:v>
      </x:c>
      <x:c r="E1856" s="2" t="str">
        <x:v>200만</x:v>
      </x:c>
      <x:c r="F1856" s="2" t="str">
        <x:v>120만</x:v>
      </x:c>
      <x:c r="G1856" s="2" t="str">
        <x:v>패</x:v>
      </x:c>
      <x:c r="H1856" s="14" t="n">
        <x:v>0</x:v>
      </x:c>
      <x:c r="I1856" s="14" t="n">
        <x:v>2</x:v>
      </x:c>
      <x:c r="J1856" s="14" t="n">
        <x:v>7</x:v>
      </x:c>
      <x:c r="K1856" s="14" t="n">
        <x:v>0</x:v>
      </x:c>
      <x:c r="L1856" s="15" t="n">
        <x:f>IF(J1856=0,"해당 없음",K1856/J1856)</x:f>
        <x:v>0</x:v>
      </x:c>
      <x:c r="M1856" s="14" t="n">
        <x:v>7</x:v>
      </x:c>
      <x:c r="N1856" s="14" t="n">
        <x:v>6</x:v>
      </x:c>
      <x:c r="O1856" s="15" t="n">
        <x:f>IF(M1856=0,"해당 없음",N1856/M1856)</x:f>
        <x:v>0.8571428571428571</x:v>
      </x:c>
      <x:c r="P1856" s="14" t="n">
        <x:v>102</x:v>
      </x:c>
    </x:row>
    <x:row r="1857" ht="22" customHeight="1">
      <x:c r="A1857" s="14" t="n">
        <x:v>926</x:v>
      </x:c>
      <x:c r="B1857" s="14" t="n">
        <x:v>24</x:v>
      </x:c>
      <x:c r="C1857" s="14" t="n">
        <x:v>76002</x:v>
      </x:c>
      <x:c r="D1857" s="2" t="str">
        <x:v>NAVY</x:v>
      </x:c>
      <x:c r="E1857" s="2" t="str">
        <x:v>120만</x:v>
      </x:c>
      <x:c r="F1857" s="2" t="str">
        <x:v>200만</x:v>
      </x:c>
      <x:c r="G1857" s="2" t="str">
        <x:v>승</x:v>
      </x:c>
      <x:c r="H1857" s="14" t="n">
        <x:v>2</x:v>
      </x:c>
      <x:c r="I1857" s="14" t="n">
        <x:v>0</x:v>
      </x:c>
      <x:c r="J1857" s="14" t="n">
        <x:v>10</x:v>
      </x:c>
      <x:c r="K1857" s="14" t="n">
        <x:v>2</x:v>
      </x:c>
      <x:c r="L1857" s="15" t="n">
        <x:f>IF(J1857=0,"해당 없음",K1857/J1857)</x:f>
        <x:v>0.2</x:v>
      </x:c>
      <x:c r="M1857" s="14" t="n">
        <x:v>15</x:v>
      </x:c>
      <x:c r="N1857" s="14" t="n">
        <x:v>12</x:v>
      </x:c>
      <x:c r="O1857" s="15" t="n">
        <x:f>IF(M1857=0,"해당 없음",N1857/M1857)</x:f>
        <x:v>0.8</x:v>
      </x:c>
      <x:c r="P1857" s="14" t="n">
        <x:v>102</x:v>
      </x:c>
    </x:row>
    <x:row r="1858" ht="22" customHeight="1">
      <x:c r="A1858" s="14" t="n">
        <x:v>927</x:v>
      </x:c>
      <x:c r="B1858" s="14" t="n">
        <x:v>24</x:v>
      </x:c>
      <x:c r="C1858" s="14" t="n">
        <x:v>76003</x:v>
      </x:c>
      <x:c r="D1858" s="2" t="str">
        <x:v>RED</x:v>
      </x:c>
      <x:c r="E1858" s="2" t="str">
        <x:v>120만</x:v>
      </x:c>
      <x:c r="F1858" s="2" t="str">
        <x:v>200만</x:v>
      </x:c>
      <x:c r="G1858" s="2" t="str">
        <x:v>승</x:v>
      </x:c>
      <x:c r="H1858" s="14" t="n">
        <x:v>2</x:v>
      </x:c>
      <x:c r="I1858" s="14" t="n">
        <x:v>0</x:v>
      </x:c>
      <x:c r="J1858" s="14" t="n">
        <x:v>13</x:v>
      </x:c>
      <x:c r="K1858" s="14" t="n">
        <x:v>2</x:v>
      </x:c>
      <x:c r="L1858" s="15" t="n">
        <x:f>IF(J1858=0,"해당 없음",K1858/J1858)</x:f>
        <x:v>0.15384615384615385</x:v>
      </x:c>
      <x:c r="M1858" s="14" t="n">
        <x:v>8</x:v>
      </x:c>
      <x:c r="N1858" s="14" t="n">
        <x:v>8</x:v>
      </x:c>
      <x:c r="O1858" s="15" t="n">
        <x:f>IF(M1858=0,"해당 없음",N1858/M1858)</x:f>
        <x:v>1</x:v>
      </x:c>
      <x:c r="P1858" s="14" t="n">
        <x:v>99</x:v>
      </x:c>
    </x:row>
    <x:row r="1859" ht="22" customHeight="1">
      <x:c r="A1859" s="14" t="n">
        <x:v>927</x:v>
      </x:c>
      <x:c r="B1859" s="14" t="n">
        <x:v>24</x:v>
      </x:c>
      <x:c r="C1859" s="14" t="n">
        <x:v>76003</x:v>
      </x:c>
      <x:c r="D1859" s="2" t="str">
        <x:v>NAVY</x:v>
      </x:c>
      <x:c r="E1859" s="2" t="str">
        <x:v>200만</x:v>
      </x:c>
      <x:c r="F1859" s="2" t="str">
        <x:v>120만</x:v>
      </x:c>
      <x:c r="G1859" s="2" t="str">
        <x:v>패</x:v>
      </x:c>
      <x:c r="H1859" s="14" t="n">
        <x:v>0</x:v>
      </x:c>
      <x:c r="I1859" s="14" t="n">
        <x:v>2</x:v>
      </x:c>
      <x:c r="J1859" s="14" t="n">
        <x:v>2</x:v>
      </x:c>
      <x:c r="K1859" s="14" t="n">
        <x:v>0</x:v>
      </x:c>
      <x:c r="L1859" s="15" t="n">
        <x:f>IF(J1859=0,"해당 없음",K1859/J1859)</x:f>
        <x:v>0</x:v>
      </x:c>
      <x:c r="M1859" s="14" t="n">
        <x:v>10</x:v>
      </x:c>
      <x:c r="N1859" s="14" t="n">
        <x:v>7</x:v>
      </x:c>
      <x:c r="O1859" s="15" t="n">
        <x:f>IF(M1859=0,"해당 없음",N1859/M1859)</x:f>
        <x:v>0.7</x:v>
      </x:c>
      <x:c r="P1859" s="14" t="n">
        <x:v>102</x:v>
      </x:c>
    </x:row>
    <x:row r="1860" ht="22" customHeight="1">
      <x:c r="A1860" s="14" t="n">
        <x:v>928</x:v>
      </x:c>
      <x:c r="B1860" s="14" t="n">
        <x:v>24</x:v>
      </x:c>
      <x:c r="C1860" s="14" t="n">
        <x:v>76003</x:v>
      </x:c>
      <x:c r="D1860" s="2" t="str">
        <x:v>RED</x:v>
      </x:c>
      <x:c r="E1860" s="2" t="str">
        <x:v>200만</x:v>
      </x:c>
      <x:c r="F1860" s="2" t="str">
        <x:v>120만</x:v>
      </x:c>
      <x:c r="G1860" s="2" t="str">
        <x:v>무</x:v>
      </x:c>
      <x:c r="H1860" s="14" t="n">
        <x:v>3</x:v>
      </x:c>
      <x:c r="I1860" s="14" t="n">
        <x:v>3</x:v>
      </x:c>
      <x:c r="J1860" s="14" t="n">
        <x:v>7</x:v>
      </x:c>
      <x:c r="K1860" s="14" t="n">
        <x:v>3</x:v>
      </x:c>
      <x:c r="L1860" s="15" t="n">
        <x:f>IF(J1860=0,"해당 없음",K1860/J1860)</x:f>
        <x:v>0.42857142857142855</x:v>
      </x:c>
      <x:c r="M1860" s="14" t="n">
        <x:v>8</x:v>
      </x:c>
      <x:c r="N1860" s="14" t="n">
        <x:v>7</x:v>
      </x:c>
      <x:c r="O1860" s="15" t="n">
        <x:f>IF(M1860=0,"해당 없음",N1860/M1860)</x:f>
        <x:v>0.875</x:v>
      </x:c>
      <x:c r="P1860" s="14" t="n">
        <x:v>103</x:v>
      </x:c>
    </x:row>
    <x:row r="1861" ht="22" customHeight="1">
      <x:c r="A1861" s="14" t="n">
        <x:v>928</x:v>
      </x:c>
      <x:c r="B1861" s="14" t="n">
        <x:v>24</x:v>
      </x:c>
      <x:c r="C1861" s="14" t="n">
        <x:v>76003</x:v>
      </x:c>
      <x:c r="D1861" s="2" t="str">
        <x:v>NAVY</x:v>
      </x:c>
      <x:c r="E1861" s="2" t="str">
        <x:v>120만</x:v>
      </x:c>
      <x:c r="F1861" s="2" t="str">
        <x:v>200만</x:v>
      </x:c>
      <x:c r="G1861" s="2" t="str">
        <x:v>무</x:v>
      </x:c>
      <x:c r="H1861" s="14" t="n">
        <x:v>3</x:v>
      </x:c>
      <x:c r="I1861" s="14" t="n">
        <x:v>3</x:v>
      </x:c>
      <x:c r="J1861" s="14" t="n">
        <x:v>10</x:v>
      </x:c>
      <x:c r="K1861" s="14" t="n">
        <x:v>3</x:v>
      </x:c>
      <x:c r="L1861" s="15" t="n">
        <x:f>IF(J1861=0,"해당 없음",K1861/J1861)</x:f>
        <x:v>0.3</x:v>
      </x:c>
      <x:c r="M1861" s="14" t="n">
        <x:v>8</x:v>
      </x:c>
      <x:c r="N1861" s="14" t="n">
        <x:v>8</x:v>
      </x:c>
      <x:c r="O1861" s="15" t="n">
        <x:f>IF(M1861=0,"해당 없음",N1861/M1861)</x:f>
        <x:v>1</x:v>
      </x:c>
      <x:c r="P1861" s="14" t="n">
        <x:v>103</x:v>
      </x:c>
    </x:row>
    <x:row r="1862" ht="22" customHeight="1">
      <x:c r="A1862" s="14" t="n">
        <x:v>929</x:v>
      </x:c>
      <x:c r="B1862" s="14" t="n">
        <x:v>24</x:v>
      </x:c>
      <x:c r="C1862" s="14" t="n">
        <x:v>76004</x:v>
      </x:c>
      <x:c r="D1862" s="2" t="str">
        <x:v>RED</x:v>
      </x:c>
      <x:c r="E1862" s="2" t="str">
        <x:v>120만</x:v>
      </x:c>
      <x:c r="F1862" s="2" t="str">
        <x:v>200만</x:v>
      </x:c>
      <x:c r="G1862" s="2" t="str">
        <x:v>무</x:v>
      </x:c>
      <x:c r="H1862" s="14" t="n">
        <x:v>2</x:v>
      </x:c>
      <x:c r="I1862" s="14" t="n">
        <x:v>2</x:v>
      </x:c>
      <x:c r="J1862" s="14" t="n">
        <x:v>6</x:v>
      </x:c>
      <x:c r="K1862" s="14" t="n">
        <x:v>2</x:v>
      </x:c>
      <x:c r="L1862" s="15" t="n">
        <x:f>IF(J1862=0,"해당 없음",K1862/J1862)</x:f>
        <x:v>0.3333333333333333</x:v>
      </x:c>
      <x:c r="M1862" s="14" t="n">
        <x:v>11</x:v>
      </x:c>
      <x:c r="N1862" s="14" t="n">
        <x:v>7</x:v>
      </x:c>
      <x:c r="O1862" s="15" t="n">
        <x:f>IF(M1862=0,"해당 없음",N1862/M1862)</x:f>
        <x:v>0.6363636363636364</x:v>
      </x:c>
      <x:c r="P1862" s="14" t="n">
        <x:v>101</x:v>
      </x:c>
    </x:row>
    <x:row r="1863" ht="22" customHeight="1">
      <x:c r="A1863" s="14" t="n">
        <x:v>929</x:v>
      </x:c>
      <x:c r="B1863" s="14" t="n">
        <x:v>24</x:v>
      </x:c>
      <x:c r="C1863" s="14" t="n">
        <x:v>76004</x:v>
      </x:c>
      <x:c r="D1863" s="2" t="str">
        <x:v>NAVY</x:v>
      </x:c>
      <x:c r="E1863" s="2" t="str">
        <x:v>200만</x:v>
      </x:c>
      <x:c r="F1863" s="2" t="str">
        <x:v>120만</x:v>
      </x:c>
      <x:c r="G1863" s="2" t="str">
        <x:v>무</x:v>
      </x:c>
      <x:c r="H1863" s="14" t="n">
        <x:v>2</x:v>
      </x:c>
      <x:c r="I1863" s="14" t="n">
        <x:v>2</x:v>
      </x:c>
      <x:c r="J1863" s="14" t="n">
        <x:v>15</x:v>
      </x:c>
      <x:c r="K1863" s="14" t="n">
        <x:v>2</x:v>
      </x:c>
      <x:c r="L1863" s="15" t="n">
        <x:f>IF(J1863=0,"해당 없음",K1863/J1863)</x:f>
        <x:v>0.13333333333333333</x:v>
      </x:c>
      <x:c r="M1863" s="14" t="n">
        <x:v>8</x:v>
      </x:c>
      <x:c r="N1863" s="14" t="n">
        <x:v>6</x:v>
      </x:c>
      <x:c r="O1863" s="15" t="n">
        <x:f>IF(M1863=0,"해당 없음",N1863/M1863)</x:f>
        <x:v>0.75</x:v>
      </x:c>
      <x:c r="P1863" s="14" t="n">
        <x:v>104</x:v>
      </x:c>
    </x:row>
    <x:row r="1864" ht="22" customHeight="1">
      <x:c r="A1864" s="14" t="n">
        <x:v>930</x:v>
      </x:c>
      <x:c r="B1864" s="14" t="n">
        <x:v>24</x:v>
      </x:c>
      <x:c r="C1864" s="14" t="n">
        <x:v>76004</x:v>
      </x:c>
      <x:c r="D1864" s="2" t="str">
        <x:v>RED</x:v>
      </x:c>
      <x:c r="E1864" s="2" t="str">
        <x:v>200만</x:v>
      </x:c>
      <x:c r="F1864" s="2" t="str">
        <x:v>120만</x:v>
      </x:c>
      <x:c r="G1864" s="2" t="str">
        <x:v>무</x:v>
      </x:c>
      <x:c r="H1864" s="14" t="n">
        <x:v>3</x:v>
      </x:c>
      <x:c r="I1864" s="14" t="n">
        <x:v>3</x:v>
      </x:c>
      <x:c r="J1864" s="14" t="n">
        <x:v>7</x:v>
      </x:c>
      <x:c r="K1864" s="14" t="n">
        <x:v>3</x:v>
      </x:c>
      <x:c r="L1864" s="15" t="n">
        <x:f>IF(J1864=0,"해당 없음",K1864/J1864)</x:f>
        <x:v>0.42857142857142855</x:v>
      </x:c>
      <x:c r="M1864" s="14" t="n">
        <x:v>11</x:v>
      </x:c>
      <x:c r="N1864" s="14" t="n">
        <x:v>6</x:v>
      </x:c>
      <x:c r="O1864" s="15" t="n">
        <x:f>IF(M1864=0,"해당 없음",N1864/M1864)</x:f>
        <x:v>0.5454545454545454</x:v>
      </x:c>
      <x:c r="P1864" s="14" t="n">
        <x:v>104</x:v>
      </x:c>
    </x:row>
    <x:row r="1865" ht="22" customHeight="1">
      <x:c r="A1865" s="14" t="n">
        <x:v>930</x:v>
      </x:c>
      <x:c r="B1865" s="14" t="n">
        <x:v>24</x:v>
      </x:c>
      <x:c r="C1865" s="14" t="n">
        <x:v>76004</x:v>
      </x:c>
      <x:c r="D1865" s="2" t="str">
        <x:v>NAVY</x:v>
      </x:c>
      <x:c r="E1865" s="2" t="str">
        <x:v>120만</x:v>
      </x:c>
      <x:c r="F1865" s="2" t="str">
        <x:v>200만</x:v>
      </x:c>
      <x:c r="G1865" s="2" t="str">
        <x:v>무</x:v>
      </x:c>
      <x:c r="H1865" s="14" t="n">
        <x:v>3</x:v>
      </x:c>
      <x:c r="I1865" s="14" t="n">
        <x:v>3</x:v>
      </x:c>
      <x:c r="J1865" s="14" t="n">
        <x:v>13</x:v>
      </x:c>
      <x:c r="K1865" s="14" t="n">
        <x:v>2</x:v>
      </x:c>
      <x:c r="L1865" s="15" t="n">
        <x:f>IF(J1865=0,"해당 없음",K1865/J1865)</x:f>
        <x:v>0.15384615384615385</x:v>
      </x:c>
      <x:c r="M1865" s="14" t="n">
        <x:v>11</x:v>
      </x:c>
      <x:c r="N1865" s="14" t="n">
        <x:v>9</x:v>
      </x:c>
      <x:c r="O1865" s="15" t="n">
        <x:f>IF(M1865=0,"해당 없음",N1865/M1865)</x:f>
        <x:v>0.8181818181818182</x:v>
      </x:c>
      <x:c r="P1865" s="14" t="n">
        <x:v>104</x:v>
      </x:c>
    </x:row>
    <x:row r="1866" ht="22" customHeight="1">
      <x:c r="A1866" s="14" t="n">
        <x:v>931</x:v>
      </x:c>
      <x:c r="B1866" s="14" t="n">
        <x:v>24</x:v>
      </x:c>
      <x:c r="C1866" s="14" t="n">
        <x:v>76005</x:v>
      </x:c>
      <x:c r="D1866" s="2" t="str">
        <x:v>RED</x:v>
      </x:c>
      <x:c r="E1866" s="2" t="str">
        <x:v>120만</x:v>
      </x:c>
      <x:c r="F1866" s="2" t="str">
        <x:v>200만</x:v>
      </x:c>
      <x:c r="G1866" s="2" t="str">
        <x:v>승</x:v>
      </x:c>
      <x:c r="H1866" s="14" t="n">
        <x:v>4</x:v>
      </x:c>
      <x:c r="I1866" s="14" t="n">
        <x:v>1</x:v>
      </x:c>
      <x:c r="J1866" s="14" t="n">
        <x:v>11</x:v>
      </x:c>
      <x:c r="K1866" s="14" t="n">
        <x:v>4</x:v>
      </x:c>
      <x:c r="L1866" s="15" t="n">
        <x:f>IF(J1866=0,"해당 없음",K1866/J1866)</x:f>
        <x:v>0.36363636363636365</x:v>
      </x:c>
      <x:c r="M1866" s="14" t="n">
        <x:v>12</x:v>
      </x:c>
      <x:c r="N1866" s="14" t="n">
        <x:v>11</x:v>
      </x:c>
      <x:c r="O1866" s="15" t="n">
        <x:f>IF(M1866=0,"해당 없음",N1866/M1866)</x:f>
        <x:v>0.9166666666666666</x:v>
      </x:c>
      <x:c r="P1866" s="14" t="n">
        <x:v>102</x:v>
      </x:c>
    </x:row>
    <x:row r="1867" ht="22" customHeight="1">
      <x:c r="A1867" s="14" t="n">
        <x:v>931</x:v>
      </x:c>
      <x:c r="B1867" s="14" t="n">
        <x:v>24</x:v>
      </x:c>
      <x:c r="C1867" s="14" t="n">
        <x:v>76005</x:v>
      </x:c>
      <x:c r="D1867" s="2" t="str">
        <x:v>NAVY</x:v>
      </x:c>
      <x:c r="E1867" s="2" t="str">
        <x:v>200만</x:v>
      </x:c>
      <x:c r="F1867" s="2" t="str">
        <x:v>120만</x:v>
      </x:c>
      <x:c r="G1867" s="2" t="str">
        <x:v>패</x:v>
      </x:c>
      <x:c r="H1867" s="14" t="n">
        <x:v>1</x:v>
      </x:c>
      <x:c r="I1867" s="14" t="n">
        <x:v>4</x:v>
      </x:c>
      <x:c r="J1867" s="14" t="n">
        <x:v>7</x:v>
      </x:c>
      <x:c r="K1867" s="14" t="n">
        <x:v>1</x:v>
      </x:c>
      <x:c r="L1867" s="15" t="n">
        <x:f>IF(J1867=0,"해당 없음",K1867/J1867)</x:f>
        <x:v>0.14285714285714285</x:v>
      </x:c>
      <x:c r="M1867" s="14" t="n">
        <x:v>10</x:v>
      </x:c>
      <x:c r="N1867" s="14" t="n">
        <x:v>8</x:v>
      </x:c>
      <x:c r="O1867" s="15" t="n">
        <x:f>IF(M1867=0,"해당 없음",N1867/M1867)</x:f>
        <x:v>0.8</x:v>
      </x:c>
      <x:c r="P1867" s="14" t="n">
        <x:v>102</x:v>
      </x:c>
    </x:row>
    <x:row r="1868" ht="22" customHeight="1">
      <x:c r="A1868" s="14" t="n">
        <x:v>932</x:v>
      </x:c>
      <x:c r="B1868" s="14" t="n">
        <x:v>24</x:v>
      </x:c>
      <x:c r="C1868" s="14" t="n">
        <x:v>76005</x:v>
      </x:c>
      <x:c r="D1868" s="2" t="str">
        <x:v>RED</x:v>
      </x:c>
      <x:c r="E1868" s="2" t="str">
        <x:v>200만</x:v>
      </x:c>
      <x:c r="F1868" s="2" t="str">
        <x:v>120만</x:v>
      </x:c>
      <x:c r="G1868" s="2" t="str">
        <x:v>승</x:v>
      </x:c>
      <x:c r="H1868" s="14" t="n">
        <x:v>5</x:v>
      </x:c>
      <x:c r="I1868" s="14" t="n">
        <x:v>3</x:v>
      </x:c>
      <x:c r="J1868" s="14" t="n">
        <x:v>13</x:v>
      </x:c>
      <x:c r="K1868" s="14" t="n">
        <x:v>5</x:v>
      </x:c>
      <x:c r="L1868" s="15" t="n">
        <x:f>IF(J1868=0,"해당 없음",K1868/J1868)</x:f>
        <x:v>0.38461538461538464</x:v>
      </x:c>
      <x:c r="M1868" s="14" t="n">
        <x:v>11</x:v>
      </x:c>
      <x:c r="N1868" s="14" t="n">
        <x:v>8</x:v>
      </x:c>
      <x:c r="O1868" s="15" t="n">
        <x:f>IF(M1868=0,"해당 없음",N1868/M1868)</x:f>
        <x:v>0.7272727272727273</x:v>
      </x:c>
      <x:c r="P1868" s="14" t="n">
        <x:v>107</x:v>
      </x:c>
    </x:row>
    <x:row r="1869" ht="22" customHeight="1">
      <x:c r="A1869" s="14" t="n">
        <x:v>932</x:v>
      </x:c>
      <x:c r="B1869" s="14" t="n">
        <x:v>24</x:v>
      </x:c>
      <x:c r="C1869" s="14" t="n">
        <x:v>76005</x:v>
      </x:c>
      <x:c r="D1869" s="2" t="str">
        <x:v>NAVY</x:v>
      </x:c>
      <x:c r="E1869" s="2" t="str">
        <x:v>120만</x:v>
      </x:c>
      <x:c r="F1869" s="2" t="str">
        <x:v>200만</x:v>
      </x:c>
      <x:c r="G1869" s="2" t="str">
        <x:v>패</x:v>
      </x:c>
      <x:c r="H1869" s="14" t="n">
        <x:v>3</x:v>
      </x:c>
      <x:c r="I1869" s="14" t="n">
        <x:v>5</x:v>
      </x:c>
      <x:c r="J1869" s="14" t="n">
        <x:v>7</x:v>
      </x:c>
      <x:c r="K1869" s="14" t="n">
        <x:v>3</x:v>
      </x:c>
      <x:c r="L1869" s="15" t="n">
        <x:f>IF(J1869=0,"해당 없음",K1869/J1869)</x:f>
        <x:v>0.42857142857142855</x:v>
      </x:c>
      <x:c r="M1869" s="14" t="n">
        <x:v>8</x:v>
      </x:c>
      <x:c r="N1869" s="14" t="n">
        <x:v>3</x:v>
      </x:c>
      <x:c r="O1869" s="15" t="n">
        <x:f>IF(M1869=0,"해당 없음",N1869/M1869)</x:f>
        <x:v>0.375</x:v>
      </x:c>
      <x:c r="P1869" s="14" t="n">
        <x:v>105</x:v>
      </x:c>
    </x:row>
    <x:row r="1870" ht="22" customHeight="1">
      <x:c r="A1870" s="14" t="n">
        <x:v>933</x:v>
      </x:c>
      <x:c r="B1870" s="14" t="n">
        <x:v>24</x:v>
      </x:c>
      <x:c r="C1870" s="14" t="n">
        <x:v>76006</x:v>
      </x:c>
      <x:c r="D1870" s="2" t="str">
        <x:v>RED</x:v>
      </x:c>
      <x:c r="E1870" s="2" t="str">
        <x:v>120만</x:v>
      </x:c>
      <x:c r="F1870" s="2" t="str">
        <x:v>200만</x:v>
      </x:c>
      <x:c r="G1870" s="2" t="str">
        <x:v>승</x:v>
      </x:c>
      <x:c r="H1870" s="14" t="n">
        <x:v>6</x:v>
      </x:c>
      <x:c r="I1870" s="14" t="n">
        <x:v>2</x:v>
      </x:c>
      <x:c r="J1870" s="14" t="n">
        <x:v>10</x:v>
      </x:c>
      <x:c r="K1870" s="14" t="n">
        <x:v>6</x:v>
      </x:c>
      <x:c r="L1870" s="15" t="n">
        <x:f>IF(J1870=0,"해당 없음",K1870/J1870)</x:f>
        <x:v>0.6</x:v>
      </x:c>
      <x:c r="M1870" s="14" t="n">
        <x:v>8</x:v>
      </x:c>
      <x:c r="N1870" s="14" t="n">
        <x:v>7</x:v>
      </x:c>
      <x:c r="O1870" s="15" t="n">
        <x:f>IF(M1870=0,"해당 없음",N1870/M1870)</x:f>
        <x:v>0.875</x:v>
      </x:c>
      <x:c r="P1870" s="14" t="n">
        <x:v>104</x:v>
      </x:c>
    </x:row>
    <x:row r="1871" ht="22" customHeight="1">
      <x:c r="A1871" s="14" t="n">
        <x:v>933</x:v>
      </x:c>
      <x:c r="B1871" s="14" t="n">
        <x:v>24</x:v>
      </x:c>
      <x:c r="C1871" s="14" t="n">
        <x:v>76006</x:v>
      </x:c>
      <x:c r="D1871" s="2" t="str">
        <x:v>NAVY</x:v>
      </x:c>
      <x:c r="E1871" s="2" t="str">
        <x:v>200만</x:v>
      </x:c>
      <x:c r="F1871" s="2" t="str">
        <x:v>120만</x:v>
      </x:c>
      <x:c r="G1871" s="2" t="str">
        <x:v>패</x:v>
      </x:c>
      <x:c r="H1871" s="14" t="n">
        <x:v>2</x:v>
      </x:c>
      <x:c r="I1871" s="14" t="n">
        <x:v>6</x:v>
      </x:c>
      <x:c r="J1871" s="14" t="n">
        <x:v>7</x:v>
      </x:c>
      <x:c r="K1871" s="14" t="n">
        <x:v>2</x:v>
      </x:c>
      <x:c r="L1871" s="15" t="n">
        <x:f>IF(J1871=0,"해당 없음",K1871/J1871)</x:f>
        <x:v>0.2857142857142857</x:v>
      </x:c>
      <x:c r="M1871" s="14" t="n">
        <x:v>5</x:v>
      </x:c>
      <x:c r="N1871" s="14" t="n">
        <x:v>4</x:v>
      </x:c>
      <x:c r="O1871" s="15" t="n">
        <x:f>IF(M1871=0,"해당 없음",N1871/M1871)</x:f>
        <x:v>0.8</x:v>
      </x:c>
      <x:c r="P1871" s="14" t="n">
        <x:v>103</x:v>
      </x:c>
    </x:row>
    <x:row r="1872" ht="22" customHeight="1">
      <x:c r="A1872" s="14" t="n">
        <x:v>934</x:v>
      </x:c>
      <x:c r="B1872" s="14" t="n">
        <x:v>24</x:v>
      </x:c>
      <x:c r="C1872" s="14" t="n">
        <x:v>76006</x:v>
      </x:c>
      <x:c r="D1872" s="2" t="str">
        <x:v>RED</x:v>
      </x:c>
      <x:c r="E1872" s="2" t="str">
        <x:v>200만</x:v>
      </x:c>
      <x:c r="F1872" s="2" t="str">
        <x:v>120만</x:v>
      </x:c>
      <x:c r="G1872" s="2" t="str">
        <x:v>패</x:v>
      </x:c>
      <x:c r="H1872" s="14" t="n">
        <x:v>2</x:v>
      </x:c>
      <x:c r="I1872" s="14" t="n">
        <x:v>3</x:v>
      </x:c>
      <x:c r="J1872" s="14" t="n">
        <x:v>7</x:v>
      </x:c>
      <x:c r="K1872" s="14" t="n">
        <x:v>2</x:v>
      </x:c>
      <x:c r="L1872" s="15" t="n">
        <x:f>IF(J1872=0,"해당 없음",K1872/J1872)</x:f>
        <x:v>0.2857142857142857</x:v>
      </x:c>
      <x:c r="M1872" s="14" t="n">
        <x:v>9</x:v>
      </x:c>
      <x:c r="N1872" s="14" t="n">
        <x:v>6</x:v>
      </x:c>
      <x:c r="O1872" s="15" t="n">
        <x:f>IF(M1872=0,"해당 없음",N1872/M1872)</x:f>
        <x:v>0.6666666666666666</x:v>
      </x:c>
      <x:c r="P1872" s="14" t="n">
        <x:v>104</x:v>
      </x:c>
    </x:row>
    <x:row r="1873" ht="22" customHeight="1">
      <x:c r="A1873" s="14" t="n">
        <x:v>934</x:v>
      </x:c>
      <x:c r="B1873" s="14" t="n">
        <x:v>24</x:v>
      </x:c>
      <x:c r="C1873" s="14" t="n">
        <x:v>76006</x:v>
      </x:c>
      <x:c r="D1873" s="2" t="str">
        <x:v>NAVY</x:v>
      </x:c>
      <x:c r="E1873" s="2" t="str">
        <x:v>120만</x:v>
      </x:c>
      <x:c r="F1873" s="2" t="str">
        <x:v>200만</x:v>
      </x:c>
      <x:c r="G1873" s="2" t="str">
        <x:v>승</x:v>
      </x:c>
      <x:c r="H1873" s="14" t="n">
        <x:v>3</x:v>
      </x:c>
      <x:c r="I1873" s="14" t="n">
        <x:v>2</x:v>
      </x:c>
      <x:c r="J1873" s="14" t="n">
        <x:v>10</x:v>
      </x:c>
      <x:c r="K1873" s="14" t="n">
        <x:v>3</x:v>
      </x:c>
      <x:c r="L1873" s="15" t="n">
        <x:f>IF(J1873=0,"해당 없음",K1873/J1873)</x:f>
        <x:v>0.3</x:v>
      </x:c>
      <x:c r="M1873" s="14" t="n">
        <x:v>12</x:v>
      </x:c>
      <x:c r="N1873" s="14" t="n">
        <x:v>11</x:v>
      </x:c>
      <x:c r="O1873" s="15" t="n">
        <x:f>IF(M1873=0,"해당 없음",N1873/M1873)</x:f>
        <x:v>0.9166666666666666</x:v>
      </x:c>
      <x:c r="P1873" s="14" t="n">
        <x:v>101</x:v>
      </x:c>
    </x:row>
    <x:row r="1874" ht="22" customHeight="1">
      <x:c r="A1874" s="14" t="n">
        <x:v>935</x:v>
      </x:c>
      <x:c r="B1874" s="14" t="n">
        <x:v>24</x:v>
      </x:c>
      <x:c r="C1874" s="14" t="n">
        <x:v>76007</x:v>
      </x:c>
      <x:c r="D1874" s="2" t="str">
        <x:v>RED</x:v>
      </x:c>
      <x:c r="E1874" s="2" t="str">
        <x:v>120만</x:v>
      </x:c>
      <x:c r="F1874" s="2" t="str">
        <x:v>200만</x:v>
      </x:c>
      <x:c r="G1874" s="2" t="str">
        <x:v>무</x:v>
      </x:c>
      <x:c r="H1874" s="14" t="n">
        <x:v>3</x:v>
      </x:c>
      <x:c r="I1874" s="14" t="n">
        <x:v>3</x:v>
      </x:c>
      <x:c r="J1874" s="14" t="n">
        <x:v>8</x:v>
      </x:c>
      <x:c r="K1874" s="14" t="n">
        <x:v>3</x:v>
      </x:c>
      <x:c r="L1874" s="15" t="n">
        <x:f>IF(J1874=0,"해당 없음",K1874/J1874)</x:f>
        <x:v>0.375</x:v>
      </x:c>
      <x:c r="M1874" s="14" t="n">
        <x:v>12</x:v>
      </x:c>
      <x:c r="N1874" s="14" t="n">
        <x:v>5</x:v>
      </x:c>
      <x:c r="O1874" s="15" t="n">
        <x:f>IF(M1874=0,"해당 없음",N1874/M1874)</x:f>
        <x:v>0.4166666666666667</x:v>
      </x:c>
      <x:c r="P1874" s="14" t="n">
        <x:v>103</x:v>
      </x:c>
    </x:row>
    <x:row r="1875" ht="22" customHeight="1">
      <x:c r="A1875" s="14" t="n">
        <x:v>935</x:v>
      </x:c>
      <x:c r="B1875" s="14" t="n">
        <x:v>24</x:v>
      </x:c>
      <x:c r="C1875" s="14" t="n">
        <x:v>76007</x:v>
      </x:c>
      <x:c r="D1875" s="2" t="str">
        <x:v>NAVY</x:v>
      </x:c>
      <x:c r="E1875" s="2" t="str">
        <x:v>200만</x:v>
      </x:c>
      <x:c r="F1875" s="2" t="str">
        <x:v>120만</x:v>
      </x:c>
      <x:c r="G1875" s="2" t="str">
        <x:v>무</x:v>
      </x:c>
      <x:c r="H1875" s="14" t="n">
        <x:v>3</x:v>
      </x:c>
      <x:c r="I1875" s="14" t="n">
        <x:v>3</x:v>
      </x:c>
      <x:c r="J1875" s="14" t="n">
        <x:v>10</x:v>
      </x:c>
      <x:c r="K1875" s="14" t="n">
        <x:v>3</x:v>
      </x:c>
      <x:c r="L1875" s="15" t="n">
        <x:f>IF(J1875=0,"해당 없음",K1875/J1875)</x:f>
        <x:v>0.3</x:v>
      </x:c>
      <x:c r="M1875" s="14" t="n">
        <x:v>9</x:v>
      </x:c>
      <x:c r="N1875" s="14" t="n">
        <x:v>9</x:v>
      </x:c>
      <x:c r="O1875" s="15" t="n">
        <x:f>IF(M1875=0,"해당 없음",N1875/M1875)</x:f>
        <x:v>1</x:v>
      </x:c>
      <x:c r="P1875" s="14" t="n">
        <x:v>105</x:v>
      </x:c>
    </x:row>
    <x:row r="1876" ht="22" customHeight="1">
      <x:c r="A1876" s="14" t="n">
        <x:v>936</x:v>
      </x:c>
      <x:c r="B1876" s="14" t="n">
        <x:v>24</x:v>
      </x:c>
      <x:c r="C1876" s="14" t="n">
        <x:v>76007</x:v>
      </x:c>
      <x:c r="D1876" s="2" t="str">
        <x:v>RED</x:v>
      </x:c>
      <x:c r="E1876" s="2" t="str">
        <x:v>200만</x:v>
      </x:c>
      <x:c r="F1876" s="2" t="str">
        <x:v>120만</x:v>
      </x:c>
      <x:c r="G1876" s="2" t="str">
        <x:v>무</x:v>
      </x:c>
      <x:c r="H1876" s="14" t="n">
        <x:v>2</x:v>
      </x:c>
      <x:c r="I1876" s="14" t="n">
        <x:v>2</x:v>
      </x:c>
      <x:c r="J1876" s="14" t="n">
        <x:v>7</x:v>
      </x:c>
      <x:c r="K1876" s="14" t="n">
        <x:v>2</x:v>
      </x:c>
      <x:c r="L1876" s="15" t="n">
        <x:f>IF(J1876=0,"해당 없음",K1876/J1876)</x:f>
        <x:v>0.2857142857142857</x:v>
      </x:c>
      <x:c r="M1876" s="14" t="n">
        <x:v>11</x:v>
      </x:c>
      <x:c r="N1876" s="14" t="n">
        <x:v>7</x:v>
      </x:c>
      <x:c r="O1876" s="15" t="n">
        <x:f>IF(M1876=0,"해당 없음",N1876/M1876)</x:f>
        <x:v>0.6363636363636364</x:v>
      </x:c>
      <x:c r="P1876" s="14" t="n">
        <x:v>101</x:v>
      </x:c>
    </x:row>
    <x:row r="1877" ht="22" customHeight="1">
      <x:c r="A1877" s="14" t="n">
        <x:v>936</x:v>
      </x:c>
      <x:c r="B1877" s="14" t="n">
        <x:v>24</x:v>
      </x:c>
      <x:c r="C1877" s="14" t="n">
        <x:v>76007</x:v>
      </x:c>
      <x:c r="D1877" s="2" t="str">
        <x:v>NAVY</x:v>
      </x:c>
      <x:c r="E1877" s="2" t="str">
        <x:v>120만</x:v>
      </x:c>
      <x:c r="F1877" s="2" t="str">
        <x:v>200만</x:v>
      </x:c>
      <x:c r="G1877" s="2" t="str">
        <x:v>무</x:v>
      </x:c>
      <x:c r="H1877" s="14" t="n">
        <x:v>2</x:v>
      </x:c>
      <x:c r="I1877" s="14" t="n">
        <x:v>2</x:v>
      </x:c>
      <x:c r="J1877" s="14" t="n">
        <x:v>7</x:v>
      </x:c>
      <x:c r="K1877" s="14" t="n">
        <x:v>2</x:v>
      </x:c>
      <x:c r="L1877" s="15" t="n">
        <x:f>IF(J1877=0,"해당 없음",K1877/J1877)</x:f>
        <x:v>0.2857142857142857</x:v>
      </x:c>
      <x:c r="M1877" s="14" t="n">
        <x:v>12</x:v>
      </x:c>
      <x:c r="N1877" s="14" t="n">
        <x:v>10</x:v>
      </x:c>
      <x:c r="O1877" s="15" t="n">
        <x:f>IF(M1877=0,"해당 없음",N1877/M1877)</x:f>
        <x:v>0.8333333333333334</x:v>
      </x:c>
      <x:c r="P1877" s="14" t="n">
        <x:v>103</x:v>
      </x:c>
    </x:row>
    <x:row r="1878" ht="22" customHeight="1">
      <x:c r="A1878" s="14" t="n">
        <x:v>937</x:v>
      </x:c>
      <x:c r="B1878" s="14" t="n">
        <x:v>24</x:v>
      </x:c>
      <x:c r="C1878" s="14" t="n">
        <x:v>76008</x:v>
      </x:c>
      <x:c r="D1878" s="2" t="str">
        <x:v>RED</x:v>
      </x:c>
      <x:c r="E1878" s="2" t="str">
        <x:v>120만</x:v>
      </x:c>
      <x:c r="F1878" s="2" t="str">
        <x:v>200만</x:v>
      </x:c>
      <x:c r="G1878" s="2" t="str">
        <x:v>패</x:v>
      </x:c>
      <x:c r="H1878" s="14" t="n">
        <x:v>1</x:v>
      </x:c>
      <x:c r="I1878" s="14" t="n">
        <x:v>2</x:v>
      </x:c>
      <x:c r="J1878" s="14" t="n">
        <x:v>11</x:v>
      </x:c>
      <x:c r="K1878" s="14" t="n">
        <x:v>1</x:v>
      </x:c>
      <x:c r="L1878" s="15" t="n">
        <x:f>IF(J1878=0,"해당 없음",K1878/J1878)</x:f>
        <x:v>0.09090909090909091</x:v>
      </x:c>
      <x:c r="M1878" s="14" t="n">
        <x:v>6</x:v>
      </x:c>
      <x:c r="N1878" s="14" t="n">
        <x:v>5</x:v>
      </x:c>
      <x:c r="O1878" s="15" t="n">
        <x:f>IF(M1878=0,"해당 없음",N1878/M1878)</x:f>
        <x:v>0.8333333333333334</x:v>
      </x:c>
      <x:c r="P1878" s="14" t="n">
        <x:v>101</x:v>
      </x:c>
    </x:row>
    <x:row r="1879" ht="22" customHeight="1">
      <x:c r="A1879" s="14" t="n">
        <x:v>937</x:v>
      </x:c>
      <x:c r="B1879" s="14" t="n">
        <x:v>24</x:v>
      </x:c>
      <x:c r="C1879" s="14" t="n">
        <x:v>76008</x:v>
      </x:c>
      <x:c r="D1879" s="2" t="str">
        <x:v>NAVY</x:v>
      </x:c>
      <x:c r="E1879" s="2" t="str">
        <x:v>200만</x:v>
      </x:c>
      <x:c r="F1879" s="2" t="str">
        <x:v>120만</x:v>
      </x:c>
      <x:c r="G1879" s="2" t="str">
        <x:v>승</x:v>
      </x:c>
      <x:c r="H1879" s="14" t="n">
        <x:v>2</x:v>
      </x:c>
      <x:c r="I1879" s="14" t="n">
        <x:v>1</x:v>
      </x:c>
      <x:c r="J1879" s="14" t="n">
        <x:v>4</x:v>
      </x:c>
      <x:c r="K1879" s="14" t="n">
        <x:v>2</x:v>
      </x:c>
      <x:c r="L1879" s="15" t="n">
        <x:f>IF(J1879=0,"해당 없음",K1879/J1879)</x:f>
        <x:v>0.5</x:v>
      </x:c>
      <x:c r="M1879" s="14" t="n">
        <x:v>10</x:v>
      </x:c>
      <x:c r="N1879" s="14" t="n">
        <x:v>9</x:v>
      </x:c>
      <x:c r="O1879" s="15" t="n">
        <x:f>IF(M1879=0,"해당 없음",N1879/M1879)</x:f>
        <x:v>0.9</x:v>
      </x:c>
      <x:c r="P1879" s="14" t="n">
        <x:v>102</x:v>
      </x:c>
    </x:row>
    <x:row r="1880" ht="22" customHeight="1">
      <x:c r="A1880" s="14" t="n">
        <x:v>938</x:v>
      </x:c>
      <x:c r="B1880" s="14" t="n">
        <x:v>24</x:v>
      </x:c>
      <x:c r="C1880" s="14" t="n">
        <x:v>76008</x:v>
      </x:c>
      <x:c r="D1880" s="2" t="str">
        <x:v>RED</x:v>
      </x:c>
      <x:c r="E1880" s="2" t="str">
        <x:v>200만</x:v>
      </x:c>
      <x:c r="F1880" s="2" t="str">
        <x:v>120만</x:v>
      </x:c>
      <x:c r="G1880" s="2" t="str">
        <x:v>무</x:v>
      </x:c>
      <x:c r="H1880" s="14" t="n">
        <x:v>2</x:v>
      </x:c>
      <x:c r="I1880" s="14" t="n">
        <x:v>2</x:v>
      </x:c>
      <x:c r="J1880" s="14" t="n">
        <x:v>10</x:v>
      </x:c>
      <x:c r="K1880" s="14" t="n">
        <x:v>2</x:v>
      </x:c>
      <x:c r="L1880" s="15" t="n">
        <x:f>IF(J1880=0,"해당 없음",K1880/J1880)</x:f>
        <x:v>0.2</x:v>
      </x:c>
      <x:c r="M1880" s="14" t="n">
        <x:v>7</x:v>
      </x:c>
      <x:c r="N1880" s="14" t="n">
        <x:v>6</x:v>
      </x:c>
      <x:c r="O1880" s="15" t="n">
        <x:f>IF(M1880=0,"해당 없음",N1880/M1880)</x:f>
        <x:v>0.8571428571428571</x:v>
      </x:c>
      <x:c r="P1880" s="14" t="n">
        <x:v>102</x:v>
      </x:c>
    </x:row>
    <x:row r="1881" ht="22" customHeight="1">
      <x:c r="A1881" s="14" t="n">
        <x:v>938</x:v>
      </x:c>
      <x:c r="B1881" s="14" t="n">
        <x:v>24</x:v>
      </x:c>
      <x:c r="C1881" s="14" t="n">
        <x:v>76008</x:v>
      </x:c>
      <x:c r="D1881" s="2" t="str">
        <x:v>NAVY</x:v>
      </x:c>
      <x:c r="E1881" s="2" t="str">
        <x:v>120만</x:v>
      </x:c>
      <x:c r="F1881" s="2" t="str">
        <x:v>200만</x:v>
      </x:c>
      <x:c r="G1881" s="2" t="str">
        <x:v>무</x:v>
      </x:c>
      <x:c r="H1881" s="14" t="n">
        <x:v>2</x:v>
      </x:c>
      <x:c r="I1881" s="14" t="n">
        <x:v>2</x:v>
      </x:c>
      <x:c r="J1881" s="14" t="n">
        <x:v>8</x:v>
      </x:c>
      <x:c r="K1881" s="14" t="n">
        <x:v>2</x:v>
      </x:c>
      <x:c r="L1881" s="15" t="n">
        <x:f>IF(J1881=0,"해당 없음",K1881/J1881)</x:f>
        <x:v>0.25</x:v>
      </x:c>
      <x:c r="M1881" s="14" t="n">
        <x:v>8</x:v>
      </x:c>
      <x:c r="N1881" s="14" t="n">
        <x:v>6</x:v>
      </x:c>
      <x:c r="O1881" s="15" t="n">
        <x:f>IF(M1881=0,"해당 없음",N1881/M1881)</x:f>
        <x:v>0.75</x:v>
      </x:c>
      <x:c r="P1881" s="14" t="n">
        <x:v>102</x:v>
      </x:c>
    </x:row>
    <x:row r="1882" ht="22" customHeight="1">
      <x:c r="A1882" s="14" t="n">
        <x:v>939</x:v>
      </x:c>
      <x:c r="B1882" s="14" t="n">
        <x:v>24</x:v>
      </x:c>
      <x:c r="C1882" s="14" t="n">
        <x:v>76009</x:v>
      </x:c>
      <x:c r="D1882" s="2" t="str">
        <x:v>RED</x:v>
      </x:c>
      <x:c r="E1882" s="2" t="str">
        <x:v>120만</x:v>
      </x:c>
      <x:c r="F1882" s="2" t="str">
        <x:v>200만</x:v>
      </x:c>
      <x:c r="G1882" s="2" t="str">
        <x:v>승</x:v>
      </x:c>
      <x:c r="H1882" s="14" t="n">
        <x:v>4</x:v>
      </x:c>
      <x:c r="I1882" s="14" t="n">
        <x:v>1</x:v>
      </x:c>
      <x:c r="J1882" s="14" t="n">
        <x:v>8</x:v>
      </x:c>
      <x:c r="K1882" s="14" t="n">
        <x:v>4</x:v>
      </x:c>
      <x:c r="L1882" s="15" t="n">
        <x:f>IF(J1882=0,"해당 없음",K1882/J1882)</x:f>
        <x:v>0.5</x:v>
      </x:c>
      <x:c r="M1882" s="14" t="n">
        <x:v>5</x:v>
      </x:c>
      <x:c r="N1882" s="14" t="n">
        <x:v>4</x:v>
      </x:c>
      <x:c r="O1882" s="15" t="n">
        <x:f>IF(M1882=0,"해당 없음",N1882/M1882)</x:f>
        <x:v>0.8</x:v>
      </x:c>
      <x:c r="P1882" s="14" t="n">
        <x:v>105</x:v>
      </x:c>
    </x:row>
    <x:row r="1883" ht="22" customHeight="1">
      <x:c r="A1883" s="14" t="n">
        <x:v>939</x:v>
      </x:c>
      <x:c r="B1883" s="14" t="n">
        <x:v>24</x:v>
      </x:c>
      <x:c r="C1883" s="14" t="n">
        <x:v>76009</x:v>
      </x:c>
      <x:c r="D1883" s="2" t="str">
        <x:v>NAVY</x:v>
      </x:c>
      <x:c r="E1883" s="2" t="str">
        <x:v>200만</x:v>
      </x:c>
      <x:c r="F1883" s="2" t="str">
        <x:v>120만</x:v>
      </x:c>
      <x:c r="G1883" s="2" t="str">
        <x:v>패</x:v>
      </x:c>
      <x:c r="H1883" s="14" t="n">
        <x:v>1</x:v>
      </x:c>
      <x:c r="I1883" s="14" t="n">
        <x:v>4</x:v>
      </x:c>
      <x:c r="J1883" s="14" t="n">
        <x:v>11</x:v>
      </x:c>
      <x:c r="K1883" s="14" t="n">
        <x:v>1</x:v>
      </x:c>
      <x:c r="L1883" s="15" t="n">
        <x:f>IF(J1883=0,"해당 없음",K1883/J1883)</x:f>
        <x:v>0.09090909090909091</x:v>
      </x:c>
      <x:c r="M1883" s="14" t="n">
        <x:v>7</x:v>
      </x:c>
      <x:c r="N1883" s="14" t="n">
        <x:v>3</x:v>
      </x:c>
      <x:c r="O1883" s="15" t="n">
        <x:f>IF(M1883=0,"해당 없음",N1883/M1883)</x:f>
        <x:v>0.42857142857142855</x:v>
      </x:c>
      <x:c r="P1883" s="14" t="n">
        <x:v>104</x:v>
      </x:c>
    </x:row>
    <x:row r="1884" ht="22" customHeight="1">
      <x:c r="A1884" s="14" t="n">
        <x:v>940</x:v>
      </x:c>
      <x:c r="B1884" s="14" t="n">
        <x:v>24</x:v>
      </x:c>
      <x:c r="C1884" s="14" t="n">
        <x:v>76009</x:v>
      </x:c>
      <x:c r="D1884" s="2" t="str">
        <x:v>RED</x:v>
      </x:c>
      <x:c r="E1884" s="2" t="str">
        <x:v>200만</x:v>
      </x:c>
      <x:c r="F1884" s="2" t="str">
        <x:v>120만</x:v>
      </x:c>
      <x:c r="G1884" s="2" t="str">
        <x:v>패</x:v>
      </x:c>
      <x:c r="H1884" s="14" t="n">
        <x:v>4</x:v>
      </x:c>
      <x:c r="I1884" s="14" t="n">
        <x:v>8</x:v>
      </x:c>
      <x:c r="J1884" s="14" t="n">
        <x:v>7</x:v>
      </x:c>
      <x:c r="K1884" s="14" t="n">
        <x:v>4</x:v>
      </x:c>
      <x:c r="L1884" s="15" t="n">
        <x:f>IF(J1884=0,"해당 없음",K1884/J1884)</x:f>
        <x:v>0.5714285714285714</x:v>
      </x:c>
      <x:c r="M1884" s="14" t="n">
        <x:v>3</x:v>
      </x:c>
      <x:c r="N1884" s="14" t="n">
        <x:v>3</x:v>
      </x:c>
      <x:c r="O1884" s="15" t="n">
        <x:f>IF(M1884=0,"해당 없음",N1884/M1884)</x:f>
        <x:v>1</x:v>
      </x:c>
      <x:c r="P1884" s="14" t="n">
        <x:v>107</x:v>
      </x:c>
    </x:row>
    <x:row r="1885" ht="22" customHeight="1">
      <x:c r="A1885" s="14" t="n">
        <x:v>940</x:v>
      </x:c>
      <x:c r="B1885" s="14" t="n">
        <x:v>24</x:v>
      </x:c>
      <x:c r="C1885" s="14" t="n">
        <x:v>76009</x:v>
      </x:c>
      <x:c r="D1885" s="2" t="str">
        <x:v>NAVY</x:v>
      </x:c>
      <x:c r="E1885" s="2" t="str">
        <x:v>120만</x:v>
      </x:c>
      <x:c r="F1885" s="2" t="str">
        <x:v>200만</x:v>
      </x:c>
      <x:c r="G1885" s="2" t="str">
        <x:v>승</x:v>
      </x:c>
      <x:c r="H1885" s="14" t="n">
        <x:v>8</x:v>
      </x:c>
      <x:c r="I1885" s="14" t="n">
        <x:v>4</x:v>
      </x:c>
      <x:c r="J1885" s="14" t="n">
        <x:v>9</x:v>
      </x:c>
      <x:c r="K1885" s="14" t="n">
        <x:v>8</x:v>
      </x:c>
      <x:c r="L1885" s="15" t="n">
        <x:f>IF(J1885=0,"해당 없음",K1885/J1885)</x:f>
        <x:v>0.8888888888888888</x:v>
      </x:c>
      <x:c r="M1885" s="14" t="n">
        <x:v>8</x:v>
      </x:c>
      <x:c r="N1885" s="14" t="n">
        <x:v>5</x:v>
      </x:c>
      <x:c r="O1885" s="15" t="n">
        <x:f>IF(M1885=0,"해당 없음",N1885/M1885)</x:f>
        <x:v>0.625</x:v>
      </x:c>
      <x:c r="P1885" s="14" t="n">
        <x:v>108</x:v>
      </x:c>
    </x:row>
    <x:row r="1886" ht="22" customHeight="1">
      <x:c r="A1886" s="14" t="n">
        <x:v>941</x:v>
      </x:c>
      <x:c r="B1886" s="14" t="n">
        <x:v>24</x:v>
      </x:c>
      <x:c r="C1886" s="14" t="n">
        <x:v>76010</x:v>
      </x:c>
      <x:c r="D1886" s="2" t="str">
        <x:v>RED</x:v>
      </x:c>
      <x:c r="E1886" s="2" t="str">
        <x:v>120만</x:v>
      </x:c>
      <x:c r="F1886" s="2" t="str">
        <x:v>200만</x:v>
      </x:c>
      <x:c r="G1886" s="2" t="str">
        <x:v>패</x:v>
      </x:c>
      <x:c r="H1886" s="14" t="n">
        <x:v>3</x:v>
      </x:c>
      <x:c r="I1886" s="14" t="n">
        <x:v>4</x:v>
      </x:c>
      <x:c r="J1886" s="14" t="n">
        <x:v>7</x:v>
      </x:c>
      <x:c r="K1886" s="14" t="n">
        <x:v>3</x:v>
      </x:c>
      <x:c r="L1886" s="15" t="n">
        <x:f>IF(J1886=0,"해당 없음",K1886/J1886)</x:f>
        <x:v>0.42857142857142855</x:v>
      </x:c>
      <x:c r="M1886" s="14" t="n">
        <x:v>6</x:v>
      </x:c>
      <x:c r="N1886" s="14" t="n">
        <x:v>5</x:v>
      </x:c>
      <x:c r="O1886" s="15" t="n">
        <x:f>IF(M1886=0,"해당 없음",N1886/M1886)</x:f>
        <x:v>0.8333333333333334</x:v>
      </x:c>
      <x:c r="P1886" s="14" t="n">
        <x:v>105</x:v>
      </x:c>
    </x:row>
    <x:row r="1887" ht="22" customHeight="1">
      <x:c r="A1887" s="14" t="n">
        <x:v>941</x:v>
      </x:c>
      <x:c r="B1887" s="14" t="n">
        <x:v>24</x:v>
      </x:c>
      <x:c r="C1887" s="14" t="n">
        <x:v>76010</x:v>
      </x:c>
      <x:c r="D1887" s="2" t="str">
        <x:v>NAVY</x:v>
      </x:c>
      <x:c r="E1887" s="2" t="str">
        <x:v>200만</x:v>
      </x:c>
      <x:c r="F1887" s="2" t="str">
        <x:v>120만</x:v>
      </x:c>
      <x:c r="G1887" s="2" t="str">
        <x:v>승</x:v>
      </x:c>
      <x:c r="H1887" s="14" t="n">
        <x:v>4</x:v>
      </x:c>
      <x:c r="I1887" s="14" t="n">
        <x:v>3</x:v>
      </x:c>
      <x:c r="J1887" s="14" t="n">
        <x:v>11</x:v>
      </x:c>
      <x:c r="K1887" s="14" t="n">
        <x:v>4</x:v>
      </x:c>
      <x:c r="L1887" s="15" t="n">
        <x:f>IF(J1887=0,"해당 없음",K1887/J1887)</x:f>
        <x:v>0.36363636363636365</x:v>
      </x:c>
      <x:c r="M1887" s="14" t="n">
        <x:v>8</x:v>
      </x:c>
      <x:c r="N1887" s="14" t="n">
        <x:v>7</x:v>
      </x:c>
      <x:c r="O1887" s="15" t="n">
        <x:f>IF(M1887=0,"해당 없음",N1887/M1887)</x:f>
        <x:v>0.875</x:v>
      </x:c>
      <x:c r="P1887" s="14" t="n">
        <x:v>103</x:v>
      </x:c>
    </x:row>
    <x:row r="1888" ht="22" customHeight="1">
      <x:c r="A1888" s="14" t="n">
        <x:v>942</x:v>
      </x:c>
      <x:c r="B1888" s="14" t="n">
        <x:v>24</x:v>
      </x:c>
      <x:c r="C1888" s="14" t="n">
        <x:v>76010</x:v>
      </x:c>
      <x:c r="D1888" s="2" t="str">
        <x:v>RED</x:v>
      </x:c>
      <x:c r="E1888" s="2" t="str">
        <x:v>200만</x:v>
      </x:c>
      <x:c r="F1888" s="2" t="str">
        <x:v>120만</x:v>
      </x:c>
      <x:c r="G1888" s="2" t="str">
        <x:v>무</x:v>
      </x:c>
      <x:c r="H1888" s="14" t="n">
        <x:v>2</x:v>
      </x:c>
      <x:c r="I1888" s="14" t="n">
        <x:v>2</x:v>
      </x:c>
      <x:c r="J1888" s="14" t="n">
        <x:v>8</x:v>
      </x:c>
      <x:c r="K1888" s="14" t="n">
        <x:v>2</x:v>
      </x:c>
      <x:c r="L1888" s="15" t="n">
        <x:f>IF(J1888=0,"해당 없음",K1888/J1888)</x:f>
        <x:v>0.25</x:v>
      </x:c>
      <x:c r="M1888" s="14" t="n">
        <x:v>13</x:v>
      </x:c>
      <x:c r="N1888" s="14" t="n">
        <x:v>9</x:v>
      </x:c>
      <x:c r="O1888" s="15" t="n">
        <x:f>IF(M1888=0,"해당 없음",N1888/M1888)</x:f>
        <x:v>0.6923076923076923</x:v>
      </x:c>
      <x:c r="P1888" s="14" t="n">
        <x:v>102</x:v>
      </x:c>
    </x:row>
    <x:row r="1889" ht="22" customHeight="1">
      <x:c r="A1889" s="14" t="n">
        <x:v>942</x:v>
      </x:c>
      <x:c r="B1889" s="14" t="n">
        <x:v>24</x:v>
      </x:c>
      <x:c r="C1889" s="14" t="n">
        <x:v>76010</x:v>
      </x:c>
      <x:c r="D1889" s="2" t="str">
        <x:v>NAVY</x:v>
      </x:c>
      <x:c r="E1889" s="2" t="str">
        <x:v>120만</x:v>
      </x:c>
      <x:c r="F1889" s="2" t="str">
        <x:v>200만</x:v>
      </x:c>
      <x:c r="G1889" s="2" t="str">
        <x:v>무</x:v>
      </x:c>
      <x:c r="H1889" s="14" t="n">
        <x:v>2</x:v>
      </x:c>
      <x:c r="I1889" s="14" t="n">
        <x:v>2</x:v>
      </x:c>
      <x:c r="J1889" s="14" t="n">
        <x:v>8</x:v>
      </x:c>
      <x:c r="K1889" s="14" t="n">
        <x:v>2</x:v>
      </x:c>
      <x:c r="L1889" s="15" t="n">
        <x:f>IF(J1889=0,"해당 없음",K1889/J1889)</x:f>
        <x:v>0.25</x:v>
      </x:c>
      <x:c r="M1889" s="14" t="n">
        <x:v>11</x:v>
      </x:c>
      <x:c r="N1889" s="14" t="n">
        <x:v>6</x:v>
      </x:c>
      <x:c r="O1889" s="15" t="n">
        <x:f>IF(M1889=0,"해당 없음",N1889/M1889)</x:f>
        <x:v>0.5454545454545454</x:v>
      </x:c>
      <x:c r="P1889" s="14" t="n">
        <x:v>101</x:v>
      </x:c>
    </x:row>
    <x:row r="1890" ht="22" customHeight="1">
      <x:c r="A1890" s="14" t="n">
        <x:v>943</x:v>
      </x:c>
      <x:c r="B1890" s="14" t="n">
        <x:v>24</x:v>
      </x:c>
      <x:c r="C1890" s="14" t="n">
        <x:v>76011</x:v>
      </x:c>
      <x:c r="D1890" s="2" t="str">
        <x:v>RED</x:v>
      </x:c>
      <x:c r="E1890" s="2" t="str">
        <x:v>120만</x:v>
      </x:c>
      <x:c r="F1890" s="2" t="str">
        <x:v>200만</x:v>
      </x:c>
      <x:c r="G1890" s="2" t="str">
        <x:v>승</x:v>
      </x:c>
      <x:c r="H1890" s="14" t="n">
        <x:v>5</x:v>
      </x:c>
      <x:c r="I1890" s="14" t="n">
        <x:v>4</x:v>
      </x:c>
      <x:c r="J1890" s="14" t="n">
        <x:v>9</x:v>
      </x:c>
      <x:c r="K1890" s="14" t="n">
        <x:v>5</x:v>
      </x:c>
      <x:c r="L1890" s="15" t="n">
        <x:f>IF(J1890=0,"해당 없음",K1890/J1890)</x:f>
        <x:v>0.5555555555555556</x:v>
      </x:c>
      <x:c r="M1890" s="14" t="n">
        <x:v>10</x:v>
      </x:c>
      <x:c r="N1890" s="14" t="n">
        <x:v>6</x:v>
      </x:c>
      <x:c r="O1890" s="15" t="n">
        <x:f>IF(M1890=0,"해당 없음",N1890/M1890)</x:f>
        <x:v>0.6</x:v>
      </x:c>
      <x:c r="P1890" s="14" t="n">
        <x:v>106</x:v>
      </x:c>
    </x:row>
    <x:row r="1891" ht="22" customHeight="1">
      <x:c r="A1891" s="14" t="n">
        <x:v>943</x:v>
      </x:c>
      <x:c r="B1891" s="14" t="n">
        <x:v>24</x:v>
      </x:c>
      <x:c r="C1891" s="14" t="n">
        <x:v>76011</x:v>
      </x:c>
      <x:c r="D1891" s="2" t="str">
        <x:v>NAVY</x:v>
      </x:c>
      <x:c r="E1891" s="2" t="str">
        <x:v>200만</x:v>
      </x:c>
      <x:c r="F1891" s="2" t="str">
        <x:v>120만</x:v>
      </x:c>
      <x:c r="G1891" s="2" t="str">
        <x:v>패</x:v>
      </x:c>
      <x:c r="H1891" s="14" t="n">
        <x:v>4</x:v>
      </x:c>
      <x:c r="I1891" s="14" t="n">
        <x:v>5</x:v>
      </x:c>
      <x:c r="J1891" s="14" t="n">
        <x:v>10</x:v>
      </x:c>
      <x:c r="K1891" s="14" t="n">
        <x:v>4</x:v>
      </x:c>
      <x:c r="L1891" s="15" t="n">
        <x:f>IF(J1891=0,"해당 없음",K1891/J1891)</x:f>
        <x:v>0.4</x:v>
      </x:c>
      <x:c r="M1891" s="14" t="n">
        <x:v>7</x:v>
      </x:c>
      <x:c r="N1891" s="14" t="n">
        <x:v>4</x:v>
      </x:c>
      <x:c r="O1891" s="15" t="n">
        <x:f>IF(M1891=0,"해당 없음",N1891/M1891)</x:f>
        <x:v>0.5714285714285714</x:v>
      </x:c>
      <x:c r="P1891" s="14" t="n">
        <x:v>104</x:v>
      </x:c>
    </x:row>
    <x:row r="1892" ht="22" customHeight="1">
      <x:c r="A1892" s="14" t="n">
        <x:v>944</x:v>
      </x:c>
      <x:c r="B1892" s="14" t="n">
        <x:v>24</x:v>
      </x:c>
      <x:c r="C1892" s="14" t="n">
        <x:v>76011</x:v>
      </x:c>
      <x:c r="D1892" s="2" t="str">
        <x:v>RED</x:v>
      </x:c>
      <x:c r="E1892" s="2" t="str">
        <x:v>200만</x:v>
      </x:c>
      <x:c r="F1892" s="2" t="str">
        <x:v>120만</x:v>
      </x:c>
      <x:c r="G1892" s="2" t="str">
        <x:v>무</x:v>
      </x:c>
      <x:c r="H1892" s="14" t="n">
        <x:v>3</x:v>
      </x:c>
      <x:c r="I1892" s="14" t="n">
        <x:v>3</x:v>
      </x:c>
      <x:c r="J1892" s="14" t="n">
        <x:v>7</x:v>
      </x:c>
      <x:c r="K1892" s="14" t="n">
        <x:v>3</x:v>
      </x:c>
      <x:c r="L1892" s="15" t="n">
        <x:f>IF(J1892=0,"해당 없음",K1892/J1892)</x:f>
        <x:v>0.42857142857142855</x:v>
      </x:c>
      <x:c r="M1892" s="14" t="n">
        <x:v>6</x:v>
      </x:c>
      <x:c r="N1892" s="14" t="n">
        <x:v>6</x:v>
      </x:c>
      <x:c r="O1892" s="15" t="n">
        <x:f>IF(M1892=0,"해당 없음",N1892/M1892)</x:f>
        <x:v>1</x:v>
      </x:c>
      <x:c r="P1892" s="14" t="n">
        <x:v>105</x:v>
      </x:c>
    </x:row>
    <x:row r="1893" ht="22" customHeight="1">
      <x:c r="A1893" s="14" t="n">
        <x:v>944</x:v>
      </x:c>
      <x:c r="B1893" s="14" t="n">
        <x:v>24</x:v>
      </x:c>
      <x:c r="C1893" s="14" t="n">
        <x:v>76011</x:v>
      </x:c>
      <x:c r="D1893" s="2" t="str">
        <x:v>NAVY</x:v>
      </x:c>
      <x:c r="E1893" s="2" t="str">
        <x:v>120만</x:v>
      </x:c>
      <x:c r="F1893" s="2" t="str">
        <x:v>200만</x:v>
      </x:c>
      <x:c r="G1893" s="2" t="str">
        <x:v>무</x:v>
      </x:c>
      <x:c r="H1893" s="14" t="n">
        <x:v>3</x:v>
      </x:c>
      <x:c r="I1893" s="14" t="n">
        <x:v>3</x:v>
      </x:c>
      <x:c r="J1893" s="14" t="n">
        <x:v>8</x:v>
      </x:c>
      <x:c r="K1893" s="14" t="n">
        <x:v>3</x:v>
      </x:c>
      <x:c r="L1893" s="15" t="n">
        <x:f>IF(J1893=0,"해당 없음",K1893/J1893)</x:f>
        <x:v>0.375</x:v>
      </x:c>
      <x:c r="M1893" s="14" t="n">
        <x:v>9</x:v>
      </x:c>
      <x:c r="N1893" s="14" t="n">
        <x:v>7</x:v>
      </x:c>
      <x:c r="O1893" s="15" t="n">
        <x:f>IF(M1893=0,"해당 없음",N1893/M1893)</x:f>
        <x:v>0.7777777777777778</x:v>
      </x:c>
      <x:c r="P1893" s="14" t="n">
        <x:v>105</x:v>
      </x:c>
    </x:row>
    <x:row r="1894" ht="22" customHeight="1">
      <x:c r="A1894" s="14" t="n">
        <x:v>945</x:v>
      </x:c>
      <x:c r="B1894" s="14" t="n">
        <x:v>24</x:v>
      </x:c>
      <x:c r="C1894" s="14" t="n">
        <x:v>76012</x:v>
      </x:c>
      <x:c r="D1894" s="2" t="str">
        <x:v>RED</x:v>
      </x:c>
      <x:c r="E1894" s="2" t="str">
        <x:v>120만</x:v>
      </x:c>
      <x:c r="F1894" s="2" t="str">
        <x:v>200만</x:v>
      </x:c>
      <x:c r="G1894" s="2" t="str">
        <x:v>무</x:v>
      </x:c>
      <x:c r="H1894" s="14" t="n">
        <x:v>2</x:v>
      </x:c>
      <x:c r="I1894" s="14" t="n">
        <x:v>2</x:v>
      </x:c>
      <x:c r="J1894" s="14" t="n">
        <x:v>7</x:v>
      </x:c>
      <x:c r="K1894" s="14" t="n">
        <x:v>2</x:v>
      </x:c>
      <x:c r="L1894" s="15" t="n">
        <x:f>IF(J1894=0,"해당 없음",K1894/J1894)</x:f>
        <x:v>0.2857142857142857</x:v>
      </x:c>
      <x:c r="M1894" s="14" t="n">
        <x:v>5</x:v>
      </x:c>
      <x:c r="N1894" s="14" t="n">
        <x:v>3</x:v>
      </x:c>
      <x:c r="O1894" s="15" t="n">
        <x:f>IF(M1894=0,"해당 없음",N1894/M1894)</x:f>
        <x:v>0.6</x:v>
      </x:c>
      <x:c r="P1894" s="14" t="n">
        <x:v>102</x:v>
      </x:c>
    </x:row>
    <x:row r="1895" ht="22" customHeight="1">
      <x:c r="A1895" s="14" t="n">
        <x:v>945</x:v>
      </x:c>
      <x:c r="B1895" s="14" t="n">
        <x:v>24</x:v>
      </x:c>
      <x:c r="C1895" s="14" t="n">
        <x:v>76012</x:v>
      </x:c>
      <x:c r="D1895" s="2" t="str">
        <x:v>NAVY</x:v>
      </x:c>
      <x:c r="E1895" s="2" t="str">
        <x:v>200만</x:v>
      </x:c>
      <x:c r="F1895" s="2" t="str">
        <x:v>120만</x:v>
      </x:c>
      <x:c r="G1895" s="2" t="str">
        <x:v>무</x:v>
      </x:c>
      <x:c r="H1895" s="14" t="n">
        <x:v>2</x:v>
      </x:c>
      <x:c r="I1895" s="14" t="n">
        <x:v>2</x:v>
      </x:c>
      <x:c r="J1895" s="14" t="n">
        <x:v>5</x:v>
      </x:c>
      <x:c r="K1895" s="14" t="n">
        <x:v>2</x:v>
      </x:c>
      <x:c r="L1895" s="15" t="n">
        <x:f>IF(J1895=0,"해당 없음",K1895/J1895)</x:f>
        <x:v>0.4</x:v>
      </x:c>
      <x:c r="M1895" s="14" t="n">
        <x:v>9</x:v>
      </x:c>
      <x:c r="N1895" s="14" t="n">
        <x:v>7</x:v>
      </x:c>
      <x:c r="O1895" s="15" t="n">
        <x:f>IF(M1895=0,"해당 없음",N1895/M1895)</x:f>
        <x:v>0.7777777777777778</x:v>
      </x:c>
      <x:c r="P1895" s="14" t="n">
        <x:v>102</x:v>
      </x:c>
    </x:row>
    <x:row r="1896" ht="22" customHeight="1">
      <x:c r="A1896" s="14" t="n">
        <x:v>946</x:v>
      </x:c>
      <x:c r="B1896" s="14" t="n">
        <x:v>24</x:v>
      </x:c>
      <x:c r="C1896" s="14" t="n">
        <x:v>76012</x:v>
      </x:c>
      <x:c r="D1896" s="2" t="str">
        <x:v>RED</x:v>
      </x:c>
      <x:c r="E1896" s="2" t="str">
        <x:v>200만</x:v>
      </x:c>
      <x:c r="F1896" s="2" t="str">
        <x:v>120만</x:v>
      </x:c>
      <x:c r="G1896" s="2" t="str">
        <x:v>패</x:v>
      </x:c>
      <x:c r="H1896" s="14" t="n">
        <x:v>1</x:v>
      </x:c>
      <x:c r="I1896" s="14" t="n">
        <x:v>7</x:v>
      </x:c>
      <x:c r="J1896" s="14" t="n">
        <x:v>7</x:v>
      </x:c>
      <x:c r="K1896" s="14" t="n">
        <x:v>1</x:v>
      </x:c>
      <x:c r="L1896" s="15" t="n">
        <x:f>IF(J1896=0,"해당 없음",K1896/J1896)</x:f>
        <x:v>0.14285714285714285</x:v>
      </x:c>
      <x:c r="M1896" s="14" t="n">
        <x:v>6</x:v>
      </x:c>
      <x:c r="N1896" s="14" t="n">
        <x:v>4</x:v>
      </x:c>
      <x:c r="O1896" s="15" t="n">
        <x:f>IF(M1896=0,"해당 없음",N1896/M1896)</x:f>
        <x:v>0.6666666666666666</x:v>
      </x:c>
      <x:c r="P1896" s="14" t="n">
        <x:v>102</x:v>
      </x:c>
    </x:row>
    <x:row r="1897" ht="22" customHeight="1">
      <x:c r="A1897" s="14" t="n">
        <x:v>946</x:v>
      </x:c>
      <x:c r="B1897" s="14" t="n">
        <x:v>24</x:v>
      </x:c>
      <x:c r="C1897" s="14" t="n">
        <x:v>76012</x:v>
      </x:c>
      <x:c r="D1897" s="2" t="str">
        <x:v>NAVY</x:v>
      </x:c>
      <x:c r="E1897" s="2" t="str">
        <x:v>120만</x:v>
      </x:c>
      <x:c r="F1897" s="2" t="str">
        <x:v>200만</x:v>
      </x:c>
      <x:c r="G1897" s="2" t="str">
        <x:v>승</x:v>
      </x:c>
      <x:c r="H1897" s="14" t="n">
        <x:v>7</x:v>
      </x:c>
      <x:c r="I1897" s="14" t="n">
        <x:v>1</x:v>
      </x:c>
      <x:c r="J1897" s="14" t="n">
        <x:v>10</x:v>
      </x:c>
      <x:c r="K1897" s="14" t="n">
        <x:v>7</x:v>
      </x:c>
      <x:c r="L1897" s="15" t="n">
        <x:f>IF(J1897=0,"해당 없음",K1897/J1897)</x:f>
        <x:v>0.7</x:v>
      </x:c>
      <x:c r="M1897" s="14" t="n">
        <x:v>12</x:v>
      </x:c>
      <x:c r="N1897" s="14" t="n">
        <x:v>11</x:v>
      </x:c>
      <x:c r="O1897" s="15" t="n">
        <x:f>IF(M1897=0,"해당 없음",N1897/M1897)</x:f>
        <x:v>0.9166666666666666</x:v>
      </x:c>
      <x:c r="P1897" s="14" t="n">
        <x:v>104</x:v>
      </x:c>
    </x:row>
    <x:row r="1898" ht="22" customHeight="1">
      <x:c r="A1898" s="14" t="n">
        <x:v>947</x:v>
      </x:c>
      <x:c r="B1898" s="14" t="n">
        <x:v>24</x:v>
      </x:c>
      <x:c r="C1898" s="14" t="n">
        <x:v>76013</x:v>
      </x:c>
      <x:c r="D1898" s="2" t="str">
        <x:v>RED</x:v>
      </x:c>
      <x:c r="E1898" s="2" t="str">
        <x:v>120만</x:v>
      </x:c>
      <x:c r="F1898" s="2" t="str">
        <x:v>200만</x:v>
      </x:c>
      <x:c r="G1898" s="2" t="str">
        <x:v>승</x:v>
      </x:c>
      <x:c r="H1898" s="14" t="n">
        <x:v>2</x:v>
      </x:c>
      <x:c r="I1898" s="14" t="n">
        <x:v>1</x:v>
      </x:c>
      <x:c r="J1898" s="14" t="n">
        <x:v>13</x:v>
      </x:c>
      <x:c r="K1898" s="14" t="n">
        <x:v>2</x:v>
      </x:c>
      <x:c r="L1898" s="15" t="n">
        <x:f>IF(J1898=0,"해당 없음",K1898/J1898)</x:f>
        <x:v>0.15384615384615385</x:v>
      </x:c>
      <x:c r="M1898" s="14" t="n">
        <x:v>8</x:v>
      </x:c>
      <x:c r="N1898" s="14" t="n">
        <x:v>7</x:v>
      </x:c>
      <x:c r="O1898" s="15" t="n">
        <x:f>IF(M1898=0,"해당 없음",N1898/M1898)</x:f>
        <x:v>0.875</x:v>
      </x:c>
      <x:c r="P1898" s="14" t="n">
        <x:v>102</x:v>
      </x:c>
    </x:row>
    <x:row r="1899" ht="22" customHeight="1">
      <x:c r="A1899" s="14" t="n">
        <x:v>947</x:v>
      </x:c>
      <x:c r="B1899" s="14" t="n">
        <x:v>24</x:v>
      </x:c>
      <x:c r="C1899" s="14" t="n">
        <x:v>76013</x:v>
      </x:c>
      <x:c r="D1899" s="2" t="str">
        <x:v>NAVY</x:v>
      </x:c>
      <x:c r="E1899" s="2" t="str">
        <x:v>200만</x:v>
      </x:c>
      <x:c r="F1899" s="2" t="str">
        <x:v>120만</x:v>
      </x:c>
      <x:c r="G1899" s="2" t="str">
        <x:v>패</x:v>
      </x:c>
      <x:c r="H1899" s="14" t="n">
        <x:v>1</x:v>
      </x:c>
      <x:c r="I1899" s="14" t="n">
        <x:v>2</x:v>
      </x:c>
      <x:c r="J1899" s="14" t="n">
        <x:v>6</x:v>
      </x:c>
      <x:c r="K1899" s="14" t="n">
        <x:v>1</x:v>
      </x:c>
      <x:c r="L1899" s="15" t="n">
        <x:f>IF(J1899=0,"해당 없음",K1899/J1899)</x:f>
        <x:v>0.16666666666666666</x:v>
      </x:c>
      <x:c r="M1899" s="14" t="n">
        <x:v>12</x:v>
      </x:c>
      <x:c r="N1899" s="14" t="n">
        <x:v>7</x:v>
      </x:c>
      <x:c r="O1899" s="15" t="n">
        <x:f>IF(M1899=0,"해당 없음",N1899/M1899)</x:f>
        <x:v>0.5833333333333334</x:v>
      </x:c>
      <x:c r="P1899" s="14" t="n">
        <x:v>102</x:v>
      </x:c>
    </x:row>
    <x:row r="1900" ht="22" customHeight="1">
      <x:c r="A1900" s="14" t="n">
        <x:v>948</x:v>
      </x:c>
      <x:c r="B1900" s="14" t="n">
        <x:v>24</x:v>
      </x:c>
      <x:c r="C1900" s="14" t="n">
        <x:v>76013</x:v>
      </x:c>
      <x:c r="D1900" s="2" t="str">
        <x:v>RED</x:v>
      </x:c>
      <x:c r="E1900" s="2" t="str">
        <x:v>200만</x:v>
      </x:c>
      <x:c r="F1900" s="2" t="str">
        <x:v>120만</x:v>
      </x:c>
      <x:c r="G1900" s="2" t="str">
        <x:v>패</x:v>
      </x:c>
      <x:c r="H1900" s="14" t="n">
        <x:v>0</x:v>
      </x:c>
      <x:c r="I1900" s="14" t="n">
        <x:v>2</x:v>
      </x:c>
      <x:c r="J1900" s="14" t="n">
        <x:v>6</x:v>
      </x:c>
      <x:c r="K1900" s="14" t="n">
        <x:v>0</x:v>
      </x:c>
      <x:c r="L1900" s="15" t="n">
        <x:f>IF(J1900=0,"해당 없음",K1900/J1900)</x:f>
        <x:v>0</x:v>
      </x:c>
      <x:c r="M1900" s="14" t="n">
        <x:v>11</x:v>
      </x:c>
      <x:c r="N1900" s="14" t="n">
        <x:v>5</x:v>
      </x:c>
      <x:c r="O1900" s="15" t="n">
        <x:f>IF(M1900=0,"해당 없음",N1900/M1900)</x:f>
        <x:v>0.45454545454545453</x:v>
      </x:c>
      <x:c r="P1900" s="14" t="n">
        <x:v>102</x:v>
      </x:c>
    </x:row>
    <x:row r="1901" ht="22" customHeight="1">
      <x:c r="A1901" s="14" t="n">
        <x:v>948</x:v>
      </x:c>
      <x:c r="B1901" s="14" t="n">
        <x:v>24</x:v>
      </x:c>
      <x:c r="C1901" s="14" t="n">
        <x:v>76013</x:v>
      </x:c>
      <x:c r="D1901" s="2" t="str">
        <x:v>NAVY</x:v>
      </x:c>
      <x:c r="E1901" s="2" t="str">
        <x:v>120만</x:v>
      </x:c>
      <x:c r="F1901" s="2" t="str">
        <x:v>200만</x:v>
      </x:c>
      <x:c r="G1901" s="2" t="str">
        <x:v>승</x:v>
      </x:c>
      <x:c r="H1901" s="14" t="n">
        <x:v>2</x:v>
      </x:c>
      <x:c r="I1901" s="14" t="n">
        <x:v>0</x:v>
      </x:c>
      <x:c r="J1901" s="14" t="n">
        <x:v>11</x:v>
      </x:c>
      <x:c r="K1901" s="14" t="n">
        <x:v>2</x:v>
      </x:c>
      <x:c r="L1901" s="15" t="n">
        <x:f>IF(J1901=0,"해당 없음",K1901/J1901)</x:f>
        <x:v>0.18181818181818182</x:v>
      </x:c>
      <x:c r="M1901" s="14" t="n">
        <x:v>12</x:v>
      </x:c>
      <x:c r="N1901" s="14" t="n">
        <x:v>7</x:v>
      </x:c>
      <x:c r="O1901" s="15" t="n">
        <x:f>IF(M1901=0,"해당 없음",N1901/M1901)</x:f>
        <x:v>0.5833333333333334</x:v>
      </x:c>
      <x:c r="P1901" s="14" t="n">
        <x:v>102</x:v>
      </x:c>
    </x:row>
    <x:row r="1902" ht="22" customHeight="1">
      <x:c r="A1902" s="14" t="n">
        <x:v>949</x:v>
      </x:c>
      <x:c r="B1902" s="14" t="n">
        <x:v>24</x:v>
      </x:c>
      <x:c r="C1902" s="14" t="n">
        <x:v>76014</x:v>
      </x:c>
      <x:c r="D1902" s="2" t="str">
        <x:v>RED</x:v>
      </x:c>
      <x:c r="E1902" s="2" t="str">
        <x:v>120만</x:v>
      </x:c>
      <x:c r="F1902" s="2" t="str">
        <x:v>200만</x:v>
      </x:c>
      <x:c r="G1902" s="2" t="str">
        <x:v>승</x:v>
      </x:c>
      <x:c r="H1902" s="14" t="n">
        <x:v>3</x:v>
      </x:c>
      <x:c r="I1902" s="14" t="n">
        <x:v>2</x:v>
      </x:c>
      <x:c r="J1902" s="14" t="n">
        <x:v>8</x:v>
      </x:c>
      <x:c r="K1902" s="14" t="n">
        <x:v>3</x:v>
      </x:c>
      <x:c r="L1902" s="15" t="n">
        <x:f>IF(J1902=0,"해당 없음",K1902/J1902)</x:f>
        <x:v>0.375</x:v>
      </x:c>
      <x:c r="M1902" s="14" t="n">
        <x:v>9</x:v>
      </x:c>
      <x:c r="N1902" s="14" t="n">
        <x:v>7</x:v>
      </x:c>
      <x:c r="O1902" s="15" t="n">
        <x:f>IF(M1902=0,"해당 없음",N1902/M1902)</x:f>
        <x:v>0.7777777777777778</x:v>
      </x:c>
      <x:c r="P1902" s="14" t="n">
        <x:v>102</x:v>
      </x:c>
    </x:row>
    <x:row r="1903" ht="22" customHeight="1">
      <x:c r="A1903" s="14" t="n">
        <x:v>949</x:v>
      </x:c>
      <x:c r="B1903" s="14" t="n">
        <x:v>24</x:v>
      </x:c>
      <x:c r="C1903" s="14" t="n">
        <x:v>76014</x:v>
      </x:c>
      <x:c r="D1903" s="2" t="str">
        <x:v>NAVY</x:v>
      </x:c>
      <x:c r="E1903" s="2" t="str">
        <x:v>200만</x:v>
      </x:c>
      <x:c r="F1903" s="2" t="str">
        <x:v>120만</x:v>
      </x:c>
      <x:c r="G1903" s="2" t="str">
        <x:v>패</x:v>
      </x:c>
      <x:c r="H1903" s="14" t="n">
        <x:v>2</x:v>
      </x:c>
      <x:c r="I1903" s="14" t="n">
        <x:v>3</x:v>
      </x:c>
      <x:c r="J1903" s="14" t="n">
        <x:v>12</x:v>
      </x:c>
      <x:c r="K1903" s="14" t="n">
        <x:v>2</x:v>
      </x:c>
      <x:c r="L1903" s="15" t="n">
        <x:f>IF(J1903=0,"해당 없음",K1903/J1903)</x:f>
        <x:v>0.16666666666666666</x:v>
      </x:c>
      <x:c r="M1903" s="14" t="n">
        <x:v>10</x:v>
      </x:c>
      <x:c r="N1903" s="14" t="n">
        <x:v>9</x:v>
      </x:c>
      <x:c r="O1903" s="15" t="n">
        <x:f>IF(M1903=0,"해당 없음",N1903/M1903)</x:f>
        <x:v>0.9</x:v>
      </x:c>
      <x:c r="P1903" s="14" t="n">
        <x:v>104</x:v>
      </x:c>
    </x:row>
    <x:row r="1904" ht="22" customHeight="1">
      <x:c r="A1904" s="14" t="n">
        <x:v>950</x:v>
      </x:c>
      <x:c r="B1904" s="14" t="n">
        <x:v>24</x:v>
      </x:c>
      <x:c r="C1904" s="14" t="n">
        <x:v>76014</x:v>
      </x:c>
      <x:c r="D1904" s="2" t="str">
        <x:v>RED</x:v>
      </x:c>
      <x:c r="E1904" s="2" t="str">
        <x:v>200만</x:v>
      </x:c>
      <x:c r="F1904" s="2" t="str">
        <x:v>120만</x:v>
      </x:c>
      <x:c r="G1904" s="2" t="str">
        <x:v>승</x:v>
      </x:c>
      <x:c r="H1904" s="14" t="n">
        <x:v>3</x:v>
      </x:c>
      <x:c r="I1904" s="14" t="n">
        <x:v>0</x:v>
      </x:c>
      <x:c r="J1904" s="14" t="n">
        <x:v>10</x:v>
      </x:c>
      <x:c r="K1904" s="14" t="n">
        <x:v>3</x:v>
      </x:c>
      <x:c r="L1904" s="15" t="n">
        <x:f>IF(J1904=0,"해당 없음",K1904/J1904)</x:f>
        <x:v>0.3</x:v>
      </x:c>
      <x:c r="M1904" s="14" t="n">
        <x:v>11</x:v>
      </x:c>
      <x:c r="N1904" s="14" t="n">
        <x:v>5</x:v>
      </x:c>
      <x:c r="O1904" s="15" t="n">
        <x:f>IF(M1904=0,"해당 없음",N1904/M1904)</x:f>
        <x:v>0.45454545454545453</x:v>
      </x:c>
      <x:c r="P1904" s="14" t="n">
        <x:v>103</x:v>
      </x:c>
    </x:row>
    <x:row r="1905" ht="22" customHeight="1">
      <x:c r="A1905" s="14" t="n">
        <x:v>950</x:v>
      </x:c>
      <x:c r="B1905" s="14" t="n">
        <x:v>24</x:v>
      </x:c>
      <x:c r="C1905" s="14" t="n">
        <x:v>76014</x:v>
      </x:c>
      <x:c r="D1905" s="2" t="str">
        <x:v>NAVY</x:v>
      </x:c>
      <x:c r="E1905" s="2" t="str">
        <x:v>120만</x:v>
      </x:c>
      <x:c r="F1905" s="2" t="str">
        <x:v>200만</x:v>
      </x:c>
      <x:c r="G1905" s="2" t="str">
        <x:v>패</x:v>
      </x:c>
      <x:c r="H1905" s="14" t="n">
        <x:v>0</x:v>
      </x:c>
      <x:c r="I1905" s="14" t="n">
        <x:v>3</x:v>
      </x:c>
      <x:c r="J1905" s="14" t="n">
        <x:v>5</x:v>
      </x:c>
      <x:c r="K1905" s="14" t="n">
        <x:v>0</x:v>
      </x:c>
      <x:c r="L1905" s="15" t="n">
        <x:f>IF(J1905=0,"해당 없음",K1905/J1905)</x:f>
        <x:v>0</x:v>
      </x:c>
      <x:c r="M1905" s="14" t="n">
        <x:v>8</x:v>
      </x:c>
      <x:c r="N1905" s="14" t="n">
        <x:v>4</x:v>
      </x:c>
      <x:c r="O1905" s="15" t="n">
        <x:f>IF(M1905=0,"해당 없음",N1905/M1905)</x:f>
        <x:v>0.5</x:v>
      </x:c>
      <x:c r="P1905" s="14" t="n">
        <x:v>102</x:v>
      </x:c>
    </x:row>
    <x:row r="1906" ht="22" customHeight="1">
      <x:c r="A1906" s="14" t="n">
        <x:v>951</x:v>
      </x:c>
      <x:c r="B1906" s="14" t="n">
        <x:v>24</x:v>
      </x:c>
      <x:c r="C1906" s="14" t="n">
        <x:v>76015</x:v>
      </x:c>
      <x:c r="D1906" s="2" t="str">
        <x:v>RED</x:v>
      </x:c>
      <x:c r="E1906" s="2" t="str">
        <x:v>120만</x:v>
      </x:c>
      <x:c r="F1906" s="2" t="str">
        <x:v>200만</x:v>
      </x:c>
      <x:c r="G1906" s="2" t="str">
        <x:v>승</x:v>
      </x:c>
      <x:c r="H1906" s="14" t="n">
        <x:v>3</x:v>
      </x:c>
      <x:c r="I1906" s="14" t="n">
        <x:v>2</x:v>
      </x:c>
      <x:c r="J1906" s="14" t="n">
        <x:v>8</x:v>
      </x:c>
      <x:c r="K1906" s="14" t="n">
        <x:v>3</x:v>
      </x:c>
      <x:c r="L1906" s="15" t="n">
        <x:f>IF(J1906=0,"해당 없음",K1906/J1906)</x:f>
        <x:v>0.375</x:v>
      </x:c>
      <x:c r="M1906" s="14" t="n">
        <x:v>10</x:v>
      </x:c>
      <x:c r="N1906" s="14" t="n">
        <x:v>6</x:v>
      </x:c>
      <x:c r="O1906" s="15" t="n">
        <x:f>IF(M1906=0,"해당 없음",N1906/M1906)</x:f>
        <x:v>0.6</x:v>
      </x:c>
      <x:c r="P1906" s="14" t="n">
        <x:v>102</x:v>
      </x:c>
    </x:row>
    <x:row r="1907" ht="22" customHeight="1">
      <x:c r="A1907" s="14" t="n">
        <x:v>951</x:v>
      </x:c>
      <x:c r="B1907" s="14" t="n">
        <x:v>24</x:v>
      </x:c>
      <x:c r="C1907" s="14" t="n">
        <x:v>76015</x:v>
      </x:c>
      <x:c r="D1907" s="2" t="str">
        <x:v>NAVY</x:v>
      </x:c>
      <x:c r="E1907" s="2" t="str">
        <x:v>200만</x:v>
      </x:c>
      <x:c r="F1907" s="2" t="str">
        <x:v>120만</x:v>
      </x:c>
      <x:c r="G1907" s="2" t="str">
        <x:v>패</x:v>
      </x:c>
      <x:c r="H1907" s="14" t="n">
        <x:v>2</x:v>
      </x:c>
      <x:c r="I1907" s="14" t="n">
        <x:v>3</x:v>
      </x:c>
      <x:c r="J1907" s="14" t="n">
        <x:v>8</x:v>
      </x:c>
      <x:c r="K1907" s="14" t="n">
        <x:v>2</x:v>
      </x:c>
      <x:c r="L1907" s="15" t="n">
        <x:f>IF(J1907=0,"해당 없음",K1907/J1907)</x:f>
        <x:v>0.25</x:v>
      </x:c>
      <x:c r="M1907" s="14" t="n">
        <x:v>12</x:v>
      </x:c>
      <x:c r="N1907" s="14" t="n">
        <x:v>10</x:v>
      </x:c>
      <x:c r="O1907" s="15" t="n">
        <x:f>IF(M1907=0,"해당 없음",N1907/M1907)</x:f>
        <x:v>0.8333333333333334</x:v>
      </x:c>
      <x:c r="P1907" s="14" t="n">
        <x:v>103</x:v>
      </x:c>
    </x:row>
    <x:row r="1908" ht="22" customHeight="1">
      <x:c r="A1908" s="14" t="n">
        <x:v>952</x:v>
      </x:c>
      <x:c r="B1908" s="14" t="n">
        <x:v>24</x:v>
      </x:c>
      <x:c r="C1908" s="14" t="n">
        <x:v>76015</x:v>
      </x:c>
      <x:c r="D1908" s="2" t="str">
        <x:v>RED</x:v>
      </x:c>
      <x:c r="E1908" s="2" t="str">
        <x:v>200만</x:v>
      </x:c>
      <x:c r="F1908" s="2" t="str">
        <x:v>120만</x:v>
      </x:c>
      <x:c r="G1908" s="2" t="str">
        <x:v>승</x:v>
      </x:c>
      <x:c r="H1908" s="14" t="n">
        <x:v>4</x:v>
      </x:c>
      <x:c r="I1908" s="14" t="n">
        <x:v>3</x:v>
      </x:c>
      <x:c r="J1908" s="14" t="n">
        <x:v>11</x:v>
      </x:c>
      <x:c r="K1908" s="14" t="n">
        <x:v>4</x:v>
      </x:c>
      <x:c r="L1908" s="15" t="n">
        <x:f>IF(J1908=0,"해당 없음",K1908/J1908)</x:f>
        <x:v>0.36363636363636365</x:v>
      </x:c>
      <x:c r="M1908" s="14" t="n">
        <x:v>9</x:v>
      </x:c>
      <x:c r="N1908" s="14" t="n">
        <x:v>9</x:v>
      </x:c>
      <x:c r="O1908" s="15" t="n">
        <x:f>IF(M1908=0,"해당 없음",N1908/M1908)</x:f>
        <x:v>1</x:v>
      </x:c>
      <x:c r="P1908" s="14" t="n">
        <x:v>105</x:v>
      </x:c>
    </x:row>
    <x:row r="1909" ht="22" customHeight="1">
      <x:c r="A1909" s="14" t="n">
        <x:v>952</x:v>
      </x:c>
      <x:c r="B1909" s="14" t="n">
        <x:v>24</x:v>
      </x:c>
      <x:c r="C1909" s="14" t="n">
        <x:v>76015</x:v>
      </x:c>
      <x:c r="D1909" s="2" t="str">
        <x:v>NAVY</x:v>
      </x:c>
      <x:c r="E1909" s="2" t="str">
        <x:v>120만</x:v>
      </x:c>
      <x:c r="F1909" s="2" t="str">
        <x:v>200만</x:v>
      </x:c>
      <x:c r="G1909" s="2" t="str">
        <x:v>패</x:v>
      </x:c>
      <x:c r="H1909" s="14" t="n">
        <x:v>3</x:v>
      </x:c>
      <x:c r="I1909" s="14" t="n">
        <x:v>4</x:v>
      </x:c>
      <x:c r="J1909" s="14" t="n">
        <x:v>7</x:v>
      </x:c>
      <x:c r="K1909" s="14" t="n">
        <x:v>3</x:v>
      </x:c>
      <x:c r="L1909" s="15" t="n">
        <x:f>IF(J1909=0,"해당 없음",K1909/J1909)</x:f>
        <x:v>0.42857142857142855</x:v>
      </x:c>
      <x:c r="M1909" s="14" t="n">
        <x:v>10</x:v>
      </x:c>
      <x:c r="N1909" s="14" t="n">
        <x:v>5</x:v>
      </x:c>
      <x:c r="O1909" s="15" t="n">
        <x:f>IF(M1909=0,"해당 없음",N1909/M1909)</x:f>
        <x:v>0.5</x:v>
      </x:c>
      <x:c r="P1909" s="14" t="n">
        <x:v>104</x:v>
      </x:c>
    </x:row>
    <x:row r="1910" ht="22" customHeight="1">
      <x:c r="A1910" s="14" t="n">
        <x:v>953</x:v>
      </x:c>
      <x:c r="B1910" s="14" t="n">
        <x:v>24</x:v>
      </x:c>
      <x:c r="C1910" s="14" t="n">
        <x:v>76016</x:v>
      </x:c>
      <x:c r="D1910" s="2" t="str">
        <x:v>RED</x:v>
      </x:c>
      <x:c r="E1910" s="2" t="str">
        <x:v>120만</x:v>
      </x:c>
      <x:c r="F1910" s="2" t="str">
        <x:v>200만</x:v>
      </x:c>
      <x:c r="G1910" s="2" t="str">
        <x:v>패</x:v>
      </x:c>
      <x:c r="H1910" s="14" t="n">
        <x:v>0</x:v>
      </x:c>
      <x:c r="I1910" s="14" t="n">
        <x:v>3</x:v>
      </x:c>
      <x:c r="J1910" s="14" t="n">
        <x:v>9</x:v>
      </x:c>
      <x:c r="K1910" s="14" t="n">
        <x:v>0</x:v>
      </x:c>
      <x:c r="L1910" s="15" t="n">
        <x:f>IF(J1910=0,"해당 없음",K1910/J1910)</x:f>
        <x:v>0</x:v>
      </x:c>
      <x:c r="M1910" s="14" t="n">
        <x:v>8</x:v>
      </x:c>
      <x:c r="N1910" s="14" t="n">
        <x:v>8</x:v>
      </x:c>
      <x:c r="O1910" s="15" t="n">
        <x:f>IF(M1910=0,"해당 없음",N1910/M1910)</x:f>
        <x:v>1</x:v>
      </x:c>
      <x:c r="P1910" s="14" t="n">
        <x:v>103</x:v>
      </x:c>
    </x:row>
    <x:row r="1911" ht="22" customHeight="1">
      <x:c r="A1911" s="14" t="n">
        <x:v>953</x:v>
      </x:c>
      <x:c r="B1911" s="14" t="n">
        <x:v>24</x:v>
      </x:c>
      <x:c r="C1911" s="14" t="n">
        <x:v>76016</x:v>
      </x:c>
      <x:c r="D1911" s="2" t="str">
        <x:v>NAVY</x:v>
      </x:c>
      <x:c r="E1911" s="2" t="str">
        <x:v>200만</x:v>
      </x:c>
      <x:c r="F1911" s="2" t="str">
        <x:v>120만</x:v>
      </x:c>
      <x:c r="G1911" s="2" t="str">
        <x:v>승</x:v>
      </x:c>
      <x:c r="H1911" s="14" t="n">
        <x:v>3</x:v>
      </x:c>
      <x:c r="I1911" s="14" t="n">
        <x:v>0</x:v>
      </x:c>
      <x:c r="J1911" s="14" t="n">
        <x:v>8</x:v>
      </x:c>
      <x:c r="K1911" s="14" t="n">
        <x:v>3</x:v>
      </x:c>
      <x:c r="L1911" s="15" t="n">
        <x:f>IF(J1911=0,"해당 없음",K1911/J1911)</x:f>
        <x:v>0.375</x:v>
      </x:c>
      <x:c r="M1911" s="14" t="n">
        <x:v>13</x:v>
      </x:c>
      <x:c r="N1911" s="14" t="n">
        <x:v>11</x:v>
      </x:c>
      <x:c r="O1911" s="15" t="n">
        <x:f>IF(M1911=0,"해당 없음",N1911/M1911)</x:f>
        <x:v>0.8461538461538461</x:v>
      </x:c>
      <x:c r="P1911" s="14" t="n">
        <x:v>103</x:v>
      </x:c>
    </x:row>
    <x:row r="1912" ht="22" customHeight="1">
      <x:c r="A1912" s="14" t="n">
        <x:v>954</x:v>
      </x:c>
      <x:c r="B1912" s="14" t="n">
        <x:v>24</x:v>
      </x:c>
      <x:c r="C1912" s="14" t="n">
        <x:v>76016</x:v>
      </x:c>
      <x:c r="D1912" s="2" t="str">
        <x:v>RED</x:v>
      </x:c>
      <x:c r="E1912" s="2" t="str">
        <x:v>200만</x:v>
      </x:c>
      <x:c r="F1912" s="2" t="str">
        <x:v>120만</x:v>
      </x:c>
      <x:c r="G1912" s="2" t="str">
        <x:v>승</x:v>
      </x:c>
      <x:c r="H1912" s="14" t="n">
        <x:v>4</x:v>
      </x:c>
      <x:c r="I1912" s="14" t="n">
        <x:v>0</x:v>
      </x:c>
      <x:c r="J1912" s="14" t="n">
        <x:v>10</x:v>
      </x:c>
      <x:c r="K1912" s="14" t="n">
        <x:v>4</x:v>
      </x:c>
      <x:c r="L1912" s="15" t="n">
        <x:f>IF(J1912=0,"해당 없음",K1912/J1912)</x:f>
        <x:v>0.4</x:v>
      </x:c>
      <x:c r="M1912" s="14" t="n">
        <x:v>9</x:v>
      </x:c>
      <x:c r="N1912" s="14" t="n">
        <x:v>6</x:v>
      </x:c>
      <x:c r="O1912" s="15" t="n">
        <x:f>IF(M1912=0,"해당 없음",N1912/M1912)</x:f>
        <x:v>0.6666666666666666</x:v>
      </x:c>
      <x:c r="P1912" s="14" t="n">
        <x:v>102</x:v>
      </x:c>
    </x:row>
    <x:row r="1913" ht="22" customHeight="1">
      <x:c r="A1913" s="14" t="n">
        <x:v>954</x:v>
      </x:c>
      <x:c r="B1913" s="14" t="n">
        <x:v>24</x:v>
      </x:c>
      <x:c r="C1913" s="14" t="n">
        <x:v>76016</x:v>
      </x:c>
      <x:c r="D1913" s="2" t="str">
        <x:v>NAVY</x:v>
      </x:c>
      <x:c r="E1913" s="2" t="str">
        <x:v>120만</x:v>
      </x:c>
      <x:c r="F1913" s="2" t="str">
        <x:v>200만</x:v>
      </x:c>
      <x:c r="G1913" s="2" t="str">
        <x:v>패</x:v>
      </x:c>
      <x:c r="H1913" s="14" t="n">
        <x:v>0</x:v>
      </x:c>
      <x:c r="I1913" s="14" t="n">
        <x:v>4</x:v>
      </x:c>
      <x:c r="J1913" s="14" t="n">
        <x:v>2</x:v>
      </x:c>
      <x:c r="K1913" s="14" t="n">
        <x:v>0</x:v>
      </x:c>
      <x:c r="L1913" s="15" t="n">
        <x:f>IF(J1913=0,"해당 없음",K1913/J1913)</x:f>
        <x:v>0</x:v>
      </x:c>
      <x:c r="M1913" s="14" t="n">
        <x:v>11</x:v>
      </x:c>
      <x:c r="N1913" s="14" t="n">
        <x:v>7</x:v>
      </x:c>
      <x:c r="O1913" s="15" t="n">
        <x:f>IF(M1913=0,"해당 없음",N1913/M1913)</x:f>
        <x:v>0.6363636363636364</x:v>
      </x:c>
      <x:c r="P1913" s="14" t="n">
        <x:v>103</x:v>
      </x:c>
    </x:row>
    <x:row r="1914" ht="22" customHeight="1">
      <x:c r="A1914" s="14" t="n">
        <x:v>955</x:v>
      </x:c>
      <x:c r="B1914" s="14" t="n">
        <x:v>24</x:v>
      </x:c>
      <x:c r="C1914" s="14" t="n">
        <x:v>76017</x:v>
      </x:c>
      <x:c r="D1914" s="2" t="str">
        <x:v>RED</x:v>
      </x:c>
      <x:c r="E1914" s="2" t="str">
        <x:v>120만</x:v>
      </x:c>
      <x:c r="F1914" s="2" t="str">
        <x:v>200만</x:v>
      </x:c>
      <x:c r="G1914" s="2" t="str">
        <x:v>승</x:v>
      </x:c>
      <x:c r="H1914" s="14" t="n">
        <x:v>3</x:v>
      </x:c>
      <x:c r="I1914" s="14" t="n">
        <x:v>1</x:v>
      </x:c>
      <x:c r="J1914" s="14" t="n">
        <x:v>8</x:v>
      </x:c>
      <x:c r="K1914" s="14" t="n">
        <x:v>3</x:v>
      </x:c>
      <x:c r="L1914" s="15" t="n">
        <x:f>IF(J1914=0,"해당 없음",K1914/J1914)</x:f>
        <x:v>0.375</x:v>
      </x:c>
      <x:c r="M1914" s="14" t="n">
        <x:v>11</x:v>
      </x:c>
      <x:c r="N1914" s="14" t="n">
        <x:v>5</x:v>
      </x:c>
      <x:c r="O1914" s="15" t="n">
        <x:f>IF(M1914=0,"해당 없음",N1914/M1914)</x:f>
        <x:v>0.45454545454545453</x:v>
      </x:c>
      <x:c r="P1914" s="14" t="n">
        <x:v>101</x:v>
      </x:c>
    </x:row>
    <x:row r="1915" ht="22" customHeight="1">
      <x:c r="A1915" s="14" t="n">
        <x:v>955</x:v>
      </x:c>
      <x:c r="B1915" s="14" t="n">
        <x:v>24</x:v>
      </x:c>
      <x:c r="C1915" s="14" t="n">
        <x:v>76017</x:v>
      </x:c>
      <x:c r="D1915" s="2" t="str">
        <x:v>NAVY</x:v>
      </x:c>
      <x:c r="E1915" s="2" t="str">
        <x:v>200만</x:v>
      </x:c>
      <x:c r="F1915" s="2" t="str">
        <x:v>120만</x:v>
      </x:c>
      <x:c r="G1915" s="2" t="str">
        <x:v>패</x:v>
      </x:c>
      <x:c r="H1915" s="14" t="n">
        <x:v>1</x:v>
      </x:c>
      <x:c r="I1915" s="14" t="n">
        <x:v>3</x:v>
      </x:c>
      <x:c r="J1915" s="14" t="n">
        <x:v>7</x:v>
      </x:c>
      <x:c r="K1915" s="14" t="n">
        <x:v>1</x:v>
      </x:c>
      <x:c r="L1915" s="15" t="n">
        <x:f>IF(J1915=0,"해당 없음",K1915/J1915)</x:f>
        <x:v>0.14285714285714285</x:v>
      </x:c>
      <x:c r="M1915" s="14" t="n">
        <x:v>4</x:v>
      </x:c>
      <x:c r="N1915" s="14" t="n">
        <x:v>4</x:v>
      </x:c>
      <x:c r="O1915" s="15" t="n">
        <x:f>IF(M1915=0,"해당 없음",N1915/M1915)</x:f>
        <x:v>1</x:v>
      </x:c>
      <x:c r="P1915" s="14" t="n">
        <x:v>102</x:v>
      </x:c>
    </x:row>
    <x:row r="1916" ht="22" customHeight="1">
      <x:c r="A1916" s="14" t="n">
        <x:v>956</x:v>
      </x:c>
      <x:c r="B1916" s="14" t="n">
        <x:v>24</x:v>
      </x:c>
      <x:c r="C1916" s="14" t="n">
        <x:v>76017</x:v>
      </x:c>
      <x:c r="D1916" s="2" t="str">
        <x:v>RED</x:v>
      </x:c>
      <x:c r="E1916" s="2" t="str">
        <x:v>200만</x:v>
      </x:c>
      <x:c r="F1916" s="2" t="str">
        <x:v>120만</x:v>
      </x:c>
      <x:c r="G1916" s="2" t="str">
        <x:v>승</x:v>
      </x:c>
      <x:c r="H1916" s="14" t="n">
        <x:v>3</x:v>
      </x:c>
      <x:c r="I1916" s="14" t="n">
        <x:v>1</x:v>
      </x:c>
      <x:c r="J1916" s="14" t="n">
        <x:v>6</x:v>
      </x:c>
      <x:c r="K1916" s="14" t="n">
        <x:v>3</x:v>
      </x:c>
      <x:c r="L1916" s="15" t="n">
        <x:f>IF(J1916=0,"해당 없음",K1916/J1916)</x:f>
        <x:v>0.5</x:v>
      </x:c>
      <x:c r="M1916" s="14" t="n">
        <x:v>11</x:v>
      </x:c>
      <x:c r="N1916" s="14" t="n">
        <x:v>7</x:v>
      </x:c>
      <x:c r="O1916" s="15" t="n">
        <x:f>IF(M1916=0,"해당 없음",N1916/M1916)</x:f>
        <x:v>0.6363636363636364</x:v>
      </x:c>
      <x:c r="P1916" s="14" t="n">
        <x:v>102</x:v>
      </x:c>
    </x:row>
    <x:row r="1917" ht="22" customHeight="1">
      <x:c r="A1917" s="14" t="n">
        <x:v>956</x:v>
      </x:c>
      <x:c r="B1917" s="14" t="n">
        <x:v>24</x:v>
      </x:c>
      <x:c r="C1917" s="14" t="n">
        <x:v>76017</x:v>
      </x:c>
      <x:c r="D1917" s="2" t="str">
        <x:v>NAVY</x:v>
      </x:c>
      <x:c r="E1917" s="2" t="str">
        <x:v>120만</x:v>
      </x:c>
      <x:c r="F1917" s="2" t="str">
        <x:v>200만</x:v>
      </x:c>
      <x:c r="G1917" s="2" t="str">
        <x:v>패</x:v>
      </x:c>
      <x:c r="H1917" s="14" t="n">
        <x:v>1</x:v>
      </x:c>
      <x:c r="I1917" s="14" t="n">
        <x:v>3</x:v>
      </x:c>
      <x:c r="J1917" s="14" t="n">
        <x:v>10</x:v>
      </x:c>
      <x:c r="K1917" s="14" t="n">
        <x:v>1</x:v>
      </x:c>
      <x:c r="L1917" s="15" t="n">
        <x:f>IF(J1917=0,"해당 없음",K1917/J1917)</x:f>
        <x:v>0.1</x:v>
      </x:c>
      <x:c r="M1917" s="14" t="n">
        <x:v>10</x:v>
      </x:c>
      <x:c r="N1917" s="14" t="n">
        <x:v>6</x:v>
      </x:c>
      <x:c r="O1917" s="15" t="n">
        <x:f>IF(M1917=0,"해당 없음",N1917/M1917)</x:f>
        <x:v>0.6</x:v>
      </x:c>
      <x:c r="P1917" s="14" t="n">
        <x:v>101</x:v>
      </x:c>
    </x:row>
    <x:row r="1918" ht="22" customHeight="1">
      <x:c r="A1918" s="14" t="n">
        <x:v>957</x:v>
      </x:c>
      <x:c r="B1918" s="14" t="n">
        <x:v>24</x:v>
      </x:c>
      <x:c r="C1918" s="14" t="n">
        <x:v>76018</x:v>
      </x:c>
      <x:c r="D1918" s="2" t="str">
        <x:v>RED</x:v>
      </x:c>
      <x:c r="E1918" s="2" t="str">
        <x:v>120만</x:v>
      </x:c>
      <x:c r="F1918" s="2" t="str">
        <x:v>200만</x:v>
      </x:c>
      <x:c r="G1918" s="2" t="str">
        <x:v>패</x:v>
      </x:c>
      <x:c r="H1918" s="14" t="n">
        <x:v>3</x:v>
      </x:c>
      <x:c r="I1918" s="14" t="n">
        <x:v>4</x:v>
      </x:c>
      <x:c r="J1918" s="14" t="n">
        <x:v>9</x:v>
      </x:c>
      <x:c r="K1918" s="14" t="n">
        <x:v>3</x:v>
      </x:c>
      <x:c r="L1918" s="15" t="n">
        <x:f>IF(J1918=0,"해당 없음",K1918/J1918)</x:f>
        <x:v>0.3333333333333333</x:v>
      </x:c>
      <x:c r="M1918" s="14" t="n">
        <x:v>6</x:v>
      </x:c>
      <x:c r="N1918" s="14" t="n">
        <x:v>6</x:v>
      </x:c>
      <x:c r="O1918" s="15" t="n">
        <x:f>IF(M1918=0,"해당 없음",N1918/M1918)</x:f>
        <x:v>1</x:v>
      </x:c>
      <x:c r="P1918" s="14" t="n">
        <x:v>104</x:v>
      </x:c>
    </x:row>
    <x:row r="1919" ht="22" customHeight="1">
      <x:c r="A1919" s="14" t="n">
        <x:v>957</x:v>
      </x:c>
      <x:c r="B1919" s="14" t="n">
        <x:v>24</x:v>
      </x:c>
      <x:c r="C1919" s="14" t="n">
        <x:v>76018</x:v>
      </x:c>
      <x:c r="D1919" s="2" t="str">
        <x:v>NAVY</x:v>
      </x:c>
      <x:c r="E1919" s="2" t="str">
        <x:v>200만</x:v>
      </x:c>
      <x:c r="F1919" s="2" t="str">
        <x:v>120만</x:v>
      </x:c>
      <x:c r="G1919" s="2" t="str">
        <x:v>승</x:v>
      </x:c>
      <x:c r="H1919" s="14" t="n">
        <x:v>4</x:v>
      </x:c>
      <x:c r="I1919" s="14" t="n">
        <x:v>3</x:v>
      </x:c>
      <x:c r="J1919" s="14" t="n">
        <x:v>10</x:v>
      </x:c>
      <x:c r="K1919" s="14" t="n">
        <x:v>4</x:v>
      </x:c>
      <x:c r="L1919" s="15" t="n">
        <x:f>IF(J1919=0,"해당 없음",K1919/J1919)</x:f>
        <x:v>0.4</x:v>
      </x:c>
      <x:c r="M1919" s="14" t="n">
        <x:v>3</x:v>
      </x:c>
      <x:c r="N1919" s="14" t="n">
        <x:v>2</x:v>
      </x:c>
      <x:c r="O1919" s="15" t="n">
        <x:f>IF(M1919=0,"해당 없음",N1919/M1919)</x:f>
        <x:v>0.6666666666666666</x:v>
      </x:c>
      <x:c r="P1919" s="14" t="n">
        <x:v>103</x:v>
      </x:c>
    </x:row>
    <x:row r="1920" ht="22" customHeight="1">
      <x:c r="A1920" s="14" t="n">
        <x:v>958</x:v>
      </x:c>
      <x:c r="B1920" s="14" t="n">
        <x:v>24</x:v>
      </x:c>
      <x:c r="C1920" s="14" t="n">
        <x:v>76018</x:v>
      </x:c>
      <x:c r="D1920" s="2" t="str">
        <x:v>RED</x:v>
      </x:c>
      <x:c r="E1920" s="2" t="str">
        <x:v>200만</x:v>
      </x:c>
      <x:c r="F1920" s="2" t="str">
        <x:v>120만</x:v>
      </x:c>
      <x:c r="G1920" s="2" t="str">
        <x:v>패</x:v>
      </x:c>
      <x:c r="H1920" s="14" t="n">
        <x:v>1</x:v>
      </x:c>
      <x:c r="I1920" s="14" t="n">
        <x:v>2</x:v>
      </x:c>
      <x:c r="J1920" s="14" t="n">
        <x:v>9</x:v>
      </x:c>
      <x:c r="K1920" s="14" t="n">
        <x:v>1</x:v>
      </x:c>
      <x:c r="L1920" s="15" t="n">
        <x:f>IF(J1920=0,"해당 없음",K1920/J1920)</x:f>
        <x:v>0.1111111111111111</x:v>
      </x:c>
      <x:c r="M1920" s="14" t="n">
        <x:v>11</x:v>
      </x:c>
      <x:c r="N1920" s="14" t="n">
        <x:v>9</x:v>
      </x:c>
      <x:c r="O1920" s="15" t="n">
        <x:f>IF(M1920=0,"해당 없음",N1920/M1920)</x:f>
        <x:v>0.8181818181818182</x:v>
      </x:c>
      <x:c r="P1920" s="14" t="n">
        <x:v>102</x:v>
      </x:c>
    </x:row>
    <x:row r="1921" ht="22" customHeight="1">
      <x:c r="A1921" s="14" t="n">
        <x:v>958</x:v>
      </x:c>
      <x:c r="B1921" s="14" t="n">
        <x:v>24</x:v>
      </x:c>
      <x:c r="C1921" s="14" t="n">
        <x:v>76018</x:v>
      </x:c>
      <x:c r="D1921" s="2" t="str">
        <x:v>NAVY</x:v>
      </x:c>
      <x:c r="E1921" s="2" t="str">
        <x:v>120만</x:v>
      </x:c>
      <x:c r="F1921" s="2" t="str">
        <x:v>200만</x:v>
      </x:c>
      <x:c r="G1921" s="2" t="str">
        <x:v>승</x:v>
      </x:c>
      <x:c r="H1921" s="14" t="n">
        <x:v>2</x:v>
      </x:c>
      <x:c r="I1921" s="14" t="n">
        <x:v>1</x:v>
      </x:c>
      <x:c r="J1921" s="14" t="n">
        <x:v>6</x:v>
      </x:c>
      <x:c r="K1921" s="14" t="n">
        <x:v>2</x:v>
      </x:c>
      <x:c r="L1921" s="15" t="n">
        <x:f>IF(J1921=0,"해당 없음",K1921/J1921)</x:f>
        <x:v>0.3333333333333333</x:v>
      </x:c>
      <x:c r="M1921" s="14" t="n">
        <x:v>13</x:v>
      </x:c>
      <x:c r="N1921" s="14" t="n">
        <x:v>10</x:v>
      </x:c>
      <x:c r="O1921" s="15" t="n">
        <x:f>IF(M1921=0,"해당 없음",N1921/M1921)</x:f>
        <x:v>0.7692307692307693</x:v>
      </x:c>
      <x:c r="P1921" s="14" t="n">
        <x:v>103</x:v>
      </x:c>
    </x:row>
    <x:row r="1922" ht="22" customHeight="1">
      <x:c r="A1922" s="14" t="n">
        <x:v>959</x:v>
      </x:c>
      <x:c r="B1922" s="14" t="n">
        <x:v>24</x:v>
      </x:c>
      <x:c r="C1922" s="14" t="n">
        <x:v>76019</x:v>
      </x:c>
      <x:c r="D1922" s="2" t="str">
        <x:v>RED</x:v>
      </x:c>
      <x:c r="E1922" s="2" t="str">
        <x:v>120만</x:v>
      </x:c>
      <x:c r="F1922" s="2" t="str">
        <x:v>200만</x:v>
      </x:c>
      <x:c r="G1922" s="2" t="str">
        <x:v>승</x:v>
      </x:c>
      <x:c r="H1922" s="14" t="n">
        <x:v>4</x:v>
      </x:c>
      <x:c r="I1922" s="14" t="n">
        <x:v>3</x:v>
      </x:c>
      <x:c r="J1922" s="14" t="n">
        <x:v>9</x:v>
      </x:c>
      <x:c r="K1922" s="14" t="n">
        <x:v>4</x:v>
      </x:c>
      <x:c r="L1922" s="15" t="n">
        <x:f>IF(J1922=0,"해당 없음",K1922/J1922)</x:f>
        <x:v>0.4444444444444444</x:v>
      </x:c>
      <x:c r="M1922" s="14" t="n">
        <x:v>6</x:v>
      </x:c>
      <x:c r="N1922" s="14" t="n">
        <x:v>5</x:v>
      </x:c>
      <x:c r="O1922" s="15" t="n">
        <x:f>IF(M1922=0,"해당 없음",N1922/M1922)</x:f>
        <x:v>0.8333333333333334</x:v>
      </x:c>
      <x:c r="P1922" s="14" t="n">
        <x:v>104</x:v>
      </x:c>
    </x:row>
    <x:row r="1923" ht="22" customHeight="1">
      <x:c r="A1923" s="14" t="n">
        <x:v>959</x:v>
      </x:c>
      <x:c r="B1923" s="14" t="n">
        <x:v>24</x:v>
      </x:c>
      <x:c r="C1923" s="14" t="n">
        <x:v>76019</x:v>
      </x:c>
      <x:c r="D1923" s="2" t="str">
        <x:v>NAVY</x:v>
      </x:c>
      <x:c r="E1923" s="2" t="str">
        <x:v>200만</x:v>
      </x:c>
      <x:c r="F1923" s="2" t="str">
        <x:v>120만</x:v>
      </x:c>
      <x:c r="G1923" s="2" t="str">
        <x:v>패</x:v>
      </x:c>
      <x:c r="H1923" s="14" t="n">
        <x:v>3</x:v>
      </x:c>
      <x:c r="I1923" s="14" t="n">
        <x:v>4</x:v>
      </x:c>
      <x:c r="J1923" s="14" t="n">
        <x:v>8</x:v>
      </x:c>
      <x:c r="K1923" s="14" t="n">
        <x:v>3</x:v>
      </x:c>
      <x:c r="L1923" s="15" t="n">
        <x:f>IF(J1923=0,"해당 없음",K1923/J1923)</x:f>
        <x:v>0.375</x:v>
      </x:c>
      <x:c r="M1923" s="14" t="n">
        <x:v>7</x:v>
      </x:c>
      <x:c r="N1923" s="14" t="n">
        <x:v>6</x:v>
      </x:c>
      <x:c r="O1923" s="15" t="n">
        <x:f>IF(M1923=0,"해당 없음",N1923/M1923)</x:f>
        <x:v>0.8571428571428571</x:v>
      </x:c>
      <x:c r="P1923" s="14" t="n">
        <x:v>104</x:v>
      </x:c>
    </x:row>
    <x:row r="1924" ht="22" customHeight="1">
      <x:c r="A1924" s="14" t="n">
        <x:v>960</x:v>
      </x:c>
      <x:c r="B1924" s="14" t="n">
        <x:v>24</x:v>
      </x:c>
      <x:c r="C1924" s="14" t="n">
        <x:v>76019</x:v>
      </x:c>
      <x:c r="D1924" s="2" t="str">
        <x:v>RED</x:v>
      </x:c>
      <x:c r="E1924" s="2" t="str">
        <x:v>200만</x:v>
      </x:c>
      <x:c r="F1924" s="2" t="str">
        <x:v>120만</x:v>
      </x:c>
      <x:c r="G1924" s="2" t="str">
        <x:v>패</x:v>
      </x:c>
      <x:c r="H1924" s="14" t="n">
        <x:v>3</x:v>
      </x:c>
      <x:c r="I1924" s="14" t="n">
        <x:v>4</x:v>
      </x:c>
      <x:c r="J1924" s="14" t="n">
        <x:v>5</x:v>
      </x:c>
      <x:c r="K1924" s="14" t="n">
        <x:v>3</x:v>
      </x:c>
      <x:c r="L1924" s="15" t="n">
        <x:f>IF(J1924=0,"해당 없음",K1924/J1924)</x:f>
        <x:v>0.6</x:v>
      </x:c>
      <x:c r="M1924" s="14" t="n">
        <x:v>6</x:v>
      </x:c>
      <x:c r="N1924" s="14" t="n">
        <x:v>4</x:v>
      </x:c>
      <x:c r="O1924" s="15" t="n">
        <x:f>IF(M1924=0,"해당 없음",N1924/M1924)</x:f>
        <x:v>0.6666666666666666</x:v>
      </x:c>
      <x:c r="P1924" s="14" t="n">
        <x:v>104</x:v>
      </x:c>
    </x:row>
    <x:row r="1925" ht="22" customHeight="1">
      <x:c r="A1925" s="14" t="n">
        <x:v>960</x:v>
      </x:c>
      <x:c r="B1925" s="14" t="n">
        <x:v>24</x:v>
      </x:c>
      <x:c r="C1925" s="14" t="n">
        <x:v>76019</x:v>
      </x:c>
      <x:c r="D1925" s="2" t="str">
        <x:v>NAVY</x:v>
      </x:c>
      <x:c r="E1925" s="2" t="str">
        <x:v>120만</x:v>
      </x:c>
      <x:c r="F1925" s="2" t="str">
        <x:v>200만</x:v>
      </x:c>
      <x:c r="G1925" s="2" t="str">
        <x:v>승</x:v>
      </x:c>
      <x:c r="H1925" s="14" t="n">
        <x:v>4</x:v>
      </x:c>
      <x:c r="I1925" s="14" t="n">
        <x:v>3</x:v>
      </x:c>
      <x:c r="J1925" s="14" t="n">
        <x:v>12</x:v>
      </x:c>
      <x:c r="K1925" s="14" t="n">
        <x:v>4</x:v>
      </x:c>
      <x:c r="L1925" s="15" t="n">
        <x:f>IF(J1925=0,"해당 없음",K1925/J1925)</x:f>
        <x:v>0.3333333333333333</x:v>
      </x:c>
      <x:c r="M1925" s="14" t="n">
        <x:v>9</x:v>
      </x:c>
      <x:c r="N1925" s="14" t="n">
        <x:v>7</x:v>
      </x:c>
      <x:c r="O1925" s="15" t="n">
        <x:f>IF(M1925=0,"해당 없음",N1925/M1925)</x:f>
        <x:v>0.7777777777777778</x:v>
      </x:c>
      <x:c r="P1925" s="14" t="n">
        <x:v>104</x:v>
      </x:c>
    </x:row>
    <x:row r="1926" ht="22" customHeight="1">
      <x:c r="A1926" s="14" t="n">
        <x:v>961</x:v>
      </x:c>
      <x:c r="B1926" s="14" t="n">
        <x:v>25</x:v>
      </x:c>
      <x:c r="C1926" s="14" t="n">
        <x:v>76000</x:v>
      </x:c>
      <x:c r="D1926" s="2" t="str">
        <x:v>RED</x:v>
      </x:c>
      <x:c r="E1926" s="2" t="str">
        <x:v>120만</x:v>
      </x:c>
      <x:c r="F1926" s="2" t="str">
        <x:v>240만</x:v>
      </x:c>
      <x:c r="G1926" s="2" t="str">
        <x:v>승</x:v>
      </x:c>
      <x:c r="H1926" s="14" t="n">
        <x:v>3</x:v>
      </x:c>
      <x:c r="I1926" s="14" t="n">
        <x:v>2</x:v>
      </x:c>
      <x:c r="J1926" s="14" t="n">
        <x:v>9</x:v>
      </x:c>
      <x:c r="K1926" s="14" t="n">
        <x:v>3</x:v>
      </x:c>
      <x:c r="L1926" s="15" t="n">
        <x:f>IF(J1926=0,"해당 없음",K1926/J1926)</x:f>
        <x:v>0.3333333333333333</x:v>
      </x:c>
      <x:c r="M1926" s="14" t="n">
        <x:v>9</x:v>
      </x:c>
      <x:c r="N1926" s="14" t="n">
        <x:v>5</x:v>
      </x:c>
      <x:c r="O1926" s="15" t="n">
        <x:f>IF(M1926=0,"해당 없음",N1926/M1926)</x:f>
        <x:v>0.5555555555555556</x:v>
      </x:c>
      <x:c r="P1926" s="14" t="n">
        <x:v>103</x:v>
      </x:c>
    </x:row>
    <x:row r="1927" ht="22" customHeight="1">
      <x:c r="A1927" s="14" t="n">
        <x:v>961</x:v>
      </x:c>
      <x:c r="B1927" s="14" t="n">
        <x:v>25</x:v>
      </x:c>
      <x:c r="C1927" s="14" t="n">
        <x:v>76000</x:v>
      </x:c>
      <x:c r="D1927" s="2" t="str">
        <x:v>NAVY</x:v>
      </x:c>
      <x:c r="E1927" s="2" t="str">
        <x:v>240만</x:v>
      </x:c>
      <x:c r="F1927" s="2" t="str">
        <x:v>120만</x:v>
      </x:c>
      <x:c r="G1927" s="2" t="str">
        <x:v>패</x:v>
      </x:c>
      <x:c r="H1927" s="14" t="n">
        <x:v>2</x:v>
      </x:c>
      <x:c r="I1927" s="14" t="n">
        <x:v>3</x:v>
      </x:c>
      <x:c r="J1927" s="14" t="n">
        <x:v>6</x:v>
      </x:c>
      <x:c r="K1927" s="14" t="n">
        <x:v>2</x:v>
      </x:c>
      <x:c r="L1927" s="15" t="n">
        <x:f>IF(J1927=0,"해당 없음",K1927/J1927)</x:f>
        <x:v>0.3333333333333333</x:v>
      </x:c>
      <x:c r="M1927" s="14" t="n">
        <x:v>9</x:v>
      </x:c>
      <x:c r="N1927" s="14" t="n">
        <x:v>6</x:v>
      </x:c>
      <x:c r="O1927" s="15" t="n">
        <x:f>IF(M1927=0,"해당 없음",N1927/M1927)</x:f>
        <x:v>0.6666666666666666</x:v>
      </x:c>
      <x:c r="P1927" s="14" t="n">
        <x:v>101</x:v>
      </x:c>
    </x:row>
    <x:row r="1928" ht="22" customHeight="1">
      <x:c r="A1928" s="14" t="n">
        <x:v>962</x:v>
      </x:c>
      <x:c r="B1928" s="14" t="n">
        <x:v>25</x:v>
      </x:c>
      <x:c r="C1928" s="14" t="n">
        <x:v>76000</x:v>
      </x:c>
      <x:c r="D1928" s="2" t="str">
        <x:v>RED</x:v>
      </x:c>
      <x:c r="E1928" s="2" t="str">
        <x:v>240만</x:v>
      </x:c>
      <x:c r="F1928" s="2" t="str">
        <x:v>120만</x:v>
      </x:c>
      <x:c r="G1928" s="2" t="str">
        <x:v>무</x:v>
      </x:c>
      <x:c r="H1928" s="14" t="n">
        <x:v>3</x:v>
      </x:c>
      <x:c r="I1928" s="14" t="n">
        <x:v>3</x:v>
      </x:c>
      <x:c r="J1928" s="14" t="n">
        <x:v>5</x:v>
      </x:c>
      <x:c r="K1928" s="14" t="n">
        <x:v>3</x:v>
      </x:c>
      <x:c r="L1928" s="15" t="n">
        <x:f>IF(J1928=0,"해당 없음",K1928/J1928)</x:f>
        <x:v>0.6</x:v>
      </x:c>
      <x:c r="M1928" s="14" t="n">
        <x:v>7</x:v>
      </x:c>
      <x:c r="N1928" s="14" t="n">
        <x:v>4</x:v>
      </x:c>
      <x:c r="O1928" s="15" t="n">
        <x:f>IF(M1928=0,"해당 없음",N1928/M1928)</x:f>
        <x:v>0.5714285714285714</x:v>
      </x:c>
      <x:c r="P1928" s="14" t="n">
        <x:v>103</x:v>
      </x:c>
    </x:row>
    <x:row r="1929" ht="22" customHeight="1">
      <x:c r="A1929" s="14" t="n">
        <x:v>962</x:v>
      </x:c>
      <x:c r="B1929" s="14" t="n">
        <x:v>25</x:v>
      </x:c>
      <x:c r="C1929" s="14" t="n">
        <x:v>76000</x:v>
      </x:c>
      <x:c r="D1929" s="2" t="str">
        <x:v>NAVY</x:v>
      </x:c>
      <x:c r="E1929" s="2" t="str">
        <x:v>120만</x:v>
      </x:c>
      <x:c r="F1929" s="2" t="str">
        <x:v>240만</x:v>
      </x:c>
      <x:c r="G1929" s="2" t="str">
        <x:v>무</x:v>
      </x:c>
      <x:c r="H1929" s="14" t="n">
        <x:v>3</x:v>
      </x:c>
      <x:c r="I1929" s="14" t="n">
        <x:v>3</x:v>
      </x:c>
      <x:c r="J1929" s="14" t="n">
        <x:v>11</x:v>
      </x:c>
      <x:c r="K1929" s="14" t="n">
        <x:v>3</x:v>
      </x:c>
      <x:c r="L1929" s="15" t="n">
        <x:f>IF(J1929=0,"해당 없음",K1929/J1929)</x:f>
        <x:v>0.2727272727272727</x:v>
      </x:c>
      <x:c r="M1929" s="14" t="n">
        <x:v>3</x:v>
      </x:c>
      <x:c r="N1929" s="14" t="n">
        <x:v>2</x:v>
      </x:c>
      <x:c r="O1929" s="15" t="n">
        <x:f>IF(M1929=0,"해당 없음",N1929/M1929)</x:f>
        <x:v>0.6666666666666666</x:v>
      </x:c>
      <x:c r="P1929" s="14" t="n">
        <x:v>103</x:v>
      </x:c>
    </x:row>
    <x:row r="1930" ht="22" customHeight="1">
      <x:c r="A1930" s="14" t="n">
        <x:v>963</x:v>
      </x:c>
      <x:c r="B1930" s="14" t="n">
        <x:v>25</x:v>
      </x:c>
      <x:c r="C1930" s="14" t="n">
        <x:v>76001</x:v>
      </x:c>
      <x:c r="D1930" s="2" t="str">
        <x:v>RED</x:v>
      </x:c>
      <x:c r="E1930" s="2" t="str">
        <x:v>120만</x:v>
      </x:c>
      <x:c r="F1930" s="2" t="str">
        <x:v>240만</x:v>
      </x:c>
      <x:c r="G1930" s="2" t="str">
        <x:v>패</x:v>
      </x:c>
      <x:c r="H1930" s="14" t="n">
        <x:v>3</x:v>
      </x:c>
      <x:c r="I1930" s="14" t="n">
        <x:v>5</x:v>
      </x:c>
      <x:c r="J1930" s="14" t="n">
        <x:v>8</x:v>
      </x:c>
      <x:c r="K1930" s="14" t="n">
        <x:v>3</x:v>
      </x:c>
      <x:c r="L1930" s="15" t="n">
        <x:f>IF(J1930=0,"해당 없음",K1930/J1930)</x:f>
        <x:v>0.375</x:v>
      </x:c>
      <x:c r="M1930" s="14" t="n">
        <x:v>7</x:v>
      </x:c>
      <x:c r="N1930" s="14" t="n">
        <x:v>6</x:v>
      </x:c>
      <x:c r="O1930" s="15" t="n">
        <x:f>IF(M1930=0,"해당 없음",N1930/M1930)</x:f>
        <x:v>0.8571428571428571</x:v>
      </x:c>
      <x:c r="P1930" s="14" t="n">
        <x:v>108</x:v>
      </x:c>
    </x:row>
    <x:row r="1931" ht="22" customHeight="1">
      <x:c r="A1931" s="14" t="n">
        <x:v>963</x:v>
      </x:c>
      <x:c r="B1931" s="14" t="n">
        <x:v>25</x:v>
      </x:c>
      <x:c r="C1931" s="14" t="n">
        <x:v>76001</x:v>
      </x:c>
      <x:c r="D1931" s="2" t="str">
        <x:v>NAVY</x:v>
      </x:c>
      <x:c r="E1931" s="2" t="str">
        <x:v>240만</x:v>
      </x:c>
      <x:c r="F1931" s="2" t="str">
        <x:v>120만</x:v>
      </x:c>
      <x:c r="G1931" s="2" t="str">
        <x:v>승</x:v>
      </x:c>
      <x:c r="H1931" s="14" t="n">
        <x:v>5</x:v>
      </x:c>
      <x:c r="I1931" s="14" t="n">
        <x:v>3</x:v>
      </x:c>
      <x:c r="J1931" s="14" t="n">
        <x:v>11</x:v>
      </x:c>
      <x:c r="K1931" s="14" t="n">
        <x:v>5</x:v>
      </x:c>
      <x:c r="L1931" s="15" t="n">
        <x:f>IF(J1931=0,"해당 없음",K1931/J1931)</x:f>
        <x:v>0.45454545454545453</x:v>
      </x:c>
      <x:c r="M1931" s="14" t="n">
        <x:v>7</x:v>
      </x:c>
      <x:c r="N1931" s="14" t="n">
        <x:v>6</x:v>
      </x:c>
      <x:c r="O1931" s="15" t="n">
        <x:f>IF(M1931=0,"해당 없음",N1931/M1931)</x:f>
        <x:v>0.8571428571428571</x:v>
      </x:c>
      <x:c r="P1931" s="14" t="n">
        <x:v>106</x:v>
      </x:c>
    </x:row>
    <x:row r="1932" ht="22" customHeight="1">
      <x:c r="A1932" s="14" t="n">
        <x:v>964</x:v>
      </x:c>
      <x:c r="B1932" s="14" t="n">
        <x:v>25</x:v>
      </x:c>
      <x:c r="C1932" s="14" t="n">
        <x:v>76001</x:v>
      </x:c>
      <x:c r="D1932" s="2" t="str">
        <x:v>RED</x:v>
      </x:c>
      <x:c r="E1932" s="2" t="str">
        <x:v>240만</x:v>
      </x:c>
      <x:c r="F1932" s="2" t="str">
        <x:v>120만</x:v>
      </x:c>
      <x:c r="G1932" s="2" t="str">
        <x:v>승</x:v>
      </x:c>
      <x:c r="H1932" s="14" t="n">
        <x:v>3</x:v>
      </x:c>
      <x:c r="I1932" s="14" t="n">
        <x:v>0</x:v>
      </x:c>
      <x:c r="J1932" s="14" t="n">
        <x:v>8</x:v>
      </x:c>
      <x:c r="K1932" s="14" t="n">
        <x:v>3</x:v>
      </x:c>
      <x:c r="L1932" s="15" t="n">
        <x:f>IF(J1932=0,"해당 없음",K1932/J1932)</x:f>
        <x:v>0.375</x:v>
      </x:c>
      <x:c r="M1932" s="14" t="n">
        <x:v>11</x:v>
      </x:c>
      <x:c r="N1932" s="14" t="n">
        <x:v>8</x:v>
      </x:c>
      <x:c r="O1932" s="15" t="n">
        <x:f>IF(M1932=0,"해당 없음",N1932/M1932)</x:f>
        <x:v>0.7272727272727273</x:v>
      </x:c>
      <x:c r="P1932" s="14" t="n">
        <x:v>102</x:v>
      </x:c>
    </x:row>
    <x:row r="1933" ht="22" customHeight="1">
      <x:c r="A1933" s="14" t="n">
        <x:v>964</x:v>
      </x:c>
      <x:c r="B1933" s="14" t="n">
        <x:v>25</x:v>
      </x:c>
      <x:c r="C1933" s="14" t="n">
        <x:v>76001</x:v>
      </x:c>
      <x:c r="D1933" s="2" t="str">
        <x:v>NAVY</x:v>
      </x:c>
      <x:c r="E1933" s="2" t="str">
        <x:v>120만</x:v>
      </x:c>
      <x:c r="F1933" s="2" t="str">
        <x:v>240만</x:v>
      </x:c>
      <x:c r="G1933" s="2" t="str">
        <x:v>패</x:v>
      </x:c>
      <x:c r="H1933" s="14" t="n">
        <x:v>0</x:v>
      </x:c>
      <x:c r="I1933" s="14" t="n">
        <x:v>3</x:v>
      </x:c>
      <x:c r="J1933" s="14" t="n">
        <x:v>6</x:v>
      </x:c>
      <x:c r="K1933" s="14" t="n">
        <x:v>0</x:v>
      </x:c>
      <x:c r="L1933" s="15" t="n">
        <x:f>IF(J1933=0,"해당 없음",K1933/J1933)</x:f>
        <x:v>0</x:v>
      </x:c>
      <x:c r="M1933" s="14" t="n">
        <x:v>5</x:v>
      </x:c>
      <x:c r="N1933" s="14" t="n">
        <x:v>4</x:v>
      </x:c>
      <x:c r="O1933" s="15" t="n">
        <x:f>IF(M1933=0,"해당 없음",N1933/M1933)</x:f>
        <x:v>0.8</x:v>
      </x:c>
      <x:c r="P1933" s="14" t="n">
        <x:v>102</x:v>
      </x:c>
    </x:row>
    <x:row r="1934" ht="22" customHeight="1">
      <x:c r="A1934" s="14" t="n">
        <x:v>965</x:v>
      </x:c>
      <x:c r="B1934" s="14" t="n">
        <x:v>25</x:v>
      </x:c>
      <x:c r="C1934" s="14" t="n">
        <x:v>76002</x:v>
      </x:c>
      <x:c r="D1934" s="2" t="str">
        <x:v>RED</x:v>
      </x:c>
      <x:c r="E1934" s="2" t="str">
        <x:v>120만</x:v>
      </x:c>
      <x:c r="F1934" s="2" t="str">
        <x:v>240만</x:v>
      </x:c>
      <x:c r="G1934" s="2" t="str">
        <x:v>패</x:v>
      </x:c>
      <x:c r="H1934" s="14" t="n">
        <x:v>2</x:v>
      </x:c>
      <x:c r="I1934" s="14" t="n">
        <x:v>5</x:v>
      </x:c>
      <x:c r="J1934" s="14" t="n">
        <x:v>10</x:v>
      </x:c>
      <x:c r="K1934" s="14" t="n">
        <x:v>2</x:v>
      </x:c>
      <x:c r="L1934" s="15" t="n">
        <x:f>IF(J1934=0,"해당 없음",K1934/J1934)</x:f>
        <x:v>0.2</x:v>
      </x:c>
      <x:c r="M1934" s="14" t="n">
        <x:v>12</x:v>
      </x:c>
      <x:c r="N1934" s="14" t="n">
        <x:v>7</x:v>
      </x:c>
      <x:c r="O1934" s="15" t="n">
        <x:f>IF(M1934=0,"해당 없음",N1934/M1934)</x:f>
        <x:v>0.5833333333333334</x:v>
      </x:c>
      <x:c r="P1934" s="14" t="n">
        <x:v>104</x:v>
      </x:c>
    </x:row>
    <x:row r="1935" ht="22" customHeight="1">
      <x:c r="A1935" s="14" t="n">
        <x:v>965</x:v>
      </x:c>
      <x:c r="B1935" s="14" t="n">
        <x:v>25</x:v>
      </x:c>
      <x:c r="C1935" s="14" t="n">
        <x:v>76002</x:v>
      </x:c>
      <x:c r="D1935" s="2" t="str">
        <x:v>NAVY</x:v>
      </x:c>
      <x:c r="E1935" s="2" t="str">
        <x:v>240만</x:v>
      </x:c>
      <x:c r="F1935" s="2" t="str">
        <x:v>120만</x:v>
      </x:c>
      <x:c r="G1935" s="2" t="str">
        <x:v>승</x:v>
      </x:c>
      <x:c r="H1935" s="14" t="n">
        <x:v>5</x:v>
      </x:c>
      <x:c r="I1935" s="14" t="n">
        <x:v>2</x:v>
      </x:c>
      <x:c r="J1935" s="14" t="n">
        <x:v>10</x:v>
      </x:c>
      <x:c r="K1935" s="14" t="n">
        <x:v>5</x:v>
      </x:c>
      <x:c r="L1935" s="15" t="n">
        <x:f>IF(J1935=0,"해당 없음",K1935/J1935)</x:f>
        <x:v>0.5</x:v>
      </x:c>
      <x:c r="M1935" s="14" t="n">
        <x:v>11</x:v>
      </x:c>
      <x:c r="N1935" s="14" t="n">
        <x:v>10</x:v>
      </x:c>
      <x:c r="O1935" s="15" t="n">
        <x:f>IF(M1935=0,"해당 없음",N1935/M1935)</x:f>
        <x:v>0.9090909090909091</x:v>
      </x:c>
      <x:c r="P1935" s="14" t="n">
        <x:v>106</x:v>
      </x:c>
    </x:row>
    <x:row r="1936" ht="22" customHeight="1">
      <x:c r="A1936" s="14" t="n">
        <x:v>966</x:v>
      </x:c>
      <x:c r="B1936" s="14" t="n">
        <x:v>25</x:v>
      </x:c>
      <x:c r="C1936" s="14" t="n">
        <x:v>76002</x:v>
      </x:c>
      <x:c r="D1936" s="2" t="str">
        <x:v>RED</x:v>
      </x:c>
      <x:c r="E1936" s="2" t="str">
        <x:v>240만</x:v>
      </x:c>
      <x:c r="F1936" s="2" t="str">
        <x:v>120만</x:v>
      </x:c>
      <x:c r="G1936" s="2" t="str">
        <x:v>승</x:v>
      </x:c>
      <x:c r="H1936" s="14" t="n">
        <x:v>6</x:v>
      </x:c>
      <x:c r="I1936" s="14" t="n">
        <x:v>1</x:v>
      </x:c>
      <x:c r="J1936" s="14" t="n">
        <x:v>12</x:v>
      </x:c>
      <x:c r="K1936" s="14" t="n">
        <x:v>6</x:v>
      </x:c>
      <x:c r="L1936" s="15" t="n">
        <x:f>IF(J1936=0,"해당 없음",K1936/J1936)</x:f>
        <x:v>0.5</x:v>
      </x:c>
      <x:c r="M1936" s="14" t="n">
        <x:v>6</x:v>
      </x:c>
      <x:c r="N1936" s="14" t="n">
        <x:v>5</x:v>
      </x:c>
      <x:c r="O1936" s="15" t="n">
        <x:f>IF(M1936=0,"해당 없음",N1936/M1936)</x:f>
        <x:v>0.8333333333333334</x:v>
      </x:c>
      <x:c r="P1936" s="14" t="n">
        <x:v>104</x:v>
      </x:c>
    </x:row>
    <x:row r="1937" ht="22" customHeight="1">
      <x:c r="A1937" s="14" t="n">
        <x:v>966</x:v>
      </x:c>
      <x:c r="B1937" s="14" t="n">
        <x:v>25</x:v>
      </x:c>
      <x:c r="C1937" s="14" t="n">
        <x:v>76002</x:v>
      </x:c>
      <x:c r="D1937" s="2" t="str">
        <x:v>NAVY</x:v>
      </x:c>
      <x:c r="E1937" s="2" t="str">
        <x:v>120만</x:v>
      </x:c>
      <x:c r="F1937" s="2" t="str">
        <x:v>240만</x:v>
      </x:c>
      <x:c r="G1937" s="2" t="str">
        <x:v>패</x:v>
      </x:c>
      <x:c r="H1937" s="14" t="n">
        <x:v>1</x:v>
      </x:c>
      <x:c r="I1937" s="14" t="n">
        <x:v>6</x:v>
      </x:c>
      <x:c r="J1937" s="14" t="n">
        <x:v>5</x:v>
      </x:c>
      <x:c r="K1937" s="14" t="n">
        <x:v>1</x:v>
      </x:c>
      <x:c r="L1937" s="15" t="n">
        <x:f>IF(J1937=0,"해당 없음",K1937/J1937)</x:f>
        <x:v>0.2</x:v>
      </x:c>
      <x:c r="M1937" s="14" t="n">
        <x:v>7</x:v>
      </x:c>
      <x:c r="N1937" s="14" t="n">
        <x:v>6</x:v>
      </x:c>
      <x:c r="O1937" s="15" t="n">
        <x:f>IF(M1937=0,"해당 없음",N1937/M1937)</x:f>
        <x:v>0.8571428571428571</x:v>
      </x:c>
      <x:c r="P1937" s="14" t="n">
        <x:v>104</x:v>
      </x:c>
    </x:row>
    <x:row r="1938" ht="22" customHeight="1">
      <x:c r="A1938" s="14" t="n">
        <x:v>967</x:v>
      </x:c>
      <x:c r="B1938" s="14" t="n">
        <x:v>25</x:v>
      </x:c>
      <x:c r="C1938" s="14" t="n">
        <x:v>76003</x:v>
      </x:c>
      <x:c r="D1938" s="2" t="str">
        <x:v>RED</x:v>
      </x:c>
      <x:c r="E1938" s="2" t="str">
        <x:v>120만</x:v>
      </x:c>
      <x:c r="F1938" s="2" t="str">
        <x:v>240만</x:v>
      </x:c>
      <x:c r="G1938" s="2" t="str">
        <x:v>패</x:v>
      </x:c>
      <x:c r="H1938" s="14" t="n">
        <x:v>1</x:v>
      </x:c>
      <x:c r="I1938" s="14" t="n">
        <x:v>4</x:v>
      </x:c>
      <x:c r="J1938" s="14" t="n">
        <x:v>7</x:v>
      </x:c>
      <x:c r="K1938" s="14" t="n">
        <x:v>1</x:v>
      </x:c>
      <x:c r="L1938" s="15" t="n">
        <x:f>IF(J1938=0,"해당 없음",K1938/J1938)</x:f>
        <x:v>0.14285714285714285</x:v>
      </x:c>
      <x:c r="M1938" s="14" t="n">
        <x:v>8</x:v>
      </x:c>
      <x:c r="N1938" s="14" t="n">
        <x:v>8</x:v>
      </x:c>
      <x:c r="O1938" s="15" t="n">
        <x:f>IF(M1938=0,"해당 없음",N1938/M1938)</x:f>
        <x:v>1</x:v>
      </x:c>
      <x:c r="P1938" s="14" t="n">
        <x:v>104</x:v>
      </x:c>
    </x:row>
    <x:row r="1939" ht="22" customHeight="1">
      <x:c r="A1939" s="14" t="n">
        <x:v>967</x:v>
      </x:c>
      <x:c r="B1939" s="14" t="n">
        <x:v>25</x:v>
      </x:c>
      <x:c r="C1939" s="14" t="n">
        <x:v>76003</x:v>
      </x:c>
      <x:c r="D1939" s="2" t="str">
        <x:v>NAVY</x:v>
      </x:c>
      <x:c r="E1939" s="2" t="str">
        <x:v>240만</x:v>
      </x:c>
      <x:c r="F1939" s="2" t="str">
        <x:v>120만</x:v>
      </x:c>
      <x:c r="G1939" s="2" t="str">
        <x:v>승</x:v>
      </x:c>
      <x:c r="H1939" s="14" t="n">
        <x:v>4</x:v>
      </x:c>
      <x:c r="I1939" s="14" t="n">
        <x:v>1</x:v>
      </x:c>
      <x:c r="J1939" s="14" t="n">
        <x:v>12</x:v>
      </x:c>
      <x:c r="K1939" s="14" t="n">
        <x:v>4</x:v>
      </x:c>
      <x:c r="L1939" s="15" t="n">
        <x:f>IF(J1939=0,"해당 없음",K1939/J1939)</x:f>
        <x:v>0.3333333333333333</x:v>
      </x:c>
      <x:c r="M1939" s="14" t="n">
        <x:v>18</x:v>
      </x:c>
      <x:c r="N1939" s="14" t="n">
        <x:v>16</x:v>
      </x:c>
      <x:c r="O1939" s="15" t="n">
        <x:f>IF(M1939=0,"해당 없음",N1939/M1939)</x:f>
        <x:v>0.8888888888888888</x:v>
      </x:c>
      <x:c r="P1939" s="14" t="n">
        <x:v>103</x:v>
      </x:c>
    </x:row>
    <x:row r="1940" ht="22" customHeight="1">
      <x:c r="A1940" s="14" t="n">
        <x:v>968</x:v>
      </x:c>
      <x:c r="B1940" s="14" t="n">
        <x:v>25</x:v>
      </x:c>
      <x:c r="C1940" s="14" t="n">
        <x:v>76003</x:v>
      </x:c>
      <x:c r="D1940" s="2" t="str">
        <x:v>RED</x:v>
      </x:c>
      <x:c r="E1940" s="2" t="str">
        <x:v>240만</x:v>
      </x:c>
      <x:c r="F1940" s="2" t="str">
        <x:v>120만</x:v>
      </x:c>
      <x:c r="G1940" s="2" t="str">
        <x:v>승</x:v>
      </x:c>
      <x:c r="H1940" s="14" t="n">
        <x:v>4</x:v>
      </x:c>
      <x:c r="I1940" s="14" t="n">
        <x:v>1</x:v>
      </x:c>
      <x:c r="J1940" s="14" t="n">
        <x:v>7</x:v>
      </x:c>
      <x:c r="K1940" s="14" t="n">
        <x:v>4</x:v>
      </x:c>
      <x:c r="L1940" s="15" t="n">
        <x:f>IF(J1940=0,"해당 없음",K1940/J1940)</x:f>
        <x:v>0.5714285714285714</x:v>
      </x:c>
      <x:c r="M1940" s="14" t="n">
        <x:v>9</x:v>
      </x:c>
      <x:c r="N1940" s="14" t="n">
        <x:v>6</x:v>
      </x:c>
      <x:c r="O1940" s="15" t="n">
        <x:f>IF(M1940=0,"해당 없음",N1940/M1940)</x:f>
        <x:v>0.6666666666666666</x:v>
      </x:c>
      <x:c r="P1940" s="14" t="n">
        <x:v>102</x:v>
      </x:c>
    </x:row>
    <x:row r="1941" ht="22" customHeight="1">
      <x:c r="A1941" s="14" t="n">
        <x:v>968</x:v>
      </x:c>
      <x:c r="B1941" s="14" t="n">
        <x:v>25</x:v>
      </x:c>
      <x:c r="C1941" s="14" t="n">
        <x:v>76003</x:v>
      </x:c>
      <x:c r="D1941" s="2" t="str">
        <x:v>NAVY</x:v>
      </x:c>
      <x:c r="E1941" s="2" t="str">
        <x:v>120만</x:v>
      </x:c>
      <x:c r="F1941" s="2" t="str">
        <x:v>240만</x:v>
      </x:c>
      <x:c r="G1941" s="2" t="str">
        <x:v>패</x:v>
      </x:c>
      <x:c r="H1941" s="14" t="n">
        <x:v>1</x:v>
      </x:c>
      <x:c r="I1941" s="14" t="n">
        <x:v>4</x:v>
      </x:c>
      <x:c r="J1941" s="14" t="n">
        <x:v>11</x:v>
      </x:c>
      <x:c r="K1941" s="14" t="n">
        <x:v>1</x:v>
      </x:c>
      <x:c r="L1941" s="15" t="n">
        <x:f>IF(J1941=0,"해당 없음",K1941/J1941)</x:f>
        <x:v>0.09090909090909091</x:v>
      </x:c>
      <x:c r="M1941" s="14" t="n">
        <x:v>6</x:v>
      </x:c>
      <x:c r="N1941" s="14" t="n">
        <x:v>5</x:v>
      </x:c>
      <x:c r="O1941" s="15" t="n">
        <x:f>IF(M1941=0,"해당 없음",N1941/M1941)</x:f>
        <x:v>0.8333333333333334</x:v>
      </x:c>
      <x:c r="P1941" s="14" t="n">
        <x:v>103</x:v>
      </x:c>
    </x:row>
    <x:row r="1942" ht="22" customHeight="1">
      <x:c r="A1942" s="14" t="n">
        <x:v>969</x:v>
      </x:c>
      <x:c r="B1942" s="14" t="n">
        <x:v>25</x:v>
      </x:c>
      <x:c r="C1942" s="14" t="n">
        <x:v>76004</x:v>
      </x:c>
      <x:c r="D1942" s="2" t="str">
        <x:v>RED</x:v>
      </x:c>
      <x:c r="E1942" s="2" t="str">
        <x:v>120만</x:v>
      </x:c>
      <x:c r="F1942" s="2" t="str">
        <x:v>240만</x:v>
      </x:c>
      <x:c r="G1942" s="2" t="str">
        <x:v>승</x:v>
      </x:c>
      <x:c r="H1942" s="14" t="n">
        <x:v>2</x:v>
      </x:c>
      <x:c r="I1942" s="14" t="n">
        <x:v>1</x:v>
      </x:c>
      <x:c r="J1942" s="14" t="n">
        <x:v>12</x:v>
      </x:c>
      <x:c r="K1942" s="14" t="n">
        <x:v>2</x:v>
      </x:c>
      <x:c r="L1942" s="15" t="n">
        <x:f>IF(J1942=0,"해당 없음",K1942/J1942)</x:f>
        <x:v>0.16666666666666666</x:v>
      </x:c>
      <x:c r="M1942" s="14" t="n">
        <x:v>9</x:v>
      </x:c>
      <x:c r="N1942" s="14" t="n">
        <x:v>8</x:v>
      </x:c>
      <x:c r="O1942" s="15" t="n">
        <x:f>IF(M1942=0,"해당 없음",N1942/M1942)</x:f>
        <x:v>0.8888888888888888</x:v>
      </x:c>
      <x:c r="P1942" s="14" t="n">
        <x:v>102</x:v>
      </x:c>
    </x:row>
    <x:row r="1943" ht="22" customHeight="1">
      <x:c r="A1943" s="14" t="n">
        <x:v>969</x:v>
      </x:c>
      <x:c r="B1943" s="14" t="n">
        <x:v>25</x:v>
      </x:c>
      <x:c r="C1943" s="14" t="n">
        <x:v>76004</x:v>
      </x:c>
      <x:c r="D1943" s="2" t="str">
        <x:v>NAVY</x:v>
      </x:c>
      <x:c r="E1943" s="2" t="str">
        <x:v>240만</x:v>
      </x:c>
      <x:c r="F1943" s="2" t="str">
        <x:v>120만</x:v>
      </x:c>
      <x:c r="G1943" s="2" t="str">
        <x:v>패</x:v>
      </x:c>
      <x:c r="H1943" s="14" t="n">
        <x:v>1</x:v>
      </x:c>
      <x:c r="I1943" s="14" t="n">
        <x:v>2</x:v>
      </x:c>
      <x:c r="J1943" s="14" t="n">
        <x:v>4</x:v>
      </x:c>
      <x:c r="K1943" s="14" t="n">
        <x:v>1</x:v>
      </x:c>
      <x:c r="L1943" s="15" t="n">
        <x:f>IF(J1943=0,"해당 없음",K1943/J1943)</x:f>
        <x:v>0.25</x:v>
      </x:c>
      <x:c r="M1943" s="14" t="n">
        <x:v>10</x:v>
      </x:c>
      <x:c r="N1943" s="14" t="n">
        <x:v>7</x:v>
      </x:c>
      <x:c r="O1943" s="15" t="n">
        <x:f>IF(M1943=0,"해당 없음",N1943/M1943)</x:f>
        <x:v>0.7</x:v>
      </x:c>
      <x:c r="P1943" s="14" t="n">
        <x:v>102</x:v>
      </x:c>
    </x:row>
    <x:row r="1944" ht="22" customHeight="1">
      <x:c r="A1944" s="14" t="n">
        <x:v>970</x:v>
      </x:c>
      <x:c r="B1944" s="14" t="n">
        <x:v>25</x:v>
      </x:c>
      <x:c r="C1944" s="14" t="n">
        <x:v>76004</x:v>
      </x:c>
      <x:c r="D1944" s="2" t="str">
        <x:v>RED</x:v>
      </x:c>
      <x:c r="E1944" s="2" t="str">
        <x:v>240만</x:v>
      </x:c>
      <x:c r="F1944" s="2" t="str">
        <x:v>120만</x:v>
      </x:c>
      <x:c r="G1944" s="2" t="str">
        <x:v>승</x:v>
      </x:c>
      <x:c r="H1944" s="14" t="n">
        <x:v>2</x:v>
      </x:c>
      <x:c r="I1944" s="14" t="n">
        <x:v>0</x:v>
      </x:c>
      <x:c r="J1944" s="14" t="n">
        <x:v>6</x:v>
      </x:c>
      <x:c r="K1944" s="14" t="n">
        <x:v>2</x:v>
      </x:c>
      <x:c r="L1944" s="15" t="n">
        <x:f>IF(J1944=0,"해당 없음",K1944/J1944)</x:f>
        <x:v>0.3333333333333333</x:v>
      </x:c>
      <x:c r="M1944" s="14" t="n">
        <x:v>10</x:v>
      </x:c>
      <x:c r="N1944" s="14" t="n">
        <x:v>5</x:v>
      </x:c>
      <x:c r="O1944" s="15" t="n">
        <x:f>IF(M1944=0,"해당 없음",N1944/M1944)</x:f>
        <x:v>0.5</x:v>
      </x:c>
      <x:c r="P1944" s="14" t="n">
        <x:v>100</x:v>
      </x:c>
    </x:row>
    <x:row r="1945" ht="22" customHeight="1">
      <x:c r="A1945" s="14" t="n">
        <x:v>970</x:v>
      </x:c>
      <x:c r="B1945" s="14" t="n">
        <x:v>25</x:v>
      </x:c>
      <x:c r="C1945" s="14" t="n">
        <x:v>76004</x:v>
      </x:c>
      <x:c r="D1945" s="2" t="str">
        <x:v>NAVY</x:v>
      </x:c>
      <x:c r="E1945" s="2" t="str">
        <x:v>120만</x:v>
      </x:c>
      <x:c r="F1945" s="2" t="str">
        <x:v>240만</x:v>
      </x:c>
      <x:c r="G1945" s="2" t="str">
        <x:v>패</x:v>
      </x:c>
      <x:c r="H1945" s="14" t="n">
        <x:v>0</x:v>
      </x:c>
      <x:c r="I1945" s="14" t="n">
        <x:v>2</x:v>
      </x:c>
      <x:c r="J1945" s="14" t="n">
        <x:v>10</x:v>
      </x:c>
      <x:c r="K1945" s="14" t="n">
        <x:v>0</x:v>
      </x:c>
      <x:c r="L1945" s="15" t="n">
        <x:f>IF(J1945=0,"해당 없음",K1945/J1945)</x:f>
        <x:v>0</x:v>
      </x:c>
      <x:c r="M1945" s="14" t="n">
        <x:v>10</x:v>
      </x:c>
      <x:c r="N1945" s="14" t="n">
        <x:v>10</x:v>
      </x:c>
      <x:c r="O1945" s="15" t="n">
        <x:f>IF(M1945=0,"해당 없음",N1945/M1945)</x:f>
        <x:v>1</x:v>
      </x:c>
      <x:c r="P1945" s="14" t="n">
        <x:v>101</x:v>
      </x:c>
    </x:row>
    <x:row r="1946" ht="22" customHeight="1">
      <x:c r="A1946" s="14" t="n">
        <x:v>971</x:v>
      </x:c>
      <x:c r="B1946" s="14" t="n">
        <x:v>25</x:v>
      </x:c>
      <x:c r="C1946" s="14" t="n">
        <x:v>76005</x:v>
      </x:c>
      <x:c r="D1946" s="2" t="str">
        <x:v>RED</x:v>
      </x:c>
      <x:c r="E1946" s="2" t="str">
        <x:v>120만</x:v>
      </x:c>
      <x:c r="F1946" s="2" t="str">
        <x:v>240만</x:v>
      </x:c>
      <x:c r="G1946" s="2" t="str">
        <x:v>승</x:v>
      </x:c>
      <x:c r="H1946" s="14" t="n">
        <x:v>3</x:v>
      </x:c>
      <x:c r="I1946" s="14" t="n">
        <x:v>1</x:v>
      </x:c>
      <x:c r="J1946" s="14" t="n">
        <x:v>9</x:v>
      </x:c>
      <x:c r="K1946" s="14" t="n">
        <x:v>3</x:v>
      </x:c>
      <x:c r="L1946" s="15" t="n">
        <x:f>IF(J1946=0,"해당 없음",K1946/J1946)</x:f>
        <x:v>0.3333333333333333</x:v>
      </x:c>
      <x:c r="M1946" s="14" t="n">
        <x:v>13</x:v>
      </x:c>
      <x:c r="N1946" s="14" t="n">
        <x:v>11</x:v>
      </x:c>
      <x:c r="O1946" s="15" t="n">
        <x:f>IF(M1946=0,"해당 없음",N1946/M1946)</x:f>
        <x:v>0.8461538461538461</x:v>
      </x:c>
      <x:c r="P1946" s="14" t="n">
        <x:v>103</x:v>
      </x:c>
    </x:row>
    <x:row r="1947" ht="22" customHeight="1">
      <x:c r="A1947" s="14" t="n">
        <x:v>971</x:v>
      </x:c>
      <x:c r="B1947" s="14" t="n">
        <x:v>25</x:v>
      </x:c>
      <x:c r="C1947" s="14" t="n">
        <x:v>76005</x:v>
      </x:c>
      <x:c r="D1947" s="2" t="str">
        <x:v>NAVY</x:v>
      </x:c>
      <x:c r="E1947" s="2" t="str">
        <x:v>240만</x:v>
      </x:c>
      <x:c r="F1947" s="2" t="str">
        <x:v>120만</x:v>
      </x:c>
      <x:c r="G1947" s="2" t="str">
        <x:v>패</x:v>
      </x:c>
      <x:c r="H1947" s="14" t="n">
        <x:v>1</x:v>
      </x:c>
      <x:c r="I1947" s="14" t="n">
        <x:v>3</x:v>
      </x:c>
      <x:c r="J1947" s="14" t="n">
        <x:v>7</x:v>
      </x:c>
      <x:c r="K1947" s="14" t="n">
        <x:v>1</x:v>
      </x:c>
      <x:c r="L1947" s="15" t="n">
        <x:f>IF(J1947=0,"해당 없음",K1947/J1947)</x:f>
        <x:v>0.14285714285714285</x:v>
      </x:c>
      <x:c r="M1947" s="14" t="n">
        <x:v>9</x:v>
      </x:c>
      <x:c r="N1947" s="14" t="n">
        <x:v>6</x:v>
      </x:c>
      <x:c r="O1947" s="15" t="n">
        <x:f>IF(M1947=0,"해당 없음",N1947/M1947)</x:f>
        <x:v>0.6666666666666666</x:v>
      </x:c>
      <x:c r="P1947" s="14" t="n">
        <x:v>104</x:v>
      </x:c>
    </x:row>
    <x:row r="1948" ht="22" customHeight="1">
      <x:c r="A1948" s="14" t="n">
        <x:v>972</x:v>
      </x:c>
      <x:c r="B1948" s="14" t="n">
        <x:v>25</x:v>
      </x:c>
      <x:c r="C1948" s="14" t="n">
        <x:v>76005</x:v>
      </x:c>
      <x:c r="D1948" s="2" t="str">
        <x:v>RED</x:v>
      </x:c>
      <x:c r="E1948" s="2" t="str">
        <x:v>240만</x:v>
      </x:c>
      <x:c r="F1948" s="2" t="str">
        <x:v>120만</x:v>
      </x:c>
      <x:c r="G1948" s="2" t="str">
        <x:v>승</x:v>
      </x:c>
      <x:c r="H1948" s="14" t="n">
        <x:v>3</x:v>
      </x:c>
      <x:c r="I1948" s="14" t="n">
        <x:v>1</x:v>
      </x:c>
      <x:c r="J1948" s="14" t="n">
        <x:v>12</x:v>
      </x:c>
      <x:c r="K1948" s="14" t="n">
        <x:v>3</x:v>
      </x:c>
      <x:c r="L1948" s="15" t="n">
        <x:f>IF(J1948=0,"해당 없음",K1948/J1948)</x:f>
        <x:v>0.25</x:v>
      </x:c>
      <x:c r="M1948" s="14" t="n">
        <x:v>7</x:v>
      </x:c>
      <x:c r="N1948" s="14" t="n">
        <x:v>5</x:v>
      </x:c>
      <x:c r="O1948" s="15" t="n">
        <x:f>IF(M1948=0,"해당 없음",N1948/M1948)</x:f>
        <x:v>0.7142857142857143</x:v>
      </x:c>
      <x:c r="P1948" s="14" t="n">
        <x:v>104</x:v>
      </x:c>
    </x:row>
    <x:row r="1949" ht="22" customHeight="1">
      <x:c r="A1949" s="14" t="n">
        <x:v>972</x:v>
      </x:c>
      <x:c r="B1949" s="14" t="n">
        <x:v>25</x:v>
      </x:c>
      <x:c r="C1949" s="14" t="n">
        <x:v>76005</x:v>
      </x:c>
      <x:c r="D1949" s="2" t="str">
        <x:v>NAVY</x:v>
      </x:c>
      <x:c r="E1949" s="2" t="str">
        <x:v>120만</x:v>
      </x:c>
      <x:c r="F1949" s="2" t="str">
        <x:v>240만</x:v>
      </x:c>
      <x:c r="G1949" s="2" t="str">
        <x:v>패</x:v>
      </x:c>
      <x:c r="H1949" s="14" t="n">
        <x:v>1</x:v>
      </x:c>
      <x:c r="I1949" s="14" t="n">
        <x:v>3</x:v>
      </x:c>
      <x:c r="J1949" s="14" t="n">
        <x:v>8</x:v>
      </x:c>
      <x:c r="K1949" s="14" t="n">
        <x:v>1</x:v>
      </x:c>
      <x:c r="L1949" s="15" t="n">
        <x:f>IF(J1949=0,"해당 없음",K1949/J1949)</x:f>
        <x:v>0.125</x:v>
      </x:c>
      <x:c r="M1949" s="14" t="n">
        <x:v>9</x:v>
      </x:c>
      <x:c r="N1949" s="14" t="n">
        <x:v>7</x:v>
      </x:c>
      <x:c r="O1949" s="15" t="n">
        <x:f>IF(M1949=0,"해당 없음",N1949/M1949)</x:f>
        <x:v>0.7777777777777778</x:v>
      </x:c>
      <x:c r="P1949" s="14" t="n">
        <x:v>101</x:v>
      </x:c>
    </x:row>
    <x:row r="1950" ht="22" customHeight="1">
      <x:c r="A1950" s="14" t="n">
        <x:v>973</x:v>
      </x:c>
      <x:c r="B1950" s="14" t="n">
        <x:v>25</x:v>
      </x:c>
      <x:c r="C1950" s="14" t="n">
        <x:v>76006</x:v>
      </x:c>
      <x:c r="D1950" s="2" t="str">
        <x:v>RED</x:v>
      </x:c>
      <x:c r="E1950" s="2" t="str">
        <x:v>120만</x:v>
      </x:c>
      <x:c r="F1950" s="2" t="str">
        <x:v>240만</x:v>
      </x:c>
      <x:c r="G1950" s="2" t="str">
        <x:v>패</x:v>
      </x:c>
      <x:c r="H1950" s="14" t="n">
        <x:v>1</x:v>
      </x:c>
      <x:c r="I1950" s="14" t="n">
        <x:v>2</x:v>
      </x:c>
      <x:c r="J1950" s="14" t="n">
        <x:v>9</x:v>
      </x:c>
      <x:c r="K1950" s="14" t="n">
        <x:v>1</x:v>
      </x:c>
      <x:c r="L1950" s="15" t="n">
        <x:f>IF(J1950=0,"해당 없음",K1950/J1950)</x:f>
        <x:v>0.1111111111111111</x:v>
      </x:c>
      <x:c r="M1950" s="14" t="n">
        <x:v>7</x:v>
      </x:c>
      <x:c r="N1950" s="14" t="n">
        <x:v>6</x:v>
      </x:c>
      <x:c r="O1950" s="15" t="n">
        <x:f>IF(M1950=0,"해당 없음",N1950/M1950)</x:f>
        <x:v>0.8571428571428571</x:v>
      </x:c>
      <x:c r="P1950" s="14" t="n">
        <x:v>102</x:v>
      </x:c>
    </x:row>
    <x:row r="1951" ht="22" customHeight="1">
      <x:c r="A1951" s="14" t="n">
        <x:v>973</x:v>
      </x:c>
      <x:c r="B1951" s="14" t="n">
        <x:v>25</x:v>
      </x:c>
      <x:c r="C1951" s="14" t="n">
        <x:v>76006</x:v>
      </x:c>
      <x:c r="D1951" s="2" t="str">
        <x:v>NAVY</x:v>
      </x:c>
      <x:c r="E1951" s="2" t="str">
        <x:v>240만</x:v>
      </x:c>
      <x:c r="F1951" s="2" t="str">
        <x:v>120만</x:v>
      </x:c>
      <x:c r="G1951" s="2" t="str">
        <x:v>승</x:v>
      </x:c>
      <x:c r="H1951" s="14" t="n">
        <x:v>2</x:v>
      </x:c>
      <x:c r="I1951" s="14" t="n">
        <x:v>1</x:v>
      </x:c>
      <x:c r="J1951" s="14" t="n">
        <x:v>7</x:v>
      </x:c>
      <x:c r="K1951" s="14" t="n">
        <x:v>2</x:v>
      </x:c>
      <x:c r="L1951" s="15" t="n">
        <x:f>IF(J1951=0,"해당 없음",K1951/J1951)</x:f>
        <x:v>0.2857142857142857</x:v>
      </x:c>
      <x:c r="M1951" s="14" t="n">
        <x:v>12</x:v>
      </x:c>
      <x:c r="N1951" s="14" t="n">
        <x:v>8</x:v>
      </x:c>
      <x:c r="O1951" s="15" t="n">
        <x:f>IF(M1951=0,"해당 없음",N1951/M1951)</x:f>
        <x:v>0.6666666666666666</x:v>
      </x:c>
      <x:c r="P1951" s="14" t="n">
        <x:v>103</x:v>
      </x:c>
    </x:row>
    <x:row r="1952" ht="22" customHeight="1">
      <x:c r="A1952" s="14" t="n">
        <x:v>974</x:v>
      </x:c>
      <x:c r="B1952" s="14" t="n">
        <x:v>25</x:v>
      </x:c>
      <x:c r="C1952" s="14" t="n">
        <x:v>76006</x:v>
      </x:c>
      <x:c r="D1952" s="2" t="str">
        <x:v>RED</x:v>
      </x:c>
      <x:c r="E1952" s="2" t="str">
        <x:v>240만</x:v>
      </x:c>
      <x:c r="F1952" s="2" t="str">
        <x:v>120만</x:v>
      </x:c>
      <x:c r="G1952" s="2" t="str">
        <x:v>승</x:v>
      </x:c>
      <x:c r="H1952" s="14" t="n">
        <x:v>4</x:v>
      </x:c>
      <x:c r="I1952" s="14" t="n">
        <x:v>3</x:v>
      </x:c>
      <x:c r="J1952" s="14" t="n">
        <x:v>5</x:v>
      </x:c>
      <x:c r="K1952" s="14" t="n">
        <x:v>4</x:v>
      </x:c>
      <x:c r="L1952" s="15" t="n">
        <x:f>IF(J1952=0,"해당 없음",K1952/J1952)</x:f>
        <x:v>0.8</x:v>
      </x:c>
      <x:c r="M1952" s="14" t="n">
        <x:v>11</x:v>
      </x:c>
      <x:c r="N1952" s="14" t="n">
        <x:v>7</x:v>
      </x:c>
      <x:c r="O1952" s="15" t="n">
        <x:f>IF(M1952=0,"해당 없음",N1952/M1952)</x:f>
        <x:v>0.6363636363636364</x:v>
      </x:c>
      <x:c r="P1952" s="14" t="n">
        <x:v>104</x:v>
      </x:c>
    </x:row>
    <x:row r="1953" ht="22" customHeight="1">
      <x:c r="A1953" s="14" t="n">
        <x:v>974</x:v>
      </x:c>
      <x:c r="B1953" s="14" t="n">
        <x:v>25</x:v>
      </x:c>
      <x:c r="C1953" s="14" t="n">
        <x:v>76006</x:v>
      </x:c>
      <x:c r="D1953" s="2" t="str">
        <x:v>NAVY</x:v>
      </x:c>
      <x:c r="E1953" s="2" t="str">
        <x:v>120만</x:v>
      </x:c>
      <x:c r="F1953" s="2" t="str">
        <x:v>240만</x:v>
      </x:c>
      <x:c r="G1953" s="2" t="str">
        <x:v>패</x:v>
      </x:c>
      <x:c r="H1953" s="14" t="n">
        <x:v>3</x:v>
      </x:c>
      <x:c r="I1953" s="14" t="n">
        <x:v>4</x:v>
      </x:c>
      <x:c r="J1953" s="14" t="n">
        <x:v>11</x:v>
      </x:c>
      <x:c r="K1953" s="14" t="n">
        <x:v>3</x:v>
      </x:c>
      <x:c r="L1953" s="15" t="n">
        <x:f>IF(J1953=0,"해당 없음",K1953/J1953)</x:f>
        <x:v>0.2727272727272727</x:v>
      </x:c>
      <x:c r="M1953" s="14" t="n">
        <x:v>10</x:v>
      </x:c>
      <x:c r="N1953" s="14" t="n">
        <x:v>9</x:v>
      </x:c>
      <x:c r="O1953" s="15" t="n">
        <x:f>IF(M1953=0,"해당 없음",N1953/M1953)</x:f>
        <x:v>0.9</x:v>
      </x:c>
      <x:c r="P1953" s="14" t="n">
        <x:v>106</x:v>
      </x:c>
    </x:row>
    <x:row r="1954" ht="22" customHeight="1">
      <x:c r="A1954" s="14" t="n">
        <x:v>975</x:v>
      </x:c>
      <x:c r="B1954" s="14" t="n">
        <x:v>25</x:v>
      </x:c>
      <x:c r="C1954" s="14" t="n">
        <x:v>76007</x:v>
      </x:c>
      <x:c r="D1954" s="2" t="str">
        <x:v>RED</x:v>
      </x:c>
      <x:c r="E1954" s="2" t="str">
        <x:v>120만</x:v>
      </x:c>
      <x:c r="F1954" s="2" t="str">
        <x:v>240만</x:v>
      </x:c>
      <x:c r="G1954" s="2" t="str">
        <x:v>승</x:v>
      </x:c>
      <x:c r="H1954" s="14" t="n">
        <x:v>3</x:v>
      </x:c>
      <x:c r="I1954" s="14" t="n">
        <x:v>1</x:v>
      </x:c>
      <x:c r="J1954" s="14" t="n">
        <x:v>8</x:v>
      </x:c>
      <x:c r="K1954" s="14" t="n">
        <x:v>3</x:v>
      </x:c>
      <x:c r="L1954" s="15" t="n">
        <x:f>IF(J1954=0,"해당 없음",K1954/J1954)</x:f>
        <x:v>0.375</x:v>
      </x:c>
      <x:c r="M1954" s="14" t="n">
        <x:v>8</x:v>
      </x:c>
      <x:c r="N1954" s="14" t="n">
        <x:v>8</x:v>
      </x:c>
      <x:c r="O1954" s="15" t="n">
        <x:f>IF(M1954=0,"해당 없음",N1954/M1954)</x:f>
        <x:v>1</x:v>
      </x:c>
      <x:c r="P1954" s="14" t="n">
        <x:v>102</x:v>
      </x:c>
    </x:row>
    <x:row r="1955" ht="22" customHeight="1">
      <x:c r="A1955" s="14" t="n">
        <x:v>975</x:v>
      </x:c>
      <x:c r="B1955" s="14" t="n">
        <x:v>25</x:v>
      </x:c>
      <x:c r="C1955" s="14" t="n">
        <x:v>76007</x:v>
      </x:c>
      <x:c r="D1955" s="2" t="str">
        <x:v>NAVY</x:v>
      </x:c>
      <x:c r="E1955" s="2" t="str">
        <x:v>240만</x:v>
      </x:c>
      <x:c r="F1955" s="2" t="str">
        <x:v>120만</x:v>
      </x:c>
      <x:c r="G1955" s="2" t="str">
        <x:v>패</x:v>
      </x:c>
      <x:c r="H1955" s="14" t="n">
        <x:v>1</x:v>
      </x:c>
      <x:c r="I1955" s="14" t="n">
        <x:v>3</x:v>
      </x:c>
      <x:c r="J1955" s="14" t="n">
        <x:v>4</x:v>
      </x:c>
      <x:c r="K1955" s="14" t="n">
        <x:v>1</x:v>
      </x:c>
      <x:c r="L1955" s="15" t="n">
        <x:f>IF(J1955=0,"해당 없음",K1955/J1955)</x:f>
        <x:v>0.25</x:v>
      </x:c>
      <x:c r="M1955" s="14" t="n">
        <x:v>12</x:v>
      </x:c>
      <x:c r="N1955" s="14" t="n">
        <x:v>8</x:v>
      </x:c>
      <x:c r="O1955" s="15" t="n">
        <x:f>IF(M1955=0,"해당 없음",N1955/M1955)</x:f>
        <x:v>0.6666666666666666</x:v>
      </x:c>
      <x:c r="P1955" s="14" t="n">
        <x:v>102</x:v>
      </x:c>
    </x:row>
    <x:row r="1956" ht="22" customHeight="1">
      <x:c r="A1956" s="14" t="n">
        <x:v>976</x:v>
      </x:c>
      <x:c r="B1956" s="14" t="n">
        <x:v>25</x:v>
      </x:c>
      <x:c r="C1956" s="14" t="n">
        <x:v>76007</x:v>
      </x:c>
      <x:c r="D1956" s="2" t="str">
        <x:v>RED</x:v>
      </x:c>
      <x:c r="E1956" s="2" t="str">
        <x:v>240만</x:v>
      </x:c>
      <x:c r="F1956" s="2" t="str">
        <x:v>120만</x:v>
      </x:c>
      <x:c r="G1956" s="2" t="str">
        <x:v>무</x:v>
      </x:c>
      <x:c r="H1956" s="14" t="n">
        <x:v>2</x:v>
      </x:c>
      <x:c r="I1956" s="14" t="n">
        <x:v>2</x:v>
      </x:c>
      <x:c r="J1956" s="14" t="n">
        <x:v>5</x:v>
      </x:c>
      <x:c r="K1956" s="14" t="n">
        <x:v>2</x:v>
      </x:c>
      <x:c r="L1956" s="15" t="n">
        <x:f>IF(J1956=0,"해당 없음",K1956/J1956)</x:f>
        <x:v>0.4</x:v>
      </x:c>
      <x:c r="M1956" s="14" t="n">
        <x:v>8</x:v>
      </x:c>
      <x:c r="N1956" s="14" t="n">
        <x:v>5</x:v>
      </x:c>
      <x:c r="O1956" s="15" t="n">
        <x:f>IF(M1956=0,"해당 없음",N1956/M1956)</x:f>
        <x:v>0.625</x:v>
      </x:c>
      <x:c r="P1956" s="14" t="n">
        <x:v>101</x:v>
      </x:c>
    </x:row>
    <x:row r="1957" ht="22" customHeight="1">
      <x:c r="A1957" s="14" t="n">
        <x:v>976</x:v>
      </x:c>
      <x:c r="B1957" s="14" t="n">
        <x:v>25</x:v>
      </x:c>
      <x:c r="C1957" s="14" t="n">
        <x:v>76007</x:v>
      </x:c>
      <x:c r="D1957" s="2" t="str">
        <x:v>NAVY</x:v>
      </x:c>
      <x:c r="E1957" s="2" t="str">
        <x:v>120만</x:v>
      </x:c>
      <x:c r="F1957" s="2" t="str">
        <x:v>240만</x:v>
      </x:c>
      <x:c r="G1957" s="2" t="str">
        <x:v>무</x:v>
      </x:c>
      <x:c r="H1957" s="14" t="n">
        <x:v>2</x:v>
      </x:c>
      <x:c r="I1957" s="14" t="n">
        <x:v>2</x:v>
      </x:c>
      <x:c r="J1957" s="14" t="n">
        <x:v>11</x:v>
      </x:c>
      <x:c r="K1957" s="14" t="n">
        <x:v>2</x:v>
      </x:c>
      <x:c r="L1957" s="15" t="n">
        <x:f>IF(J1957=0,"해당 없음",K1957/J1957)</x:f>
        <x:v>0.18181818181818182</x:v>
      </x:c>
      <x:c r="M1957" s="14" t="n">
        <x:v>8</x:v>
      </x:c>
      <x:c r="N1957" s="14" t="n">
        <x:v>8</x:v>
      </x:c>
      <x:c r="O1957" s="15" t="n">
        <x:f>IF(M1957=0,"해당 없음",N1957/M1957)</x:f>
        <x:v>1</x:v>
      </x:c>
      <x:c r="P1957" s="14" t="n">
        <x:v>100</x:v>
      </x:c>
    </x:row>
    <x:row r="1958" ht="22" customHeight="1">
      <x:c r="A1958" s="14" t="n">
        <x:v>977</x:v>
      </x:c>
      <x:c r="B1958" s="14" t="n">
        <x:v>25</x:v>
      </x:c>
      <x:c r="C1958" s="14" t="n">
        <x:v>76008</x:v>
      </x:c>
      <x:c r="D1958" s="2" t="str">
        <x:v>RED</x:v>
      </x:c>
      <x:c r="E1958" s="2" t="str">
        <x:v>120만</x:v>
      </x:c>
      <x:c r="F1958" s="2" t="str">
        <x:v>240만</x:v>
      </x:c>
      <x:c r="G1958" s="2" t="str">
        <x:v>승</x:v>
      </x:c>
      <x:c r="H1958" s="14" t="n">
        <x:v>1</x:v>
      </x:c>
      <x:c r="I1958" s="14" t="n">
        <x:v>0</x:v>
      </x:c>
      <x:c r="J1958" s="14" t="n">
        <x:v>8</x:v>
      </x:c>
      <x:c r="K1958" s="14" t="n">
        <x:v>1</x:v>
      </x:c>
      <x:c r="L1958" s="15" t="n">
        <x:f>IF(J1958=0,"해당 없음",K1958/J1958)</x:f>
        <x:v>0.125</x:v>
      </x:c>
      <x:c r="M1958" s="14" t="n">
        <x:v>7</x:v>
      </x:c>
      <x:c r="N1958" s="14" t="n">
        <x:v>4</x:v>
      </x:c>
      <x:c r="O1958" s="15" t="n">
        <x:f>IF(M1958=0,"해당 없음",N1958/M1958)</x:f>
        <x:v>0.5714285714285714</x:v>
      </x:c>
      <x:c r="P1958" s="14" t="n">
        <x:v>101</x:v>
      </x:c>
    </x:row>
    <x:row r="1959" ht="22" customHeight="1">
      <x:c r="A1959" s="14" t="n">
        <x:v>977</x:v>
      </x:c>
      <x:c r="B1959" s="14" t="n">
        <x:v>25</x:v>
      </x:c>
      <x:c r="C1959" s="14" t="n">
        <x:v>76008</x:v>
      </x:c>
      <x:c r="D1959" s="2" t="str">
        <x:v>NAVY</x:v>
      </x:c>
      <x:c r="E1959" s="2" t="str">
        <x:v>240만</x:v>
      </x:c>
      <x:c r="F1959" s="2" t="str">
        <x:v>120만</x:v>
      </x:c>
      <x:c r="G1959" s="2" t="str">
        <x:v>패</x:v>
      </x:c>
      <x:c r="H1959" s="14" t="n">
        <x:v>0</x:v>
      </x:c>
      <x:c r="I1959" s="14" t="n">
        <x:v>1</x:v>
      </x:c>
      <x:c r="J1959" s="14" t="n">
        <x:v>6</x:v>
      </x:c>
      <x:c r="K1959" s="14" t="n">
        <x:v>0</x:v>
      </x:c>
      <x:c r="L1959" s="15" t="n">
        <x:f>IF(J1959=0,"해당 없음",K1959/J1959)</x:f>
        <x:v>0</x:v>
      </x:c>
      <x:c r="M1959" s="14" t="n">
        <x:v>6</x:v>
      </x:c>
      <x:c r="N1959" s="14" t="n">
        <x:v>3</x:v>
      </x:c>
      <x:c r="O1959" s="15" t="n">
        <x:f>IF(M1959=0,"해당 없음",N1959/M1959)</x:f>
        <x:v>0.5</x:v>
      </x:c>
      <x:c r="P1959" s="14" t="n">
        <x:v>101</x:v>
      </x:c>
    </x:row>
    <x:row r="1960" ht="22" customHeight="1">
      <x:c r="A1960" s="14" t="n">
        <x:v>978</x:v>
      </x:c>
      <x:c r="B1960" s="14" t="n">
        <x:v>25</x:v>
      </x:c>
      <x:c r="C1960" s="14" t="n">
        <x:v>76008</x:v>
      </x:c>
      <x:c r="D1960" s="2" t="str">
        <x:v>RED</x:v>
      </x:c>
      <x:c r="E1960" s="2" t="str">
        <x:v>240만</x:v>
      </x:c>
      <x:c r="F1960" s="2" t="str">
        <x:v>120만</x:v>
      </x:c>
      <x:c r="G1960" s="2" t="str">
        <x:v>승</x:v>
      </x:c>
      <x:c r="H1960" s="14" t="n">
        <x:v>2</x:v>
      </x:c>
      <x:c r="I1960" s="14" t="n">
        <x:v>1</x:v>
      </x:c>
      <x:c r="J1960" s="14" t="n">
        <x:v>7</x:v>
      </x:c>
      <x:c r="K1960" s="14" t="n">
        <x:v>2</x:v>
      </x:c>
      <x:c r="L1960" s="15" t="n">
        <x:f>IF(J1960=0,"해당 없음",K1960/J1960)</x:f>
        <x:v>0.2857142857142857</x:v>
      </x:c>
      <x:c r="M1960" s="14" t="n">
        <x:v>7</x:v>
      </x:c>
      <x:c r="N1960" s="14" t="n">
        <x:v>4</x:v>
      </x:c>
      <x:c r="O1960" s="15" t="n">
        <x:f>IF(M1960=0,"해당 없음",N1960/M1960)</x:f>
        <x:v>0.5714285714285714</x:v>
      </x:c>
      <x:c r="P1960" s="14" t="n">
        <x:v>101</x:v>
      </x:c>
    </x:row>
    <x:row r="1961" ht="22" customHeight="1">
      <x:c r="A1961" s="14" t="n">
        <x:v>978</x:v>
      </x:c>
      <x:c r="B1961" s="14" t="n">
        <x:v>25</x:v>
      </x:c>
      <x:c r="C1961" s="14" t="n">
        <x:v>76008</x:v>
      </x:c>
      <x:c r="D1961" s="2" t="str">
        <x:v>NAVY</x:v>
      </x:c>
      <x:c r="E1961" s="2" t="str">
        <x:v>120만</x:v>
      </x:c>
      <x:c r="F1961" s="2" t="str">
        <x:v>240만</x:v>
      </x:c>
      <x:c r="G1961" s="2" t="str">
        <x:v>패</x:v>
      </x:c>
      <x:c r="H1961" s="14" t="n">
        <x:v>1</x:v>
      </x:c>
      <x:c r="I1961" s="14" t="n">
        <x:v>2</x:v>
      </x:c>
      <x:c r="J1961" s="14" t="n">
        <x:v>8</x:v>
      </x:c>
      <x:c r="K1961" s="14" t="n">
        <x:v>1</x:v>
      </x:c>
      <x:c r="L1961" s="15" t="n">
        <x:f>IF(J1961=0,"해당 없음",K1961/J1961)</x:f>
        <x:v>0.125</x:v>
      </x:c>
      <x:c r="M1961" s="14" t="n">
        <x:v>9</x:v>
      </x:c>
      <x:c r="N1961" s="14" t="n">
        <x:v>6</x:v>
      </x:c>
      <x:c r="O1961" s="15" t="n">
        <x:f>IF(M1961=0,"해당 없음",N1961/M1961)</x:f>
        <x:v>0.6666666666666666</x:v>
      </x:c>
      <x:c r="P1961" s="14" t="n">
        <x:v>104</x:v>
      </x:c>
    </x:row>
    <x:row r="1962" ht="22" customHeight="1">
      <x:c r="A1962" s="14" t="n">
        <x:v>979</x:v>
      </x:c>
      <x:c r="B1962" s="14" t="n">
        <x:v>25</x:v>
      </x:c>
      <x:c r="C1962" s="14" t="n">
        <x:v>76009</x:v>
      </x:c>
      <x:c r="D1962" s="2" t="str">
        <x:v>RED</x:v>
      </x:c>
      <x:c r="E1962" s="2" t="str">
        <x:v>120만</x:v>
      </x:c>
      <x:c r="F1962" s="2" t="str">
        <x:v>240만</x:v>
      </x:c>
      <x:c r="G1962" s="2" t="str">
        <x:v>패</x:v>
      </x:c>
      <x:c r="H1962" s="14" t="n">
        <x:v>1</x:v>
      </x:c>
      <x:c r="I1962" s="14" t="n">
        <x:v>5</x:v>
      </x:c>
      <x:c r="J1962" s="14" t="n">
        <x:v>5</x:v>
      </x:c>
      <x:c r="K1962" s="14" t="n">
        <x:v>1</x:v>
      </x:c>
      <x:c r="L1962" s="15" t="n">
        <x:f>IF(J1962=0,"해당 없음",K1962/J1962)</x:f>
        <x:v>0.2</x:v>
      </x:c>
      <x:c r="M1962" s="14" t="n">
        <x:v>10</x:v>
      </x:c>
      <x:c r="N1962" s="14" t="n">
        <x:v>8</x:v>
      </x:c>
      <x:c r="O1962" s="15" t="n">
        <x:f>IF(M1962=0,"해당 없음",N1962/M1962)</x:f>
        <x:v>0.8</x:v>
      </x:c>
      <x:c r="P1962" s="14" t="n">
        <x:v>104</x:v>
      </x:c>
    </x:row>
    <x:row r="1963" ht="22" customHeight="1">
      <x:c r="A1963" s="14" t="n">
        <x:v>979</x:v>
      </x:c>
      <x:c r="B1963" s="14" t="n">
        <x:v>25</x:v>
      </x:c>
      <x:c r="C1963" s="14" t="n">
        <x:v>76009</x:v>
      </x:c>
      <x:c r="D1963" s="2" t="str">
        <x:v>NAVY</x:v>
      </x:c>
      <x:c r="E1963" s="2" t="str">
        <x:v>240만</x:v>
      </x:c>
      <x:c r="F1963" s="2" t="str">
        <x:v>120만</x:v>
      </x:c>
      <x:c r="G1963" s="2" t="str">
        <x:v>승</x:v>
      </x:c>
      <x:c r="H1963" s="14" t="n">
        <x:v>5</x:v>
      </x:c>
      <x:c r="I1963" s="14" t="n">
        <x:v>1</x:v>
      </x:c>
      <x:c r="J1963" s="14" t="n">
        <x:v>11</x:v>
      </x:c>
      <x:c r="K1963" s="14" t="n">
        <x:v>5</x:v>
      </x:c>
      <x:c r="L1963" s="15" t="n">
        <x:f>IF(J1963=0,"해당 없음",K1963/J1963)</x:f>
        <x:v>0.45454545454545453</x:v>
      </x:c>
      <x:c r="M1963" s="14" t="n">
        <x:v>5</x:v>
      </x:c>
      <x:c r="N1963" s="14" t="n">
        <x:v>4</x:v>
      </x:c>
      <x:c r="O1963" s="15" t="n">
        <x:f>IF(M1963=0,"해당 없음",N1963/M1963)</x:f>
        <x:v>0.8</x:v>
      </x:c>
      <x:c r="P1963" s="14" t="n">
        <x:v>106</x:v>
      </x:c>
    </x:row>
    <x:row r="1964" ht="22" customHeight="1">
      <x:c r="A1964" s="14" t="n">
        <x:v>980</x:v>
      </x:c>
      <x:c r="B1964" s="14" t="n">
        <x:v>25</x:v>
      </x:c>
      <x:c r="C1964" s="14" t="n">
        <x:v>76009</x:v>
      </x:c>
      <x:c r="D1964" s="2" t="str">
        <x:v>RED</x:v>
      </x:c>
      <x:c r="E1964" s="2" t="str">
        <x:v>240만</x:v>
      </x:c>
      <x:c r="F1964" s="2" t="str">
        <x:v>120만</x:v>
      </x:c>
      <x:c r="G1964" s="2" t="str">
        <x:v>승</x:v>
      </x:c>
      <x:c r="H1964" s="14" t="n">
        <x:v>4</x:v>
      </x:c>
      <x:c r="I1964" s="14" t="n">
        <x:v>1</x:v>
      </x:c>
      <x:c r="J1964" s="14" t="n">
        <x:v>8</x:v>
      </x:c>
      <x:c r="K1964" s="14" t="n">
        <x:v>4</x:v>
      </x:c>
      <x:c r="L1964" s="15" t="n">
        <x:f>IF(J1964=0,"해당 없음",K1964/J1964)</x:f>
        <x:v>0.5</x:v>
      </x:c>
      <x:c r="M1964" s="14" t="n">
        <x:v>14</x:v>
      </x:c>
      <x:c r="N1964" s="14" t="n">
        <x:v>10</x:v>
      </x:c>
      <x:c r="O1964" s="15" t="n">
        <x:f>IF(M1964=0,"해당 없음",N1964/M1964)</x:f>
        <x:v>0.7142857142857143</x:v>
      </x:c>
      <x:c r="P1964" s="14" t="n">
        <x:v>102</x:v>
      </x:c>
    </x:row>
    <x:row r="1965" ht="22" customHeight="1">
      <x:c r="A1965" s="14" t="n">
        <x:v>980</x:v>
      </x:c>
      <x:c r="B1965" s="14" t="n">
        <x:v>25</x:v>
      </x:c>
      <x:c r="C1965" s="14" t="n">
        <x:v>76009</x:v>
      </x:c>
      <x:c r="D1965" s="2" t="str">
        <x:v>NAVY</x:v>
      </x:c>
      <x:c r="E1965" s="2" t="str">
        <x:v>120만</x:v>
      </x:c>
      <x:c r="F1965" s="2" t="str">
        <x:v>240만</x:v>
      </x:c>
      <x:c r="G1965" s="2" t="str">
        <x:v>패</x:v>
      </x:c>
      <x:c r="H1965" s="14" t="n">
        <x:v>1</x:v>
      </x:c>
      <x:c r="I1965" s="14" t="n">
        <x:v>4</x:v>
      </x:c>
      <x:c r="J1965" s="14" t="n">
        <x:v>12</x:v>
      </x:c>
      <x:c r="K1965" s="14" t="n">
        <x:v>1</x:v>
      </x:c>
      <x:c r="L1965" s="15" t="n">
        <x:f>IF(J1965=0,"해당 없음",K1965/J1965)</x:f>
        <x:v>0.08333333333333333</x:v>
      </x:c>
      <x:c r="M1965" s="14" t="n">
        <x:v>11</x:v>
      </x:c>
      <x:c r="N1965" s="14" t="n">
        <x:v>11</x:v>
      </x:c>
      <x:c r="O1965" s="15" t="n">
        <x:f>IF(M1965=0,"해당 없음",N1965/M1965)</x:f>
        <x:v>1</x:v>
      </x:c>
      <x:c r="P1965" s="14" t="n">
        <x:v>102</x:v>
      </x:c>
    </x:row>
    <x:row r="1966" ht="22" customHeight="1">
      <x:c r="A1966" s="14" t="n">
        <x:v>981</x:v>
      </x:c>
      <x:c r="B1966" s="14" t="n">
        <x:v>25</x:v>
      </x:c>
      <x:c r="C1966" s="14" t="n">
        <x:v>76010</x:v>
      </x:c>
      <x:c r="D1966" s="2" t="str">
        <x:v>RED</x:v>
      </x:c>
      <x:c r="E1966" s="2" t="str">
        <x:v>120만</x:v>
      </x:c>
      <x:c r="F1966" s="2" t="str">
        <x:v>240만</x:v>
      </x:c>
      <x:c r="G1966" s="2" t="str">
        <x:v>승</x:v>
      </x:c>
      <x:c r="H1966" s="14" t="n">
        <x:v>3</x:v>
      </x:c>
      <x:c r="I1966" s="14" t="n">
        <x:v>1</x:v>
      </x:c>
      <x:c r="J1966" s="14" t="n">
        <x:v>10</x:v>
      </x:c>
      <x:c r="K1966" s="14" t="n">
        <x:v>3</x:v>
      </x:c>
      <x:c r="L1966" s="15" t="n">
        <x:f>IF(J1966=0,"해당 없음",K1966/J1966)</x:f>
        <x:v>0.3</x:v>
      </x:c>
      <x:c r="M1966" s="14" t="n">
        <x:v>9</x:v>
      </x:c>
      <x:c r="N1966" s="14" t="n">
        <x:v>6</x:v>
      </x:c>
      <x:c r="O1966" s="15" t="n">
        <x:f>IF(M1966=0,"해당 없음",N1966/M1966)</x:f>
        <x:v>0.6666666666666666</x:v>
      </x:c>
      <x:c r="P1966" s="14" t="n">
        <x:v>102</x:v>
      </x:c>
    </x:row>
    <x:row r="1967" ht="22" customHeight="1">
      <x:c r="A1967" s="14" t="n">
        <x:v>981</x:v>
      </x:c>
      <x:c r="B1967" s="14" t="n">
        <x:v>25</x:v>
      </x:c>
      <x:c r="C1967" s="14" t="n">
        <x:v>76010</x:v>
      </x:c>
      <x:c r="D1967" s="2" t="str">
        <x:v>NAVY</x:v>
      </x:c>
      <x:c r="E1967" s="2" t="str">
        <x:v>240만</x:v>
      </x:c>
      <x:c r="F1967" s="2" t="str">
        <x:v>120만</x:v>
      </x:c>
      <x:c r="G1967" s="2" t="str">
        <x:v>패</x:v>
      </x:c>
      <x:c r="H1967" s="14" t="n">
        <x:v>1</x:v>
      </x:c>
      <x:c r="I1967" s="14" t="n">
        <x:v>3</x:v>
      </x:c>
      <x:c r="J1967" s="14" t="n">
        <x:v>5</x:v>
      </x:c>
      <x:c r="K1967" s="14" t="n">
        <x:v>1</x:v>
      </x:c>
      <x:c r="L1967" s="15" t="n">
        <x:f>IF(J1967=0,"해당 없음",K1967/J1967)</x:f>
        <x:v>0.2</x:v>
      </x:c>
      <x:c r="M1967" s="14" t="n">
        <x:v>9</x:v>
      </x:c>
      <x:c r="N1967" s="14" t="n">
        <x:v>7</x:v>
      </x:c>
      <x:c r="O1967" s="15" t="n">
        <x:f>IF(M1967=0,"해당 없음",N1967/M1967)</x:f>
        <x:v>0.7777777777777778</x:v>
      </x:c>
      <x:c r="P1967" s="14" t="n">
        <x:v>102</x:v>
      </x:c>
    </x:row>
    <x:row r="1968" ht="22" customHeight="1">
      <x:c r="A1968" s="14" t="n">
        <x:v>982</x:v>
      </x:c>
      <x:c r="B1968" s="14" t="n">
        <x:v>25</x:v>
      </x:c>
      <x:c r="C1968" s="14" t="n">
        <x:v>76010</x:v>
      </x:c>
      <x:c r="D1968" s="2" t="str">
        <x:v>RED</x:v>
      </x:c>
      <x:c r="E1968" s="2" t="str">
        <x:v>240만</x:v>
      </x:c>
      <x:c r="F1968" s="2" t="str">
        <x:v>120만</x:v>
      </x:c>
      <x:c r="G1968" s="2" t="str">
        <x:v>무</x:v>
      </x:c>
      <x:c r="H1968" s="14" t="n">
        <x:v>2</x:v>
      </x:c>
      <x:c r="I1968" s="14" t="n">
        <x:v>2</x:v>
      </x:c>
      <x:c r="J1968" s="14" t="n">
        <x:v>12</x:v>
      </x:c>
      <x:c r="K1968" s="14" t="n">
        <x:v>1</x:v>
      </x:c>
      <x:c r="L1968" s="15" t="n">
        <x:f>IF(J1968=0,"해당 없음",K1968/J1968)</x:f>
        <x:v>0.08333333333333333</x:v>
      </x:c>
      <x:c r="M1968" s="14" t="n">
        <x:v>8</x:v>
      </x:c>
      <x:c r="N1968" s="14" t="n">
        <x:v>6</x:v>
      </x:c>
      <x:c r="O1968" s="15" t="n">
        <x:f>IF(M1968=0,"해당 없음",N1968/M1968)</x:f>
        <x:v>0.75</x:v>
      </x:c>
      <x:c r="P1968" s="14" t="n">
        <x:v>101</x:v>
      </x:c>
    </x:row>
    <x:row r="1969" ht="22" customHeight="1">
      <x:c r="A1969" s="14" t="n">
        <x:v>982</x:v>
      </x:c>
      <x:c r="B1969" s="14" t="n">
        <x:v>25</x:v>
      </x:c>
      <x:c r="C1969" s="14" t="n">
        <x:v>76010</x:v>
      </x:c>
      <x:c r="D1969" s="2" t="str">
        <x:v>NAVY</x:v>
      </x:c>
      <x:c r="E1969" s="2" t="str">
        <x:v>120만</x:v>
      </x:c>
      <x:c r="F1969" s="2" t="str">
        <x:v>240만</x:v>
      </x:c>
      <x:c r="G1969" s="2" t="str">
        <x:v>무</x:v>
      </x:c>
      <x:c r="H1969" s="14" t="n">
        <x:v>2</x:v>
      </x:c>
      <x:c r="I1969" s="14" t="n">
        <x:v>2</x:v>
      </x:c>
      <x:c r="J1969" s="14" t="n">
        <x:v>8</x:v>
      </x:c>
      <x:c r="K1969" s="14" t="n">
        <x:v>2</x:v>
      </x:c>
      <x:c r="L1969" s="15" t="n">
        <x:f>IF(J1969=0,"해당 없음",K1969/J1969)</x:f>
        <x:v>0.25</x:v>
      </x:c>
      <x:c r="M1969" s="14" t="n">
        <x:v>9</x:v>
      </x:c>
      <x:c r="N1969" s="14" t="n">
        <x:v>7</x:v>
      </x:c>
      <x:c r="O1969" s="15" t="n">
        <x:f>IF(M1969=0,"해당 없음",N1969/M1969)</x:f>
        <x:v>0.7777777777777778</x:v>
      </x:c>
      <x:c r="P1969" s="14" t="n">
        <x:v>102</x:v>
      </x:c>
    </x:row>
    <x:row r="1970" ht="22" customHeight="1">
      <x:c r="A1970" s="14" t="n">
        <x:v>983</x:v>
      </x:c>
      <x:c r="B1970" s="14" t="n">
        <x:v>25</x:v>
      </x:c>
      <x:c r="C1970" s="14" t="n">
        <x:v>76011</x:v>
      </x:c>
      <x:c r="D1970" s="2" t="str">
        <x:v>RED</x:v>
      </x:c>
      <x:c r="E1970" s="2" t="str">
        <x:v>120만</x:v>
      </x:c>
      <x:c r="F1970" s="2" t="str">
        <x:v>240만</x:v>
      </x:c>
      <x:c r="G1970" s="2" t="str">
        <x:v>승</x:v>
      </x:c>
      <x:c r="H1970" s="14" t="n">
        <x:v>6</x:v>
      </x:c>
      <x:c r="I1970" s="14" t="n">
        <x:v>2</x:v>
      </x:c>
      <x:c r="J1970" s="14" t="n">
        <x:v>9</x:v>
      </x:c>
      <x:c r="K1970" s="14" t="n">
        <x:v>6</x:v>
      </x:c>
      <x:c r="L1970" s="15" t="n">
        <x:f>IF(J1970=0,"해당 없음",K1970/J1970)</x:f>
        <x:v>0.6666666666666666</x:v>
      </x:c>
      <x:c r="M1970" s="14" t="n">
        <x:v>15</x:v>
      </x:c>
      <x:c r="N1970" s="14" t="n">
        <x:v>10</x:v>
      </x:c>
      <x:c r="O1970" s="15" t="n">
        <x:f>IF(M1970=0,"해당 없음",N1970/M1970)</x:f>
        <x:v>0.6666666666666666</x:v>
      </x:c>
      <x:c r="P1970" s="14" t="n">
        <x:v>104</x:v>
      </x:c>
    </x:row>
    <x:row r="1971" ht="22" customHeight="1">
      <x:c r="A1971" s="14" t="n">
        <x:v>983</x:v>
      </x:c>
      <x:c r="B1971" s="14" t="n">
        <x:v>25</x:v>
      </x:c>
      <x:c r="C1971" s="14" t="n">
        <x:v>76011</x:v>
      </x:c>
      <x:c r="D1971" s="2" t="str">
        <x:v>NAVY</x:v>
      </x:c>
      <x:c r="E1971" s="2" t="str">
        <x:v>240만</x:v>
      </x:c>
      <x:c r="F1971" s="2" t="str">
        <x:v>120만</x:v>
      </x:c>
      <x:c r="G1971" s="2" t="str">
        <x:v>패</x:v>
      </x:c>
      <x:c r="H1971" s="14" t="n">
        <x:v>2</x:v>
      </x:c>
      <x:c r="I1971" s="14" t="n">
        <x:v>6</x:v>
      </x:c>
      <x:c r="J1971" s="14" t="n">
        <x:v>6</x:v>
      </x:c>
      <x:c r="K1971" s="14" t="n">
        <x:v>2</x:v>
      </x:c>
      <x:c r="L1971" s="15" t="n">
        <x:f>IF(J1971=0,"해당 없음",K1971/J1971)</x:f>
        <x:v>0.3333333333333333</x:v>
      </x:c>
      <x:c r="M1971" s="14" t="n">
        <x:v>5</x:v>
      </x:c>
      <x:c r="N1971" s="14" t="n">
        <x:v>4</x:v>
      </x:c>
      <x:c r="O1971" s="15" t="n">
        <x:f>IF(M1971=0,"해당 없음",N1971/M1971)</x:f>
        <x:v>0.8</x:v>
      </x:c>
      <x:c r="P1971" s="14" t="n">
        <x:v>105</x:v>
      </x:c>
    </x:row>
    <x:row r="1972" ht="22" customHeight="1">
      <x:c r="A1972" s="14" t="n">
        <x:v>984</x:v>
      </x:c>
      <x:c r="B1972" s="14" t="n">
        <x:v>25</x:v>
      </x:c>
      <x:c r="C1972" s="14" t="n">
        <x:v>76011</x:v>
      </x:c>
      <x:c r="D1972" s="2" t="str">
        <x:v>RED</x:v>
      </x:c>
      <x:c r="E1972" s="2" t="str">
        <x:v>240만</x:v>
      </x:c>
      <x:c r="F1972" s="2" t="str">
        <x:v>120만</x:v>
      </x:c>
      <x:c r="G1972" s="2" t="str">
        <x:v>승</x:v>
      </x:c>
      <x:c r="H1972" s="14" t="n">
        <x:v>4</x:v>
      </x:c>
      <x:c r="I1972" s="14" t="n">
        <x:v>3</x:v>
      </x:c>
      <x:c r="J1972" s="14" t="n">
        <x:v>7</x:v>
      </x:c>
      <x:c r="K1972" s="14" t="n">
        <x:v>4</x:v>
      </x:c>
      <x:c r="L1972" s="15" t="n">
        <x:f>IF(J1972=0,"해당 없음",K1972/J1972)</x:f>
        <x:v>0.5714285714285714</x:v>
      </x:c>
      <x:c r="M1972" s="14" t="n">
        <x:v>6</x:v>
      </x:c>
      <x:c r="N1972" s="14" t="n">
        <x:v>3</x:v>
      </x:c>
      <x:c r="O1972" s="15" t="n">
        <x:f>IF(M1972=0,"해당 없음",N1972/M1972)</x:f>
        <x:v>0.5</x:v>
      </x:c>
      <x:c r="P1972" s="14" t="n">
        <x:v>106</x:v>
      </x:c>
    </x:row>
    <x:row r="1973" ht="22" customHeight="1">
      <x:c r="A1973" s="14" t="n">
        <x:v>984</x:v>
      </x:c>
      <x:c r="B1973" s="14" t="n">
        <x:v>25</x:v>
      </x:c>
      <x:c r="C1973" s="14" t="n">
        <x:v>76011</x:v>
      </x:c>
      <x:c r="D1973" s="2" t="str">
        <x:v>NAVY</x:v>
      </x:c>
      <x:c r="E1973" s="2" t="str">
        <x:v>120만</x:v>
      </x:c>
      <x:c r="F1973" s="2" t="str">
        <x:v>240만</x:v>
      </x:c>
      <x:c r="G1973" s="2" t="str">
        <x:v>패</x:v>
      </x:c>
      <x:c r="H1973" s="14" t="n">
        <x:v>3</x:v>
      </x:c>
      <x:c r="I1973" s="14" t="n">
        <x:v>4</x:v>
      </x:c>
      <x:c r="J1973" s="14" t="n">
        <x:v>10</x:v>
      </x:c>
      <x:c r="K1973" s="14" t="n">
        <x:v>3</x:v>
      </x:c>
      <x:c r="L1973" s="15" t="n">
        <x:f>IF(J1973=0,"해당 없음",K1973/J1973)</x:f>
        <x:v>0.3</x:v>
      </x:c>
      <x:c r="M1973" s="14" t="n">
        <x:v>9</x:v>
      </x:c>
      <x:c r="N1973" s="14" t="n">
        <x:v>8</x:v>
      </x:c>
      <x:c r="O1973" s="15" t="n">
        <x:f>IF(M1973=0,"해당 없음",N1973/M1973)</x:f>
        <x:v>0.8888888888888888</x:v>
      </x:c>
      <x:c r="P1973" s="14" t="n">
        <x:v>104</x:v>
      </x:c>
    </x:row>
    <x:row r="1974" ht="22" customHeight="1">
      <x:c r="A1974" s="14" t="n">
        <x:v>985</x:v>
      </x:c>
      <x:c r="B1974" s="14" t="n">
        <x:v>25</x:v>
      </x:c>
      <x:c r="C1974" s="14" t="n">
        <x:v>76012</x:v>
      </x:c>
      <x:c r="D1974" s="2" t="str">
        <x:v>RED</x:v>
      </x:c>
      <x:c r="E1974" s="2" t="str">
        <x:v>120만</x:v>
      </x:c>
      <x:c r="F1974" s="2" t="str">
        <x:v>240만</x:v>
      </x:c>
      <x:c r="G1974" s="2" t="str">
        <x:v>무</x:v>
      </x:c>
      <x:c r="H1974" s="14" t="n">
        <x:v>2</x:v>
      </x:c>
      <x:c r="I1974" s="14" t="n">
        <x:v>2</x:v>
      </x:c>
      <x:c r="J1974" s="14" t="n">
        <x:v>8</x:v>
      </x:c>
      <x:c r="K1974" s="14" t="n">
        <x:v>2</x:v>
      </x:c>
      <x:c r="L1974" s="15" t="n">
        <x:f>IF(J1974=0,"해당 없음",K1974/J1974)</x:f>
        <x:v>0.25</x:v>
      </x:c>
      <x:c r="M1974" s="14" t="n">
        <x:v>9</x:v>
      </x:c>
      <x:c r="N1974" s="14" t="n">
        <x:v>5</x:v>
      </x:c>
      <x:c r="O1974" s="15" t="n">
        <x:f>IF(M1974=0,"해당 없음",N1974/M1974)</x:f>
        <x:v>0.5555555555555556</x:v>
      </x:c>
      <x:c r="P1974" s="14" t="n">
        <x:v>102</x:v>
      </x:c>
    </x:row>
    <x:row r="1975" ht="22" customHeight="1">
      <x:c r="A1975" s="14" t="n">
        <x:v>985</x:v>
      </x:c>
      <x:c r="B1975" s="14" t="n">
        <x:v>25</x:v>
      </x:c>
      <x:c r="C1975" s="14" t="n">
        <x:v>76012</x:v>
      </x:c>
      <x:c r="D1975" s="2" t="str">
        <x:v>NAVY</x:v>
      </x:c>
      <x:c r="E1975" s="2" t="str">
        <x:v>240만</x:v>
      </x:c>
      <x:c r="F1975" s="2" t="str">
        <x:v>120만</x:v>
      </x:c>
      <x:c r="G1975" s="2" t="str">
        <x:v>무</x:v>
      </x:c>
      <x:c r="H1975" s="14" t="n">
        <x:v>2</x:v>
      </x:c>
      <x:c r="I1975" s="14" t="n">
        <x:v>2</x:v>
      </x:c>
      <x:c r="J1975" s="14" t="n">
        <x:v>9</x:v>
      </x:c>
      <x:c r="K1975" s="14" t="n">
        <x:v>2</x:v>
      </x:c>
      <x:c r="L1975" s="15" t="n">
        <x:f>IF(J1975=0,"해당 없음",K1975/J1975)</x:f>
        <x:v>0.2222222222222222</x:v>
      </x:c>
      <x:c r="M1975" s="14" t="n">
        <x:v>6</x:v>
      </x:c>
      <x:c r="N1975" s="14" t="n">
        <x:v>4</x:v>
      </x:c>
      <x:c r="O1975" s="15" t="n">
        <x:f>IF(M1975=0,"해당 없음",N1975/M1975)</x:f>
        <x:v>0.6666666666666666</x:v>
      </x:c>
      <x:c r="P1975" s="14" t="n">
        <x:v>102</x:v>
      </x:c>
    </x:row>
    <x:row r="1976" ht="22" customHeight="1">
      <x:c r="A1976" s="14" t="n">
        <x:v>986</x:v>
      </x:c>
      <x:c r="B1976" s="14" t="n">
        <x:v>25</x:v>
      </x:c>
      <x:c r="C1976" s="14" t="n">
        <x:v>76012</x:v>
      </x:c>
      <x:c r="D1976" s="2" t="str">
        <x:v>RED</x:v>
      </x:c>
      <x:c r="E1976" s="2" t="str">
        <x:v>240만</x:v>
      </x:c>
      <x:c r="F1976" s="2" t="str">
        <x:v>120만</x:v>
      </x:c>
      <x:c r="G1976" s="2" t="str">
        <x:v>패</x:v>
      </x:c>
      <x:c r="H1976" s="14" t="n">
        <x:v>1</x:v>
      </x:c>
      <x:c r="I1976" s="14" t="n">
        <x:v>3</x:v>
      </x:c>
      <x:c r="J1976" s="14" t="n">
        <x:v>6</x:v>
      </x:c>
      <x:c r="K1976" s="14" t="n">
        <x:v>1</x:v>
      </x:c>
      <x:c r="L1976" s="15" t="n">
        <x:f>IF(J1976=0,"해당 없음",K1976/J1976)</x:f>
        <x:v>0.16666666666666666</x:v>
      </x:c>
      <x:c r="M1976" s="14" t="n">
        <x:v>10</x:v>
      </x:c>
      <x:c r="N1976" s="14" t="n">
        <x:v>7</x:v>
      </x:c>
      <x:c r="O1976" s="15" t="n">
        <x:f>IF(M1976=0,"해당 없음",N1976/M1976)</x:f>
        <x:v>0.7</x:v>
      </x:c>
      <x:c r="P1976" s="14" t="n">
        <x:v>102</x:v>
      </x:c>
    </x:row>
    <x:row r="1977" ht="22" customHeight="1">
      <x:c r="A1977" s="14" t="n">
        <x:v>986</x:v>
      </x:c>
      <x:c r="B1977" s="14" t="n">
        <x:v>25</x:v>
      </x:c>
      <x:c r="C1977" s="14" t="n">
        <x:v>76012</x:v>
      </x:c>
      <x:c r="D1977" s="2" t="str">
        <x:v>NAVY</x:v>
      </x:c>
      <x:c r="E1977" s="2" t="str">
        <x:v>120만</x:v>
      </x:c>
      <x:c r="F1977" s="2" t="str">
        <x:v>240만</x:v>
      </x:c>
      <x:c r="G1977" s="2" t="str">
        <x:v>승</x:v>
      </x:c>
      <x:c r="H1977" s="14" t="n">
        <x:v>3</x:v>
      </x:c>
      <x:c r="I1977" s="14" t="n">
        <x:v>1</x:v>
      </x:c>
      <x:c r="J1977" s="14" t="n">
        <x:v>9</x:v>
      </x:c>
      <x:c r="K1977" s="14" t="n">
        <x:v>3</x:v>
      </x:c>
      <x:c r="L1977" s="15" t="n">
        <x:f>IF(J1977=0,"해당 없음",K1977/J1977)</x:f>
        <x:v>0.3333333333333333</x:v>
      </x:c>
      <x:c r="M1977" s="14" t="n">
        <x:v>9</x:v>
      </x:c>
      <x:c r="N1977" s="14" t="n">
        <x:v>7</x:v>
      </x:c>
      <x:c r="O1977" s="15" t="n">
        <x:f>IF(M1977=0,"해당 없음",N1977/M1977)</x:f>
        <x:v>0.7777777777777778</x:v>
      </x:c>
      <x:c r="P1977" s="14" t="n">
        <x:v>103</x:v>
      </x:c>
    </x:row>
    <x:row r="1978" ht="22" customHeight="1">
      <x:c r="A1978" s="14" t="n">
        <x:v>987</x:v>
      </x:c>
      <x:c r="B1978" s="14" t="n">
        <x:v>25</x:v>
      </x:c>
      <x:c r="C1978" s="14" t="n">
        <x:v>76013</x:v>
      </x:c>
      <x:c r="D1978" s="2" t="str">
        <x:v>RED</x:v>
      </x:c>
      <x:c r="E1978" s="2" t="str">
        <x:v>120만</x:v>
      </x:c>
      <x:c r="F1978" s="2" t="str">
        <x:v>240만</x:v>
      </x:c>
      <x:c r="G1978" s="2" t="str">
        <x:v>패</x:v>
      </x:c>
      <x:c r="H1978" s="14" t="n">
        <x:v>2</x:v>
      </x:c>
      <x:c r="I1978" s="14" t="n">
        <x:v>3</x:v>
      </x:c>
      <x:c r="J1978" s="14" t="n">
        <x:v>12</x:v>
      </x:c>
      <x:c r="K1978" s="14" t="n">
        <x:v>2</x:v>
      </x:c>
      <x:c r="L1978" s="15" t="n">
        <x:f>IF(J1978=0,"해당 없음",K1978/J1978)</x:f>
        <x:v>0.16666666666666666</x:v>
      </x:c>
      <x:c r="M1978" s="14" t="n">
        <x:v>3</x:v>
      </x:c>
      <x:c r="N1978" s="14" t="n">
        <x:v>3</x:v>
      </x:c>
      <x:c r="O1978" s="15" t="n">
        <x:f>IF(M1978=0,"해당 없음",N1978/M1978)</x:f>
        <x:v>1</x:v>
      </x:c>
      <x:c r="P1978" s="14" t="n">
        <x:v>105</x:v>
      </x:c>
    </x:row>
    <x:row r="1979" ht="22" customHeight="1">
      <x:c r="A1979" s="14" t="n">
        <x:v>987</x:v>
      </x:c>
      <x:c r="B1979" s="14" t="n">
        <x:v>25</x:v>
      </x:c>
      <x:c r="C1979" s="14" t="n">
        <x:v>76013</x:v>
      </x:c>
      <x:c r="D1979" s="2" t="str">
        <x:v>NAVY</x:v>
      </x:c>
      <x:c r="E1979" s="2" t="str">
        <x:v>240만</x:v>
      </x:c>
      <x:c r="F1979" s="2" t="str">
        <x:v>120만</x:v>
      </x:c>
      <x:c r="G1979" s="2" t="str">
        <x:v>승</x:v>
      </x:c>
      <x:c r="H1979" s="14" t="n">
        <x:v>3</x:v>
      </x:c>
      <x:c r="I1979" s="14" t="n">
        <x:v>2</x:v>
      </x:c>
      <x:c r="J1979" s="14" t="n">
        <x:v>5</x:v>
      </x:c>
      <x:c r="K1979" s="14" t="n">
        <x:v>3</x:v>
      </x:c>
      <x:c r="L1979" s="15" t="n">
        <x:f>IF(J1979=0,"해당 없음",K1979/J1979)</x:f>
        <x:v>0.6</x:v>
      </x:c>
      <x:c r="M1979" s="14" t="n">
        <x:v>16</x:v>
      </x:c>
      <x:c r="N1979" s="14" t="n">
        <x:v>9</x:v>
      </x:c>
      <x:c r="O1979" s="15" t="n">
        <x:f>IF(M1979=0,"해당 없음",N1979/M1979)</x:f>
        <x:v>0.5625</x:v>
      </x:c>
      <x:c r="P1979" s="14" t="n">
        <x:v>101</x:v>
      </x:c>
    </x:row>
    <x:row r="1980" ht="22" customHeight="1">
      <x:c r="A1980" s="14" t="n">
        <x:v>988</x:v>
      </x:c>
      <x:c r="B1980" s="14" t="n">
        <x:v>25</x:v>
      </x:c>
      <x:c r="C1980" s="14" t="n">
        <x:v>76013</x:v>
      </x:c>
      <x:c r="D1980" s="2" t="str">
        <x:v>RED</x:v>
      </x:c>
      <x:c r="E1980" s="2" t="str">
        <x:v>240만</x:v>
      </x:c>
      <x:c r="F1980" s="2" t="str">
        <x:v>120만</x:v>
      </x:c>
      <x:c r="G1980" s="2" t="str">
        <x:v>승</x:v>
      </x:c>
      <x:c r="H1980" s="14" t="n">
        <x:v>2</x:v>
      </x:c>
      <x:c r="I1980" s="14" t="n">
        <x:v>1</x:v>
      </x:c>
      <x:c r="J1980" s="14" t="n">
        <x:v>11</x:v>
      </x:c>
      <x:c r="K1980" s="14" t="n">
        <x:v>2</x:v>
      </x:c>
      <x:c r="L1980" s="15" t="n">
        <x:f>IF(J1980=0,"해당 없음",K1980/J1980)</x:f>
        <x:v>0.18181818181818182</x:v>
      </x:c>
      <x:c r="M1980" s="14" t="n">
        <x:v>8</x:v>
      </x:c>
      <x:c r="N1980" s="14" t="n">
        <x:v>4</x:v>
      </x:c>
      <x:c r="O1980" s="15" t="n">
        <x:f>IF(M1980=0,"해당 없음",N1980/M1980)</x:f>
        <x:v>0.5</x:v>
      </x:c>
      <x:c r="P1980" s="14" t="n">
        <x:v>100</x:v>
      </x:c>
    </x:row>
    <x:row r="1981" ht="22" customHeight="1">
      <x:c r="A1981" s="14" t="n">
        <x:v>988</x:v>
      </x:c>
      <x:c r="B1981" s="14" t="n">
        <x:v>25</x:v>
      </x:c>
      <x:c r="C1981" s="14" t="n">
        <x:v>76013</x:v>
      </x:c>
      <x:c r="D1981" s="2" t="str">
        <x:v>NAVY</x:v>
      </x:c>
      <x:c r="E1981" s="2" t="str">
        <x:v>120만</x:v>
      </x:c>
      <x:c r="F1981" s="2" t="str">
        <x:v>240만</x:v>
      </x:c>
      <x:c r="G1981" s="2" t="str">
        <x:v>패</x:v>
      </x:c>
      <x:c r="H1981" s="14" t="n">
        <x:v>1</x:v>
      </x:c>
      <x:c r="I1981" s="14" t="n">
        <x:v>2</x:v>
      </x:c>
      <x:c r="J1981" s="14" t="n">
        <x:v>9</x:v>
      </x:c>
      <x:c r="K1981" s="14" t="n">
        <x:v>1</x:v>
      </x:c>
      <x:c r="L1981" s="15" t="n">
        <x:f>IF(J1981=0,"해당 없음",K1981/J1981)</x:f>
        <x:v>0.1111111111111111</x:v>
      </x:c>
      <x:c r="M1981" s="14" t="n">
        <x:v>11</x:v>
      </x:c>
      <x:c r="N1981" s="14" t="n">
        <x:v>7</x:v>
      </x:c>
      <x:c r="O1981" s="15" t="n">
        <x:f>IF(M1981=0,"해당 없음",N1981/M1981)</x:f>
        <x:v>0.6363636363636364</x:v>
      </x:c>
      <x:c r="P1981" s="14" t="n">
        <x:v>103</x:v>
      </x:c>
    </x:row>
    <x:row r="1982" ht="22" customHeight="1">
      <x:c r="A1982" s="14" t="n">
        <x:v>989</x:v>
      </x:c>
      <x:c r="B1982" s="14" t="n">
        <x:v>25</x:v>
      </x:c>
      <x:c r="C1982" s="14" t="n">
        <x:v>76014</x:v>
      </x:c>
      <x:c r="D1982" s="2" t="str">
        <x:v>RED</x:v>
      </x:c>
      <x:c r="E1982" s="2" t="str">
        <x:v>120만</x:v>
      </x:c>
      <x:c r="F1982" s="2" t="str">
        <x:v>240만</x:v>
      </x:c>
      <x:c r="G1982" s="2" t="str">
        <x:v>승</x:v>
      </x:c>
      <x:c r="H1982" s="14" t="n">
        <x:v>4</x:v>
      </x:c>
      <x:c r="I1982" s="14" t="n">
        <x:v>2</x:v>
      </x:c>
      <x:c r="J1982" s="14" t="n">
        <x:v>9</x:v>
      </x:c>
      <x:c r="K1982" s="14" t="n">
        <x:v>3</x:v>
      </x:c>
      <x:c r="L1982" s="15" t="n">
        <x:f>IF(J1982=0,"해당 없음",K1982/J1982)</x:f>
        <x:v>0.3333333333333333</x:v>
      </x:c>
      <x:c r="M1982" s="14" t="n">
        <x:v>6</x:v>
      </x:c>
      <x:c r="N1982" s="14" t="n">
        <x:v>5</x:v>
      </x:c>
      <x:c r="O1982" s="15" t="n">
        <x:f>IF(M1982=0,"해당 없음",N1982/M1982)</x:f>
        <x:v>0.8333333333333334</x:v>
      </x:c>
      <x:c r="P1982" s="14" t="n">
        <x:v>105</x:v>
      </x:c>
    </x:row>
    <x:row r="1983" ht="22" customHeight="1">
      <x:c r="A1983" s="14" t="n">
        <x:v>989</x:v>
      </x:c>
      <x:c r="B1983" s="14" t="n">
        <x:v>25</x:v>
      </x:c>
      <x:c r="C1983" s="14" t="n">
        <x:v>76014</x:v>
      </x:c>
      <x:c r="D1983" s="2" t="str">
        <x:v>NAVY</x:v>
      </x:c>
      <x:c r="E1983" s="2" t="str">
        <x:v>240만</x:v>
      </x:c>
      <x:c r="F1983" s="2" t="str">
        <x:v>120만</x:v>
      </x:c>
      <x:c r="G1983" s="2" t="str">
        <x:v>패</x:v>
      </x:c>
      <x:c r="H1983" s="14" t="n">
        <x:v>2</x:v>
      </x:c>
      <x:c r="I1983" s="14" t="n">
        <x:v>4</x:v>
      </x:c>
      <x:c r="J1983" s="14" t="n">
        <x:v>5</x:v>
      </x:c>
      <x:c r="K1983" s="14" t="n">
        <x:v>2</x:v>
      </x:c>
      <x:c r="L1983" s="15" t="n">
        <x:f>IF(J1983=0,"해당 없음",K1983/J1983)</x:f>
        <x:v>0.4</x:v>
      </x:c>
      <x:c r="M1983" s="14" t="n">
        <x:v>7</x:v>
      </x:c>
      <x:c r="N1983" s="14" t="n">
        <x:v>5</x:v>
      </x:c>
      <x:c r="O1983" s="15" t="n">
        <x:f>IF(M1983=0,"해당 없음",N1983/M1983)</x:f>
        <x:v>0.7142857142857143</x:v>
      </x:c>
      <x:c r="P1983" s="14" t="n">
        <x:v>104</x:v>
      </x:c>
    </x:row>
    <x:row r="1984" ht="22" customHeight="1">
      <x:c r="A1984" s="14" t="n">
        <x:v>990</x:v>
      </x:c>
      <x:c r="B1984" s="14" t="n">
        <x:v>25</x:v>
      </x:c>
      <x:c r="C1984" s="14" t="n">
        <x:v>76014</x:v>
      </x:c>
      <x:c r="D1984" s="2" t="str">
        <x:v>RED</x:v>
      </x:c>
      <x:c r="E1984" s="2" t="str">
        <x:v>240만</x:v>
      </x:c>
      <x:c r="F1984" s="2" t="str">
        <x:v>120만</x:v>
      </x:c>
      <x:c r="G1984" s="2" t="str">
        <x:v>승</x:v>
      </x:c>
      <x:c r="H1984" s="14" t="n">
        <x:v>4</x:v>
      </x:c>
      <x:c r="I1984" s="14" t="n">
        <x:v>2</x:v>
      </x:c>
      <x:c r="J1984" s="14" t="n">
        <x:v>8</x:v>
      </x:c>
      <x:c r="K1984" s="14" t="n">
        <x:v>4</x:v>
      </x:c>
      <x:c r="L1984" s="15" t="n">
        <x:f>IF(J1984=0,"해당 없음",K1984/J1984)</x:f>
        <x:v>0.5</x:v>
      </x:c>
      <x:c r="M1984" s="14" t="n">
        <x:v>8</x:v>
      </x:c>
      <x:c r="N1984" s="14" t="n">
        <x:v>5</x:v>
      </x:c>
      <x:c r="O1984" s="15" t="n">
        <x:f>IF(M1984=0,"해당 없음",N1984/M1984)</x:f>
        <x:v>0.625</x:v>
      </x:c>
      <x:c r="P1984" s="14" t="n">
        <x:v>103</x:v>
      </x:c>
    </x:row>
    <x:row r="1985" ht="22" customHeight="1">
      <x:c r="A1985" s="14" t="n">
        <x:v>990</x:v>
      </x:c>
      <x:c r="B1985" s="14" t="n">
        <x:v>25</x:v>
      </x:c>
      <x:c r="C1985" s="14" t="n">
        <x:v>76014</x:v>
      </x:c>
      <x:c r="D1985" s="2" t="str">
        <x:v>NAVY</x:v>
      </x:c>
      <x:c r="E1985" s="2" t="str">
        <x:v>120만</x:v>
      </x:c>
      <x:c r="F1985" s="2" t="str">
        <x:v>240만</x:v>
      </x:c>
      <x:c r="G1985" s="2" t="str">
        <x:v>패</x:v>
      </x:c>
      <x:c r="H1985" s="14" t="n">
        <x:v>2</x:v>
      </x:c>
      <x:c r="I1985" s="14" t="n">
        <x:v>4</x:v>
      </x:c>
      <x:c r="J1985" s="14" t="n">
        <x:v>8</x:v>
      </x:c>
      <x:c r="K1985" s="14" t="n">
        <x:v>2</x:v>
      </x:c>
      <x:c r="L1985" s="15" t="n">
        <x:f>IF(J1985=0,"해당 없음",K1985/J1985)</x:f>
        <x:v>0.25</x:v>
      </x:c>
      <x:c r="M1985" s="14" t="n">
        <x:v>7</x:v>
      </x:c>
      <x:c r="N1985" s="14" t="n">
        <x:v>6</x:v>
      </x:c>
      <x:c r="O1985" s="15" t="n">
        <x:f>IF(M1985=0,"해당 없음",N1985/M1985)</x:f>
        <x:v>0.8571428571428571</x:v>
      </x:c>
      <x:c r="P1985" s="14" t="n">
        <x:v>102</x:v>
      </x:c>
    </x:row>
    <x:row r="1986" ht="22" customHeight="1">
      <x:c r="A1986" s="14" t="n">
        <x:v>991</x:v>
      </x:c>
      <x:c r="B1986" s="14" t="n">
        <x:v>25</x:v>
      </x:c>
      <x:c r="C1986" s="14" t="n">
        <x:v>76015</x:v>
      </x:c>
      <x:c r="D1986" s="2" t="str">
        <x:v>RED</x:v>
      </x:c>
      <x:c r="E1986" s="2" t="str">
        <x:v>120만</x:v>
      </x:c>
      <x:c r="F1986" s="2" t="str">
        <x:v>240만</x:v>
      </x:c>
      <x:c r="G1986" s="2" t="str">
        <x:v>승</x:v>
      </x:c>
      <x:c r="H1986" s="14" t="n">
        <x:v>3</x:v>
      </x:c>
      <x:c r="I1986" s="14" t="n">
        <x:v>2</x:v>
      </x:c>
      <x:c r="J1986" s="14" t="n">
        <x:v>7</x:v>
      </x:c>
      <x:c r="K1986" s="14" t="n">
        <x:v>3</x:v>
      </x:c>
      <x:c r="L1986" s="15" t="n">
        <x:f>IF(J1986=0,"해당 없음",K1986/J1986)</x:f>
        <x:v>0.42857142857142855</x:v>
      </x:c>
      <x:c r="M1986" s="14" t="n">
        <x:v>9</x:v>
      </x:c>
      <x:c r="N1986" s="14" t="n">
        <x:v>7</x:v>
      </x:c>
      <x:c r="O1986" s="15" t="n">
        <x:f>IF(M1986=0,"해당 없음",N1986/M1986)</x:f>
        <x:v>0.7777777777777778</x:v>
      </x:c>
      <x:c r="P1986" s="14" t="n">
        <x:v>103</x:v>
      </x:c>
    </x:row>
    <x:row r="1987" ht="22" customHeight="1">
      <x:c r="A1987" s="14" t="n">
        <x:v>991</x:v>
      </x:c>
      <x:c r="B1987" s="14" t="n">
        <x:v>25</x:v>
      </x:c>
      <x:c r="C1987" s="14" t="n">
        <x:v>76015</x:v>
      </x:c>
      <x:c r="D1987" s="2" t="str">
        <x:v>NAVY</x:v>
      </x:c>
      <x:c r="E1987" s="2" t="str">
        <x:v>240만</x:v>
      </x:c>
      <x:c r="F1987" s="2" t="str">
        <x:v>120만</x:v>
      </x:c>
      <x:c r="G1987" s="2" t="str">
        <x:v>패</x:v>
      </x:c>
      <x:c r="H1987" s="14" t="n">
        <x:v>2</x:v>
      </x:c>
      <x:c r="I1987" s="14" t="n">
        <x:v>3</x:v>
      </x:c>
      <x:c r="J1987" s="14" t="n">
        <x:v>8</x:v>
      </x:c>
      <x:c r="K1987" s="14" t="n">
        <x:v>2</x:v>
      </x:c>
      <x:c r="L1987" s="15" t="n">
        <x:f>IF(J1987=0,"해당 없음",K1987/J1987)</x:f>
        <x:v>0.25</x:v>
      </x:c>
      <x:c r="M1987" s="14" t="n">
        <x:v>8</x:v>
      </x:c>
      <x:c r="N1987" s="14" t="n">
        <x:v>8</x:v>
      </x:c>
      <x:c r="O1987" s="15" t="n">
        <x:f>IF(M1987=0,"해당 없음",N1987/M1987)</x:f>
        <x:v>1</x:v>
      </x:c>
      <x:c r="P1987" s="14" t="n">
        <x:v>103</x:v>
      </x:c>
    </x:row>
    <x:row r="1988" ht="22" customHeight="1">
      <x:c r="A1988" s="14" t="n">
        <x:v>992</x:v>
      </x:c>
      <x:c r="B1988" s="14" t="n">
        <x:v>25</x:v>
      </x:c>
      <x:c r="C1988" s="14" t="n">
        <x:v>76015</x:v>
      </x:c>
      <x:c r="D1988" s="2" t="str">
        <x:v>RED</x:v>
      </x:c>
      <x:c r="E1988" s="2" t="str">
        <x:v>240만</x:v>
      </x:c>
      <x:c r="F1988" s="2" t="str">
        <x:v>120만</x:v>
      </x:c>
      <x:c r="G1988" s="2" t="str">
        <x:v>승</x:v>
      </x:c>
      <x:c r="H1988" s="14" t="n">
        <x:v>3</x:v>
      </x:c>
      <x:c r="I1988" s="14" t="n">
        <x:v>1</x:v>
      </x:c>
      <x:c r="J1988" s="14" t="n">
        <x:v>6</x:v>
      </x:c>
      <x:c r="K1988" s="14" t="n">
        <x:v>3</x:v>
      </x:c>
      <x:c r="L1988" s="15" t="n">
        <x:f>IF(J1988=0,"해당 없음",K1988/J1988)</x:f>
        <x:v>0.5</x:v>
      </x:c>
      <x:c r="M1988" s="14" t="n">
        <x:v>10</x:v>
      </x:c>
      <x:c r="N1988" s="14" t="n">
        <x:v>4</x:v>
      </x:c>
      <x:c r="O1988" s="15" t="n">
        <x:f>IF(M1988=0,"해당 없음",N1988/M1988)</x:f>
        <x:v>0.4</x:v>
      </x:c>
      <x:c r="P1988" s="14" t="n">
        <x:v>103</x:v>
      </x:c>
    </x:row>
    <x:row r="1989" ht="22" customHeight="1">
      <x:c r="A1989" s="14" t="n">
        <x:v>992</x:v>
      </x:c>
      <x:c r="B1989" s="14" t="n">
        <x:v>25</x:v>
      </x:c>
      <x:c r="C1989" s="14" t="n">
        <x:v>76015</x:v>
      </x:c>
      <x:c r="D1989" s="2" t="str">
        <x:v>NAVY</x:v>
      </x:c>
      <x:c r="E1989" s="2" t="str">
        <x:v>120만</x:v>
      </x:c>
      <x:c r="F1989" s="2" t="str">
        <x:v>240만</x:v>
      </x:c>
      <x:c r="G1989" s="2" t="str">
        <x:v>패</x:v>
      </x:c>
      <x:c r="H1989" s="14" t="n">
        <x:v>1</x:v>
      </x:c>
      <x:c r="I1989" s="14" t="n">
        <x:v>3</x:v>
      </x:c>
      <x:c r="J1989" s="14" t="n">
        <x:v>8</x:v>
      </x:c>
      <x:c r="K1989" s="14" t="n">
        <x:v>1</x:v>
      </x:c>
      <x:c r="L1989" s="15" t="n">
        <x:f>IF(J1989=0,"해당 없음",K1989/J1989)</x:f>
        <x:v>0.125</x:v>
      </x:c>
      <x:c r="M1989" s="14" t="n">
        <x:v>9</x:v>
      </x:c>
      <x:c r="N1989" s="14" t="n">
        <x:v>8</x:v>
      </x:c>
      <x:c r="O1989" s="15" t="n">
        <x:f>IF(M1989=0,"해당 없음",N1989/M1989)</x:f>
        <x:v>0.8888888888888888</x:v>
      </x:c>
      <x:c r="P1989" s="14" t="n">
        <x:v>102</x:v>
      </x:c>
    </x:row>
    <x:row r="1990" ht="22" customHeight="1">
      <x:c r="A1990" s="14" t="n">
        <x:v>993</x:v>
      </x:c>
      <x:c r="B1990" s="14" t="n">
        <x:v>25</x:v>
      </x:c>
      <x:c r="C1990" s="14" t="n">
        <x:v>76016</x:v>
      </x:c>
      <x:c r="D1990" s="2" t="str">
        <x:v>RED</x:v>
      </x:c>
      <x:c r="E1990" s="2" t="str">
        <x:v>120만</x:v>
      </x:c>
      <x:c r="F1990" s="2" t="str">
        <x:v>240만</x:v>
      </x:c>
      <x:c r="G1990" s="2" t="str">
        <x:v>무</x:v>
      </x:c>
      <x:c r="H1990" s="14" t="n">
        <x:v>1</x:v>
      </x:c>
      <x:c r="I1990" s="14" t="n">
        <x:v>1</x:v>
      </x:c>
      <x:c r="J1990" s="14" t="n">
        <x:v>12</x:v>
      </x:c>
      <x:c r="K1990" s="14" t="n">
        <x:v>1</x:v>
      </x:c>
      <x:c r="L1990" s="15" t="n">
        <x:f>IF(J1990=0,"해당 없음",K1990/J1990)</x:f>
        <x:v>0.08333333333333333</x:v>
      </x:c>
      <x:c r="M1990" s="14" t="n">
        <x:v>12</x:v>
      </x:c>
      <x:c r="N1990" s="14" t="n">
        <x:v>11</x:v>
      </x:c>
      <x:c r="O1990" s="15" t="n">
        <x:f>IF(M1990=0,"해당 없음",N1990/M1990)</x:f>
        <x:v>0.9166666666666666</x:v>
      </x:c>
      <x:c r="P1990" s="14" t="n">
        <x:v>102</x:v>
      </x:c>
    </x:row>
    <x:row r="1991" ht="22" customHeight="1">
      <x:c r="A1991" s="14" t="n">
        <x:v>993</x:v>
      </x:c>
      <x:c r="B1991" s="14" t="n">
        <x:v>25</x:v>
      </x:c>
      <x:c r="C1991" s="14" t="n">
        <x:v>76016</x:v>
      </x:c>
      <x:c r="D1991" s="2" t="str">
        <x:v>NAVY</x:v>
      </x:c>
      <x:c r="E1991" s="2" t="str">
        <x:v>240만</x:v>
      </x:c>
      <x:c r="F1991" s="2" t="str">
        <x:v>120만</x:v>
      </x:c>
      <x:c r="G1991" s="2" t="str">
        <x:v>무</x:v>
      </x:c>
      <x:c r="H1991" s="14" t="n">
        <x:v>1</x:v>
      </x:c>
      <x:c r="I1991" s="14" t="n">
        <x:v>1</x:v>
      </x:c>
      <x:c r="J1991" s="14" t="n">
        <x:v>5</x:v>
      </x:c>
      <x:c r="K1991" s="14" t="n">
        <x:v>1</x:v>
      </x:c>
      <x:c r="L1991" s="15" t="n">
        <x:f>IF(J1991=0,"해당 없음",K1991/J1991)</x:f>
        <x:v>0.2</x:v>
      </x:c>
      <x:c r="M1991" s="14" t="n">
        <x:v>12</x:v>
      </x:c>
      <x:c r="N1991" s="14" t="n">
        <x:v>7</x:v>
      </x:c>
      <x:c r="O1991" s="15" t="n">
        <x:f>IF(M1991=0,"해당 없음",N1991/M1991)</x:f>
        <x:v>0.5833333333333334</x:v>
      </x:c>
      <x:c r="P1991" s="14" t="n">
        <x:v>101</x:v>
      </x:c>
    </x:row>
    <x:row r="1992" ht="22" customHeight="1">
      <x:c r="A1992" s="14" t="n">
        <x:v>994</x:v>
      </x:c>
      <x:c r="B1992" s="14" t="n">
        <x:v>25</x:v>
      </x:c>
      <x:c r="C1992" s="14" t="n">
        <x:v>76016</x:v>
      </x:c>
      <x:c r="D1992" s="2" t="str">
        <x:v>RED</x:v>
      </x:c>
      <x:c r="E1992" s="2" t="str">
        <x:v>240만</x:v>
      </x:c>
      <x:c r="F1992" s="2" t="str">
        <x:v>120만</x:v>
      </x:c>
      <x:c r="G1992" s="2" t="str">
        <x:v>승</x:v>
      </x:c>
      <x:c r="H1992" s="14" t="n">
        <x:v>2</x:v>
      </x:c>
      <x:c r="I1992" s="14" t="n">
        <x:v>0</x:v>
      </x:c>
      <x:c r="J1992" s="14" t="n">
        <x:v>7</x:v>
      </x:c>
      <x:c r="K1992" s="14" t="n">
        <x:v>2</x:v>
      </x:c>
      <x:c r="L1992" s="15" t="n">
        <x:f>IF(J1992=0,"해당 없음",K1992/J1992)</x:f>
        <x:v>0.2857142857142857</x:v>
      </x:c>
      <x:c r="M1992" s="14" t="n">
        <x:v>8</x:v>
      </x:c>
      <x:c r="N1992" s="14" t="n">
        <x:v>4</x:v>
      </x:c>
      <x:c r="O1992" s="15" t="n">
        <x:f>IF(M1992=0,"해당 없음",N1992/M1992)</x:f>
        <x:v>0.5</x:v>
      </x:c>
      <x:c r="P1992" s="14" t="n">
        <x:v>99</x:v>
      </x:c>
    </x:row>
    <x:row r="1993" ht="22" customHeight="1">
      <x:c r="A1993" s="14" t="n">
        <x:v>994</x:v>
      </x:c>
      <x:c r="B1993" s="14" t="n">
        <x:v>25</x:v>
      </x:c>
      <x:c r="C1993" s="14" t="n">
        <x:v>76016</x:v>
      </x:c>
      <x:c r="D1993" s="2" t="str">
        <x:v>NAVY</x:v>
      </x:c>
      <x:c r="E1993" s="2" t="str">
        <x:v>120만</x:v>
      </x:c>
      <x:c r="F1993" s="2" t="str">
        <x:v>240만</x:v>
      </x:c>
      <x:c r="G1993" s="2" t="str">
        <x:v>패</x:v>
      </x:c>
      <x:c r="H1993" s="14" t="n">
        <x:v>0</x:v>
      </x:c>
      <x:c r="I1993" s="14" t="n">
        <x:v>2</x:v>
      </x:c>
      <x:c r="J1993" s="14" t="n">
        <x:v>7</x:v>
      </x:c>
      <x:c r="K1993" s="14" t="n">
        <x:v>0</x:v>
      </x:c>
      <x:c r="L1993" s="15" t="n">
        <x:f>IF(J1993=0,"해당 없음",K1993/J1993)</x:f>
        <x:v>0</x:v>
      </x:c>
      <x:c r="M1993" s="14" t="n">
        <x:v>9</x:v>
      </x:c>
      <x:c r="N1993" s="14" t="n">
        <x:v>8</x:v>
      </x:c>
      <x:c r="O1993" s="15" t="n">
        <x:f>IF(M1993=0,"해당 없음",N1993/M1993)</x:f>
        <x:v>0.8888888888888888</x:v>
      </x:c>
      <x:c r="P1993" s="14" t="n">
        <x:v>101</x:v>
      </x:c>
    </x:row>
    <x:row r="1994" ht="22" customHeight="1">
      <x:c r="A1994" s="14" t="n">
        <x:v>995</x:v>
      </x:c>
      <x:c r="B1994" s="14" t="n">
        <x:v>25</x:v>
      </x:c>
      <x:c r="C1994" s="14" t="n">
        <x:v>76017</x:v>
      </x:c>
      <x:c r="D1994" s="2" t="str">
        <x:v>RED</x:v>
      </x:c>
      <x:c r="E1994" s="2" t="str">
        <x:v>120만</x:v>
      </x:c>
      <x:c r="F1994" s="2" t="str">
        <x:v>240만</x:v>
      </x:c>
      <x:c r="G1994" s="2" t="str">
        <x:v>승</x:v>
      </x:c>
      <x:c r="H1994" s="14" t="n">
        <x:v>2</x:v>
      </x:c>
      <x:c r="I1994" s="14" t="n">
        <x:v>1</x:v>
      </x:c>
      <x:c r="J1994" s="14" t="n">
        <x:v>11</x:v>
      </x:c>
      <x:c r="K1994" s="14" t="n">
        <x:v>2</x:v>
      </x:c>
      <x:c r="L1994" s="15" t="n">
        <x:f>IF(J1994=0,"해당 없음",K1994/J1994)</x:f>
        <x:v>0.18181818181818182</x:v>
      </x:c>
      <x:c r="M1994" s="14" t="n">
        <x:v>9</x:v>
      </x:c>
      <x:c r="N1994" s="14" t="n">
        <x:v>6</x:v>
      </x:c>
      <x:c r="O1994" s="15" t="n">
        <x:f>IF(M1994=0,"해당 없음",N1994/M1994)</x:f>
        <x:v>0.6666666666666666</x:v>
      </x:c>
      <x:c r="P1994" s="14" t="n">
        <x:v>101</x:v>
      </x:c>
    </x:row>
    <x:row r="1995" ht="22" customHeight="1">
      <x:c r="A1995" s="14" t="n">
        <x:v>995</x:v>
      </x:c>
      <x:c r="B1995" s="14" t="n">
        <x:v>25</x:v>
      </x:c>
      <x:c r="C1995" s="14" t="n">
        <x:v>76017</x:v>
      </x:c>
      <x:c r="D1995" s="2" t="str">
        <x:v>NAVY</x:v>
      </x:c>
      <x:c r="E1995" s="2" t="str">
        <x:v>240만</x:v>
      </x:c>
      <x:c r="F1995" s="2" t="str">
        <x:v>120만</x:v>
      </x:c>
      <x:c r="G1995" s="2" t="str">
        <x:v>패</x:v>
      </x:c>
      <x:c r="H1995" s="14" t="n">
        <x:v>1</x:v>
      </x:c>
      <x:c r="I1995" s="14" t="n">
        <x:v>2</x:v>
      </x:c>
      <x:c r="J1995" s="14" t="n">
        <x:v>9</x:v>
      </x:c>
      <x:c r="K1995" s="14" t="n">
        <x:v>1</x:v>
      </x:c>
      <x:c r="L1995" s="15" t="n">
        <x:f>IF(J1995=0,"해당 없음",K1995/J1995)</x:f>
        <x:v>0.1111111111111111</x:v>
      </x:c>
      <x:c r="M1995" s="14" t="n">
        <x:v>10</x:v>
      </x:c>
      <x:c r="N1995" s="14" t="n">
        <x:v>7</x:v>
      </x:c>
      <x:c r="O1995" s="15" t="n">
        <x:f>IF(M1995=0,"해당 없음",N1995/M1995)</x:f>
        <x:v>0.7</x:v>
      </x:c>
      <x:c r="P1995" s="14" t="n">
        <x:v>103</x:v>
      </x:c>
    </x:row>
    <x:row r="1996" ht="22" customHeight="1">
      <x:c r="A1996" s="14" t="n">
        <x:v>996</x:v>
      </x:c>
      <x:c r="B1996" s="14" t="n">
        <x:v>25</x:v>
      </x:c>
      <x:c r="C1996" s="14" t="n">
        <x:v>76017</x:v>
      </x:c>
      <x:c r="D1996" s="2" t="str">
        <x:v>RED</x:v>
      </x:c>
      <x:c r="E1996" s="2" t="str">
        <x:v>240만</x:v>
      </x:c>
      <x:c r="F1996" s="2" t="str">
        <x:v>120만</x:v>
      </x:c>
      <x:c r="G1996" s="2" t="str">
        <x:v>승</x:v>
      </x:c>
      <x:c r="H1996" s="14" t="n">
        <x:v>2</x:v>
      </x:c>
      <x:c r="I1996" s="14" t="n">
        <x:v>1</x:v>
      </x:c>
      <x:c r="J1996" s="14" t="n">
        <x:v>15</x:v>
      </x:c>
      <x:c r="K1996" s="14" t="n">
        <x:v>2</x:v>
      </x:c>
      <x:c r="L1996" s="15" t="n">
        <x:f>IF(J1996=0,"해당 없음",K1996/J1996)</x:f>
        <x:v>0.13333333333333333</x:v>
      </x:c>
      <x:c r="M1996" s="14" t="n">
        <x:v>8</x:v>
      </x:c>
      <x:c r="N1996" s="14" t="n">
        <x:v>6</x:v>
      </x:c>
      <x:c r="O1996" s="15" t="n">
        <x:f>IF(M1996=0,"해당 없음",N1996/M1996)</x:f>
        <x:v>0.75</x:v>
      </x:c>
      <x:c r="P1996" s="14" t="n">
        <x:v>104</x:v>
      </x:c>
    </x:row>
    <x:row r="1997" ht="22" customHeight="1">
      <x:c r="A1997" s="14" t="n">
        <x:v>996</x:v>
      </x:c>
      <x:c r="B1997" s="14" t="n">
        <x:v>25</x:v>
      </x:c>
      <x:c r="C1997" s="14" t="n">
        <x:v>76017</x:v>
      </x:c>
      <x:c r="D1997" s="2" t="str">
        <x:v>NAVY</x:v>
      </x:c>
      <x:c r="E1997" s="2" t="str">
        <x:v>120만</x:v>
      </x:c>
      <x:c r="F1997" s="2" t="str">
        <x:v>240만</x:v>
      </x:c>
      <x:c r="G1997" s="2" t="str">
        <x:v>패</x:v>
      </x:c>
      <x:c r="H1997" s="14" t="n">
        <x:v>1</x:v>
      </x:c>
      <x:c r="I1997" s="14" t="n">
        <x:v>2</x:v>
      </x:c>
      <x:c r="J1997" s="14" t="n">
        <x:v>7</x:v>
      </x:c>
      <x:c r="K1997" s="14" t="n">
        <x:v>1</x:v>
      </x:c>
      <x:c r="L1997" s="15" t="n">
        <x:f>IF(J1997=0,"해당 없음",K1997/J1997)</x:f>
        <x:v>0.14285714285714285</x:v>
      </x:c>
      <x:c r="M1997" s="14" t="n">
        <x:v>13</x:v>
      </x:c>
      <x:c r="N1997" s="14" t="n">
        <x:v>11</x:v>
      </x:c>
      <x:c r="O1997" s="15" t="n">
        <x:f>IF(M1997=0,"해당 없음",N1997/M1997)</x:f>
        <x:v>0.8461538461538461</x:v>
      </x:c>
      <x:c r="P1997" s="14" t="n">
        <x:v>102</x:v>
      </x:c>
    </x:row>
    <x:row r="1998" ht="22" customHeight="1">
      <x:c r="A1998" s="14" t="n">
        <x:v>997</x:v>
      </x:c>
      <x:c r="B1998" s="14" t="n">
        <x:v>25</x:v>
      </x:c>
      <x:c r="C1998" s="14" t="n">
        <x:v>76018</x:v>
      </x:c>
      <x:c r="D1998" s="2" t="str">
        <x:v>RED</x:v>
      </x:c>
      <x:c r="E1998" s="2" t="str">
        <x:v>120만</x:v>
      </x:c>
      <x:c r="F1998" s="2" t="str">
        <x:v>240만</x:v>
      </x:c>
      <x:c r="G1998" s="2" t="str">
        <x:v>패</x:v>
      </x:c>
      <x:c r="H1998" s="14" t="n">
        <x:v>1</x:v>
      </x:c>
      <x:c r="I1998" s="14" t="n">
        <x:v>5</x:v>
      </x:c>
      <x:c r="J1998" s="14" t="n">
        <x:v>7</x:v>
      </x:c>
      <x:c r="K1998" s="14" t="n">
        <x:v>1</x:v>
      </x:c>
      <x:c r="L1998" s="15" t="n">
        <x:f>IF(J1998=0,"해당 없음",K1998/J1998)</x:f>
        <x:v>0.14285714285714285</x:v>
      </x:c>
      <x:c r="M1998" s="14" t="n">
        <x:v>8</x:v>
      </x:c>
      <x:c r="N1998" s="14" t="n">
        <x:v>7</x:v>
      </x:c>
      <x:c r="O1998" s="15" t="n">
        <x:f>IF(M1998=0,"해당 없음",N1998/M1998)</x:f>
        <x:v>0.875</x:v>
      </x:c>
      <x:c r="P1998" s="14" t="n">
        <x:v>104</x:v>
      </x:c>
    </x:row>
    <x:row r="1999" ht="22" customHeight="1">
      <x:c r="A1999" s="14" t="n">
        <x:v>997</x:v>
      </x:c>
      <x:c r="B1999" s="14" t="n">
        <x:v>25</x:v>
      </x:c>
      <x:c r="C1999" s="14" t="n">
        <x:v>76018</x:v>
      </x:c>
      <x:c r="D1999" s="2" t="str">
        <x:v>NAVY</x:v>
      </x:c>
      <x:c r="E1999" s="2" t="str">
        <x:v>240만</x:v>
      </x:c>
      <x:c r="F1999" s="2" t="str">
        <x:v>120만</x:v>
      </x:c>
      <x:c r="G1999" s="2" t="str">
        <x:v>승</x:v>
      </x:c>
      <x:c r="H1999" s="14" t="n">
        <x:v>5</x:v>
      </x:c>
      <x:c r="I1999" s="14" t="n">
        <x:v>1</x:v>
      </x:c>
      <x:c r="J1999" s="14" t="n">
        <x:v>10</x:v>
      </x:c>
      <x:c r="K1999" s="14" t="n">
        <x:v>5</x:v>
      </x:c>
      <x:c r="L1999" s="15" t="n">
        <x:f>IF(J1999=0,"해당 없음",K1999/J1999)</x:f>
        <x:v>0.5</x:v>
      </x:c>
      <x:c r="M1999" s="14" t="n">
        <x:v>8</x:v>
      </x:c>
      <x:c r="N1999" s="14" t="n">
        <x:v>5</x:v>
      </x:c>
      <x:c r="O1999" s="15" t="n">
        <x:f>IF(M1999=0,"해당 없음",N1999/M1999)</x:f>
        <x:v>0.625</x:v>
      </x:c>
      <x:c r="P1999" s="14" t="n">
        <x:v>103</x:v>
      </x:c>
    </x:row>
    <x:row r="2000" ht="22" customHeight="1">
      <x:c r="A2000" s="14" t="n">
        <x:v>998</x:v>
      </x:c>
      <x:c r="B2000" s="14" t="n">
        <x:v>25</x:v>
      </x:c>
      <x:c r="C2000" s="14" t="n">
        <x:v>76018</x:v>
      </x:c>
      <x:c r="D2000" s="2" t="str">
        <x:v>RED</x:v>
      </x:c>
      <x:c r="E2000" s="2" t="str">
        <x:v>240만</x:v>
      </x:c>
      <x:c r="F2000" s="2" t="str">
        <x:v>120만</x:v>
      </x:c>
      <x:c r="G2000" s="2" t="str">
        <x:v>승</x:v>
      </x:c>
      <x:c r="H2000" s="14" t="n">
        <x:v>5</x:v>
      </x:c>
      <x:c r="I2000" s="14" t="n">
        <x:v>1</x:v>
      </x:c>
      <x:c r="J2000" s="14" t="n">
        <x:v>12</x:v>
      </x:c>
      <x:c r="K2000" s="14" t="n">
        <x:v>5</x:v>
      </x:c>
      <x:c r="L2000" s="15" t="n">
        <x:f>IF(J2000=0,"해당 없음",K2000/J2000)</x:f>
        <x:v>0.4166666666666667</x:v>
      </x:c>
      <x:c r="M2000" s="14" t="n">
        <x:v>4</x:v>
      </x:c>
      <x:c r="N2000" s="14" t="n">
        <x:v>3</x:v>
      </x:c>
      <x:c r="O2000" s="15" t="n">
        <x:f>IF(M2000=0,"해당 없음",N2000/M2000)</x:f>
        <x:v>0.75</x:v>
      </x:c>
      <x:c r="P2000" s="14" t="n">
        <x:v>102</x:v>
      </x:c>
    </x:row>
    <x:row r="2001" ht="22" customHeight="1">
      <x:c r="A2001" s="14" t="n">
        <x:v>998</x:v>
      </x:c>
      <x:c r="B2001" s="14" t="n">
        <x:v>25</x:v>
      </x:c>
      <x:c r="C2001" s="14" t="n">
        <x:v>76018</x:v>
      </x:c>
      <x:c r="D2001" s="2" t="str">
        <x:v>NAVY</x:v>
      </x:c>
      <x:c r="E2001" s="2" t="str">
        <x:v>120만</x:v>
      </x:c>
      <x:c r="F2001" s="2" t="str">
        <x:v>240만</x:v>
      </x:c>
      <x:c r="G2001" s="2" t="str">
        <x:v>패</x:v>
      </x:c>
      <x:c r="H2001" s="14" t="n">
        <x:v>1</x:v>
      </x:c>
      <x:c r="I2001" s="14" t="n">
        <x:v>5</x:v>
      </x:c>
      <x:c r="J2001" s="14" t="n">
        <x:v>7</x:v>
      </x:c>
      <x:c r="K2001" s="14" t="n">
        <x:v>1</x:v>
      </x:c>
      <x:c r="L2001" s="15" t="n">
        <x:f>IF(J2001=0,"해당 없음",K2001/J2001)</x:f>
        <x:v>0.14285714285714285</x:v>
      </x:c>
      <x:c r="M2001" s="14" t="n">
        <x:v>11</x:v>
      </x:c>
      <x:c r="N2001" s="14" t="n">
        <x:v>9</x:v>
      </x:c>
      <x:c r="O2001" s="15" t="n">
        <x:f>IF(M2001=0,"해당 없음",N2001/M2001)</x:f>
        <x:v>0.8181818181818182</x:v>
      </x:c>
      <x:c r="P2001" s="14" t="n">
        <x:v>102</x:v>
      </x:c>
    </x:row>
    <x:row r="2002" ht="22" customHeight="1">
      <x:c r="A2002" s="14" t="n">
        <x:v>999</x:v>
      </x:c>
      <x:c r="B2002" s="14" t="n">
        <x:v>25</x:v>
      </x:c>
      <x:c r="C2002" s="14" t="n">
        <x:v>76019</x:v>
      </x:c>
      <x:c r="D2002" s="2" t="str">
        <x:v>RED</x:v>
      </x:c>
      <x:c r="E2002" s="2" t="str">
        <x:v>120만</x:v>
      </x:c>
      <x:c r="F2002" s="2" t="str">
        <x:v>240만</x:v>
      </x:c>
      <x:c r="G2002" s="2" t="str">
        <x:v>무</x:v>
      </x:c>
      <x:c r="H2002" s="14" t="n">
        <x:v>3</x:v>
      </x:c>
      <x:c r="I2002" s="14" t="n">
        <x:v>3</x:v>
      </x:c>
      <x:c r="J2002" s="14" t="n">
        <x:v>11</x:v>
      </x:c>
      <x:c r="K2002" s="14" t="n">
        <x:v>3</x:v>
      </x:c>
      <x:c r="L2002" s="15" t="n">
        <x:f>IF(J2002=0,"해당 없음",K2002/J2002)</x:f>
        <x:v>0.2727272727272727</x:v>
      </x:c>
      <x:c r="M2002" s="14" t="n">
        <x:v>8</x:v>
      </x:c>
      <x:c r="N2002" s="14" t="n">
        <x:v>8</x:v>
      </x:c>
      <x:c r="O2002" s="15" t="n">
        <x:f>IF(M2002=0,"해당 없음",N2002/M2002)</x:f>
        <x:v>1</x:v>
      </x:c>
      <x:c r="P2002" s="14" t="n">
        <x:v>102</x:v>
      </x:c>
    </x:row>
    <x:row r="2003" ht="22" customHeight="1">
      <x:c r="A2003" s="14" t="n">
        <x:v>999</x:v>
      </x:c>
      <x:c r="B2003" s="14" t="n">
        <x:v>25</x:v>
      </x:c>
      <x:c r="C2003" s="14" t="n">
        <x:v>76019</x:v>
      </x:c>
      <x:c r="D2003" s="2" t="str">
        <x:v>NAVY</x:v>
      </x:c>
      <x:c r="E2003" s="2" t="str">
        <x:v>240만</x:v>
      </x:c>
      <x:c r="F2003" s="2" t="str">
        <x:v>120만</x:v>
      </x:c>
      <x:c r="G2003" s="2" t="str">
        <x:v>무</x:v>
      </x:c>
      <x:c r="H2003" s="14" t="n">
        <x:v>3</x:v>
      </x:c>
      <x:c r="I2003" s="14" t="n">
        <x:v>3</x:v>
      </x:c>
      <x:c r="J2003" s="14" t="n">
        <x:v>5</x:v>
      </x:c>
      <x:c r="K2003" s="14" t="n">
        <x:v>3</x:v>
      </x:c>
      <x:c r="L2003" s="15" t="n">
        <x:f>IF(J2003=0,"해당 없음",K2003/J2003)</x:f>
        <x:v>0.6</x:v>
      </x:c>
      <x:c r="M2003" s="14" t="n">
        <x:v>14</x:v>
      </x:c>
      <x:c r="N2003" s="14" t="n">
        <x:v>9</x:v>
      </x:c>
      <x:c r="O2003" s="15" t="n">
        <x:f>IF(M2003=0,"해당 없음",N2003/M2003)</x:f>
        <x:v>0.6428571428571429</x:v>
      </x:c>
      <x:c r="P2003" s="14" t="n">
        <x:v>102</x:v>
      </x:c>
    </x:row>
    <x:row r="2004" ht="22" customHeight="1">
      <x:c r="A2004" s="14" t="n">
        <x:v>1000</x:v>
      </x:c>
      <x:c r="B2004" s="14" t="n">
        <x:v>25</x:v>
      </x:c>
      <x:c r="C2004" s="14" t="n">
        <x:v>76019</x:v>
      </x:c>
      <x:c r="D2004" s="2" t="str">
        <x:v>RED</x:v>
      </x:c>
      <x:c r="E2004" s="2" t="str">
        <x:v>240만</x:v>
      </x:c>
      <x:c r="F2004" s="2" t="str">
        <x:v>120만</x:v>
      </x:c>
      <x:c r="G2004" s="2" t="str">
        <x:v>승</x:v>
      </x:c>
      <x:c r="H2004" s="14" t="n">
        <x:v>3</x:v>
      </x:c>
      <x:c r="I2004" s="14" t="n">
        <x:v>1</x:v>
      </x:c>
      <x:c r="J2004" s="14" t="n">
        <x:v>9</x:v>
      </x:c>
      <x:c r="K2004" s="14" t="n">
        <x:v>3</x:v>
      </x:c>
      <x:c r="L2004" s="15" t="n">
        <x:f>IF(J2004=0,"해당 없음",K2004/J2004)</x:f>
        <x:v>0.3333333333333333</x:v>
      </x:c>
      <x:c r="M2004" s="14" t="n">
        <x:v>7</x:v>
      </x:c>
      <x:c r="N2004" s="14" t="n">
        <x:v>7</x:v>
      </x:c>
      <x:c r="O2004" s="15" t="n">
        <x:f>IF(M2004=0,"해당 없음",N2004/M2004)</x:f>
        <x:v>1</x:v>
      </x:c>
      <x:c r="P2004" s="14" t="n">
        <x:v>101</x:v>
      </x:c>
    </x:row>
    <x:row r="2005" ht="22" customHeight="1">
      <x:c r="A2005" s="14" t="n">
        <x:v>1000</x:v>
      </x:c>
      <x:c r="B2005" s="14" t="n">
        <x:v>25</x:v>
      </x:c>
      <x:c r="C2005" s="14" t="n">
        <x:v>76019</x:v>
      </x:c>
      <x:c r="D2005" s="2" t="str">
        <x:v>NAVY</x:v>
      </x:c>
      <x:c r="E2005" s="2" t="str">
        <x:v>120만</x:v>
      </x:c>
      <x:c r="F2005" s="2" t="str">
        <x:v>240만</x:v>
      </x:c>
      <x:c r="G2005" s="2" t="str">
        <x:v>패</x:v>
      </x:c>
      <x:c r="H2005" s="14" t="n">
        <x:v>1</x:v>
      </x:c>
      <x:c r="I2005" s="14" t="n">
        <x:v>3</x:v>
      </x:c>
      <x:c r="J2005" s="14" t="n">
        <x:v>4</x:v>
      </x:c>
      <x:c r="K2005" s="14" t="n">
        <x:v>1</x:v>
      </x:c>
      <x:c r="L2005" s="15" t="n">
        <x:f>IF(J2005=0,"해당 없음",K2005/J2005)</x:f>
        <x:v>0.25</x:v>
      </x:c>
      <x:c r="M2005" s="14" t="n">
        <x:v>6</x:v>
      </x:c>
      <x:c r="N2005" s="14" t="n">
        <x:v>4</x:v>
      </x:c>
      <x:c r="O2005" s="15" t="n">
        <x:f>IF(M2005=0,"해당 없음",N2005/M2005)</x:f>
        <x:v>0.6666666666666666</x:v>
      </x:c>
      <x:c r="P2005" s="14" t="n">
        <x:v>102</x:v>
      </x:c>
    </x:row>
    <x:row r="2006" ht="22" customHeight="1">
      <x:c r="A2006" s="14" t="n">
        <x:v>1001</x:v>
      </x:c>
      <x:c r="B2006" s="14" t="n">
        <x:v>26</x:v>
      </x:c>
      <x:c r="C2006" s="14" t="n">
        <x:v>76000</x:v>
      </x:c>
      <x:c r="D2006" s="2" t="str">
        <x:v>RED</x:v>
      </x:c>
      <x:c r="E2006" s="2" t="str">
        <x:v>160만</x:v>
      </x:c>
      <x:c r="F2006" s="2" t="str">
        <x:v>200만</x:v>
      </x:c>
      <x:c r="G2006" s="2" t="str">
        <x:v>패</x:v>
      </x:c>
      <x:c r="H2006" s="14" t="n">
        <x:v>2</x:v>
      </x:c>
      <x:c r="I2006" s="14" t="n">
        <x:v>3</x:v>
      </x:c>
      <x:c r="J2006" s="14" t="n">
        <x:v>12</x:v>
      </x:c>
      <x:c r="K2006" s="14" t="n">
        <x:v>2</x:v>
      </x:c>
      <x:c r="L2006" s="15" t="n">
        <x:f>IF(J2006=0,"해당 없음",K2006/J2006)</x:f>
        <x:v>0.16666666666666666</x:v>
      </x:c>
      <x:c r="M2006" s="14" t="n">
        <x:v>13</x:v>
      </x:c>
      <x:c r="N2006" s="14" t="n">
        <x:v>11</x:v>
      </x:c>
      <x:c r="O2006" s="15" t="n">
        <x:f>IF(M2006=0,"해당 없음",N2006/M2006)</x:f>
        <x:v>0.8461538461538461</x:v>
      </x:c>
      <x:c r="P2006" s="14" t="n">
        <x:v>105</x:v>
      </x:c>
    </x:row>
    <x:row r="2007" ht="22" customHeight="1">
      <x:c r="A2007" s="14" t="n">
        <x:v>1001</x:v>
      </x:c>
      <x:c r="B2007" s="14" t="n">
        <x:v>26</x:v>
      </x:c>
      <x:c r="C2007" s="14" t="n">
        <x:v>76000</x:v>
      </x:c>
      <x:c r="D2007" s="2" t="str">
        <x:v>NAVY</x:v>
      </x:c>
      <x:c r="E2007" s="2" t="str">
        <x:v>200만</x:v>
      </x:c>
      <x:c r="F2007" s="2" t="str">
        <x:v>160만</x:v>
      </x:c>
      <x:c r="G2007" s="2" t="str">
        <x:v>승</x:v>
      </x:c>
      <x:c r="H2007" s="14" t="n">
        <x:v>3</x:v>
      </x:c>
      <x:c r="I2007" s="14" t="n">
        <x:v>2</x:v>
      </x:c>
      <x:c r="J2007" s="14" t="n">
        <x:v>9</x:v>
      </x:c>
      <x:c r="K2007" s="14" t="n">
        <x:v>3</x:v>
      </x:c>
      <x:c r="L2007" s="15" t="n">
        <x:f>IF(J2007=0,"해당 없음",K2007/J2007)</x:f>
        <x:v>0.3333333333333333</x:v>
      </x:c>
      <x:c r="M2007" s="14" t="n">
        <x:v>12</x:v>
      </x:c>
      <x:c r="N2007" s="14" t="n">
        <x:v>7</x:v>
      </x:c>
      <x:c r="O2007" s="15" t="n">
        <x:f>IF(M2007=0,"해당 없음",N2007/M2007)</x:f>
        <x:v>0.5833333333333334</x:v>
      </x:c>
      <x:c r="P2007" s="14" t="n">
        <x:v>103</x:v>
      </x:c>
    </x:row>
    <x:row r="2008" ht="22" customHeight="1">
      <x:c r="A2008" s="14" t="n">
        <x:v>1002</x:v>
      </x:c>
      <x:c r="B2008" s="14" t="n">
        <x:v>26</x:v>
      </x:c>
      <x:c r="C2008" s="14" t="n">
        <x:v>76000</x:v>
      </x:c>
      <x:c r="D2008" s="2" t="str">
        <x:v>RED</x:v>
      </x:c>
      <x:c r="E2008" s="2" t="str">
        <x:v>200만</x:v>
      </x:c>
      <x:c r="F2008" s="2" t="str">
        <x:v>160만</x:v>
      </x:c>
      <x:c r="G2008" s="2" t="str">
        <x:v>무</x:v>
      </x:c>
      <x:c r="H2008" s="14" t="n">
        <x:v>3</x:v>
      </x:c>
      <x:c r="I2008" s="14" t="n">
        <x:v>3</x:v>
      </x:c>
      <x:c r="J2008" s="14" t="n">
        <x:v>10</x:v>
      </x:c>
      <x:c r="K2008" s="14" t="n">
        <x:v>3</x:v>
      </x:c>
      <x:c r="L2008" s="15" t="n">
        <x:f>IF(J2008=0,"해당 없음",K2008/J2008)</x:f>
        <x:v>0.3</x:v>
      </x:c>
      <x:c r="M2008" s="14" t="n">
        <x:v>6</x:v>
      </x:c>
      <x:c r="N2008" s="14" t="n">
        <x:v>5</x:v>
      </x:c>
      <x:c r="O2008" s="15" t="n">
        <x:f>IF(M2008=0,"해당 없음",N2008/M2008)</x:f>
        <x:v>0.8333333333333334</x:v>
      </x:c>
      <x:c r="P2008" s="14" t="n">
        <x:v>104</x:v>
      </x:c>
    </x:row>
    <x:row r="2009" ht="22" customHeight="1">
      <x:c r="A2009" s="14" t="n">
        <x:v>1002</x:v>
      </x:c>
      <x:c r="B2009" s="14" t="n">
        <x:v>26</x:v>
      </x:c>
      <x:c r="C2009" s="14" t="n">
        <x:v>76000</x:v>
      </x:c>
      <x:c r="D2009" s="2" t="str">
        <x:v>NAVY</x:v>
      </x:c>
      <x:c r="E2009" s="2" t="str">
        <x:v>160만</x:v>
      </x:c>
      <x:c r="F2009" s="2" t="str">
        <x:v>200만</x:v>
      </x:c>
      <x:c r="G2009" s="2" t="str">
        <x:v>무</x:v>
      </x:c>
      <x:c r="H2009" s="14" t="n">
        <x:v>3</x:v>
      </x:c>
      <x:c r="I2009" s="14" t="n">
        <x:v>3</x:v>
      </x:c>
      <x:c r="J2009" s="14" t="n">
        <x:v>9</x:v>
      </x:c>
      <x:c r="K2009" s="14" t="n">
        <x:v>3</x:v>
      </x:c>
      <x:c r="L2009" s="15" t="n">
        <x:f>IF(J2009=0,"해당 없음",K2009/J2009)</x:f>
        <x:v>0.3333333333333333</x:v>
      </x:c>
      <x:c r="M2009" s="14" t="n">
        <x:v>10</x:v>
      </x:c>
      <x:c r="N2009" s="14" t="n">
        <x:v>7</x:v>
      </x:c>
      <x:c r="O2009" s="15" t="n">
        <x:f>IF(M2009=0,"해당 없음",N2009/M2009)</x:f>
        <x:v>0.7</x:v>
      </x:c>
      <x:c r="P2009" s="14" t="n">
        <x:v>103</x:v>
      </x:c>
    </x:row>
    <x:row r="2010" ht="22" customHeight="1">
      <x:c r="A2010" s="14" t="n">
        <x:v>1003</x:v>
      </x:c>
      <x:c r="B2010" s="14" t="n">
        <x:v>26</x:v>
      </x:c>
      <x:c r="C2010" s="14" t="n">
        <x:v>76001</x:v>
      </x:c>
      <x:c r="D2010" s="2" t="str">
        <x:v>RED</x:v>
      </x:c>
      <x:c r="E2010" s="2" t="str">
        <x:v>160만</x:v>
      </x:c>
      <x:c r="F2010" s="2" t="str">
        <x:v>200만</x:v>
      </x:c>
      <x:c r="G2010" s="2" t="str">
        <x:v>승</x:v>
      </x:c>
      <x:c r="H2010" s="14" t="n">
        <x:v>5</x:v>
      </x:c>
      <x:c r="I2010" s="14" t="n">
        <x:v>2</x:v>
      </x:c>
      <x:c r="J2010" s="14" t="n">
        <x:v>12</x:v>
      </x:c>
      <x:c r="K2010" s="14" t="n">
        <x:v>4</x:v>
      </x:c>
      <x:c r="L2010" s="15" t="n">
        <x:f>IF(J2010=0,"해당 없음",K2010/J2010)</x:f>
        <x:v>0.3333333333333333</x:v>
      </x:c>
      <x:c r="M2010" s="14" t="n">
        <x:v>11</x:v>
      </x:c>
      <x:c r="N2010" s="14" t="n">
        <x:v>6</x:v>
      </x:c>
      <x:c r="O2010" s="15" t="n">
        <x:f>IF(M2010=0,"해당 없음",N2010/M2010)</x:f>
        <x:v>0.5454545454545454</x:v>
      </x:c>
      <x:c r="P2010" s="14" t="n">
        <x:v>104</x:v>
      </x:c>
    </x:row>
    <x:row r="2011" ht="22" customHeight="1">
      <x:c r="A2011" s="14" t="n">
        <x:v>1003</x:v>
      </x:c>
      <x:c r="B2011" s="14" t="n">
        <x:v>26</x:v>
      </x:c>
      <x:c r="C2011" s="14" t="n">
        <x:v>76001</x:v>
      </x:c>
      <x:c r="D2011" s="2" t="str">
        <x:v>NAVY</x:v>
      </x:c>
      <x:c r="E2011" s="2" t="str">
        <x:v>200만</x:v>
      </x:c>
      <x:c r="F2011" s="2" t="str">
        <x:v>160만</x:v>
      </x:c>
      <x:c r="G2011" s="2" t="str">
        <x:v>패</x:v>
      </x:c>
      <x:c r="H2011" s="14" t="n">
        <x:v>2</x:v>
      </x:c>
      <x:c r="I2011" s="14" t="n">
        <x:v>5</x:v>
      </x:c>
      <x:c r="J2011" s="14" t="n">
        <x:v>7</x:v>
      </x:c>
      <x:c r="K2011" s="14" t="n">
        <x:v>2</x:v>
      </x:c>
      <x:c r="L2011" s="15" t="n">
        <x:f>IF(J2011=0,"해당 없음",K2011/J2011)</x:f>
        <x:v>0.2857142857142857</x:v>
      </x:c>
      <x:c r="M2011" s="14" t="n">
        <x:v>10</x:v>
      </x:c>
      <x:c r="N2011" s="14" t="n">
        <x:v>6</x:v>
      </x:c>
      <x:c r="O2011" s="15" t="n">
        <x:f>IF(M2011=0,"해당 없음",N2011/M2011)</x:f>
        <x:v>0.6</x:v>
      </x:c>
      <x:c r="P2011" s="14" t="n">
        <x:v>105</x:v>
      </x:c>
    </x:row>
    <x:row r="2012" ht="22" customHeight="1">
      <x:c r="A2012" s="14" t="n">
        <x:v>1004</x:v>
      </x:c>
      <x:c r="B2012" s="14" t="n">
        <x:v>26</x:v>
      </x:c>
      <x:c r="C2012" s="14" t="n">
        <x:v>76001</x:v>
      </x:c>
      <x:c r="D2012" s="2" t="str">
        <x:v>RED</x:v>
      </x:c>
      <x:c r="E2012" s="2" t="str">
        <x:v>200만</x:v>
      </x:c>
      <x:c r="F2012" s="2" t="str">
        <x:v>160만</x:v>
      </x:c>
      <x:c r="G2012" s="2" t="str">
        <x:v>패</x:v>
      </x:c>
      <x:c r="H2012" s="14" t="n">
        <x:v>0</x:v>
      </x:c>
      <x:c r="I2012" s="14" t="n">
        <x:v>4</x:v>
      </x:c>
      <x:c r="J2012" s="14" t="n">
        <x:v>5</x:v>
      </x:c>
      <x:c r="K2012" s="14" t="n">
        <x:v>0</x:v>
      </x:c>
      <x:c r="L2012" s="15" t="n">
        <x:f>IF(J2012=0,"해당 없음",K2012/J2012)</x:f>
        <x:v>0</x:v>
      </x:c>
      <x:c r="M2012" s="14" t="n">
        <x:v>8</x:v>
      </x:c>
      <x:c r="N2012" s="14" t="n">
        <x:v>3</x:v>
      </x:c>
      <x:c r="O2012" s="15" t="n">
        <x:f>IF(M2012=0,"해당 없음",N2012/M2012)</x:f>
        <x:v>0.375</x:v>
      </x:c>
      <x:c r="P2012" s="14" t="n">
        <x:v>102</x:v>
      </x:c>
    </x:row>
    <x:row r="2013" ht="22" customHeight="1">
      <x:c r="A2013" s="14" t="n">
        <x:v>1004</x:v>
      </x:c>
      <x:c r="B2013" s="14" t="n">
        <x:v>26</x:v>
      </x:c>
      <x:c r="C2013" s="14" t="n">
        <x:v>76001</x:v>
      </x:c>
      <x:c r="D2013" s="2" t="str">
        <x:v>NAVY</x:v>
      </x:c>
      <x:c r="E2013" s="2" t="str">
        <x:v>160만</x:v>
      </x:c>
      <x:c r="F2013" s="2" t="str">
        <x:v>200만</x:v>
      </x:c>
      <x:c r="G2013" s="2" t="str">
        <x:v>승</x:v>
      </x:c>
      <x:c r="H2013" s="14" t="n">
        <x:v>4</x:v>
      </x:c>
      <x:c r="I2013" s="14" t="n">
        <x:v>0</x:v>
      </x:c>
      <x:c r="J2013" s="14" t="n">
        <x:v>11</x:v>
      </x:c>
      <x:c r="K2013" s="14" t="n">
        <x:v>4</x:v>
      </x:c>
      <x:c r="L2013" s="15" t="n">
        <x:f>IF(J2013=0,"해당 없음",K2013/J2013)</x:f>
        <x:v>0.36363636363636365</x:v>
      </x:c>
      <x:c r="M2013" s="14" t="n">
        <x:v>13</x:v>
      </x:c>
      <x:c r="N2013" s="14" t="n">
        <x:v>10</x:v>
      </x:c>
      <x:c r="O2013" s="15" t="n">
        <x:f>IF(M2013=0,"해당 없음",N2013/M2013)</x:f>
        <x:v>0.7692307692307693</x:v>
      </x:c>
      <x:c r="P2013" s="14" t="n">
        <x:v>103</x:v>
      </x:c>
    </x:row>
    <x:row r="2014" ht="22" customHeight="1">
      <x:c r="A2014" s="14" t="n">
        <x:v>1005</x:v>
      </x:c>
      <x:c r="B2014" s="14" t="n">
        <x:v>26</x:v>
      </x:c>
      <x:c r="C2014" s="14" t="n">
        <x:v>76002</x:v>
      </x:c>
      <x:c r="D2014" s="2" t="str">
        <x:v>RED</x:v>
      </x:c>
      <x:c r="E2014" s="2" t="str">
        <x:v>160만</x:v>
      </x:c>
      <x:c r="F2014" s="2" t="str">
        <x:v>200만</x:v>
      </x:c>
      <x:c r="G2014" s="2" t="str">
        <x:v>패</x:v>
      </x:c>
      <x:c r="H2014" s="14" t="n">
        <x:v>1</x:v>
      </x:c>
      <x:c r="I2014" s="14" t="n">
        <x:v>2</x:v>
      </x:c>
      <x:c r="J2014" s="14" t="n">
        <x:v>10</x:v>
      </x:c>
      <x:c r="K2014" s="14" t="n">
        <x:v>1</x:v>
      </x:c>
      <x:c r="L2014" s="15" t="n">
        <x:f>IF(J2014=0,"해당 없음",K2014/J2014)</x:f>
        <x:v>0.1</x:v>
      </x:c>
      <x:c r="M2014" s="14" t="n">
        <x:v>12</x:v>
      </x:c>
      <x:c r="N2014" s="14" t="n">
        <x:v>10</x:v>
      </x:c>
      <x:c r="O2014" s="15" t="n">
        <x:f>IF(M2014=0,"해당 없음",N2014/M2014)</x:f>
        <x:v>0.8333333333333334</x:v>
      </x:c>
      <x:c r="P2014" s="14" t="n">
        <x:v>100</x:v>
      </x:c>
    </x:row>
    <x:row r="2015" ht="22" customHeight="1">
      <x:c r="A2015" s="14" t="n">
        <x:v>1005</x:v>
      </x:c>
      <x:c r="B2015" s="14" t="n">
        <x:v>26</x:v>
      </x:c>
      <x:c r="C2015" s="14" t="n">
        <x:v>76002</x:v>
      </x:c>
      <x:c r="D2015" s="2" t="str">
        <x:v>NAVY</x:v>
      </x:c>
      <x:c r="E2015" s="2" t="str">
        <x:v>200만</x:v>
      </x:c>
      <x:c r="F2015" s="2" t="str">
        <x:v>160만</x:v>
      </x:c>
      <x:c r="G2015" s="2" t="str">
        <x:v>승</x:v>
      </x:c>
      <x:c r="H2015" s="14" t="n">
        <x:v>2</x:v>
      </x:c>
      <x:c r="I2015" s="14" t="n">
        <x:v>1</x:v>
      </x:c>
      <x:c r="J2015" s="14" t="n">
        <x:v>9</x:v>
      </x:c>
      <x:c r="K2015" s="14" t="n">
        <x:v>2</x:v>
      </x:c>
      <x:c r="L2015" s="15" t="n">
        <x:f>IF(J2015=0,"해당 없음",K2015/J2015)</x:f>
        <x:v>0.2222222222222222</x:v>
      </x:c>
      <x:c r="M2015" s="14" t="n">
        <x:v>11</x:v>
      </x:c>
      <x:c r="N2015" s="14" t="n">
        <x:v>9</x:v>
      </x:c>
      <x:c r="O2015" s="15" t="n">
        <x:f>IF(M2015=0,"해당 없음",N2015/M2015)</x:f>
        <x:v>0.8181818181818182</x:v>
      </x:c>
      <x:c r="P2015" s="14" t="n">
        <x:v>100</x:v>
      </x:c>
    </x:row>
    <x:row r="2016" ht="22" customHeight="1">
      <x:c r="A2016" s="14" t="n">
        <x:v>1006</x:v>
      </x:c>
      <x:c r="B2016" s="14" t="n">
        <x:v>26</x:v>
      </x:c>
      <x:c r="C2016" s="14" t="n">
        <x:v>76002</x:v>
      </x:c>
      <x:c r="D2016" s="2" t="str">
        <x:v>RED</x:v>
      </x:c>
      <x:c r="E2016" s="2" t="str">
        <x:v>200만</x:v>
      </x:c>
      <x:c r="F2016" s="2" t="str">
        <x:v>160만</x:v>
      </x:c>
      <x:c r="G2016" s="2" t="str">
        <x:v>패</x:v>
      </x:c>
      <x:c r="H2016" s="14" t="n">
        <x:v>1</x:v>
      </x:c>
      <x:c r="I2016" s="14" t="n">
        <x:v>3</x:v>
      </x:c>
      <x:c r="J2016" s="14" t="n">
        <x:v>9</x:v>
      </x:c>
      <x:c r="K2016" s="14" t="n">
        <x:v>1</x:v>
      </x:c>
      <x:c r="L2016" s="15" t="n">
        <x:f>IF(J2016=0,"해당 없음",K2016/J2016)</x:f>
        <x:v>0.1111111111111111</x:v>
      </x:c>
      <x:c r="M2016" s="14" t="n">
        <x:v>8</x:v>
      </x:c>
      <x:c r="N2016" s="14" t="n">
        <x:v>4</x:v>
      </x:c>
      <x:c r="O2016" s="15" t="n">
        <x:f>IF(M2016=0,"해당 없음",N2016/M2016)</x:f>
        <x:v>0.5</x:v>
      </x:c>
      <x:c r="P2016" s="14" t="n">
        <x:v>105</x:v>
      </x:c>
    </x:row>
    <x:row r="2017" ht="22" customHeight="1">
      <x:c r="A2017" s="14" t="n">
        <x:v>1006</x:v>
      </x:c>
      <x:c r="B2017" s="14" t="n">
        <x:v>26</x:v>
      </x:c>
      <x:c r="C2017" s="14" t="n">
        <x:v>76002</x:v>
      </x:c>
      <x:c r="D2017" s="2" t="str">
        <x:v>NAVY</x:v>
      </x:c>
      <x:c r="E2017" s="2" t="str">
        <x:v>160만</x:v>
      </x:c>
      <x:c r="F2017" s="2" t="str">
        <x:v>200만</x:v>
      </x:c>
      <x:c r="G2017" s="2" t="str">
        <x:v>승</x:v>
      </x:c>
      <x:c r="H2017" s="14" t="n">
        <x:v>3</x:v>
      </x:c>
      <x:c r="I2017" s="14" t="n">
        <x:v>1</x:v>
      </x:c>
      <x:c r="J2017" s="14" t="n">
        <x:v>9</x:v>
      </x:c>
      <x:c r="K2017" s="14" t="n">
        <x:v>3</x:v>
      </x:c>
      <x:c r="L2017" s="15" t="n">
        <x:f>IF(J2017=0,"해당 없음",K2017/J2017)</x:f>
        <x:v>0.3333333333333333</x:v>
      </x:c>
      <x:c r="M2017" s="14" t="n">
        <x:v>13</x:v>
      </x:c>
      <x:c r="N2017" s="14" t="n">
        <x:v>10</x:v>
      </x:c>
      <x:c r="O2017" s="15" t="n">
        <x:f>IF(M2017=0,"해당 없음",N2017/M2017)</x:f>
        <x:v>0.7692307692307693</x:v>
      </x:c>
      <x:c r="P2017" s="14" t="n">
        <x:v>102</x:v>
      </x:c>
    </x:row>
    <x:row r="2018" ht="22" customHeight="1">
      <x:c r="A2018" s="14" t="n">
        <x:v>1007</x:v>
      </x:c>
      <x:c r="B2018" s="14" t="n">
        <x:v>26</x:v>
      </x:c>
      <x:c r="C2018" s="14" t="n">
        <x:v>76003</x:v>
      </x:c>
      <x:c r="D2018" s="2" t="str">
        <x:v>RED</x:v>
      </x:c>
      <x:c r="E2018" s="2" t="str">
        <x:v>160만</x:v>
      </x:c>
      <x:c r="F2018" s="2" t="str">
        <x:v>200만</x:v>
      </x:c>
      <x:c r="G2018" s="2" t="str">
        <x:v>무</x:v>
      </x:c>
      <x:c r="H2018" s="14" t="n">
        <x:v>1</x:v>
      </x:c>
      <x:c r="I2018" s="14" t="n">
        <x:v>1</x:v>
      </x:c>
      <x:c r="J2018" s="14" t="n">
        <x:v>9</x:v>
      </x:c>
      <x:c r="K2018" s="14" t="n">
        <x:v>1</x:v>
      </x:c>
      <x:c r="L2018" s="15" t="n">
        <x:f>IF(J2018=0,"해당 없음",K2018/J2018)</x:f>
        <x:v>0.1111111111111111</x:v>
      </x:c>
      <x:c r="M2018" s="14" t="n">
        <x:v>13</x:v>
      </x:c>
      <x:c r="N2018" s="14" t="n">
        <x:v>6</x:v>
      </x:c>
      <x:c r="O2018" s="15" t="n">
        <x:f>IF(M2018=0,"해당 없음",N2018/M2018)</x:f>
        <x:v>0.46153846153846156</x:v>
      </x:c>
      <x:c r="P2018" s="14" t="n">
        <x:v>101</x:v>
      </x:c>
    </x:row>
    <x:row r="2019" ht="22" customHeight="1">
      <x:c r="A2019" s="14" t="n">
        <x:v>1007</x:v>
      </x:c>
      <x:c r="B2019" s="14" t="n">
        <x:v>26</x:v>
      </x:c>
      <x:c r="C2019" s="14" t="n">
        <x:v>76003</x:v>
      </x:c>
      <x:c r="D2019" s="2" t="str">
        <x:v>NAVY</x:v>
      </x:c>
      <x:c r="E2019" s="2" t="str">
        <x:v>200만</x:v>
      </x:c>
      <x:c r="F2019" s="2" t="str">
        <x:v>160만</x:v>
      </x:c>
      <x:c r="G2019" s="2" t="str">
        <x:v>무</x:v>
      </x:c>
      <x:c r="H2019" s="14" t="n">
        <x:v>1</x:v>
      </x:c>
      <x:c r="I2019" s="14" t="n">
        <x:v>1</x:v>
      </x:c>
      <x:c r="J2019" s="14" t="n">
        <x:v>10</x:v>
      </x:c>
      <x:c r="K2019" s="14" t="n">
        <x:v>1</x:v>
      </x:c>
      <x:c r="L2019" s="15" t="n">
        <x:f>IF(J2019=0,"해당 없음",K2019/J2019)</x:f>
        <x:v>0.1</x:v>
      </x:c>
      <x:c r="M2019" s="14" t="n">
        <x:v>17</x:v>
      </x:c>
      <x:c r="N2019" s="14" t="n">
        <x:v>13</x:v>
      </x:c>
      <x:c r="O2019" s="15" t="n">
        <x:f>IF(M2019=0,"해당 없음",N2019/M2019)</x:f>
        <x:v>0.7647058823529411</x:v>
      </x:c>
      <x:c r="P2019" s="14" t="n">
        <x:v>103</x:v>
      </x:c>
    </x:row>
    <x:row r="2020" ht="22" customHeight="1">
      <x:c r="A2020" s="14" t="n">
        <x:v>1008</x:v>
      </x:c>
      <x:c r="B2020" s="14" t="n">
        <x:v>26</x:v>
      </x:c>
      <x:c r="C2020" s="14" t="n">
        <x:v>76003</x:v>
      </x:c>
      <x:c r="D2020" s="2" t="str">
        <x:v>RED</x:v>
      </x:c>
      <x:c r="E2020" s="2" t="str">
        <x:v>200만</x:v>
      </x:c>
      <x:c r="F2020" s="2" t="str">
        <x:v>160만</x:v>
      </x:c>
      <x:c r="G2020" s="2" t="str">
        <x:v>패</x:v>
      </x:c>
      <x:c r="H2020" s="14" t="n">
        <x:v>2</x:v>
      </x:c>
      <x:c r="I2020" s="14" t="n">
        <x:v>3</x:v>
      </x:c>
      <x:c r="J2020" s="14" t="n">
        <x:v>9</x:v>
      </x:c>
      <x:c r="K2020" s="14" t="n">
        <x:v>2</x:v>
      </x:c>
      <x:c r="L2020" s="15" t="n">
        <x:f>IF(J2020=0,"해당 없음",K2020/J2020)</x:f>
        <x:v>0.2222222222222222</x:v>
      </x:c>
      <x:c r="M2020" s="14" t="n">
        <x:v>8</x:v>
      </x:c>
      <x:c r="N2020" s="14" t="n">
        <x:v>5</x:v>
      </x:c>
      <x:c r="O2020" s="15" t="n">
        <x:f>IF(M2020=0,"해당 없음",N2020/M2020)</x:f>
        <x:v>0.625</x:v>
      </x:c>
      <x:c r="P2020" s="14" t="n">
        <x:v>104</x:v>
      </x:c>
    </x:row>
    <x:row r="2021" ht="22" customHeight="1">
      <x:c r="A2021" s="14" t="n">
        <x:v>1008</x:v>
      </x:c>
      <x:c r="B2021" s="14" t="n">
        <x:v>26</x:v>
      </x:c>
      <x:c r="C2021" s="14" t="n">
        <x:v>76003</x:v>
      </x:c>
      <x:c r="D2021" s="2" t="str">
        <x:v>NAVY</x:v>
      </x:c>
      <x:c r="E2021" s="2" t="str">
        <x:v>160만</x:v>
      </x:c>
      <x:c r="F2021" s="2" t="str">
        <x:v>200만</x:v>
      </x:c>
      <x:c r="G2021" s="2" t="str">
        <x:v>승</x:v>
      </x:c>
      <x:c r="H2021" s="14" t="n">
        <x:v>3</x:v>
      </x:c>
      <x:c r="I2021" s="14" t="n">
        <x:v>2</x:v>
      </x:c>
      <x:c r="J2021" s="14" t="n">
        <x:v>7</x:v>
      </x:c>
      <x:c r="K2021" s="14" t="n">
        <x:v>3</x:v>
      </x:c>
      <x:c r="L2021" s="15" t="n">
        <x:f>IF(J2021=0,"해당 없음",K2021/J2021)</x:f>
        <x:v>0.42857142857142855</x:v>
      </x:c>
      <x:c r="M2021" s="14" t="n">
        <x:v>15</x:v>
      </x:c>
      <x:c r="N2021" s="14" t="n">
        <x:v>10</x:v>
      </x:c>
      <x:c r="O2021" s="15" t="n">
        <x:f>IF(M2021=0,"해당 없음",N2021/M2021)</x:f>
        <x:v>0.6666666666666666</x:v>
      </x:c>
      <x:c r="P2021" s="14" t="n">
        <x:v>104</x:v>
      </x:c>
    </x:row>
    <x:row r="2022" ht="22" customHeight="1">
      <x:c r="A2022" s="14" t="n">
        <x:v>1009</x:v>
      </x:c>
      <x:c r="B2022" s="14" t="n">
        <x:v>26</x:v>
      </x:c>
      <x:c r="C2022" s="14" t="n">
        <x:v>76004</x:v>
      </x:c>
      <x:c r="D2022" s="2" t="str">
        <x:v>RED</x:v>
      </x:c>
      <x:c r="E2022" s="2" t="str">
        <x:v>160만</x:v>
      </x:c>
      <x:c r="F2022" s="2" t="str">
        <x:v>200만</x:v>
      </x:c>
      <x:c r="G2022" s="2" t="str">
        <x:v>승</x:v>
      </x:c>
      <x:c r="H2022" s="14" t="n">
        <x:v>4</x:v>
      </x:c>
      <x:c r="I2022" s="14" t="n">
        <x:v>3</x:v>
      </x:c>
      <x:c r="J2022" s="14" t="n">
        <x:v>11</x:v>
      </x:c>
      <x:c r="K2022" s="14" t="n">
        <x:v>4</x:v>
      </x:c>
      <x:c r="L2022" s="15" t="n">
        <x:f>IF(J2022=0,"해당 없음",K2022/J2022)</x:f>
        <x:v>0.36363636363636365</x:v>
      </x:c>
      <x:c r="M2022" s="14" t="n">
        <x:v>7</x:v>
      </x:c>
      <x:c r="N2022" s="14" t="n">
        <x:v>7</x:v>
      </x:c>
      <x:c r="O2022" s="15" t="n">
        <x:f>IF(M2022=0,"해당 없음",N2022/M2022)</x:f>
        <x:v>1</x:v>
      </x:c>
      <x:c r="P2022" s="14" t="n">
        <x:v>105</x:v>
      </x:c>
    </x:row>
    <x:row r="2023" ht="22" customHeight="1">
      <x:c r="A2023" s="14" t="n">
        <x:v>1009</x:v>
      </x:c>
      <x:c r="B2023" s="14" t="n">
        <x:v>26</x:v>
      </x:c>
      <x:c r="C2023" s="14" t="n">
        <x:v>76004</x:v>
      </x:c>
      <x:c r="D2023" s="2" t="str">
        <x:v>NAVY</x:v>
      </x:c>
      <x:c r="E2023" s="2" t="str">
        <x:v>200만</x:v>
      </x:c>
      <x:c r="F2023" s="2" t="str">
        <x:v>160만</x:v>
      </x:c>
      <x:c r="G2023" s="2" t="str">
        <x:v>패</x:v>
      </x:c>
      <x:c r="H2023" s="14" t="n">
        <x:v>3</x:v>
      </x:c>
      <x:c r="I2023" s="14" t="n">
        <x:v>4</x:v>
      </x:c>
      <x:c r="J2023" s="14" t="n">
        <x:v>9</x:v>
      </x:c>
      <x:c r="K2023" s="14" t="n">
        <x:v>3</x:v>
      </x:c>
      <x:c r="L2023" s="15" t="n">
        <x:f>IF(J2023=0,"해당 없음",K2023/J2023)</x:f>
        <x:v>0.3333333333333333</x:v>
      </x:c>
      <x:c r="M2023" s="14" t="n">
        <x:v>10</x:v>
      </x:c>
      <x:c r="N2023" s="14" t="n">
        <x:v>8</x:v>
      </x:c>
      <x:c r="O2023" s="15" t="n">
        <x:f>IF(M2023=0,"해당 없음",N2023/M2023)</x:f>
        <x:v>0.8</x:v>
      </x:c>
      <x:c r="P2023" s="14" t="n">
        <x:v>103</x:v>
      </x:c>
    </x:row>
    <x:row r="2024" ht="22" customHeight="1">
      <x:c r="A2024" s="14" t="n">
        <x:v>1010</x:v>
      </x:c>
      <x:c r="B2024" s="14" t="n">
        <x:v>26</x:v>
      </x:c>
      <x:c r="C2024" s="14" t="n">
        <x:v>76004</x:v>
      </x:c>
      <x:c r="D2024" s="2" t="str">
        <x:v>RED</x:v>
      </x:c>
      <x:c r="E2024" s="2" t="str">
        <x:v>200만</x:v>
      </x:c>
      <x:c r="F2024" s="2" t="str">
        <x:v>160만</x:v>
      </x:c>
      <x:c r="G2024" s="2" t="str">
        <x:v>무</x:v>
      </x:c>
      <x:c r="H2024" s="14" t="n">
        <x:v>3</x:v>
      </x:c>
      <x:c r="I2024" s="14" t="n">
        <x:v>3</x:v>
      </x:c>
      <x:c r="J2024" s="14" t="n">
        <x:v>7</x:v>
      </x:c>
      <x:c r="K2024" s="14" t="n">
        <x:v>3</x:v>
      </x:c>
      <x:c r="L2024" s="15" t="n">
        <x:f>IF(J2024=0,"해당 없음",K2024/J2024)</x:f>
        <x:v>0.42857142857142855</x:v>
      </x:c>
      <x:c r="M2024" s="14" t="n">
        <x:v>8</x:v>
      </x:c>
      <x:c r="N2024" s="14" t="n">
        <x:v>8</x:v>
      </x:c>
      <x:c r="O2024" s="15" t="n">
        <x:f>IF(M2024=0,"해당 없음",N2024/M2024)</x:f>
        <x:v>1</x:v>
      </x:c>
      <x:c r="P2024" s="14" t="n">
        <x:v>103</x:v>
      </x:c>
    </x:row>
    <x:row r="2025" ht="22" customHeight="1">
      <x:c r="A2025" s="14" t="n">
        <x:v>1010</x:v>
      </x:c>
      <x:c r="B2025" s="14" t="n">
        <x:v>26</x:v>
      </x:c>
      <x:c r="C2025" s="14" t="n">
        <x:v>76004</x:v>
      </x:c>
      <x:c r="D2025" s="2" t="str">
        <x:v>NAVY</x:v>
      </x:c>
      <x:c r="E2025" s="2" t="str">
        <x:v>160만</x:v>
      </x:c>
      <x:c r="F2025" s="2" t="str">
        <x:v>200만</x:v>
      </x:c>
      <x:c r="G2025" s="2" t="str">
        <x:v>무</x:v>
      </x:c>
      <x:c r="H2025" s="14" t="n">
        <x:v>3</x:v>
      </x:c>
      <x:c r="I2025" s="14" t="n">
        <x:v>3</x:v>
      </x:c>
      <x:c r="J2025" s="14" t="n">
        <x:v>12</x:v>
      </x:c>
      <x:c r="K2025" s="14" t="n">
        <x:v>3</x:v>
      </x:c>
      <x:c r="L2025" s="15" t="n">
        <x:f>IF(J2025=0,"해당 없음",K2025/J2025)</x:f>
        <x:v>0.25</x:v>
      </x:c>
      <x:c r="M2025" s="14" t="n">
        <x:v>11</x:v>
      </x:c>
      <x:c r="N2025" s="14" t="n">
        <x:v>11</x:v>
      </x:c>
      <x:c r="O2025" s="15" t="n">
        <x:f>IF(M2025=0,"해당 없음",N2025/M2025)</x:f>
        <x:v>1</x:v>
      </x:c>
      <x:c r="P2025" s="14" t="n">
        <x:v>103</x:v>
      </x:c>
    </x:row>
    <x:row r="2026" ht="22" customHeight="1">
      <x:c r="A2026" s="14" t="n">
        <x:v>1011</x:v>
      </x:c>
      <x:c r="B2026" s="14" t="n">
        <x:v>26</x:v>
      </x:c>
      <x:c r="C2026" s="14" t="n">
        <x:v>76005</x:v>
      </x:c>
      <x:c r="D2026" s="2" t="str">
        <x:v>RED</x:v>
      </x:c>
      <x:c r="E2026" s="2" t="str">
        <x:v>160만</x:v>
      </x:c>
      <x:c r="F2026" s="2" t="str">
        <x:v>200만</x:v>
      </x:c>
      <x:c r="G2026" s="2" t="str">
        <x:v>승</x:v>
      </x:c>
      <x:c r="H2026" s="14" t="n">
        <x:v>5</x:v>
      </x:c>
      <x:c r="I2026" s="14" t="n">
        <x:v>2</x:v>
      </x:c>
      <x:c r="J2026" s="14" t="n">
        <x:v>13</x:v>
      </x:c>
      <x:c r="K2026" s="14" t="n">
        <x:v>5</x:v>
      </x:c>
      <x:c r="L2026" s="15" t="n">
        <x:f>IF(J2026=0,"해당 없음",K2026/J2026)</x:f>
        <x:v>0.38461538461538464</x:v>
      </x:c>
      <x:c r="M2026" s="14" t="n">
        <x:v>9</x:v>
      </x:c>
      <x:c r="N2026" s="14" t="n">
        <x:v>7</x:v>
      </x:c>
      <x:c r="O2026" s="15" t="n">
        <x:f>IF(M2026=0,"해당 없음",N2026/M2026)</x:f>
        <x:v>0.7777777777777778</x:v>
      </x:c>
      <x:c r="P2026" s="14" t="n">
        <x:v>103</x:v>
      </x:c>
    </x:row>
    <x:row r="2027" ht="22" customHeight="1">
      <x:c r="A2027" s="14" t="n">
        <x:v>1011</x:v>
      </x:c>
      <x:c r="B2027" s="14" t="n">
        <x:v>26</x:v>
      </x:c>
      <x:c r="C2027" s="14" t="n">
        <x:v>76005</x:v>
      </x:c>
      <x:c r="D2027" s="2" t="str">
        <x:v>NAVY</x:v>
      </x:c>
      <x:c r="E2027" s="2" t="str">
        <x:v>200만</x:v>
      </x:c>
      <x:c r="F2027" s="2" t="str">
        <x:v>160만</x:v>
      </x:c>
      <x:c r="G2027" s="2" t="str">
        <x:v>패</x:v>
      </x:c>
      <x:c r="H2027" s="14" t="n">
        <x:v>2</x:v>
      </x:c>
      <x:c r="I2027" s="14" t="n">
        <x:v>5</x:v>
      </x:c>
      <x:c r="J2027" s="14" t="n">
        <x:v>5</x:v>
      </x:c>
      <x:c r="K2027" s="14" t="n">
        <x:v>2</x:v>
      </x:c>
      <x:c r="L2027" s="15" t="n">
        <x:f>IF(J2027=0,"해당 없음",K2027/J2027)</x:f>
        <x:v>0.4</x:v>
      </x:c>
      <x:c r="M2027" s="14" t="n">
        <x:v>7</x:v>
      </x:c>
      <x:c r="N2027" s="14" t="n">
        <x:v>5</x:v>
      </x:c>
      <x:c r="O2027" s="15" t="n">
        <x:f>IF(M2027=0,"해당 없음",N2027/M2027)</x:f>
        <x:v>0.7142857142857143</x:v>
      </x:c>
      <x:c r="P2027" s="14" t="n">
        <x:v>103</x:v>
      </x:c>
    </x:row>
    <x:row r="2028" ht="22" customHeight="1">
      <x:c r="A2028" s="14" t="n">
        <x:v>1012</x:v>
      </x:c>
      <x:c r="B2028" s="14" t="n">
        <x:v>26</x:v>
      </x:c>
      <x:c r="C2028" s="14" t="n">
        <x:v>76005</x:v>
      </x:c>
      <x:c r="D2028" s="2" t="str">
        <x:v>RED</x:v>
      </x:c>
      <x:c r="E2028" s="2" t="str">
        <x:v>200만</x:v>
      </x:c>
      <x:c r="F2028" s="2" t="str">
        <x:v>160만</x:v>
      </x:c>
      <x:c r="G2028" s="2" t="str">
        <x:v>승</x:v>
      </x:c>
      <x:c r="H2028" s="14" t="n">
        <x:v>2</x:v>
      </x:c>
      <x:c r="I2028" s="14" t="n">
        <x:v>1</x:v>
      </x:c>
      <x:c r="J2028" s="14" t="n">
        <x:v>9</x:v>
      </x:c>
      <x:c r="K2028" s="14" t="n">
        <x:v>2</x:v>
      </x:c>
      <x:c r="L2028" s="15" t="n">
        <x:f>IF(J2028=0,"해당 없음",K2028/J2028)</x:f>
        <x:v>0.2222222222222222</x:v>
      </x:c>
      <x:c r="M2028" s="14" t="n">
        <x:v>11</x:v>
      </x:c>
      <x:c r="N2028" s="14" t="n">
        <x:v>9</x:v>
      </x:c>
      <x:c r="O2028" s="15" t="n">
        <x:f>IF(M2028=0,"해당 없음",N2028/M2028)</x:f>
        <x:v>0.8181818181818182</x:v>
      </x:c>
      <x:c r="P2028" s="14" t="n">
        <x:v>101</x:v>
      </x:c>
    </x:row>
    <x:row r="2029" ht="22" customHeight="1">
      <x:c r="A2029" s="14" t="n">
        <x:v>1012</x:v>
      </x:c>
      <x:c r="B2029" s="14" t="n">
        <x:v>26</x:v>
      </x:c>
      <x:c r="C2029" s="14" t="n">
        <x:v>76005</x:v>
      </x:c>
      <x:c r="D2029" s="2" t="str">
        <x:v>NAVY</x:v>
      </x:c>
      <x:c r="E2029" s="2" t="str">
        <x:v>160만</x:v>
      </x:c>
      <x:c r="F2029" s="2" t="str">
        <x:v>200만</x:v>
      </x:c>
      <x:c r="G2029" s="2" t="str">
        <x:v>패</x:v>
      </x:c>
      <x:c r="H2029" s="14" t="n">
        <x:v>1</x:v>
      </x:c>
      <x:c r="I2029" s="14" t="n">
        <x:v>2</x:v>
      </x:c>
      <x:c r="J2029" s="14" t="n">
        <x:v>10</x:v>
      </x:c>
      <x:c r="K2029" s="14" t="n">
        <x:v>1</x:v>
      </x:c>
      <x:c r="L2029" s="15" t="n">
        <x:f>IF(J2029=0,"해당 없음",K2029/J2029)</x:f>
        <x:v>0.1</x:v>
      </x:c>
      <x:c r="M2029" s="14" t="n">
        <x:v>13</x:v>
      </x:c>
      <x:c r="N2029" s="14" t="n">
        <x:v>11</x:v>
      </x:c>
      <x:c r="O2029" s="15" t="n">
        <x:f>IF(M2029=0,"해당 없음",N2029/M2029)</x:f>
        <x:v>0.8461538461538461</x:v>
      </x:c>
      <x:c r="P2029" s="14" t="n">
        <x:v>102</x:v>
      </x:c>
    </x:row>
    <x:row r="2030" ht="22" customHeight="1">
      <x:c r="A2030" s="14" t="n">
        <x:v>1013</x:v>
      </x:c>
      <x:c r="B2030" s="14" t="n">
        <x:v>26</x:v>
      </x:c>
      <x:c r="C2030" s="14" t="n">
        <x:v>76006</x:v>
      </x:c>
      <x:c r="D2030" s="2" t="str">
        <x:v>RED</x:v>
      </x:c>
      <x:c r="E2030" s="2" t="str">
        <x:v>160만</x:v>
      </x:c>
      <x:c r="F2030" s="2" t="str">
        <x:v>200만</x:v>
      </x:c>
      <x:c r="G2030" s="2" t="str">
        <x:v>승</x:v>
      </x:c>
      <x:c r="H2030" s="14" t="n">
        <x:v>5</x:v>
      </x:c>
      <x:c r="I2030" s="14" t="n">
        <x:v>2</x:v>
      </x:c>
      <x:c r="J2030" s="14" t="n">
        <x:v>14</x:v>
      </x:c>
      <x:c r="K2030" s="14" t="n">
        <x:v>5</x:v>
      </x:c>
      <x:c r="L2030" s="15" t="n">
        <x:f>IF(J2030=0,"해당 없음",K2030/J2030)</x:f>
        <x:v>0.35714285714285715</x:v>
      </x:c>
      <x:c r="M2030" s="14" t="n">
        <x:v>9</x:v>
      </x:c>
      <x:c r="N2030" s="14" t="n">
        <x:v>8</x:v>
      </x:c>
      <x:c r="O2030" s="15" t="n">
        <x:f>IF(M2030=0,"해당 없음",N2030/M2030)</x:f>
        <x:v>0.8888888888888888</x:v>
      </x:c>
      <x:c r="P2030" s="14" t="n">
        <x:v>103</x:v>
      </x:c>
    </x:row>
    <x:row r="2031" ht="22" customHeight="1">
      <x:c r="A2031" s="14" t="n">
        <x:v>1013</x:v>
      </x:c>
      <x:c r="B2031" s="14" t="n">
        <x:v>26</x:v>
      </x:c>
      <x:c r="C2031" s="14" t="n">
        <x:v>76006</x:v>
      </x:c>
      <x:c r="D2031" s="2" t="str">
        <x:v>NAVY</x:v>
      </x:c>
      <x:c r="E2031" s="2" t="str">
        <x:v>200만</x:v>
      </x:c>
      <x:c r="F2031" s="2" t="str">
        <x:v>160만</x:v>
      </x:c>
      <x:c r="G2031" s="2" t="str">
        <x:v>패</x:v>
      </x:c>
      <x:c r="H2031" s="14" t="n">
        <x:v>2</x:v>
      </x:c>
      <x:c r="I2031" s="14" t="n">
        <x:v>5</x:v>
      </x:c>
      <x:c r="J2031" s="14" t="n">
        <x:v>7</x:v>
      </x:c>
      <x:c r="K2031" s="14" t="n">
        <x:v>2</x:v>
      </x:c>
      <x:c r="L2031" s="15" t="n">
        <x:f>IF(J2031=0,"해당 없음",K2031/J2031)</x:f>
        <x:v>0.2857142857142857</x:v>
      </x:c>
      <x:c r="M2031" s="14" t="n">
        <x:v>9</x:v>
      </x:c>
      <x:c r="N2031" s="14" t="n">
        <x:v>6</x:v>
      </x:c>
      <x:c r="O2031" s="15" t="n">
        <x:f>IF(M2031=0,"해당 없음",N2031/M2031)</x:f>
        <x:v>0.6666666666666666</x:v>
      </x:c>
      <x:c r="P2031" s="14" t="n">
        <x:v>105</x:v>
      </x:c>
    </x:row>
    <x:row r="2032" ht="22" customHeight="1">
      <x:c r="A2032" s="14" t="n">
        <x:v>1014</x:v>
      </x:c>
      <x:c r="B2032" s="14" t="n">
        <x:v>26</x:v>
      </x:c>
      <x:c r="C2032" s="14" t="n">
        <x:v>76006</x:v>
      </x:c>
      <x:c r="D2032" s="2" t="str">
        <x:v>RED</x:v>
      </x:c>
      <x:c r="E2032" s="2" t="str">
        <x:v>200만</x:v>
      </x:c>
      <x:c r="F2032" s="2" t="str">
        <x:v>160만</x:v>
      </x:c>
      <x:c r="G2032" s="2" t="str">
        <x:v>승</x:v>
      </x:c>
      <x:c r="H2032" s="14" t="n">
        <x:v>2</x:v>
      </x:c>
      <x:c r="I2032" s="14" t="n">
        <x:v>1</x:v>
      </x:c>
      <x:c r="J2032" s="14" t="n">
        <x:v>10</x:v>
      </x:c>
      <x:c r="K2032" s="14" t="n">
        <x:v>2</x:v>
      </x:c>
      <x:c r="L2032" s="15" t="n">
        <x:f>IF(J2032=0,"해당 없음",K2032/J2032)</x:f>
        <x:v>0.2</x:v>
      </x:c>
      <x:c r="M2032" s="14" t="n">
        <x:v>10</x:v>
      </x:c>
      <x:c r="N2032" s="14" t="n">
        <x:v>8</x:v>
      </x:c>
      <x:c r="O2032" s="15" t="n">
        <x:f>IF(M2032=0,"해당 없음",N2032/M2032)</x:f>
        <x:v>0.8</x:v>
      </x:c>
      <x:c r="P2032" s="14" t="n">
        <x:v>101</x:v>
      </x:c>
    </x:row>
    <x:row r="2033" ht="22" customHeight="1">
      <x:c r="A2033" s="14" t="n">
        <x:v>1014</x:v>
      </x:c>
      <x:c r="B2033" s="14" t="n">
        <x:v>26</x:v>
      </x:c>
      <x:c r="C2033" s="14" t="n">
        <x:v>76006</x:v>
      </x:c>
      <x:c r="D2033" s="2" t="str">
        <x:v>NAVY</x:v>
      </x:c>
      <x:c r="E2033" s="2" t="str">
        <x:v>160만</x:v>
      </x:c>
      <x:c r="F2033" s="2" t="str">
        <x:v>200만</x:v>
      </x:c>
      <x:c r="G2033" s="2" t="str">
        <x:v>패</x:v>
      </x:c>
      <x:c r="H2033" s="14" t="n">
        <x:v>1</x:v>
      </x:c>
      <x:c r="I2033" s="14" t="n">
        <x:v>2</x:v>
      </x:c>
      <x:c r="J2033" s="14" t="n">
        <x:v>6</x:v>
      </x:c>
      <x:c r="K2033" s="14" t="n">
        <x:v>1</x:v>
      </x:c>
      <x:c r="L2033" s="15" t="n">
        <x:f>IF(J2033=0,"해당 없음",K2033/J2033)</x:f>
        <x:v>0.16666666666666666</x:v>
      </x:c>
      <x:c r="M2033" s="14" t="n">
        <x:v>10</x:v>
      </x:c>
      <x:c r="N2033" s="14" t="n">
        <x:v>7</x:v>
      </x:c>
      <x:c r="O2033" s="15" t="n">
        <x:f>IF(M2033=0,"해당 없음",N2033/M2033)</x:f>
        <x:v>0.7</x:v>
      </x:c>
      <x:c r="P2033" s="14" t="n">
        <x:v>98</x:v>
      </x:c>
    </x:row>
    <x:row r="2034" ht="22" customHeight="1">
      <x:c r="A2034" s="14" t="n">
        <x:v>1015</x:v>
      </x:c>
      <x:c r="B2034" s="14" t="n">
        <x:v>26</x:v>
      </x:c>
      <x:c r="C2034" s="14" t="n">
        <x:v>76007</x:v>
      </x:c>
      <x:c r="D2034" s="2" t="str">
        <x:v>RED</x:v>
      </x:c>
      <x:c r="E2034" s="2" t="str">
        <x:v>160만</x:v>
      </x:c>
      <x:c r="F2034" s="2" t="str">
        <x:v>200만</x:v>
      </x:c>
      <x:c r="G2034" s="2" t="str">
        <x:v>승</x:v>
      </x:c>
      <x:c r="H2034" s="14" t="n">
        <x:v>2</x:v>
      </x:c>
      <x:c r="I2034" s="14" t="n">
        <x:v>1</x:v>
      </x:c>
      <x:c r="J2034" s="14" t="n">
        <x:v>10</x:v>
      </x:c>
      <x:c r="K2034" s="14" t="n">
        <x:v>2</x:v>
      </x:c>
      <x:c r="L2034" s="15" t="n">
        <x:f>IF(J2034=0,"해당 없음",K2034/J2034)</x:f>
        <x:v>0.2</x:v>
      </x:c>
      <x:c r="M2034" s="14" t="n">
        <x:v>16</x:v>
      </x:c>
      <x:c r="N2034" s="14" t="n">
        <x:v>10</x:v>
      </x:c>
      <x:c r="O2034" s="15" t="n">
        <x:f>IF(M2034=0,"해당 없음",N2034/M2034)</x:f>
        <x:v>0.625</x:v>
      </x:c>
      <x:c r="P2034" s="14" t="n">
        <x:v>103</x:v>
      </x:c>
    </x:row>
    <x:row r="2035" ht="22" customHeight="1">
      <x:c r="A2035" s="14" t="n">
        <x:v>1015</x:v>
      </x:c>
      <x:c r="B2035" s="14" t="n">
        <x:v>26</x:v>
      </x:c>
      <x:c r="C2035" s="14" t="n">
        <x:v>76007</x:v>
      </x:c>
      <x:c r="D2035" s="2" t="str">
        <x:v>NAVY</x:v>
      </x:c>
      <x:c r="E2035" s="2" t="str">
        <x:v>200만</x:v>
      </x:c>
      <x:c r="F2035" s="2" t="str">
        <x:v>160만</x:v>
      </x:c>
      <x:c r="G2035" s="2" t="str">
        <x:v>패</x:v>
      </x:c>
      <x:c r="H2035" s="14" t="n">
        <x:v>1</x:v>
      </x:c>
      <x:c r="I2035" s="14" t="n">
        <x:v>2</x:v>
      </x:c>
      <x:c r="J2035" s="14" t="n">
        <x:v>7</x:v>
      </x:c>
      <x:c r="K2035" s="14" t="n">
        <x:v>1</x:v>
      </x:c>
      <x:c r="L2035" s="15" t="n">
        <x:f>IF(J2035=0,"해당 없음",K2035/J2035)</x:f>
        <x:v>0.14285714285714285</x:v>
      </x:c>
      <x:c r="M2035" s="14" t="n">
        <x:v>8</x:v>
      </x:c>
      <x:c r="N2035" s="14" t="n">
        <x:v>7</x:v>
      </x:c>
      <x:c r="O2035" s="15" t="n">
        <x:f>IF(M2035=0,"해당 없음",N2035/M2035)</x:f>
        <x:v>0.875</x:v>
      </x:c>
      <x:c r="P2035" s="14" t="n">
        <x:v>103</x:v>
      </x:c>
    </x:row>
    <x:row r="2036" ht="22" customHeight="1">
      <x:c r="A2036" s="14" t="n">
        <x:v>1016</x:v>
      </x:c>
      <x:c r="B2036" s="14" t="n">
        <x:v>26</x:v>
      </x:c>
      <x:c r="C2036" s="14" t="n">
        <x:v>76007</x:v>
      </x:c>
      <x:c r="D2036" s="2" t="str">
        <x:v>RED</x:v>
      </x:c>
      <x:c r="E2036" s="2" t="str">
        <x:v>200만</x:v>
      </x:c>
      <x:c r="F2036" s="2" t="str">
        <x:v>160만</x:v>
      </x:c>
      <x:c r="G2036" s="2" t="str">
        <x:v>무</x:v>
      </x:c>
      <x:c r="H2036" s="14" t="n">
        <x:v>2</x:v>
      </x:c>
      <x:c r="I2036" s="14" t="n">
        <x:v>2</x:v>
      </x:c>
      <x:c r="J2036" s="14" t="n">
        <x:v>10</x:v>
      </x:c>
      <x:c r="K2036" s="14" t="n">
        <x:v>2</x:v>
      </x:c>
      <x:c r="L2036" s="15" t="n">
        <x:f>IF(J2036=0,"해당 없음",K2036/J2036)</x:f>
        <x:v>0.2</x:v>
      </x:c>
      <x:c r="M2036" s="14" t="n">
        <x:v>7</x:v>
      </x:c>
      <x:c r="N2036" s="14" t="n">
        <x:v>6</x:v>
      </x:c>
      <x:c r="O2036" s="15" t="n">
        <x:f>IF(M2036=0,"해당 없음",N2036/M2036)</x:f>
        <x:v>0.8571428571428571</x:v>
      </x:c>
      <x:c r="P2036" s="14" t="n">
        <x:v>101</x:v>
      </x:c>
    </x:row>
    <x:row r="2037" ht="22" customHeight="1">
      <x:c r="A2037" s="14" t="n">
        <x:v>1016</x:v>
      </x:c>
      <x:c r="B2037" s="14" t="n">
        <x:v>26</x:v>
      </x:c>
      <x:c r="C2037" s="14" t="n">
        <x:v>76007</x:v>
      </x:c>
      <x:c r="D2037" s="2" t="str">
        <x:v>NAVY</x:v>
      </x:c>
      <x:c r="E2037" s="2" t="str">
        <x:v>160만</x:v>
      </x:c>
      <x:c r="F2037" s="2" t="str">
        <x:v>200만</x:v>
      </x:c>
      <x:c r="G2037" s="2" t="str">
        <x:v>무</x:v>
      </x:c>
      <x:c r="H2037" s="14" t="n">
        <x:v>2</x:v>
      </x:c>
      <x:c r="I2037" s="14" t="n">
        <x:v>2</x:v>
      </x:c>
      <x:c r="J2037" s="14" t="n">
        <x:v>9</x:v>
      </x:c>
      <x:c r="K2037" s="14" t="n">
        <x:v>2</x:v>
      </x:c>
      <x:c r="L2037" s="15" t="n">
        <x:f>IF(J2037=0,"해당 없음",K2037/J2037)</x:f>
        <x:v>0.2222222222222222</x:v>
      </x:c>
      <x:c r="M2037" s="14" t="n">
        <x:v>8</x:v>
      </x:c>
      <x:c r="N2037" s="14" t="n">
        <x:v>7</x:v>
      </x:c>
      <x:c r="O2037" s="15" t="n">
        <x:f>IF(M2037=0,"해당 없음",N2037/M2037)</x:f>
        <x:v>0.875</x:v>
      </x:c>
      <x:c r="P2037" s="14" t="n">
        <x:v>102</x:v>
      </x:c>
    </x:row>
    <x:row r="2038" ht="22" customHeight="1">
      <x:c r="A2038" s="14" t="n">
        <x:v>1017</x:v>
      </x:c>
      <x:c r="B2038" s="14" t="n">
        <x:v>26</x:v>
      </x:c>
      <x:c r="C2038" s="14" t="n">
        <x:v>76008</x:v>
      </x:c>
      <x:c r="D2038" s="2" t="str">
        <x:v>RED</x:v>
      </x:c>
      <x:c r="E2038" s="2" t="str">
        <x:v>160만</x:v>
      </x:c>
      <x:c r="F2038" s="2" t="str">
        <x:v>200만</x:v>
      </x:c>
      <x:c r="G2038" s="2" t="str">
        <x:v>무</x:v>
      </x:c>
      <x:c r="H2038" s="14" t="n">
        <x:v>3</x:v>
      </x:c>
      <x:c r="I2038" s="14" t="n">
        <x:v>3</x:v>
      </x:c>
      <x:c r="J2038" s="14" t="n">
        <x:v>9</x:v>
      </x:c>
      <x:c r="K2038" s="14" t="n">
        <x:v>3</x:v>
      </x:c>
      <x:c r="L2038" s="15" t="n">
        <x:f>IF(J2038=0,"해당 없음",K2038/J2038)</x:f>
        <x:v>0.3333333333333333</x:v>
      </x:c>
      <x:c r="M2038" s="14" t="n">
        <x:v>13</x:v>
      </x:c>
      <x:c r="N2038" s="14" t="n">
        <x:v>8</x:v>
      </x:c>
      <x:c r="O2038" s="15" t="n">
        <x:f>IF(M2038=0,"해당 없음",N2038/M2038)</x:f>
        <x:v>0.6153846153846154</x:v>
      </x:c>
      <x:c r="P2038" s="14" t="n">
        <x:v>104</x:v>
      </x:c>
    </x:row>
    <x:row r="2039" ht="22" customHeight="1">
      <x:c r="A2039" s="14" t="n">
        <x:v>1017</x:v>
      </x:c>
      <x:c r="B2039" s="14" t="n">
        <x:v>26</x:v>
      </x:c>
      <x:c r="C2039" s="14" t="n">
        <x:v>76008</x:v>
      </x:c>
      <x:c r="D2039" s="2" t="str">
        <x:v>NAVY</x:v>
      </x:c>
      <x:c r="E2039" s="2" t="str">
        <x:v>200만</x:v>
      </x:c>
      <x:c r="F2039" s="2" t="str">
        <x:v>160만</x:v>
      </x:c>
      <x:c r="G2039" s="2" t="str">
        <x:v>무</x:v>
      </x:c>
      <x:c r="H2039" s="14" t="n">
        <x:v>3</x:v>
      </x:c>
      <x:c r="I2039" s="14" t="n">
        <x:v>3</x:v>
      </x:c>
      <x:c r="J2039" s="14" t="n">
        <x:v>13</x:v>
      </x:c>
      <x:c r="K2039" s="14" t="n">
        <x:v>3</x:v>
      </x:c>
      <x:c r="L2039" s="15" t="n">
        <x:f>IF(J2039=0,"해당 없음",K2039/J2039)</x:f>
        <x:v>0.23076923076923078</x:v>
      </x:c>
      <x:c r="M2039" s="14" t="n">
        <x:v>5</x:v>
      </x:c>
      <x:c r="N2039" s="14" t="n">
        <x:v>4</x:v>
      </x:c>
      <x:c r="O2039" s="15" t="n">
        <x:f>IF(M2039=0,"해당 없음",N2039/M2039)</x:f>
        <x:v>0.8</x:v>
      </x:c>
      <x:c r="P2039" s="14" t="n">
        <x:v>103</x:v>
      </x:c>
    </x:row>
    <x:row r="2040" ht="22" customHeight="1">
      <x:c r="A2040" s="14" t="n">
        <x:v>1018</x:v>
      </x:c>
      <x:c r="B2040" s="14" t="n">
        <x:v>26</x:v>
      </x:c>
      <x:c r="C2040" s="14" t="n">
        <x:v>76008</x:v>
      </x:c>
      <x:c r="D2040" s="2" t="str">
        <x:v>RED</x:v>
      </x:c>
      <x:c r="E2040" s="2" t="str">
        <x:v>200만</x:v>
      </x:c>
      <x:c r="F2040" s="2" t="str">
        <x:v>160만</x:v>
      </x:c>
      <x:c r="G2040" s="2" t="str">
        <x:v>승</x:v>
      </x:c>
      <x:c r="H2040" s="14" t="n">
        <x:v>4</x:v>
      </x:c>
      <x:c r="I2040" s="14" t="n">
        <x:v>3</x:v>
      </x:c>
      <x:c r="J2040" s="14" t="n">
        <x:v>10</x:v>
      </x:c>
      <x:c r="K2040" s="14" t="n">
        <x:v>4</x:v>
      </x:c>
      <x:c r="L2040" s="15" t="n">
        <x:f>IF(J2040=0,"해당 없음",K2040/J2040)</x:f>
        <x:v>0.4</x:v>
      </x:c>
      <x:c r="M2040" s="14" t="n">
        <x:v>6</x:v>
      </x:c>
      <x:c r="N2040" s="14" t="n">
        <x:v>5</x:v>
      </x:c>
      <x:c r="O2040" s="15" t="n">
        <x:f>IF(M2040=0,"해당 없음",N2040/M2040)</x:f>
        <x:v>0.8333333333333334</x:v>
      </x:c>
      <x:c r="P2040" s="14" t="n">
        <x:v>105</x:v>
      </x:c>
    </x:row>
    <x:row r="2041" ht="22" customHeight="1">
      <x:c r="A2041" s="14" t="n">
        <x:v>1018</x:v>
      </x:c>
      <x:c r="B2041" s="14" t="n">
        <x:v>26</x:v>
      </x:c>
      <x:c r="C2041" s="14" t="n">
        <x:v>76008</x:v>
      </x:c>
      <x:c r="D2041" s="2" t="str">
        <x:v>NAVY</x:v>
      </x:c>
      <x:c r="E2041" s="2" t="str">
        <x:v>160만</x:v>
      </x:c>
      <x:c r="F2041" s="2" t="str">
        <x:v>200만</x:v>
      </x:c>
      <x:c r="G2041" s="2" t="str">
        <x:v>패</x:v>
      </x:c>
      <x:c r="H2041" s="14" t="n">
        <x:v>3</x:v>
      </x:c>
      <x:c r="I2041" s="14" t="n">
        <x:v>4</x:v>
      </x:c>
      <x:c r="J2041" s="14" t="n">
        <x:v>9</x:v>
      </x:c>
      <x:c r="K2041" s="14" t="n">
        <x:v>3</x:v>
      </x:c>
      <x:c r="L2041" s="15" t="n">
        <x:f>IF(J2041=0,"해당 없음",K2041/J2041)</x:f>
        <x:v>0.3333333333333333</x:v>
      </x:c>
      <x:c r="M2041" s="14" t="n">
        <x:v>7</x:v>
      </x:c>
      <x:c r="N2041" s="14" t="n">
        <x:v>4</x:v>
      </x:c>
      <x:c r="O2041" s="15" t="n">
        <x:f>IF(M2041=0,"해당 없음",N2041/M2041)</x:f>
        <x:v>0.5714285714285714</x:v>
      </x:c>
      <x:c r="P2041" s="14" t="n">
        <x:v>105</x:v>
      </x:c>
    </x:row>
    <x:row r="2042" ht="22" customHeight="1">
      <x:c r="A2042" s="14" t="n">
        <x:v>1019</x:v>
      </x:c>
      <x:c r="B2042" s="14" t="n">
        <x:v>26</x:v>
      </x:c>
      <x:c r="C2042" s="14" t="n">
        <x:v>76009</x:v>
      </x:c>
      <x:c r="D2042" s="2" t="str">
        <x:v>RED</x:v>
      </x:c>
      <x:c r="E2042" s="2" t="str">
        <x:v>160만</x:v>
      </x:c>
      <x:c r="F2042" s="2" t="str">
        <x:v>200만</x:v>
      </x:c>
      <x:c r="G2042" s="2" t="str">
        <x:v>패</x:v>
      </x:c>
      <x:c r="H2042" s="14" t="n">
        <x:v>1</x:v>
      </x:c>
      <x:c r="I2042" s="14" t="n">
        <x:v>4</x:v>
      </x:c>
      <x:c r="J2042" s="14" t="n">
        <x:v>8</x:v>
      </x:c>
      <x:c r="K2042" s="14" t="n">
        <x:v>1</x:v>
      </x:c>
      <x:c r="L2042" s="15" t="n">
        <x:f>IF(J2042=0,"해당 없음",K2042/J2042)</x:f>
        <x:v>0.125</x:v>
      </x:c>
      <x:c r="M2042" s="14" t="n">
        <x:v>7</x:v>
      </x:c>
      <x:c r="N2042" s="14" t="n">
        <x:v>7</x:v>
      </x:c>
      <x:c r="O2042" s="15" t="n">
        <x:f>IF(M2042=0,"해당 없음",N2042/M2042)</x:f>
        <x:v>1</x:v>
      </x:c>
      <x:c r="P2042" s="14" t="n">
        <x:v>103</x:v>
      </x:c>
    </x:row>
    <x:row r="2043" ht="22" customHeight="1">
      <x:c r="A2043" s="14" t="n">
        <x:v>1019</x:v>
      </x:c>
      <x:c r="B2043" s="14" t="n">
        <x:v>26</x:v>
      </x:c>
      <x:c r="C2043" s="14" t="n">
        <x:v>76009</x:v>
      </x:c>
      <x:c r="D2043" s="2" t="str">
        <x:v>NAVY</x:v>
      </x:c>
      <x:c r="E2043" s="2" t="str">
        <x:v>200만</x:v>
      </x:c>
      <x:c r="F2043" s="2" t="str">
        <x:v>160만</x:v>
      </x:c>
      <x:c r="G2043" s="2" t="str">
        <x:v>승</x:v>
      </x:c>
      <x:c r="H2043" s="14" t="n">
        <x:v>4</x:v>
      </x:c>
      <x:c r="I2043" s="14" t="n">
        <x:v>1</x:v>
      </x:c>
      <x:c r="J2043" s="14" t="n">
        <x:v>11</x:v>
      </x:c>
      <x:c r="K2043" s="14" t="n">
        <x:v>4</x:v>
      </x:c>
      <x:c r="L2043" s="15" t="n">
        <x:f>IF(J2043=0,"해당 없음",K2043/J2043)</x:f>
        <x:v>0.36363636363636365</x:v>
      </x:c>
      <x:c r="M2043" s="14" t="n">
        <x:v>7</x:v>
      </x:c>
      <x:c r="N2043" s="14" t="n">
        <x:v>5</x:v>
      </x:c>
      <x:c r="O2043" s="15" t="n">
        <x:f>IF(M2043=0,"해당 없음",N2043/M2043)</x:f>
        <x:v>0.7142857142857143</x:v>
      </x:c>
      <x:c r="P2043" s="14" t="n">
        <x:v>104</x:v>
      </x:c>
    </x:row>
    <x:row r="2044" ht="22" customHeight="1">
      <x:c r="A2044" s="14" t="n">
        <x:v>1020</x:v>
      </x:c>
      <x:c r="B2044" s="14" t="n">
        <x:v>26</x:v>
      </x:c>
      <x:c r="C2044" s="14" t="n">
        <x:v>76009</x:v>
      </x:c>
      <x:c r="D2044" s="2" t="str">
        <x:v>RED</x:v>
      </x:c>
      <x:c r="E2044" s="2" t="str">
        <x:v>200만</x:v>
      </x:c>
      <x:c r="F2044" s="2" t="str">
        <x:v>160만</x:v>
      </x:c>
      <x:c r="G2044" s="2" t="str">
        <x:v>무</x:v>
      </x:c>
      <x:c r="H2044" s="14" t="n">
        <x:v>2</x:v>
      </x:c>
      <x:c r="I2044" s="14" t="n">
        <x:v>2</x:v>
      </x:c>
      <x:c r="J2044" s="14" t="n">
        <x:v>8</x:v>
      </x:c>
      <x:c r="K2044" s="14" t="n">
        <x:v>2</x:v>
      </x:c>
      <x:c r="L2044" s="15" t="n">
        <x:f>IF(J2044=0,"해당 없음",K2044/J2044)</x:f>
        <x:v>0.25</x:v>
      </x:c>
      <x:c r="M2044" s="14" t="n">
        <x:v>6</x:v>
      </x:c>
      <x:c r="N2044" s="14" t="n">
        <x:v>5</x:v>
      </x:c>
      <x:c r="O2044" s="15" t="n">
        <x:f>IF(M2044=0,"해당 없음",N2044/M2044)</x:f>
        <x:v>0.8333333333333334</x:v>
      </x:c>
      <x:c r="P2044" s="14" t="n">
        <x:v>102</x:v>
      </x:c>
    </x:row>
    <x:row r="2045" ht="22" customHeight="1">
      <x:c r="A2045" s="14" t="n">
        <x:v>1020</x:v>
      </x:c>
      <x:c r="B2045" s="14" t="n">
        <x:v>26</x:v>
      </x:c>
      <x:c r="C2045" s="14" t="n">
        <x:v>76009</x:v>
      </x:c>
      <x:c r="D2045" s="2" t="str">
        <x:v>NAVY</x:v>
      </x:c>
      <x:c r="E2045" s="2" t="str">
        <x:v>160만</x:v>
      </x:c>
      <x:c r="F2045" s="2" t="str">
        <x:v>200만</x:v>
      </x:c>
      <x:c r="G2045" s="2" t="str">
        <x:v>무</x:v>
      </x:c>
      <x:c r="H2045" s="14" t="n">
        <x:v>2</x:v>
      </x:c>
      <x:c r="I2045" s="14" t="n">
        <x:v>2</x:v>
      </x:c>
      <x:c r="J2045" s="14" t="n">
        <x:v>6</x:v>
      </x:c>
      <x:c r="K2045" s="14" t="n">
        <x:v>2</x:v>
      </x:c>
      <x:c r="L2045" s="15" t="n">
        <x:f>IF(J2045=0,"해당 없음",K2045/J2045)</x:f>
        <x:v>0.3333333333333333</x:v>
      </x:c>
      <x:c r="M2045" s="14" t="n">
        <x:v>13</x:v>
      </x:c>
      <x:c r="N2045" s="14" t="n">
        <x:v>11</x:v>
      </x:c>
      <x:c r="O2045" s="15" t="n">
        <x:f>IF(M2045=0,"해당 없음",N2045/M2045)</x:f>
        <x:v>0.8461538461538461</x:v>
      </x:c>
      <x:c r="P2045" s="14" t="n">
        <x:v>102</x:v>
      </x:c>
    </x:row>
    <x:row r="2046" ht="22" customHeight="1">
      <x:c r="A2046" s="14" t="n">
        <x:v>1021</x:v>
      </x:c>
      <x:c r="B2046" s="14" t="n">
        <x:v>26</x:v>
      </x:c>
      <x:c r="C2046" s="14" t="n">
        <x:v>76010</x:v>
      </x:c>
      <x:c r="D2046" s="2" t="str">
        <x:v>RED</x:v>
      </x:c>
      <x:c r="E2046" s="2" t="str">
        <x:v>160만</x:v>
      </x:c>
      <x:c r="F2046" s="2" t="str">
        <x:v>200만</x:v>
      </x:c>
      <x:c r="G2046" s="2" t="str">
        <x:v>패</x:v>
      </x:c>
      <x:c r="H2046" s="14" t="n">
        <x:v>1</x:v>
      </x:c>
      <x:c r="I2046" s="14" t="n">
        <x:v>6</x:v>
      </x:c>
      <x:c r="J2046" s="14" t="n">
        <x:v>6</x:v>
      </x:c>
      <x:c r="K2046" s="14" t="n">
        <x:v>1</x:v>
      </x:c>
      <x:c r="L2046" s="15" t="n">
        <x:f>IF(J2046=0,"해당 없음",K2046/J2046)</x:f>
        <x:v>0.16666666666666666</x:v>
      </x:c>
      <x:c r="M2046" s="14" t="n">
        <x:v>9</x:v>
      </x:c>
      <x:c r="N2046" s="14" t="n">
        <x:v>5</x:v>
      </x:c>
      <x:c r="O2046" s="15" t="n">
        <x:f>IF(M2046=0,"해당 없음",N2046/M2046)</x:f>
        <x:v>0.5555555555555556</x:v>
      </x:c>
      <x:c r="P2046" s="14" t="n">
        <x:v>105</x:v>
      </x:c>
    </x:row>
    <x:row r="2047" ht="22" customHeight="1">
      <x:c r="A2047" s="14" t="n">
        <x:v>1021</x:v>
      </x:c>
      <x:c r="B2047" s="14" t="n">
        <x:v>26</x:v>
      </x:c>
      <x:c r="C2047" s="14" t="n">
        <x:v>76010</x:v>
      </x:c>
      <x:c r="D2047" s="2" t="str">
        <x:v>NAVY</x:v>
      </x:c>
      <x:c r="E2047" s="2" t="str">
        <x:v>200만</x:v>
      </x:c>
      <x:c r="F2047" s="2" t="str">
        <x:v>160만</x:v>
      </x:c>
      <x:c r="G2047" s="2" t="str">
        <x:v>승</x:v>
      </x:c>
      <x:c r="H2047" s="14" t="n">
        <x:v>6</x:v>
      </x:c>
      <x:c r="I2047" s="14" t="n">
        <x:v>1</x:v>
      </x:c>
      <x:c r="J2047" s="14" t="n">
        <x:v>12</x:v>
      </x:c>
      <x:c r="K2047" s="14" t="n">
        <x:v>6</x:v>
      </x:c>
      <x:c r="L2047" s="15" t="n">
        <x:f>IF(J2047=0,"해당 없음",K2047/J2047)</x:f>
        <x:v>0.5</x:v>
      </x:c>
      <x:c r="M2047" s="14" t="n">
        <x:v>8</x:v>
      </x:c>
      <x:c r="N2047" s="14" t="n">
        <x:v>8</x:v>
      </x:c>
      <x:c r="O2047" s="15" t="n">
        <x:f>IF(M2047=0,"해당 없음",N2047/M2047)</x:f>
        <x:v>1</x:v>
      </x:c>
      <x:c r="P2047" s="14" t="n">
        <x:v>102</x:v>
      </x:c>
    </x:row>
    <x:row r="2048" ht="22" customHeight="1">
      <x:c r="A2048" s="14" t="n">
        <x:v>1022</x:v>
      </x:c>
      <x:c r="B2048" s="14" t="n">
        <x:v>26</x:v>
      </x:c>
      <x:c r="C2048" s="14" t="n">
        <x:v>76010</x:v>
      </x:c>
      <x:c r="D2048" s="2" t="str">
        <x:v>RED</x:v>
      </x:c>
      <x:c r="E2048" s="2" t="str">
        <x:v>200만</x:v>
      </x:c>
      <x:c r="F2048" s="2" t="str">
        <x:v>160만</x:v>
      </x:c>
      <x:c r="G2048" s="2" t="str">
        <x:v>승</x:v>
      </x:c>
      <x:c r="H2048" s="14" t="n">
        <x:v>5</x:v>
      </x:c>
      <x:c r="I2048" s="14" t="n">
        <x:v>1</x:v>
      </x:c>
      <x:c r="J2048" s="14" t="n">
        <x:v>13</x:v>
      </x:c>
      <x:c r="K2048" s="14" t="n">
        <x:v>5</x:v>
      </x:c>
      <x:c r="L2048" s="15" t="n">
        <x:f>IF(J2048=0,"해당 없음",K2048/J2048)</x:f>
        <x:v>0.38461538461538464</x:v>
      </x:c>
      <x:c r="M2048" s="14" t="n">
        <x:v>10</x:v>
      </x:c>
      <x:c r="N2048" s="14" t="n">
        <x:v>7</x:v>
      </x:c>
      <x:c r="O2048" s="15" t="n">
        <x:f>IF(M2048=0,"해당 없음",N2048/M2048)</x:f>
        <x:v>0.7</x:v>
      </x:c>
      <x:c r="P2048" s="14" t="n">
        <x:v>104</x:v>
      </x:c>
    </x:row>
    <x:row r="2049" ht="22" customHeight="1">
      <x:c r="A2049" s="14" t="n">
        <x:v>1022</x:v>
      </x:c>
      <x:c r="B2049" s="14" t="n">
        <x:v>26</x:v>
      </x:c>
      <x:c r="C2049" s="14" t="n">
        <x:v>76010</x:v>
      </x:c>
      <x:c r="D2049" s="2" t="str">
        <x:v>NAVY</x:v>
      </x:c>
      <x:c r="E2049" s="2" t="str">
        <x:v>160만</x:v>
      </x:c>
      <x:c r="F2049" s="2" t="str">
        <x:v>200만</x:v>
      </x:c>
      <x:c r="G2049" s="2" t="str">
        <x:v>패</x:v>
      </x:c>
      <x:c r="H2049" s="14" t="n">
        <x:v>1</x:v>
      </x:c>
      <x:c r="I2049" s="14" t="n">
        <x:v>5</x:v>
      </x:c>
      <x:c r="J2049" s="14" t="n">
        <x:v>7</x:v>
      </x:c>
      <x:c r="K2049" s="14" t="n">
        <x:v>1</x:v>
      </x:c>
      <x:c r="L2049" s="15" t="n">
        <x:f>IF(J2049=0,"해당 없음",K2049/J2049)</x:f>
        <x:v>0.14285714285714285</x:v>
      </x:c>
      <x:c r="M2049" s="14" t="n">
        <x:v>7</x:v>
      </x:c>
      <x:c r="N2049" s="14" t="n">
        <x:v>6</x:v>
      </x:c>
      <x:c r="O2049" s="15" t="n">
        <x:f>IF(M2049=0,"해당 없음",N2049/M2049)</x:f>
        <x:v>0.8571428571428571</x:v>
      </x:c>
      <x:c r="P2049" s="14" t="n">
        <x:v>102</x:v>
      </x:c>
    </x:row>
    <x:row r="2050" ht="22" customHeight="1">
      <x:c r="A2050" s="14" t="n">
        <x:v>1023</x:v>
      </x:c>
      <x:c r="B2050" s="14" t="n">
        <x:v>26</x:v>
      </x:c>
      <x:c r="C2050" s="14" t="n">
        <x:v>76011</x:v>
      </x:c>
      <x:c r="D2050" s="2" t="str">
        <x:v>RED</x:v>
      </x:c>
      <x:c r="E2050" s="2" t="str">
        <x:v>160만</x:v>
      </x:c>
      <x:c r="F2050" s="2" t="str">
        <x:v>200만</x:v>
      </x:c>
      <x:c r="G2050" s="2" t="str">
        <x:v>승</x:v>
      </x:c>
      <x:c r="H2050" s="14" t="n">
        <x:v>3</x:v>
      </x:c>
      <x:c r="I2050" s="14" t="n">
        <x:v>1</x:v>
      </x:c>
      <x:c r="J2050" s="14" t="n">
        <x:v>14</x:v>
      </x:c>
      <x:c r="K2050" s="14" t="n">
        <x:v>3</x:v>
      </x:c>
      <x:c r="L2050" s="15" t="n">
        <x:f>IF(J2050=0,"해당 없음",K2050/J2050)</x:f>
        <x:v>0.21428571428571427</x:v>
      </x:c>
      <x:c r="M2050" s="14" t="n">
        <x:v>11</x:v>
      </x:c>
      <x:c r="N2050" s="14" t="n">
        <x:v>9</x:v>
      </x:c>
      <x:c r="O2050" s="15" t="n">
        <x:f>IF(M2050=0,"해당 없음",N2050/M2050)</x:f>
        <x:v>0.8181818181818182</x:v>
      </x:c>
      <x:c r="P2050" s="14" t="n">
        <x:v>104</x:v>
      </x:c>
    </x:row>
    <x:row r="2051" ht="22" customHeight="1">
      <x:c r="A2051" s="14" t="n">
        <x:v>1023</x:v>
      </x:c>
      <x:c r="B2051" s="14" t="n">
        <x:v>26</x:v>
      </x:c>
      <x:c r="C2051" s="14" t="n">
        <x:v>76011</x:v>
      </x:c>
      <x:c r="D2051" s="2" t="str">
        <x:v>NAVY</x:v>
      </x:c>
      <x:c r="E2051" s="2" t="str">
        <x:v>200만</x:v>
      </x:c>
      <x:c r="F2051" s="2" t="str">
        <x:v>160만</x:v>
      </x:c>
      <x:c r="G2051" s="2" t="str">
        <x:v>패</x:v>
      </x:c>
      <x:c r="H2051" s="14" t="n">
        <x:v>1</x:v>
      </x:c>
      <x:c r="I2051" s="14" t="n">
        <x:v>3</x:v>
      </x:c>
      <x:c r="J2051" s="14" t="n">
        <x:v>8</x:v>
      </x:c>
      <x:c r="K2051" s="14" t="n">
        <x:v>1</x:v>
      </x:c>
      <x:c r="L2051" s="15" t="n">
        <x:f>IF(J2051=0,"해당 없음",K2051/J2051)</x:f>
        <x:v>0.125</x:v>
      </x:c>
      <x:c r="M2051" s="14" t="n">
        <x:v>10</x:v>
      </x:c>
      <x:c r="N2051" s="14" t="n">
        <x:v>7</x:v>
      </x:c>
      <x:c r="O2051" s="15" t="n">
        <x:f>IF(M2051=0,"해당 없음",N2051/M2051)</x:f>
        <x:v>0.7</x:v>
      </x:c>
      <x:c r="P2051" s="14" t="n">
        <x:v>102</x:v>
      </x:c>
    </x:row>
    <x:row r="2052" ht="22" customHeight="1">
      <x:c r="A2052" s="14" t="n">
        <x:v>1024</x:v>
      </x:c>
      <x:c r="B2052" s="14" t="n">
        <x:v>26</x:v>
      </x:c>
      <x:c r="C2052" s="14" t="n">
        <x:v>76011</x:v>
      </x:c>
      <x:c r="D2052" s="2" t="str">
        <x:v>RED</x:v>
      </x:c>
      <x:c r="E2052" s="2" t="str">
        <x:v>200만</x:v>
      </x:c>
      <x:c r="F2052" s="2" t="str">
        <x:v>160만</x:v>
      </x:c>
      <x:c r="G2052" s="2" t="str">
        <x:v>패</x:v>
      </x:c>
      <x:c r="H2052" s="14" t="n">
        <x:v>2</x:v>
      </x:c>
      <x:c r="I2052" s="14" t="n">
        <x:v>5</x:v>
      </x:c>
      <x:c r="J2052" s="14" t="n">
        <x:v>11</x:v>
      </x:c>
      <x:c r="K2052" s="14" t="n">
        <x:v>2</x:v>
      </x:c>
      <x:c r="L2052" s="15" t="n">
        <x:f>IF(J2052=0,"해당 없음",K2052/J2052)</x:f>
        <x:v>0.18181818181818182</x:v>
      </x:c>
      <x:c r="M2052" s="14" t="n">
        <x:v>8</x:v>
      </x:c>
      <x:c r="N2052" s="14" t="n">
        <x:v>7</x:v>
      </x:c>
      <x:c r="O2052" s="15" t="n">
        <x:f>IF(M2052=0,"해당 없음",N2052/M2052)</x:f>
        <x:v>0.875</x:v>
      </x:c>
      <x:c r="P2052" s="14" t="n">
        <x:v>103</x:v>
      </x:c>
    </x:row>
    <x:row r="2053" ht="22" customHeight="1">
      <x:c r="A2053" s="14" t="n">
        <x:v>1024</x:v>
      </x:c>
      <x:c r="B2053" s="14" t="n">
        <x:v>26</x:v>
      </x:c>
      <x:c r="C2053" s="14" t="n">
        <x:v>76011</x:v>
      </x:c>
      <x:c r="D2053" s="2" t="str">
        <x:v>NAVY</x:v>
      </x:c>
      <x:c r="E2053" s="2" t="str">
        <x:v>160만</x:v>
      </x:c>
      <x:c r="F2053" s="2" t="str">
        <x:v>200만</x:v>
      </x:c>
      <x:c r="G2053" s="2" t="str">
        <x:v>승</x:v>
      </x:c>
      <x:c r="H2053" s="14" t="n">
        <x:v>5</x:v>
      </x:c>
      <x:c r="I2053" s="14" t="n">
        <x:v>2</x:v>
      </x:c>
      <x:c r="J2053" s="14" t="n">
        <x:v>9</x:v>
      </x:c>
      <x:c r="K2053" s="14" t="n">
        <x:v>5</x:v>
      </x:c>
      <x:c r="L2053" s="15" t="n">
        <x:f>IF(J2053=0,"해당 없음",K2053/J2053)</x:f>
        <x:v>0.5555555555555556</x:v>
      </x:c>
      <x:c r="M2053" s="14" t="n">
        <x:v>13</x:v>
      </x:c>
      <x:c r="N2053" s="14" t="n">
        <x:v>10</x:v>
      </x:c>
      <x:c r="O2053" s="15" t="n">
        <x:f>IF(M2053=0,"해당 없음",N2053/M2053)</x:f>
        <x:v>0.7692307692307693</x:v>
      </x:c>
      <x:c r="P2053" s="14" t="n">
        <x:v>103</x:v>
      </x:c>
    </x:row>
    <x:row r="2054" ht="22" customHeight="1">
      <x:c r="A2054" s="14" t="n">
        <x:v>1025</x:v>
      </x:c>
      <x:c r="B2054" s="14" t="n">
        <x:v>26</x:v>
      </x:c>
      <x:c r="C2054" s="14" t="n">
        <x:v>76012</x:v>
      </x:c>
      <x:c r="D2054" s="2" t="str">
        <x:v>RED</x:v>
      </x:c>
      <x:c r="E2054" s="2" t="str">
        <x:v>160만</x:v>
      </x:c>
      <x:c r="F2054" s="2" t="str">
        <x:v>200만</x:v>
      </x:c>
      <x:c r="G2054" s="2" t="str">
        <x:v>무</x:v>
      </x:c>
      <x:c r="H2054" s="14" t="n">
        <x:v>3</x:v>
      </x:c>
      <x:c r="I2054" s="14" t="n">
        <x:v>3</x:v>
      </x:c>
      <x:c r="J2054" s="14" t="n">
        <x:v>9</x:v>
      </x:c>
      <x:c r="K2054" s="14" t="n">
        <x:v>3</x:v>
      </x:c>
      <x:c r="L2054" s="15" t="n">
        <x:f>IF(J2054=0,"해당 없음",K2054/J2054)</x:f>
        <x:v>0.3333333333333333</x:v>
      </x:c>
      <x:c r="M2054" s="14" t="n">
        <x:v>10</x:v>
      </x:c>
      <x:c r="N2054" s="14" t="n">
        <x:v>6</x:v>
      </x:c>
      <x:c r="O2054" s="15" t="n">
        <x:f>IF(M2054=0,"해당 없음",N2054/M2054)</x:f>
        <x:v>0.6</x:v>
      </x:c>
      <x:c r="P2054" s="14" t="n">
        <x:v>104</x:v>
      </x:c>
    </x:row>
    <x:row r="2055" ht="22" customHeight="1">
      <x:c r="A2055" s="14" t="n">
        <x:v>1025</x:v>
      </x:c>
      <x:c r="B2055" s="14" t="n">
        <x:v>26</x:v>
      </x:c>
      <x:c r="C2055" s="14" t="n">
        <x:v>76012</x:v>
      </x:c>
      <x:c r="D2055" s="2" t="str">
        <x:v>NAVY</x:v>
      </x:c>
      <x:c r="E2055" s="2" t="str">
        <x:v>200만</x:v>
      </x:c>
      <x:c r="F2055" s="2" t="str">
        <x:v>160만</x:v>
      </x:c>
      <x:c r="G2055" s="2" t="str">
        <x:v>무</x:v>
      </x:c>
      <x:c r="H2055" s="14" t="n">
        <x:v>3</x:v>
      </x:c>
      <x:c r="I2055" s="14" t="n">
        <x:v>3</x:v>
      </x:c>
      <x:c r="J2055" s="14" t="n">
        <x:v>9</x:v>
      </x:c>
      <x:c r="K2055" s="14" t="n">
        <x:v>3</x:v>
      </x:c>
      <x:c r="L2055" s="15" t="n">
        <x:f>IF(J2055=0,"해당 없음",K2055/J2055)</x:f>
        <x:v>0.3333333333333333</x:v>
      </x:c>
      <x:c r="M2055" s="14" t="n">
        <x:v>9</x:v>
      </x:c>
      <x:c r="N2055" s="14" t="n">
        <x:v>9</x:v>
      </x:c>
      <x:c r="O2055" s="15" t="n">
        <x:f>IF(M2055=0,"해당 없음",N2055/M2055)</x:f>
        <x:v>1</x:v>
      </x:c>
      <x:c r="P2055" s="14" t="n">
        <x:v>105</x:v>
      </x:c>
    </x:row>
    <x:row r="2056" ht="22" customHeight="1">
      <x:c r="A2056" s="14" t="n">
        <x:v>1026</x:v>
      </x:c>
      <x:c r="B2056" s="14" t="n">
        <x:v>26</x:v>
      </x:c>
      <x:c r="C2056" s="14" t="n">
        <x:v>76012</x:v>
      </x:c>
      <x:c r="D2056" s="2" t="str">
        <x:v>RED</x:v>
      </x:c>
      <x:c r="E2056" s="2" t="str">
        <x:v>200만</x:v>
      </x:c>
      <x:c r="F2056" s="2" t="str">
        <x:v>160만</x:v>
      </x:c>
      <x:c r="G2056" s="2" t="str">
        <x:v>승</x:v>
      </x:c>
      <x:c r="H2056" s="14" t="n">
        <x:v>2</x:v>
      </x:c>
      <x:c r="I2056" s="14" t="n">
        <x:v>1</x:v>
      </x:c>
      <x:c r="J2056" s="14" t="n">
        <x:v>5</x:v>
      </x:c>
      <x:c r="K2056" s="14" t="n">
        <x:v>2</x:v>
      </x:c>
      <x:c r="L2056" s="15" t="n">
        <x:f>IF(J2056=0,"해당 없음",K2056/J2056)</x:f>
        <x:v>0.4</x:v>
      </x:c>
      <x:c r="M2056" s="14" t="n">
        <x:v>18</x:v>
      </x:c>
      <x:c r="N2056" s="14" t="n">
        <x:v>7</x:v>
      </x:c>
      <x:c r="O2056" s="15" t="n">
        <x:f>IF(M2056=0,"해당 없음",N2056/M2056)</x:f>
        <x:v>0.3888888888888889</x:v>
      </x:c>
      <x:c r="P2056" s="14" t="n">
        <x:v>103</x:v>
      </x:c>
    </x:row>
    <x:row r="2057" ht="22" customHeight="1">
      <x:c r="A2057" s="14" t="n">
        <x:v>1026</x:v>
      </x:c>
      <x:c r="B2057" s="14" t="n">
        <x:v>26</x:v>
      </x:c>
      <x:c r="C2057" s="14" t="n">
        <x:v>76012</x:v>
      </x:c>
      <x:c r="D2057" s="2" t="str">
        <x:v>NAVY</x:v>
      </x:c>
      <x:c r="E2057" s="2" t="str">
        <x:v>160만</x:v>
      </x:c>
      <x:c r="F2057" s="2" t="str">
        <x:v>200만</x:v>
      </x:c>
      <x:c r="G2057" s="2" t="str">
        <x:v>패</x:v>
      </x:c>
      <x:c r="H2057" s="14" t="n">
        <x:v>1</x:v>
      </x:c>
      <x:c r="I2057" s="14" t="n">
        <x:v>2</x:v>
      </x:c>
      <x:c r="J2057" s="14" t="n">
        <x:v>10</x:v>
      </x:c>
      <x:c r="K2057" s="14" t="n">
        <x:v>1</x:v>
      </x:c>
      <x:c r="L2057" s="15" t="n">
        <x:f>IF(J2057=0,"해당 없음",K2057/J2057)</x:f>
        <x:v>0.1</x:v>
      </x:c>
      <x:c r="M2057" s="14" t="n">
        <x:v>8</x:v>
      </x:c>
      <x:c r="N2057" s="14" t="n">
        <x:v>7</x:v>
      </x:c>
      <x:c r="O2057" s="15" t="n">
        <x:f>IF(M2057=0,"해당 없음",N2057/M2057)</x:f>
        <x:v>0.875</x:v>
      </x:c>
      <x:c r="P2057" s="14" t="n">
        <x:v>104</x:v>
      </x:c>
    </x:row>
    <x:row r="2058" ht="22" customHeight="1">
      <x:c r="A2058" s="14" t="n">
        <x:v>1027</x:v>
      </x:c>
      <x:c r="B2058" s="14" t="n">
        <x:v>26</x:v>
      </x:c>
      <x:c r="C2058" s="14" t="n">
        <x:v>76013</x:v>
      </x:c>
      <x:c r="D2058" s="2" t="str">
        <x:v>RED</x:v>
      </x:c>
      <x:c r="E2058" s="2" t="str">
        <x:v>160만</x:v>
      </x:c>
      <x:c r="F2058" s="2" t="str">
        <x:v>200만</x:v>
      </x:c>
      <x:c r="G2058" s="2" t="str">
        <x:v>승</x:v>
      </x:c>
      <x:c r="H2058" s="14" t="n">
        <x:v>1</x:v>
      </x:c>
      <x:c r="I2058" s="14" t="n">
        <x:v>0</x:v>
      </x:c>
      <x:c r="J2058" s="14" t="n">
        <x:v>12</x:v>
      </x:c>
      <x:c r="K2058" s="14" t="n">
        <x:v>1</x:v>
      </x:c>
      <x:c r="L2058" s="15" t="n">
        <x:f>IF(J2058=0,"해당 없음",K2058/J2058)</x:f>
        <x:v>0.08333333333333333</x:v>
      </x:c>
      <x:c r="M2058" s="14" t="n">
        <x:v>10</x:v>
      </x:c>
      <x:c r="N2058" s="14" t="n">
        <x:v>9</x:v>
      </x:c>
      <x:c r="O2058" s="15" t="n">
        <x:f>IF(M2058=0,"해당 없음",N2058/M2058)</x:f>
        <x:v>0.9</x:v>
      </x:c>
      <x:c r="P2058" s="14" t="n">
        <x:v>99</x:v>
      </x:c>
    </x:row>
    <x:row r="2059" ht="22" customHeight="1">
      <x:c r="A2059" s="14" t="n">
        <x:v>1027</x:v>
      </x:c>
      <x:c r="B2059" s="14" t="n">
        <x:v>26</x:v>
      </x:c>
      <x:c r="C2059" s="14" t="n">
        <x:v>76013</x:v>
      </x:c>
      <x:c r="D2059" s="2" t="str">
        <x:v>NAVY</x:v>
      </x:c>
      <x:c r="E2059" s="2" t="str">
        <x:v>200만</x:v>
      </x:c>
      <x:c r="F2059" s="2" t="str">
        <x:v>160만</x:v>
      </x:c>
      <x:c r="G2059" s="2" t="str">
        <x:v>패</x:v>
      </x:c>
      <x:c r="H2059" s="14" t="n">
        <x:v>0</x:v>
      </x:c>
      <x:c r="I2059" s="14" t="n">
        <x:v>1</x:v>
      </x:c>
      <x:c r="J2059" s="14" t="n">
        <x:v>4</x:v>
      </x:c>
      <x:c r="K2059" s="14" t="n">
        <x:v>0</x:v>
      </x:c>
      <x:c r="L2059" s="15" t="n">
        <x:f>IF(J2059=0,"해당 없음",K2059/J2059)</x:f>
        <x:v>0</x:v>
      </x:c>
      <x:c r="M2059" s="14" t="n">
        <x:v>11</x:v>
      </x:c>
      <x:c r="N2059" s="14" t="n">
        <x:v>8</x:v>
      </x:c>
      <x:c r="O2059" s="15" t="n">
        <x:f>IF(M2059=0,"해당 없음",N2059/M2059)</x:f>
        <x:v>0.7272727272727273</x:v>
      </x:c>
      <x:c r="P2059" s="14" t="n">
        <x:v>100</x:v>
      </x:c>
    </x:row>
    <x:row r="2060" ht="22" customHeight="1">
      <x:c r="A2060" s="14" t="n">
        <x:v>1028</x:v>
      </x:c>
      <x:c r="B2060" s="14" t="n">
        <x:v>26</x:v>
      </x:c>
      <x:c r="C2060" s="14" t="n">
        <x:v>76013</x:v>
      </x:c>
      <x:c r="D2060" s="2" t="str">
        <x:v>RED</x:v>
      </x:c>
      <x:c r="E2060" s="2" t="str">
        <x:v>200만</x:v>
      </x:c>
      <x:c r="F2060" s="2" t="str">
        <x:v>160만</x:v>
      </x:c>
      <x:c r="G2060" s="2" t="str">
        <x:v>패</x:v>
      </x:c>
      <x:c r="H2060" s="14" t="n">
        <x:v>1</x:v>
      </x:c>
      <x:c r="I2060" s="14" t="n">
        <x:v>4</x:v>
      </x:c>
      <x:c r="J2060" s="14" t="n">
        <x:v>7</x:v>
      </x:c>
      <x:c r="K2060" s="14" t="n">
        <x:v>1</x:v>
      </x:c>
      <x:c r="L2060" s="15" t="n">
        <x:f>IF(J2060=0,"해당 없음",K2060/J2060)</x:f>
        <x:v>0.14285714285714285</x:v>
      </x:c>
      <x:c r="M2060" s="14" t="n">
        <x:v>5</x:v>
      </x:c>
      <x:c r="N2060" s="14" t="n">
        <x:v>4</x:v>
      </x:c>
      <x:c r="O2060" s="15" t="n">
        <x:f>IF(M2060=0,"해당 없음",N2060/M2060)</x:f>
        <x:v>0.8</x:v>
      </x:c>
      <x:c r="P2060" s="14" t="n">
        <x:v>103</x:v>
      </x:c>
    </x:row>
    <x:row r="2061" ht="22" customHeight="1">
      <x:c r="A2061" s="14" t="n">
        <x:v>1028</x:v>
      </x:c>
      <x:c r="B2061" s="14" t="n">
        <x:v>26</x:v>
      </x:c>
      <x:c r="C2061" s="14" t="n">
        <x:v>76013</x:v>
      </x:c>
      <x:c r="D2061" s="2" t="str">
        <x:v>NAVY</x:v>
      </x:c>
      <x:c r="E2061" s="2" t="str">
        <x:v>160만</x:v>
      </x:c>
      <x:c r="F2061" s="2" t="str">
        <x:v>200만</x:v>
      </x:c>
      <x:c r="G2061" s="2" t="str">
        <x:v>승</x:v>
      </x:c>
      <x:c r="H2061" s="14" t="n">
        <x:v>4</x:v>
      </x:c>
      <x:c r="I2061" s="14" t="n">
        <x:v>1</x:v>
      </x:c>
      <x:c r="J2061" s="14" t="n">
        <x:v>10</x:v>
      </x:c>
      <x:c r="K2061" s="14" t="n">
        <x:v>4</x:v>
      </x:c>
      <x:c r="L2061" s="15" t="n">
        <x:f>IF(J2061=0,"해당 없음",K2061/J2061)</x:f>
        <x:v>0.4</x:v>
      </x:c>
      <x:c r="M2061" s="14" t="n">
        <x:v>8</x:v>
      </x:c>
      <x:c r="N2061" s="14" t="n">
        <x:v>6</x:v>
      </x:c>
      <x:c r="O2061" s="15" t="n">
        <x:f>IF(M2061=0,"해당 없음",N2061/M2061)</x:f>
        <x:v>0.75</x:v>
      </x:c>
      <x:c r="P2061" s="14" t="n">
        <x:v>103</x:v>
      </x:c>
    </x:row>
    <x:row r="2062" ht="22" customHeight="1">
      <x:c r="A2062" s="14" t="n">
        <x:v>1029</x:v>
      </x:c>
      <x:c r="B2062" s="14" t="n">
        <x:v>26</x:v>
      </x:c>
      <x:c r="C2062" s="14" t="n">
        <x:v>76014</x:v>
      </x:c>
      <x:c r="D2062" s="2" t="str">
        <x:v>RED</x:v>
      </x:c>
      <x:c r="E2062" s="2" t="str">
        <x:v>160만</x:v>
      </x:c>
      <x:c r="F2062" s="2" t="str">
        <x:v>200만</x:v>
      </x:c>
      <x:c r="G2062" s="2" t="str">
        <x:v>패</x:v>
      </x:c>
      <x:c r="H2062" s="14" t="n">
        <x:v>0</x:v>
      </x:c>
      <x:c r="I2062" s="14" t="n">
        <x:v>2</x:v>
      </x:c>
      <x:c r="J2062" s="14" t="n">
        <x:v>6</x:v>
      </x:c>
      <x:c r="K2062" s="14" t="n">
        <x:v>0</x:v>
      </x:c>
      <x:c r="L2062" s="15" t="n">
        <x:f>IF(J2062=0,"해당 없음",K2062/J2062)</x:f>
        <x:v>0</x:v>
      </x:c>
      <x:c r="M2062" s="14" t="n">
        <x:v>11</x:v>
      </x:c>
      <x:c r="N2062" s="14" t="n">
        <x:v>9</x:v>
      </x:c>
      <x:c r="O2062" s="15" t="n">
        <x:f>IF(M2062=0,"해당 없음",N2062/M2062)</x:f>
        <x:v>0.8181818181818182</x:v>
      </x:c>
      <x:c r="P2062" s="14" t="n">
        <x:v>102</x:v>
      </x:c>
    </x:row>
    <x:row r="2063" ht="22" customHeight="1">
      <x:c r="A2063" s="14" t="n">
        <x:v>1029</x:v>
      </x:c>
      <x:c r="B2063" s="14" t="n">
        <x:v>26</x:v>
      </x:c>
      <x:c r="C2063" s="14" t="n">
        <x:v>76014</x:v>
      </x:c>
      <x:c r="D2063" s="2" t="str">
        <x:v>NAVY</x:v>
      </x:c>
      <x:c r="E2063" s="2" t="str">
        <x:v>200만</x:v>
      </x:c>
      <x:c r="F2063" s="2" t="str">
        <x:v>160만</x:v>
      </x:c>
      <x:c r="G2063" s="2" t="str">
        <x:v>승</x:v>
      </x:c>
      <x:c r="H2063" s="14" t="n">
        <x:v>2</x:v>
      </x:c>
      <x:c r="I2063" s="14" t="n">
        <x:v>0</x:v>
      </x:c>
      <x:c r="J2063" s="14" t="n">
        <x:v>8</x:v>
      </x:c>
      <x:c r="K2063" s="14" t="n">
        <x:v>2</x:v>
      </x:c>
      <x:c r="L2063" s="15" t="n">
        <x:f>IF(J2063=0,"해당 없음",K2063/J2063)</x:f>
        <x:v>0.25</x:v>
      </x:c>
      <x:c r="M2063" s="14" t="n">
        <x:v>13</x:v>
      </x:c>
      <x:c r="N2063" s="14" t="n">
        <x:v>8</x:v>
      </x:c>
      <x:c r="O2063" s="15" t="n">
        <x:f>IF(M2063=0,"해당 없음",N2063/M2063)</x:f>
        <x:v>0.6153846153846154</x:v>
      </x:c>
      <x:c r="P2063" s="14" t="n">
        <x:v>102</x:v>
      </x:c>
    </x:row>
    <x:row r="2064" ht="22" customHeight="1">
      <x:c r="A2064" s="14" t="n">
        <x:v>1030</x:v>
      </x:c>
      <x:c r="B2064" s="14" t="n">
        <x:v>26</x:v>
      </x:c>
      <x:c r="C2064" s="14" t="n">
        <x:v>76014</x:v>
      </x:c>
      <x:c r="D2064" s="2" t="str">
        <x:v>RED</x:v>
      </x:c>
      <x:c r="E2064" s="2" t="str">
        <x:v>200만</x:v>
      </x:c>
      <x:c r="F2064" s="2" t="str">
        <x:v>160만</x:v>
      </x:c>
      <x:c r="G2064" s="2" t="str">
        <x:v>승</x:v>
      </x:c>
      <x:c r="H2064" s="14" t="n">
        <x:v>4</x:v>
      </x:c>
      <x:c r="I2064" s="14" t="n">
        <x:v>0</x:v>
      </x:c>
      <x:c r="J2064" s="14" t="n">
        <x:v>18</x:v>
      </x:c>
      <x:c r="K2064" s="14" t="n">
        <x:v>4</x:v>
      </x:c>
      <x:c r="L2064" s="15" t="n">
        <x:f>IF(J2064=0,"해당 없음",K2064/J2064)</x:f>
        <x:v>0.2222222222222222</x:v>
      </x:c>
      <x:c r="M2064" s="14" t="n">
        <x:v>11</x:v>
      </x:c>
      <x:c r="N2064" s="14" t="n">
        <x:v>8</x:v>
      </x:c>
      <x:c r="O2064" s="15" t="n">
        <x:f>IF(M2064=0,"해당 없음",N2064/M2064)</x:f>
        <x:v>0.7272727272727273</x:v>
      </x:c>
      <x:c r="P2064" s="14" t="n">
        <x:v>103</x:v>
      </x:c>
    </x:row>
    <x:row r="2065" ht="22" customHeight="1">
      <x:c r="A2065" s="14" t="n">
        <x:v>1030</x:v>
      </x:c>
      <x:c r="B2065" s="14" t="n">
        <x:v>26</x:v>
      </x:c>
      <x:c r="C2065" s="14" t="n">
        <x:v>76014</x:v>
      </x:c>
      <x:c r="D2065" s="2" t="str">
        <x:v>NAVY</x:v>
      </x:c>
      <x:c r="E2065" s="2" t="str">
        <x:v>160만</x:v>
      </x:c>
      <x:c r="F2065" s="2" t="str">
        <x:v>200만</x:v>
      </x:c>
      <x:c r="G2065" s="2" t="str">
        <x:v>패</x:v>
      </x:c>
      <x:c r="H2065" s="14" t="n">
        <x:v>0</x:v>
      </x:c>
      <x:c r="I2065" s="14" t="n">
        <x:v>4</x:v>
      </x:c>
      <x:c r="J2065" s="14" t="n">
        <x:v>6</x:v>
      </x:c>
      <x:c r="K2065" s="14" t="n">
        <x:v>0</x:v>
      </x:c>
      <x:c r="L2065" s="15" t="n">
        <x:f>IF(J2065=0,"해당 없음",K2065/J2065)</x:f>
        <x:v>0</x:v>
      </x:c>
      <x:c r="M2065" s="14" t="n">
        <x:v>9</x:v>
      </x:c>
      <x:c r="N2065" s="14" t="n">
        <x:v>7</x:v>
      </x:c>
      <x:c r="O2065" s="15" t="n">
        <x:f>IF(M2065=0,"해당 없음",N2065/M2065)</x:f>
        <x:v>0.7777777777777778</x:v>
      </x:c>
      <x:c r="P2065" s="14" t="n">
        <x:v>104</x:v>
      </x:c>
    </x:row>
    <x:row r="2066" ht="22" customHeight="1">
      <x:c r="A2066" s="14" t="n">
        <x:v>1031</x:v>
      </x:c>
      <x:c r="B2066" s="14" t="n">
        <x:v>26</x:v>
      </x:c>
      <x:c r="C2066" s="14" t="n">
        <x:v>76015</x:v>
      </x:c>
      <x:c r="D2066" s="2" t="str">
        <x:v>RED</x:v>
      </x:c>
      <x:c r="E2066" s="2" t="str">
        <x:v>160만</x:v>
      </x:c>
      <x:c r="F2066" s="2" t="str">
        <x:v>200만</x:v>
      </x:c>
      <x:c r="G2066" s="2" t="str">
        <x:v>승</x:v>
      </x:c>
      <x:c r="H2066" s="14" t="n">
        <x:v>2</x:v>
      </x:c>
      <x:c r="I2066" s="14" t="n">
        <x:v>1</x:v>
      </x:c>
      <x:c r="J2066" s="14" t="n">
        <x:v>6</x:v>
      </x:c>
      <x:c r="K2066" s="14" t="n">
        <x:v>2</x:v>
      </x:c>
      <x:c r="L2066" s="15" t="n">
        <x:f>IF(J2066=0,"해당 없음",K2066/J2066)</x:f>
        <x:v>0.3333333333333333</x:v>
      </x:c>
      <x:c r="M2066" s="14" t="n">
        <x:v>15</x:v>
      </x:c>
      <x:c r="N2066" s="14" t="n">
        <x:v>9</x:v>
      </x:c>
      <x:c r="O2066" s="15" t="n">
        <x:f>IF(M2066=0,"해당 없음",N2066/M2066)</x:f>
        <x:v>0.6</x:v>
      </x:c>
      <x:c r="P2066" s="14" t="n">
        <x:v>101</x:v>
      </x:c>
    </x:row>
    <x:row r="2067" ht="22" customHeight="1">
      <x:c r="A2067" s="14" t="n">
        <x:v>1031</x:v>
      </x:c>
      <x:c r="B2067" s="14" t="n">
        <x:v>26</x:v>
      </x:c>
      <x:c r="C2067" s="14" t="n">
        <x:v>76015</x:v>
      </x:c>
      <x:c r="D2067" s="2" t="str">
        <x:v>NAVY</x:v>
      </x:c>
      <x:c r="E2067" s="2" t="str">
        <x:v>200만</x:v>
      </x:c>
      <x:c r="F2067" s="2" t="str">
        <x:v>160만</x:v>
      </x:c>
      <x:c r="G2067" s="2" t="str">
        <x:v>패</x:v>
      </x:c>
      <x:c r="H2067" s="14" t="n">
        <x:v>1</x:v>
      </x:c>
      <x:c r="I2067" s="14" t="n">
        <x:v>2</x:v>
      </x:c>
      <x:c r="J2067" s="14" t="n">
        <x:v>7</x:v>
      </x:c>
      <x:c r="K2067" s="14" t="n">
        <x:v>1</x:v>
      </x:c>
      <x:c r="L2067" s="15" t="n">
        <x:f>IF(J2067=0,"해당 없음",K2067/J2067)</x:f>
        <x:v>0.14285714285714285</x:v>
      </x:c>
      <x:c r="M2067" s="14" t="n">
        <x:v>10</x:v>
      </x:c>
      <x:c r="N2067" s="14" t="n">
        <x:v>9</x:v>
      </x:c>
      <x:c r="O2067" s="15" t="n">
        <x:f>IF(M2067=0,"해당 없음",N2067/M2067)</x:f>
        <x:v>0.9</x:v>
      </x:c>
      <x:c r="P2067" s="14" t="n">
        <x:v>101</x:v>
      </x:c>
    </x:row>
    <x:row r="2068" ht="22" customHeight="1">
      <x:c r="A2068" s="14" t="n">
        <x:v>1032</x:v>
      </x:c>
      <x:c r="B2068" s="14" t="n">
        <x:v>26</x:v>
      </x:c>
      <x:c r="C2068" s="14" t="n">
        <x:v>76015</x:v>
      </x:c>
      <x:c r="D2068" s="2" t="str">
        <x:v>RED</x:v>
      </x:c>
      <x:c r="E2068" s="2" t="str">
        <x:v>200만</x:v>
      </x:c>
      <x:c r="F2068" s="2" t="str">
        <x:v>160만</x:v>
      </x:c>
      <x:c r="G2068" s="2" t="str">
        <x:v>패</x:v>
      </x:c>
      <x:c r="H2068" s="14" t="n">
        <x:v>0</x:v>
      </x:c>
      <x:c r="I2068" s="14" t="n">
        <x:v>2</x:v>
      </x:c>
      <x:c r="J2068" s="14" t="n">
        <x:v>15</x:v>
      </x:c>
      <x:c r="K2068" s="14" t="n">
        <x:v>0</x:v>
      </x:c>
      <x:c r="L2068" s="15" t="n">
        <x:f>IF(J2068=0,"해당 없음",K2068/J2068)</x:f>
        <x:v>0</x:v>
      </x:c>
      <x:c r="M2068" s="14" t="n">
        <x:v>6</x:v>
      </x:c>
      <x:c r="N2068" s="14" t="n">
        <x:v>5</x:v>
      </x:c>
      <x:c r="O2068" s="15" t="n">
        <x:f>IF(M2068=0,"해당 없음",N2068/M2068)</x:f>
        <x:v>0.8333333333333334</x:v>
      </x:c>
      <x:c r="P2068" s="14" t="n">
        <x:v>102</x:v>
      </x:c>
    </x:row>
    <x:row r="2069" ht="22" customHeight="1">
      <x:c r="A2069" s="14" t="n">
        <x:v>1032</x:v>
      </x:c>
      <x:c r="B2069" s="14" t="n">
        <x:v>26</x:v>
      </x:c>
      <x:c r="C2069" s="14" t="n">
        <x:v>76015</x:v>
      </x:c>
      <x:c r="D2069" s="2" t="str">
        <x:v>NAVY</x:v>
      </x:c>
      <x:c r="E2069" s="2" t="str">
        <x:v>160만</x:v>
      </x:c>
      <x:c r="F2069" s="2" t="str">
        <x:v>200만</x:v>
      </x:c>
      <x:c r="G2069" s="2" t="str">
        <x:v>승</x:v>
      </x:c>
      <x:c r="H2069" s="14" t="n">
        <x:v>2</x:v>
      </x:c>
      <x:c r="I2069" s="14" t="n">
        <x:v>0</x:v>
      </x:c>
      <x:c r="J2069" s="14" t="n">
        <x:v>4</x:v>
      </x:c>
      <x:c r="K2069" s="14" t="n">
        <x:v>2</x:v>
      </x:c>
      <x:c r="L2069" s="15" t="n">
        <x:f>IF(J2069=0,"해당 없음",K2069/J2069)</x:f>
        <x:v>0.5</x:v>
      </x:c>
      <x:c r="M2069" s="14" t="n">
        <x:v>18</x:v>
      </x:c>
      <x:c r="N2069" s="14" t="n">
        <x:v>8</x:v>
      </x:c>
      <x:c r="O2069" s="15" t="n">
        <x:f>IF(M2069=0,"해당 없음",N2069/M2069)</x:f>
        <x:v>0.4444444444444444</x:v>
      </x:c>
      <x:c r="P2069" s="14" t="n">
        <x:v>102</x:v>
      </x:c>
    </x:row>
    <x:row r="2070" ht="22" customHeight="1">
      <x:c r="A2070" s="14" t="n">
        <x:v>1033</x:v>
      </x:c>
      <x:c r="B2070" s="14" t="n">
        <x:v>26</x:v>
      </x:c>
      <x:c r="C2070" s="14" t="n">
        <x:v>76016</x:v>
      </x:c>
      <x:c r="D2070" s="2" t="str">
        <x:v>RED</x:v>
      </x:c>
      <x:c r="E2070" s="2" t="str">
        <x:v>160만</x:v>
      </x:c>
      <x:c r="F2070" s="2" t="str">
        <x:v>200만</x:v>
      </x:c>
      <x:c r="G2070" s="2" t="str">
        <x:v>승</x:v>
      </x:c>
      <x:c r="H2070" s="14" t="n">
        <x:v>3</x:v>
      </x:c>
      <x:c r="I2070" s="14" t="n">
        <x:v>1</x:v>
      </x:c>
      <x:c r="J2070" s="14" t="n">
        <x:v>9</x:v>
      </x:c>
      <x:c r="K2070" s="14" t="n">
        <x:v>2</x:v>
      </x:c>
      <x:c r="L2070" s="15" t="n">
        <x:f>IF(J2070=0,"해당 없음",K2070/J2070)</x:f>
        <x:v>0.2222222222222222</x:v>
      </x:c>
      <x:c r="M2070" s="14" t="n">
        <x:v>14</x:v>
      </x:c>
      <x:c r="N2070" s="14" t="n">
        <x:v>9</x:v>
      </x:c>
      <x:c r="O2070" s="15" t="n">
        <x:f>IF(M2070=0,"해당 없음",N2070/M2070)</x:f>
        <x:v>0.6428571428571429</x:v>
      </x:c>
      <x:c r="P2070" s="14" t="n">
        <x:v>102</x:v>
      </x:c>
    </x:row>
    <x:row r="2071" ht="22" customHeight="1">
      <x:c r="A2071" s="14" t="n">
        <x:v>1033</x:v>
      </x:c>
      <x:c r="B2071" s="14" t="n">
        <x:v>26</x:v>
      </x:c>
      <x:c r="C2071" s="14" t="n">
        <x:v>76016</x:v>
      </x:c>
      <x:c r="D2071" s="2" t="str">
        <x:v>NAVY</x:v>
      </x:c>
      <x:c r="E2071" s="2" t="str">
        <x:v>200만</x:v>
      </x:c>
      <x:c r="F2071" s="2" t="str">
        <x:v>160만</x:v>
      </x:c>
      <x:c r="G2071" s="2" t="str">
        <x:v>패</x:v>
      </x:c>
      <x:c r="H2071" s="14" t="n">
        <x:v>1</x:v>
      </x:c>
      <x:c r="I2071" s="14" t="n">
        <x:v>3</x:v>
      </x:c>
      <x:c r="J2071" s="14" t="n">
        <x:v>7</x:v>
      </x:c>
      <x:c r="K2071" s="14" t="n">
        <x:v>1</x:v>
      </x:c>
      <x:c r="L2071" s="15" t="n">
        <x:f>IF(J2071=0,"해당 없음",K2071/J2071)</x:f>
        <x:v>0.14285714285714285</x:v>
      </x:c>
      <x:c r="M2071" s="14" t="n">
        <x:v>11</x:v>
      </x:c>
      <x:c r="N2071" s="14" t="n">
        <x:v>7</x:v>
      </x:c>
      <x:c r="O2071" s="15" t="n">
        <x:f>IF(M2071=0,"해당 없음",N2071/M2071)</x:f>
        <x:v>0.6363636363636364</x:v>
      </x:c>
      <x:c r="P2071" s="14" t="n">
        <x:v>102</x:v>
      </x:c>
    </x:row>
    <x:row r="2072" ht="22" customHeight="1">
      <x:c r="A2072" s="14" t="n">
        <x:v>1034</x:v>
      </x:c>
      <x:c r="B2072" s="14" t="n">
        <x:v>26</x:v>
      </x:c>
      <x:c r="C2072" s="14" t="n">
        <x:v>76016</x:v>
      </x:c>
      <x:c r="D2072" s="2" t="str">
        <x:v>RED</x:v>
      </x:c>
      <x:c r="E2072" s="2" t="str">
        <x:v>200만</x:v>
      </x:c>
      <x:c r="F2072" s="2" t="str">
        <x:v>160만</x:v>
      </x:c>
      <x:c r="G2072" s="2" t="str">
        <x:v>승</x:v>
      </x:c>
      <x:c r="H2072" s="14" t="n">
        <x:v>5</x:v>
      </x:c>
      <x:c r="I2072" s="14" t="n">
        <x:v>3</x:v>
      </x:c>
      <x:c r="J2072" s="14" t="n">
        <x:v>9</x:v>
      </x:c>
      <x:c r="K2072" s="14" t="n">
        <x:v>5</x:v>
      </x:c>
      <x:c r="L2072" s="15" t="n">
        <x:f>IF(J2072=0,"해당 없음",K2072/J2072)</x:f>
        <x:v>0.5555555555555556</x:v>
      </x:c>
      <x:c r="M2072" s="14" t="n">
        <x:v>8</x:v>
      </x:c>
      <x:c r="N2072" s="14" t="n">
        <x:v>6</x:v>
      </x:c>
      <x:c r="O2072" s="15" t="n">
        <x:f>IF(M2072=0,"해당 없음",N2072/M2072)</x:f>
        <x:v>0.75</x:v>
      </x:c>
      <x:c r="P2072" s="14" t="n">
        <x:v>104</x:v>
      </x:c>
    </x:row>
    <x:row r="2073" ht="22" customHeight="1">
      <x:c r="A2073" s="14" t="n">
        <x:v>1034</x:v>
      </x:c>
      <x:c r="B2073" s="14" t="n">
        <x:v>26</x:v>
      </x:c>
      <x:c r="C2073" s="14" t="n">
        <x:v>76016</x:v>
      </x:c>
      <x:c r="D2073" s="2" t="str">
        <x:v>NAVY</x:v>
      </x:c>
      <x:c r="E2073" s="2" t="str">
        <x:v>160만</x:v>
      </x:c>
      <x:c r="F2073" s="2" t="str">
        <x:v>200만</x:v>
      </x:c>
      <x:c r="G2073" s="2" t="str">
        <x:v>패</x:v>
      </x:c>
      <x:c r="H2073" s="14" t="n">
        <x:v>3</x:v>
      </x:c>
      <x:c r="I2073" s="14" t="n">
        <x:v>5</x:v>
      </x:c>
      <x:c r="J2073" s="14" t="n">
        <x:v>8</x:v>
      </x:c>
      <x:c r="K2073" s="14" t="n">
        <x:v>3</x:v>
      </x:c>
      <x:c r="L2073" s="15" t="n">
        <x:f>IF(J2073=0,"해당 없음",K2073/J2073)</x:f>
        <x:v>0.375</x:v>
      </x:c>
      <x:c r="M2073" s="14" t="n">
        <x:v>10</x:v>
      </x:c>
      <x:c r="N2073" s="14" t="n">
        <x:v>8</x:v>
      </x:c>
      <x:c r="O2073" s="15" t="n">
        <x:f>IF(M2073=0,"해당 없음",N2073/M2073)</x:f>
        <x:v>0.8</x:v>
      </x:c>
      <x:c r="P2073" s="14" t="n">
        <x:v>103</x:v>
      </x:c>
    </x:row>
    <x:row r="2074" ht="22" customHeight="1">
      <x:c r="A2074" s="14" t="n">
        <x:v>1035</x:v>
      </x:c>
      <x:c r="B2074" s="14" t="n">
        <x:v>26</x:v>
      </x:c>
      <x:c r="C2074" s="14" t="n">
        <x:v>76017</x:v>
      </x:c>
      <x:c r="D2074" s="2" t="str">
        <x:v>RED</x:v>
      </x:c>
      <x:c r="E2074" s="2" t="str">
        <x:v>160만</x:v>
      </x:c>
      <x:c r="F2074" s="2" t="str">
        <x:v>200만</x:v>
      </x:c>
      <x:c r="G2074" s="2" t="str">
        <x:v>패</x:v>
      </x:c>
      <x:c r="H2074" s="14" t="n">
        <x:v>1</x:v>
      </x:c>
      <x:c r="I2074" s="14" t="n">
        <x:v>4</x:v>
      </x:c>
      <x:c r="J2074" s="14" t="n">
        <x:v>10</x:v>
      </x:c>
      <x:c r="K2074" s="14" t="n">
        <x:v>1</x:v>
      </x:c>
      <x:c r="L2074" s="15" t="n">
        <x:f>IF(J2074=0,"해당 없음",K2074/J2074)</x:f>
        <x:v>0.1</x:v>
      </x:c>
      <x:c r="M2074" s="14" t="n">
        <x:v>7</x:v>
      </x:c>
      <x:c r="N2074" s="14" t="n">
        <x:v>6</x:v>
      </x:c>
      <x:c r="O2074" s="15" t="n">
        <x:f>IF(M2074=0,"해당 없음",N2074/M2074)</x:f>
        <x:v>0.8571428571428571</x:v>
      </x:c>
      <x:c r="P2074" s="14" t="n">
        <x:v>104</x:v>
      </x:c>
    </x:row>
    <x:row r="2075" ht="22" customHeight="1">
      <x:c r="A2075" s="14" t="n">
        <x:v>1035</x:v>
      </x:c>
      <x:c r="B2075" s="14" t="n">
        <x:v>26</x:v>
      </x:c>
      <x:c r="C2075" s="14" t="n">
        <x:v>76017</x:v>
      </x:c>
      <x:c r="D2075" s="2" t="str">
        <x:v>NAVY</x:v>
      </x:c>
      <x:c r="E2075" s="2" t="str">
        <x:v>200만</x:v>
      </x:c>
      <x:c r="F2075" s="2" t="str">
        <x:v>160만</x:v>
      </x:c>
      <x:c r="G2075" s="2" t="str">
        <x:v>승</x:v>
      </x:c>
      <x:c r="H2075" s="14" t="n">
        <x:v>4</x:v>
      </x:c>
      <x:c r="I2075" s="14" t="n">
        <x:v>1</x:v>
      </x:c>
      <x:c r="J2075" s="14" t="n">
        <x:v>9</x:v>
      </x:c>
      <x:c r="K2075" s="14" t="n">
        <x:v>4</x:v>
      </x:c>
      <x:c r="L2075" s="15" t="n">
        <x:f>IF(J2075=0,"해당 없음",K2075/J2075)</x:f>
        <x:v>0.4444444444444444</x:v>
      </x:c>
      <x:c r="M2075" s="14" t="n">
        <x:v>11</x:v>
      </x:c>
      <x:c r="N2075" s="14" t="n">
        <x:v>8</x:v>
      </x:c>
      <x:c r="O2075" s="15" t="n">
        <x:f>IF(M2075=0,"해당 없음",N2075/M2075)</x:f>
        <x:v>0.7272727272727273</x:v>
      </x:c>
      <x:c r="P2075" s="14" t="n">
        <x:v>104</x:v>
      </x:c>
    </x:row>
    <x:row r="2076" ht="22" customHeight="1">
      <x:c r="A2076" s="14" t="n">
        <x:v>1036</x:v>
      </x:c>
      <x:c r="B2076" s="14" t="n">
        <x:v>26</x:v>
      </x:c>
      <x:c r="C2076" s="14" t="n">
        <x:v>76017</x:v>
      </x:c>
      <x:c r="D2076" s="2" t="str">
        <x:v>RED</x:v>
      </x:c>
      <x:c r="E2076" s="2" t="str">
        <x:v>200만</x:v>
      </x:c>
      <x:c r="F2076" s="2" t="str">
        <x:v>160만</x:v>
      </x:c>
      <x:c r="G2076" s="2" t="str">
        <x:v>승</x:v>
      </x:c>
      <x:c r="H2076" s="14" t="n">
        <x:v>2</x:v>
      </x:c>
      <x:c r="I2076" s="14" t="n">
        <x:v>0</x:v>
      </x:c>
      <x:c r="J2076" s="14" t="n">
        <x:v>9</x:v>
      </x:c>
      <x:c r="K2076" s="14" t="n">
        <x:v>2</x:v>
      </x:c>
      <x:c r="L2076" s="15" t="n">
        <x:f>IF(J2076=0,"해당 없음",K2076/J2076)</x:f>
        <x:v>0.2222222222222222</x:v>
      </x:c>
      <x:c r="M2076" s="14" t="n">
        <x:v>9</x:v>
      </x:c>
      <x:c r="N2076" s="14" t="n">
        <x:v>7</x:v>
      </x:c>
      <x:c r="O2076" s="15" t="n">
        <x:f>IF(M2076=0,"해당 없음",N2076/M2076)</x:f>
        <x:v>0.7777777777777778</x:v>
      </x:c>
      <x:c r="P2076" s="14" t="n">
        <x:v>101</x:v>
      </x:c>
    </x:row>
    <x:row r="2077" ht="22" customHeight="1">
      <x:c r="A2077" s="14" t="n">
        <x:v>1036</x:v>
      </x:c>
      <x:c r="B2077" s="14" t="n">
        <x:v>26</x:v>
      </x:c>
      <x:c r="C2077" s="14" t="n">
        <x:v>76017</x:v>
      </x:c>
      <x:c r="D2077" s="2" t="str">
        <x:v>NAVY</x:v>
      </x:c>
      <x:c r="E2077" s="2" t="str">
        <x:v>160만</x:v>
      </x:c>
      <x:c r="F2077" s="2" t="str">
        <x:v>200만</x:v>
      </x:c>
      <x:c r="G2077" s="2" t="str">
        <x:v>패</x:v>
      </x:c>
      <x:c r="H2077" s="14" t="n">
        <x:v>0</x:v>
      </x:c>
      <x:c r="I2077" s="14" t="n">
        <x:v>2</x:v>
      </x:c>
      <x:c r="J2077" s="14" t="n">
        <x:v>7</x:v>
      </x:c>
      <x:c r="K2077" s="14" t="n">
        <x:v>0</x:v>
      </x:c>
      <x:c r="L2077" s="15" t="n">
        <x:f>IF(J2077=0,"해당 없음",K2077/J2077)</x:f>
        <x:v>0</x:v>
      </x:c>
      <x:c r="M2077" s="14" t="n">
        <x:v>11</x:v>
      </x:c>
      <x:c r="N2077" s="14" t="n">
        <x:v>10</x:v>
      </x:c>
      <x:c r="O2077" s="15" t="n">
        <x:f>IF(M2077=0,"해당 없음",N2077/M2077)</x:f>
        <x:v>0.9090909090909091</x:v>
      </x:c>
      <x:c r="P2077" s="14" t="n">
        <x:v>102</x:v>
      </x:c>
    </x:row>
    <x:row r="2078" ht="22" customHeight="1">
      <x:c r="A2078" s="14" t="n">
        <x:v>1037</x:v>
      </x:c>
      <x:c r="B2078" s="14" t="n">
        <x:v>26</x:v>
      </x:c>
      <x:c r="C2078" s="14" t="n">
        <x:v>76018</x:v>
      </x:c>
      <x:c r="D2078" s="2" t="str">
        <x:v>RED</x:v>
      </x:c>
      <x:c r="E2078" s="2" t="str">
        <x:v>160만</x:v>
      </x:c>
      <x:c r="F2078" s="2" t="str">
        <x:v>200만</x:v>
      </x:c>
      <x:c r="G2078" s="2" t="str">
        <x:v>패</x:v>
      </x:c>
      <x:c r="H2078" s="14" t="n">
        <x:v>1</x:v>
      </x:c>
      <x:c r="I2078" s="14" t="n">
        <x:v>3</x:v>
      </x:c>
      <x:c r="J2078" s="14" t="n">
        <x:v>7</x:v>
      </x:c>
      <x:c r="K2078" s="14" t="n">
        <x:v>1</x:v>
      </x:c>
      <x:c r="L2078" s="15" t="n">
        <x:f>IF(J2078=0,"해당 없음",K2078/J2078)</x:f>
        <x:v>0.14285714285714285</x:v>
      </x:c>
      <x:c r="M2078" s="14" t="n">
        <x:v>6</x:v>
      </x:c>
      <x:c r="N2078" s="14" t="n">
        <x:v>6</x:v>
      </x:c>
      <x:c r="O2078" s="15" t="n">
        <x:f>IF(M2078=0,"해당 없음",N2078/M2078)</x:f>
        <x:v>1</x:v>
      </x:c>
      <x:c r="P2078" s="14" t="n">
        <x:v>101</x:v>
      </x:c>
    </x:row>
    <x:row r="2079" ht="22" customHeight="1">
      <x:c r="A2079" s="14" t="n">
        <x:v>1037</x:v>
      </x:c>
      <x:c r="B2079" s="14" t="n">
        <x:v>26</x:v>
      </x:c>
      <x:c r="C2079" s="14" t="n">
        <x:v>76018</x:v>
      </x:c>
      <x:c r="D2079" s="2" t="str">
        <x:v>NAVY</x:v>
      </x:c>
      <x:c r="E2079" s="2" t="str">
        <x:v>200만</x:v>
      </x:c>
      <x:c r="F2079" s="2" t="str">
        <x:v>160만</x:v>
      </x:c>
      <x:c r="G2079" s="2" t="str">
        <x:v>승</x:v>
      </x:c>
      <x:c r="H2079" s="14" t="n">
        <x:v>3</x:v>
      </x:c>
      <x:c r="I2079" s="14" t="n">
        <x:v>1</x:v>
      </x:c>
      <x:c r="J2079" s="14" t="n">
        <x:v>11</x:v>
      </x:c>
      <x:c r="K2079" s="14" t="n">
        <x:v>3</x:v>
      </x:c>
      <x:c r="L2079" s="15" t="n">
        <x:f>IF(J2079=0,"해당 없음",K2079/J2079)</x:f>
        <x:v>0.2727272727272727</x:v>
      </x:c>
      <x:c r="M2079" s="14" t="n">
        <x:v>12</x:v>
      </x:c>
      <x:c r="N2079" s="14" t="n">
        <x:v>8</x:v>
      </x:c>
      <x:c r="O2079" s="15" t="n">
        <x:f>IF(M2079=0,"해당 없음",N2079/M2079)</x:f>
        <x:v>0.6666666666666666</x:v>
      </x:c>
      <x:c r="P2079" s="14" t="n">
        <x:v>102</x:v>
      </x:c>
    </x:row>
    <x:row r="2080" ht="22" customHeight="1">
      <x:c r="A2080" s="14" t="n">
        <x:v>1038</x:v>
      </x:c>
      <x:c r="B2080" s="14" t="n">
        <x:v>26</x:v>
      </x:c>
      <x:c r="C2080" s="14" t="n">
        <x:v>76018</x:v>
      </x:c>
      <x:c r="D2080" s="2" t="str">
        <x:v>RED</x:v>
      </x:c>
      <x:c r="E2080" s="2" t="str">
        <x:v>200만</x:v>
      </x:c>
      <x:c r="F2080" s="2" t="str">
        <x:v>160만</x:v>
      </x:c>
      <x:c r="G2080" s="2" t="str">
        <x:v>승</x:v>
      </x:c>
      <x:c r="H2080" s="14" t="n">
        <x:v>5</x:v>
      </x:c>
      <x:c r="I2080" s="14" t="n">
        <x:v>2</x:v>
      </x:c>
      <x:c r="J2080" s="14" t="n">
        <x:v>15</x:v>
      </x:c>
      <x:c r="K2080" s="14" t="n">
        <x:v>5</x:v>
      </x:c>
      <x:c r="L2080" s="15" t="n">
        <x:f>IF(J2080=0,"해당 없음",K2080/J2080)</x:f>
        <x:v>0.3333333333333333</x:v>
      </x:c>
      <x:c r="M2080" s="14" t="n">
        <x:v>9</x:v>
      </x:c>
      <x:c r="N2080" s="14" t="n">
        <x:v>6</x:v>
      </x:c>
      <x:c r="O2080" s="15" t="n">
        <x:f>IF(M2080=0,"해당 없음",N2080/M2080)</x:f>
        <x:v>0.6666666666666666</x:v>
      </x:c>
      <x:c r="P2080" s="14" t="n">
        <x:v>104</x:v>
      </x:c>
    </x:row>
    <x:row r="2081" ht="22" customHeight="1">
      <x:c r="A2081" s="14" t="n">
        <x:v>1038</x:v>
      </x:c>
      <x:c r="B2081" s="14" t="n">
        <x:v>26</x:v>
      </x:c>
      <x:c r="C2081" s="14" t="n">
        <x:v>76018</x:v>
      </x:c>
      <x:c r="D2081" s="2" t="str">
        <x:v>NAVY</x:v>
      </x:c>
      <x:c r="E2081" s="2" t="str">
        <x:v>160만</x:v>
      </x:c>
      <x:c r="F2081" s="2" t="str">
        <x:v>200만</x:v>
      </x:c>
      <x:c r="G2081" s="2" t="str">
        <x:v>패</x:v>
      </x:c>
      <x:c r="H2081" s="14" t="n">
        <x:v>2</x:v>
      </x:c>
      <x:c r="I2081" s="14" t="n">
        <x:v>5</x:v>
      </x:c>
      <x:c r="J2081" s="14" t="n">
        <x:v>7</x:v>
      </x:c>
      <x:c r="K2081" s="14" t="n">
        <x:v>2</x:v>
      </x:c>
      <x:c r="L2081" s="15" t="n">
        <x:f>IF(J2081=0,"해당 없음",K2081/J2081)</x:f>
        <x:v>0.2857142857142857</x:v>
      </x:c>
      <x:c r="M2081" s="14" t="n">
        <x:v>9</x:v>
      </x:c>
      <x:c r="N2081" s="14" t="n">
        <x:v>4</x:v>
      </x:c>
      <x:c r="O2081" s="15" t="n">
        <x:f>IF(M2081=0,"해당 없음",N2081/M2081)</x:f>
        <x:v>0.4444444444444444</x:v>
      </x:c>
      <x:c r="P2081" s="14" t="n">
        <x:v>104</x:v>
      </x:c>
    </x:row>
    <x:row r="2082" ht="22" customHeight="1">
      <x:c r="A2082" s="14" t="n">
        <x:v>1039</x:v>
      </x:c>
      <x:c r="B2082" s="14" t="n">
        <x:v>26</x:v>
      </x:c>
      <x:c r="C2082" s="14" t="n">
        <x:v>76019</x:v>
      </x:c>
      <x:c r="D2082" s="2" t="str">
        <x:v>RED</x:v>
      </x:c>
      <x:c r="E2082" s="2" t="str">
        <x:v>160만</x:v>
      </x:c>
      <x:c r="F2082" s="2" t="str">
        <x:v>200만</x:v>
      </x:c>
      <x:c r="G2082" s="2" t="str">
        <x:v>승</x:v>
      </x:c>
      <x:c r="H2082" s="14" t="n">
        <x:v>3</x:v>
      </x:c>
      <x:c r="I2082" s="14" t="n">
        <x:v>1</x:v>
      </x:c>
      <x:c r="J2082" s="14" t="n">
        <x:v>11</x:v>
      </x:c>
      <x:c r="K2082" s="14" t="n">
        <x:v>3</x:v>
      </x:c>
      <x:c r="L2082" s="15" t="n">
        <x:f>IF(J2082=0,"해당 없음",K2082/J2082)</x:f>
        <x:v>0.2727272727272727</x:v>
      </x:c>
      <x:c r="M2082" s="14" t="n">
        <x:v>7</x:v>
      </x:c>
      <x:c r="N2082" s="14" t="n">
        <x:v>4</x:v>
      </x:c>
      <x:c r="O2082" s="15" t="n">
        <x:f>IF(M2082=0,"해당 없음",N2082/M2082)</x:f>
        <x:v>0.5714285714285714</x:v>
      </x:c>
      <x:c r="P2082" s="14" t="n">
        <x:v>103</x:v>
      </x:c>
    </x:row>
    <x:row r="2083" ht="22" customHeight="1">
      <x:c r="A2083" s="14" t="n">
        <x:v>1039</x:v>
      </x:c>
      <x:c r="B2083" s="14" t="n">
        <x:v>26</x:v>
      </x:c>
      <x:c r="C2083" s="14" t="n">
        <x:v>76019</x:v>
      </x:c>
      <x:c r="D2083" s="2" t="str">
        <x:v>NAVY</x:v>
      </x:c>
      <x:c r="E2083" s="2" t="str">
        <x:v>200만</x:v>
      </x:c>
      <x:c r="F2083" s="2" t="str">
        <x:v>160만</x:v>
      </x:c>
      <x:c r="G2083" s="2" t="str">
        <x:v>패</x:v>
      </x:c>
      <x:c r="H2083" s="14" t="n">
        <x:v>1</x:v>
      </x:c>
      <x:c r="I2083" s="14" t="n">
        <x:v>3</x:v>
      </x:c>
      <x:c r="J2083" s="14" t="n">
        <x:v>6</x:v>
      </x:c>
      <x:c r="K2083" s="14" t="n">
        <x:v>1</x:v>
      </x:c>
      <x:c r="L2083" s="15" t="n">
        <x:f>IF(J2083=0,"해당 없음",K2083/J2083)</x:f>
        <x:v>0.16666666666666666</x:v>
      </x:c>
      <x:c r="M2083" s="14" t="n">
        <x:v>10</x:v>
      </x:c>
      <x:c r="N2083" s="14" t="n">
        <x:v>5</x:v>
      </x:c>
      <x:c r="O2083" s="15" t="n">
        <x:f>IF(M2083=0,"해당 없음",N2083/M2083)</x:f>
        <x:v>0.5</x:v>
      </x:c>
      <x:c r="P2083" s="14" t="n">
        <x:v>103</x:v>
      </x:c>
    </x:row>
    <x:row r="2084" ht="22" customHeight="1">
      <x:c r="A2084" s="14" t="n">
        <x:v>1040</x:v>
      </x:c>
      <x:c r="B2084" s="14" t="n">
        <x:v>26</x:v>
      </x:c>
      <x:c r="C2084" s="14" t="n">
        <x:v>76019</x:v>
      </x:c>
      <x:c r="D2084" s="2" t="str">
        <x:v>RED</x:v>
      </x:c>
      <x:c r="E2084" s="2" t="str">
        <x:v>200만</x:v>
      </x:c>
      <x:c r="F2084" s="2" t="str">
        <x:v>160만</x:v>
      </x:c>
      <x:c r="G2084" s="2" t="str">
        <x:v>승</x:v>
      </x:c>
      <x:c r="H2084" s="14" t="n">
        <x:v>5</x:v>
      </x:c>
      <x:c r="I2084" s="14" t="n">
        <x:v>1</x:v>
      </x:c>
      <x:c r="J2084" s="14" t="n">
        <x:v>14</x:v>
      </x:c>
      <x:c r="K2084" s="14" t="n">
        <x:v>5</x:v>
      </x:c>
      <x:c r="L2084" s="15" t="n">
        <x:f>IF(J2084=0,"해당 없음",K2084/J2084)</x:f>
        <x:v>0.35714285714285715</x:v>
      </x:c>
      <x:c r="M2084" s="14" t="n">
        <x:v>10</x:v>
      </x:c>
      <x:c r="N2084" s="14" t="n">
        <x:v>7</x:v>
      </x:c>
      <x:c r="O2084" s="15" t="n">
        <x:f>IF(M2084=0,"해당 없음",N2084/M2084)</x:f>
        <x:v>0.7</x:v>
      </x:c>
      <x:c r="P2084" s="14" t="n">
        <x:v>104</x:v>
      </x:c>
    </x:row>
    <x:row r="2085" ht="22" customHeight="1">
      <x:c r="A2085" s="14" t="n">
        <x:v>1040</x:v>
      </x:c>
      <x:c r="B2085" s="14" t="n">
        <x:v>26</x:v>
      </x:c>
      <x:c r="C2085" s="14" t="n">
        <x:v>76019</x:v>
      </x:c>
      <x:c r="D2085" s="2" t="str">
        <x:v>NAVY</x:v>
      </x:c>
      <x:c r="E2085" s="2" t="str">
        <x:v>160만</x:v>
      </x:c>
      <x:c r="F2085" s="2" t="str">
        <x:v>200만</x:v>
      </x:c>
      <x:c r="G2085" s="2" t="str">
        <x:v>패</x:v>
      </x:c>
      <x:c r="H2085" s="14" t="n">
        <x:v>1</x:v>
      </x:c>
      <x:c r="I2085" s="14" t="n">
        <x:v>5</x:v>
      </x:c>
      <x:c r="J2085" s="14" t="n">
        <x:v>5</x:v>
      </x:c>
      <x:c r="K2085" s="14" t="n">
        <x:v>1</x:v>
      </x:c>
      <x:c r="L2085" s="15" t="n">
        <x:f>IF(J2085=0,"해당 없음",K2085/J2085)</x:f>
        <x:v>0.2</x:v>
      </x:c>
      <x:c r="M2085" s="14" t="n">
        <x:v>9</x:v>
      </x:c>
      <x:c r="N2085" s="14" t="n">
        <x:v>6</x:v>
      </x:c>
      <x:c r="O2085" s="15" t="n">
        <x:f>IF(M2085=0,"해당 없음",N2085/M2085)</x:f>
        <x:v>0.6666666666666666</x:v>
      </x:c>
      <x:c r="P2085" s="14" t="n">
        <x:v>104</x:v>
      </x:c>
    </x:row>
    <x:row r="2086" ht="22" customHeight="1">
      <x:c r="A2086" s="14" t="n">
        <x:v>1041</x:v>
      </x:c>
      <x:c r="B2086" s="14" t="n">
        <x:v>27</x:v>
      </x:c>
      <x:c r="C2086" s="14" t="n">
        <x:v>76000</x:v>
      </x:c>
      <x:c r="D2086" s="2" t="str">
        <x:v>RED</x:v>
      </x:c>
      <x:c r="E2086" s="2" t="str">
        <x:v>160만</x:v>
      </x:c>
      <x:c r="F2086" s="2" t="str">
        <x:v>240만</x:v>
      </x:c>
      <x:c r="G2086" s="2" t="str">
        <x:v>승</x:v>
      </x:c>
      <x:c r="H2086" s="14" t="n">
        <x:v>3</x:v>
      </x:c>
      <x:c r="I2086" s="14" t="n">
        <x:v>2</x:v>
      </x:c>
      <x:c r="J2086" s="14" t="n">
        <x:v>11</x:v>
      </x:c>
      <x:c r="K2086" s="14" t="n">
        <x:v>3</x:v>
      </x:c>
      <x:c r="L2086" s="15" t="n">
        <x:f>IF(J2086=0,"해당 없음",K2086/J2086)</x:f>
        <x:v>0.2727272727272727</x:v>
      </x:c>
      <x:c r="M2086" s="14" t="n">
        <x:v>9</x:v>
      </x:c>
      <x:c r="N2086" s="14" t="n">
        <x:v>9</x:v>
      </x:c>
      <x:c r="O2086" s="15" t="n">
        <x:f>IF(M2086=0,"해당 없음",N2086/M2086)</x:f>
        <x:v>1</x:v>
      </x:c>
      <x:c r="P2086" s="14" t="n">
        <x:v>104</x:v>
      </x:c>
    </x:row>
    <x:row r="2087" ht="22" customHeight="1">
      <x:c r="A2087" s="14" t="n">
        <x:v>1041</x:v>
      </x:c>
      <x:c r="B2087" s="14" t="n">
        <x:v>27</x:v>
      </x:c>
      <x:c r="C2087" s="14" t="n">
        <x:v>76000</x:v>
      </x:c>
      <x:c r="D2087" s="2" t="str">
        <x:v>NAVY</x:v>
      </x:c>
      <x:c r="E2087" s="2" t="str">
        <x:v>240만</x:v>
      </x:c>
      <x:c r="F2087" s="2" t="str">
        <x:v>160만</x:v>
      </x:c>
      <x:c r="G2087" s="2" t="str">
        <x:v>패</x:v>
      </x:c>
      <x:c r="H2087" s="14" t="n">
        <x:v>2</x:v>
      </x:c>
      <x:c r="I2087" s="14" t="n">
        <x:v>3</x:v>
      </x:c>
      <x:c r="J2087" s="14" t="n">
        <x:v>6</x:v>
      </x:c>
      <x:c r="K2087" s="14" t="n">
        <x:v>2</x:v>
      </x:c>
      <x:c r="L2087" s="15" t="n">
        <x:f>IF(J2087=0,"해당 없음",K2087/J2087)</x:f>
        <x:v>0.3333333333333333</x:v>
      </x:c>
      <x:c r="M2087" s="14" t="n">
        <x:v>14</x:v>
      </x:c>
      <x:c r="N2087" s="14" t="n">
        <x:v>6</x:v>
      </x:c>
      <x:c r="O2087" s="15" t="n">
        <x:f>IF(M2087=0,"해당 없음",N2087/M2087)</x:f>
        <x:v>0.42857142857142855</x:v>
      </x:c>
      <x:c r="P2087" s="14" t="n">
        <x:v>103</x:v>
      </x:c>
    </x:row>
    <x:row r="2088" ht="22" customHeight="1">
      <x:c r="A2088" s="14" t="n">
        <x:v>1042</x:v>
      </x:c>
      <x:c r="B2088" s="14" t="n">
        <x:v>27</x:v>
      </x:c>
      <x:c r="C2088" s="14" t="n">
        <x:v>76000</x:v>
      </x:c>
      <x:c r="D2088" s="2" t="str">
        <x:v>RED</x:v>
      </x:c>
      <x:c r="E2088" s="2" t="str">
        <x:v>240만</x:v>
      </x:c>
      <x:c r="F2088" s="2" t="str">
        <x:v>160만</x:v>
      </x:c>
      <x:c r="G2088" s="2" t="str">
        <x:v>패</x:v>
      </x:c>
      <x:c r="H2088" s="14" t="n">
        <x:v>3</x:v>
      </x:c>
      <x:c r="I2088" s="14" t="n">
        <x:v>5</x:v>
      </x:c>
      <x:c r="J2088" s="14" t="n">
        <x:v>9</x:v>
      </x:c>
      <x:c r="K2088" s="14" t="n">
        <x:v>3</x:v>
      </x:c>
      <x:c r="L2088" s="15" t="n">
        <x:f>IF(J2088=0,"해당 없음",K2088/J2088)</x:f>
        <x:v>0.3333333333333333</x:v>
      </x:c>
      <x:c r="M2088" s="14" t="n">
        <x:v>5</x:v>
      </x:c>
      <x:c r="N2088" s="14" t="n">
        <x:v>5</x:v>
      </x:c>
      <x:c r="O2088" s="15" t="n">
        <x:f>IF(M2088=0,"해당 없음",N2088/M2088)</x:f>
        <x:v>1</x:v>
      </x:c>
      <x:c r="P2088" s="14" t="n">
        <x:v>106</x:v>
      </x:c>
    </x:row>
    <x:row r="2089" ht="22" customHeight="1">
      <x:c r="A2089" s="14" t="n">
        <x:v>1042</x:v>
      </x:c>
      <x:c r="B2089" s="14" t="n">
        <x:v>27</x:v>
      </x:c>
      <x:c r="C2089" s="14" t="n">
        <x:v>76000</x:v>
      </x:c>
      <x:c r="D2089" s="2" t="str">
        <x:v>NAVY</x:v>
      </x:c>
      <x:c r="E2089" s="2" t="str">
        <x:v>160만</x:v>
      </x:c>
      <x:c r="F2089" s="2" t="str">
        <x:v>240만</x:v>
      </x:c>
      <x:c r="G2089" s="2" t="str">
        <x:v>승</x:v>
      </x:c>
      <x:c r="H2089" s="14" t="n">
        <x:v>5</x:v>
      </x:c>
      <x:c r="I2089" s="14" t="n">
        <x:v>3</x:v>
      </x:c>
      <x:c r="J2089" s="14" t="n">
        <x:v>7</x:v>
      </x:c>
      <x:c r="K2089" s="14" t="n">
        <x:v>5</x:v>
      </x:c>
      <x:c r="L2089" s="15" t="n">
        <x:f>IF(J2089=0,"해당 없음",K2089/J2089)</x:f>
        <x:v>0.7142857142857143</x:v>
      </x:c>
      <x:c r="M2089" s="14" t="n">
        <x:v>10</x:v>
      </x:c>
      <x:c r="N2089" s="14" t="n">
        <x:v>8</x:v>
      </x:c>
      <x:c r="O2089" s="15" t="n">
        <x:f>IF(M2089=0,"해당 없음",N2089/M2089)</x:f>
        <x:v>0.8</x:v>
      </x:c>
      <x:c r="P2089" s="14" t="n">
        <x:v>106</x:v>
      </x:c>
    </x:row>
    <x:row r="2090" ht="22" customHeight="1">
      <x:c r="A2090" s="14" t="n">
        <x:v>1043</x:v>
      </x:c>
      <x:c r="B2090" s="14" t="n">
        <x:v>27</x:v>
      </x:c>
      <x:c r="C2090" s="14" t="n">
        <x:v>76001</x:v>
      </x:c>
      <x:c r="D2090" s="2" t="str">
        <x:v>RED</x:v>
      </x:c>
      <x:c r="E2090" s="2" t="str">
        <x:v>160만</x:v>
      </x:c>
      <x:c r="F2090" s="2" t="str">
        <x:v>240만</x:v>
      </x:c>
      <x:c r="G2090" s="2" t="str">
        <x:v>승</x:v>
      </x:c>
      <x:c r="H2090" s="14" t="n">
        <x:v>3</x:v>
      </x:c>
      <x:c r="I2090" s="14" t="n">
        <x:v>1</x:v>
      </x:c>
      <x:c r="J2090" s="14" t="n">
        <x:v>11</x:v>
      </x:c>
      <x:c r="K2090" s="14" t="n">
        <x:v>3</x:v>
      </x:c>
      <x:c r="L2090" s="15" t="n">
        <x:f>IF(J2090=0,"해당 없음",K2090/J2090)</x:f>
        <x:v>0.2727272727272727</x:v>
      </x:c>
      <x:c r="M2090" s="14" t="n">
        <x:v>12</x:v>
      </x:c>
      <x:c r="N2090" s="14" t="n">
        <x:v>9</x:v>
      </x:c>
      <x:c r="O2090" s="15" t="n">
        <x:f>IF(M2090=0,"해당 없음",N2090/M2090)</x:f>
        <x:v>0.75</x:v>
      </x:c>
      <x:c r="P2090" s="14" t="n">
        <x:v>102</x:v>
      </x:c>
    </x:row>
    <x:row r="2091" ht="22" customHeight="1">
      <x:c r="A2091" s="14" t="n">
        <x:v>1043</x:v>
      </x:c>
      <x:c r="B2091" s="14" t="n">
        <x:v>27</x:v>
      </x:c>
      <x:c r="C2091" s="14" t="n">
        <x:v>76001</x:v>
      </x:c>
      <x:c r="D2091" s="2" t="str">
        <x:v>NAVY</x:v>
      </x:c>
      <x:c r="E2091" s="2" t="str">
        <x:v>240만</x:v>
      </x:c>
      <x:c r="F2091" s="2" t="str">
        <x:v>160만</x:v>
      </x:c>
      <x:c r="G2091" s="2" t="str">
        <x:v>패</x:v>
      </x:c>
      <x:c r="H2091" s="14" t="n">
        <x:v>1</x:v>
      </x:c>
      <x:c r="I2091" s="14" t="n">
        <x:v>3</x:v>
      </x:c>
      <x:c r="J2091" s="14" t="n">
        <x:v>9</x:v>
      </x:c>
      <x:c r="K2091" s="14" t="n">
        <x:v>1</x:v>
      </x:c>
      <x:c r="L2091" s="15" t="n">
        <x:f>IF(J2091=0,"해당 없음",K2091/J2091)</x:f>
        <x:v>0.1111111111111111</x:v>
      </x:c>
      <x:c r="M2091" s="14" t="n">
        <x:v>12</x:v>
      </x:c>
      <x:c r="N2091" s="14" t="n">
        <x:v>7</x:v>
      </x:c>
      <x:c r="O2091" s="15" t="n">
        <x:f>IF(M2091=0,"해당 없음",N2091/M2091)</x:f>
        <x:v>0.5833333333333334</x:v>
      </x:c>
      <x:c r="P2091" s="14" t="n">
        <x:v>102</x:v>
      </x:c>
    </x:row>
    <x:row r="2092" ht="22" customHeight="1">
      <x:c r="A2092" s="14" t="n">
        <x:v>1044</x:v>
      </x:c>
      <x:c r="B2092" s="14" t="n">
        <x:v>27</x:v>
      </x:c>
      <x:c r="C2092" s="14" t="n">
        <x:v>76001</x:v>
      </x:c>
      <x:c r="D2092" s="2" t="str">
        <x:v>RED</x:v>
      </x:c>
      <x:c r="E2092" s="2" t="str">
        <x:v>240만</x:v>
      </x:c>
      <x:c r="F2092" s="2" t="str">
        <x:v>160만</x:v>
      </x:c>
      <x:c r="G2092" s="2" t="str">
        <x:v>승</x:v>
      </x:c>
      <x:c r="H2092" s="14" t="n">
        <x:v>3</x:v>
      </x:c>
      <x:c r="I2092" s="14" t="n">
        <x:v>2</x:v>
      </x:c>
      <x:c r="J2092" s="14" t="n">
        <x:v>9</x:v>
      </x:c>
      <x:c r="K2092" s="14" t="n">
        <x:v>3</x:v>
      </x:c>
      <x:c r="L2092" s="15" t="n">
        <x:f>IF(J2092=0,"해당 없음",K2092/J2092)</x:f>
        <x:v>0.3333333333333333</x:v>
      </x:c>
      <x:c r="M2092" s="14" t="n">
        <x:v>10</x:v>
      </x:c>
      <x:c r="N2092" s="14" t="n">
        <x:v>7</x:v>
      </x:c>
      <x:c r="O2092" s="15" t="n">
        <x:f>IF(M2092=0,"해당 없음",N2092/M2092)</x:f>
        <x:v>0.7</x:v>
      </x:c>
      <x:c r="P2092" s="14" t="n">
        <x:v>102</x:v>
      </x:c>
    </x:row>
    <x:row r="2093" ht="22" customHeight="1">
      <x:c r="A2093" s="14" t="n">
        <x:v>1044</x:v>
      </x:c>
      <x:c r="B2093" s="14" t="n">
        <x:v>27</x:v>
      </x:c>
      <x:c r="C2093" s="14" t="n">
        <x:v>76001</x:v>
      </x:c>
      <x:c r="D2093" s="2" t="str">
        <x:v>NAVY</x:v>
      </x:c>
      <x:c r="E2093" s="2" t="str">
        <x:v>160만</x:v>
      </x:c>
      <x:c r="F2093" s="2" t="str">
        <x:v>240만</x:v>
      </x:c>
      <x:c r="G2093" s="2" t="str">
        <x:v>패</x:v>
      </x:c>
      <x:c r="H2093" s="14" t="n">
        <x:v>2</x:v>
      </x:c>
      <x:c r="I2093" s="14" t="n">
        <x:v>3</x:v>
      </x:c>
      <x:c r="J2093" s="14" t="n">
        <x:v>7</x:v>
      </x:c>
      <x:c r="K2093" s="14" t="n">
        <x:v>2</x:v>
      </x:c>
      <x:c r="L2093" s="15" t="n">
        <x:f>IF(J2093=0,"해당 없음",K2093/J2093)</x:f>
        <x:v>0.2857142857142857</x:v>
      </x:c>
      <x:c r="M2093" s="14" t="n">
        <x:v>11</x:v>
      </x:c>
      <x:c r="N2093" s="14" t="n">
        <x:v>9</x:v>
      </x:c>
      <x:c r="O2093" s="15" t="n">
        <x:f>IF(M2093=0,"해당 없음",N2093/M2093)</x:f>
        <x:v>0.8181818181818182</x:v>
      </x:c>
      <x:c r="P2093" s="14" t="n">
        <x:v>103</x:v>
      </x:c>
    </x:row>
    <x:row r="2094" ht="22" customHeight="1">
      <x:c r="A2094" s="14" t="n">
        <x:v>1045</x:v>
      </x:c>
      <x:c r="B2094" s="14" t="n">
        <x:v>27</x:v>
      </x:c>
      <x:c r="C2094" s="14" t="n">
        <x:v>76002</x:v>
      </x:c>
      <x:c r="D2094" s="2" t="str">
        <x:v>RED</x:v>
      </x:c>
      <x:c r="E2094" s="2" t="str">
        <x:v>160만</x:v>
      </x:c>
      <x:c r="F2094" s="2" t="str">
        <x:v>240만</x:v>
      </x:c>
      <x:c r="G2094" s="2" t="str">
        <x:v>승</x:v>
      </x:c>
      <x:c r="H2094" s="14" t="n">
        <x:v>2</x:v>
      </x:c>
      <x:c r="I2094" s="14" t="n">
        <x:v>1</x:v>
      </x:c>
      <x:c r="J2094" s="14" t="n">
        <x:v>6</x:v>
      </x:c>
      <x:c r="K2094" s="14" t="n">
        <x:v>2</x:v>
      </x:c>
      <x:c r="L2094" s="15" t="n">
        <x:f>IF(J2094=0,"해당 없음",K2094/J2094)</x:f>
        <x:v>0.3333333333333333</x:v>
      </x:c>
      <x:c r="M2094" s="14" t="n">
        <x:v>15</x:v>
      </x:c>
      <x:c r="N2094" s="14" t="n">
        <x:v>11</x:v>
      </x:c>
      <x:c r="O2094" s="15" t="n">
        <x:f>IF(M2094=0,"해당 없음",N2094/M2094)</x:f>
        <x:v>0.7333333333333333</x:v>
      </x:c>
      <x:c r="P2094" s="14" t="n">
        <x:v>101</x:v>
      </x:c>
    </x:row>
    <x:row r="2095" ht="22" customHeight="1">
      <x:c r="A2095" s="14" t="n">
        <x:v>1045</x:v>
      </x:c>
      <x:c r="B2095" s="14" t="n">
        <x:v>27</x:v>
      </x:c>
      <x:c r="C2095" s="14" t="n">
        <x:v>76002</x:v>
      </x:c>
      <x:c r="D2095" s="2" t="str">
        <x:v>NAVY</x:v>
      </x:c>
      <x:c r="E2095" s="2" t="str">
        <x:v>240만</x:v>
      </x:c>
      <x:c r="F2095" s="2" t="str">
        <x:v>160만</x:v>
      </x:c>
      <x:c r="G2095" s="2" t="str">
        <x:v>패</x:v>
      </x:c>
      <x:c r="H2095" s="14" t="n">
        <x:v>1</x:v>
      </x:c>
      <x:c r="I2095" s="14" t="n">
        <x:v>2</x:v>
      </x:c>
      <x:c r="J2095" s="14" t="n">
        <x:v>9</x:v>
      </x:c>
      <x:c r="K2095" s="14" t="n">
        <x:v>1</x:v>
      </x:c>
      <x:c r="L2095" s="15" t="n">
        <x:f>IF(J2095=0,"해당 없음",K2095/J2095)</x:f>
        <x:v>0.1111111111111111</x:v>
      </x:c>
      <x:c r="M2095" s="14" t="n">
        <x:v>12</x:v>
      </x:c>
      <x:c r="N2095" s="14" t="n">
        <x:v>12</x:v>
      </x:c>
      <x:c r="O2095" s="15" t="n">
        <x:f>IF(M2095=0,"해당 없음",N2095/M2095)</x:f>
        <x:v>1</x:v>
      </x:c>
      <x:c r="P2095" s="14" t="n">
        <x:v>102</x:v>
      </x:c>
    </x:row>
    <x:row r="2096" ht="22" customHeight="1">
      <x:c r="A2096" s="14" t="n">
        <x:v>1046</x:v>
      </x:c>
      <x:c r="B2096" s="14" t="n">
        <x:v>27</x:v>
      </x:c>
      <x:c r="C2096" s="14" t="n">
        <x:v>76002</x:v>
      </x:c>
      <x:c r="D2096" s="2" t="str">
        <x:v>RED</x:v>
      </x:c>
      <x:c r="E2096" s="2" t="str">
        <x:v>240만</x:v>
      </x:c>
      <x:c r="F2096" s="2" t="str">
        <x:v>160만</x:v>
      </x:c>
      <x:c r="G2096" s="2" t="str">
        <x:v>무</x:v>
      </x:c>
      <x:c r="H2096" s="14" t="n">
        <x:v>2</x:v>
      </x:c>
      <x:c r="I2096" s="14" t="n">
        <x:v>2</x:v>
      </x:c>
      <x:c r="J2096" s="14" t="n">
        <x:v>10</x:v>
      </x:c>
      <x:c r="K2096" s="14" t="n">
        <x:v>2</x:v>
      </x:c>
      <x:c r="L2096" s="15" t="n">
        <x:f>IF(J2096=0,"해당 없음",K2096/J2096)</x:f>
        <x:v>0.2</x:v>
      </x:c>
      <x:c r="M2096" s="14" t="n">
        <x:v>8</x:v>
      </x:c>
      <x:c r="N2096" s="14" t="n">
        <x:v>6</x:v>
      </x:c>
      <x:c r="O2096" s="15" t="n">
        <x:f>IF(M2096=0,"해당 없음",N2096/M2096)</x:f>
        <x:v>0.75</x:v>
      </x:c>
      <x:c r="P2096" s="14" t="n">
        <x:v>104</x:v>
      </x:c>
    </x:row>
    <x:row r="2097" ht="22" customHeight="1">
      <x:c r="A2097" s="14" t="n">
        <x:v>1046</x:v>
      </x:c>
      <x:c r="B2097" s="14" t="n">
        <x:v>27</x:v>
      </x:c>
      <x:c r="C2097" s="14" t="n">
        <x:v>76002</x:v>
      </x:c>
      <x:c r="D2097" s="2" t="str">
        <x:v>NAVY</x:v>
      </x:c>
      <x:c r="E2097" s="2" t="str">
        <x:v>160만</x:v>
      </x:c>
      <x:c r="F2097" s="2" t="str">
        <x:v>240만</x:v>
      </x:c>
      <x:c r="G2097" s="2" t="str">
        <x:v>무</x:v>
      </x:c>
      <x:c r="H2097" s="14" t="n">
        <x:v>2</x:v>
      </x:c>
      <x:c r="I2097" s="14" t="n">
        <x:v>2</x:v>
      </x:c>
      <x:c r="J2097" s="14" t="n">
        <x:v>8</x:v>
      </x:c>
      <x:c r="K2097" s="14" t="n">
        <x:v>2</x:v>
      </x:c>
      <x:c r="L2097" s="15" t="n">
        <x:f>IF(J2097=0,"해당 없음",K2097/J2097)</x:f>
        <x:v>0.25</x:v>
      </x:c>
      <x:c r="M2097" s="14" t="n">
        <x:v>11</x:v>
      </x:c>
      <x:c r="N2097" s="14" t="n">
        <x:v>10</x:v>
      </x:c>
      <x:c r="O2097" s="15" t="n">
        <x:f>IF(M2097=0,"해당 없음",N2097/M2097)</x:f>
        <x:v>0.9090909090909091</x:v>
      </x:c>
      <x:c r="P2097" s="14" t="n">
        <x:v>101</x:v>
      </x:c>
    </x:row>
    <x:row r="2098" ht="22" customHeight="1">
      <x:c r="A2098" s="14" t="n">
        <x:v>1047</x:v>
      </x:c>
      <x:c r="B2098" s="14" t="n">
        <x:v>27</x:v>
      </x:c>
      <x:c r="C2098" s="14" t="n">
        <x:v>76003</x:v>
      </x:c>
      <x:c r="D2098" s="2" t="str">
        <x:v>RED</x:v>
      </x:c>
      <x:c r="E2098" s="2" t="str">
        <x:v>160만</x:v>
      </x:c>
      <x:c r="F2098" s="2" t="str">
        <x:v>240만</x:v>
      </x:c>
      <x:c r="G2098" s="2" t="str">
        <x:v>승</x:v>
      </x:c>
      <x:c r="H2098" s="14" t="n">
        <x:v>3</x:v>
      </x:c>
      <x:c r="I2098" s="14" t="n">
        <x:v>1</x:v>
      </x:c>
      <x:c r="J2098" s="14" t="n">
        <x:v>15</x:v>
      </x:c>
      <x:c r="K2098" s="14" t="n">
        <x:v>3</x:v>
      </x:c>
      <x:c r="L2098" s="15" t="n">
        <x:f>IF(J2098=0,"해당 없음",K2098/J2098)</x:f>
        <x:v>0.2</x:v>
      </x:c>
      <x:c r="M2098" s="14" t="n">
        <x:v>10</x:v>
      </x:c>
      <x:c r="N2098" s="14" t="n">
        <x:v>10</x:v>
      </x:c>
      <x:c r="O2098" s="15" t="n">
        <x:f>IF(M2098=0,"해당 없음",N2098/M2098)</x:f>
        <x:v>1</x:v>
      </x:c>
      <x:c r="P2098" s="14" t="n">
        <x:v>102</x:v>
      </x:c>
    </x:row>
    <x:row r="2099" ht="22" customHeight="1">
      <x:c r="A2099" s="14" t="n">
        <x:v>1047</x:v>
      </x:c>
      <x:c r="B2099" s="14" t="n">
        <x:v>27</x:v>
      </x:c>
      <x:c r="C2099" s="14" t="n">
        <x:v>76003</x:v>
      </x:c>
      <x:c r="D2099" s="2" t="str">
        <x:v>NAVY</x:v>
      </x:c>
      <x:c r="E2099" s="2" t="str">
        <x:v>240만</x:v>
      </x:c>
      <x:c r="F2099" s="2" t="str">
        <x:v>160만</x:v>
      </x:c>
      <x:c r="G2099" s="2" t="str">
        <x:v>패</x:v>
      </x:c>
      <x:c r="H2099" s="14" t="n">
        <x:v>1</x:v>
      </x:c>
      <x:c r="I2099" s="14" t="n">
        <x:v>3</x:v>
      </x:c>
      <x:c r="J2099" s="14" t="n">
        <x:v>7</x:v>
      </x:c>
      <x:c r="K2099" s="14" t="n">
        <x:v>1</x:v>
      </x:c>
      <x:c r="L2099" s="15" t="n">
        <x:f>IF(J2099=0,"해당 없음",K2099/J2099)</x:f>
        <x:v>0.14285714285714285</x:v>
      </x:c>
      <x:c r="M2099" s="14" t="n">
        <x:v>10</x:v>
      </x:c>
      <x:c r="N2099" s="14" t="n">
        <x:v>5</x:v>
      </x:c>
      <x:c r="O2099" s="15" t="n">
        <x:f>IF(M2099=0,"해당 없음",N2099/M2099)</x:f>
        <x:v>0.5</x:v>
      </x:c>
      <x:c r="P2099" s="14" t="n">
        <x:v>103</x:v>
      </x:c>
    </x:row>
    <x:row r="2100" ht="22" customHeight="1">
      <x:c r="A2100" s="14" t="n">
        <x:v>1048</x:v>
      </x:c>
      <x:c r="B2100" s="14" t="n">
        <x:v>27</x:v>
      </x:c>
      <x:c r="C2100" s="14" t="n">
        <x:v>76003</x:v>
      </x:c>
      <x:c r="D2100" s="2" t="str">
        <x:v>RED</x:v>
      </x:c>
      <x:c r="E2100" s="2" t="str">
        <x:v>240만</x:v>
      </x:c>
      <x:c r="F2100" s="2" t="str">
        <x:v>160만</x:v>
      </x:c>
      <x:c r="G2100" s="2" t="str">
        <x:v>승</x:v>
      </x:c>
      <x:c r="H2100" s="14" t="n">
        <x:v>5</x:v>
      </x:c>
      <x:c r="I2100" s="14" t="n">
        <x:v>2</x:v>
      </x:c>
      <x:c r="J2100" s="14" t="n">
        <x:v>11</x:v>
      </x:c>
      <x:c r="K2100" s="14" t="n">
        <x:v>5</x:v>
      </x:c>
      <x:c r="L2100" s="15" t="n">
        <x:f>IF(J2100=0,"해당 없음",K2100/J2100)</x:f>
        <x:v>0.45454545454545453</x:v>
      </x:c>
      <x:c r="M2100" s="14" t="n">
        <x:v>12</x:v>
      </x:c>
      <x:c r="N2100" s="14" t="n">
        <x:v>9</x:v>
      </x:c>
      <x:c r="O2100" s="15" t="n">
        <x:f>IF(M2100=0,"해당 없음",N2100/M2100)</x:f>
        <x:v>0.75</x:v>
      </x:c>
      <x:c r="P2100" s="14" t="n">
        <x:v>102</x:v>
      </x:c>
    </x:row>
    <x:row r="2101" ht="22" customHeight="1">
      <x:c r="A2101" s="14" t="n">
        <x:v>1048</x:v>
      </x:c>
      <x:c r="B2101" s="14" t="n">
        <x:v>27</x:v>
      </x:c>
      <x:c r="C2101" s="14" t="n">
        <x:v>76003</x:v>
      </x:c>
      <x:c r="D2101" s="2" t="str">
        <x:v>NAVY</x:v>
      </x:c>
      <x:c r="E2101" s="2" t="str">
        <x:v>160만</x:v>
      </x:c>
      <x:c r="F2101" s="2" t="str">
        <x:v>240만</x:v>
      </x:c>
      <x:c r="G2101" s="2" t="str">
        <x:v>패</x:v>
      </x:c>
      <x:c r="H2101" s="14" t="n">
        <x:v>2</x:v>
      </x:c>
      <x:c r="I2101" s="14" t="n">
        <x:v>5</x:v>
      </x:c>
      <x:c r="J2101" s="14" t="n">
        <x:v>9</x:v>
      </x:c>
      <x:c r="K2101" s="14" t="n">
        <x:v>2</x:v>
      </x:c>
      <x:c r="L2101" s="15" t="n">
        <x:f>IF(J2101=0,"해당 없음",K2101/J2101)</x:f>
        <x:v>0.2222222222222222</x:v>
      </x:c>
      <x:c r="M2101" s="14" t="n">
        <x:v>12</x:v>
      </x:c>
      <x:c r="N2101" s="14" t="n">
        <x:v>11</x:v>
      </x:c>
      <x:c r="O2101" s="15" t="n">
        <x:f>IF(M2101=0,"해당 없음",N2101/M2101)</x:f>
        <x:v>0.9166666666666666</x:v>
      </x:c>
      <x:c r="P2101" s="14" t="n">
        <x:v>103</x:v>
      </x:c>
    </x:row>
    <x:row r="2102" ht="22" customHeight="1">
      <x:c r="A2102" s="14" t="n">
        <x:v>1049</x:v>
      </x:c>
      <x:c r="B2102" s="14" t="n">
        <x:v>27</x:v>
      </x:c>
      <x:c r="C2102" s="14" t="n">
        <x:v>76004</x:v>
      </x:c>
      <x:c r="D2102" s="2" t="str">
        <x:v>RED</x:v>
      </x:c>
      <x:c r="E2102" s="2" t="str">
        <x:v>160만</x:v>
      </x:c>
      <x:c r="F2102" s="2" t="str">
        <x:v>240만</x:v>
      </x:c>
      <x:c r="G2102" s="2" t="str">
        <x:v>승</x:v>
      </x:c>
      <x:c r="H2102" s="14" t="n">
        <x:v>4</x:v>
      </x:c>
      <x:c r="I2102" s="14" t="n">
        <x:v>3</x:v>
      </x:c>
      <x:c r="J2102" s="14" t="n">
        <x:v>10</x:v>
      </x:c>
      <x:c r="K2102" s="14" t="n">
        <x:v>4</x:v>
      </x:c>
      <x:c r="L2102" s="15" t="n">
        <x:f>IF(J2102=0,"해당 없음",K2102/J2102)</x:f>
        <x:v>0.4</x:v>
      </x:c>
      <x:c r="M2102" s="14" t="n">
        <x:v>8</x:v>
      </x:c>
      <x:c r="N2102" s="14" t="n">
        <x:v>6</x:v>
      </x:c>
      <x:c r="O2102" s="15" t="n">
        <x:f>IF(M2102=0,"해당 없음",N2102/M2102)</x:f>
        <x:v>0.75</x:v>
      </x:c>
      <x:c r="P2102" s="14" t="n">
        <x:v>105</x:v>
      </x:c>
    </x:row>
    <x:row r="2103" ht="22" customHeight="1">
      <x:c r="A2103" s="14" t="n">
        <x:v>1049</x:v>
      </x:c>
      <x:c r="B2103" s="14" t="n">
        <x:v>27</x:v>
      </x:c>
      <x:c r="C2103" s="14" t="n">
        <x:v>76004</x:v>
      </x:c>
      <x:c r="D2103" s="2" t="str">
        <x:v>NAVY</x:v>
      </x:c>
      <x:c r="E2103" s="2" t="str">
        <x:v>240만</x:v>
      </x:c>
      <x:c r="F2103" s="2" t="str">
        <x:v>160만</x:v>
      </x:c>
      <x:c r="G2103" s="2" t="str">
        <x:v>패</x:v>
      </x:c>
      <x:c r="H2103" s="14" t="n">
        <x:v>3</x:v>
      </x:c>
      <x:c r="I2103" s="14" t="n">
        <x:v>4</x:v>
      </x:c>
      <x:c r="J2103" s="14" t="n">
        <x:v>7</x:v>
      </x:c>
      <x:c r="K2103" s="14" t="n">
        <x:v>3</x:v>
      </x:c>
      <x:c r="L2103" s="15" t="n">
        <x:f>IF(J2103=0,"해당 없음",K2103/J2103)</x:f>
        <x:v>0.42857142857142855</x:v>
      </x:c>
      <x:c r="M2103" s="14" t="n">
        <x:v>12</x:v>
      </x:c>
      <x:c r="N2103" s="14" t="n">
        <x:v>9</x:v>
      </x:c>
      <x:c r="O2103" s="15" t="n">
        <x:f>IF(M2103=0,"해당 없음",N2103/M2103)</x:f>
        <x:v>0.75</x:v>
      </x:c>
      <x:c r="P2103" s="14" t="n">
        <x:v>104</x:v>
      </x:c>
    </x:row>
    <x:row r="2104" ht="22" customHeight="1">
      <x:c r="A2104" s="14" t="n">
        <x:v>1050</x:v>
      </x:c>
      <x:c r="B2104" s="14" t="n">
        <x:v>27</x:v>
      </x:c>
      <x:c r="C2104" s="14" t="n">
        <x:v>76004</x:v>
      </x:c>
      <x:c r="D2104" s="2" t="str">
        <x:v>RED</x:v>
      </x:c>
      <x:c r="E2104" s="2" t="str">
        <x:v>240만</x:v>
      </x:c>
      <x:c r="F2104" s="2" t="str">
        <x:v>160만</x:v>
      </x:c>
      <x:c r="G2104" s="2" t="str">
        <x:v>승</x:v>
      </x:c>
      <x:c r="H2104" s="14" t="n">
        <x:v>3</x:v>
      </x:c>
      <x:c r="I2104" s="14" t="n">
        <x:v>2</x:v>
      </x:c>
      <x:c r="J2104" s="14" t="n">
        <x:v>10</x:v>
      </x:c>
      <x:c r="K2104" s="14" t="n">
        <x:v>3</x:v>
      </x:c>
      <x:c r="L2104" s="15" t="n">
        <x:f>IF(J2104=0,"해당 없음",K2104/J2104)</x:f>
        <x:v>0.3</x:v>
      </x:c>
      <x:c r="M2104" s="14" t="n">
        <x:v>8</x:v>
      </x:c>
      <x:c r="N2104" s="14" t="n">
        <x:v>7</x:v>
      </x:c>
      <x:c r="O2104" s="15" t="n">
        <x:f>IF(M2104=0,"해당 없음",N2104/M2104)</x:f>
        <x:v>0.875</x:v>
      </x:c>
      <x:c r="P2104" s="14" t="n">
        <x:v>104</x:v>
      </x:c>
    </x:row>
    <x:row r="2105" ht="22" customHeight="1">
      <x:c r="A2105" s="14" t="n">
        <x:v>1050</x:v>
      </x:c>
      <x:c r="B2105" s="14" t="n">
        <x:v>27</x:v>
      </x:c>
      <x:c r="C2105" s="14" t="n">
        <x:v>76004</x:v>
      </x:c>
      <x:c r="D2105" s="2" t="str">
        <x:v>NAVY</x:v>
      </x:c>
      <x:c r="E2105" s="2" t="str">
        <x:v>160만</x:v>
      </x:c>
      <x:c r="F2105" s="2" t="str">
        <x:v>240만</x:v>
      </x:c>
      <x:c r="G2105" s="2" t="str">
        <x:v>패</x:v>
      </x:c>
      <x:c r="H2105" s="14" t="n">
        <x:v>2</x:v>
      </x:c>
      <x:c r="I2105" s="14" t="n">
        <x:v>3</x:v>
      </x:c>
      <x:c r="J2105" s="14" t="n">
        <x:v>7</x:v>
      </x:c>
      <x:c r="K2105" s="14" t="n">
        <x:v>2</x:v>
      </x:c>
      <x:c r="L2105" s="15" t="n">
        <x:f>IF(J2105=0,"해당 없음",K2105/J2105)</x:f>
        <x:v>0.2857142857142857</x:v>
      </x:c>
      <x:c r="M2105" s="14" t="n">
        <x:v>14</x:v>
      </x:c>
      <x:c r="N2105" s="14" t="n">
        <x:v>9</x:v>
      </x:c>
      <x:c r="O2105" s="15" t="n">
        <x:f>IF(M2105=0,"해당 없음",N2105/M2105)</x:f>
        <x:v>0.6428571428571429</x:v>
      </x:c>
      <x:c r="P2105" s="14" t="n">
        <x:v>103</x:v>
      </x:c>
    </x:row>
    <x:row r="2106" ht="22" customHeight="1">
      <x:c r="A2106" s="14" t="n">
        <x:v>1051</x:v>
      </x:c>
      <x:c r="B2106" s="14" t="n">
        <x:v>27</x:v>
      </x:c>
      <x:c r="C2106" s="14" t="n">
        <x:v>76005</x:v>
      </x:c>
      <x:c r="D2106" s="2" t="str">
        <x:v>RED</x:v>
      </x:c>
      <x:c r="E2106" s="2" t="str">
        <x:v>160만</x:v>
      </x:c>
      <x:c r="F2106" s="2" t="str">
        <x:v>240만</x:v>
      </x:c>
      <x:c r="G2106" s="2" t="str">
        <x:v>무</x:v>
      </x:c>
      <x:c r="H2106" s="14" t="n">
        <x:v>4</x:v>
      </x:c>
      <x:c r="I2106" s="14" t="n">
        <x:v>4</x:v>
      </x:c>
      <x:c r="J2106" s="14" t="n">
        <x:v>12</x:v>
      </x:c>
      <x:c r="K2106" s="14" t="n">
        <x:v>4</x:v>
      </x:c>
      <x:c r="L2106" s="15" t="n">
        <x:f>IF(J2106=0,"해당 없음",K2106/J2106)</x:f>
        <x:v>0.3333333333333333</x:v>
      </x:c>
      <x:c r="M2106" s="14" t="n">
        <x:v>4</x:v>
      </x:c>
      <x:c r="N2106" s="14" t="n">
        <x:v>3</x:v>
      </x:c>
      <x:c r="O2106" s="15" t="n">
        <x:f>IF(M2106=0,"해당 없음",N2106/M2106)</x:f>
        <x:v>0.75</x:v>
      </x:c>
      <x:c r="P2106" s="14" t="n">
        <x:v>106</x:v>
      </x:c>
    </x:row>
    <x:row r="2107" ht="22" customHeight="1">
      <x:c r="A2107" s="14" t="n">
        <x:v>1051</x:v>
      </x:c>
      <x:c r="B2107" s="14" t="n">
        <x:v>27</x:v>
      </x:c>
      <x:c r="C2107" s="14" t="n">
        <x:v>76005</x:v>
      </x:c>
      <x:c r="D2107" s="2" t="str">
        <x:v>NAVY</x:v>
      </x:c>
      <x:c r="E2107" s="2" t="str">
        <x:v>240만</x:v>
      </x:c>
      <x:c r="F2107" s="2" t="str">
        <x:v>160만</x:v>
      </x:c>
      <x:c r="G2107" s="2" t="str">
        <x:v>무</x:v>
      </x:c>
      <x:c r="H2107" s="14" t="n">
        <x:v>4</x:v>
      </x:c>
      <x:c r="I2107" s="14" t="n">
        <x:v>4</x:v>
      </x:c>
      <x:c r="J2107" s="14" t="n">
        <x:v>9</x:v>
      </x:c>
      <x:c r="K2107" s="14" t="n">
        <x:v>4</x:v>
      </x:c>
      <x:c r="L2107" s="15" t="n">
        <x:f>IF(J2107=0,"해당 없음",K2107/J2107)</x:f>
        <x:v>0.4444444444444444</x:v>
      </x:c>
      <x:c r="M2107" s="14" t="n">
        <x:v>7</x:v>
      </x:c>
      <x:c r="N2107" s="14" t="n">
        <x:v>6</x:v>
      </x:c>
      <x:c r="O2107" s="15" t="n">
        <x:f>IF(M2107=0,"해당 없음",N2107/M2107)</x:f>
        <x:v>0.8571428571428571</x:v>
      </x:c>
      <x:c r="P2107" s="14" t="n">
        <x:v>106</x:v>
      </x:c>
    </x:row>
    <x:row r="2108" ht="22" customHeight="1">
      <x:c r="A2108" s="14" t="n">
        <x:v>1052</x:v>
      </x:c>
      <x:c r="B2108" s="14" t="n">
        <x:v>27</x:v>
      </x:c>
      <x:c r="C2108" s="14" t="n">
        <x:v>76005</x:v>
      </x:c>
      <x:c r="D2108" s="2" t="str">
        <x:v>RED</x:v>
      </x:c>
      <x:c r="E2108" s="2" t="str">
        <x:v>240만</x:v>
      </x:c>
      <x:c r="F2108" s="2" t="str">
        <x:v>160만</x:v>
      </x:c>
      <x:c r="G2108" s="2" t="str">
        <x:v>승</x:v>
      </x:c>
      <x:c r="H2108" s="14" t="n">
        <x:v>3</x:v>
      </x:c>
      <x:c r="I2108" s="14" t="n">
        <x:v>2</x:v>
      </x:c>
      <x:c r="J2108" s="14" t="n">
        <x:v>11</x:v>
      </x:c>
      <x:c r="K2108" s="14" t="n">
        <x:v>2</x:v>
      </x:c>
      <x:c r="L2108" s="15" t="n">
        <x:f>IF(J2108=0,"해당 없음",K2108/J2108)</x:f>
        <x:v>0.18181818181818182</x:v>
      </x:c>
      <x:c r="M2108" s="14" t="n">
        <x:v>7</x:v>
      </x:c>
      <x:c r="N2108" s="14" t="n">
        <x:v>6</x:v>
      </x:c>
      <x:c r="O2108" s="15" t="n">
        <x:f>IF(M2108=0,"해당 없음",N2108/M2108)</x:f>
        <x:v>0.8571428571428571</x:v>
      </x:c>
      <x:c r="P2108" s="14" t="n">
        <x:v>103</x:v>
      </x:c>
    </x:row>
    <x:row r="2109" ht="22" customHeight="1">
      <x:c r="A2109" s="14" t="n">
        <x:v>1052</x:v>
      </x:c>
      <x:c r="B2109" s="14" t="n">
        <x:v>27</x:v>
      </x:c>
      <x:c r="C2109" s="14" t="n">
        <x:v>76005</x:v>
      </x:c>
      <x:c r="D2109" s="2" t="str">
        <x:v>NAVY</x:v>
      </x:c>
      <x:c r="E2109" s="2" t="str">
        <x:v>160만</x:v>
      </x:c>
      <x:c r="F2109" s="2" t="str">
        <x:v>240만</x:v>
      </x:c>
      <x:c r="G2109" s="2" t="str">
        <x:v>패</x:v>
      </x:c>
      <x:c r="H2109" s="14" t="n">
        <x:v>2</x:v>
      </x:c>
      <x:c r="I2109" s="14" t="n">
        <x:v>3</x:v>
      </x:c>
      <x:c r="J2109" s="14" t="n">
        <x:v>6</x:v>
      </x:c>
      <x:c r="K2109" s="14" t="n">
        <x:v>2</x:v>
      </x:c>
      <x:c r="L2109" s="15" t="n">
        <x:f>IF(J2109=0,"해당 없음",K2109/J2109)</x:f>
        <x:v>0.3333333333333333</x:v>
      </x:c>
      <x:c r="M2109" s="14" t="n">
        <x:v>8</x:v>
      </x:c>
      <x:c r="N2109" s="14" t="n">
        <x:v>7</x:v>
      </x:c>
      <x:c r="O2109" s="15" t="n">
        <x:f>IF(M2109=0,"해당 없음",N2109/M2109)</x:f>
        <x:v>0.875</x:v>
      </x:c>
      <x:c r="P2109" s="14" t="n">
        <x:v>102</x:v>
      </x:c>
    </x:row>
    <x:row r="2110" ht="22" customHeight="1">
      <x:c r="A2110" s="14" t="n">
        <x:v>1053</x:v>
      </x:c>
      <x:c r="B2110" s="14" t="n">
        <x:v>27</x:v>
      </x:c>
      <x:c r="C2110" s="14" t="n">
        <x:v>76006</x:v>
      </x:c>
      <x:c r="D2110" s="2" t="str">
        <x:v>RED</x:v>
      </x:c>
      <x:c r="E2110" s="2" t="str">
        <x:v>160만</x:v>
      </x:c>
      <x:c r="F2110" s="2" t="str">
        <x:v>240만</x:v>
      </x:c>
      <x:c r="G2110" s="2" t="str">
        <x:v>승</x:v>
      </x:c>
      <x:c r="H2110" s="14" t="n">
        <x:v>4</x:v>
      </x:c>
      <x:c r="I2110" s="14" t="n">
        <x:v>3</x:v>
      </x:c>
      <x:c r="J2110" s="14" t="n">
        <x:v>7</x:v>
      </x:c>
      <x:c r="K2110" s="14" t="n">
        <x:v>4</x:v>
      </x:c>
      <x:c r="L2110" s="15" t="n">
        <x:f>IF(J2110=0,"해당 없음",K2110/J2110)</x:f>
        <x:v>0.5714285714285714</x:v>
      </x:c>
      <x:c r="M2110" s="14" t="n">
        <x:v>8</x:v>
      </x:c>
      <x:c r="N2110" s="14" t="n">
        <x:v>7</x:v>
      </x:c>
      <x:c r="O2110" s="15" t="n">
        <x:f>IF(M2110=0,"해당 없음",N2110/M2110)</x:f>
        <x:v>0.875</x:v>
      </x:c>
      <x:c r="P2110" s="14" t="n">
        <x:v>104</x:v>
      </x:c>
    </x:row>
    <x:row r="2111" ht="22" customHeight="1">
      <x:c r="A2111" s="14" t="n">
        <x:v>1053</x:v>
      </x:c>
      <x:c r="B2111" s="14" t="n">
        <x:v>27</x:v>
      </x:c>
      <x:c r="C2111" s="14" t="n">
        <x:v>76006</x:v>
      </x:c>
      <x:c r="D2111" s="2" t="str">
        <x:v>NAVY</x:v>
      </x:c>
      <x:c r="E2111" s="2" t="str">
        <x:v>240만</x:v>
      </x:c>
      <x:c r="F2111" s="2" t="str">
        <x:v>160만</x:v>
      </x:c>
      <x:c r="G2111" s="2" t="str">
        <x:v>패</x:v>
      </x:c>
      <x:c r="H2111" s="14" t="n">
        <x:v>3</x:v>
      </x:c>
      <x:c r="I2111" s="14" t="n">
        <x:v>4</x:v>
      </x:c>
      <x:c r="J2111" s="14" t="n">
        <x:v>8</x:v>
      </x:c>
      <x:c r="K2111" s="14" t="n">
        <x:v>3</x:v>
      </x:c>
      <x:c r="L2111" s="15" t="n">
        <x:f>IF(J2111=0,"해당 없음",K2111/J2111)</x:f>
        <x:v>0.375</x:v>
      </x:c>
      <x:c r="M2111" s="14" t="n">
        <x:v>4</x:v>
      </x:c>
      <x:c r="N2111" s="14" t="n">
        <x:v>4</x:v>
      </x:c>
      <x:c r="O2111" s="15" t="n">
        <x:f>IF(M2111=0,"해당 없음",N2111/M2111)</x:f>
        <x:v>1</x:v>
      </x:c>
      <x:c r="P2111" s="14" t="n">
        <x:v>105</x:v>
      </x:c>
    </x:row>
    <x:row r="2112" ht="22" customHeight="1">
      <x:c r="A2112" s="14" t="n">
        <x:v>1054</x:v>
      </x:c>
      <x:c r="B2112" s="14" t="n">
        <x:v>27</x:v>
      </x:c>
      <x:c r="C2112" s="14" t="n">
        <x:v>76006</x:v>
      </x:c>
      <x:c r="D2112" s="2" t="str">
        <x:v>RED</x:v>
      </x:c>
      <x:c r="E2112" s="2" t="str">
        <x:v>240만</x:v>
      </x:c>
      <x:c r="F2112" s="2" t="str">
        <x:v>160만</x:v>
      </x:c>
      <x:c r="G2112" s="2" t="str">
        <x:v>승</x:v>
      </x:c>
      <x:c r="H2112" s="14" t="n">
        <x:v>5</x:v>
      </x:c>
      <x:c r="I2112" s="14" t="n">
        <x:v>3</x:v>
      </x:c>
      <x:c r="J2112" s="14" t="n">
        <x:v>8</x:v>
      </x:c>
      <x:c r="K2112" s="14" t="n">
        <x:v>5</x:v>
      </x:c>
      <x:c r="L2112" s="15" t="n">
        <x:f>IF(J2112=0,"해당 없음",K2112/J2112)</x:f>
        <x:v>0.625</x:v>
      </x:c>
      <x:c r="M2112" s="14" t="n">
        <x:v>8</x:v>
      </x:c>
      <x:c r="N2112" s="14" t="n">
        <x:v>6</x:v>
      </x:c>
      <x:c r="O2112" s="15" t="n">
        <x:f>IF(M2112=0,"해당 없음",N2112/M2112)</x:f>
        <x:v>0.75</x:v>
      </x:c>
      <x:c r="P2112" s="14" t="n">
        <x:v>105</x:v>
      </x:c>
    </x:row>
    <x:row r="2113" ht="22" customHeight="1">
      <x:c r="A2113" s="14" t="n">
        <x:v>1054</x:v>
      </x:c>
      <x:c r="B2113" s="14" t="n">
        <x:v>27</x:v>
      </x:c>
      <x:c r="C2113" s="14" t="n">
        <x:v>76006</x:v>
      </x:c>
      <x:c r="D2113" s="2" t="str">
        <x:v>NAVY</x:v>
      </x:c>
      <x:c r="E2113" s="2" t="str">
        <x:v>160만</x:v>
      </x:c>
      <x:c r="F2113" s="2" t="str">
        <x:v>240만</x:v>
      </x:c>
      <x:c r="G2113" s="2" t="str">
        <x:v>패</x:v>
      </x:c>
      <x:c r="H2113" s="14" t="n">
        <x:v>3</x:v>
      </x:c>
      <x:c r="I2113" s="14" t="n">
        <x:v>5</x:v>
      </x:c>
      <x:c r="J2113" s="14" t="n">
        <x:v>11</x:v>
      </x:c>
      <x:c r="K2113" s="14" t="n">
        <x:v>3</x:v>
      </x:c>
      <x:c r="L2113" s="15" t="n">
        <x:f>IF(J2113=0,"해당 없음",K2113/J2113)</x:f>
        <x:v>0.2727272727272727</x:v>
      </x:c>
      <x:c r="M2113" s="14" t="n">
        <x:v>10</x:v>
      </x:c>
      <x:c r="N2113" s="14" t="n">
        <x:v>7</x:v>
      </x:c>
      <x:c r="O2113" s="15" t="n">
        <x:f>IF(M2113=0,"해당 없음",N2113/M2113)</x:f>
        <x:v>0.7</x:v>
      </x:c>
      <x:c r="P2113" s="14" t="n">
        <x:v>105</x:v>
      </x:c>
    </x:row>
    <x:row r="2114" ht="22" customHeight="1">
      <x:c r="A2114" s="14" t="n">
        <x:v>1055</x:v>
      </x:c>
      <x:c r="B2114" s="14" t="n">
        <x:v>27</x:v>
      </x:c>
      <x:c r="C2114" s="14" t="n">
        <x:v>76007</x:v>
      </x:c>
      <x:c r="D2114" s="2" t="str">
        <x:v>RED</x:v>
      </x:c>
      <x:c r="E2114" s="2" t="str">
        <x:v>160만</x:v>
      </x:c>
      <x:c r="F2114" s="2" t="str">
        <x:v>240만</x:v>
      </x:c>
      <x:c r="G2114" s="2" t="str">
        <x:v>승</x:v>
      </x:c>
      <x:c r="H2114" s="14" t="n">
        <x:v>2</x:v>
      </x:c>
      <x:c r="I2114" s="14" t="n">
        <x:v>0</x:v>
      </x:c>
      <x:c r="J2114" s="14" t="n">
        <x:v>9</x:v>
      </x:c>
      <x:c r="K2114" s="14" t="n">
        <x:v>2</x:v>
      </x:c>
      <x:c r="L2114" s="15" t="n">
        <x:f>IF(J2114=0,"해당 없음",K2114/J2114)</x:f>
        <x:v>0.2222222222222222</x:v>
      </x:c>
      <x:c r="M2114" s="14" t="n">
        <x:v>9</x:v>
      </x:c>
      <x:c r="N2114" s="14" t="n">
        <x:v>8</x:v>
      </x:c>
      <x:c r="O2114" s="15" t="n">
        <x:f>IF(M2114=0,"해당 없음",N2114/M2114)</x:f>
        <x:v>0.8888888888888888</x:v>
      </x:c>
      <x:c r="P2114" s="14" t="n">
        <x:v>100</x:v>
      </x:c>
    </x:row>
    <x:row r="2115" ht="22" customHeight="1">
      <x:c r="A2115" s="14" t="n">
        <x:v>1055</x:v>
      </x:c>
      <x:c r="B2115" s="14" t="n">
        <x:v>27</x:v>
      </x:c>
      <x:c r="C2115" s="14" t="n">
        <x:v>76007</x:v>
      </x:c>
      <x:c r="D2115" s="2" t="str">
        <x:v>NAVY</x:v>
      </x:c>
      <x:c r="E2115" s="2" t="str">
        <x:v>240만</x:v>
      </x:c>
      <x:c r="F2115" s="2" t="str">
        <x:v>160만</x:v>
      </x:c>
      <x:c r="G2115" s="2" t="str">
        <x:v>패</x:v>
      </x:c>
      <x:c r="H2115" s="14" t="n">
        <x:v>0</x:v>
      </x:c>
      <x:c r="I2115" s="14" t="n">
        <x:v>2</x:v>
      </x:c>
      <x:c r="J2115" s="14" t="n">
        <x:v>4</x:v>
      </x:c>
      <x:c r="K2115" s="14" t="n">
        <x:v>0</x:v>
      </x:c>
      <x:c r="L2115" s="15" t="n">
        <x:f>IF(J2115=0,"해당 없음",K2115/J2115)</x:f>
        <x:v>0</x:v>
      </x:c>
      <x:c r="M2115" s="14" t="n">
        <x:v>11</x:v>
      </x:c>
      <x:c r="N2115" s="14" t="n">
        <x:v>9</x:v>
      </x:c>
      <x:c r="O2115" s="15" t="n">
        <x:f>IF(M2115=0,"해당 없음",N2115/M2115)</x:f>
        <x:v>0.8181818181818182</x:v>
      </x:c>
      <x:c r="P2115" s="14" t="n">
        <x:v>101</x:v>
      </x:c>
    </x:row>
    <x:row r="2116" ht="22" customHeight="1">
      <x:c r="A2116" s="14" t="n">
        <x:v>1056</x:v>
      </x:c>
      <x:c r="B2116" s="14" t="n">
        <x:v>27</x:v>
      </x:c>
      <x:c r="C2116" s="14" t="n">
        <x:v>76007</x:v>
      </x:c>
      <x:c r="D2116" s="2" t="str">
        <x:v>RED</x:v>
      </x:c>
      <x:c r="E2116" s="2" t="str">
        <x:v>240만</x:v>
      </x:c>
      <x:c r="F2116" s="2" t="str">
        <x:v>160만</x:v>
      </x:c>
      <x:c r="G2116" s="2" t="str">
        <x:v>승</x:v>
      </x:c>
      <x:c r="H2116" s="14" t="n">
        <x:v>3</x:v>
      </x:c>
      <x:c r="I2116" s="14" t="n">
        <x:v>0</x:v>
      </x:c>
      <x:c r="J2116" s="14" t="n">
        <x:v>11</x:v>
      </x:c>
      <x:c r="K2116" s="14" t="n">
        <x:v>3</x:v>
      </x:c>
      <x:c r="L2116" s="15" t="n">
        <x:f>IF(J2116=0,"해당 없음",K2116/J2116)</x:f>
        <x:v>0.2727272727272727</x:v>
      </x:c>
      <x:c r="M2116" s="14" t="n">
        <x:v>13</x:v>
      </x:c>
      <x:c r="N2116" s="14" t="n">
        <x:v>7</x:v>
      </x:c>
      <x:c r="O2116" s="15" t="n">
        <x:f>IF(M2116=0,"해당 없음",N2116/M2116)</x:f>
        <x:v>0.5384615384615384</x:v>
      </x:c>
      <x:c r="P2116" s="14" t="n">
        <x:v>102</x:v>
      </x:c>
    </x:row>
    <x:row r="2117" ht="22" customHeight="1">
      <x:c r="A2117" s="14" t="n">
        <x:v>1056</x:v>
      </x:c>
      <x:c r="B2117" s="14" t="n">
        <x:v>27</x:v>
      </x:c>
      <x:c r="C2117" s="14" t="n">
        <x:v>76007</x:v>
      </x:c>
      <x:c r="D2117" s="2" t="str">
        <x:v>NAVY</x:v>
      </x:c>
      <x:c r="E2117" s="2" t="str">
        <x:v>160만</x:v>
      </x:c>
      <x:c r="F2117" s="2" t="str">
        <x:v>240만</x:v>
      </x:c>
      <x:c r="G2117" s="2" t="str">
        <x:v>패</x:v>
      </x:c>
      <x:c r="H2117" s="14" t="n">
        <x:v>0</x:v>
      </x:c>
      <x:c r="I2117" s="14" t="n">
        <x:v>3</x:v>
      </x:c>
      <x:c r="J2117" s="14" t="n">
        <x:v>7</x:v>
      </x:c>
      <x:c r="K2117" s="14" t="n">
        <x:v>0</x:v>
      </x:c>
      <x:c r="L2117" s="15" t="n">
        <x:f>IF(J2117=0,"해당 없음",K2117/J2117)</x:f>
        <x:v>0</x:v>
      </x:c>
      <x:c r="M2117" s="14" t="n">
        <x:v>12</x:v>
      </x:c>
      <x:c r="N2117" s="14" t="n">
        <x:v>8</x:v>
      </x:c>
      <x:c r="O2117" s="15" t="n">
        <x:f>IF(M2117=0,"해당 없음",N2117/M2117)</x:f>
        <x:v>0.6666666666666666</x:v>
      </x:c>
      <x:c r="P2117" s="14" t="n">
        <x:v>100</x:v>
      </x:c>
    </x:row>
    <x:row r="2118" ht="22" customHeight="1">
      <x:c r="A2118" s="14" t="n">
        <x:v>1057</x:v>
      </x:c>
      <x:c r="B2118" s="14" t="n">
        <x:v>27</x:v>
      </x:c>
      <x:c r="C2118" s="14" t="n">
        <x:v>76008</x:v>
      </x:c>
      <x:c r="D2118" s="2" t="str">
        <x:v>RED</x:v>
      </x:c>
      <x:c r="E2118" s="2" t="str">
        <x:v>160만</x:v>
      </x:c>
      <x:c r="F2118" s="2" t="str">
        <x:v>240만</x:v>
      </x:c>
      <x:c r="G2118" s="2" t="str">
        <x:v>패</x:v>
      </x:c>
      <x:c r="H2118" s="14" t="n">
        <x:v>2</x:v>
      </x:c>
      <x:c r="I2118" s="14" t="n">
        <x:v>3</x:v>
      </x:c>
      <x:c r="J2118" s="14" t="n">
        <x:v>8</x:v>
      </x:c>
      <x:c r="K2118" s="14" t="n">
        <x:v>2</x:v>
      </x:c>
      <x:c r="L2118" s="15" t="n">
        <x:f>IF(J2118=0,"해당 없음",K2118/J2118)</x:f>
        <x:v>0.25</x:v>
      </x:c>
      <x:c r="M2118" s="14" t="n">
        <x:v>12</x:v>
      </x:c>
      <x:c r="N2118" s="14" t="n">
        <x:v>8</x:v>
      </x:c>
      <x:c r="O2118" s="15" t="n">
        <x:f>IF(M2118=0,"해당 없음",N2118/M2118)</x:f>
        <x:v>0.6666666666666666</x:v>
      </x:c>
      <x:c r="P2118" s="14" t="n">
        <x:v>101</x:v>
      </x:c>
    </x:row>
    <x:row r="2119" ht="22" customHeight="1">
      <x:c r="A2119" s="14" t="n">
        <x:v>1057</x:v>
      </x:c>
      <x:c r="B2119" s="14" t="n">
        <x:v>27</x:v>
      </x:c>
      <x:c r="C2119" s="14" t="n">
        <x:v>76008</x:v>
      </x:c>
      <x:c r="D2119" s="2" t="str">
        <x:v>NAVY</x:v>
      </x:c>
      <x:c r="E2119" s="2" t="str">
        <x:v>240만</x:v>
      </x:c>
      <x:c r="F2119" s="2" t="str">
        <x:v>160만</x:v>
      </x:c>
      <x:c r="G2119" s="2" t="str">
        <x:v>승</x:v>
      </x:c>
      <x:c r="H2119" s="14" t="n">
        <x:v>3</x:v>
      </x:c>
      <x:c r="I2119" s="14" t="n">
        <x:v>2</x:v>
      </x:c>
      <x:c r="J2119" s="14" t="n">
        <x:v>9</x:v>
      </x:c>
      <x:c r="K2119" s="14" t="n">
        <x:v>3</x:v>
      </x:c>
      <x:c r="L2119" s="15" t="n">
        <x:f>IF(J2119=0,"해당 없음",K2119/J2119)</x:f>
        <x:v>0.3333333333333333</x:v>
      </x:c>
      <x:c r="M2119" s="14" t="n">
        <x:v>8</x:v>
      </x:c>
      <x:c r="N2119" s="14" t="n">
        <x:v>5</x:v>
      </x:c>
      <x:c r="O2119" s="15" t="n">
        <x:f>IF(M2119=0,"해당 없음",N2119/M2119)</x:f>
        <x:v>0.625</x:v>
      </x:c>
      <x:c r="P2119" s="14" t="n">
        <x:v>103</x:v>
      </x:c>
    </x:row>
    <x:row r="2120" ht="22" customHeight="1">
      <x:c r="A2120" s="14" t="n">
        <x:v>1058</x:v>
      </x:c>
      <x:c r="B2120" s="14" t="n">
        <x:v>27</x:v>
      </x:c>
      <x:c r="C2120" s="14" t="n">
        <x:v>76008</x:v>
      </x:c>
      <x:c r="D2120" s="2" t="str">
        <x:v>RED</x:v>
      </x:c>
      <x:c r="E2120" s="2" t="str">
        <x:v>240만</x:v>
      </x:c>
      <x:c r="F2120" s="2" t="str">
        <x:v>160만</x:v>
      </x:c>
      <x:c r="G2120" s="2" t="str">
        <x:v>승</x:v>
      </x:c>
      <x:c r="H2120" s="14" t="n">
        <x:v>2</x:v>
      </x:c>
      <x:c r="I2120" s="14" t="n">
        <x:v>1</x:v>
      </x:c>
      <x:c r="J2120" s="14" t="n">
        <x:v>11</x:v>
      </x:c>
      <x:c r="K2120" s="14" t="n">
        <x:v>2</x:v>
      </x:c>
      <x:c r="L2120" s="15" t="n">
        <x:f>IF(J2120=0,"해당 없음",K2120/J2120)</x:f>
        <x:v>0.18181818181818182</x:v>
      </x:c>
      <x:c r="M2120" s="14" t="n">
        <x:v>11</x:v>
      </x:c>
      <x:c r="N2120" s="14" t="n">
        <x:v>7</x:v>
      </x:c>
      <x:c r="O2120" s="15" t="n">
        <x:f>IF(M2120=0,"해당 없음",N2120/M2120)</x:f>
        <x:v>0.6363636363636364</x:v>
      </x:c>
      <x:c r="P2120" s="14" t="n">
        <x:v>104</x:v>
      </x:c>
    </x:row>
    <x:row r="2121" ht="22" customHeight="1">
      <x:c r="A2121" s="14" t="n">
        <x:v>1058</x:v>
      </x:c>
      <x:c r="B2121" s="14" t="n">
        <x:v>27</x:v>
      </x:c>
      <x:c r="C2121" s="14" t="n">
        <x:v>76008</x:v>
      </x:c>
      <x:c r="D2121" s="2" t="str">
        <x:v>NAVY</x:v>
      </x:c>
      <x:c r="E2121" s="2" t="str">
        <x:v>160만</x:v>
      </x:c>
      <x:c r="F2121" s="2" t="str">
        <x:v>240만</x:v>
      </x:c>
      <x:c r="G2121" s="2" t="str">
        <x:v>패</x:v>
      </x:c>
      <x:c r="H2121" s="14" t="n">
        <x:v>1</x:v>
      </x:c>
      <x:c r="I2121" s="14" t="n">
        <x:v>2</x:v>
      </x:c>
      <x:c r="J2121" s="14" t="n">
        <x:v>6</x:v>
      </x:c>
      <x:c r="K2121" s="14" t="n">
        <x:v>1</x:v>
      </x:c>
      <x:c r="L2121" s="15" t="n">
        <x:f>IF(J2121=0,"해당 없음",K2121/J2121)</x:f>
        <x:v>0.16666666666666666</x:v>
      </x:c>
      <x:c r="M2121" s="14" t="n">
        <x:v>10</x:v>
      </x:c>
      <x:c r="N2121" s="14" t="n">
        <x:v>9</x:v>
      </x:c>
      <x:c r="O2121" s="15" t="n">
        <x:f>IF(M2121=0,"해당 없음",N2121/M2121)</x:f>
        <x:v>0.9</x:v>
      </x:c>
      <x:c r="P2121" s="14" t="n">
        <x:v>102</x:v>
      </x:c>
    </x:row>
    <x:row r="2122" ht="22" customHeight="1">
      <x:c r="A2122" s="14" t="n">
        <x:v>1059</x:v>
      </x:c>
      <x:c r="B2122" s="14" t="n">
        <x:v>27</x:v>
      </x:c>
      <x:c r="C2122" s="14" t="n">
        <x:v>76009</x:v>
      </x:c>
      <x:c r="D2122" s="2" t="str">
        <x:v>RED</x:v>
      </x:c>
      <x:c r="E2122" s="2" t="str">
        <x:v>160만</x:v>
      </x:c>
      <x:c r="F2122" s="2" t="str">
        <x:v>240만</x:v>
      </x:c>
      <x:c r="G2122" s="2" t="str">
        <x:v>패</x:v>
      </x:c>
      <x:c r="H2122" s="14" t="n">
        <x:v>0</x:v>
      </x:c>
      <x:c r="I2122" s="14" t="n">
        <x:v>2</x:v>
      </x:c>
      <x:c r="J2122" s="14" t="n">
        <x:v>6</x:v>
      </x:c>
      <x:c r="K2122" s="14" t="n">
        <x:v>0</x:v>
      </x:c>
      <x:c r="L2122" s="15" t="n">
        <x:f>IF(J2122=0,"해당 없음",K2122/J2122)</x:f>
        <x:v>0</x:v>
      </x:c>
      <x:c r="M2122" s="14" t="n">
        <x:v>11</x:v>
      </x:c>
      <x:c r="N2122" s="14" t="n">
        <x:v>7</x:v>
      </x:c>
      <x:c r="O2122" s="15" t="n">
        <x:f>IF(M2122=0,"해당 없음",N2122/M2122)</x:f>
        <x:v>0.6363636363636364</x:v>
      </x:c>
      <x:c r="P2122" s="14" t="n">
        <x:v>101</x:v>
      </x:c>
    </x:row>
    <x:row r="2123" ht="22" customHeight="1">
      <x:c r="A2123" s="14" t="n">
        <x:v>1059</x:v>
      </x:c>
      <x:c r="B2123" s="14" t="n">
        <x:v>27</x:v>
      </x:c>
      <x:c r="C2123" s="14" t="n">
        <x:v>76009</x:v>
      </x:c>
      <x:c r="D2123" s="2" t="str">
        <x:v>NAVY</x:v>
      </x:c>
      <x:c r="E2123" s="2" t="str">
        <x:v>240만</x:v>
      </x:c>
      <x:c r="F2123" s="2" t="str">
        <x:v>160만</x:v>
      </x:c>
      <x:c r="G2123" s="2" t="str">
        <x:v>승</x:v>
      </x:c>
      <x:c r="H2123" s="14" t="n">
        <x:v>2</x:v>
      </x:c>
      <x:c r="I2123" s="14" t="n">
        <x:v>0</x:v>
      </x:c>
      <x:c r="J2123" s="14" t="n">
        <x:v>14</x:v>
      </x:c>
      <x:c r="K2123" s="14" t="n">
        <x:v>2</x:v>
      </x:c>
      <x:c r="L2123" s="15" t="n">
        <x:f>IF(J2123=0,"해당 없음",K2123/J2123)</x:f>
        <x:v>0.14285714285714285</x:v>
      </x:c>
      <x:c r="M2123" s="14" t="n">
        <x:v>8</x:v>
      </x:c>
      <x:c r="N2123" s="14" t="n">
        <x:v>7</x:v>
      </x:c>
      <x:c r="O2123" s="15" t="n">
        <x:f>IF(M2123=0,"해당 없음",N2123/M2123)</x:f>
        <x:v>0.875</x:v>
      </x:c>
      <x:c r="P2123" s="14" t="n">
        <x:v>101</x:v>
      </x:c>
    </x:row>
    <x:row r="2124" ht="22" customHeight="1">
      <x:c r="A2124" s="14" t="n">
        <x:v>1060</x:v>
      </x:c>
      <x:c r="B2124" s="14" t="n">
        <x:v>27</x:v>
      </x:c>
      <x:c r="C2124" s="14" t="n">
        <x:v>76009</x:v>
      </x:c>
      <x:c r="D2124" s="2" t="str">
        <x:v>RED</x:v>
      </x:c>
      <x:c r="E2124" s="2" t="str">
        <x:v>240만</x:v>
      </x:c>
      <x:c r="F2124" s="2" t="str">
        <x:v>160만</x:v>
      </x:c>
      <x:c r="G2124" s="2" t="str">
        <x:v>승</x:v>
      </x:c>
      <x:c r="H2124" s="14" t="n">
        <x:v>2</x:v>
      </x:c>
      <x:c r="I2124" s="14" t="n">
        <x:v>1</x:v>
      </x:c>
      <x:c r="J2124" s="14" t="n">
        <x:v>7</x:v>
      </x:c>
      <x:c r="K2124" s="14" t="n">
        <x:v>2</x:v>
      </x:c>
      <x:c r="L2124" s="15" t="n">
        <x:f>IF(J2124=0,"해당 없음",K2124/J2124)</x:f>
        <x:v>0.2857142857142857</x:v>
      </x:c>
      <x:c r="M2124" s="14" t="n">
        <x:v>12</x:v>
      </x:c>
      <x:c r="N2124" s="14" t="n">
        <x:v>8</x:v>
      </x:c>
      <x:c r="O2124" s="15" t="n">
        <x:f>IF(M2124=0,"해당 없음",N2124/M2124)</x:f>
        <x:v>0.6666666666666666</x:v>
      </x:c>
      <x:c r="P2124" s="14" t="n">
        <x:v>102</x:v>
      </x:c>
    </x:row>
    <x:row r="2125" ht="22" customHeight="1">
      <x:c r="A2125" s="14" t="n">
        <x:v>1060</x:v>
      </x:c>
      <x:c r="B2125" s="14" t="n">
        <x:v>27</x:v>
      </x:c>
      <x:c r="C2125" s="14" t="n">
        <x:v>76009</x:v>
      </x:c>
      <x:c r="D2125" s="2" t="str">
        <x:v>NAVY</x:v>
      </x:c>
      <x:c r="E2125" s="2" t="str">
        <x:v>160만</x:v>
      </x:c>
      <x:c r="F2125" s="2" t="str">
        <x:v>240만</x:v>
      </x:c>
      <x:c r="G2125" s="2" t="str">
        <x:v>패</x:v>
      </x:c>
      <x:c r="H2125" s="14" t="n">
        <x:v>1</x:v>
      </x:c>
      <x:c r="I2125" s="14" t="n">
        <x:v>2</x:v>
      </x:c>
      <x:c r="J2125" s="14" t="n">
        <x:v>8</x:v>
      </x:c>
      <x:c r="K2125" s="14" t="n">
        <x:v>1</x:v>
      </x:c>
      <x:c r="L2125" s="15" t="n">
        <x:f>IF(J2125=0,"해당 없음",K2125/J2125)</x:f>
        <x:v>0.125</x:v>
      </x:c>
      <x:c r="M2125" s="14" t="n">
        <x:v>8</x:v>
      </x:c>
      <x:c r="N2125" s="14" t="n">
        <x:v>6</x:v>
      </x:c>
      <x:c r="O2125" s="15" t="n">
        <x:f>IF(M2125=0,"해당 없음",N2125/M2125)</x:f>
        <x:v>0.75</x:v>
      </x:c>
      <x:c r="P2125" s="14" t="n">
        <x:v>102</x:v>
      </x:c>
    </x:row>
    <x:row r="2126" ht="22" customHeight="1">
      <x:c r="A2126" s="14" t="n">
        <x:v>1061</x:v>
      </x:c>
      <x:c r="B2126" s="14" t="n">
        <x:v>27</x:v>
      </x:c>
      <x:c r="C2126" s="14" t="n">
        <x:v>76010</x:v>
      </x:c>
      <x:c r="D2126" s="2" t="str">
        <x:v>RED</x:v>
      </x:c>
      <x:c r="E2126" s="2" t="str">
        <x:v>160만</x:v>
      </x:c>
      <x:c r="F2126" s="2" t="str">
        <x:v>240만</x:v>
      </x:c>
      <x:c r="G2126" s="2" t="str">
        <x:v>승</x:v>
      </x:c>
      <x:c r="H2126" s="14" t="n">
        <x:v>3</x:v>
      </x:c>
      <x:c r="I2126" s="14" t="n">
        <x:v>2</x:v>
      </x:c>
      <x:c r="J2126" s="14" t="n">
        <x:v>16</x:v>
      </x:c>
      <x:c r="K2126" s="14" t="n">
        <x:v>3</x:v>
      </x:c>
      <x:c r="L2126" s="15" t="n">
        <x:f>IF(J2126=0,"해당 없음",K2126/J2126)</x:f>
        <x:v>0.1875</x:v>
      </x:c>
      <x:c r="M2126" s="14" t="n">
        <x:v>11</x:v>
      </x:c>
      <x:c r="N2126" s="14" t="n">
        <x:v>8</x:v>
      </x:c>
      <x:c r="O2126" s="15" t="n">
        <x:f>IF(M2126=0,"해당 없음",N2126/M2126)</x:f>
        <x:v>0.7272727272727273</x:v>
      </x:c>
      <x:c r="P2126" s="14" t="n">
        <x:v>105</x:v>
      </x:c>
    </x:row>
    <x:row r="2127" ht="22" customHeight="1">
      <x:c r="A2127" s="14" t="n">
        <x:v>1061</x:v>
      </x:c>
      <x:c r="B2127" s="14" t="n">
        <x:v>27</x:v>
      </x:c>
      <x:c r="C2127" s="14" t="n">
        <x:v>76010</x:v>
      </x:c>
      <x:c r="D2127" s="2" t="str">
        <x:v>NAVY</x:v>
      </x:c>
      <x:c r="E2127" s="2" t="str">
        <x:v>240만</x:v>
      </x:c>
      <x:c r="F2127" s="2" t="str">
        <x:v>160만</x:v>
      </x:c>
      <x:c r="G2127" s="2" t="str">
        <x:v>패</x:v>
      </x:c>
      <x:c r="H2127" s="14" t="n">
        <x:v>2</x:v>
      </x:c>
      <x:c r="I2127" s="14" t="n">
        <x:v>3</x:v>
      </x:c>
      <x:c r="J2127" s="14" t="n">
        <x:v>6</x:v>
      </x:c>
      <x:c r="K2127" s="14" t="n">
        <x:v>2</x:v>
      </x:c>
      <x:c r="L2127" s="15" t="n">
        <x:f>IF(J2127=0,"해당 없음",K2127/J2127)</x:f>
        <x:v>0.3333333333333333</x:v>
      </x:c>
      <x:c r="M2127" s="14" t="n">
        <x:v>11</x:v>
      </x:c>
      <x:c r="N2127" s="14" t="n">
        <x:v>9</x:v>
      </x:c>
      <x:c r="O2127" s="15" t="n">
        <x:f>IF(M2127=0,"해당 없음",N2127/M2127)</x:f>
        <x:v>0.8181818181818182</x:v>
      </x:c>
      <x:c r="P2127" s="14" t="n">
        <x:v>104</x:v>
      </x:c>
    </x:row>
    <x:row r="2128" ht="22" customHeight="1">
      <x:c r="A2128" s="14" t="n">
        <x:v>1062</x:v>
      </x:c>
      <x:c r="B2128" s="14" t="n">
        <x:v>27</x:v>
      </x:c>
      <x:c r="C2128" s="14" t="n">
        <x:v>76010</x:v>
      </x:c>
      <x:c r="D2128" s="2" t="str">
        <x:v>RED</x:v>
      </x:c>
      <x:c r="E2128" s="2" t="str">
        <x:v>240만</x:v>
      </x:c>
      <x:c r="F2128" s="2" t="str">
        <x:v>160만</x:v>
      </x:c>
      <x:c r="G2128" s="2" t="str">
        <x:v>패</x:v>
      </x:c>
      <x:c r="H2128" s="14" t="n">
        <x:v>2</x:v>
      </x:c>
      <x:c r="I2128" s="14" t="n">
        <x:v>4</x:v>
      </x:c>
      <x:c r="J2128" s="14" t="n">
        <x:v>10</x:v>
      </x:c>
      <x:c r="K2128" s="14" t="n">
        <x:v>2</x:v>
      </x:c>
      <x:c r="L2128" s="15" t="n">
        <x:f>IF(J2128=0,"해당 없음",K2128/J2128)</x:f>
        <x:v>0.2</x:v>
      </x:c>
      <x:c r="M2128" s="14" t="n">
        <x:v>8</x:v>
      </x:c>
      <x:c r="N2128" s="14" t="n">
        <x:v>6</x:v>
      </x:c>
      <x:c r="O2128" s="15" t="n">
        <x:f>IF(M2128=0,"해당 없음",N2128/M2128)</x:f>
        <x:v>0.75</x:v>
      </x:c>
      <x:c r="P2128" s="14" t="n">
        <x:v>105</x:v>
      </x:c>
    </x:row>
    <x:row r="2129" ht="22" customHeight="1">
      <x:c r="A2129" s="14" t="n">
        <x:v>1062</x:v>
      </x:c>
      <x:c r="B2129" s="14" t="n">
        <x:v>27</x:v>
      </x:c>
      <x:c r="C2129" s="14" t="n">
        <x:v>76010</x:v>
      </x:c>
      <x:c r="D2129" s="2" t="str">
        <x:v>NAVY</x:v>
      </x:c>
      <x:c r="E2129" s="2" t="str">
        <x:v>160만</x:v>
      </x:c>
      <x:c r="F2129" s="2" t="str">
        <x:v>240만</x:v>
      </x:c>
      <x:c r="G2129" s="2" t="str">
        <x:v>승</x:v>
      </x:c>
      <x:c r="H2129" s="14" t="n">
        <x:v>4</x:v>
      </x:c>
      <x:c r="I2129" s="14" t="n">
        <x:v>2</x:v>
      </x:c>
      <x:c r="J2129" s="14" t="n">
        <x:v>9</x:v>
      </x:c>
      <x:c r="K2129" s="14" t="n">
        <x:v>4</x:v>
      </x:c>
      <x:c r="L2129" s="15" t="n">
        <x:f>IF(J2129=0,"해당 없음",K2129/J2129)</x:f>
        <x:v>0.4444444444444444</x:v>
      </x:c>
      <x:c r="M2129" s="14" t="n">
        <x:v>15</x:v>
      </x:c>
      <x:c r="N2129" s="14" t="n">
        <x:v>14</x:v>
      </x:c>
      <x:c r="O2129" s="15" t="n">
        <x:f>IF(M2129=0,"해당 없음",N2129/M2129)</x:f>
        <x:v>0.9333333333333333</x:v>
      </x:c>
      <x:c r="P2129" s="14" t="n">
        <x:v>102</x:v>
      </x:c>
    </x:row>
    <x:row r="2130" ht="22" customHeight="1">
      <x:c r="A2130" s="14" t="n">
        <x:v>1063</x:v>
      </x:c>
      <x:c r="B2130" s="14" t="n">
        <x:v>27</x:v>
      </x:c>
      <x:c r="C2130" s="14" t="n">
        <x:v>76011</x:v>
      </x:c>
      <x:c r="D2130" s="2" t="str">
        <x:v>RED</x:v>
      </x:c>
      <x:c r="E2130" s="2" t="str">
        <x:v>160만</x:v>
      </x:c>
      <x:c r="F2130" s="2" t="str">
        <x:v>240만</x:v>
      </x:c>
      <x:c r="G2130" s="2" t="str">
        <x:v>승</x:v>
      </x:c>
      <x:c r="H2130" s="14" t="n">
        <x:v>5</x:v>
      </x:c>
      <x:c r="I2130" s="14" t="n">
        <x:v>4</x:v>
      </x:c>
      <x:c r="J2130" s="14" t="n">
        <x:v>9</x:v>
      </x:c>
      <x:c r="K2130" s="14" t="n">
        <x:v>5</x:v>
      </x:c>
      <x:c r="L2130" s="15" t="n">
        <x:f>IF(J2130=0,"해당 없음",K2130/J2130)</x:f>
        <x:v>0.5555555555555556</x:v>
      </x:c>
      <x:c r="M2130" s="14" t="n">
        <x:v>11</x:v>
      </x:c>
      <x:c r="N2130" s="14" t="n">
        <x:v>10</x:v>
      </x:c>
      <x:c r="O2130" s="15" t="n">
        <x:f>IF(M2130=0,"해당 없음",N2130/M2130)</x:f>
        <x:v>0.9090909090909091</x:v>
      </x:c>
      <x:c r="P2130" s="14" t="n">
        <x:v>105</x:v>
      </x:c>
    </x:row>
    <x:row r="2131" ht="22" customHeight="1">
      <x:c r="A2131" s="14" t="n">
        <x:v>1063</x:v>
      </x:c>
      <x:c r="B2131" s="14" t="n">
        <x:v>27</x:v>
      </x:c>
      <x:c r="C2131" s="14" t="n">
        <x:v>76011</x:v>
      </x:c>
      <x:c r="D2131" s="2" t="str">
        <x:v>NAVY</x:v>
      </x:c>
      <x:c r="E2131" s="2" t="str">
        <x:v>240만</x:v>
      </x:c>
      <x:c r="F2131" s="2" t="str">
        <x:v>160만</x:v>
      </x:c>
      <x:c r="G2131" s="2" t="str">
        <x:v>패</x:v>
      </x:c>
      <x:c r="H2131" s="14" t="n">
        <x:v>4</x:v>
      </x:c>
      <x:c r="I2131" s="14" t="n">
        <x:v>5</x:v>
      </x:c>
      <x:c r="J2131" s="14" t="n">
        <x:v>13</x:v>
      </x:c>
      <x:c r="K2131" s="14" t="n">
        <x:v>4</x:v>
      </x:c>
      <x:c r="L2131" s="15" t="n">
        <x:f>IF(J2131=0,"해당 없음",K2131/J2131)</x:f>
        <x:v>0.3076923076923077</x:v>
      </x:c>
      <x:c r="M2131" s="14" t="n">
        <x:v>9</x:v>
      </x:c>
      <x:c r="N2131" s="14" t="n">
        <x:v>8</x:v>
      </x:c>
      <x:c r="O2131" s="15" t="n">
        <x:f>IF(M2131=0,"해당 없음",N2131/M2131)</x:f>
        <x:v>0.8888888888888888</x:v>
      </x:c>
      <x:c r="P2131" s="14" t="n">
        <x:v>105</x:v>
      </x:c>
    </x:row>
    <x:row r="2132" ht="22" customHeight="1">
      <x:c r="A2132" s="14" t="n">
        <x:v>1064</x:v>
      </x:c>
      <x:c r="B2132" s="14" t="n">
        <x:v>27</x:v>
      </x:c>
      <x:c r="C2132" s="14" t="n">
        <x:v>76011</x:v>
      </x:c>
      <x:c r="D2132" s="2" t="str">
        <x:v>RED</x:v>
      </x:c>
      <x:c r="E2132" s="2" t="str">
        <x:v>240만</x:v>
      </x:c>
      <x:c r="F2132" s="2" t="str">
        <x:v>160만</x:v>
      </x:c>
      <x:c r="G2132" s="2" t="str">
        <x:v>승</x:v>
      </x:c>
      <x:c r="H2132" s="14" t="n">
        <x:v>4</x:v>
      </x:c>
      <x:c r="I2132" s="14" t="n">
        <x:v>1</x:v>
      </x:c>
      <x:c r="J2132" s="14" t="n">
        <x:v>9</x:v>
      </x:c>
      <x:c r="K2132" s="14" t="n">
        <x:v>4</x:v>
      </x:c>
      <x:c r="L2132" s="15" t="n">
        <x:f>IF(J2132=0,"해당 없음",K2132/J2132)</x:f>
        <x:v>0.4444444444444444</x:v>
      </x:c>
      <x:c r="M2132" s="14" t="n">
        <x:v>12</x:v>
      </x:c>
      <x:c r="N2132" s="14" t="n">
        <x:v>10</x:v>
      </x:c>
      <x:c r="O2132" s="15" t="n">
        <x:f>IF(M2132=0,"해당 없음",N2132/M2132)</x:f>
        <x:v>0.8333333333333334</x:v>
      </x:c>
      <x:c r="P2132" s="14" t="n">
        <x:v>103</x:v>
      </x:c>
    </x:row>
    <x:row r="2133" ht="22" customHeight="1">
      <x:c r="A2133" s="14" t="n">
        <x:v>1064</x:v>
      </x:c>
      <x:c r="B2133" s="14" t="n">
        <x:v>27</x:v>
      </x:c>
      <x:c r="C2133" s="14" t="n">
        <x:v>76011</x:v>
      </x:c>
      <x:c r="D2133" s="2" t="str">
        <x:v>NAVY</x:v>
      </x:c>
      <x:c r="E2133" s="2" t="str">
        <x:v>160만</x:v>
      </x:c>
      <x:c r="F2133" s="2" t="str">
        <x:v>240만</x:v>
      </x:c>
      <x:c r="G2133" s="2" t="str">
        <x:v>패</x:v>
      </x:c>
      <x:c r="H2133" s="14" t="n">
        <x:v>1</x:v>
      </x:c>
      <x:c r="I2133" s="14" t="n">
        <x:v>4</x:v>
      </x:c>
      <x:c r="J2133" s="14" t="n">
        <x:v>5</x:v>
      </x:c>
      <x:c r="K2133" s="14" t="n">
        <x:v>1</x:v>
      </x:c>
      <x:c r="L2133" s="15" t="n">
        <x:f>IF(J2133=0,"해당 없음",K2133/J2133)</x:f>
        <x:v>0.2</x:v>
      </x:c>
      <x:c r="M2133" s="14" t="n">
        <x:v>13</x:v>
      </x:c>
      <x:c r="N2133" s="14" t="n">
        <x:v>8</x:v>
      </x:c>
      <x:c r="O2133" s="15" t="n">
        <x:f>IF(M2133=0,"해당 없음",N2133/M2133)</x:f>
        <x:v>0.6153846153846154</x:v>
      </x:c>
      <x:c r="P2133" s="14" t="n">
        <x:v>104</x:v>
      </x:c>
    </x:row>
    <x:row r="2134" ht="22" customHeight="1">
      <x:c r="A2134" s="14" t="n">
        <x:v>1065</x:v>
      </x:c>
      <x:c r="B2134" s="14" t="n">
        <x:v>27</x:v>
      </x:c>
      <x:c r="C2134" s="14" t="n">
        <x:v>76012</x:v>
      </x:c>
      <x:c r="D2134" s="2" t="str">
        <x:v>RED</x:v>
      </x:c>
      <x:c r="E2134" s="2" t="str">
        <x:v>160만</x:v>
      </x:c>
      <x:c r="F2134" s="2" t="str">
        <x:v>240만</x:v>
      </x:c>
      <x:c r="G2134" s="2" t="str">
        <x:v>패</x:v>
      </x:c>
      <x:c r="H2134" s="14" t="n">
        <x:v>2</x:v>
      </x:c>
      <x:c r="I2134" s="14" t="n">
        <x:v>3</x:v>
      </x:c>
      <x:c r="J2134" s="14" t="n">
        <x:v>13</x:v>
      </x:c>
      <x:c r="K2134" s="14" t="n">
        <x:v>2</x:v>
      </x:c>
      <x:c r="L2134" s="15" t="n">
        <x:f>IF(J2134=0,"해당 없음",K2134/J2134)</x:f>
        <x:v>0.15384615384615385</x:v>
      </x:c>
      <x:c r="M2134" s="14" t="n">
        <x:v>9</x:v>
      </x:c>
      <x:c r="N2134" s="14" t="n">
        <x:v>9</x:v>
      </x:c>
      <x:c r="O2134" s="15" t="n">
        <x:f>IF(M2134=0,"해당 없음",N2134/M2134)</x:f>
        <x:v>1</x:v>
      </x:c>
      <x:c r="P2134" s="14" t="n">
        <x:v>103</x:v>
      </x:c>
    </x:row>
    <x:row r="2135" ht="22" customHeight="1">
      <x:c r="A2135" s="14" t="n">
        <x:v>1065</x:v>
      </x:c>
      <x:c r="B2135" s="14" t="n">
        <x:v>27</x:v>
      </x:c>
      <x:c r="C2135" s="14" t="n">
        <x:v>76012</x:v>
      </x:c>
      <x:c r="D2135" s="2" t="str">
        <x:v>NAVY</x:v>
      </x:c>
      <x:c r="E2135" s="2" t="str">
        <x:v>240만</x:v>
      </x:c>
      <x:c r="F2135" s="2" t="str">
        <x:v>160만</x:v>
      </x:c>
      <x:c r="G2135" s="2" t="str">
        <x:v>승</x:v>
      </x:c>
      <x:c r="H2135" s="14" t="n">
        <x:v>3</x:v>
      </x:c>
      <x:c r="I2135" s="14" t="n">
        <x:v>2</x:v>
      </x:c>
      <x:c r="J2135" s="14" t="n">
        <x:v>6</x:v>
      </x:c>
      <x:c r="K2135" s="14" t="n">
        <x:v>3</x:v>
      </x:c>
      <x:c r="L2135" s="15" t="n">
        <x:f>IF(J2135=0,"해당 없음",K2135/J2135)</x:f>
        <x:v>0.5</x:v>
      </x:c>
      <x:c r="M2135" s="14" t="n">
        <x:v>9</x:v>
      </x:c>
      <x:c r="N2135" s="14" t="n">
        <x:v>6</x:v>
      </x:c>
      <x:c r="O2135" s="15" t="n">
        <x:f>IF(M2135=0,"해당 없음",N2135/M2135)</x:f>
        <x:v>0.6666666666666666</x:v>
      </x:c>
      <x:c r="P2135" s="14" t="n">
        <x:v>103</x:v>
      </x:c>
    </x:row>
    <x:row r="2136" ht="22" customHeight="1">
      <x:c r="A2136" s="14" t="n">
        <x:v>1066</x:v>
      </x:c>
      <x:c r="B2136" s="14" t="n">
        <x:v>27</x:v>
      </x:c>
      <x:c r="C2136" s="14" t="n">
        <x:v>76012</x:v>
      </x:c>
      <x:c r="D2136" s="2" t="str">
        <x:v>RED</x:v>
      </x:c>
      <x:c r="E2136" s="2" t="str">
        <x:v>240만</x:v>
      </x:c>
      <x:c r="F2136" s="2" t="str">
        <x:v>160만</x:v>
      </x:c>
      <x:c r="G2136" s="2" t="str">
        <x:v>패</x:v>
      </x:c>
      <x:c r="H2136" s="14" t="n">
        <x:v>1</x:v>
      </x:c>
      <x:c r="I2136" s="14" t="n">
        <x:v>3</x:v>
      </x:c>
      <x:c r="J2136" s="14" t="n">
        <x:v>7</x:v>
      </x:c>
      <x:c r="K2136" s="14" t="n">
        <x:v>1</x:v>
      </x:c>
      <x:c r="L2136" s="15" t="n">
        <x:f>IF(J2136=0,"해당 없음",K2136/J2136)</x:f>
        <x:v>0.14285714285714285</x:v>
      </x:c>
      <x:c r="M2136" s="14" t="n">
        <x:v>8</x:v>
      </x:c>
      <x:c r="N2136" s="14" t="n">
        <x:v>4</x:v>
      </x:c>
      <x:c r="O2136" s="15" t="n">
        <x:f>IF(M2136=0,"해당 없음",N2136/M2136)</x:f>
        <x:v>0.5</x:v>
      </x:c>
      <x:c r="P2136" s="14" t="n">
        <x:v>104</x:v>
      </x:c>
    </x:row>
    <x:row r="2137" ht="22" customHeight="1">
      <x:c r="A2137" s="14" t="n">
        <x:v>1066</x:v>
      </x:c>
      <x:c r="B2137" s="14" t="n">
        <x:v>27</x:v>
      </x:c>
      <x:c r="C2137" s="14" t="n">
        <x:v>76012</x:v>
      </x:c>
      <x:c r="D2137" s="2" t="str">
        <x:v>NAVY</x:v>
      </x:c>
      <x:c r="E2137" s="2" t="str">
        <x:v>160만</x:v>
      </x:c>
      <x:c r="F2137" s="2" t="str">
        <x:v>240만</x:v>
      </x:c>
      <x:c r="G2137" s="2" t="str">
        <x:v>승</x:v>
      </x:c>
      <x:c r="H2137" s="14" t="n">
        <x:v>3</x:v>
      </x:c>
      <x:c r="I2137" s="14" t="n">
        <x:v>1</x:v>
      </x:c>
      <x:c r="J2137" s="14" t="n">
        <x:v>13</x:v>
      </x:c>
      <x:c r="K2137" s="14" t="n">
        <x:v>3</x:v>
      </x:c>
      <x:c r="L2137" s="15" t="n">
        <x:f>IF(J2137=0,"해당 없음",K2137/J2137)</x:f>
        <x:v>0.23076923076923078</x:v>
      </x:c>
      <x:c r="M2137" s="14" t="n">
        <x:v>12</x:v>
      </x:c>
      <x:c r="N2137" s="14" t="n">
        <x:v>12</x:v>
      </x:c>
      <x:c r="O2137" s="15" t="n">
        <x:f>IF(M2137=0,"해당 없음",N2137/M2137)</x:f>
        <x:v>1</x:v>
      </x:c>
      <x:c r="P2137" s="14" t="n">
        <x:v>103</x:v>
      </x:c>
    </x:row>
    <x:row r="2138" ht="22" customHeight="1">
      <x:c r="A2138" s="14" t="n">
        <x:v>1067</x:v>
      </x:c>
      <x:c r="B2138" s="14" t="n">
        <x:v>27</x:v>
      </x:c>
      <x:c r="C2138" s="14" t="n">
        <x:v>76013</x:v>
      </x:c>
      <x:c r="D2138" s="2" t="str">
        <x:v>RED</x:v>
      </x:c>
      <x:c r="E2138" s="2" t="str">
        <x:v>160만</x:v>
      </x:c>
      <x:c r="F2138" s="2" t="str">
        <x:v>240만</x:v>
      </x:c>
      <x:c r="G2138" s="2" t="str">
        <x:v>승</x:v>
      </x:c>
      <x:c r="H2138" s="14" t="n">
        <x:v>3</x:v>
      </x:c>
      <x:c r="I2138" s="14" t="n">
        <x:v>1</x:v>
      </x:c>
      <x:c r="J2138" s="14" t="n">
        <x:v>13</x:v>
      </x:c>
      <x:c r="K2138" s="14" t="n">
        <x:v>3</x:v>
      </x:c>
      <x:c r="L2138" s="15" t="n">
        <x:f>IF(J2138=0,"해당 없음",K2138/J2138)</x:f>
        <x:v>0.23076923076923078</x:v>
      </x:c>
      <x:c r="M2138" s="14" t="n">
        <x:v>11</x:v>
      </x:c>
      <x:c r="N2138" s="14" t="n">
        <x:v>9</x:v>
      </x:c>
      <x:c r="O2138" s="15" t="n">
        <x:f>IF(M2138=0,"해당 없음",N2138/M2138)</x:f>
        <x:v>0.8181818181818182</x:v>
      </x:c>
      <x:c r="P2138" s="14" t="n">
        <x:v>103</x:v>
      </x:c>
    </x:row>
    <x:row r="2139" ht="22" customHeight="1">
      <x:c r="A2139" s="14" t="n">
        <x:v>1067</x:v>
      </x:c>
      <x:c r="B2139" s="14" t="n">
        <x:v>27</x:v>
      </x:c>
      <x:c r="C2139" s="14" t="n">
        <x:v>76013</x:v>
      </x:c>
      <x:c r="D2139" s="2" t="str">
        <x:v>NAVY</x:v>
      </x:c>
      <x:c r="E2139" s="2" t="str">
        <x:v>240만</x:v>
      </x:c>
      <x:c r="F2139" s="2" t="str">
        <x:v>160만</x:v>
      </x:c>
      <x:c r="G2139" s="2" t="str">
        <x:v>패</x:v>
      </x:c>
      <x:c r="H2139" s="14" t="n">
        <x:v>1</x:v>
      </x:c>
      <x:c r="I2139" s="14" t="n">
        <x:v>3</x:v>
      </x:c>
      <x:c r="J2139" s="14" t="n">
        <x:v>6</x:v>
      </x:c>
      <x:c r="K2139" s="14" t="n">
        <x:v>1</x:v>
      </x:c>
      <x:c r="L2139" s="15" t="n">
        <x:f>IF(J2139=0,"해당 없음",K2139/J2139)</x:f>
        <x:v>0.16666666666666666</x:v>
      </x:c>
      <x:c r="M2139" s="14" t="n">
        <x:v>8</x:v>
      </x:c>
      <x:c r="N2139" s="14" t="n">
        <x:v>6</x:v>
      </x:c>
      <x:c r="O2139" s="15" t="n">
        <x:f>IF(M2139=0,"해당 없음",N2139/M2139)</x:f>
        <x:v>0.75</x:v>
      </x:c>
      <x:c r="P2139" s="14" t="n">
        <x:v>103</x:v>
      </x:c>
    </x:row>
    <x:row r="2140" ht="22" customHeight="1">
      <x:c r="A2140" s="14" t="n">
        <x:v>1068</x:v>
      </x:c>
      <x:c r="B2140" s="14" t="n">
        <x:v>27</x:v>
      </x:c>
      <x:c r="C2140" s="14" t="n">
        <x:v>76013</x:v>
      </x:c>
      <x:c r="D2140" s="2" t="str">
        <x:v>RED</x:v>
      </x:c>
      <x:c r="E2140" s="2" t="str">
        <x:v>240만</x:v>
      </x:c>
      <x:c r="F2140" s="2" t="str">
        <x:v>160만</x:v>
      </x:c>
      <x:c r="G2140" s="2" t="str">
        <x:v>승</x:v>
      </x:c>
      <x:c r="H2140" s="14" t="n">
        <x:v>6</x:v>
      </x:c>
      <x:c r="I2140" s="14" t="n">
        <x:v>1</x:v>
      </x:c>
      <x:c r="J2140" s="14" t="n">
        <x:v>13</x:v>
      </x:c>
      <x:c r="K2140" s="14" t="n">
        <x:v>6</x:v>
      </x:c>
      <x:c r="L2140" s="15" t="n">
        <x:f>IF(J2140=0,"해당 없음",K2140/J2140)</x:f>
        <x:v>0.46153846153846156</x:v>
      </x:c>
      <x:c r="M2140" s="14" t="n">
        <x:v>8</x:v>
      </x:c>
      <x:c r="N2140" s="14" t="n">
        <x:v>6</x:v>
      </x:c>
      <x:c r="O2140" s="15" t="n">
        <x:f>IF(M2140=0,"해당 없음",N2140/M2140)</x:f>
        <x:v>0.75</x:v>
      </x:c>
      <x:c r="P2140" s="14" t="n">
        <x:v>104</x:v>
      </x:c>
    </x:row>
    <x:row r="2141" ht="22" customHeight="1">
      <x:c r="A2141" s="14" t="n">
        <x:v>1068</x:v>
      </x:c>
      <x:c r="B2141" s="14" t="n">
        <x:v>27</x:v>
      </x:c>
      <x:c r="C2141" s="14" t="n">
        <x:v>76013</x:v>
      </x:c>
      <x:c r="D2141" s="2" t="str">
        <x:v>NAVY</x:v>
      </x:c>
      <x:c r="E2141" s="2" t="str">
        <x:v>160만</x:v>
      </x:c>
      <x:c r="F2141" s="2" t="str">
        <x:v>240만</x:v>
      </x:c>
      <x:c r="G2141" s="2" t="str">
        <x:v>패</x:v>
      </x:c>
      <x:c r="H2141" s="14" t="n">
        <x:v>1</x:v>
      </x:c>
      <x:c r="I2141" s="14" t="n">
        <x:v>6</x:v>
      </x:c>
      <x:c r="J2141" s="14" t="n">
        <x:v>8</x:v>
      </x:c>
      <x:c r="K2141" s="14" t="n">
        <x:v>1</x:v>
      </x:c>
      <x:c r="L2141" s="15" t="n">
        <x:f>IF(J2141=0,"해당 없음",K2141/J2141)</x:f>
        <x:v>0.125</x:v>
      </x:c>
      <x:c r="M2141" s="14" t="n">
        <x:v>7</x:v>
      </x:c>
      <x:c r="N2141" s="14" t="n">
        <x:v>3</x:v>
      </x:c>
      <x:c r="O2141" s="15" t="n">
        <x:f>IF(M2141=0,"해당 없음",N2141/M2141)</x:f>
        <x:v>0.42857142857142855</x:v>
      </x:c>
      <x:c r="P2141" s="14" t="n">
        <x:v>104</x:v>
      </x:c>
    </x:row>
    <x:row r="2142" ht="22" customHeight="1">
      <x:c r="A2142" s="14" t="n">
        <x:v>1069</x:v>
      </x:c>
      <x:c r="B2142" s="14" t="n">
        <x:v>27</x:v>
      </x:c>
      <x:c r="C2142" s="14" t="n">
        <x:v>76014</x:v>
      </x:c>
      <x:c r="D2142" s="2" t="str">
        <x:v>RED</x:v>
      </x:c>
      <x:c r="E2142" s="2" t="str">
        <x:v>160만</x:v>
      </x:c>
      <x:c r="F2142" s="2" t="str">
        <x:v>240만</x:v>
      </x:c>
      <x:c r="G2142" s="2" t="str">
        <x:v>무</x:v>
      </x:c>
      <x:c r="H2142" s="14" t="n">
        <x:v>1</x:v>
      </x:c>
      <x:c r="I2142" s="14" t="n">
        <x:v>1</x:v>
      </x:c>
      <x:c r="J2142" s="14" t="n">
        <x:v>9</x:v>
      </x:c>
      <x:c r="K2142" s="14" t="n">
        <x:v>1</x:v>
      </x:c>
      <x:c r="L2142" s="15" t="n">
        <x:f>IF(J2142=0,"해당 없음",K2142/J2142)</x:f>
        <x:v>0.1111111111111111</x:v>
      </x:c>
      <x:c r="M2142" s="14" t="n">
        <x:v>14</x:v>
      </x:c>
      <x:c r="N2142" s="14" t="n">
        <x:v>6</x:v>
      </x:c>
      <x:c r="O2142" s="15" t="n">
        <x:f>IF(M2142=0,"해당 없음",N2142/M2142)</x:f>
        <x:v>0.42857142857142855</x:v>
      </x:c>
      <x:c r="P2142" s="14" t="n">
        <x:v>101</x:v>
      </x:c>
    </x:row>
    <x:row r="2143" ht="22" customHeight="1">
      <x:c r="A2143" s="14" t="n">
        <x:v>1069</x:v>
      </x:c>
      <x:c r="B2143" s="14" t="n">
        <x:v>27</x:v>
      </x:c>
      <x:c r="C2143" s="14" t="n">
        <x:v>76014</x:v>
      </x:c>
      <x:c r="D2143" s="2" t="str">
        <x:v>NAVY</x:v>
      </x:c>
      <x:c r="E2143" s="2" t="str">
        <x:v>240만</x:v>
      </x:c>
      <x:c r="F2143" s="2" t="str">
        <x:v>160만</x:v>
      </x:c>
      <x:c r="G2143" s="2" t="str">
        <x:v>무</x:v>
      </x:c>
      <x:c r="H2143" s="14" t="n">
        <x:v>1</x:v>
      </x:c>
      <x:c r="I2143" s="14" t="n">
        <x:v>1</x:v>
      </x:c>
      <x:c r="J2143" s="14" t="n">
        <x:v>9</x:v>
      </x:c>
      <x:c r="K2143" s="14" t="n">
        <x:v>1</x:v>
      </x:c>
      <x:c r="L2143" s="15" t="n">
        <x:f>IF(J2143=0,"해당 없음",K2143/J2143)</x:f>
        <x:v>0.1111111111111111</x:v>
      </x:c>
      <x:c r="M2143" s="14" t="n">
        <x:v>10</x:v>
      </x:c>
      <x:c r="N2143" s="14" t="n">
        <x:v>6</x:v>
      </x:c>
      <x:c r="O2143" s="15" t="n">
        <x:f>IF(M2143=0,"해당 없음",N2143/M2143)</x:f>
        <x:v>0.6</x:v>
      </x:c>
      <x:c r="P2143" s="14" t="n">
        <x:v>101</x:v>
      </x:c>
    </x:row>
    <x:row r="2144" ht="22" customHeight="1">
      <x:c r="A2144" s="14" t="n">
        <x:v>1070</x:v>
      </x:c>
      <x:c r="B2144" s="14" t="n">
        <x:v>27</x:v>
      </x:c>
      <x:c r="C2144" s="14" t="n">
        <x:v>76014</x:v>
      </x:c>
      <x:c r="D2144" s="2" t="str">
        <x:v>RED</x:v>
      </x:c>
      <x:c r="E2144" s="2" t="str">
        <x:v>240만</x:v>
      </x:c>
      <x:c r="F2144" s="2" t="str">
        <x:v>160만</x:v>
      </x:c>
      <x:c r="G2144" s="2" t="str">
        <x:v>승</x:v>
      </x:c>
      <x:c r="H2144" s="14" t="n">
        <x:v>3</x:v>
      </x:c>
      <x:c r="I2144" s="14" t="n">
        <x:v>1</x:v>
      </x:c>
      <x:c r="J2144" s="14" t="n">
        <x:v>9</x:v>
      </x:c>
      <x:c r="K2144" s="14" t="n">
        <x:v>3</x:v>
      </x:c>
      <x:c r="L2144" s="15" t="n">
        <x:f>IF(J2144=0,"해당 없음",K2144/J2144)</x:f>
        <x:v>0.3333333333333333</x:v>
      </x:c>
      <x:c r="M2144" s="14" t="n">
        <x:v>11</x:v>
      </x:c>
      <x:c r="N2144" s="14" t="n">
        <x:v>9</x:v>
      </x:c>
      <x:c r="O2144" s="15" t="n">
        <x:f>IF(M2144=0,"해당 없음",N2144/M2144)</x:f>
        <x:v>0.8181818181818182</x:v>
      </x:c>
      <x:c r="P2144" s="14" t="n">
        <x:v>103</x:v>
      </x:c>
    </x:row>
    <x:row r="2145" ht="22" customHeight="1">
      <x:c r="A2145" s="14" t="n">
        <x:v>1070</x:v>
      </x:c>
      <x:c r="B2145" s="14" t="n">
        <x:v>27</x:v>
      </x:c>
      <x:c r="C2145" s="14" t="n">
        <x:v>76014</x:v>
      </x:c>
      <x:c r="D2145" s="2" t="str">
        <x:v>NAVY</x:v>
      </x:c>
      <x:c r="E2145" s="2" t="str">
        <x:v>160만</x:v>
      </x:c>
      <x:c r="F2145" s="2" t="str">
        <x:v>240만</x:v>
      </x:c>
      <x:c r="G2145" s="2" t="str">
        <x:v>패</x:v>
      </x:c>
      <x:c r="H2145" s="14" t="n">
        <x:v>1</x:v>
      </x:c>
      <x:c r="I2145" s="14" t="n">
        <x:v>3</x:v>
      </x:c>
      <x:c r="J2145" s="14" t="n">
        <x:v>9</x:v>
      </x:c>
      <x:c r="K2145" s="14" t="n">
        <x:v>1</x:v>
      </x:c>
      <x:c r="L2145" s="15" t="n">
        <x:f>IF(J2145=0,"해당 없음",K2145/J2145)</x:f>
        <x:v>0.1111111111111111</x:v>
      </x:c>
      <x:c r="M2145" s="14" t="n">
        <x:v>9</x:v>
      </x:c>
      <x:c r="N2145" s="14" t="n">
        <x:v>8</x:v>
      </x:c>
      <x:c r="O2145" s="15" t="n">
        <x:f>IF(M2145=0,"해당 없음",N2145/M2145)</x:f>
        <x:v>0.8888888888888888</x:v>
      </x:c>
      <x:c r="P2145" s="14" t="n">
        <x:v>102</x:v>
      </x:c>
    </x:row>
    <x:row r="2146" ht="22" customHeight="1">
      <x:c r="A2146" s="14" t="n">
        <x:v>1071</x:v>
      </x:c>
      <x:c r="B2146" s="14" t="n">
        <x:v>27</x:v>
      </x:c>
      <x:c r="C2146" s="14" t="n">
        <x:v>76015</x:v>
      </x:c>
      <x:c r="D2146" s="2" t="str">
        <x:v>RED</x:v>
      </x:c>
      <x:c r="E2146" s="2" t="str">
        <x:v>160만</x:v>
      </x:c>
      <x:c r="F2146" s="2" t="str">
        <x:v>240만</x:v>
      </x:c>
      <x:c r="G2146" s="2" t="str">
        <x:v>패</x:v>
      </x:c>
      <x:c r="H2146" s="14" t="n">
        <x:v>1</x:v>
      </x:c>
      <x:c r="I2146" s="14" t="n">
        <x:v>3</x:v>
      </x:c>
      <x:c r="J2146" s="14" t="n">
        <x:v>6</x:v>
      </x:c>
      <x:c r="K2146" s="14" t="n">
        <x:v>1</x:v>
      </x:c>
      <x:c r="L2146" s="15" t="n">
        <x:f>IF(J2146=0,"해당 없음",K2146/J2146)</x:f>
        <x:v>0.16666666666666666</x:v>
      </x:c>
      <x:c r="M2146" s="14" t="n">
        <x:v>11</x:v>
      </x:c>
      <x:c r="N2146" s="14" t="n">
        <x:v>3</x:v>
      </x:c>
      <x:c r="O2146" s="15" t="n">
        <x:f>IF(M2146=0,"해당 없음",N2146/M2146)</x:f>
        <x:v>0.2727272727272727</x:v>
      </x:c>
      <x:c r="P2146" s="14" t="n">
        <x:v>103</x:v>
      </x:c>
    </x:row>
    <x:row r="2147" ht="22" customHeight="1">
      <x:c r="A2147" s="14" t="n">
        <x:v>1071</x:v>
      </x:c>
      <x:c r="B2147" s="14" t="n">
        <x:v>27</x:v>
      </x:c>
      <x:c r="C2147" s="14" t="n">
        <x:v>76015</x:v>
      </x:c>
      <x:c r="D2147" s="2" t="str">
        <x:v>NAVY</x:v>
      </x:c>
      <x:c r="E2147" s="2" t="str">
        <x:v>240만</x:v>
      </x:c>
      <x:c r="F2147" s="2" t="str">
        <x:v>160만</x:v>
      </x:c>
      <x:c r="G2147" s="2" t="str">
        <x:v>승</x:v>
      </x:c>
      <x:c r="H2147" s="14" t="n">
        <x:v>3</x:v>
      </x:c>
      <x:c r="I2147" s="14" t="n">
        <x:v>1</x:v>
      </x:c>
      <x:c r="J2147" s="14" t="n">
        <x:v>10</x:v>
      </x:c>
      <x:c r="K2147" s="14" t="n">
        <x:v>3</x:v>
      </x:c>
      <x:c r="L2147" s="15" t="n">
        <x:f>IF(J2147=0,"해당 없음",K2147/J2147)</x:f>
        <x:v>0.3</x:v>
      </x:c>
      <x:c r="M2147" s="14" t="n">
        <x:v>10</x:v>
      </x:c>
      <x:c r="N2147" s="14" t="n">
        <x:v>7</x:v>
      </x:c>
      <x:c r="O2147" s="15" t="n">
        <x:f>IF(M2147=0,"해당 없음",N2147/M2147)</x:f>
        <x:v>0.7</x:v>
      </x:c>
      <x:c r="P2147" s="14" t="n">
        <x:v>102</x:v>
      </x:c>
    </x:row>
    <x:row r="2148" ht="22" customHeight="1">
      <x:c r="A2148" s="14" t="n">
        <x:v>1072</x:v>
      </x:c>
      <x:c r="B2148" s="14" t="n">
        <x:v>27</x:v>
      </x:c>
      <x:c r="C2148" s="14" t="n">
        <x:v>76015</x:v>
      </x:c>
      <x:c r="D2148" s="2" t="str">
        <x:v>RED</x:v>
      </x:c>
      <x:c r="E2148" s="2" t="str">
        <x:v>240만</x:v>
      </x:c>
      <x:c r="F2148" s="2" t="str">
        <x:v>160만</x:v>
      </x:c>
      <x:c r="G2148" s="2" t="str">
        <x:v>무</x:v>
      </x:c>
      <x:c r="H2148" s="14" t="n">
        <x:v>3</x:v>
      </x:c>
      <x:c r="I2148" s="14" t="n">
        <x:v>3</x:v>
      </x:c>
      <x:c r="J2148" s="14" t="n">
        <x:v>8</x:v>
      </x:c>
      <x:c r="K2148" s="14" t="n">
        <x:v>3</x:v>
      </x:c>
      <x:c r="L2148" s="15" t="n">
        <x:f>IF(J2148=0,"해당 없음",K2148/J2148)</x:f>
        <x:v>0.375</x:v>
      </x:c>
      <x:c r="M2148" s="14" t="n">
        <x:v>7</x:v>
      </x:c>
      <x:c r="N2148" s="14" t="n">
        <x:v>6</x:v>
      </x:c>
      <x:c r="O2148" s="15" t="n">
        <x:f>IF(M2148=0,"해당 없음",N2148/M2148)</x:f>
        <x:v>0.8571428571428571</x:v>
      </x:c>
      <x:c r="P2148" s="14" t="n">
        <x:v>105</x:v>
      </x:c>
    </x:row>
    <x:row r="2149" ht="22" customHeight="1">
      <x:c r="A2149" s="14" t="n">
        <x:v>1072</x:v>
      </x:c>
      <x:c r="B2149" s="14" t="n">
        <x:v>27</x:v>
      </x:c>
      <x:c r="C2149" s="14" t="n">
        <x:v>76015</x:v>
      </x:c>
      <x:c r="D2149" s="2" t="str">
        <x:v>NAVY</x:v>
      </x:c>
      <x:c r="E2149" s="2" t="str">
        <x:v>160만</x:v>
      </x:c>
      <x:c r="F2149" s="2" t="str">
        <x:v>240만</x:v>
      </x:c>
      <x:c r="G2149" s="2" t="str">
        <x:v>무</x:v>
      </x:c>
      <x:c r="H2149" s="14" t="n">
        <x:v>3</x:v>
      </x:c>
      <x:c r="I2149" s="14" t="n">
        <x:v>3</x:v>
      </x:c>
      <x:c r="J2149" s="14" t="n">
        <x:v>10</x:v>
      </x:c>
      <x:c r="K2149" s="14" t="n">
        <x:v>3</x:v>
      </x:c>
      <x:c r="L2149" s="15" t="n">
        <x:f>IF(J2149=0,"해당 없음",K2149/J2149)</x:f>
        <x:v>0.3</x:v>
      </x:c>
      <x:c r="M2149" s="14" t="n">
        <x:v>11</x:v>
      </x:c>
      <x:c r="N2149" s="14" t="n">
        <x:v>8</x:v>
      </x:c>
      <x:c r="O2149" s="15" t="n">
        <x:f>IF(M2149=0,"해당 없음",N2149/M2149)</x:f>
        <x:v>0.7272727272727273</x:v>
      </x:c>
      <x:c r="P2149" s="14" t="n">
        <x:v>104</x:v>
      </x:c>
    </x:row>
    <x:row r="2150" ht="22" customHeight="1">
      <x:c r="A2150" s="14" t="n">
        <x:v>1073</x:v>
      </x:c>
      <x:c r="B2150" s="14" t="n">
        <x:v>27</x:v>
      </x:c>
      <x:c r="C2150" s="14" t="n">
        <x:v>76016</x:v>
      </x:c>
      <x:c r="D2150" s="2" t="str">
        <x:v>RED</x:v>
      </x:c>
      <x:c r="E2150" s="2" t="str">
        <x:v>160만</x:v>
      </x:c>
      <x:c r="F2150" s="2" t="str">
        <x:v>240만</x:v>
      </x:c>
      <x:c r="G2150" s="2" t="str">
        <x:v>패</x:v>
      </x:c>
      <x:c r="H2150" s="14" t="n">
        <x:v>0</x:v>
      </x:c>
      <x:c r="I2150" s="14" t="n">
        <x:v>4</x:v>
      </x:c>
      <x:c r="J2150" s="14" t="n">
        <x:v>7</x:v>
      </x:c>
      <x:c r="K2150" s="14" t="n">
        <x:v>0</x:v>
      </x:c>
      <x:c r="L2150" s="15" t="n">
        <x:f>IF(J2150=0,"해당 없음",K2150/J2150)</x:f>
        <x:v>0</x:v>
      </x:c>
      <x:c r="M2150" s="14" t="n">
        <x:v>16</x:v>
      </x:c>
      <x:c r="N2150" s="14" t="n">
        <x:v>10</x:v>
      </x:c>
      <x:c r="O2150" s="15" t="n">
        <x:f>IF(M2150=0,"해당 없음",N2150/M2150)</x:f>
        <x:v>0.625</x:v>
      </x:c>
      <x:c r="P2150" s="14" t="n">
        <x:v>101</x:v>
      </x:c>
    </x:row>
    <x:row r="2151" ht="22" customHeight="1">
      <x:c r="A2151" s="14" t="n">
        <x:v>1073</x:v>
      </x:c>
      <x:c r="B2151" s="14" t="n">
        <x:v>27</x:v>
      </x:c>
      <x:c r="C2151" s="14" t="n">
        <x:v>76016</x:v>
      </x:c>
      <x:c r="D2151" s="2" t="str">
        <x:v>NAVY</x:v>
      </x:c>
      <x:c r="E2151" s="2" t="str">
        <x:v>240만</x:v>
      </x:c>
      <x:c r="F2151" s="2" t="str">
        <x:v>160만</x:v>
      </x:c>
      <x:c r="G2151" s="2" t="str">
        <x:v>승</x:v>
      </x:c>
      <x:c r="H2151" s="14" t="n">
        <x:v>4</x:v>
      </x:c>
      <x:c r="I2151" s="14" t="n">
        <x:v>0</x:v>
      </x:c>
      <x:c r="J2151" s="14" t="n">
        <x:v>9</x:v>
      </x:c>
      <x:c r="K2151" s="14" t="n">
        <x:v>4</x:v>
      </x:c>
      <x:c r="L2151" s="15" t="n">
        <x:f>IF(J2151=0,"해당 없음",K2151/J2151)</x:f>
        <x:v>0.4444444444444444</x:v>
      </x:c>
      <x:c r="M2151" s="14" t="n">
        <x:v>12</x:v>
      </x:c>
      <x:c r="N2151" s="14" t="n">
        <x:v>11</x:v>
      </x:c>
      <x:c r="O2151" s="15" t="n">
        <x:f>IF(M2151=0,"해당 없음",N2151/M2151)</x:f>
        <x:v>0.9166666666666666</x:v>
      </x:c>
      <x:c r="P2151" s="14" t="n">
        <x:v>104</x:v>
      </x:c>
    </x:row>
    <x:row r="2152" ht="22" customHeight="1">
      <x:c r="A2152" s="14" t="n">
        <x:v>1074</x:v>
      </x:c>
      <x:c r="B2152" s="14" t="n">
        <x:v>27</x:v>
      </x:c>
      <x:c r="C2152" s="14" t="n">
        <x:v>76016</x:v>
      </x:c>
      <x:c r="D2152" s="2" t="str">
        <x:v>RED</x:v>
      </x:c>
      <x:c r="E2152" s="2" t="str">
        <x:v>240만</x:v>
      </x:c>
      <x:c r="F2152" s="2" t="str">
        <x:v>160만</x:v>
      </x:c>
      <x:c r="G2152" s="2" t="str">
        <x:v>패</x:v>
      </x:c>
      <x:c r="H2152" s="14" t="n">
        <x:v>3</x:v>
      </x:c>
      <x:c r="I2152" s="14" t="n">
        <x:v>4</x:v>
      </x:c>
      <x:c r="J2152" s="14" t="n">
        <x:v>7</x:v>
      </x:c>
      <x:c r="K2152" s="14" t="n">
        <x:v>2</x:v>
      </x:c>
      <x:c r="L2152" s="15" t="n">
        <x:f>IF(J2152=0,"해당 없음",K2152/J2152)</x:f>
        <x:v>0.2857142857142857</x:v>
      </x:c>
      <x:c r="M2152" s="14" t="n">
        <x:v>7</x:v>
      </x:c>
      <x:c r="N2152" s="14" t="n">
        <x:v>6</x:v>
      </x:c>
      <x:c r="O2152" s="15" t="n">
        <x:f>IF(M2152=0,"해당 없음",N2152/M2152)</x:f>
        <x:v>0.8571428571428571</x:v>
      </x:c>
      <x:c r="P2152" s="14" t="n">
        <x:v>104</x:v>
      </x:c>
    </x:row>
    <x:row r="2153" ht="22" customHeight="1">
      <x:c r="A2153" s="14" t="n">
        <x:v>1074</x:v>
      </x:c>
      <x:c r="B2153" s="14" t="n">
        <x:v>27</x:v>
      </x:c>
      <x:c r="C2153" s="14" t="n">
        <x:v>76016</x:v>
      </x:c>
      <x:c r="D2153" s="2" t="str">
        <x:v>NAVY</x:v>
      </x:c>
      <x:c r="E2153" s="2" t="str">
        <x:v>160만</x:v>
      </x:c>
      <x:c r="F2153" s="2" t="str">
        <x:v>240만</x:v>
      </x:c>
      <x:c r="G2153" s="2" t="str">
        <x:v>승</x:v>
      </x:c>
      <x:c r="H2153" s="14" t="n">
        <x:v>4</x:v>
      </x:c>
      <x:c r="I2153" s="14" t="n">
        <x:v>3</x:v>
      </x:c>
      <x:c r="J2153" s="14" t="n">
        <x:v>9</x:v>
      </x:c>
      <x:c r="K2153" s="14" t="n">
        <x:v>4</x:v>
      </x:c>
      <x:c r="L2153" s="15" t="n">
        <x:f>IF(J2153=0,"해당 없음",K2153/J2153)</x:f>
        <x:v>0.4444444444444444</x:v>
      </x:c>
      <x:c r="M2153" s="14" t="n">
        <x:v>12</x:v>
      </x:c>
      <x:c r="N2153" s="14" t="n">
        <x:v>9</x:v>
      </x:c>
      <x:c r="O2153" s="15" t="n">
        <x:f>IF(M2153=0,"해당 없음",N2153/M2153)</x:f>
        <x:v>0.75</x:v>
      </x:c>
      <x:c r="P2153" s="14" t="n">
        <x:v>104</x:v>
      </x:c>
    </x:row>
    <x:row r="2154" ht="22" customHeight="1">
      <x:c r="A2154" s="14" t="n">
        <x:v>1075</x:v>
      </x:c>
      <x:c r="B2154" s="14" t="n">
        <x:v>27</x:v>
      </x:c>
      <x:c r="C2154" s="14" t="n">
        <x:v>76017</x:v>
      </x:c>
      <x:c r="D2154" s="2" t="str">
        <x:v>RED</x:v>
      </x:c>
      <x:c r="E2154" s="2" t="str">
        <x:v>160만</x:v>
      </x:c>
      <x:c r="F2154" s="2" t="str">
        <x:v>240만</x:v>
      </x:c>
      <x:c r="G2154" s="2" t="str">
        <x:v>무</x:v>
      </x:c>
      <x:c r="H2154" s="14" t="n">
        <x:v>4</x:v>
      </x:c>
      <x:c r="I2154" s="14" t="n">
        <x:v>4</x:v>
      </x:c>
      <x:c r="J2154" s="14" t="n">
        <x:v>11</x:v>
      </x:c>
      <x:c r="K2154" s="14" t="n">
        <x:v>4</x:v>
      </x:c>
      <x:c r="L2154" s="15" t="n">
        <x:f>IF(J2154=0,"해당 없음",K2154/J2154)</x:f>
        <x:v>0.36363636363636365</x:v>
      </x:c>
      <x:c r="M2154" s="14" t="n">
        <x:v>5</x:v>
      </x:c>
      <x:c r="N2154" s="14" t="n">
        <x:v>5</x:v>
      </x:c>
      <x:c r="O2154" s="15" t="n">
        <x:f>IF(M2154=0,"해당 없음",N2154/M2154)</x:f>
        <x:v>1</x:v>
      </x:c>
      <x:c r="P2154" s="14" t="n">
        <x:v>104</x:v>
      </x:c>
    </x:row>
    <x:row r="2155" ht="22" customHeight="1">
      <x:c r="A2155" s="14" t="n">
        <x:v>1075</x:v>
      </x:c>
      <x:c r="B2155" s="14" t="n">
        <x:v>27</x:v>
      </x:c>
      <x:c r="C2155" s="14" t="n">
        <x:v>76017</x:v>
      </x:c>
      <x:c r="D2155" s="2" t="str">
        <x:v>NAVY</x:v>
      </x:c>
      <x:c r="E2155" s="2" t="str">
        <x:v>240만</x:v>
      </x:c>
      <x:c r="F2155" s="2" t="str">
        <x:v>160만</x:v>
      </x:c>
      <x:c r="G2155" s="2" t="str">
        <x:v>무</x:v>
      </x:c>
      <x:c r="H2155" s="14" t="n">
        <x:v>4</x:v>
      </x:c>
      <x:c r="I2155" s="14" t="n">
        <x:v>4</x:v>
      </x:c>
      <x:c r="J2155" s="14" t="n">
        <x:v>9</x:v>
      </x:c>
      <x:c r="K2155" s="14" t="n">
        <x:v>4</x:v>
      </x:c>
      <x:c r="L2155" s="15" t="n">
        <x:f>IF(J2155=0,"해당 없음",K2155/J2155)</x:f>
        <x:v>0.4444444444444444</x:v>
      </x:c>
      <x:c r="M2155" s="14" t="n">
        <x:v>12</x:v>
      </x:c>
      <x:c r="N2155" s="14" t="n">
        <x:v>8</x:v>
      </x:c>
      <x:c r="O2155" s="15" t="n">
        <x:f>IF(M2155=0,"해당 없음",N2155/M2155)</x:f>
        <x:v>0.6666666666666666</x:v>
      </x:c>
      <x:c r="P2155" s="14" t="n">
        <x:v>105</x:v>
      </x:c>
    </x:row>
    <x:row r="2156" ht="22" customHeight="1">
      <x:c r="A2156" s="14" t="n">
        <x:v>1076</x:v>
      </x:c>
      <x:c r="B2156" s="14" t="n">
        <x:v>27</x:v>
      </x:c>
      <x:c r="C2156" s="14" t="n">
        <x:v>76017</x:v>
      </x:c>
      <x:c r="D2156" s="2" t="str">
        <x:v>RED</x:v>
      </x:c>
      <x:c r="E2156" s="2" t="str">
        <x:v>240만</x:v>
      </x:c>
      <x:c r="F2156" s="2" t="str">
        <x:v>160만</x:v>
      </x:c>
      <x:c r="G2156" s="2" t="str">
        <x:v>승</x:v>
      </x:c>
      <x:c r="H2156" s="14" t="n">
        <x:v>6</x:v>
      </x:c>
      <x:c r="I2156" s="14" t="n">
        <x:v>0</x:v>
      </x:c>
      <x:c r="J2156" s="14" t="n">
        <x:v>11</x:v>
      </x:c>
      <x:c r="K2156" s="14" t="n">
        <x:v>6</x:v>
      </x:c>
      <x:c r="L2156" s="15" t="n">
        <x:f>IF(J2156=0,"해당 없음",K2156/J2156)</x:f>
        <x:v>0.5454545454545454</x:v>
      </x:c>
      <x:c r="M2156" s="14" t="n">
        <x:v>9</x:v>
      </x:c>
      <x:c r="N2156" s="14" t="n">
        <x:v>6</x:v>
      </x:c>
      <x:c r="O2156" s="15" t="n">
        <x:f>IF(M2156=0,"해당 없음",N2156/M2156)</x:f>
        <x:v>0.6666666666666666</x:v>
      </x:c>
      <x:c r="P2156" s="14" t="n">
        <x:v>104</x:v>
      </x:c>
    </x:row>
    <x:row r="2157" ht="22" customHeight="1">
      <x:c r="A2157" s="14" t="n">
        <x:v>1076</x:v>
      </x:c>
      <x:c r="B2157" s="14" t="n">
        <x:v>27</x:v>
      </x:c>
      <x:c r="C2157" s="14" t="n">
        <x:v>76017</x:v>
      </x:c>
      <x:c r="D2157" s="2" t="str">
        <x:v>NAVY</x:v>
      </x:c>
      <x:c r="E2157" s="2" t="str">
        <x:v>160만</x:v>
      </x:c>
      <x:c r="F2157" s="2" t="str">
        <x:v>240만</x:v>
      </x:c>
      <x:c r="G2157" s="2" t="str">
        <x:v>패</x:v>
      </x:c>
      <x:c r="H2157" s="14" t="n">
        <x:v>0</x:v>
      </x:c>
      <x:c r="I2157" s="14" t="n">
        <x:v>6</x:v>
      </x:c>
      <x:c r="J2157" s="14" t="n">
        <x:v>7</x:v>
      </x:c>
      <x:c r="K2157" s="14" t="n">
        <x:v>0</x:v>
      </x:c>
      <x:c r="L2157" s="15" t="n">
        <x:f>IF(J2157=0,"해당 없음",K2157/J2157)</x:f>
        <x:v>0</x:v>
      </x:c>
      <x:c r="M2157" s="14" t="n">
        <x:v>7</x:v>
      </x:c>
      <x:c r="N2157" s="14" t="n">
        <x:v>6</x:v>
      </x:c>
      <x:c r="O2157" s="15" t="n">
        <x:f>IF(M2157=0,"해당 없음",N2157/M2157)</x:f>
        <x:v>0.8571428571428571</x:v>
      </x:c>
      <x:c r="P2157" s="14" t="n">
        <x:v>104</x:v>
      </x:c>
    </x:row>
    <x:row r="2158" ht="22" customHeight="1">
      <x:c r="A2158" s="14" t="n">
        <x:v>1077</x:v>
      </x:c>
      <x:c r="B2158" s="14" t="n">
        <x:v>27</x:v>
      </x:c>
      <x:c r="C2158" s="14" t="n">
        <x:v>76018</x:v>
      </x:c>
      <x:c r="D2158" s="2" t="str">
        <x:v>RED</x:v>
      </x:c>
      <x:c r="E2158" s="2" t="str">
        <x:v>160만</x:v>
      </x:c>
      <x:c r="F2158" s="2" t="str">
        <x:v>240만</x:v>
      </x:c>
      <x:c r="G2158" s="2" t="str">
        <x:v>무</x:v>
      </x:c>
      <x:c r="H2158" s="14" t="n">
        <x:v>2</x:v>
      </x:c>
      <x:c r="I2158" s="14" t="n">
        <x:v>2</x:v>
      </x:c>
      <x:c r="J2158" s="14" t="n">
        <x:v>12</x:v>
      </x:c>
      <x:c r="K2158" s="14" t="n">
        <x:v>2</x:v>
      </x:c>
      <x:c r="L2158" s="15" t="n">
        <x:f>IF(J2158=0,"해당 없음",K2158/J2158)</x:f>
        <x:v>0.16666666666666666</x:v>
      </x:c>
      <x:c r="M2158" s="14" t="n">
        <x:v>11</x:v>
      </x:c>
      <x:c r="N2158" s="14" t="n">
        <x:v>7</x:v>
      </x:c>
      <x:c r="O2158" s="15" t="n">
        <x:f>IF(M2158=0,"해당 없음",N2158/M2158)</x:f>
        <x:v>0.6363636363636364</x:v>
      </x:c>
      <x:c r="P2158" s="14" t="n">
        <x:v>103</x:v>
      </x:c>
    </x:row>
    <x:row r="2159" ht="22" customHeight="1">
      <x:c r="A2159" s="14" t="n">
        <x:v>1077</x:v>
      </x:c>
      <x:c r="B2159" s="14" t="n">
        <x:v>27</x:v>
      </x:c>
      <x:c r="C2159" s="14" t="n">
        <x:v>76018</x:v>
      </x:c>
      <x:c r="D2159" s="2" t="str">
        <x:v>NAVY</x:v>
      </x:c>
      <x:c r="E2159" s="2" t="str">
        <x:v>240만</x:v>
      </x:c>
      <x:c r="F2159" s="2" t="str">
        <x:v>160만</x:v>
      </x:c>
      <x:c r="G2159" s="2" t="str">
        <x:v>무</x:v>
      </x:c>
      <x:c r="H2159" s="14" t="n">
        <x:v>2</x:v>
      </x:c>
      <x:c r="I2159" s="14" t="n">
        <x:v>2</x:v>
      </x:c>
      <x:c r="J2159" s="14" t="n">
        <x:v>7</x:v>
      </x:c>
      <x:c r="K2159" s="14" t="n">
        <x:v>2</x:v>
      </x:c>
      <x:c r="L2159" s="15" t="n">
        <x:f>IF(J2159=0,"해당 없음",K2159/J2159)</x:f>
        <x:v>0.2857142857142857</x:v>
      </x:c>
      <x:c r="M2159" s="14" t="n">
        <x:v>7</x:v>
      </x:c>
      <x:c r="N2159" s="14" t="n">
        <x:v>6</x:v>
      </x:c>
      <x:c r="O2159" s="15" t="n">
        <x:f>IF(M2159=0,"해당 없음",N2159/M2159)</x:f>
        <x:v>0.8571428571428571</x:v>
      </x:c>
      <x:c r="P2159" s="14" t="n">
        <x:v>101</x:v>
      </x:c>
    </x:row>
    <x:row r="2160" ht="22" customHeight="1">
      <x:c r="A2160" s="14" t="n">
        <x:v>1078</x:v>
      </x:c>
      <x:c r="B2160" s="14" t="n">
        <x:v>27</x:v>
      </x:c>
      <x:c r="C2160" s="14" t="n">
        <x:v>76018</x:v>
      </x:c>
      <x:c r="D2160" s="2" t="str">
        <x:v>RED</x:v>
      </x:c>
      <x:c r="E2160" s="2" t="str">
        <x:v>240만</x:v>
      </x:c>
      <x:c r="F2160" s="2" t="str">
        <x:v>160만</x:v>
      </x:c>
      <x:c r="G2160" s="2" t="str">
        <x:v>무</x:v>
      </x:c>
      <x:c r="H2160" s="14" t="n">
        <x:v>1</x:v>
      </x:c>
      <x:c r="I2160" s="14" t="n">
        <x:v>1</x:v>
      </x:c>
      <x:c r="J2160" s="14" t="n">
        <x:v>8</x:v>
      </x:c>
      <x:c r="K2160" s="14" t="n">
        <x:v>1</x:v>
      </x:c>
      <x:c r="L2160" s="15" t="n">
        <x:f>IF(J2160=0,"해당 없음",K2160/J2160)</x:f>
        <x:v>0.125</x:v>
      </x:c>
      <x:c r="M2160" s="14" t="n">
        <x:v>16</x:v>
      </x:c>
      <x:c r="N2160" s="14" t="n">
        <x:v>11</x:v>
      </x:c>
      <x:c r="O2160" s="15" t="n">
        <x:f>IF(M2160=0,"해당 없음",N2160/M2160)</x:f>
        <x:v>0.6875</x:v>
      </x:c>
      <x:c r="P2160" s="14" t="n">
        <x:v>101</x:v>
      </x:c>
    </x:row>
    <x:row r="2161" ht="22" customHeight="1">
      <x:c r="A2161" s="14" t="n">
        <x:v>1078</x:v>
      </x:c>
      <x:c r="B2161" s="14" t="n">
        <x:v>27</x:v>
      </x:c>
      <x:c r="C2161" s="14" t="n">
        <x:v>76018</x:v>
      </x:c>
      <x:c r="D2161" s="2" t="str">
        <x:v>NAVY</x:v>
      </x:c>
      <x:c r="E2161" s="2" t="str">
        <x:v>160만</x:v>
      </x:c>
      <x:c r="F2161" s="2" t="str">
        <x:v>240만</x:v>
      </x:c>
      <x:c r="G2161" s="2" t="str">
        <x:v>무</x:v>
      </x:c>
      <x:c r="H2161" s="14" t="n">
        <x:v>1</x:v>
      </x:c>
      <x:c r="I2161" s="14" t="n">
        <x:v>1</x:v>
      </x:c>
      <x:c r="J2161" s="14" t="n">
        <x:v>16</x:v>
      </x:c>
      <x:c r="K2161" s="14" t="n">
        <x:v>1</x:v>
      </x:c>
      <x:c r="L2161" s="15" t="n">
        <x:f>IF(J2161=0,"해당 없음",K2161/J2161)</x:f>
        <x:v>0.0625</x:v>
      </x:c>
      <x:c r="M2161" s="14" t="n">
        <x:v>9</x:v>
      </x:c>
      <x:c r="N2161" s="14" t="n">
        <x:v>8</x:v>
      </x:c>
      <x:c r="O2161" s="15" t="n">
        <x:f>IF(M2161=0,"해당 없음",N2161/M2161)</x:f>
        <x:v>0.8888888888888888</x:v>
      </x:c>
      <x:c r="P2161" s="14" t="n">
        <x:v>103</x:v>
      </x:c>
    </x:row>
    <x:row r="2162" ht="22" customHeight="1">
      <x:c r="A2162" s="14" t="n">
        <x:v>1079</x:v>
      </x:c>
      <x:c r="B2162" s="14" t="n">
        <x:v>27</x:v>
      </x:c>
      <x:c r="C2162" s="14" t="n">
        <x:v>76019</x:v>
      </x:c>
      <x:c r="D2162" s="2" t="str">
        <x:v>RED</x:v>
      </x:c>
      <x:c r="E2162" s="2" t="str">
        <x:v>160만</x:v>
      </x:c>
      <x:c r="F2162" s="2" t="str">
        <x:v>240만</x:v>
      </x:c>
      <x:c r="G2162" s="2" t="str">
        <x:v>패</x:v>
      </x:c>
      <x:c r="H2162" s="14" t="n">
        <x:v>2</x:v>
      </x:c>
      <x:c r="I2162" s="14" t="n">
        <x:v>4</x:v>
      </x:c>
      <x:c r="J2162" s="14" t="n">
        <x:v>5</x:v>
      </x:c>
      <x:c r="K2162" s="14" t="n">
        <x:v>2</x:v>
      </x:c>
      <x:c r="L2162" s="15" t="n">
        <x:f>IF(J2162=0,"해당 없음",K2162/J2162)</x:f>
        <x:v>0.4</x:v>
      </x:c>
      <x:c r="M2162" s="14" t="n">
        <x:v>12</x:v>
      </x:c>
      <x:c r="N2162" s="14" t="n">
        <x:v>9</x:v>
      </x:c>
      <x:c r="O2162" s="15" t="n">
        <x:f>IF(M2162=0,"해당 없음",N2162/M2162)</x:f>
        <x:v>0.75</x:v>
      </x:c>
      <x:c r="P2162" s="14" t="n">
        <x:v>104</x:v>
      </x:c>
    </x:row>
    <x:row r="2163" ht="22" customHeight="1">
      <x:c r="A2163" s="14" t="n">
        <x:v>1079</x:v>
      </x:c>
      <x:c r="B2163" s="14" t="n">
        <x:v>27</x:v>
      </x:c>
      <x:c r="C2163" s="14" t="n">
        <x:v>76019</x:v>
      </x:c>
      <x:c r="D2163" s="2" t="str">
        <x:v>NAVY</x:v>
      </x:c>
      <x:c r="E2163" s="2" t="str">
        <x:v>240만</x:v>
      </x:c>
      <x:c r="F2163" s="2" t="str">
        <x:v>160만</x:v>
      </x:c>
      <x:c r="G2163" s="2" t="str">
        <x:v>승</x:v>
      </x:c>
      <x:c r="H2163" s="14" t="n">
        <x:v>4</x:v>
      </x:c>
      <x:c r="I2163" s="14" t="n">
        <x:v>2</x:v>
      </x:c>
      <x:c r="J2163" s="14" t="n">
        <x:v>11</x:v>
      </x:c>
      <x:c r="K2163" s="14" t="n">
        <x:v>3</x:v>
      </x:c>
      <x:c r="L2163" s="15" t="n">
        <x:f>IF(J2163=0,"해당 없음",K2163/J2163)</x:f>
        <x:v>0.2727272727272727</x:v>
      </x:c>
      <x:c r="M2163" s="14" t="n">
        <x:v>13</x:v>
      </x:c>
      <x:c r="N2163" s="14" t="n">
        <x:v>11</x:v>
      </x:c>
      <x:c r="O2163" s="15" t="n">
        <x:f>IF(M2163=0,"해당 없음",N2163/M2163)</x:f>
        <x:v>0.8461538461538461</x:v>
      </x:c>
      <x:c r="P2163" s="14" t="n">
        <x:v>104</x:v>
      </x:c>
    </x:row>
    <x:row r="2164" ht="22" customHeight="1">
      <x:c r="A2164" s="14" t="n">
        <x:v>1080</x:v>
      </x:c>
      <x:c r="B2164" s="14" t="n">
        <x:v>27</x:v>
      </x:c>
      <x:c r="C2164" s="14" t="n">
        <x:v>76019</x:v>
      </x:c>
      <x:c r="D2164" s="2" t="str">
        <x:v>RED</x:v>
      </x:c>
      <x:c r="E2164" s="2" t="str">
        <x:v>240만</x:v>
      </x:c>
      <x:c r="F2164" s="2" t="str">
        <x:v>160만</x:v>
      </x:c>
      <x:c r="G2164" s="2" t="str">
        <x:v>무</x:v>
      </x:c>
      <x:c r="H2164" s="14" t="n">
        <x:v>3</x:v>
      </x:c>
      <x:c r="I2164" s="14" t="n">
        <x:v>3</x:v>
      </x:c>
      <x:c r="J2164" s="14" t="n">
        <x:v>10</x:v>
      </x:c>
      <x:c r="K2164" s="14" t="n">
        <x:v>3</x:v>
      </x:c>
      <x:c r="L2164" s="15" t="n">
        <x:f>IF(J2164=0,"해당 없음",K2164/J2164)</x:f>
        <x:v>0.3</x:v>
      </x:c>
      <x:c r="M2164" s="14" t="n">
        <x:v>10</x:v>
      </x:c>
      <x:c r="N2164" s="14" t="n">
        <x:v>8</x:v>
      </x:c>
      <x:c r="O2164" s="15" t="n">
        <x:f>IF(M2164=0,"해당 없음",N2164/M2164)</x:f>
        <x:v>0.8</x:v>
      </x:c>
      <x:c r="P2164" s="14" t="n">
        <x:v>105</x:v>
      </x:c>
    </x:row>
    <x:row r="2165" ht="22" customHeight="1">
      <x:c r="A2165" s="14" t="n">
        <x:v>1080</x:v>
      </x:c>
      <x:c r="B2165" s="14" t="n">
        <x:v>27</x:v>
      </x:c>
      <x:c r="C2165" s="14" t="n">
        <x:v>76019</x:v>
      </x:c>
      <x:c r="D2165" s="2" t="str">
        <x:v>NAVY</x:v>
      </x:c>
      <x:c r="E2165" s="2" t="str">
        <x:v>160만</x:v>
      </x:c>
      <x:c r="F2165" s="2" t="str">
        <x:v>240만</x:v>
      </x:c>
      <x:c r="G2165" s="2" t="str">
        <x:v>무</x:v>
      </x:c>
      <x:c r="H2165" s="14" t="n">
        <x:v>3</x:v>
      </x:c>
      <x:c r="I2165" s="14" t="n">
        <x:v>3</x:v>
      </x:c>
      <x:c r="J2165" s="14" t="n">
        <x:v>12</x:v>
      </x:c>
      <x:c r="K2165" s="14" t="n">
        <x:v>3</x:v>
      </x:c>
      <x:c r="L2165" s="15" t="n">
        <x:f>IF(J2165=0,"해당 없음",K2165/J2165)</x:f>
        <x:v>0.25</x:v>
      </x:c>
      <x:c r="M2165" s="14" t="n">
        <x:v>10</x:v>
      </x:c>
      <x:c r="N2165" s="14" t="n">
        <x:v>8</x:v>
      </x:c>
      <x:c r="O2165" s="15" t="n">
        <x:f>IF(M2165=0,"해당 없음",N2165/M2165)</x:f>
        <x:v>0.8</x:v>
      </x:c>
      <x:c r="P2165" s="14" t="n">
        <x:v>103</x:v>
      </x:c>
    </x:row>
    <x:row r="2166" ht="22" customHeight="1">
      <x:c r="A2166" s="14" t="n">
        <x:v>1081</x:v>
      </x:c>
      <x:c r="B2166" s="14" t="n">
        <x:v>28</x:v>
      </x:c>
      <x:c r="C2166" s="14" t="n">
        <x:v>76000</x:v>
      </x:c>
      <x:c r="D2166" s="2" t="str">
        <x:v>RED</x:v>
      </x:c>
      <x:c r="E2166" s="2" t="str">
        <x:v>200만</x:v>
      </x:c>
      <x:c r="F2166" s="2" t="str">
        <x:v>240만</x:v>
      </x:c>
      <x:c r="G2166" s="2" t="str">
        <x:v>무</x:v>
      </x:c>
      <x:c r="H2166" s="14" t="n">
        <x:v>3</x:v>
      </x:c>
      <x:c r="I2166" s="14" t="n">
        <x:v>3</x:v>
      </x:c>
      <x:c r="J2166" s="14" t="n">
        <x:v>11</x:v>
      </x:c>
      <x:c r="K2166" s="14" t="n">
        <x:v>3</x:v>
      </x:c>
      <x:c r="L2166" s="15" t="n">
        <x:f>IF(J2166=0,"해당 없음",K2166/J2166)</x:f>
        <x:v>0.2727272727272727</x:v>
      </x:c>
      <x:c r="M2166" s="14" t="n">
        <x:v>8</x:v>
      </x:c>
      <x:c r="N2166" s="14" t="n">
        <x:v>7</x:v>
      </x:c>
      <x:c r="O2166" s="15" t="n">
        <x:f>IF(M2166=0,"해당 없음",N2166/M2166)</x:f>
        <x:v>0.875</x:v>
      </x:c>
      <x:c r="P2166" s="14" t="n">
        <x:v>103</x:v>
      </x:c>
    </x:row>
    <x:row r="2167" ht="22" customHeight="1">
      <x:c r="A2167" s="14" t="n">
        <x:v>1081</x:v>
      </x:c>
      <x:c r="B2167" s="14" t="n">
        <x:v>28</x:v>
      </x:c>
      <x:c r="C2167" s="14" t="n">
        <x:v>76000</x:v>
      </x:c>
      <x:c r="D2167" s="2" t="str">
        <x:v>NAVY</x:v>
      </x:c>
      <x:c r="E2167" s="2" t="str">
        <x:v>240만</x:v>
      </x:c>
      <x:c r="F2167" s="2" t="str">
        <x:v>200만</x:v>
      </x:c>
      <x:c r="G2167" s="2" t="str">
        <x:v>무</x:v>
      </x:c>
      <x:c r="H2167" s="14" t="n">
        <x:v>3</x:v>
      </x:c>
      <x:c r="I2167" s="14" t="n">
        <x:v>3</x:v>
      </x:c>
      <x:c r="J2167" s="14" t="n">
        <x:v>7</x:v>
      </x:c>
      <x:c r="K2167" s="14" t="n">
        <x:v>3</x:v>
      </x:c>
      <x:c r="L2167" s="15" t="n">
        <x:f>IF(J2167=0,"해당 없음",K2167/J2167)</x:f>
        <x:v>0.42857142857142855</x:v>
      </x:c>
      <x:c r="M2167" s="14" t="n">
        <x:v>12</x:v>
      </x:c>
      <x:c r="N2167" s="14" t="n">
        <x:v>8</x:v>
      </x:c>
      <x:c r="O2167" s="15" t="n">
        <x:f>IF(M2167=0,"해당 없음",N2167/M2167)</x:f>
        <x:v>0.6666666666666666</x:v>
      </x:c>
      <x:c r="P2167" s="14" t="n">
        <x:v>103</x:v>
      </x:c>
    </x:row>
    <x:row r="2168" ht="22" customHeight="1">
      <x:c r="A2168" s="14" t="n">
        <x:v>1082</x:v>
      </x:c>
      <x:c r="B2168" s="14" t="n">
        <x:v>28</x:v>
      </x:c>
      <x:c r="C2168" s="14" t="n">
        <x:v>76000</x:v>
      </x:c>
      <x:c r="D2168" s="2" t="str">
        <x:v>RED</x:v>
      </x:c>
      <x:c r="E2168" s="2" t="str">
        <x:v>240만</x:v>
      </x:c>
      <x:c r="F2168" s="2" t="str">
        <x:v>200만</x:v>
      </x:c>
      <x:c r="G2168" s="2" t="str">
        <x:v>패</x:v>
      </x:c>
      <x:c r="H2168" s="14" t="n">
        <x:v>1</x:v>
      </x:c>
      <x:c r="I2168" s="14" t="n">
        <x:v>3</x:v>
      </x:c>
      <x:c r="J2168" s="14" t="n">
        <x:v>10</x:v>
      </x:c>
      <x:c r="K2168" s="14" t="n">
        <x:v>1</x:v>
      </x:c>
      <x:c r="L2168" s="15" t="n">
        <x:f>IF(J2168=0,"해당 없음",K2168/J2168)</x:f>
        <x:v>0.1</x:v>
      </x:c>
      <x:c r="M2168" s="14" t="n">
        <x:v>7</x:v>
      </x:c>
      <x:c r="N2168" s="14" t="n">
        <x:v>7</x:v>
      </x:c>
      <x:c r="O2168" s="15" t="n">
        <x:f>IF(M2168=0,"해당 없음",N2168/M2168)</x:f>
        <x:v>1</x:v>
      </x:c>
      <x:c r="P2168" s="14" t="n">
        <x:v>103</x:v>
      </x:c>
    </x:row>
    <x:row r="2169" ht="22" customHeight="1">
      <x:c r="A2169" s="14" t="n">
        <x:v>1082</x:v>
      </x:c>
      <x:c r="B2169" s="14" t="n">
        <x:v>28</x:v>
      </x:c>
      <x:c r="C2169" s="14" t="n">
        <x:v>76000</x:v>
      </x:c>
      <x:c r="D2169" s="2" t="str">
        <x:v>NAVY</x:v>
      </x:c>
      <x:c r="E2169" s="2" t="str">
        <x:v>200만</x:v>
      </x:c>
      <x:c r="F2169" s="2" t="str">
        <x:v>240만</x:v>
      </x:c>
      <x:c r="G2169" s="2" t="str">
        <x:v>승</x:v>
      </x:c>
      <x:c r="H2169" s="14" t="n">
        <x:v>3</x:v>
      </x:c>
      <x:c r="I2169" s="14" t="n">
        <x:v>1</x:v>
      </x:c>
      <x:c r="J2169" s="14" t="n">
        <x:v>7</x:v>
      </x:c>
      <x:c r="K2169" s="14" t="n">
        <x:v>3</x:v>
      </x:c>
      <x:c r="L2169" s="15" t="n">
        <x:f>IF(J2169=0,"해당 없음",K2169/J2169)</x:f>
        <x:v>0.42857142857142855</x:v>
      </x:c>
      <x:c r="M2169" s="14" t="n">
        <x:v>11</x:v>
      </x:c>
      <x:c r="N2169" s="14" t="n">
        <x:v>8</x:v>
      </x:c>
      <x:c r="O2169" s="15" t="n">
        <x:f>IF(M2169=0,"해당 없음",N2169/M2169)</x:f>
        <x:v>0.7272727272727273</x:v>
      </x:c>
      <x:c r="P2169" s="14" t="n">
        <x:v>102</x:v>
      </x:c>
    </x:row>
    <x:row r="2170" ht="22" customHeight="1">
      <x:c r="A2170" s="14" t="n">
        <x:v>1083</x:v>
      </x:c>
      <x:c r="B2170" s="14" t="n">
        <x:v>28</x:v>
      </x:c>
      <x:c r="C2170" s="14" t="n">
        <x:v>76001</x:v>
      </x:c>
      <x:c r="D2170" s="2" t="str">
        <x:v>RED</x:v>
      </x:c>
      <x:c r="E2170" s="2" t="str">
        <x:v>200만</x:v>
      </x:c>
      <x:c r="F2170" s="2" t="str">
        <x:v>240만</x:v>
      </x:c>
      <x:c r="G2170" s="2" t="str">
        <x:v>무</x:v>
      </x:c>
      <x:c r="H2170" s="14" t="n">
        <x:v>1</x:v>
      </x:c>
      <x:c r="I2170" s="14" t="n">
        <x:v>1</x:v>
      </x:c>
      <x:c r="J2170" s="14" t="n">
        <x:v>7</x:v>
      </x:c>
      <x:c r="K2170" s="14" t="n">
        <x:v>1</x:v>
      </x:c>
      <x:c r="L2170" s="15" t="n">
        <x:f>IF(J2170=0,"해당 없음",K2170/J2170)</x:f>
        <x:v>0.14285714285714285</x:v>
      </x:c>
      <x:c r="M2170" s="14" t="n">
        <x:v>17</x:v>
      </x:c>
      <x:c r="N2170" s="14" t="n">
        <x:v>10</x:v>
      </x:c>
      <x:c r="O2170" s="15" t="n">
        <x:f>IF(M2170=0,"해당 없음",N2170/M2170)</x:f>
        <x:v>0.5882352941176471</x:v>
      </x:c>
      <x:c r="P2170" s="14" t="n">
        <x:v>103</x:v>
      </x:c>
    </x:row>
    <x:row r="2171" ht="22" customHeight="1">
      <x:c r="A2171" s="14" t="n">
        <x:v>1083</x:v>
      </x:c>
      <x:c r="B2171" s="14" t="n">
        <x:v>28</x:v>
      </x:c>
      <x:c r="C2171" s="14" t="n">
        <x:v>76001</x:v>
      </x:c>
      <x:c r="D2171" s="2" t="str">
        <x:v>NAVY</x:v>
      </x:c>
      <x:c r="E2171" s="2" t="str">
        <x:v>240만</x:v>
      </x:c>
      <x:c r="F2171" s="2" t="str">
        <x:v>200만</x:v>
      </x:c>
      <x:c r="G2171" s="2" t="str">
        <x:v>무</x:v>
      </x:c>
      <x:c r="H2171" s="14" t="n">
        <x:v>1</x:v>
      </x:c>
      <x:c r="I2171" s="14" t="n">
        <x:v>1</x:v>
      </x:c>
      <x:c r="J2171" s="14" t="n">
        <x:v>12</x:v>
      </x:c>
      <x:c r="K2171" s="14" t="n">
        <x:v>1</x:v>
      </x:c>
      <x:c r="L2171" s="15" t="n">
        <x:f>IF(J2171=0,"해당 없음",K2171/J2171)</x:f>
        <x:v>0.08333333333333333</x:v>
      </x:c>
      <x:c r="M2171" s="14" t="n">
        <x:v>13</x:v>
      </x:c>
      <x:c r="N2171" s="14" t="n">
        <x:v>8</x:v>
      </x:c>
      <x:c r="O2171" s="15" t="n">
        <x:f>IF(M2171=0,"해당 없음",N2171/M2171)</x:f>
        <x:v>0.6153846153846154</x:v>
      </x:c>
      <x:c r="P2171" s="14" t="n">
        <x:v>103</x:v>
      </x:c>
    </x:row>
    <x:row r="2172" ht="22" customHeight="1">
      <x:c r="A2172" s="14" t="n">
        <x:v>1084</x:v>
      </x:c>
      <x:c r="B2172" s="14" t="n">
        <x:v>28</x:v>
      </x:c>
      <x:c r="C2172" s="14" t="n">
        <x:v>76001</x:v>
      </x:c>
      <x:c r="D2172" s="2" t="str">
        <x:v>RED</x:v>
      </x:c>
      <x:c r="E2172" s="2" t="str">
        <x:v>240만</x:v>
      </x:c>
      <x:c r="F2172" s="2" t="str">
        <x:v>200만</x:v>
      </x:c>
      <x:c r="G2172" s="2" t="str">
        <x:v>패</x:v>
      </x:c>
      <x:c r="H2172" s="14" t="n">
        <x:v>0</x:v>
      </x:c>
      <x:c r="I2172" s="14" t="n">
        <x:v>2</x:v>
      </x:c>
      <x:c r="J2172" s="14" t="n">
        <x:v>10</x:v>
      </x:c>
      <x:c r="K2172" s="14" t="n">
        <x:v>0</x:v>
      </x:c>
      <x:c r="L2172" s="15" t="n">
        <x:f>IF(J2172=0,"해당 없음",K2172/J2172)</x:f>
        <x:v>0</x:v>
      </x:c>
      <x:c r="M2172" s="14" t="n">
        <x:v>8</x:v>
      </x:c>
      <x:c r="N2172" s="14" t="n">
        <x:v>5</x:v>
      </x:c>
      <x:c r="O2172" s="15" t="n">
        <x:f>IF(M2172=0,"해당 없음",N2172/M2172)</x:f>
        <x:v>0.625</x:v>
      </x:c>
      <x:c r="P2172" s="14" t="n">
        <x:v>101</x:v>
      </x:c>
    </x:row>
    <x:row r="2173" ht="22" customHeight="1">
      <x:c r="A2173" s="14" t="n">
        <x:v>1084</x:v>
      </x:c>
      <x:c r="B2173" s="14" t="n">
        <x:v>28</x:v>
      </x:c>
      <x:c r="C2173" s="14" t="n">
        <x:v>76001</x:v>
      </x:c>
      <x:c r="D2173" s="2" t="str">
        <x:v>NAVY</x:v>
      </x:c>
      <x:c r="E2173" s="2" t="str">
        <x:v>200만</x:v>
      </x:c>
      <x:c r="F2173" s="2" t="str">
        <x:v>240만</x:v>
      </x:c>
      <x:c r="G2173" s="2" t="str">
        <x:v>승</x:v>
      </x:c>
      <x:c r="H2173" s="14" t="n">
        <x:v>2</x:v>
      </x:c>
      <x:c r="I2173" s="14" t="n">
        <x:v>0</x:v>
      </x:c>
      <x:c r="J2173" s="14" t="n">
        <x:v>9</x:v>
      </x:c>
      <x:c r="K2173" s="14" t="n">
        <x:v>2</x:v>
      </x:c>
      <x:c r="L2173" s="15" t="n">
        <x:f>IF(J2173=0,"해당 없음",K2173/J2173)</x:f>
        <x:v>0.2222222222222222</x:v>
      </x:c>
      <x:c r="M2173" s="14" t="n">
        <x:v>12</x:v>
      </x:c>
      <x:c r="N2173" s="14" t="n">
        <x:v>8</x:v>
      </x:c>
      <x:c r="O2173" s="15" t="n">
        <x:f>IF(M2173=0,"해당 없음",N2173/M2173)</x:f>
        <x:v>0.6666666666666666</x:v>
      </x:c>
      <x:c r="P2173" s="14" t="n">
        <x:v>101</x:v>
      </x:c>
    </x:row>
    <x:row r="2174" ht="22" customHeight="1">
      <x:c r="A2174" s="14" t="n">
        <x:v>1085</x:v>
      </x:c>
      <x:c r="B2174" s="14" t="n">
        <x:v>28</x:v>
      </x:c>
      <x:c r="C2174" s="14" t="n">
        <x:v>76002</x:v>
      </x:c>
      <x:c r="D2174" s="2" t="str">
        <x:v>RED</x:v>
      </x:c>
      <x:c r="E2174" s="2" t="str">
        <x:v>200만</x:v>
      </x:c>
      <x:c r="F2174" s="2" t="str">
        <x:v>240만</x:v>
      </x:c>
      <x:c r="G2174" s="2" t="str">
        <x:v>무</x:v>
      </x:c>
      <x:c r="H2174" s="14" t="n">
        <x:v>2</x:v>
      </x:c>
      <x:c r="I2174" s="14" t="n">
        <x:v>2</x:v>
      </x:c>
      <x:c r="J2174" s="14" t="n">
        <x:v>7</x:v>
      </x:c>
      <x:c r="K2174" s="14" t="n">
        <x:v>2</x:v>
      </x:c>
      <x:c r="L2174" s="15" t="n">
        <x:f>IF(J2174=0,"해당 없음",K2174/J2174)</x:f>
        <x:v>0.2857142857142857</x:v>
      </x:c>
      <x:c r="M2174" s="14" t="n">
        <x:v>12</x:v>
      </x:c>
      <x:c r="N2174" s="14" t="n">
        <x:v>9</x:v>
      </x:c>
      <x:c r="O2174" s="15" t="n">
        <x:f>IF(M2174=0,"해당 없음",N2174/M2174)</x:f>
        <x:v>0.75</x:v>
      </x:c>
      <x:c r="P2174" s="14" t="n">
        <x:v>102</x:v>
      </x:c>
    </x:row>
    <x:row r="2175" ht="22" customHeight="1">
      <x:c r="A2175" s="14" t="n">
        <x:v>1085</x:v>
      </x:c>
      <x:c r="B2175" s="14" t="n">
        <x:v>28</x:v>
      </x:c>
      <x:c r="C2175" s="14" t="n">
        <x:v>76002</x:v>
      </x:c>
      <x:c r="D2175" s="2" t="str">
        <x:v>NAVY</x:v>
      </x:c>
      <x:c r="E2175" s="2" t="str">
        <x:v>240만</x:v>
      </x:c>
      <x:c r="F2175" s="2" t="str">
        <x:v>200만</x:v>
      </x:c>
      <x:c r="G2175" s="2" t="str">
        <x:v>무</x:v>
      </x:c>
      <x:c r="H2175" s="14" t="n">
        <x:v>2</x:v>
      </x:c>
      <x:c r="I2175" s="14" t="n">
        <x:v>2</x:v>
      </x:c>
      <x:c r="J2175" s="14" t="n">
        <x:v>6</x:v>
      </x:c>
      <x:c r="K2175" s="14" t="n">
        <x:v>2</x:v>
      </x:c>
      <x:c r="L2175" s="15" t="n">
        <x:f>IF(J2175=0,"해당 없음",K2175/J2175)</x:f>
        <x:v>0.3333333333333333</x:v>
      </x:c>
      <x:c r="M2175" s="14" t="n">
        <x:v>7</x:v>
      </x:c>
      <x:c r="N2175" s="14" t="n">
        <x:v>5</x:v>
      </x:c>
      <x:c r="O2175" s="15" t="n">
        <x:f>IF(M2175=0,"해당 없음",N2175/M2175)</x:f>
        <x:v>0.7142857142857143</x:v>
      </x:c>
      <x:c r="P2175" s="14" t="n">
        <x:v>102</x:v>
      </x:c>
    </x:row>
    <x:row r="2176" ht="22" customHeight="1">
      <x:c r="A2176" s="14" t="n">
        <x:v>1086</x:v>
      </x:c>
      <x:c r="B2176" s="14" t="n">
        <x:v>28</x:v>
      </x:c>
      <x:c r="C2176" s="14" t="n">
        <x:v>76002</x:v>
      </x:c>
      <x:c r="D2176" s="2" t="str">
        <x:v>RED</x:v>
      </x:c>
      <x:c r="E2176" s="2" t="str">
        <x:v>240만</x:v>
      </x:c>
      <x:c r="F2176" s="2" t="str">
        <x:v>200만</x:v>
      </x:c>
      <x:c r="G2176" s="2" t="str">
        <x:v>무</x:v>
      </x:c>
      <x:c r="H2176" s="14" t="n">
        <x:v>3</x:v>
      </x:c>
      <x:c r="I2176" s="14" t="n">
        <x:v>3</x:v>
      </x:c>
      <x:c r="J2176" s="14" t="n">
        <x:v>9</x:v>
      </x:c>
      <x:c r="K2176" s="14" t="n">
        <x:v>3</x:v>
      </x:c>
      <x:c r="L2176" s="15" t="n">
        <x:f>IF(J2176=0,"해당 없음",K2176/J2176)</x:f>
        <x:v>0.3333333333333333</x:v>
      </x:c>
      <x:c r="M2176" s="14" t="n">
        <x:v>6</x:v>
      </x:c>
      <x:c r="N2176" s="14" t="n">
        <x:v>6</x:v>
      </x:c>
      <x:c r="O2176" s="15" t="n">
        <x:f>IF(M2176=0,"해당 없음",N2176/M2176)</x:f>
        <x:v>1</x:v>
      </x:c>
      <x:c r="P2176" s="14" t="n">
        <x:v>104</x:v>
      </x:c>
    </x:row>
    <x:row r="2177" ht="22" customHeight="1">
      <x:c r="A2177" s="14" t="n">
        <x:v>1086</x:v>
      </x:c>
      <x:c r="B2177" s="14" t="n">
        <x:v>28</x:v>
      </x:c>
      <x:c r="C2177" s="14" t="n">
        <x:v>76002</x:v>
      </x:c>
      <x:c r="D2177" s="2" t="str">
        <x:v>NAVY</x:v>
      </x:c>
      <x:c r="E2177" s="2" t="str">
        <x:v>200만</x:v>
      </x:c>
      <x:c r="F2177" s="2" t="str">
        <x:v>240만</x:v>
      </x:c>
      <x:c r="G2177" s="2" t="str">
        <x:v>무</x:v>
      </x:c>
      <x:c r="H2177" s="14" t="n">
        <x:v>3</x:v>
      </x:c>
      <x:c r="I2177" s="14" t="n">
        <x:v>3</x:v>
      </x:c>
      <x:c r="J2177" s="14" t="n">
        <x:v>11</x:v>
      </x:c>
      <x:c r="K2177" s="14" t="n">
        <x:v>3</x:v>
      </x:c>
      <x:c r="L2177" s="15" t="n">
        <x:f>IF(J2177=0,"해당 없음",K2177/J2177)</x:f>
        <x:v>0.2727272727272727</x:v>
      </x:c>
      <x:c r="M2177" s="14" t="n">
        <x:v>11</x:v>
      </x:c>
      <x:c r="N2177" s="14" t="n">
        <x:v>10</x:v>
      </x:c>
      <x:c r="O2177" s="15" t="n">
        <x:f>IF(M2177=0,"해당 없음",N2177/M2177)</x:f>
        <x:v>0.9090909090909091</x:v>
      </x:c>
      <x:c r="P2177" s="14" t="n">
        <x:v>103</x:v>
      </x:c>
    </x:row>
    <x:row r="2178" ht="22" customHeight="1">
      <x:c r="A2178" s="14" t="n">
        <x:v>1087</x:v>
      </x:c>
      <x:c r="B2178" s="14" t="n">
        <x:v>28</x:v>
      </x:c>
      <x:c r="C2178" s="14" t="n">
        <x:v>76003</x:v>
      </x:c>
      <x:c r="D2178" s="2" t="str">
        <x:v>RED</x:v>
      </x:c>
      <x:c r="E2178" s="2" t="str">
        <x:v>200만</x:v>
      </x:c>
      <x:c r="F2178" s="2" t="str">
        <x:v>240만</x:v>
      </x:c>
      <x:c r="G2178" s="2" t="str">
        <x:v>승</x:v>
      </x:c>
      <x:c r="H2178" s="14" t="n">
        <x:v>4</x:v>
      </x:c>
      <x:c r="I2178" s="14" t="n">
        <x:v>1</x:v>
      </x:c>
      <x:c r="J2178" s="14" t="n">
        <x:v>13</x:v>
      </x:c>
      <x:c r="K2178" s="14" t="n">
        <x:v>4</x:v>
      </x:c>
      <x:c r="L2178" s="15" t="n">
        <x:f>IF(J2178=0,"해당 없음",K2178/J2178)</x:f>
        <x:v>0.3076923076923077</x:v>
      </x:c>
      <x:c r="M2178" s="14" t="n">
        <x:v>9</x:v>
      </x:c>
      <x:c r="N2178" s="14" t="n">
        <x:v>9</x:v>
      </x:c>
      <x:c r="O2178" s="15" t="n">
        <x:f>IF(M2178=0,"해당 없음",N2178/M2178)</x:f>
        <x:v>1</x:v>
      </x:c>
      <x:c r="P2178" s="14" t="n">
        <x:v>104</x:v>
      </x:c>
    </x:row>
    <x:row r="2179" ht="22" customHeight="1">
      <x:c r="A2179" s="14" t="n">
        <x:v>1087</x:v>
      </x:c>
      <x:c r="B2179" s="14" t="n">
        <x:v>28</x:v>
      </x:c>
      <x:c r="C2179" s="14" t="n">
        <x:v>76003</x:v>
      </x:c>
      <x:c r="D2179" s="2" t="str">
        <x:v>NAVY</x:v>
      </x:c>
      <x:c r="E2179" s="2" t="str">
        <x:v>240만</x:v>
      </x:c>
      <x:c r="F2179" s="2" t="str">
        <x:v>200만</x:v>
      </x:c>
      <x:c r="G2179" s="2" t="str">
        <x:v>패</x:v>
      </x:c>
      <x:c r="H2179" s="14" t="n">
        <x:v>1</x:v>
      </x:c>
      <x:c r="I2179" s="14" t="n">
        <x:v>4</x:v>
      </x:c>
      <x:c r="J2179" s="14" t="n">
        <x:v>6</x:v>
      </x:c>
      <x:c r="K2179" s="14" t="n">
        <x:v>1</x:v>
      </x:c>
      <x:c r="L2179" s="15" t="n">
        <x:f>IF(J2179=0,"해당 없음",K2179/J2179)</x:f>
        <x:v>0.16666666666666666</x:v>
      </x:c>
      <x:c r="M2179" s="14" t="n">
        <x:v>10</x:v>
      </x:c>
      <x:c r="N2179" s="14" t="n">
        <x:v>10</x:v>
      </x:c>
      <x:c r="O2179" s="15" t="n">
        <x:f>IF(M2179=0,"해당 없음",N2179/M2179)</x:f>
        <x:v>1</x:v>
      </x:c>
      <x:c r="P2179" s="14" t="n">
        <x:v>103</x:v>
      </x:c>
    </x:row>
    <x:row r="2180" ht="22" customHeight="1">
      <x:c r="A2180" s="14" t="n">
        <x:v>1088</x:v>
      </x:c>
      <x:c r="B2180" s="14" t="n">
        <x:v>28</x:v>
      </x:c>
      <x:c r="C2180" s="14" t="n">
        <x:v>76003</x:v>
      </x:c>
      <x:c r="D2180" s="2" t="str">
        <x:v>RED</x:v>
      </x:c>
      <x:c r="E2180" s="2" t="str">
        <x:v>240만</x:v>
      </x:c>
      <x:c r="F2180" s="2" t="str">
        <x:v>200만</x:v>
      </x:c>
      <x:c r="G2180" s="2" t="str">
        <x:v>무</x:v>
      </x:c>
      <x:c r="H2180" s="14" t="n">
        <x:v>2</x:v>
      </x:c>
      <x:c r="I2180" s="14" t="n">
        <x:v>2</x:v>
      </x:c>
      <x:c r="J2180" s="14" t="n">
        <x:v>10</x:v>
      </x:c>
      <x:c r="K2180" s="14" t="n">
        <x:v>2</x:v>
      </x:c>
      <x:c r="L2180" s="15" t="n">
        <x:f>IF(J2180=0,"해당 없음",K2180/J2180)</x:f>
        <x:v>0.2</x:v>
      </x:c>
      <x:c r="M2180" s="14" t="n">
        <x:v>12</x:v>
      </x:c>
      <x:c r="N2180" s="14" t="n">
        <x:v>8</x:v>
      </x:c>
      <x:c r="O2180" s="15" t="n">
        <x:f>IF(M2180=0,"해당 없음",N2180/M2180)</x:f>
        <x:v>0.6666666666666666</x:v>
      </x:c>
      <x:c r="P2180" s="14" t="n">
        <x:v>104</x:v>
      </x:c>
    </x:row>
    <x:row r="2181" ht="22" customHeight="1">
      <x:c r="A2181" s="14" t="n">
        <x:v>1088</x:v>
      </x:c>
      <x:c r="B2181" s="14" t="n">
        <x:v>28</x:v>
      </x:c>
      <x:c r="C2181" s="14" t="n">
        <x:v>76003</x:v>
      </x:c>
      <x:c r="D2181" s="2" t="str">
        <x:v>NAVY</x:v>
      </x:c>
      <x:c r="E2181" s="2" t="str">
        <x:v>200만</x:v>
      </x:c>
      <x:c r="F2181" s="2" t="str">
        <x:v>240만</x:v>
      </x:c>
      <x:c r="G2181" s="2" t="str">
        <x:v>무</x:v>
      </x:c>
      <x:c r="H2181" s="14" t="n">
        <x:v>2</x:v>
      </x:c>
      <x:c r="I2181" s="14" t="n">
        <x:v>2</x:v>
      </x:c>
      <x:c r="J2181" s="14" t="n">
        <x:v>9</x:v>
      </x:c>
      <x:c r="K2181" s="14" t="n">
        <x:v>2</x:v>
      </x:c>
      <x:c r="L2181" s="15" t="n">
        <x:f>IF(J2181=0,"해당 없음",K2181/J2181)</x:f>
        <x:v>0.2222222222222222</x:v>
      </x:c>
      <x:c r="M2181" s="14" t="n">
        <x:v>10</x:v>
      </x:c>
      <x:c r="N2181" s="14" t="n">
        <x:v>9</x:v>
      </x:c>
      <x:c r="O2181" s="15" t="n">
        <x:f>IF(M2181=0,"해당 없음",N2181/M2181)</x:f>
        <x:v>0.9</x:v>
      </x:c>
      <x:c r="P2181" s="14" t="n">
        <x:v>103</x:v>
      </x:c>
    </x:row>
    <x:row r="2182" ht="22" customHeight="1">
      <x:c r="A2182" s="14" t="n">
        <x:v>1089</x:v>
      </x:c>
      <x:c r="B2182" s="14" t="n">
        <x:v>28</x:v>
      </x:c>
      <x:c r="C2182" s="14" t="n">
        <x:v>76004</x:v>
      </x:c>
      <x:c r="D2182" s="2" t="str">
        <x:v>RED</x:v>
      </x:c>
      <x:c r="E2182" s="2" t="str">
        <x:v>200만</x:v>
      </x:c>
      <x:c r="F2182" s="2" t="str">
        <x:v>240만</x:v>
      </x:c>
      <x:c r="G2182" s="2" t="str">
        <x:v>승</x:v>
      </x:c>
      <x:c r="H2182" s="14" t="n">
        <x:v>4</x:v>
      </x:c>
      <x:c r="I2182" s="14" t="n">
        <x:v>0</x:v>
      </x:c>
      <x:c r="J2182" s="14" t="n">
        <x:v>18</x:v>
      </x:c>
      <x:c r="K2182" s="14" t="n">
        <x:v>4</x:v>
      </x:c>
      <x:c r="L2182" s="15" t="n">
        <x:f>IF(J2182=0,"해당 없음",K2182/J2182)</x:f>
        <x:v>0.2222222222222222</x:v>
      </x:c>
      <x:c r="M2182" s="14" t="n">
        <x:v>12</x:v>
      </x:c>
      <x:c r="N2182" s="14" t="n">
        <x:v>10</x:v>
      </x:c>
      <x:c r="O2182" s="15" t="n">
        <x:f>IF(M2182=0,"해당 없음",N2182/M2182)</x:f>
        <x:v>0.8333333333333334</x:v>
      </x:c>
      <x:c r="P2182" s="14" t="n">
        <x:v>104</x:v>
      </x:c>
    </x:row>
    <x:row r="2183" ht="22" customHeight="1">
      <x:c r="A2183" s="14" t="n">
        <x:v>1089</x:v>
      </x:c>
      <x:c r="B2183" s="14" t="n">
        <x:v>28</x:v>
      </x:c>
      <x:c r="C2183" s="14" t="n">
        <x:v>76004</x:v>
      </x:c>
      <x:c r="D2183" s="2" t="str">
        <x:v>NAVY</x:v>
      </x:c>
      <x:c r="E2183" s="2" t="str">
        <x:v>240만</x:v>
      </x:c>
      <x:c r="F2183" s="2" t="str">
        <x:v>200만</x:v>
      </x:c>
      <x:c r="G2183" s="2" t="str">
        <x:v>패</x:v>
      </x:c>
      <x:c r="H2183" s="14" t="n">
        <x:v>0</x:v>
      </x:c>
      <x:c r="I2183" s="14" t="n">
        <x:v>4</x:v>
      </x:c>
      <x:c r="J2183" s="14" t="n">
        <x:v>4</x:v>
      </x:c>
      <x:c r="K2183" s="14" t="n">
        <x:v>0</x:v>
      </x:c>
      <x:c r="L2183" s="15" t="n">
        <x:f>IF(J2183=0,"해당 없음",K2183/J2183)</x:f>
        <x:v>0</x:v>
      </x:c>
      <x:c r="M2183" s="14" t="n">
        <x:v>11</x:v>
      </x:c>
      <x:c r="N2183" s="14" t="n">
        <x:v>6</x:v>
      </x:c>
      <x:c r="O2183" s="15" t="n">
        <x:f>IF(M2183=0,"해당 없음",N2183/M2183)</x:f>
        <x:v>0.5454545454545454</x:v>
      </x:c>
      <x:c r="P2183" s="14" t="n">
        <x:v>104</x:v>
      </x:c>
    </x:row>
    <x:row r="2184" ht="22" customHeight="1">
      <x:c r="A2184" s="14" t="n">
        <x:v>1090</x:v>
      </x:c>
      <x:c r="B2184" s="14" t="n">
        <x:v>28</x:v>
      </x:c>
      <x:c r="C2184" s="14" t="n">
        <x:v>76004</x:v>
      </x:c>
      <x:c r="D2184" s="2" t="str">
        <x:v>RED</x:v>
      </x:c>
      <x:c r="E2184" s="2" t="str">
        <x:v>240만</x:v>
      </x:c>
      <x:c r="F2184" s="2" t="str">
        <x:v>200만</x:v>
      </x:c>
      <x:c r="G2184" s="2" t="str">
        <x:v>승</x:v>
      </x:c>
      <x:c r="H2184" s="14" t="n">
        <x:v>3</x:v>
      </x:c>
      <x:c r="I2184" s="14" t="n">
        <x:v>2</x:v>
      </x:c>
      <x:c r="J2184" s="14" t="n">
        <x:v>11</x:v>
      </x:c>
      <x:c r="K2184" s="14" t="n">
        <x:v>3</x:v>
      </x:c>
      <x:c r="L2184" s="15" t="n">
        <x:f>IF(J2184=0,"해당 없음",K2184/J2184)</x:f>
        <x:v>0.2727272727272727</x:v>
      </x:c>
      <x:c r="M2184" s="14" t="n">
        <x:v>7</x:v>
      </x:c>
      <x:c r="N2184" s="14" t="n">
        <x:v>5</x:v>
      </x:c>
      <x:c r="O2184" s="15" t="n">
        <x:f>IF(M2184=0,"해당 없음",N2184/M2184)</x:f>
        <x:v>0.7142857142857143</x:v>
      </x:c>
      <x:c r="P2184" s="14" t="n">
        <x:v>104</x:v>
      </x:c>
    </x:row>
    <x:row r="2185" ht="22" customHeight="1">
      <x:c r="A2185" s="14" t="n">
        <x:v>1090</x:v>
      </x:c>
      <x:c r="B2185" s="14" t="n">
        <x:v>28</x:v>
      </x:c>
      <x:c r="C2185" s="14" t="n">
        <x:v>76004</x:v>
      </x:c>
      <x:c r="D2185" s="2" t="str">
        <x:v>NAVY</x:v>
      </x:c>
      <x:c r="E2185" s="2" t="str">
        <x:v>200만</x:v>
      </x:c>
      <x:c r="F2185" s="2" t="str">
        <x:v>240만</x:v>
      </x:c>
      <x:c r="G2185" s="2" t="str">
        <x:v>패</x:v>
      </x:c>
      <x:c r="H2185" s="14" t="n">
        <x:v>2</x:v>
      </x:c>
      <x:c r="I2185" s="14" t="n">
        <x:v>3</x:v>
      </x:c>
      <x:c r="J2185" s="14" t="n">
        <x:v>7</x:v>
      </x:c>
      <x:c r="K2185" s="14" t="n">
        <x:v>2</x:v>
      </x:c>
      <x:c r="L2185" s="15" t="n">
        <x:f>IF(J2185=0,"해당 없음",K2185/J2185)</x:f>
        <x:v>0.2857142857142857</x:v>
      </x:c>
      <x:c r="M2185" s="14" t="n">
        <x:v>11</x:v>
      </x:c>
      <x:c r="N2185" s="14" t="n">
        <x:v>7</x:v>
      </x:c>
      <x:c r="O2185" s="15" t="n">
        <x:f>IF(M2185=0,"해당 없음",N2185/M2185)</x:f>
        <x:v>0.6363636363636364</x:v>
      </x:c>
      <x:c r="P2185" s="14" t="n">
        <x:v>103</x:v>
      </x:c>
    </x:row>
    <x:row r="2186" ht="22" customHeight="1">
      <x:c r="A2186" s="14" t="n">
        <x:v>1091</x:v>
      </x:c>
      <x:c r="B2186" s="14" t="n">
        <x:v>28</x:v>
      </x:c>
      <x:c r="C2186" s="14" t="n">
        <x:v>76005</x:v>
      </x:c>
      <x:c r="D2186" s="2" t="str">
        <x:v>RED</x:v>
      </x:c>
      <x:c r="E2186" s="2" t="str">
        <x:v>200만</x:v>
      </x:c>
      <x:c r="F2186" s="2" t="str">
        <x:v>240만</x:v>
      </x:c>
      <x:c r="G2186" s="2" t="str">
        <x:v>무</x:v>
      </x:c>
      <x:c r="H2186" s="14" t="n">
        <x:v>2</x:v>
      </x:c>
      <x:c r="I2186" s="14" t="n">
        <x:v>2</x:v>
      </x:c>
      <x:c r="J2186" s="14" t="n">
        <x:v>12</x:v>
      </x:c>
      <x:c r="K2186" s="14" t="n">
        <x:v>2</x:v>
      </x:c>
      <x:c r="L2186" s="15" t="n">
        <x:f>IF(J2186=0,"해당 없음",K2186/J2186)</x:f>
        <x:v>0.16666666666666666</x:v>
      </x:c>
      <x:c r="M2186" s="14" t="n">
        <x:v>9</x:v>
      </x:c>
      <x:c r="N2186" s="14" t="n">
        <x:v>7</x:v>
      </x:c>
      <x:c r="O2186" s="15" t="n">
        <x:f>IF(M2186=0,"해당 없음",N2186/M2186)</x:f>
        <x:v>0.7777777777777778</x:v>
      </x:c>
      <x:c r="P2186" s="14" t="n">
        <x:v>104</x:v>
      </x:c>
    </x:row>
    <x:row r="2187" ht="22" customHeight="1">
      <x:c r="A2187" s="14" t="n">
        <x:v>1091</x:v>
      </x:c>
      <x:c r="B2187" s="14" t="n">
        <x:v>28</x:v>
      </x:c>
      <x:c r="C2187" s="14" t="n">
        <x:v>76005</x:v>
      </x:c>
      <x:c r="D2187" s="2" t="str">
        <x:v>NAVY</x:v>
      </x:c>
      <x:c r="E2187" s="2" t="str">
        <x:v>240만</x:v>
      </x:c>
      <x:c r="F2187" s="2" t="str">
        <x:v>200만</x:v>
      </x:c>
      <x:c r="G2187" s="2" t="str">
        <x:v>무</x:v>
      </x:c>
      <x:c r="H2187" s="14" t="n">
        <x:v>2</x:v>
      </x:c>
      <x:c r="I2187" s="14" t="n">
        <x:v>2</x:v>
      </x:c>
      <x:c r="J2187" s="14" t="n">
        <x:v>7</x:v>
      </x:c>
      <x:c r="K2187" s="14" t="n">
        <x:v>2</x:v>
      </x:c>
      <x:c r="L2187" s="15" t="n">
        <x:f>IF(J2187=0,"해당 없음",K2187/J2187)</x:f>
        <x:v>0.2857142857142857</x:v>
      </x:c>
      <x:c r="M2187" s="14" t="n">
        <x:v>11</x:v>
      </x:c>
      <x:c r="N2187" s="14" t="n">
        <x:v>8</x:v>
      </x:c>
      <x:c r="O2187" s="15" t="n">
        <x:f>IF(M2187=0,"해당 없음",N2187/M2187)</x:f>
        <x:v>0.7272727272727273</x:v>
      </x:c>
      <x:c r="P2187" s="14" t="n">
        <x:v>103</x:v>
      </x:c>
    </x:row>
    <x:row r="2188" ht="22" customHeight="1">
      <x:c r="A2188" s="14" t="n">
        <x:v>1092</x:v>
      </x:c>
      <x:c r="B2188" s="14" t="n">
        <x:v>28</x:v>
      </x:c>
      <x:c r="C2188" s="14" t="n">
        <x:v>76005</x:v>
      </x:c>
      <x:c r="D2188" s="2" t="str">
        <x:v>RED</x:v>
      </x:c>
      <x:c r="E2188" s="2" t="str">
        <x:v>240만</x:v>
      </x:c>
      <x:c r="F2188" s="2" t="str">
        <x:v>200만</x:v>
      </x:c>
      <x:c r="G2188" s="2" t="str">
        <x:v>승</x:v>
      </x:c>
      <x:c r="H2188" s="14" t="n">
        <x:v>6</x:v>
      </x:c>
      <x:c r="I2188" s="14" t="n">
        <x:v>2</x:v>
      </x:c>
      <x:c r="J2188" s="14" t="n">
        <x:v>10</x:v>
      </x:c>
      <x:c r="K2188" s="14" t="n">
        <x:v>6</x:v>
      </x:c>
      <x:c r="L2188" s="15" t="n">
        <x:f>IF(J2188=0,"해당 없음",K2188/J2188)</x:f>
        <x:v>0.6</x:v>
      </x:c>
      <x:c r="M2188" s="14" t="n">
        <x:v>8</x:v>
      </x:c>
      <x:c r="N2188" s="14" t="n">
        <x:v>6</x:v>
      </x:c>
      <x:c r="O2188" s="15" t="n">
        <x:f>IF(M2188=0,"해당 없음",N2188/M2188)</x:f>
        <x:v>0.75</x:v>
      </x:c>
      <x:c r="P2188" s="14" t="n">
        <x:v>104</x:v>
      </x:c>
    </x:row>
    <x:row r="2189" ht="22" customHeight="1">
      <x:c r="A2189" s="14" t="n">
        <x:v>1092</x:v>
      </x:c>
      <x:c r="B2189" s="14" t="n">
        <x:v>28</x:v>
      </x:c>
      <x:c r="C2189" s="14" t="n">
        <x:v>76005</x:v>
      </x:c>
      <x:c r="D2189" s="2" t="str">
        <x:v>NAVY</x:v>
      </x:c>
      <x:c r="E2189" s="2" t="str">
        <x:v>200만</x:v>
      </x:c>
      <x:c r="F2189" s="2" t="str">
        <x:v>240만</x:v>
      </x:c>
      <x:c r="G2189" s="2" t="str">
        <x:v>패</x:v>
      </x:c>
      <x:c r="H2189" s="14" t="n">
        <x:v>2</x:v>
      </x:c>
      <x:c r="I2189" s="14" t="n">
        <x:v>6</x:v>
      </x:c>
      <x:c r="J2189" s="14" t="n">
        <x:v>9</x:v>
      </x:c>
      <x:c r="K2189" s="14" t="n">
        <x:v>2</x:v>
      </x:c>
      <x:c r="L2189" s="15" t="n">
        <x:f>IF(J2189=0,"해당 없음",K2189/J2189)</x:f>
        <x:v>0.2222222222222222</x:v>
      </x:c>
      <x:c r="M2189" s="14" t="n">
        <x:v>6</x:v>
      </x:c>
      <x:c r="N2189" s="14" t="n">
        <x:v>6</x:v>
      </x:c>
      <x:c r="O2189" s="15" t="n">
        <x:f>IF(M2189=0,"해당 없음",N2189/M2189)</x:f>
        <x:v>1</x:v>
      </x:c>
      <x:c r="P2189" s="14" t="n">
        <x:v>105</x:v>
      </x:c>
    </x:row>
    <x:row r="2190" ht="22" customHeight="1">
      <x:c r="A2190" s="14" t="n">
        <x:v>1093</x:v>
      </x:c>
      <x:c r="B2190" s="14" t="n">
        <x:v>28</x:v>
      </x:c>
      <x:c r="C2190" s="14" t="n">
        <x:v>76006</x:v>
      </x:c>
      <x:c r="D2190" s="2" t="str">
        <x:v>RED</x:v>
      </x:c>
      <x:c r="E2190" s="2" t="str">
        <x:v>200만</x:v>
      </x:c>
      <x:c r="F2190" s="2" t="str">
        <x:v>240만</x:v>
      </x:c>
      <x:c r="G2190" s="2" t="str">
        <x:v>패</x:v>
      </x:c>
      <x:c r="H2190" s="14" t="n">
        <x:v>4</x:v>
      </x:c>
      <x:c r="I2190" s="14" t="n">
        <x:v>5</x:v>
      </x:c>
      <x:c r="J2190" s="14" t="n">
        <x:v>11</x:v>
      </x:c>
      <x:c r="K2190" s="14" t="n">
        <x:v>4</x:v>
      </x:c>
      <x:c r="L2190" s="15" t="n">
        <x:f>IF(J2190=0,"해당 없음",K2190/J2190)</x:f>
        <x:v>0.36363636363636365</x:v>
      </x:c>
      <x:c r="M2190" s="14" t="n">
        <x:v>5</x:v>
      </x:c>
      <x:c r="N2190" s="14" t="n">
        <x:v>4</x:v>
      </x:c>
      <x:c r="O2190" s="15" t="n">
        <x:f>IF(M2190=0,"해당 없음",N2190/M2190)</x:f>
        <x:v>0.8</x:v>
      </x:c>
      <x:c r="P2190" s="14" t="n">
        <x:v>105</x:v>
      </x:c>
    </x:row>
    <x:row r="2191" ht="22" customHeight="1">
      <x:c r="A2191" s="14" t="n">
        <x:v>1093</x:v>
      </x:c>
      <x:c r="B2191" s="14" t="n">
        <x:v>28</x:v>
      </x:c>
      <x:c r="C2191" s="14" t="n">
        <x:v>76006</x:v>
      </x:c>
      <x:c r="D2191" s="2" t="str">
        <x:v>NAVY</x:v>
      </x:c>
      <x:c r="E2191" s="2" t="str">
        <x:v>240만</x:v>
      </x:c>
      <x:c r="F2191" s="2" t="str">
        <x:v>200만</x:v>
      </x:c>
      <x:c r="G2191" s="2" t="str">
        <x:v>승</x:v>
      </x:c>
      <x:c r="H2191" s="14" t="n">
        <x:v>5</x:v>
      </x:c>
      <x:c r="I2191" s="14" t="n">
        <x:v>4</x:v>
      </x:c>
      <x:c r="J2191" s="14" t="n">
        <x:v>8</x:v>
      </x:c>
      <x:c r="K2191" s="14" t="n">
        <x:v>5</x:v>
      </x:c>
      <x:c r="L2191" s="15" t="n">
        <x:f>IF(J2191=0,"해당 없음",K2191/J2191)</x:f>
        <x:v>0.625</x:v>
      </x:c>
      <x:c r="M2191" s="14" t="n">
        <x:v>9</x:v>
      </x:c>
      <x:c r="N2191" s="14" t="n">
        <x:v>8</x:v>
      </x:c>
      <x:c r="O2191" s="15" t="n">
        <x:f>IF(M2191=0,"해당 없음",N2191/M2191)</x:f>
        <x:v>0.8888888888888888</x:v>
      </x:c>
      <x:c r="P2191" s="14" t="n">
        <x:v>106</x:v>
      </x:c>
    </x:row>
    <x:row r="2192" ht="22" customHeight="1">
      <x:c r="A2192" s="14" t="n">
        <x:v>1094</x:v>
      </x:c>
      <x:c r="B2192" s="14" t="n">
        <x:v>28</x:v>
      </x:c>
      <x:c r="C2192" s="14" t="n">
        <x:v>76006</x:v>
      </x:c>
      <x:c r="D2192" s="2" t="str">
        <x:v>RED</x:v>
      </x:c>
      <x:c r="E2192" s="2" t="str">
        <x:v>240만</x:v>
      </x:c>
      <x:c r="F2192" s="2" t="str">
        <x:v>200만</x:v>
      </x:c>
      <x:c r="G2192" s="2" t="str">
        <x:v>승</x:v>
      </x:c>
      <x:c r="H2192" s="14" t="n">
        <x:v>2</x:v>
      </x:c>
      <x:c r="I2192" s="14" t="n">
        <x:v>0</x:v>
      </x:c>
      <x:c r="J2192" s="14" t="n">
        <x:v>10</x:v>
      </x:c>
      <x:c r="K2192" s="14" t="n">
        <x:v>2</x:v>
      </x:c>
      <x:c r="L2192" s="15" t="n">
        <x:f>IF(J2192=0,"해당 없음",K2192/J2192)</x:f>
        <x:v>0.2</x:v>
      </x:c>
      <x:c r="M2192" s="14" t="n">
        <x:v>11</x:v>
      </x:c>
      <x:c r="N2192" s="14" t="n">
        <x:v>8</x:v>
      </x:c>
      <x:c r="O2192" s="15" t="n">
        <x:f>IF(M2192=0,"해당 없음",N2192/M2192)</x:f>
        <x:v>0.7272727272727273</x:v>
      </x:c>
      <x:c r="P2192" s="14" t="n">
        <x:v>101</x:v>
      </x:c>
    </x:row>
    <x:row r="2193" ht="22" customHeight="1">
      <x:c r="A2193" s="14" t="n">
        <x:v>1094</x:v>
      </x:c>
      <x:c r="B2193" s="14" t="n">
        <x:v>28</x:v>
      </x:c>
      <x:c r="C2193" s="14" t="n">
        <x:v>76006</x:v>
      </x:c>
      <x:c r="D2193" s="2" t="str">
        <x:v>NAVY</x:v>
      </x:c>
      <x:c r="E2193" s="2" t="str">
        <x:v>200만</x:v>
      </x:c>
      <x:c r="F2193" s="2" t="str">
        <x:v>240만</x:v>
      </x:c>
      <x:c r="G2193" s="2" t="str">
        <x:v>패</x:v>
      </x:c>
      <x:c r="H2193" s="14" t="n">
        <x:v>0</x:v>
      </x:c>
      <x:c r="I2193" s="14" t="n">
        <x:v>2</x:v>
      </x:c>
      <x:c r="J2193" s="14" t="n">
        <x:v>7</x:v>
      </x:c>
      <x:c r="K2193" s="14" t="n">
        <x:v>0</x:v>
      </x:c>
      <x:c r="L2193" s="15" t="n">
        <x:f>IF(J2193=0,"해당 없음",K2193/J2193)</x:f>
        <x:v>0</x:v>
      </x:c>
      <x:c r="M2193" s="14" t="n">
        <x:v>14</x:v>
      </x:c>
      <x:c r="N2193" s="14" t="n">
        <x:v>10</x:v>
      </x:c>
      <x:c r="O2193" s="15" t="n">
        <x:f>IF(M2193=0,"해당 없음",N2193/M2193)</x:f>
        <x:v>0.7142857142857143</x:v>
      </x:c>
      <x:c r="P2193" s="14" t="n">
        <x:v>103</x:v>
      </x:c>
    </x:row>
    <x:row r="2194" ht="22" customHeight="1">
      <x:c r="A2194" s="14" t="n">
        <x:v>1095</x:v>
      </x:c>
      <x:c r="B2194" s="14" t="n">
        <x:v>28</x:v>
      </x:c>
      <x:c r="C2194" s="14" t="n">
        <x:v>76007</x:v>
      </x:c>
      <x:c r="D2194" s="2" t="str">
        <x:v>RED</x:v>
      </x:c>
      <x:c r="E2194" s="2" t="str">
        <x:v>200만</x:v>
      </x:c>
      <x:c r="F2194" s="2" t="str">
        <x:v>240만</x:v>
      </x:c>
      <x:c r="G2194" s="2" t="str">
        <x:v>승</x:v>
      </x:c>
      <x:c r="H2194" s="14" t="n">
        <x:v>2</x:v>
      </x:c>
      <x:c r="I2194" s="14" t="n">
        <x:v>1</x:v>
      </x:c>
      <x:c r="J2194" s="14" t="n">
        <x:v>10</x:v>
      </x:c>
      <x:c r="K2194" s="14" t="n">
        <x:v>2</x:v>
      </x:c>
      <x:c r="L2194" s="15" t="n">
        <x:f>IF(J2194=0,"해당 없음",K2194/J2194)</x:f>
        <x:v>0.2</x:v>
      </x:c>
      <x:c r="M2194" s="14" t="n">
        <x:v>9</x:v>
      </x:c>
      <x:c r="N2194" s="14" t="n">
        <x:v>6</x:v>
      </x:c>
      <x:c r="O2194" s="15" t="n">
        <x:f>IF(M2194=0,"해당 없음",N2194/M2194)</x:f>
        <x:v>0.6666666666666666</x:v>
      </x:c>
      <x:c r="P2194" s="14" t="n">
        <x:v>101</x:v>
      </x:c>
    </x:row>
    <x:row r="2195" ht="22" customHeight="1">
      <x:c r="A2195" s="14" t="n">
        <x:v>1095</x:v>
      </x:c>
      <x:c r="B2195" s="14" t="n">
        <x:v>28</x:v>
      </x:c>
      <x:c r="C2195" s="14" t="n">
        <x:v>76007</x:v>
      </x:c>
      <x:c r="D2195" s="2" t="str">
        <x:v>NAVY</x:v>
      </x:c>
      <x:c r="E2195" s="2" t="str">
        <x:v>240만</x:v>
      </x:c>
      <x:c r="F2195" s="2" t="str">
        <x:v>200만</x:v>
      </x:c>
      <x:c r="G2195" s="2" t="str">
        <x:v>패</x:v>
      </x:c>
      <x:c r="H2195" s="14" t="n">
        <x:v>1</x:v>
      </x:c>
      <x:c r="I2195" s="14" t="n">
        <x:v>2</x:v>
      </x:c>
      <x:c r="J2195" s="14" t="n">
        <x:v>7</x:v>
      </x:c>
      <x:c r="K2195" s="14" t="n">
        <x:v>1</x:v>
      </x:c>
      <x:c r="L2195" s="15" t="n">
        <x:f>IF(J2195=0,"해당 없음",K2195/J2195)</x:f>
        <x:v>0.14285714285714285</x:v>
      </x:c>
      <x:c r="M2195" s="14" t="n">
        <x:v>11</x:v>
      </x:c>
      <x:c r="N2195" s="14" t="n">
        <x:v>4</x:v>
      </x:c>
      <x:c r="O2195" s="15" t="n">
        <x:f>IF(M2195=0,"해당 없음",N2195/M2195)</x:f>
        <x:v>0.36363636363636365</x:v>
      </x:c>
      <x:c r="P2195" s="14" t="n">
        <x:v>102</x:v>
      </x:c>
    </x:row>
    <x:row r="2196" ht="22" customHeight="1">
      <x:c r="A2196" s="14" t="n">
        <x:v>1096</x:v>
      </x:c>
      <x:c r="B2196" s="14" t="n">
        <x:v>28</x:v>
      </x:c>
      <x:c r="C2196" s="14" t="n">
        <x:v>76007</x:v>
      </x:c>
      <x:c r="D2196" s="2" t="str">
        <x:v>RED</x:v>
      </x:c>
      <x:c r="E2196" s="2" t="str">
        <x:v>240만</x:v>
      </x:c>
      <x:c r="F2196" s="2" t="str">
        <x:v>200만</x:v>
      </x:c>
      <x:c r="G2196" s="2" t="str">
        <x:v>승</x:v>
      </x:c>
      <x:c r="H2196" s="14" t="n">
        <x:v>4</x:v>
      </x:c>
      <x:c r="I2196" s="14" t="n">
        <x:v>2</x:v>
      </x:c>
      <x:c r="J2196" s="14" t="n">
        <x:v>15</x:v>
      </x:c>
      <x:c r="K2196" s="14" t="n">
        <x:v>4</x:v>
      </x:c>
      <x:c r="L2196" s="15" t="n">
        <x:f>IF(J2196=0,"해당 없음",K2196/J2196)</x:f>
        <x:v>0.26666666666666666</x:v>
      </x:c>
      <x:c r="M2196" s="14" t="n">
        <x:v>8</x:v>
      </x:c>
      <x:c r="N2196" s="14" t="n">
        <x:v>5</x:v>
      </x:c>
      <x:c r="O2196" s="15" t="n">
        <x:f>IF(M2196=0,"해당 없음",N2196/M2196)</x:f>
        <x:v>0.625</x:v>
      </x:c>
      <x:c r="P2196" s="14" t="n">
        <x:v>105</x:v>
      </x:c>
    </x:row>
    <x:row r="2197" ht="22" customHeight="1">
      <x:c r="A2197" s="14" t="n">
        <x:v>1096</x:v>
      </x:c>
      <x:c r="B2197" s="14" t="n">
        <x:v>28</x:v>
      </x:c>
      <x:c r="C2197" s="14" t="n">
        <x:v>76007</x:v>
      </x:c>
      <x:c r="D2197" s="2" t="str">
        <x:v>NAVY</x:v>
      </x:c>
      <x:c r="E2197" s="2" t="str">
        <x:v>200만</x:v>
      </x:c>
      <x:c r="F2197" s="2" t="str">
        <x:v>240만</x:v>
      </x:c>
      <x:c r="G2197" s="2" t="str">
        <x:v>패</x:v>
      </x:c>
      <x:c r="H2197" s="14" t="n">
        <x:v>2</x:v>
      </x:c>
      <x:c r="I2197" s="14" t="n">
        <x:v>4</x:v>
      </x:c>
      <x:c r="J2197" s="14" t="n">
        <x:v>7</x:v>
      </x:c>
      <x:c r="K2197" s="14" t="n">
        <x:v>2</x:v>
      </x:c>
      <x:c r="L2197" s="15" t="n">
        <x:f>IF(J2197=0,"해당 없음",K2197/J2197)</x:f>
        <x:v>0.2857142857142857</x:v>
      </x:c>
      <x:c r="M2197" s="14" t="n">
        <x:v>12</x:v>
      </x:c>
      <x:c r="N2197" s="14" t="n">
        <x:v>8</x:v>
      </x:c>
      <x:c r="O2197" s="15" t="n">
        <x:f>IF(M2197=0,"해당 없음",N2197/M2197)</x:f>
        <x:v>0.6666666666666666</x:v>
      </x:c>
      <x:c r="P2197" s="14" t="n">
        <x:v>105</x:v>
      </x:c>
    </x:row>
    <x:row r="2198" ht="22" customHeight="1">
      <x:c r="A2198" s="14" t="n">
        <x:v>1097</x:v>
      </x:c>
      <x:c r="B2198" s="14" t="n">
        <x:v>28</x:v>
      </x:c>
      <x:c r="C2198" s="14" t="n">
        <x:v>76008</x:v>
      </x:c>
      <x:c r="D2198" s="2" t="str">
        <x:v>RED</x:v>
      </x:c>
      <x:c r="E2198" s="2" t="str">
        <x:v>200만</x:v>
      </x:c>
      <x:c r="F2198" s="2" t="str">
        <x:v>240만</x:v>
      </x:c>
      <x:c r="G2198" s="2" t="str">
        <x:v>무</x:v>
      </x:c>
      <x:c r="H2198" s="14" t="n">
        <x:v>4</x:v>
      </x:c>
      <x:c r="I2198" s="14" t="n">
        <x:v>4</x:v>
      </x:c>
      <x:c r="J2198" s="14" t="n">
        <x:v>10</x:v>
      </x:c>
      <x:c r="K2198" s="14" t="n">
        <x:v>4</x:v>
      </x:c>
      <x:c r="L2198" s="15" t="n">
        <x:f>IF(J2198=0,"해당 없음",K2198/J2198)</x:f>
        <x:v>0.4</x:v>
      </x:c>
      <x:c r="M2198" s="14" t="n">
        <x:v>8</x:v>
      </x:c>
      <x:c r="N2198" s="14" t="n">
        <x:v>7</x:v>
      </x:c>
      <x:c r="O2198" s="15" t="n">
        <x:f>IF(M2198=0,"해당 없음",N2198/M2198)</x:f>
        <x:v>0.875</x:v>
      </x:c>
      <x:c r="P2198" s="14" t="n">
        <x:v>105</x:v>
      </x:c>
    </x:row>
    <x:row r="2199" ht="22" customHeight="1">
      <x:c r="A2199" s="14" t="n">
        <x:v>1097</x:v>
      </x:c>
      <x:c r="B2199" s="14" t="n">
        <x:v>28</x:v>
      </x:c>
      <x:c r="C2199" s="14" t="n">
        <x:v>76008</x:v>
      </x:c>
      <x:c r="D2199" s="2" t="str">
        <x:v>NAVY</x:v>
      </x:c>
      <x:c r="E2199" s="2" t="str">
        <x:v>240만</x:v>
      </x:c>
      <x:c r="F2199" s="2" t="str">
        <x:v>200만</x:v>
      </x:c>
      <x:c r="G2199" s="2" t="str">
        <x:v>무</x:v>
      </x:c>
      <x:c r="H2199" s="14" t="n">
        <x:v>4</x:v>
      </x:c>
      <x:c r="I2199" s="14" t="n">
        <x:v>4</x:v>
      </x:c>
      <x:c r="J2199" s="14" t="n">
        <x:v>11</x:v>
      </x:c>
      <x:c r="K2199" s="14" t="n">
        <x:v>4</x:v>
      </x:c>
      <x:c r="L2199" s="15" t="n">
        <x:f>IF(J2199=0,"해당 없음",K2199/J2199)</x:f>
        <x:v>0.36363636363636365</x:v>
      </x:c>
      <x:c r="M2199" s="14" t="n">
        <x:v>9</x:v>
      </x:c>
      <x:c r="N2199" s="14" t="n">
        <x:v>5</x:v>
      </x:c>
      <x:c r="O2199" s="15" t="n">
        <x:f>IF(M2199=0,"해당 없음",N2199/M2199)</x:f>
        <x:v>0.5555555555555556</x:v>
      </x:c>
      <x:c r="P2199" s="14" t="n">
        <x:v>104</x:v>
      </x:c>
    </x:row>
    <x:row r="2200" ht="22" customHeight="1">
      <x:c r="A2200" s="14" t="n">
        <x:v>1098</x:v>
      </x:c>
      <x:c r="B2200" s="14" t="n">
        <x:v>28</x:v>
      </x:c>
      <x:c r="C2200" s="14" t="n">
        <x:v>76008</x:v>
      </x:c>
      <x:c r="D2200" s="2" t="str">
        <x:v>RED</x:v>
      </x:c>
      <x:c r="E2200" s="2" t="str">
        <x:v>240만</x:v>
      </x:c>
      <x:c r="F2200" s="2" t="str">
        <x:v>200만</x:v>
      </x:c>
      <x:c r="G2200" s="2" t="str">
        <x:v>승</x:v>
      </x:c>
      <x:c r="H2200" s="14" t="n">
        <x:v>5</x:v>
      </x:c>
      <x:c r="I2200" s="14" t="n">
        <x:v>1</x:v>
      </x:c>
      <x:c r="J2200" s="14" t="n">
        <x:v>10</x:v>
      </x:c>
      <x:c r="K2200" s="14" t="n">
        <x:v>5</x:v>
      </x:c>
      <x:c r="L2200" s="15" t="n">
        <x:f>IF(J2200=0,"해당 없음",K2200/J2200)</x:f>
        <x:v>0.5</x:v>
      </x:c>
      <x:c r="M2200" s="14" t="n">
        <x:v>4</x:v>
      </x:c>
      <x:c r="N2200" s="14" t="n">
        <x:v>4</x:v>
      </x:c>
      <x:c r="O2200" s="15" t="n">
        <x:f>IF(M2200=0,"해당 없음",N2200/M2200)</x:f>
        <x:v>1</x:v>
      </x:c>
      <x:c r="P2200" s="14" t="n">
        <x:v>104</x:v>
      </x:c>
    </x:row>
    <x:row r="2201" ht="22" customHeight="1">
      <x:c r="A2201" s="14" t="n">
        <x:v>1098</x:v>
      </x:c>
      <x:c r="B2201" s="14" t="n">
        <x:v>28</x:v>
      </x:c>
      <x:c r="C2201" s="14" t="n">
        <x:v>76008</x:v>
      </x:c>
      <x:c r="D2201" s="2" t="str">
        <x:v>NAVY</x:v>
      </x:c>
      <x:c r="E2201" s="2" t="str">
        <x:v>200만</x:v>
      </x:c>
      <x:c r="F2201" s="2" t="str">
        <x:v>240만</x:v>
      </x:c>
      <x:c r="G2201" s="2" t="str">
        <x:v>패</x:v>
      </x:c>
      <x:c r="H2201" s="14" t="n">
        <x:v>1</x:v>
      </x:c>
      <x:c r="I2201" s="14" t="n">
        <x:v>5</x:v>
      </x:c>
      <x:c r="J2201" s="14" t="n">
        <x:v>4</x:v>
      </x:c>
      <x:c r="K2201" s="14" t="n">
        <x:v>1</x:v>
      </x:c>
      <x:c r="L2201" s="15" t="n">
        <x:f>IF(J2201=0,"해당 없음",K2201/J2201)</x:f>
        <x:v>0.25</x:v>
      </x:c>
      <x:c r="M2201" s="14" t="n">
        <x:v>7</x:v>
      </x:c>
      <x:c r="N2201" s="14" t="n">
        <x:v>5</x:v>
      </x:c>
      <x:c r="O2201" s="15" t="n">
        <x:f>IF(M2201=0,"해당 없음",N2201/M2201)</x:f>
        <x:v>0.7142857142857143</x:v>
      </x:c>
      <x:c r="P2201" s="14" t="n">
        <x:v>103</x:v>
      </x:c>
    </x:row>
    <x:row r="2202" ht="22" customHeight="1">
      <x:c r="A2202" s="14" t="n">
        <x:v>1099</x:v>
      </x:c>
      <x:c r="B2202" s="14" t="n">
        <x:v>28</x:v>
      </x:c>
      <x:c r="C2202" s="14" t="n">
        <x:v>76009</x:v>
      </x:c>
      <x:c r="D2202" s="2" t="str">
        <x:v>RED</x:v>
      </x:c>
      <x:c r="E2202" s="2" t="str">
        <x:v>200만</x:v>
      </x:c>
      <x:c r="F2202" s="2" t="str">
        <x:v>240만</x:v>
      </x:c>
      <x:c r="G2202" s="2" t="str">
        <x:v>패</x:v>
      </x:c>
      <x:c r="H2202" s="14" t="n">
        <x:v>1</x:v>
      </x:c>
      <x:c r="I2202" s="14" t="n">
        <x:v>2</x:v>
      </x:c>
      <x:c r="J2202" s="14" t="n">
        <x:v>10</x:v>
      </x:c>
      <x:c r="K2202" s="14" t="n">
        <x:v>1</x:v>
      </x:c>
      <x:c r="L2202" s="15" t="n">
        <x:f>IF(J2202=0,"해당 없음",K2202/J2202)</x:f>
        <x:v>0.1</x:v>
      </x:c>
      <x:c r="M2202" s="14" t="n">
        <x:v>8</x:v>
      </x:c>
      <x:c r="N2202" s="14" t="n">
        <x:v>7</x:v>
      </x:c>
      <x:c r="O2202" s="15" t="n">
        <x:f>IF(M2202=0,"해당 없음",N2202/M2202)</x:f>
        <x:v>0.875</x:v>
      </x:c>
      <x:c r="P2202" s="14" t="n">
        <x:v>103</x:v>
      </x:c>
    </x:row>
    <x:row r="2203" ht="22" customHeight="1">
      <x:c r="A2203" s="14" t="n">
        <x:v>1099</x:v>
      </x:c>
      <x:c r="B2203" s="14" t="n">
        <x:v>28</x:v>
      </x:c>
      <x:c r="C2203" s="14" t="n">
        <x:v>76009</x:v>
      </x:c>
      <x:c r="D2203" s="2" t="str">
        <x:v>NAVY</x:v>
      </x:c>
      <x:c r="E2203" s="2" t="str">
        <x:v>240만</x:v>
      </x:c>
      <x:c r="F2203" s="2" t="str">
        <x:v>200만</x:v>
      </x:c>
      <x:c r="G2203" s="2" t="str">
        <x:v>승</x:v>
      </x:c>
      <x:c r="H2203" s="14" t="n">
        <x:v>2</x:v>
      </x:c>
      <x:c r="I2203" s="14" t="n">
        <x:v>1</x:v>
      </x:c>
      <x:c r="J2203" s="14" t="n">
        <x:v>7</x:v>
      </x:c>
      <x:c r="K2203" s="14" t="n">
        <x:v>2</x:v>
      </x:c>
      <x:c r="L2203" s="15" t="n">
        <x:f>IF(J2203=0,"해당 없음",K2203/J2203)</x:f>
        <x:v>0.2857142857142857</x:v>
      </x:c>
      <x:c r="M2203" s="14" t="n">
        <x:v>14</x:v>
      </x:c>
      <x:c r="N2203" s="14" t="n">
        <x:v>5</x:v>
      </x:c>
      <x:c r="O2203" s="15" t="n">
        <x:f>IF(M2203=0,"해당 없음",N2203/M2203)</x:f>
        <x:v>0.35714285714285715</x:v>
      </x:c>
      <x:c r="P2203" s="14" t="n">
        <x:v>101</x:v>
      </x:c>
    </x:row>
    <x:row r="2204" ht="22" customHeight="1">
      <x:c r="A2204" s="14" t="n">
        <x:v>1100</x:v>
      </x:c>
      <x:c r="B2204" s="14" t="n">
        <x:v>28</x:v>
      </x:c>
      <x:c r="C2204" s="14" t="n">
        <x:v>76009</x:v>
      </x:c>
      <x:c r="D2204" s="2" t="str">
        <x:v>RED</x:v>
      </x:c>
      <x:c r="E2204" s="2" t="str">
        <x:v>240만</x:v>
      </x:c>
      <x:c r="F2204" s="2" t="str">
        <x:v>200만</x:v>
      </x:c>
      <x:c r="G2204" s="2" t="str">
        <x:v>승</x:v>
      </x:c>
      <x:c r="H2204" s="14" t="n">
        <x:v>2</x:v>
      </x:c>
      <x:c r="I2204" s="14" t="n">
        <x:v>1</x:v>
      </x:c>
      <x:c r="J2204" s="14" t="n">
        <x:v>7</x:v>
      </x:c>
      <x:c r="K2204" s="14" t="n">
        <x:v>2</x:v>
      </x:c>
      <x:c r="L2204" s="15" t="n">
        <x:f>IF(J2204=0,"해당 없음",K2204/J2204)</x:f>
        <x:v>0.2857142857142857</x:v>
      </x:c>
      <x:c r="M2204" s="14" t="n">
        <x:v>12</x:v>
      </x:c>
      <x:c r="N2204" s="14" t="n">
        <x:v>7</x:v>
      </x:c>
      <x:c r="O2204" s="15" t="n">
        <x:f>IF(M2204=0,"해당 없음",N2204/M2204)</x:f>
        <x:v>0.5833333333333334</x:v>
      </x:c>
      <x:c r="P2204" s="14" t="n">
        <x:v>102</x:v>
      </x:c>
    </x:row>
    <x:row r="2205" ht="22" customHeight="1">
      <x:c r="A2205" s="14" t="n">
        <x:v>1100</x:v>
      </x:c>
      <x:c r="B2205" s="14" t="n">
        <x:v>28</x:v>
      </x:c>
      <x:c r="C2205" s="14" t="n">
        <x:v>76009</x:v>
      </x:c>
      <x:c r="D2205" s="2" t="str">
        <x:v>NAVY</x:v>
      </x:c>
      <x:c r="E2205" s="2" t="str">
        <x:v>200만</x:v>
      </x:c>
      <x:c r="F2205" s="2" t="str">
        <x:v>240만</x:v>
      </x:c>
      <x:c r="G2205" s="2" t="str">
        <x:v>패</x:v>
      </x:c>
      <x:c r="H2205" s="14" t="n">
        <x:v>1</x:v>
      </x:c>
      <x:c r="I2205" s="14" t="n">
        <x:v>2</x:v>
      </x:c>
      <x:c r="J2205" s="14" t="n">
        <x:v>8</x:v>
      </x:c>
      <x:c r="K2205" s="14" t="n">
        <x:v>1</x:v>
      </x:c>
      <x:c r="L2205" s="15" t="n">
        <x:f>IF(J2205=0,"해당 없음",K2205/J2205)</x:f>
        <x:v>0.125</x:v>
      </x:c>
      <x:c r="M2205" s="14" t="n">
        <x:v>10</x:v>
      </x:c>
      <x:c r="N2205" s="14" t="n">
        <x:v>10</x:v>
      </x:c>
      <x:c r="O2205" s="15" t="n">
        <x:f>IF(M2205=0,"해당 없음",N2205/M2205)</x:f>
        <x:v>1</x:v>
      </x:c>
      <x:c r="P2205" s="14" t="n">
        <x:v>103</x:v>
      </x:c>
    </x:row>
    <x:row r="2206" ht="22" customHeight="1">
      <x:c r="A2206" s="14" t="n">
        <x:v>1101</x:v>
      </x:c>
      <x:c r="B2206" s="14" t="n">
        <x:v>28</x:v>
      </x:c>
      <x:c r="C2206" s="14" t="n">
        <x:v>76010</x:v>
      </x:c>
      <x:c r="D2206" s="2" t="str">
        <x:v>RED</x:v>
      </x:c>
      <x:c r="E2206" s="2" t="str">
        <x:v>200만</x:v>
      </x:c>
      <x:c r="F2206" s="2" t="str">
        <x:v>240만</x:v>
      </x:c>
      <x:c r="G2206" s="2" t="str">
        <x:v>승</x:v>
      </x:c>
      <x:c r="H2206" s="14" t="n">
        <x:v>2</x:v>
      </x:c>
      <x:c r="I2206" s="14" t="n">
        <x:v>1</x:v>
      </x:c>
      <x:c r="J2206" s="14" t="n">
        <x:v>14</x:v>
      </x:c>
      <x:c r="K2206" s="14" t="n">
        <x:v>2</x:v>
      </x:c>
      <x:c r="L2206" s="15" t="n">
        <x:f>IF(J2206=0,"해당 없음",K2206/J2206)</x:f>
        <x:v>0.14285714285714285</x:v>
      </x:c>
      <x:c r="M2206" s="14" t="n">
        <x:v>13</x:v>
      </x:c>
      <x:c r="N2206" s="14" t="n">
        <x:v>11</x:v>
      </x:c>
      <x:c r="O2206" s="15" t="n">
        <x:f>IF(M2206=0,"해당 없음",N2206/M2206)</x:f>
        <x:v>0.8461538461538461</x:v>
      </x:c>
      <x:c r="P2206" s="14" t="n">
        <x:v>100</x:v>
      </x:c>
    </x:row>
    <x:row r="2207" ht="22" customHeight="1">
      <x:c r="A2207" s="14" t="n">
        <x:v>1101</x:v>
      </x:c>
      <x:c r="B2207" s="14" t="n">
        <x:v>28</x:v>
      </x:c>
      <x:c r="C2207" s="14" t="n">
        <x:v>76010</x:v>
      </x:c>
      <x:c r="D2207" s="2" t="str">
        <x:v>NAVY</x:v>
      </x:c>
      <x:c r="E2207" s="2" t="str">
        <x:v>240만</x:v>
      </x:c>
      <x:c r="F2207" s="2" t="str">
        <x:v>200만</x:v>
      </x:c>
      <x:c r="G2207" s="2" t="str">
        <x:v>패</x:v>
      </x:c>
      <x:c r="H2207" s="14" t="n">
        <x:v>1</x:v>
      </x:c>
      <x:c r="I2207" s="14" t="n">
        <x:v>2</x:v>
      </x:c>
      <x:c r="J2207" s="14" t="n">
        <x:v>8</x:v>
      </x:c>
      <x:c r="K2207" s="14" t="n">
        <x:v>1</x:v>
      </x:c>
      <x:c r="L2207" s="15" t="n">
        <x:f>IF(J2207=0,"해당 없음",K2207/J2207)</x:f>
        <x:v>0.125</x:v>
      </x:c>
      <x:c r="M2207" s="14" t="n">
        <x:v>11</x:v>
      </x:c>
      <x:c r="N2207" s="14" t="n">
        <x:v>10</x:v>
      </x:c>
      <x:c r="O2207" s="15" t="n">
        <x:f>IF(M2207=0,"해당 없음",N2207/M2207)</x:f>
        <x:v>0.9090909090909091</x:v>
      </x:c>
      <x:c r="P2207" s="14" t="n">
        <x:v>102</x:v>
      </x:c>
    </x:row>
    <x:row r="2208" ht="22" customHeight="1">
      <x:c r="A2208" s="14" t="n">
        <x:v>1102</x:v>
      </x:c>
      <x:c r="B2208" s="14" t="n">
        <x:v>28</x:v>
      </x:c>
      <x:c r="C2208" s="14" t="n">
        <x:v>76010</x:v>
      </x:c>
      <x:c r="D2208" s="2" t="str">
        <x:v>RED</x:v>
      </x:c>
      <x:c r="E2208" s="2" t="str">
        <x:v>240만</x:v>
      </x:c>
      <x:c r="F2208" s="2" t="str">
        <x:v>200만</x:v>
      </x:c>
      <x:c r="G2208" s="2" t="str">
        <x:v>패</x:v>
      </x:c>
      <x:c r="H2208" s="14" t="n">
        <x:v>1</x:v>
      </x:c>
      <x:c r="I2208" s="14" t="n">
        <x:v>4</x:v>
      </x:c>
      <x:c r="J2208" s="14" t="n">
        <x:v>11</x:v>
      </x:c>
      <x:c r="K2208" s="14" t="n">
        <x:v>1</x:v>
      </x:c>
      <x:c r="L2208" s="15" t="n">
        <x:f>IF(J2208=0,"해당 없음",K2208/J2208)</x:f>
        <x:v>0.09090909090909091</x:v>
      </x:c>
      <x:c r="M2208" s="14" t="n">
        <x:v>7</x:v>
      </x:c>
      <x:c r="N2208" s="14" t="n">
        <x:v>6</x:v>
      </x:c>
      <x:c r="O2208" s="15" t="n">
        <x:f>IF(M2208=0,"해당 없음",N2208/M2208)</x:f>
        <x:v>0.8571428571428571</x:v>
      </x:c>
      <x:c r="P2208" s="14" t="n">
        <x:v>102</x:v>
      </x:c>
    </x:row>
    <x:row r="2209" ht="22" customHeight="1">
      <x:c r="A2209" s="14" t="n">
        <x:v>1102</x:v>
      </x:c>
      <x:c r="B2209" s="14" t="n">
        <x:v>28</x:v>
      </x:c>
      <x:c r="C2209" s="14" t="n">
        <x:v>76010</x:v>
      </x:c>
      <x:c r="D2209" s="2" t="str">
        <x:v>NAVY</x:v>
      </x:c>
      <x:c r="E2209" s="2" t="str">
        <x:v>200만</x:v>
      </x:c>
      <x:c r="F2209" s="2" t="str">
        <x:v>240만</x:v>
      </x:c>
      <x:c r="G2209" s="2" t="str">
        <x:v>승</x:v>
      </x:c>
      <x:c r="H2209" s="14" t="n">
        <x:v>4</x:v>
      </x:c>
      <x:c r="I2209" s="14" t="n">
        <x:v>1</x:v>
      </x:c>
      <x:c r="J2209" s="14" t="n">
        <x:v>9</x:v>
      </x:c>
      <x:c r="K2209" s="14" t="n">
        <x:v>4</x:v>
      </x:c>
      <x:c r="L2209" s="15" t="n">
        <x:f>IF(J2209=0,"해당 없음",K2209/J2209)</x:f>
        <x:v>0.4444444444444444</x:v>
      </x:c>
      <x:c r="M2209" s="14" t="n">
        <x:v>14</x:v>
      </x:c>
      <x:c r="N2209" s="14" t="n">
        <x:v>11</x:v>
      </x:c>
      <x:c r="O2209" s="15" t="n">
        <x:f>IF(M2209=0,"해당 없음",N2209/M2209)</x:f>
        <x:v>0.7857142857142857</x:v>
      </x:c>
      <x:c r="P2209" s="14" t="n">
        <x:v>103</x:v>
      </x:c>
    </x:row>
    <x:row r="2210" ht="22" customHeight="1">
      <x:c r="A2210" s="14" t="n">
        <x:v>1103</x:v>
      </x:c>
      <x:c r="B2210" s="14" t="n">
        <x:v>28</x:v>
      </x:c>
      <x:c r="C2210" s="14" t="n">
        <x:v>76011</x:v>
      </x:c>
      <x:c r="D2210" s="2" t="str">
        <x:v>RED</x:v>
      </x:c>
      <x:c r="E2210" s="2" t="str">
        <x:v>200만</x:v>
      </x:c>
      <x:c r="F2210" s="2" t="str">
        <x:v>240만</x:v>
      </x:c>
      <x:c r="G2210" s="2" t="str">
        <x:v>무</x:v>
      </x:c>
      <x:c r="H2210" s="14" t="n">
        <x:v>3</x:v>
      </x:c>
      <x:c r="I2210" s="14" t="n">
        <x:v>3</x:v>
      </x:c>
      <x:c r="J2210" s="14" t="n">
        <x:v>13</x:v>
      </x:c>
      <x:c r="K2210" s="14" t="n">
        <x:v>3</x:v>
      </x:c>
      <x:c r="L2210" s="15" t="n">
        <x:f>IF(J2210=0,"해당 없음",K2210/J2210)</x:f>
        <x:v>0.23076923076923078</x:v>
      </x:c>
      <x:c r="M2210" s="14" t="n">
        <x:v>9</x:v>
      </x:c>
      <x:c r="N2210" s="14" t="n">
        <x:v>8</x:v>
      </x:c>
      <x:c r="O2210" s="15" t="n">
        <x:f>IF(M2210=0,"해당 없음",N2210/M2210)</x:f>
        <x:v>0.8888888888888888</x:v>
      </x:c>
      <x:c r="P2210" s="14" t="n">
        <x:v>103</x:v>
      </x:c>
    </x:row>
    <x:row r="2211" ht="22" customHeight="1">
      <x:c r="A2211" s="14" t="n">
        <x:v>1103</x:v>
      </x:c>
      <x:c r="B2211" s="14" t="n">
        <x:v>28</x:v>
      </x:c>
      <x:c r="C2211" s="14" t="n">
        <x:v>76011</x:v>
      </x:c>
      <x:c r="D2211" s="2" t="str">
        <x:v>NAVY</x:v>
      </x:c>
      <x:c r="E2211" s="2" t="str">
        <x:v>240만</x:v>
      </x:c>
      <x:c r="F2211" s="2" t="str">
        <x:v>200만</x:v>
      </x:c>
      <x:c r="G2211" s="2" t="str">
        <x:v>무</x:v>
      </x:c>
      <x:c r="H2211" s="14" t="n">
        <x:v>3</x:v>
      </x:c>
      <x:c r="I2211" s="14" t="n">
        <x:v>3</x:v>
      </x:c>
      <x:c r="J2211" s="14" t="n">
        <x:v>6</x:v>
      </x:c>
      <x:c r="K2211" s="14" t="n">
        <x:v>3</x:v>
      </x:c>
      <x:c r="L2211" s="15" t="n">
        <x:f>IF(J2211=0,"해당 없음",K2211/J2211)</x:f>
        <x:v>0.5</x:v>
      </x:c>
      <x:c r="M2211" s="14" t="n">
        <x:v>13</x:v>
      </x:c>
      <x:c r="N2211" s="14" t="n">
        <x:v>11</x:v>
      </x:c>
      <x:c r="O2211" s="15" t="n">
        <x:f>IF(M2211=0,"해당 없음",N2211/M2211)</x:f>
        <x:v>0.8461538461538461</x:v>
      </x:c>
      <x:c r="P2211" s="14" t="n">
        <x:v>103</x:v>
      </x:c>
    </x:row>
    <x:row r="2212" ht="22" customHeight="1">
      <x:c r="A2212" s="14" t="n">
        <x:v>1104</x:v>
      </x:c>
      <x:c r="B2212" s="14" t="n">
        <x:v>28</x:v>
      </x:c>
      <x:c r="C2212" s="14" t="n">
        <x:v>76011</x:v>
      </x:c>
      <x:c r="D2212" s="2" t="str">
        <x:v>RED</x:v>
      </x:c>
      <x:c r="E2212" s="2" t="str">
        <x:v>240만</x:v>
      </x:c>
      <x:c r="F2212" s="2" t="str">
        <x:v>200만</x:v>
      </x:c>
      <x:c r="G2212" s="2" t="str">
        <x:v>승</x:v>
      </x:c>
      <x:c r="H2212" s="14" t="n">
        <x:v>4</x:v>
      </x:c>
      <x:c r="I2212" s="14" t="n">
        <x:v>1</x:v>
      </x:c>
      <x:c r="J2212" s="14" t="n">
        <x:v>8</x:v>
      </x:c>
      <x:c r="K2212" s="14" t="n">
        <x:v>4</x:v>
      </x:c>
      <x:c r="L2212" s="15" t="n">
        <x:f>IF(J2212=0,"해당 없음",K2212/J2212)</x:f>
        <x:v>0.5</x:v>
      </x:c>
      <x:c r="M2212" s="14" t="n">
        <x:v>10</x:v>
      </x:c>
      <x:c r="N2212" s="14" t="n">
        <x:v>8</x:v>
      </x:c>
      <x:c r="O2212" s="15" t="n">
        <x:f>IF(M2212=0,"해당 없음",N2212/M2212)</x:f>
        <x:v>0.8</x:v>
      </x:c>
      <x:c r="P2212" s="14" t="n">
        <x:v>104</x:v>
      </x:c>
    </x:row>
    <x:row r="2213" ht="22" customHeight="1">
      <x:c r="A2213" s="14" t="n">
        <x:v>1104</x:v>
      </x:c>
      <x:c r="B2213" s="14" t="n">
        <x:v>28</x:v>
      </x:c>
      <x:c r="C2213" s="14" t="n">
        <x:v>76011</x:v>
      </x:c>
      <x:c r="D2213" s="2" t="str">
        <x:v>NAVY</x:v>
      </x:c>
      <x:c r="E2213" s="2" t="str">
        <x:v>200만</x:v>
      </x:c>
      <x:c r="F2213" s="2" t="str">
        <x:v>240만</x:v>
      </x:c>
      <x:c r="G2213" s="2" t="str">
        <x:v>패</x:v>
      </x:c>
      <x:c r="H2213" s="14" t="n">
        <x:v>1</x:v>
      </x:c>
      <x:c r="I2213" s="14" t="n">
        <x:v>4</x:v>
      </x:c>
      <x:c r="J2213" s="14" t="n">
        <x:v>8</x:v>
      </x:c>
      <x:c r="K2213" s="14" t="n">
        <x:v>1</x:v>
      </x:c>
      <x:c r="L2213" s="15" t="n">
        <x:f>IF(J2213=0,"해당 없음",K2213/J2213)</x:f>
        <x:v>0.125</x:v>
      </x:c>
      <x:c r="M2213" s="14" t="n">
        <x:v>11</x:v>
      </x:c>
      <x:c r="N2213" s="14" t="n">
        <x:v>8</x:v>
      </x:c>
      <x:c r="O2213" s="15" t="n">
        <x:f>IF(M2213=0,"해당 없음",N2213/M2213)</x:f>
        <x:v>0.7272727272727273</x:v>
      </x:c>
      <x:c r="P2213" s="14" t="n">
        <x:v>102</x:v>
      </x:c>
    </x:row>
    <x:row r="2214" ht="22" customHeight="1">
      <x:c r="A2214" s="14" t="n">
        <x:v>1105</x:v>
      </x:c>
      <x:c r="B2214" s="14" t="n">
        <x:v>28</x:v>
      </x:c>
      <x:c r="C2214" s="14" t="n">
        <x:v>76012</x:v>
      </x:c>
      <x:c r="D2214" s="2" t="str">
        <x:v>RED</x:v>
      </x:c>
      <x:c r="E2214" s="2" t="str">
        <x:v>200만</x:v>
      </x:c>
      <x:c r="F2214" s="2" t="str">
        <x:v>240만</x:v>
      </x:c>
      <x:c r="G2214" s="2" t="str">
        <x:v>승</x:v>
      </x:c>
      <x:c r="H2214" s="14" t="n">
        <x:v>4</x:v>
      </x:c>
      <x:c r="I2214" s="14" t="n">
        <x:v>1</x:v>
      </x:c>
      <x:c r="J2214" s="14" t="n">
        <x:v>11</x:v>
      </x:c>
      <x:c r="K2214" s="14" t="n">
        <x:v>4</x:v>
      </x:c>
      <x:c r="L2214" s="15" t="n">
        <x:f>IF(J2214=0,"해당 없음",K2214/J2214)</x:f>
        <x:v>0.36363636363636365</x:v>
      </x:c>
      <x:c r="M2214" s="14" t="n">
        <x:v>14</x:v>
      </x:c>
      <x:c r="N2214" s="14" t="n">
        <x:v>8</x:v>
      </x:c>
      <x:c r="O2214" s="15" t="n">
        <x:f>IF(M2214=0,"해당 없음",N2214/M2214)</x:f>
        <x:v>0.5714285714285714</x:v>
      </x:c>
      <x:c r="P2214" s="14" t="n">
        <x:v>103</x:v>
      </x:c>
    </x:row>
    <x:row r="2215" ht="22" customHeight="1">
      <x:c r="A2215" s="14" t="n">
        <x:v>1105</x:v>
      </x:c>
      <x:c r="B2215" s="14" t="n">
        <x:v>28</x:v>
      </x:c>
      <x:c r="C2215" s="14" t="n">
        <x:v>76012</x:v>
      </x:c>
      <x:c r="D2215" s="2" t="str">
        <x:v>NAVY</x:v>
      </x:c>
      <x:c r="E2215" s="2" t="str">
        <x:v>240만</x:v>
      </x:c>
      <x:c r="F2215" s="2" t="str">
        <x:v>200만</x:v>
      </x:c>
      <x:c r="G2215" s="2" t="str">
        <x:v>패</x:v>
      </x:c>
      <x:c r="H2215" s="14" t="n">
        <x:v>1</x:v>
      </x:c>
      <x:c r="I2215" s="14" t="n">
        <x:v>4</x:v>
      </x:c>
      <x:c r="J2215" s="14" t="n">
        <x:v>9</x:v>
      </x:c>
      <x:c r="K2215" s="14" t="n">
        <x:v>1</x:v>
      </x:c>
      <x:c r="L2215" s="15" t="n">
        <x:f>IF(J2215=0,"해당 없음",K2215/J2215)</x:f>
        <x:v>0.1111111111111111</x:v>
      </x:c>
      <x:c r="M2215" s="14" t="n">
        <x:v>10</x:v>
      </x:c>
      <x:c r="N2215" s="14" t="n">
        <x:v>6</x:v>
      </x:c>
      <x:c r="O2215" s="15" t="n">
        <x:f>IF(M2215=0,"해당 없음",N2215/M2215)</x:f>
        <x:v>0.6</x:v>
      </x:c>
      <x:c r="P2215" s="14" t="n">
        <x:v>105</x:v>
      </x:c>
    </x:row>
    <x:row r="2216" ht="22" customHeight="1">
      <x:c r="A2216" s="14" t="n">
        <x:v>1106</x:v>
      </x:c>
      <x:c r="B2216" s="14" t="n">
        <x:v>28</x:v>
      </x:c>
      <x:c r="C2216" s="14" t="n">
        <x:v>76012</x:v>
      </x:c>
      <x:c r="D2216" s="2" t="str">
        <x:v>RED</x:v>
      </x:c>
      <x:c r="E2216" s="2" t="str">
        <x:v>240만</x:v>
      </x:c>
      <x:c r="F2216" s="2" t="str">
        <x:v>200만</x:v>
      </x:c>
      <x:c r="G2216" s="2" t="str">
        <x:v>승</x:v>
      </x:c>
      <x:c r="H2216" s="14" t="n">
        <x:v>5</x:v>
      </x:c>
      <x:c r="I2216" s="14" t="n">
        <x:v>0</x:v>
      </x:c>
      <x:c r="J2216" s="14" t="n">
        <x:v>11</x:v>
      </x:c>
      <x:c r="K2216" s="14" t="n">
        <x:v>5</x:v>
      </x:c>
      <x:c r="L2216" s="15" t="n">
        <x:f>IF(J2216=0,"해당 없음",K2216/J2216)</x:f>
        <x:v>0.45454545454545453</x:v>
      </x:c>
      <x:c r="M2216" s="14" t="n">
        <x:v>11</x:v>
      </x:c>
      <x:c r="N2216" s="14" t="n">
        <x:v>7</x:v>
      </x:c>
      <x:c r="O2216" s="15" t="n">
        <x:f>IF(M2216=0,"해당 없음",N2216/M2216)</x:f>
        <x:v>0.6363636363636364</x:v>
      </x:c>
      <x:c r="P2216" s="14" t="n">
        <x:v>103</x:v>
      </x:c>
    </x:row>
    <x:row r="2217" ht="22" customHeight="1">
      <x:c r="A2217" s="14" t="n">
        <x:v>1106</x:v>
      </x:c>
      <x:c r="B2217" s="14" t="n">
        <x:v>28</x:v>
      </x:c>
      <x:c r="C2217" s="14" t="n">
        <x:v>76012</x:v>
      </x:c>
      <x:c r="D2217" s="2" t="str">
        <x:v>NAVY</x:v>
      </x:c>
      <x:c r="E2217" s="2" t="str">
        <x:v>200만</x:v>
      </x:c>
      <x:c r="F2217" s="2" t="str">
        <x:v>240만</x:v>
      </x:c>
      <x:c r="G2217" s="2" t="str">
        <x:v>패</x:v>
      </x:c>
      <x:c r="H2217" s="14" t="n">
        <x:v>0</x:v>
      </x:c>
      <x:c r="I2217" s="14" t="n">
        <x:v>5</x:v>
      </x:c>
      <x:c r="J2217" s="14" t="n">
        <x:v>10</x:v>
      </x:c>
      <x:c r="K2217" s="14" t="n">
        <x:v>0</x:v>
      </x:c>
      <x:c r="L2217" s="15" t="n">
        <x:f>IF(J2217=0,"해당 없음",K2217/J2217)</x:f>
        <x:v>0</x:v>
      </x:c>
      <x:c r="M2217" s="14" t="n">
        <x:v>6</x:v>
      </x:c>
      <x:c r="N2217" s="14" t="n">
        <x:v>6</x:v>
      </x:c>
      <x:c r="O2217" s="15" t="n">
        <x:f>IF(M2217=0,"해당 없음",N2217/M2217)</x:f>
        <x:v>1</x:v>
      </x:c>
      <x:c r="P2217" s="14" t="n">
        <x:v>101</x:v>
      </x:c>
    </x:row>
    <x:row r="2218" ht="22" customHeight="1">
      <x:c r="A2218" s="14" t="n">
        <x:v>1107</x:v>
      </x:c>
      <x:c r="B2218" s="14" t="n">
        <x:v>28</x:v>
      </x:c>
      <x:c r="C2218" s="14" t="n">
        <x:v>76013</x:v>
      </x:c>
      <x:c r="D2218" s="2" t="str">
        <x:v>RED</x:v>
      </x:c>
      <x:c r="E2218" s="2" t="str">
        <x:v>200만</x:v>
      </x:c>
      <x:c r="F2218" s="2" t="str">
        <x:v>240만</x:v>
      </x:c>
      <x:c r="G2218" s="2" t="str">
        <x:v>패</x:v>
      </x:c>
      <x:c r="H2218" s="14" t="n">
        <x:v>3</x:v>
      </x:c>
      <x:c r="I2218" s="14" t="n">
        <x:v>4</x:v>
      </x:c>
      <x:c r="J2218" s="14" t="n">
        <x:v>12</x:v>
      </x:c>
      <x:c r="K2218" s="14" t="n">
        <x:v>3</x:v>
      </x:c>
      <x:c r="L2218" s="15" t="n">
        <x:f>IF(J2218=0,"해당 없음",K2218/J2218)</x:f>
        <x:v>0.25</x:v>
      </x:c>
      <x:c r="M2218" s="14" t="n">
        <x:v>6</x:v>
      </x:c>
      <x:c r="N2218" s="14" t="n">
        <x:v>4</x:v>
      </x:c>
      <x:c r="O2218" s="15" t="n">
        <x:f>IF(M2218=0,"해당 없음",N2218/M2218)</x:f>
        <x:v>0.6666666666666666</x:v>
      </x:c>
      <x:c r="P2218" s="14" t="n">
        <x:v>105</x:v>
      </x:c>
    </x:row>
    <x:row r="2219" ht="22" customHeight="1">
      <x:c r="A2219" s="14" t="n">
        <x:v>1107</x:v>
      </x:c>
      <x:c r="B2219" s="14" t="n">
        <x:v>28</x:v>
      </x:c>
      <x:c r="C2219" s="14" t="n">
        <x:v>76013</x:v>
      </x:c>
      <x:c r="D2219" s="2" t="str">
        <x:v>NAVY</x:v>
      </x:c>
      <x:c r="E2219" s="2" t="str">
        <x:v>240만</x:v>
      </x:c>
      <x:c r="F2219" s="2" t="str">
        <x:v>200만</x:v>
      </x:c>
      <x:c r="G2219" s="2" t="str">
        <x:v>승</x:v>
      </x:c>
      <x:c r="H2219" s="14" t="n">
        <x:v>4</x:v>
      </x:c>
      <x:c r="I2219" s="14" t="n">
        <x:v>3</x:v>
      </x:c>
      <x:c r="J2219" s="14" t="n">
        <x:v>8</x:v>
      </x:c>
      <x:c r="K2219" s="14" t="n">
        <x:v>4</x:v>
      </x:c>
      <x:c r="L2219" s="15" t="n">
        <x:f>IF(J2219=0,"해당 없음",K2219/J2219)</x:f>
        <x:v>0.5</x:v>
      </x:c>
      <x:c r="M2219" s="14" t="n">
        <x:v>11</x:v>
      </x:c>
      <x:c r="N2219" s="14" t="n">
        <x:v>9</x:v>
      </x:c>
      <x:c r="O2219" s="15" t="n">
        <x:f>IF(M2219=0,"해당 없음",N2219/M2219)</x:f>
        <x:v>0.8181818181818182</x:v>
      </x:c>
      <x:c r="P2219" s="14" t="n">
        <x:v>103</x:v>
      </x:c>
    </x:row>
    <x:row r="2220" ht="22" customHeight="1">
      <x:c r="A2220" s="14" t="n">
        <x:v>1108</x:v>
      </x:c>
      <x:c r="B2220" s="14" t="n">
        <x:v>28</x:v>
      </x:c>
      <x:c r="C2220" s="14" t="n">
        <x:v>76013</x:v>
      </x:c>
      <x:c r="D2220" s="2" t="str">
        <x:v>RED</x:v>
      </x:c>
      <x:c r="E2220" s="2" t="str">
        <x:v>240만</x:v>
      </x:c>
      <x:c r="F2220" s="2" t="str">
        <x:v>200만</x:v>
      </x:c>
      <x:c r="G2220" s="2" t="str">
        <x:v>무</x:v>
      </x:c>
      <x:c r="H2220" s="14" t="n">
        <x:v>2</x:v>
      </x:c>
      <x:c r="I2220" s="14" t="n">
        <x:v>2</x:v>
      </x:c>
      <x:c r="J2220" s="14" t="n">
        <x:v>5</x:v>
      </x:c>
      <x:c r="K2220" s="14" t="n">
        <x:v>2</x:v>
      </x:c>
      <x:c r="L2220" s="15" t="n">
        <x:f>IF(J2220=0,"해당 없음",K2220/J2220)</x:f>
        <x:v>0.4</x:v>
      </x:c>
      <x:c r="M2220" s="14" t="n">
        <x:v>10</x:v>
      </x:c>
      <x:c r="N2220" s="14" t="n">
        <x:v>8</x:v>
      </x:c>
      <x:c r="O2220" s="15" t="n">
        <x:f>IF(M2220=0,"해당 없음",N2220/M2220)</x:f>
        <x:v>0.8</x:v>
      </x:c>
      <x:c r="P2220" s="14" t="n">
        <x:v>104</x:v>
      </x:c>
    </x:row>
    <x:row r="2221" ht="22" customHeight="1">
      <x:c r="A2221" s="14" t="n">
        <x:v>1108</x:v>
      </x:c>
      <x:c r="B2221" s="14" t="n">
        <x:v>28</x:v>
      </x:c>
      <x:c r="C2221" s="14" t="n">
        <x:v>76013</x:v>
      </x:c>
      <x:c r="D2221" s="2" t="str">
        <x:v>NAVY</x:v>
      </x:c>
      <x:c r="E2221" s="2" t="str">
        <x:v>200만</x:v>
      </x:c>
      <x:c r="F2221" s="2" t="str">
        <x:v>240만</x:v>
      </x:c>
      <x:c r="G2221" s="2" t="str">
        <x:v>무</x:v>
      </x:c>
      <x:c r="H2221" s="14" t="n">
        <x:v>2</x:v>
      </x:c>
      <x:c r="I2221" s="14" t="n">
        <x:v>2</x:v>
      </x:c>
      <x:c r="J2221" s="14" t="n">
        <x:v>13</x:v>
      </x:c>
      <x:c r="K2221" s="14" t="n">
        <x:v>2</x:v>
      </x:c>
      <x:c r="L2221" s="15" t="n">
        <x:f>IF(J2221=0,"해당 없음",K2221/J2221)</x:f>
        <x:v>0.15384615384615385</x:v>
      </x:c>
      <x:c r="M2221" s="14" t="n">
        <x:v>14</x:v>
      </x:c>
      <x:c r="N2221" s="14" t="n">
        <x:v>13</x:v>
      </x:c>
      <x:c r="O2221" s="15" t="n">
        <x:f>IF(M2221=0,"해당 없음",N2221/M2221)</x:f>
        <x:v>0.9285714285714286</x:v>
      </x:c>
      <x:c r="P2221" s="14" t="n">
        <x:v>104</x:v>
      </x:c>
    </x:row>
    <x:row r="2222" ht="22" customHeight="1">
      <x:c r="A2222" s="14" t="n">
        <x:v>1109</x:v>
      </x:c>
      <x:c r="B2222" s="14" t="n">
        <x:v>28</x:v>
      </x:c>
      <x:c r="C2222" s="14" t="n">
        <x:v>76014</x:v>
      </x:c>
      <x:c r="D2222" s="2" t="str">
        <x:v>RED</x:v>
      </x:c>
      <x:c r="E2222" s="2" t="str">
        <x:v>200만</x:v>
      </x:c>
      <x:c r="F2222" s="2" t="str">
        <x:v>240만</x:v>
      </x:c>
      <x:c r="G2222" s="2" t="str">
        <x:v>패</x:v>
      </x:c>
      <x:c r="H2222" s="14" t="n">
        <x:v>0</x:v>
      </x:c>
      <x:c r="I2222" s="14" t="n">
        <x:v>1</x:v>
      </x:c>
      <x:c r="J2222" s="14" t="n">
        <x:v>7</x:v>
      </x:c>
      <x:c r="K2222" s="14" t="n">
        <x:v>0</x:v>
      </x:c>
      <x:c r="L2222" s="15" t="n">
        <x:f>IF(J2222=0,"해당 없음",K2222/J2222)</x:f>
        <x:v>0</x:v>
      </x:c>
      <x:c r="M2222" s="14" t="n">
        <x:v>10</x:v>
      </x:c>
      <x:c r="N2222" s="14" t="n">
        <x:v>7</x:v>
      </x:c>
      <x:c r="O2222" s="15" t="n">
        <x:f>IF(M2222=0,"해당 없음",N2222/M2222)</x:f>
        <x:v>0.7</x:v>
      </x:c>
      <x:c r="P2222" s="14" t="n">
        <x:v>101</x:v>
      </x:c>
    </x:row>
    <x:row r="2223" ht="22" customHeight="1">
      <x:c r="A2223" s="14" t="n">
        <x:v>1109</x:v>
      </x:c>
      <x:c r="B2223" s="14" t="n">
        <x:v>28</x:v>
      </x:c>
      <x:c r="C2223" s="14" t="n">
        <x:v>76014</x:v>
      </x:c>
      <x:c r="D2223" s="2" t="str">
        <x:v>NAVY</x:v>
      </x:c>
      <x:c r="E2223" s="2" t="str">
        <x:v>240만</x:v>
      </x:c>
      <x:c r="F2223" s="2" t="str">
        <x:v>200만</x:v>
      </x:c>
      <x:c r="G2223" s="2" t="str">
        <x:v>승</x:v>
      </x:c>
      <x:c r="H2223" s="14" t="n">
        <x:v>1</x:v>
      </x:c>
      <x:c r="I2223" s="14" t="n">
        <x:v>0</x:v>
      </x:c>
      <x:c r="J2223" s="14" t="n">
        <x:v>11</x:v>
      </x:c>
      <x:c r="K2223" s="14" t="n">
        <x:v>1</x:v>
      </x:c>
      <x:c r="L2223" s="15" t="n">
        <x:f>IF(J2223=0,"해당 없음",K2223/J2223)</x:f>
        <x:v>0.09090909090909091</x:v>
      </x:c>
      <x:c r="M2223" s="14" t="n">
        <x:v>10</x:v>
      </x:c>
      <x:c r="N2223" s="14" t="n">
        <x:v>7</x:v>
      </x:c>
      <x:c r="O2223" s="15" t="n">
        <x:f>IF(M2223=0,"해당 없음",N2223/M2223)</x:f>
        <x:v>0.7</x:v>
      </x:c>
      <x:c r="P2223" s="14" t="n">
        <x:v>101</x:v>
      </x:c>
    </x:row>
    <x:row r="2224" ht="22" customHeight="1">
      <x:c r="A2224" s="14" t="n">
        <x:v>1110</x:v>
      </x:c>
      <x:c r="B2224" s="14" t="n">
        <x:v>28</x:v>
      </x:c>
      <x:c r="C2224" s="14" t="n">
        <x:v>76014</x:v>
      </x:c>
      <x:c r="D2224" s="2" t="str">
        <x:v>RED</x:v>
      </x:c>
      <x:c r="E2224" s="2" t="str">
        <x:v>240만</x:v>
      </x:c>
      <x:c r="F2224" s="2" t="str">
        <x:v>200만</x:v>
      </x:c>
      <x:c r="G2224" s="2" t="str">
        <x:v>패</x:v>
      </x:c>
      <x:c r="H2224" s="14" t="n">
        <x:v>1</x:v>
      </x:c>
      <x:c r="I2224" s="14" t="n">
        <x:v>2</x:v>
      </x:c>
      <x:c r="J2224" s="14" t="n">
        <x:v>5</x:v>
      </x:c>
      <x:c r="K2224" s="14" t="n">
        <x:v>1</x:v>
      </x:c>
      <x:c r="L2224" s="15" t="n">
        <x:f>IF(J2224=0,"해당 없음",K2224/J2224)</x:f>
        <x:v>0.2</x:v>
      </x:c>
      <x:c r="M2224" s="14" t="n">
        <x:v>15</x:v>
      </x:c>
      <x:c r="N2224" s="14" t="n">
        <x:v>7</x:v>
      </x:c>
      <x:c r="O2224" s="15" t="n">
        <x:f>IF(M2224=0,"해당 없음",N2224/M2224)</x:f>
        <x:v>0.4666666666666667</x:v>
      </x:c>
      <x:c r="P2224" s="14" t="n">
        <x:v>102</x:v>
      </x:c>
    </x:row>
    <x:row r="2225" ht="22" customHeight="1">
      <x:c r="A2225" s="14" t="n">
        <x:v>1110</x:v>
      </x:c>
      <x:c r="B2225" s="14" t="n">
        <x:v>28</x:v>
      </x:c>
      <x:c r="C2225" s="14" t="n">
        <x:v>76014</x:v>
      </x:c>
      <x:c r="D2225" s="2" t="str">
        <x:v>NAVY</x:v>
      </x:c>
      <x:c r="E2225" s="2" t="str">
        <x:v>200만</x:v>
      </x:c>
      <x:c r="F2225" s="2" t="str">
        <x:v>240만</x:v>
      </x:c>
      <x:c r="G2225" s="2" t="str">
        <x:v>승</x:v>
      </x:c>
      <x:c r="H2225" s="14" t="n">
        <x:v>2</x:v>
      </x:c>
      <x:c r="I2225" s="14" t="n">
        <x:v>1</x:v>
      </x:c>
      <x:c r="J2225" s="14" t="n">
        <x:v>9</x:v>
      </x:c>
      <x:c r="K2225" s="14" t="n">
        <x:v>2</x:v>
      </x:c>
      <x:c r="L2225" s="15" t="n">
        <x:f>IF(J2225=0,"해당 없음",K2225/J2225)</x:f>
        <x:v>0.2222222222222222</x:v>
      </x:c>
      <x:c r="M2225" s="14" t="n">
        <x:v>9</x:v>
      </x:c>
      <x:c r="N2225" s="14" t="n">
        <x:v>9</x:v>
      </x:c>
      <x:c r="O2225" s="15" t="n">
        <x:f>IF(M2225=0,"해당 없음",N2225/M2225)</x:f>
        <x:v>1</x:v>
      </x:c>
      <x:c r="P2225" s="14" t="n">
        <x:v>102</x:v>
      </x:c>
    </x:row>
    <x:row r="2226" ht="22" customHeight="1">
      <x:c r="A2226" s="14" t="n">
        <x:v>1111</x:v>
      </x:c>
      <x:c r="B2226" s="14" t="n">
        <x:v>28</x:v>
      </x:c>
      <x:c r="C2226" s="14" t="n">
        <x:v>76015</x:v>
      </x:c>
      <x:c r="D2226" s="2" t="str">
        <x:v>RED</x:v>
      </x:c>
      <x:c r="E2226" s="2" t="str">
        <x:v>200만</x:v>
      </x:c>
      <x:c r="F2226" s="2" t="str">
        <x:v>240만</x:v>
      </x:c>
      <x:c r="G2226" s="2" t="str">
        <x:v>승</x:v>
      </x:c>
      <x:c r="H2226" s="14" t="n">
        <x:v>3</x:v>
      </x:c>
      <x:c r="I2226" s="14" t="n">
        <x:v>1</x:v>
      </x:c>
      <x:c r="J2226" s="14" t="n">
        <x:v>8</x:v>
      </x:c>
      <x:c r="K2226" s="14" t="n">
        <x:v>3</x:v>
      </x:c>
      <x:c r="L2226" s="15" t="n">
        <x:f>IF(J2226=0,"해당 없음",K2226/J2226)</x:f>
        <x:v>0.375</x:v>
      </x:c>
      <x:c r="M2226" s="14" t="n">
        <x:v>12</x:v>
      </x:c>
      <x:c r="N2226" s="14" t="n">
        <x:v>6</x:v>
      </x:c>
      <x:c r="O2226" s="15" t="n">
        <x:f>IF(M2226=0,"해당 없음",N2226/M2226)</x:f>
        <x:v>0.5</x:v>
      </x:c>
      <x:c r="P2226" s="14" t="n">
        <x:v>103</x:v>
      </x:c>
    </x:row>
    <x:row r="2227" ht="22" customHeight="1">
      <x:c r="A2227" s="14" t="n">
        <x:v>1111</x:v>
      </x:c>
      <x:c r="B2227" s="14" t="n">
        <x:v>28</x:v>
      </x:c>
      <x:c r="C2227" s="14" t="n">
        <x:v>76015</x:v>
      </x:c>
      <x:c r="D2227" s="2" t="str">
        <x:v>NAVY</x:v>
      </x:c>
      <x:c r="E2227" s="2" t="str">
        <x:v>240만</x:v>
      </x:c>
      <x:c r="F2227" s="2" t="str">
        <x:v>200만</x:v>
      </x:c>
      <x:c r="G2227" s="2" t="str">
        <x:v>패</x:v>
      </x:c>
      <x:c r="H2227" s="14" t="n">
        <x:v>1</x:v>
      </x:c>
      <x:c r="I2227" s="14" t="n">
        <x:v>3</x:v>
      </x:c>
      <x:c r="J2227" s="14" t="n">
        <x:v>9</x:v>
      </x:c>
      <x:c r="K2227" s="14" t="n">
        <x:v>1</x:v>
      </x:c>
      <x:c r="L2227" s="15" t="n">
        <x:f>IF(J2227=0,"해당 없음",K2227/J2227)</x:f>
        <x:v>0.1111111111111111</x:v>
      </x:c>
      <x:c r="M2227" s="14" t="n">
        <x:v>8</x:v>
      </x:c>
      <x:c r="N2227" s="14" t="n">
        <x:v>5</x:v>
      </x:c>
      <x:c r="O2227" s="15" t="n">
        <x:f>IF(M2227=0,"해당 없음",N2227/M2227)</x:f>
        <x:v>0.625</x:v>
      </x:c>
      <x:c r="P2227" s="14" t="n">
        <x:v>104</x:v>
      </x:c>
    </x:row>
    <x:row r="2228" ht="22" customHeight="1">
      <x:c r="A2228" s="14" t="n">
        <x:v>1112</x:v>
      </x:c>
      <x:c r="B2228" s="14" t="n">
        <x:v>28</x:v>
      </x:c>
      <x:c r="C2228" s="14" t="n">
        <x:v>76015</x:v>
      </x:c>
      <x:c r="D2228" s="2" t="str">
        <x:v>RED</x:v>
      </x:c>
      <x:c r="E2228" s="2" t="str">
        <x:v>240만</x:v>
      </x:c>
      <x:c r="F2228" s="2" t="str">
        <x:v>200만</x:v>
      </x:c>
      <x:c r="G2228" s="2" t="str">
        <x:v>무</x:v>
      </x:c>
      <x:c r="H2228" s="14" t="n">
        <x:v>2</x:v>
      </x:c>
      <x:c r="I2228" s="14" t="n">
        <x:v>2</x:v>
      </x:c>
      <x:c r="J2228" s="14" t="n">
        <x:v>9</x:v>
      </x:c>
      <x:c r="K2228" s="14" t="n">
        <x:v>2</x:v>
      </x:c>
      <x:c r="L2228" s="15" t="n">
        <x:f>IF(J2228=0,"해당 없음",K2228/J2228)</x:f>
        <x:v>0.2222222222222222</x:v>
      </x:c>
      <x:c r="M2228" s="14" t="n">
        <x:v>8</x:v>
      </x:c>
      <x:c r="N2228" s="14" t="n">
        <x:v>6</x:v>
      </x:c>
      <x:c r="O2228" s="15" t="n">
        <x:f>IF(M2228=0,"해당 없음",N2228/M2228)</x:f>
        <x:v>0.75</x:v>
      </x:c>
      <x:c r="P2228" s="14" t="n">
        <x:v>103</x:v>
      </x:c>
    </x:row>
    <x:row r="2229" ht="22" customHeight="1">
      <x:c r="A2229" s="14" t="n">
        <x:v>1112</x:v>
      </x:c>
      <x:c r="B2229" s="14" t="n">
        <x:v>28</x:v>
      </x:c>
      <x:c r="C2229" s="14" t="n">
        <x:v>76015</x:v>
      </x:c>
      <x:c r="D2229" s="2" t="str">
        <x:v>NAVY</x:v>
      </x:c>
      <x:c r="E2229" s="2" t="str">
        <x:v>200만</x:v>
      </x:c>
      <x:c r="F2229" s="2" t="str">
        <x:v>240만</x:v>
      </x:c>
      <x:c r="G2229" s="2" t="str">
        <x:v>무</x:v>
      </x:c>
      <x:c r="H2229" s="14" t="n">
        <x:v>2</x:v>
      </x:c>
      <x:c r="I2229" s="14" t="n">
        <x:v>2</x:v>
      </x:c>
      <x:c r="J2229" s="14" t="n">
        <x:v>7</x:v>
      </x:c>
      <x:c r="K2229" s="14" t="n">
        <x:v>2</x:v>
      </x:c>
      <x:c r="L2229" s="15" t="n">
        <x:f>IF(J2229=0,"해당 없음",K2229/J2229)</x:f>
        <x:v>0.2857142857142857</x:v>
      </x:c>
      <x:c r="M2229" s="14" t="n">
        <x:v>14</x:v>
      </x:c>
      <x:c r="N2229" s="14" t="n">
        <x:v>12</x:v>
      </x:c>
      <x:c r="O2229" s="15" t="n">
        <x:f>IF(M2229=0,"해당 없음",N2229/M2229)</x:f>
        <x:v>0.8571428571428571</x:v>
      </x:c>
      <x:c r="P2229" s="14" t="n">
        <x:v>105</x:v>
      </x:c>
    </x:row>
    <x:row r="2230" ht="22" customHeight="1">
      <x:c r="A2230" s="14" t="n">
        <x:v>1113</x:v>
      </x:c>
      <x:c r="B2230" s="14" t="n">
        <x:v>28</x:v>
      </x:c>
      <x:c r="C2230" s="14" t="n">
        <x:v>76016</x:v>
      </x:c>
      <x:c r="D2230" s="2" t="str">
        <x:v>RED</x:v>
      </x:c>
      <x:c r="E2230" s="2" t="str">
        <x:v>200만</x:v>
      </x:c>
      <x:c r="F2230" s="2" t="str">
        <x:v>240만</x:v>
      </x:c>
      <x:c r="G2230" s="2" t="str">
        <x:v>패</x:v>
      </x:c>
      <x:c r="H2230" s="14" t="n">
        <x:v>2</x:v>
      </x:c>
      <x:c r="I2230" s="14" t="n">
        <x:v>4</x:v>
      </x:c>
      <x:c r="J2230" s="14" t="n">
        <x:v>8</x:v>
      </x:c>
      <x:c r="K2230" s="14" t="n">
        <x:v>2</x:v>
      </x:c>
      <x:c r="L2230" s="15" t="n">
        <x:f>IF(J2230=0,"해당 없음",K2230/J2230)</x:f>
        <x:v>0.25</x:v>
      </x:c>
      <x:c r="M2230" s="14" t="n">
        <x:v>6</x:v>
      </x:c>
      <x:c r="N2230" s="14" t="n">
        <x:v>5</x:v>
      </x:c>
      <x:c r="O2230" s="15" t="n">
        <x:f>IF(M2230=0,"해당 없음",N2230/M2230)</x:f>
        <x:v>0.8333333333333334</x:v>
      </x:c>
      <x:c r="P2230" s="14" t="n">
        <x:v>104</x:v>
      </x:c>
    </x:row>
    <x:row r="2231" ht="22" customHeight="1">
      <x:c r="A2231" s="14" t="n">
        <x:v>1113</x:v>
      </x:c>
      <x:c r="B2231" s="14" t="n">
        <x:v>28</x:v>
      </x:c>
      <x:c r="C2231" s="14" t="n">
        <x:v>76016</x:v>
      </x:c>
      <x:c r="D2231" s="2" t="str">
        <x:v>NAVY</x:v>
      </x:c>
      <x:c r="E2231" s="2" t="str">
        <x:v>240만</x:v>
      </x:c>
      <x:c r="F2231" s="2" t="str">
        <x:v>200만</x:v>
      </x:c>
      <x:c r="G2231" s="2" t="str">
        <x:v>승</x:v>
      </x:c>
      <x:c r="H2231" s="14" t="n">
        <x:v>4</x:v>
      </x:c>
      <x:c r="I2231" s="14" t="n">
        <x:v>2</x:v>
      </x:c>
      <x:c r="J2231" s="14" t="n">
        <x:v>11</x:v>
      </x:c>
      <x:c r="K2231" s="14" t="n">
        <x:v>4</x:v>
      </x:c>
      <x:c r="L2231" s="15" t="n">
        <x:f>IF(J2231=0,"해당 없음",K2231/J2231)</x:f>
        <x:v>0.36363636363636365</x:v>
      </x:c>
      <x:c r="M2231" s="14" t="n">
        <x:v>8</x:v>
      </x:c>
      <x:c r="N2231" s="14" t="n">
        <x:v>8</x:v>
      </x:c>
      <x:c r="O2231" s="15" t="n">
        <x:f>IF(M2231=0,"해당 없음",N2231/M2231)</x:f>
        <x:v>1</x:v>
      </x:c>
      <x:c r="P2231" s="14" t="n">
        <x:v>103</x:v>
      </x:c>
    </x:row>
    <x:row r="2232" ht="22" customHeight="1">
      <x:c r="A2232" s="14" t="n">
        <x:v>1114</x:v>
      </x:c>
      <x:c r="B2232" s="14" t="n">
        <x:v>28</x:v>
      </x:c>
      <x:c r="C2232" s="14" t="n">
        <x:v>76016</x:v>
      </x:c>
      <x:c r="D2232" s="2" t="str">
        <x:v>RED</x:v>
      </x:c>
      <x:c r="E2232" s="2" t="str">
        <x:v>240만</x:v>
      </x:c>
      <x:c r="F2232" s="2" t="str">
        <x:v>200만</x:v>
      </x:c>
      <x:c r="G2232" s="2" t="str">
        <x:v>승</x:v>
      </x:c>
      <x:c r="H2232" s="14" t="n">
        <x:v>3</x:v>
      </x:c>
      <x:c r="I2232" s="14" t="n">
        <x:v>2</x:v>
      </x:c>
      <x:c r="J2232" s="14" t="n">
        <x:v>10</x:v>
      </x:c>
      <x:c r="K2232" s="14" t="n">
        <x:v>3</x:v>
      </x:c>
      <x:c r="L2232" s="15" t="n">
        <x:f>IF(J2232=0,"해당 없음",K2232/J2232)</x:f>
        <x:v>0.3</x:v>
      </x:c>
      <x:c r="M2232" s="14" t="n">
        <x:v>12</x:v>
      </x:c>
      <x:c r="N2232" s="14" t="n">
        <x:v>9</x:v>
      </x:c>
      <x:c r="O2232" s="15" t="n">
        <x:f>IF(M2232=0,"해당 없음",N2232/M2232)</x:f>
        <x:v>0.75</x:v>
      </x:c>
      <x:c r="P2232" s="14" t="n">
        <x:v>103</x:v>
      </x:c>
    </x:row>
    <x:row r="2233" ht="22" customHeight="1">
      <x:c r="A2233" s="14" t="n">
        <x:v>1114</x:v>
      </x:c>
      <x:c r="B2233" s="14" t="n">
        <x:v>28</x:v>
      </x:c>
      <x:c r="C2233" s="14" t="n">
        <x:v>76016</x:v>
      </x:c>
      <x:c r="D2233" s="2" t="str">
        <x:v>NAVY</x:v>
      </x:c>
      <x:c r="E2233" s="2" t="str">
        <x:v>200만</x:v>
      </x:c>
      <x:c r="F2233" s="2" t="str">
        <x:v>240만</x:v>
      </x:c>
      <x:c r="G2233" s="2" t="str">
        <x:v>패</x:v>
      </x:c>
      <x:c r="H2233" s="14" t="n">
        <x:v>2</x:v>
      </x:c>
      <x:c r="I2233" s="14" t="n">
        <x:v>3</x:v>
      </x:c>
      <x:c r="J2233" s="14" t="n">
        <x:v>7</x:v>
      </x:c>
      <x:c r="K2233" s="14" t="n">
        <x:v>2</x:v>
      </x:c>
      <x:c r="L2233" s="15" t="n">
        <x:f>IF(J2233=0,"해당 없음",K2233/J2233)</x:f>
        <x:v>0.2857142857142857</x:v>
      </x:c>
      <x:c r="M2233" s="14" t="n">
        <x:v>10</x:v>
      </x:c>
      <x:c r="N2233" s="14" t="n">
        <x:v>9</x:v>
      </x:c>
      <x:c r="O2233" s="15" t="n">
        <x:f>IF(M2233=0,"해당 없음",N2233/M2233)</x:f>
        <x:v>0.9</x:v>
      </x:c>
      <x:c r="P2233" s="14" t="n">
        <x:v>103</x:v>
      </x:c>
    </x:row>
    <x:row r="2234" ht="22" customHeight="1">
      <x:c r="A2234" s="14" t="n">
        <x:v>1115</x:v>
      </x:c>
      <x:c r="B2234" s="14" t="n">
        <x:v>28</x:v>
      </x:c>
      <x:c r="C2234" s="14" t="n">
        <x:v>76017</x:v>
      </x:c>
      <x:c r="D2234" s="2" t="str">
        <x:v>RED</x:v>
      </x:c>
      <x:c r="E2234" s="2" t="str">
        <x:v>200만</x:v>
      </x:c>
      <x:c r="F2234" s="2" t="str">
        <x:v>240만</x:v>
      </x:c>
      <x:c r="G2234" s="2" t="str">
        <x:v>승</x:v>
      </x:c>
      <x:c r="H2234" s="14" t="n">
        <x:v>3</x:v>
      </x:c>
      <x:c r="I2234" s="14" t="n">
        <x:v>1</x:v>
      </x:c>
      <x:c r="J2234" s="14" t="n">
        <x:v>10</x:v>
      </x:c>
      <x:c r="K2234" s="14" t="n">
        <x:v>3</x:v>
      </x:c>
      <x:c r="L2234" s="15" t="n">
        <x:f>IF(J2234=0,"해당 없음",K2234/J2234)</x:f>
        <x:v>0.3</x:v>
      </x:c>
      <x:c r="M2234" s="14" t="n">
        <x:v>12</x:v>
      </x:c>
      <x:c r="N2234" s="14" t="n">
        <x:v>9</x:v>
      </x:c>
      <x:c r="O2234" s="15" t="n">
        <x:f>IF(M2234=0,"해당 없음",N2234/M2234)</x:f>
        <x:v>0.75</x:v>
      </x:c>
      <x:c r="P2234" s="14" t="n">
        <x:v>106</x:v>
      </x:c>
    </x:row>
    <x:row r="2235" ht="22" customHeight="1">
      <x:c r="A2235" s="14" t="n">
        <x:v>1115</x:v>
      </x:c>
      <x:c r="B2235" s="14" t="n">
        <x:v>28</x:v>
      </x:c>
      <x:c r="C2235" s="14" t="n">
        <x:v>76017</x:v>
      </x:c>
      <x:c r="D2235" s="2" t="str">
        <x:v>NAVY</x:v>
      </x:c>
      <x:c r="E2235" s="2" t="str">
        <x:v>240만</x:v>
      </x:c>
      <x:c r="F2235" s="2" t="str">
        <x:v>200만</x:v>
      </x:c>
      <x:c r="G2235" s="2" t="str">
        <x:v>패</x:v>
      </x:c>
      <x:c r="H2235" s="14" t="n">
        <x:v>1</x:v>
      </x:c>
      <x:c r="I2235" s="14" t="n">
        <x:v>3</x:v>
      </x:c>
      <x:c r="J2235" s="14" t="n">
        <x:v>11</x:v>
      </x:c>
      <x:c r="K2235" s="14" t="n">
        <x:v>1</x:v>
      </x:c>
      <x:c r="L2235" s="15" t="n">
        <x:f>IF(J2235=0,"해당 없음",K2235/J2235)</x:f>
        <x:v>0.09090909090909091</x:v>
      </x:c>
      <x:c r="M2235" s="14" t="n">
        <x:v>11</x:v>
      </x:c>
      <x:c r="N2235" s="14" t="n">
        <x:v>7</x:v>
      </x:c>
      <x:c r="O2235" s="15" t="n">
        <x:f>IF(M2235=0,"해당 없음",N2235/M2235)</x:f>
        <x:v>0.6363636363636364</x:v>
      </x:c>
      <x:c r="P2235" s="14" t="n">
        <x:v>105</x:v>
      </x:c>
    </x:row>
    <x:row r="2236" ht="22" customHeight="1">
      <x:c r="A2236" s="14" t="n">
        <x:v>1116</x:v>
      </x:c>
      <x:c r="B2236" s="14" t="n">
        <x:v>28</x:v>
      </x:c>
      <x:c r="C2236" s="14" t="n">
        <x:v>76017</x:v>
      </x:c>
      <x:c r="D2236" s="2" t="str">
        <x:v>RED</x:v>
      </x:c>
      <x:c r="E2236" s="2" t="str">
        <x:v>240만</x:v>
      </x:c>
      <x:c r="F2236" s="2" t="str">
        <x:v>200만</x:v>
      </x:c>
      <x:c r="G2236" s="2" t="str">
        <x:v>승</x:v>
      </x:c>
      <x:c r="H2236" s="14" t="n">
        <x:v>4</x:v>
      </x:c>
      <x:c r="I2236" s="14" t="n">
        <x:v>1</x:v>
      </x:c>
      <x:c r="J2236" s="14" t="n">
        <x:v>12</x:v>
      </x:c>
      <x:c r="K2236" s="14" t="n">
        <x:v>4</x:v>
      </x:c>
      <x:c r="L2236" s="15" t="n">
        <x:f>IF(J2236=0,"해당 없음",K2236/J2236)</x:f>
        <x:v>0.3333333333333333</x:v>
      </x:c>
      <x:c r="M2236" s="14" t="n">
        <x:v>7</x:v>
      </x:c>
      <x:c r="N2236" s="14" t="n">
        <x:v>6</x:v>
      </x:c>
      <x:c r="O2236" s="15" t="n">
        <x:f>IF(M2236=0,"해당 없음",N2236/M2236)</x:f>
        <x:v>0.8571428571428571</x:v>
      </x:c>
      <x:c r="P2236" s="14" t="n">
        <x:v>105</x:v>
      </x:c>
    </x:row>
    <x:row r="2237" ht="22" customHeight="1">
      <x:c r="A2237" s="14" t="n">
        <x:v>1116</x:v>
      </x:c>
      <x:c r="B2237" s="14" t="n">
        <x:v>28</x:v>
      </x:c>
      <x:c r="C2237" s="14" t="n">
        <x:v>76017</x:v>
      </x:c>
      <x:c r="D2237" s="2" t="str">
        <x:v>NAVY</x:v>
      </x:c>
      <x:c r="E2237" s="2" t="str">
        <x:v>200만</x:v>
      </x:c>
      <x:c r="F2237" s="2" t="str">
        <x:v>240만</x:v>
      </x:c>
      <x:c r="G2237" s="2" t="str">
        <x:v>패</x:v>
      </x:c>
      <x:c r="H2237" s="14" t="n">
        <x:v>1</x:v>
      </x:c>
      <x:c r="I2237" s="14" t="n">
        <x:v>4</x:v>
      </x:c>
      <x:c r="J2237" s="14" t="n">
        <x:v>4</x:v>
      </x:c>
      <x:c r="K2237" s="14" t="n">
        <x:v>1</x:v>
      </x:c>
      <x:c r="L2237" s="15" t="n">
        <x:f>IF(J2237=0,"해당 없음",K2237/J2237)</x:f>
        <x:v>0.25</x:v>
      </x:c>
      <x:c r="M2237" s="14" t="n">
        <x:v>10</x:v>
      </x:c>
      <x:c r="N2237" s="14" t="n">
        <x:v>9</x:v>
      </x:c>
      <x:c r="O2237" s="15" t="n">
        <x:f>IF(M2237=0,"해당 없음",N2237/M2237)</x:f>
        <x:v>0.9</x:v>
      </x:c>
      <x:c r="P2237" s="14" t="n">
        <x:v>103</x:v>
      </x:c>
    </x:row>
    <x:row r="2238" ht="22" customHeight="1">
      <x:c r="A2238" s="14" t="n">
        <x:v>1117</x:v>
      </x:c>
      <x:c r="B2238" s="14" t="n">
        <x:v>28</x:v>
      </x:c>
      <x:c r="C2238" s="14" t="n">
        <x:v>76018</x:v>
      </x:c>
      <x:c r="D2238" s="2" t="str">
        <x:v>RED</x:v>
      </x:c>
      <x:c r="E2238" s="2" t="str">
        <x:v>200만</x:v>
      </x:c>
      <x:c r="F2238" s="2" t="str">
        <x:v>240만</x:v>
      </x:c>
      <x:c r="G2238" s="2" t="str">
        <x:v>승</x:v>
      </x:c>
      <x:c r="H2238" s="14" t="n">
        <x:v>5</x:v>
      </x:c>
      <x:c r="I2238" s="14" t="n">
        <x:v>3</x:v>
      </x:c>
      <x:c r="J2238" s="14" t="n">
        <x:v>12</x:v>
      </x:c>
      <x:c r="K2238" s="14" t="n">
        <x:v>4</x:v>
      </x:c>
      <x:c r="L2238" s="15" t="n">
        <x:f>IF(J2238=0,"해당 없음",K2238/J2238)</x:f>
        <x:v>0.3333333333333333</x:v>
      </x:c>
      <x:c r="M2238" s="14" t="n">
        <x:v>8</x:v>
      </x:c>
      <x:c r="N2238" s="14" t="n">
        <x:v>5</x:v>
      </x:c>
      <x:c r="O2238" s="15" t="n">
        <x:f>IF(M2238=0,"해당 없음",N2238/M2238)</x:f>
        <x:v>0.625</x:v>
      </x:c>
      <x:c r="P2238" s="14" t="n">
        <x:v>106</x:v>
      </x:c>
    </x:row>
    <x:row r="2239" ht="22" customHeight="1">
      <x:c r="A2239" s="14" t="n">
        <x:v>1117</x:v>
      </x:c>
      <x:c r="B2239" s="14" t="n">
        <x:v>28</x:v>
      </x:c>
      <x:c r="C2239" s="14" t="n">
        <x:v>76018</x:v>
      </x:c>
      <x:c r="D2239" s="2" t="str">
        <x:v>NAVY</x:v>
      </x:c>
      <x:c r="E2239" s="2" t="str">
        <x:v>240만</x:v>
      </x:c>
      <x:c r="F2239" s="2" t="str">
        <x:v>200만</x:v>
      </x:c>
      <x:c r="G2239" s="2" t="str">
        <x:v>패</x:v>
      </x:c>
      <x:c r="H2239" s="14" t="n">
        <x:v>3</x:v>
      </x:c>
      <x:c r="I2239" s="14" t="n">
        <x:v>5</x:v>
      </x:c>
      <x:c r="J2239" s="14" t="n">
        <x:v>8</x:v>
      </x:c>
      <x:c r="K2239" s="14" t="n">
        <x:v>3</x:v>
      </x:c>
      <x:c r="L2239" s="15" t="n">
        <x:f>IF(J2239=0,"해당 없음",K2239/J2239)</x:f>
        <x:v>0.375</x:v>
      </x:c>
      <x:c r="M2239" s="14" t="n">
        <x:v>8</x:v>
      </x:c>
      <x:c r="N2239" s="14" t="n">
        <x:v>6</x:v>
      </x:c>
      <x:c r="O2239" s="15" t="n">
        <x:f>IF(M2239=0,"해당 없음",N2239/M2239)</x:f>
        <x:v>0.75</x:v>
      </x:c>
      <x:c r="P2239" s="14" t="n">
        <x:v>105</x:v>
      </x:c>
    </x:row>
    <x:row r="2240" ht="22" customHeight="1">
      <x:c r="A2240" s="14" t="n">
        <x:v>1118</x:v>
      </x:c>
      <x:c r="B2240" s="14" t="n">
        <x:v>28</x:v>
      </x:c>
      <x:c r="C2240" s="14" t="n">
        <x:v>76018</x:v>
      </x:c>
      <x:c r="D2240" s="2" t="str">
        <x:v>RED</x:v>
      </x:c>
      <x:c r="E2240" s="2" t="str">
        <x:v>240만</x:v>
      </x:c>
      <x:c r="F2240" s="2" t="str">
        <x:v>200만</x:v>
      </x:c>
      <x:c r="G2240" s="2" t="str">
        <x:v>승</x:v>
      </x:c>
      <x:c r="H2240" s="14" t="n">
        <x:v>3</x:v>
      </x:c>
      <x:c r="I2240" s="14" t="n">
        <x:v>2</x:v>
      </x:c>
      <x:c r="J2240" s="14" t="n">
        <x:v>13</x:v>
      </x:c>
      <x:c r="K2240" s="14" t="n">
        <x:v>3</x:v>
      </x:c>
      <x:c r="L2240" s="15" t="n">
        <x:f>IF(J2240=0,"해당 없음",K2240/J2240)</x:f>
        <x:v>0.23076923076923078</x:v>
      </x:c>
      <x:c r="M2240" s="14" t="n">
        <x:v>4</x:v>
      </x:c>
      <x:c r="N2240" s="14" t="n">
        <x:v>4</x:v>
      </x:c>
      <x:c r="O2240" s="15" t="n">
        <x:f>IF(M2240=0,"해당 없음",N2240/M2240)</x:f>
        <x:v>1</x:v>
      </x:c>
      <x:c r="P2240" s="14" t="n">
        <x:v>105</x:v>
      </x:c>
    </x:row>
    <x:row r="2241" ht="22" customHeight="1">
      <x:c r="A2241" s="14" t="n">
        <x:v>1118</x:v>
      </x:c>
      <x:c r="B2241" s="14" t="n">
        <x:v>28</x:v>
      </x:c>
      <x:c r="C2241" s="14" t="n">
        <x:v>76018</x:v>
      </x:c>
      <x:c r="D2241" s="2" t="str">
        <x:v>NAVY</x:v>
      </x:c>
      <x:c r="E2241" s="2" t="str">
        <x:v>200만</x:v>
      </x:c>
      <x:c r="F2241" s="2" t="str">
        <x:v>240만</x:v>
      </x:c>
      <x:c r="G2241" s="2" t="str">
        <x:v>패</x:v>
      </x:c>
      <x:c r="H2241" s="14" t="n">
        <x:v>2</x:v>
      </x:c>
      <x:c r="I2241" s="14" t="n">
        <x:v>3</x:v>
      </x:c>
      <x:c r="J2241" s="14" t="n">
        <x:v>6</x:v>
      </x:c>
      <x:c r="K2241" s="14" t="n">
        <x:v>2</x:v>
      </x:c>
      <x:c r="L2241" s="15" t="n">
        <x:f>IF(J2241=0,"해당 없음",K2241/J2241)</x:f>
        <x:v>0.3333333333333333</x:v>
      </x:c>
      <x:c r="M2241" s="14" t="n">
        <x:v>11</x:v>
      </x:c>
      <x:c r="N2241" s="14" t="n">
        <x:v>6</x:v>
      </x:c>
      <x:c r="O2241" s="15" t="n">
        <x:f>IF(M2241=0,"해당 없음",N2241/M2241)</x:f>
        <x:v>0.5454545454545454</x:v>
      </x:c>
      <x:c r="P2241" s="14" t="n">
        <x:v>103</x:v>
      </x:c>
    </x:row>
    <x:row r="2242" ht="22" customHeight="1">
      <x:c r="A2242" s="14" t="n">
        <x:v>1119</x:v>
      </x:c>
      <x:c r="B2242" s="14" t="n">
        <x:v>28</x:v>
      </x:c>
      <x:c r="C2242" s="14" t="n">
        <x:v>76019</x:v>
      </x:c>
      <x:c r="D2242" s="2" t="str">
        <x:v>RED</x:v>
      </x:c>
      <x:c r="E2242" s="2" t="str">
        <x:v>200만</x:v>
      </x:c>
      <x:c r="F2242" s="2" t="str">
        <x:v>240만</x:v>
      </x:c>
      <x:c r="G2242" s="2" t="str">
        <x:v>승</x:v>
      </x:c>
      <x:c r="H2242" s="14" t="n">
        <x:v>7</x:v>
      </x:c>
      <x:c r="I2242" s="14" t="n">
        <x:v>0</x:v>
      </x:c>
      <x:c r="J2242" s="14" t="n">
        <x:v>10</x:v>
      </x:c>
      <x:c r="K2242" s="14" t="n">
        <x:v>7</x:v>
      </x:c>
      <x:c r="L2242" s="15" t="n">
        <x:f>IF(J2242=0,"해당 없음",K2242/J2242)</x:f>
        <x:v>0.7</x:v>
      </x:c>
      <x:c r="M2242" s="14" t="n">
        <x:v>14</x:v>
      </x:c>
      <x:c r="N2242" s="14" t="n">
        <x:v>9</x:v>
      </x:c>
      <x:c r="O2242" s="15" t="n">
        <x:f>IF(M2242=0,"해당 없음",N2242/M2242)</x:f>
        <x:v>0.6428571428571429</x:v>
      </x:c>
      <x:c r="P2242" s="14" t="n">
        <x:v>104</x:v>
      </x:c>
    </x:row>
    <x:row r="2243" ht="22" customHeight="1">
      <x:c r="A2243" s="14" t="n">
        <x:v>1119</x:v>
      </x:c>
      <x:c r="B2243" s="14" t="n">
        <x:v>28</x:v>
      </x:c>
      <x:c r="C2243" s="14" t="n">
        <x:v>76019</x:v>
      </x:c>
      <x:c r="D2243" s="2" t="str">
        <x:v>NAVY</x:v>
      </x:c>
      <x:c r="E2243" s="2" t="str">
        <x:v>240만</x:v>
      </x:c>
      <x:c r="F2243" s="2" t="str">
        <x:v>200만</x:v>
      </x:c>
      <x:c r="G2243" s="2" t="str">
        <x:v>패</x:v>
      </x:c>
      <x:c r="H2243" s="14" t="n">
        <x:v>0</x:v>
      </x:c>
      <x:c r="I2243" s="14" t="n">
        <x:v>7</x:v>
      </x:c>
      <x:c r="J2243" s="14" t="n">
        <x:v>7</x:v>
      </x:c>
      <x:c r="K2243" s="14" t="n">
        <x:v>0</x:v>
      </x:c>
      <x:c r="L2243" s="15" t="n">
        <x:f>IF(J2243=0,"해당 없음",K2243/J2243)</x:f>
        <x:v>0</x:v>
      </x:c>
      <x:c r="M2243" s="14" t="n">
        <x:v>4</x:v>
      </x:c>
      <x:c r="N2243" s="14" t="n">
        <x:v>4</x:v>
      </x:c>
      <x:c r="O2243" s="15" t="n">
        <x:f>IF(M2243=0,"해당 없음",N2243/M2243)</x:f>
        <x:v>1</x:v>
      </x:c>
      <x:c r="P2243" s="14" t="n">
        <x:v>106</x:v>
      </x:c>
    </x:row>
    <x:row r="2244" ht="22" customHeight="1">
      <x:c r="A2244" s="14" t="n">
        <x:v>1120</x:v>
      </x:c>
      <x:c r="B2244" s="14" t="n">
        <x:v>28</x:v>
      </x:c>
      <x:c r="C2244" s="14" t="n">
        <x:v>76019</x:v>
      </x:c>
      <x:c r="D2244" s="2" t="str">
        <x:v>RED</x:v>
      </x:c>
      <x:c r="E2244" s="2" t="str">
        <x:v>240만</x:v>
      </x:c>
      <x:c r="F2244" s="2" t="str">
        <x:v>200만</x:v>
      </x:c>
      <x:c r="G2244" s="2" t="str">
        <x:v>승</x:v>
      </x:c>
      <x:c r="H2244" s="14" t="n">
        <x:v>4</x:v>
      </x:c>
      <x:c r="I2244" s="14" t="n">
        <x:v>1</x:v>
      </x:c>
      <x:c r="J2244" s="14" t="n">
        <x:v>10</x:v>
      </x:c>
      <x:c r="K2244" s="14" t="n">
        <x:v>4</x:v>
      </x:c>
      <x:c r="L2244" s="15" t="n">
        <x:f>IF(J2244=0,"해당 없음",K2244/J2244)</x:f>
        <x:v>0.4</x:v>
      </x:c>
      <x:c r="M2244" s="14" t="n">
        <x:v>9</x:v>
      </x:c>
      <x:c r="N2244" s="14" t="n">
        <x:v>7</x:v>
      </x:c>
      <x:c r="O2244" s="15" t="n">
        <x:f>IF(M2244=0,"해당 없음",N2244/M2244)</x:f>
        <x:v>0.7777777777777778</x:v>
      </x:c>
      <x:c r="P2244" s="14" t="n">
        <x:v>101</x:v>
      </x:c>
    </x:row>
    <x:row r="2245" ht="22" customHeight="1">
      <x:c r="A2245" s="14" t="n">
        <x:v>1120</x:v>
      </x:c>
      <x:c r="B2245" s="14" t="n">
        <x:v>28</x:v>
      </x:c>
      <x:c r="C2245" s="14" t="n">
        <x:v>76019</x:v>
      </x:c>
      <x:c r="D2245" s="2" t="str">
        <x:v>NAVY</x:v>
      </x:c>
      <x:c r="E2245" s="2" t="str">
        <x:v>200만</x:v>
      </x:c>
      <x:c r="F2245" s="2" t="str">
        <x:v>240만</x:v>
      </x:c>
      <x:c r="G2245" s="2" t="str">
        <x:v>패</x:v>
      </x:c>
      <x:c r="H2245" s="14" t="n">
        <x:v>1</x:v>
      </x:c>
      <x:c r="I2245" s="14" t="n">
        <x:v>4</x:v>
      </x:c>
      <x:c r="J2245" s="14" t="n">
        <x:v>9</x:v>
      </x:c>
      <x:c r="K2245" s="14" t="n">
        <x:v>1</x:v>
      </x:c>
      <x:c r="L2245" s="15" t="n">
        <x:f>IF(J2245=0,"해당 없음",K2245/J2245)</x:f>
        <x:v>0.1111111111111111</x:v>
      </x:c>
      <x:c r="M2245" s="14" t="n">
        <x:v>10</x:v>
      </x:c>
      <x:c r="N2245" s="14" t="n">
        <x:v>6</x:v>
      </x:c>
      <x:c r="O2245" s="15" t="n">
        <x:f>IF(M2245=0,"해당 없음",N2245/M2245)</x:f>
        <x:v>0.6</x:v>
      </x:c>
      <x:c r="P2245" s="14" t="n">
        <x:v>103</x:v>
      </x:c>
    </x:row>
  </x:sheetData>
  <x:pageMargins left="0.7" right="0.7" top="0.75" bottom="0.75" header="0.3" footer="0.3"/>
  <x:tableParts count="1">
    <x:tablePart xmlns:r="http://schemas.openxmlformats.org/officeDocument/2006/relationships" r:id="Rd5606a504d7640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9" customHeight="1">
      <x:c r="A2" s="3" t="str">
        <x:v>감독 명령 — 선택 횟수와 전체 선택 중 비율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5" t="str">
        <x:v>출처: evaluation-data.json / 원본 result.json·trace, 종료된 300초 경기만 집계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7" customHeight="1">
      <x:c r="A5" s="10" t="str">
        <x:v>경기 ID</x:v>
      </x:c>
      <x:c r="B5" s="11" t="str">
        <x:v>진영</x:v>
      </x:c>
      <x:c r="C5" s="11" t="str">
        <x:v>모델</x:v>
      </x:c>
      <x:c r="D5" s="11" t="str">
        <x:v>상대 모델</x:v>
      </x:c>
      <x:c r="E5" s="11" t="str">
        <x:v>총 명령 수</x:v>
      </x:c>
      <x:c r="F5" s="11" t="str">
        <x:v>T1 속공 전개
횟수</x:v>
      </x:c>
      <x:c r="G5" s="11" t="str">
        <x:v>T2 전방 롱패스
횟수</x:v>
      </x:c>
      <x:c r="H5" s="11" t="str">
        <x:v>T3 와이드 탈압박
횟수</x:v>
      </x:c>
      <x:c r="I5" s="11" t="str">
        <x:v>T4 측면 컷백
횟수</x:v>
      </x:c>
      <x:c r="J5" s="11" t="str">
        <x:v>T5 진로 차단 수비
횟수</x:v>
      </x:c>
      <x:c r="K5" s="11" t="str">
        <x:v>T6 수신자 봉쇄
횟수</x:v>
      </x:c>
      <x:c r="L5" s="11" t="str">
        <x:v>T7 전체 공 회수
횟수</x:v>
      </x:c>
      <x:c r="M5" s="11" t="str">
        <x:v>T8 골문 앞 집결
횟수</x:v>
      </x:c>
      <x:c r="N5" s="11" t="str">
        <x:v>T1 속공 전개
빈도 (%)</x:v>
      </x:c>
      <x:c r="O5" s="11" t="str">
        <x:v>T2 전방 롱패스
빈도 (%)</x:v>
      </x:c>
      <x:c r="P5" s="11" t="str">
        <x:v>T3 와이드 탈압박
빈도 (%)</x:v>
      </x:c>
      <x:c r="Q5" s="11" t="str">
        <x:v>T4 측면 컷백
빈도 (%)</x:v>
      </x:c>
      <x:c r="R5" s="11" t="str">
        <x:v>T5 진로 차단 수비
빈도 (%)</x:v>
      </x:c>
      <x:c r="S5" s="11" t="str">
        <x:v>T6 수신자 봉쇄
빈도 (%)</x:v>
      </x:c>
      <x:c r="T5" s="11" t="str">
        <x:v>T7 전체 공 회수
빈도 (%)</x:v>
      </x:c>
      <x:c r="U5" s="11" t="str">
        <x:v>T8 골문 앞 집결
빈도 (%)</x:v>
      </x:c>
      <x:c r="V5" s="12" t="str">
        <x:v>총 명령 / 분</x:v>
      </x:c>
    </x:row>
    <x:row r="6" ht="22" customHeight="1">
      <x:c r="A6" s="2" t="n">
        <x:v>1</x:v>
      </x:c>
      <x:c r="B6" s="2" t="str">
        <x:v>RED</x:v>
      </x:c>
      <x:c r="C6" s="2" t="str">
        <x:v>0만</x:v>
      </x:c>
      <x:c r="D6" s="2" t="str">
        <x:v>규칙형</x:v>
      </x:c>
      <x:c r="E6" s="14" t="n">
        <x:f>SUM(F6:M6)</x:f>
        <x:v>104</x:v>
      </x:c>
      <x:c r="F6" s="14" t="n">
        <x:v>11</x:v>
      </x:c>
      <x:c r="G6" s="14" t="n">
        <x:v>12</x:v>
      </x:c>
      <x:c r="H6" s="14" t="n">
        <x:v>9</x:v>
      </x:c>
      <x:c r="I6" s="14" t="n">
        <x:v>21</x:v>
      </x:c>
      <x:c r="J6" s="14" t="n">
        <x:v>7</x:v>
      </x:c>
      <x:c r="K6" s="14" t="n">
        <x:v>15</x:v>
      </x:c>
      <x:c r="L6" s="14" t="n">
        <x:v>15</x:v>
      </x:c>
      <x:c r="M6" s="14" t="n">
        <x:v>14</x:v>
      </x:c>
      <x:c r="N6" s="15" t="n">
        <x:f>IF(E6=0,"해당 없음",F6/E6)</x:f>
        <x:v>0.10576923076923077</x:v>
      </x:c>
      <x:c r="O6" s="15" t="n">
        <x:f>IF(E6=0,"해당 없음",G6/E6)</x:f>
        <x:v>0.11538461538461539</x:v>
      </x:c>
      <x:c r="P6" s="15" t="n">
        <x:f>IF(E6=0,"해당 없음",H6/E6)</x:f>
        <x:v>0.08653846153846154</x:v>
      </x:c>
      <x:c r="Q6" s="15" t="n">
        <x:f>IF(E6=0,"해당 없음",I6/E6)</x:f>
        <x:v>0.20192307692307693</x:v>
      </x:c>
      <x:c r="R6" s="15" t="n">
        <x:f>IF(E6=0,"해당 없음",J6/E6)</x:f>
        <x:v>0.0673076923076923</x:v>
      </x:c>
      <x:c r="S6" s="15" t="n">
        <x:f>IF(E6=0,"해당 없음",K6/E6)</x:f>
        <x:v>0.14423076923076922</x:v>
      </x:c>
      <x:c r="T6" s="15" t="n">
        <x:f>IF(E6=0,"해당 없음",L6/E6)</x:f>
        <x:v>0.14423076923076922</x:v>
      </x:c>
      <x:c r="U6" s="15" t="n">
        <x:f>IF(E6=0,"해당 없음",M6/E6)</x:f>
        <x:v>0.1346153846153846</x:v>
      </x:c>
      <x:c r="V6" s="16" t="n">
        <x:f>E6/5</x:f>
        <x:v>20.8</x:v>
      </x:c>
    </x:row>
    <x:row r="7" ht="22" customHeight="1">
      <x:c r="A7" s="2" t="n">
        <x:v>1</x:v>
      </x:c>
      <x:c r="B7" s="2" t="str">
        <x:v>NAVY</x:v>
      </x:c>
      <x:c r="C7" s="2" t="str">
        <x:v>규칙형</x:v>
      </x:c>
      <x:c r="D7" s="2" t="str">
        <x:v>0만</x:v>
      </x:c>
      <x:c r="E7" s="14" t="n">
        <x:f>SUM(F7:M7)</x:f>
        <x:v>102</x:v>
      </x:c>
      <x:c r="F7" s="14" t="n">
        <x:v>47</x:v>
      </x:c>
      <x:c r="G7" s="14" t="n">
        <x:v>11</x:v>
      </x:c>
      <x:c r="H7" s="14" t="n">
        <x:v>9</x:v>
      </x:c>
      <x:c r="I7" s="14" t="n">
        <x:v>16</x:v>
      </x:c>
      <x:c r="J7" s="14" t="n">
        <x:v>6</x:v>
      </x:c>
      <x:c r="K7" s="14" t="n">
        <x:v>1</x:v>
      </x:c>
      <x:c r="L7" s="14" t="n">
        <x:v>10</x:v>
      </x:c>
      <x:c r="M7" s="14" t="n">
        <x:v>2</x:v>
      </x:c>
      <x:c r="N7" s="15" t="n">
        <x:f>IF(E7=0,"해당 없음",F7/E7)</x:f>
        <x:v>0.46078431372549017</x:v>
      </x:c>
      <x:c r="O7" s="15" t="n">
        <x:f>IF(E7=0,"해당 없음",G7/E7)</x:f>
        <x:v>0.10784313725490197</x:v>
      </x:c>
      <x:c r="P7" s="15" t="n">
        <x:f>IF(E7=0,"해당 없음",H7/E7)</x:f>
        <x:v>0.08823529411764706</x:v>
      </x:c>
      <x:c r="Q7" s="15" t="n">
        <x:f>IF(E7=0,"해당 없음",I7/E7)</x:f>
        <x:v>0.1568627450980392</x:v>
      </x:c>
      <x:c r="R7" s="15" t="n">
        <x:f>IF(E7=0,"해당 없음",J7/E7)</x:f>
        <x:v>0.058823529411764705</x:v>
      </x:c>
      <x:c r="S7" s="15" t="n">
        <x:f>IF(E7=0,"해당 없음",K7/E7)</x:f>
        <x:v>0.00980392156862745</x:v>
      </x:c>
      <x:c r="T7" s="15" t="n">
        <x:f>IF(E7=0,"해당 없음",L7/E7)</x:f>
        <x:v>0.09803921568627451</x:v>
      </x:c>
      <x:c r="U7" s="15" t="n">
        <x:f>IF(E7=0,"해당 없음",M7/E7)</x:f>
        <x:v>0.0196078431372549</x:v>
      </x:c>
      <x:c r="V7" s="16" t="n">
        <x:f>E7/5</x:f>
        <x:v>20.4</x:v>
      </x:c>
    </x:row>
    <x:row r="8" ht="22" customHeight="1">
      <x:c r="A8" s="2" t="n">
        <x:v>2</x:v>
      </x:c>
      <x:c r="B8" s="2" t="str">
        <x:v>RED</x:v>
      </x:c>
      <x:c r="C8" s="2" t="str">
        <x:v>규칙형</x:v>
      </x:c>
      <x:c r="D8" s="2" t="str">
        <x:v>0만</x:v>
      </x:c>
      <x:c r="E8" s="14" t="n">
        <x:f>SUM(F8:M8)</x:f>
        <x:v>104</x:v>
      </x:c>
      <x:c r="F8" s="14" t="n">
        <x:v>37</x:v>
      </x:c>
      <x:c r="G8" s="14" t="n">
        <x:v>9</x:v>
      </x:c>
      <x:c r="H8" s="14" t="n">
        <x:v>8</x:v>
      </x:c>
      <x:c r="I8" s="14" t="n">
        <x:v>10</x:v>
      </x:c>
      <x:c r="J8" s="14" t="n">
        <x:v>8</x:v>
      </x:c>
      <x:c r="K8" s="14" t="n">
        <x:v>5</x:v>
      </x:c>
      <x:c r="L8" s="14" t="n">
        <x:v>23</x:v>
      </x:c>
      <x:c r="M8" s="14" t="n">
        <x:v>4</x:v>
      </x:c>
      <x:c r="N8" s="15" t="n">
        <x:f>IF(E8=0,"해당 없음",F8/E8)</x:f>
        <x:v>0.3557692307692308</x:v>
      </x:c>
      <x:c r="O8" s="15" t="n">
        <x:f>IF(E8=0,"해당 없음",G8/E8)</x:f>
        <x:v>0.08653846153846154</x:v>
      </x:c>
      <x:c r="P8" s="15" t="n">
        <x:f>IF(E8=0,"해당 없음",H8/E8)</x:f>
        <x:v>0.07692307692307693</x:v>
      </x:c>
      <x:c r="Q8" s="15" t="n">
        <x:f>IF(E8=0,"해당 없음",I8/E8)</x:f>
        <x:v>0.09615384615384616</x:v>
      </x:c>
      <x:c r="R8" s="15" t="n">
        <x:f>IF(E8=0,"해당 없음",J8/E8)</x:f>
        <x:v>0.07692307692307693</x:v>
      </x:c>
      <x:c r="S8" s="15" t="n">
        <x:f>IF(E8=0,"해당 없음",K8/E8)</x:f>
        <x:v>0.04807692307692308</x:v>
      </x:c>
      <x:c r="T8" s="15" t="n">
        <x:f>IF(E8=0,"해당 없음",L8/E8)</x:f>
        <x:v>0.22115384615384615</x:v>
      </x:c>
      <x:c r="U8" s="15" t="n">
        <x:f>IF(E8=0,"해당 없음",M8/E8)</x:f>
        <x:v>0.038461538461538464</x:v>
      </x:c>
      <x:c r="V8" s="16" t="n">
        <x:f>E8/5</x:f>
        <x:v>20.8</x:v>
      </x:c>
    </x:row>
    <x:row r="9" ht="22" customHeight="1">
      <x:c r="A9" s="2" t="n">
        <x:v>2</x:v>
      </x:c>
      <x:c r="B9" s="2" t="str">
        <x:v>NAVY</x:v>
      </x:c>
      <x:c r="C9" s="2" t="str">
        <x:v>0만</x:v>
      </x:c>
      <x:c r="D9" s="2" t="str">
        <x:v>규칙형</x:v>
      </x:c>
      <x:c r="E9" s="14" t="n">
        <x:f>SUM(F9:M9)</x:f>
        <x:v>104</x:v>
      </x:c>
      <x:c r="F9" s="14" t="n">
        <x:v>11</x:v>
      </x:c>
      <x:c r="G9" s="14" t="n">
        <x:v>12</x:v>
      </x:c>
      <x:c r="H9" s="14" t="n">
        <x:v>9</x:v>
      </x:c>
      <x:c r="I9" s="14" t="n">
        <x:v>21</x:v>
      </x:c>
      <x:c r="J9" s="14" t="n">
        <x:v>8</x:v>
      </x:c>
      <x:c r="K9" s="14" t="n">
        <x:v>14</x:v>
      </x:c>
      <x:c r="L9" s="14" t="n">
        <x:v>15</x:v>
      </x:c>
      <x:c r="M9" s="14" t="n">
        <x:v>14</x:v>
      </x:c>
      <x:c r="N9" s="15" t="n">
        <x:f>IF(E9=0,"해당 없음",F9/E9)</x:f>
        <x:v>0.10576923076923077</x:v>
      </x:c>
      <x:c r="O9" s="15" t="n">
        <x:f>IF(E9=0,"해당 없음",G9/E9)</x:f>
        <x:v>0.11538461538461539</x:v>
      </x:c>
      <x:c r="P9" s="15" t="n">
        <x:f>IF(E9=0,"해당 없음",H9/E9)</x:f>
        <x:v>0.08653846153846154</x:v>
      </x:c>
      <x:c r="Q9" s="15" t="n">
        <x:f>IF(E9=0,"해당 없음",I9/E9)</x:f>
        <x:v>0.20192307692307693</x:v>
      </x:c>
      <x:c r="R9" s="15" t="n">
        <x:f>IF(E9=0,"해당 없음",J9/E9)</x:f>
        <x:v>0.07692307692307693</x:v>
      </x:c>
      <x:c r="S9" s="15" t="n">
        <x:f>IF(E9=0,"해당 없음",K9/E9)</x:f>
        <x:v>0.1346153846153846</x:v>
      </x:c>
      <x:c r="T9" s="15" t="n">
        <x:f>IF(E9=0,"해당 없음",L9/E9)</x:f>
        <x:v>0.14423076923076922</x:v>
      </x:c>
      <x:c r="U9" s="15" t="n">
        <x:f>IF(E9=0,"해당 없음",M9/E9)</x:f>
        <x:v>0.1346153846153846</x:v>
      </x:c>
      <x:c r="V9" s="16" t="n">
        <x:f>E9/5</x:f>
        <x:v>20.8</x:v>
      </x:c>
    </x:row>
    <x:row r="10" ht="22" customHeight="1">
      <x:c r="A10" s="2" t="n">
        <x:v>3</x:v>
      </x:c>
      <x:c r="B10" s="2" t="str">
        <x:v>RED</x:v>
      </x:c>
      <x:c r="C10" s="2" t="str">
        <x:v>0만</x:v>
      </x:c>
      <x:c r="D10" s="2" t="str">
        <x:v>규칙형</x:v>
      </x:c>
      <x:c r="E10" s="14" t="n">
        <x:f>SUM(F10:M10)</x:f>
        <x:v>105</x:v>
      </x:c>
      <x:c r="F10" s="14" t="n">
        <x:v>12</x:v>
      </x:c>
      <x:c r="G10" s="14" t="n">
        <x:v>18</x:v>
      </x:c>
      <x:c r="H10" s="14" t="n">
        <x:v>17</x:v>
      </x:c>
      <x:c r="I10" s="14" t="n">
        <x:v>13</x:v>
      </x:c>
      <x:c r="J10" s="14" t="n">
        <x:v>11</x:v>
      </x:c>
      <x:c r="K10" s="14" t="n">
        <x:v>15</x:v>
      </x:c>
      <x:c r="L10" s="14" t="n">
        <x:v>8</x:v>
      </x:c>
      <x:c r="M10" s="14" t="n">
        <x:v>11</x:v>
      </x:c>
      <x:c r="N10" s="15" t="n">
        <x:f>IF(E10=0,"해당 없음",F10/E10)</x:f>
        <x:v>0.11428571428571428</x:v>
      </x:c>
      <x:c r="O10" s="15" t="n">
        <x:f>IF(E10=0,"해당 없음",G10/E10)</x:f>
        <x:v>0.17142857142857143</x:v>
      </x:c>
      <x:c r="P10" s="15" t="n">
        <x:f>IF(E10=0,"해당 없음",H10/E10)</x:f>
        <x:v>0.1619047619047619</x:v>
      </x:c>
      <x:c r="Q10" s="15" t="n">
        <x:f>IF(E10=0,"해당 없음",I10/E10)</x:f>
        <x:v>0.12380952380952381</x:v>
      </x:c>
      <x:c r="R10" s="15" t="n">
        <x:f>IF(E10=0,"해당 없음",J10/E10)</x:f>
        <x:v>0.10476190476190476</x:v>
      </x:c>
      <x:c r="S10" s="15" t="n">
        <x:f>IF(E10=0,"해당 없음",K10/E10)</x:f>
        <x:v>0.14285714285714285</x:v>
      </x:c>
      <x:c r="T10" s="15" t="n">
        <x:f>IF(E10=0,"해당 없음",L10/E10)</x:f>
        <x:v>0.0761904761904762</x:v>
      </x:c>
      <x:c r="U10" s="15" t="n">
        <x:f>IF(E10=0,"해당 없음",M10/E10)</x:f>
        <x:v>0.10476190476190476</x:v>
      </x:c>
      <x:c r="V10" s="16" t="n">
        <x:f>E10/5</x:f>
        <x:v>21</x:v>
      </x:c>
    </x:row>
    <x:row r="11" ht="22" customHeight="1">
      <x:c r="A11" s="2" t="n">
        <x:v>3</x:v>
      </x:c>
      <x:c r="B11" s="2" t="str">
        <x:v>NAVY</x:v>
      </x:c>
      <x:c r="C11" s="2" t="str">
        <x:v>규칙형</x:v>
      </x:c>
      <x:c r="D11" s="2" t="str">
        <x:v>0만</x:v>
      </x:c>
      <x:c r="E11" s="14" t="n">
        <x:f>SUM(F11:M11)</x:f>
        <x:v>104</x:v>
      </x:c>
      <x:c r="F11" s="14" t="n">
        <x:v>41</x:v>
      </x:c>
      <x:c r="G11" s="14" t="n">
        <x:v>3</x:v>
      </x:c>
      <x:c r="H11" s="14" t="n">
        <x:v>9</x:v>
      </x:c>
      <x:c r="I11" s="14" t="n">
        <x:v>25</x:v>
      </x:c>
      <x:c r="J11" s="14" t="n">
        <x:v>5</x:v>
      </x:c>
      <x:c r="K11" s="14" t="n">
        <x:v>5</x:v>
      </x:c>
      <x:c r="L11" s="14" t="n">
        <x:v>11</x:v>
      </x:c>
      <x:c r="M11" s="14" t="n">
        <x:v>5</x:v>
      </x:c>
      <x:c r="N11" s="15" t="n">
        <x:f>IF(E11=0,"해당 없음",F11/E11)</x:f>
        <x:v>0.3942307692307692</x:v>
      </x:c>
      <x:c r="O11" s="15" t="n">
        <x:f>IF(E11=0,"해당 없음",G11/E11)</x:f>
        <x:v>0.028846153846153848</x:v>
      </x:c>
      <x:c r="P11" s="15" t="n">
        <x:f>IF(E11=0,"해당 없음",H11/E11)</x:f>
        <x:v>0.08653846153846154</x:v>
      </x:c>
      <x:c r="Q11" s="15" t="n">
        <x:f>IF(E11=0,"해당 없음",I11/E11)</x:f>
        <x:v>0.2403846153846154</x:v>
      </x:c>
      <x:c r="R11" s="15" t="n">
        <x:f>IF(E11=0,"해당 없음",J11/E11)</x:f>
        <x:v>0.04807692307692308</x:v>
      </x:c>
      <x:c r="S11" s="15" t="n">
        <x:f>IF(E11=0,"해당 없음",K11/E11)</x:f>
        <x:v>0.04807692307692308</x:v>
      </x:c>
      <x:c r="T11" s="15" t="n">
        <x:f>IF(E11=0,"해당 없음",L11/E11)</x:f>
        <x:v>0.10576923076923077</x:v>
      </x:c>
      <x:c r="U11" s="15" t="n">
        <x:f>IF(E11=0,"해당 없음",M11/E11)</x:f>
        <x:v>0.04807692307692308</x:v>
      </x:c>
      <x:c r="V11" s="16" t="n">
        <x:f>E11/5</x:f>
        <x:v>20.8</x:v>
      </x:c>
    </x:row>
    <x:row r="12" ht="22" customHeight="1">
      <x:c r="A12" s="2" t="n">
        <x:v>4</x:v>
      </x:c>
      <x:c r="B12" s="2" t="str">
        <x:v>RED</x:v>
      </x:c>
      <x:c r="C12" s="2" t="str">
        <x:v>규칙형</x:v>
      </x:c>
      <x:c r="D12" s="2" t="str">
        <x:v>0만</x:v>
      </x:c>
      <x:c r="E12" s="14" t="n">
        <x:f>SUM(F12:M12)</x:f>
        <x:v>102</x:v>
      </x:c>
      <x:c r="F12" s="14" t="n">
        <x:v>50</x:v>
      </x:c>
      <x:c r="G12" s="14" t="n">
        <x:v>2</x:v>
      </x:c>
      <x:c r="H12" s="14" t="n">
        <x:v>5</x:v>
      </x:c>
      <x:c r="I12" s="14" t="n">
        <x:v>14</x:v>
      </x:c>
      <x:c r="J12" s="14" t="n">
        <x:v>3</x:v>
      </x:c>
      <x:c r="K12" s="14" t="n">
        <x:v>4</x:v>
      </x:c>
      <x:c r="L12" s="14" t="n">
        <x:v>18</x:v>
      </x:c>
      <x:c r="M12" s="14" t="n">
        <x:v>6</x:v>
      </x:c>
      <x:c r="N12" s="15" t="n">
        <x:f>IF(E12=0,"해당 없음",F12/E12)</x:f>
        <x:v>0.49019607843137253</x:v>
      </x:c>
      <x:c r="O12" s="15" t="n">
        <x:f>IF(E12=0,"해당 없음",G12/E12)</x:f>
        <x:v>0.0196078431372549</x:v>
      </x:c>
      <x:c r="P12" s="15" t="n">
        <x:f>IF(E12=0,"해당 없음",H12/E12)</x:f>
        <x:v>0.049019607843137254</x:v>
      </x:c>
      <x:c r="Q12" s="15" t="n">
        <x:f>IF(E12=0,"해당 없음",I12/E12)</x:f>
        <x:v>0.13725490196078433</x:v>
      </x:c>
      <x:c r="R12" s="15" t="n">
        <x:f>IF(E12=0,"해당 없음",J12/E12)</x:f>
        <x:v>0.029411764705882353</x:v>
      </x:c>
      <x:c r="S12" s="15" t="n">
        <x:f>IF(E12=0,"해당 없음",K12/E12)</x:f>
        <x:v>0.0392156862745098</x:v>
      </x:c>
      <x:c r="T12" s="15" t="n">
        <x:f>IF(E12=0,"해당 없음",L12/E12)</x:f>
        <x:v>0.17647058823529413</x:v>
      </x:c>
      <x:c r="U12" s="15" t="n">
        <x:f>IF(E12=0,"해당 없음",M12/E12)</x:f>
        <x:v>0.058823529411764705</x:v>
      </x:c>
      <x:c r="V12" s="16" t="n">
        <x:f>E12/5</x:f>
        <x:v>20.4</x:v>
      </x:c>
    </x:row>
    <x:row r="13" ht="22" customHeight="1">
      <x:c r="A13" s="2" t="n">
        <x:v>4</x:v>
      </x:c>
      <x:c r="B13" s="2" t="str">
        <x:v>NAVY</x:v>
      </x:c>
      <x:c r="C13" s="2" t="str">
        <x:v>0만</x:v>
      </x:c>
      <x:c r="D13" s="2" t="str">
        <x:v>규칙형</x:v>
      </x:c>
      <x:c r="E13" s="14" t="n">
        <x:f>SUM(F13:M13)</x:f>
        <x:v>103</x:v>
      </x:c>
      <x:c r="F13" s="14" t="n">
        <x:v>12</x:v>
      </x:c>
      <x:c r="G13" s="14" t="n">
        <x:v>17</x:v>
      </x:c>
      <x:c r="H13" s="14" t="n">
        <x:v>17</x:v>
      </x:c>
      <x:c r="I13" s="14" t="n">
        <x:v>14</x:v>
      </x:c>
      <x:c r="J13" s="14" t="n">
        <x:v>10</x:v>
      </x:c>
      <x:c r="K13" s="14" t="n">
        <x:v>14</x:v>
      </x:c>
      <x:c r="L13" s="14" t="n">
        <x:v>7</x:v>
      </x:c>
      <x:c r="M13" s="14" t="n">
        <x:v>12</x:v>
      </x:c>
      <x:c r="N13" s="15" t="n">
        <x:f>IF(E13=0,"해당 없음",F13/E13)</x:f>
        <x:v>0.11650485436893204</x:v>
      </x:c>
      <x:c r="O13" s="15" t="n">
        <x:f>IF(E13=0,"해당 없음",G13/E13)</x:f>
        <x:v>0.1650485436893204</x:v>
      </x:c>
      <x:c r="P13" s="15" t="n">
        <x:f>IF(E13=0,"해당 없음",H13/E13)</x:f>
        <x:v>0.1650485436893204</x:v>
      </x:c>
      <x:c r="Q13" s="15" t="n">
        <x:f>IF(E13=0,"해당 없음",I13/E13)</x:f>
        <x:v>0.13592233009708737</x:v>
      </x:c>
      <x:c r="R13" s="15" t="n">
        <x:f>IF(E13=0,"해당 없음",J13/E13)</x:f>
        <x:v>0.0970873786407767</x:v>
      </x:c>
      <x:c r="S13" s="15" t="n">
        <x:f>IF(E13=0,"해당 없음",K13/E13)</x:f>
        <x:v>0.13592233009708737</x:v>
      </x:c>
      <x:c r="T13" s="15" t="n">
        <x:f>IF(E13=0,"해당 없음",L13/E13)</x:f>
        <x:v>0.06796116504854369</x:v>
      </x:c>
      <x:c r="U13" s="15" t="n">
        <x:f>IF(E13=0,"해당 없음",M13/E13)</x:f>
        <x:v>0.11650485436893204</x:v>
      </x:c>
      <x:c r="V13" s="16" t="n">
        <x:f>E13/5</x:f>
        <x:v>20.6</x:v>
      </x:c>
    </x:row>
    <x:row r="14" ht="22" customHeight="1">
      <x:c r="A14" s="2" t="n">
        <x:v>5</x:v>
      </x:c>
      <x:c r="B14" s="2" t="str">
        <x:v>RED</x:v>
      </x:c>
      <x:c r="C14" s="2" t="str">
        <x:v>0만</x:v>
      </x:c>
      <x:c r="D14" s="2" t="str">
        <x:v>규칙형</x:v>
      </x:c>
      <x:c r="E14" s="14" t="n">
        <x:f>SUM(F14:M14)</x:f>
        <x:v>104</x:v>
      </x:c>
      <x:c r="F14" s="14" t="n">
        <x:v>11</x:v>
      </x:c>
      <x:c r="G14" s="14" t="n">
        <x:v>17</x:v>
      </x:c>
      <x:c r="H14" s="14" t="n">
        <x:v>15</x:v>
      </x:c>
      <x:c r="I14" s="14" t="n">
        <x:v>17</x:v>
      </x:c>
      <x:c r="J14" s="14" t="n">
        <x:v>14</x:v>
      </x:c>
      <x:c r="K14" s="14" t="n">
        <x:v>10</x:v>
      </x:c>
      <x:c r="L14" s="14" t="n">
        <x:v>12</x:v>
      </x:c>
      <x:c r="M14" s="14" t="n">
        <x:v>8</x:v>
      </x:c>
      <x:c r="N14" s="15" t="n">
        <x:f>IF(E14=0,"해당 없음",F14/E14)</x:f>
        <x:v>0.10576923076923077</x:v>
      </x:c>
      <x:c r="O14" s="15" t="n">
        <x:f>IF(E14=0,"해당 없음",G14/E14)</x:f>
        <x:v>0.16346153846153846</x:v>
      </x:c>
      <x:c r="P14" s="15" t="n">
        <x:f>IF(E14=0,"해당 없음",H14/E14)</x:f>
        <x:v>0.14423076923076922</x:v>
      </x:c>
      <x:c r="Q14" s="15" t="n">
        <x:f>IF(E14=0,"해당 없음",I14/E14)</x:f>
        <x:v>0.16346153846153846</x:v>
      </x:c>
      <x:c r="R14" s="15" t="n">
        <x:f>IF(E14=0,"해당 없음",J14/E14)</x:f>
        <x:v>0.1346153846153846</x:v>
      </x:c>
      <x:c r="S14" s="15" t="n">
        <x:f>IF(E14=0,"해당 없음",K14/E14)</x:f>
        <x:v>0.09615384615384616</x:v>
      </x:c>
      <x:c r="T14" s="15" t="n">
        <x:f>IF(E14=0,"해당 없음",L14/E14)</x:f>
        <x:v>0.11538461538461539</x:v>
      </x:c>
      <x:c r="U14" s="15" t="n">
        <x:f>IF(E14=0,"해당 없음",M14/E14)</x:f>
        <x:v>0.07692307692307693</x:v>
      </x:c>
      <x:c r="V14" s="16" t="n">
        <x:f>E14/5</x:f>
        <x:v>20.8</x:v>
      </x:c>
    </x:row>
    <x:row r="15" ht="22" customHeight="1">
      <x:c r="A15" s="2" t="n">
        <x:v>5</x:v>
      </x:c>
      <x:c r="B15" s="2" t="str">
        <x:v>NAVY</x:v>
      </x:c>
      <x:c r="C15" s="2" t="str">
        <x:v>규칙형</x:v>
      </x:c>
      <x:c r="D15" s="2" t="str">
        <x:v>0만</x:v>
      </x:c>
      <x:c r="E15" s="14" t="n">
        <x:f>SUM(F15:M15)</x:f>
        <x:v>102</x:v>
      </x:c>
      <x:c r="F15" s="14" t="n">
        <x:v>34</x:v>
      </x:c>
      <x:c r="G15" s="14" t="n">
        <x:v>5</x:v>
      </x:c>
      <x:c r="H15" s="14" t="n">
        <x:v>6</x:v>
      </x:c>
      <x:c r="I15" s="14" t="n">
        <x:v>21</x:v>
      </x:c>
      <x:c r="J15" s="14" t="n">
        <x:v>9</x:v>
      </x:c>
      <x:c r="K15" s="14" t="n">
        <x:v>6</x:v>
      </x:c>
      <x:c r="L15" s="14" t="n">
        <x:v>17</x:v>
      </x:c>
      <x:c r="M15" s="14" t="n">
        <x:v>4</x:v>
      </x:c>
      <x:c r="N15" s="15" t="n">
        <x:f>IF(E15=0,"해당 없음",F15/E15)</x:f>
        <x:v>0.3333333333333333</x:v>
      </x:c>
      <x:c r="O15" s="15" t="n">
        <x:f>IF(E15=0,"해당 없음",G15/E15)</x:f>
        <x:v>0.049019607843137254</x:v>
      </x:c>
      <x:c r="P15" s="15" t="n">
        <x:f>IF(E15=0,"해당 없음",H15/E15)</x:f>
        <x:v>0.058823529411764705</x:v>
      </x:c>
      <x:c r="Q15" s="15" t="n">
        <x:f>IF(E15=0,"해당 없음",I15/E15)</x:f>
        <x:v>0.20588235294117646</x:v>
      </x:c>
      <x:c r="R15" s="15" t="n">
        <x:f>IF(E15=0,"해당 없음",J15/E15)</x:f>
        <x:v>0.08823529411764706</x:v>
      </x:c>
      <x:c r="S15" s="15" t="n">
        <x:f>IF(E15=0,"해당 없음",K15/E15)</x:f>
        <x:v>0.058823529411764705</x:v>
      </x:c>
      <x:c r="T15" s="15" t="n">
        <x:f>IF(E15=0,"해당 없음",L15/E15)</x:f>
        <x:v>0.16666666666666666</x:v>
      </x:c>
      <x:c r="U15" s="15" t="n">
        <x:f>IF(E15=0,"해당 없음",M15/E15)</x:f>
        <x:v>0.0392156862745098</x:v>
      </x:c>
      <x:c r="V15" s="16" t="n">
        <x:f>E15/5</x:f>
        <x:v>20.4</x:v>
      </x:c>
    </x:row>
    <x:row r="16" ht="22" customHeight="1">
      <x:c r="A16" s="2" t="n">
        <x:v>6</x:v>
      </x:c>
      <x:c r="B16" s="2" t="str">
        <x:v>RED</x:v>
      </x:c>
      <x:c r="C16" s="2" t="str">
        <x:v>규칙형</x:v>
      </x:c>
      <x:c r="D16" s="2" t="str">
        <x:v>0만</x:v>
      </x:c>
      <x:c r="E16" s="14" t="n">
        <x:f>SUM(F16:M16)</x:f>
        <x:v>104</x:v>
      </x:c>
      <x:c r="F16" s="14" t="n">
        <x:v>42</x:v>
      </x:c>
      <x:c r="G16" s="14" t="n">
        <x:v>4</x:v>
      </x:c>
      <x:c r="H16" s="14" t="n">
        <x:v>6</x:v>
      </x:c>
      <x:c r="I16" s="14" t="n">
        <x:v>23</x:v>
      </x:c>
      <x:c r="J16" s="14" t="n">
        <x:v>5</x:v>
      </x:c>
      <x:c r="K16" s="14" t="n">
        <x:v>4</x:v>
      </x:c>
      <x:c r="L16" s="14" t="n">
        <x:v>18</x:v>
      </x:c>
      <x:c r="M16" s="14" t="n">
        <x:v>2</x:v>
      </x:c>
      <x:c r="N16" s="15" t="n">
        <x:f>IF(E16=0,"해당 없음",F16/E16)</x:f>
        <x:v>0.40384615384615385</x:v>
      </x:c>
      <x:c r="O16" s="15" t="n">
        <x:f>IF(E16=0,"해당 없음",G16/E16)</x:f>
        <x:v>0.038461538461538464</x:v>
      </x:c>
      <x:c r="P16" s="15" t="n">
        <x:f>IF(E16=0,"해당 없음",H16/E16)</x:f>
        <x:v>0.057692307692307696</x:v>
      </x:c>
      <x:c r="Q16" s="15" t="n">
        <x:f>IF(E16=0,"해당 없음",I16/E16)</x:f>
        <x:v>0.22115384615384615</x:v>
      </x:c>
      <x:c r="R16" s="15" t="n">
        <x:f>IF(E16=0,"해당 없음",J16/E16)</x:f>
        <x:v>0.04807692307692308</x:v>
      </x:c>
      <x:c r="S16" s="15" t="n">
        <x:f>IF(E16=0,"해당 없음",K16/E16)</x:f>
        <x:v>0.038461538461538464</x:v>
      </x:c>
      <x:c r="T16" s="15" t="n">
        <x:f>IF(E16=0,"해당 없음",L16/E16)</x:f>
        <x:v>0.17307692307692307</x:v>
      </x:c>
      <x:c r="U16" s="15" t="n">
        <x:f>IF(E16=0,"해당 없음",M16/E16)</x:f>
        <x:v>0.019230769230769232</x:v>
      </x:c>
      <x:c r="V16" s="16" t="n">
        <x:f>E16/5</x:f>
        <x:v>20.8</x:v>
      </x:c>
    </x:row>
    <x:row r="17" ht="22" customHeight="1">
      <x:c r="A17" s="2" t="n">
        <x:v>6</x:v>
      </x:c>
      <x:c r="B17" s="2" t="str">
        <x:v>NAVY</x:v>
      </x:c>
      <x:c r="C17" s="2" t="str">
        <x:v>0만</x:v>
      </x:c>
      <x:c r="D17" s="2" t="str">
        <x:v>규칙형</x:v>
      </x:c>
      <x:c r="E17" s="14" t="n">
        <x:f>SUM(F17:M17)</x:f>
        <x:v>102</x:v>
      </x:c>
      <x:c r="F17" s="14" t="n">
        <x:v>10</x:v>
      </x:c>
      <x:c r="G17" s="14" t="n">
        <x:v>17</x:v>
      </x:c>
      <x:c r="H17" s="14" t="n">
        <x:v>15</x:v>
      </x:c>
      <x:c r="I17" s="14" t="n">
        <x:v>17</x:v>
      </x:c>
      <x:c r="J17" s="14" t="n">
        <x:v>13</x:v>
      </x:c>
      <x:c r="K17" s="14" t="n">
        <x:v>10</x:v>
      </x:c>
      <x:c r="L17" s="14" t="n">
        <x:v>12</x:v>
      </x:c>
      <x:c r="M17" s="14" t="n">
        <x:v>8</x:v>
      </x:c>
      <x:c r="N17" s="15" t="n">
        <x:f>IF(E17=0,"해당 없음",F17/E17)</x:f>
        <x:v>0.09803921568627451</x:v>
      </x:c>
      <x:c r="O17" s="15" t="n">
        <x:f>IF(E17=0,"해당 없음",G17/E17)</x:f>
        <x:v>0.16666666666666666</x:v>
      </x:c>
      <x:c r="P17" s="15" t="n">
        <x:f>IF(E17=0,"해당 없음",H17/E17)</x:f>
        <x:v>0.14705882352941177</x:v>
      </x:c>
      <x:c r="Q17" s="15" t="n">
        <x:f>IF(E17=0,"해당 없음",I17/E17)</x:f>
        <x:v>0.16666666666666666</x:v>
      </x:c>
      <x:c r="R17" s="15" t="n">
        <x:f>IF(E17=0,"해당 없음",J17/E17)</x:f>
        <x:v>0.12745098039215685</x:v>
      </x:c>
      <x:c r="S17" s="15" t="n">
        <x:f>IF(E17=0,"해당 없음",K17/E17)</x:f>
        <x:v>0.09803921568627451</x:v>
      </x:c>
      <x:c r="T17" s="15" t="n">
        <x:f>IF(E17=0,"해당 없음",L17/E17)</x:f>
        <x:v>0.11764705882352941</x:v>
      </x:c>
      <x:c r="U17" s="15" t="n">
        <x:f>IF(E17=0,"해당 없음",M17/E17)</x:f>
        <x:v>0.0784313725490196</x:v>
      </x:c>
      <x:c r="V17" s="16" t="n">
        <x:f>E17/5</x:f>
        <x:v>20.4</x:v>
      </x:c>
    </x:row>
    <x:row r="18" ht="22" customHeight="1">
      <x:c r="A18" s="2" t="n">
        <x:v>7</x:v>
      </x:c>
      <x:c r="B18" s="2" t="str">
        <x:v>RED</x:v>
      </x:c>
      <x:c r="C18" s="2" t="str">
        <x:v>0만</x:v>
      </x:c>
      <x:c r="D18" s="2" t="str">
        <x:v>규칙형</x:v>
      </x:c>
      <x:c r="E18" s="14" t="n">
        <x:f>SUM(F18:M18)</x:f>
        <x:v>103</x:v>
      </x:c>
      <x:c r="F18" s="14" t="n">
        <x:v>8</x:v>
      </x:c>
      <x:c r="G18" s="14" t="n">
        <x:v>12</x:v>
      </x:c>
      <x:c r="H18" s="14" t="n">
        <x:v>17</x:v>
      </x:c>
      <x:c r="I18" s="14" t="n">
        <x:v>17</x:v>
      </x:c>
      <x:c r="J18" s="14" t="n">
        <x:v>10</x:v>
      </x:c>
      <x:c r="K18" s="14" t="n">
        <x:v>18</x:v>
      </x:c>
      <x:c r="L18" s="14" t="n">
        <x:v>8</x:v>
      </x:c>
      <x:c r="M18" s="14" t="n">
        <x:v>13</x:v>
      </x:c>
      <x:c r="N18" s="15" t="n">
        <x:f>IF(E18=0,"해당 없음",F18/E18)</x:f>
        <x:v>0.07766990291262135</x:v>
      </x:c>
      <x:c r="O18" s="15" t="n">
        <x:f>IF(E18=0,"해당 없음",G18/E18)</x:f>
        <x:v>0.11650485436893204</x:v>
      </x:c>
      <x:c r="P18" s="15" t="n">
        <x:f>IF(E18=0,"해당 없음",H18/E18)</x:f>
        <x:v>0.1650485436893204</x:v>
      </x:c>
      <x:c r="Q18" s="15" t="n">
        <x:f>IF(E18=0,"해당 없음",I18/E18)</x:f>
        <x:v>0.1650485436893204</x:v>
      </x:c>
      <x:c r="R18" s="15" t="n">
        <x:f>IF(E18=0,"해당 없음",J18/E18)</x:f>
        <x:v>0.0970873786407767</x:v>
      </x:c>
      <x:c r="S18" s="15" t="n">
        <x:f>IF(E18=0,"해당 없음",K18/E18)</x:f>
        <x:v>0.17475728155339806</x:v>
      </x:c>
      <x:c r="T18" s="15" t="n">
        <x:f>IF(E18=0,"해당 없음",L18/E18)</x:f>
        <x:v>0.07766990291262135</x:v>
      </x:c>
      <x:c r="U18" s="15" t="n">
        <x:f>IF(E18=0,"해당 없음",M18/E18)</x:f>
        <x:v>0.1262135922330097</x:v>
      </x:c>
      <x:c r="V18" s="16" t="n">
        <x:f>E18/5</x:f>
        <x:v>20.6</x:v>
      </x:c>
    </x:row>
    <x:row r="19" ht="22" customHeight="1">
      <x:c r="A19" s="2" t="n">
        <x:v>7</x:v>
      </x:c>
      <x:c r="B19" s="2" t="str">
        <x:v>NAVY</x:v>
      </x:c>
      <x:c r="C19" s="2" t="str">
        <x:v>규칙형</x:v>
      </x:c>
      <x:c r="D19" s="2" t="str">
        <x:v>0만</x:v>
      </x:c>
      <x:c r="E19" s="14" t="n">
        <x:f>SUM(F19:M19)</x:f>
        <x:v>102</x:v>
      </x:c>
      <x:c r="F19" s="14" t="n">
        <x:v>36</x:v>
      </x:c>
      <x:c r="G19" s="14" t="n">
        <x:v>3</x:v>
      </x:c>
      <x:c r="H19" s="14" t="n">
        <x:v>4</x:v>
      </x:c>
      <x:c r="I19" s="14" t="n">
        <x:v>17</x:v>
      </x:c>
      <x:c r="J19" s="14" t="n">
        <x:v>9</x:v>
      </x:c>
      <x:c r="K19" s="14" t="n">
        <x:v>5</x:v>
      </x:c>
      <x:c r="L19" s="14" t="n">
        <x:v>25</x:v>
      </x:c>
      <x:c r="M19" s="14" t="n">
        <x:v>3</x:v>
      </x:c>
      <x:c r="N19" s="15" t="n">
        <x:f>IF(E19=0,"해당 없음",F19/E19)</x:f>
        <x:v>0.35294117647058826</x:v>
      </x:c>
      <x:c r="O19" s="15" t="n">
        <x:f>IF(E19=0,"해당 없음",G19/E19)</x:f>
        <x:v>0.029411764705882353</x:v>
      </x:c>
      <x:c r="P19" s="15" t="n">
        <x:f>IF(E19=0,"해당 없음",H19/E19)</x:f>
        <x:v>0.0392156862745098</x:v>
      </x:c>
      <x:c r="Q19" s="15" t="n">
        <x:f>IF(E19=0,"해당 없음",I19/E19)</x:f>
        <x:v>0.16666666666666666</x:v>
      </x:c>
      <x:c r="R19" s="15" t="n">
        <x:f>IF(E19=0,"해당 없음",J19/E19)</x:f>
        <x:v>0.08823529411764706</x:v>
      </x:c>
      <x:c r="S19" s="15" t="n">
        <x:f>IF(E19=0,"해당 없음",K19/E19)</x:f>
        <x:v>0.049019607843137254</x:v>
      </x:c>
      <x:c r="T19" s="15" t="n">
        <x:f>IF(E19=0,"해당 없음",L19/E19)</x:f>
        <x:v>0.24509803921568626</x:v>
      </x:c>
      <x:c r="U19" s="15" t="n">
        <x:f>IF(E19=0,"해당 없음",M19/E19)</x:f>
        <x:v>0.029411764705882353</x:v>
      </x:c>
      <x:c r="V19" s="16" t="n">
        <x:f>E19/5</x:f>
        <x:v>20.4</x:v>
      </x:c>
    </x:row>
    <x:row r="20" ht="22" customHeight="1">
      <x:c r="A20" s="2" t="n">
        <x:v>8</x:v>
      </x:c>
      <x:c r="B20" s="2" t="str">
        <x:v>RED</x:v>
      </x:c>
      <x:c r="C20" s="2" t="str">
        <x:v>규칙형</x:v>
      </x:c>
      <x:c r="D20" s="2" t="str">
        <x:v>0만</x:v>
      </x:c>
      <x:c r="E20" s="14" t="n">
        <x:f>SUM(F20:M20)</x:f>
        <x:v>103</x:v>
      </x:c>
      <x:c r="F20" s="14" t="n">
        <x:v>41</x:v>
      </x:c>
      <x:c r="G20" s="14" t="n">
        <x:v>5</x:v>
      </x:c>
      <x:c r="H20" s="14" t="n">
        <x:v>8</x:v>
      </x:c>
      <x:c r="I20" s="14" t="n">
        <x:v>16</x:v>
      </x:c>
      <x:c r="J20" s="14" t="n">
        <x:v>7</x:v>
      </x:c>
      <x:c r="K20" s="14" t="n">
        <x:v>3</x:v>
      </x:c>
      <x:c r="L20" s="14" t="n">
        <x:v>18</x:v>
      </x:c>
      <x:c r="M20" s="14" t="n">
        <x:v>5</x:v>
      </x:c>
      <x:c r="N20" s="15" t="n">
        <x:f>IF(E20=0,"해당 없음",F20/E20)</x:f>
        <x:v>0.39805825242718446</x:v>
      </x:c>
      <x:c r="O20" s="15" t="n">
        <x:f>IF(E20=0,"해당 없음",G20/E20)</x:f>
        <x:v>0.04854368932038835</x:v>
      </x:c>
      <x:c r="P20" s="15" t="n">
        <x:f>IF(E20=0,"해당 없음",H20/E20)</x:f>
        <x:v>0.07766990291262135</x:v>
      </x:c>
      <x:c r="Q20" s="15" t="n">
        <x:f>IF(E20=0,"해당 없음",I20/E20)</x:f>
        <x:v>0.1553398058252427</x:v>
      </x:c>
      <x:c r="R20" s="15" t="n">
        <x:f>IF(E20=0,"해당 없음",J20/E20)</x:f>
        <x:v>0.06796116504854369</x:v>
      </x:c>
      <x:c r="S20" s="15" t="n">
        <x:f>IF(E20=0,"해당 없음",K20/E20)</x:f>
        <x:v>0.02912621359223301</x:v>
      </x:c>
      <x:c r="T20" s="15" t="n">
        <x:f>IF(E20=0,"해당 없음",L20/E20)</x:f>
        <x:v>0.17475728155339806</x:v>
      </x:c>
      <x:c r="U20" s="15" t="n">
        <x:f>IF(E20=0,"해당 없음",M20/E20)</x:f>
        <x:v>0.04854368932038835</x:v>
      </x:c>
      <x:c r="V20" s="16" t="n">
        <x:f>E20/5</x:f>
        <x:v>20.6</x:v>
      </x:c>
    </x:row>
    <x:row r="21" ht="22" customHeight="1">
      <x:c r="A21" s="2" t="n">
        <x:v>8</x:v>
      </x:c>
      <x:c r="B21" s="2" t="str">
        <x:v>NAVY</x:v>
      </x:c>
      <x:c r="C21" s="2" t="str">
        <x:v>0만</x:v>
      </x:c>
      <x:c r="D21" s="2" t="str">
        <x:v>규칙형</x:v>
      </x:c>
      <x:c r="E21" s="14" t="n">
        <x:f>SUM(F21:M21)</x:f>
        <x:v>102</x:v>
      </x:c>
      <x:c r="F21" s="14" t="n">
        <x:v>8</x:v>
      </x:c>
      <x:c r="G21" s="14" t="n">
        <x:v>13</x:v>
      </x:c>
      <x:c r="H21" s="14" t="n">
        <x:v>16</x:v>
      </x:c>
      <x:c r="I21" s="14" t="n">
        <x:v>17</x:v>
      </x:c>
      <x:c r="J21" s="14" t="n">
        <x:v>9</x:v>
      </x:c>
      <x:c r="K21" s="14" t="n">
        <x:v>18</x:v>
      </x:c>
      <x:c r="L21" s="14" t="n">
        <x:v>8</x:v>
      </x:c>
      <x:c r="M21" s="14" t="n">
        <x:v>13</x:v>
      </x:c>
      <x:c r="N21" s="15" t="n">
        <x:f>IF(E21=0,"해당 없음",F21/E21)</x:f>
        <x:v>0.0784313725490196</x:v>
      </x:c>
      <x:c r="O21" s="15" t="n">
        <x:f>IF(E21=0,"해당 없음",G21/E21)</x:f>
        <x:v>0.12745098039215685</x:v>
      </x:c>
      <x:c r="P21" s="15" t="n">
        <x:f>IF(E21=0,"해당 없음",H21/E21)</x:f>
        <x:v>0.1568627450980392</x:v>
      </x:c>
      <x:c r="Q21" s="15" t="n">
        <x:f>IF(E21=0,"해당 없음",I21/E21)</x:f>
        <x:v>0.16666666666666666</x:v>
      </x:c>
      <x:c r="R21" s="15" t="n">
        <x:f>IF(E21=0,"해당 없음",J21/E21)</x:f>
        <x:v>0.08823529411764706</x:v>
      </x:c>
      <x:c r="S21" s="15" t="n">
        <x:f>IF(E21=0,"해당 없음",K21/E21)</x:f>
        <x:v>0.17647058823529413</x:v>
      </x:c>
      <x:c r="T21" s="15" t="n">
        <x:f>IF(E21=0,"해당 없음",L21/E21)</x:f>
        <x:v>0.0784313725490196</x:v>
      </x:c>
      <x:c r="U21" s="15" t="n">
        <x:f>IF(E21=0,"해당 없음",M21/E21)</x:f>
        <x:v>0.12745098039215685</x:v>
      </x:c>
      <x:c r="V21" s="16" t="n">
        <x:f>E21/5</x:f>
        <x:v>20.4</x:v>
      </x:c>
    </x:row>
    <x:row r="22" ht="22" customHeight="1">
      <x:c r="A22" s="2" t="n">
        <x:v>9</x:v>
      </x:c>
      <x:c r="B22" s="2" t="str">
        <x:v>RED</x:v>
      </x:c>
      <x:c r="C22" s="2" t="str">
        <x:v>0만</x:v>
      </x:c>
      <x:c r="D22" s="2" t="str">
        <x:v>규칙형</x:v>
      </x:c>
      <x:c r="E22" s="14" t="n">
        <x:f>SUM(F22:M22)</x:f>
        <x:v>102</x:v>
      </x:c>
      <x:c r="F22" s="14" t="n">
        <x:v>9</x:v>
      </x:c>
      <x:c r="G22" s="14" t="n">
        <x:v>9</x:v>
      </x:c>
      <x:c r="H22" s="14" t="n">
        <x:v>14</x:v>
      </x:c>
      <x:c r="I22" s="14" t="n">
        <x:v>10</x:v>
      </x:c>
      <x:c r="J22" s="14" t="n">
        <x:v>12</x:v>
      </x:c>
      <x:c r="K22" s="14" t="n">
        <x:v>17</x:v>
      </x:c>
      <x:c r="L22" s="14" t="n">
        <x:v>13</x:v>
      </x:c>
      <x:c r="M22" s="14" t="n">
        <x:v>18</x:v>
      </x:c>
      <x:c r="N22" s="15" t="n">
        <x:f>IF(E22=0,"해당 없음",F22/E22)</x:f>
        <x:v>0.08823529411764706</x:v>
      </x:c>
      <x:c r="O22" s="15" t="n">
        <x:f>IF(E22=0,"해당 없음",G22/E22)</x:f>
        <x:v>0.08823529411764706</x:v>
      </x:c>
      <x:c r="P22" s="15" t="n">
        <x:f>IF(E22=0,"해당 없음",H22/E22)</x:f>
        <x:v>0.13725490196078433</x:v>
      </x:c>
      <x:c r="Q22" s="15" t="n">
        <x:f>IF(E22=0,"해당 없음",I22/E22)</x:f>
        <x:v>0.09803921568627451</x:v>
      </x:c>
      <x:c r="R22" s="15" t="n">
        <x:f>IF(E22=0,"해당 없음",J22/E22)</x:f>
        <x:v>0.11764705882352941</x:v>
      </x:c>
      <x:c r="S22" s="15" t="n">
        <x:f>IF(E22=0,"해당 없음",K22/E22)</x:f>
        <x:v>0.16666666666666666</x:v>
      </x:c>
      <x:c r="T22" s="15" t="n">
        <x:f>IF(E22=0,"해당 없음",L22/E22)</x:f>
        <x:v>0.12745098039215685</x:v>
      </x:c>
      <x:c r="U22" s="15" t="n">
        <x:f>IF(E22=0,"해당 없음",M22/E22)</x:f>
        <x:v>0.17647058823529413</x:v>
      </x:c>
      <x:c r="V22" s="16" t="n">
        <x:f>E22/5</x:f>
        <x:v>20.4</x:v>
      </x:c>
    </x:row>
    <x:row r="23" ht="22" customHeight="1">
      <x:c r="A23" s="2" t="n">
        <x:v>9</x:v>
      </x:c>
      <x:c r="B23" s="2" t="str">
        <x:v>NAVY</x:v>
      </x:c>
      <x:c r="C23" s="2" t="str">
        <x:v>규칙형</x:v>
      </x:c>
      <x:c r="D23" s="2" t="str">
        <x:v>0만</x:v>
      </x:c>
      <x:c r="E23" s="14" t="n">
        <x:f>SUM(F23:M23)</x:f>
        <x:v>103</x:v>
      </x:c>
      <x:c r="F23" s="14" t="n">
        <x:v>35</x:v>
      </x:c>
      <x:c r="G23" s="14" t="n">
        <x:v>3</x:v>
      </x:c>
      <x:c r="H23" s="14" t="n">
        <x:v>8</x:v>
      </x:c>
      <x:c r="I23" s="14" t="n">
        <x:v>20</x:v>
      </x:c>
      <x:c r="J23" s="14" t="n">
        <x:v>7</x:v>
      </x:c>
      <x:c r="K23" s="14" t="n">
        <x:v>1</x:v>
      </x:c>
      <x:c r="L23" s="14" t="n">
        <x:v>22</x:v>
      </x:c>
      <x:c r="M23" s="14" t="n">
        <x:v>7</x:v>
      </x:c>
      <x:c r="N23" s="15" t="n">
        <x:f>IF(E23=0,"해당 없음",F23/E23)</x:f>
        <x:v>0.33980582524271846</x:v>
      </x:c>
      <x:c r="O23" s="15" t="n">
        <x:f>IF(E23=0,"해당 없음",G23/E23)</x:f>
        <x:v>0.02912621359223301</x:v>
      </x:c>
      <x:c r="P23" s="15" t="n">
        <x:f>IF(E23=0,"해당 없음",H23/E23)</x:f>
        <x:v>0.07766990291262135</x:v>
      </x:c>
      <x:c r="Q23" s="15" t="n">
        <x:f>IF(E23=0,"해당 없음",I23/E23)</x:f>
        <x:v>0.1941747572815534</x:v>
      </x:c>
      <x:c r="R23" s="15" t="n">
        <x:f>IF(E23=0,"해당 없음",J23/E23)</x:f>
        <x:v>0.06796116504854369</x:v>
      </x:c>
      <x:c r="S23" s="15" t="n">
        <x:f>IF(E23=0,"해당 없음",K23/E23)</x:f>
        <x:v>0.009708737864077669</x:v>
      </x:c>
      <x:c r="T23" s="15" t="n">
        <x:f>IF(E23=0,"해당 없음",L23/E23)</x:f>
        <x:v>0.21359223300970873</x:v>
      </x:c>
      <x:c r="U23" s="15" t="n">
        <x:f>IF(E23=0,"해당 없음",M23/E23)</x:f>
        <x:v>0.06796116504854369</x:v>
      </x:c>
      <x:c r="V23" s="16" t="n">
        <x:f>E23/5</x:f>
        <x:v>20.6</x:v>
      </x:c>
    </x:row>
    <x:row r="24" ht="22" customHeight="1">
      <x:c r="A24" s="2" t="n">
        <x:v>10</x:v>
      </x:c>
      <x:c r="B24" s="2" t="str">
        <x:v>RED</x:v>
      </x:c>
      <x:c r="C24" s="2" t="str">
        <x:v>규칙형</x:v>
      </x:c>
      <x:c r="D24" s="2" t="str">
        <x:v>0만</x:v>
      </x:c>
      <x:c r="E24" s="14" t="n">
        <x:f>SUM(F24:M24)</x:f>
        <x:v>102</x:v>
      </x:c>
      <x:c r="F24" s="14" t="n">
        <x:v>34</x:v>
      </x:c>
      <x:c r="G24" s="14" t="n">
        <x:v>3</x:v>
      </x:c>
      <x:c r="H24" s="14" t="n">
        <x:v>9</x:v>
      </x:c>
      <x:c r="I24" s="14" t="n">
        <x:v>25</x:v>
      </x:c>
      <x:c r="J24" s="14" t="n">
        <x:v>5</x:v>
      </x:c>
      <x:c r="K24" s="14" t="n">
        <x:v>4</x:v>
      </x:c>
      <x:c r="L24" s="14" t="n">
        <x:v>21</x:v>
      </x:c>
      <x:c r="M24" s="14" t="n">
        <x:v>1</x:v>
      </x:c>
      <x:c r="N24" s="15" t="n">
        <x:f>IF(E24=0,"해당 없음",F24/E24)</x:f>
        <x:v>0.3333333333333333</x:v>
      </x:c>
      <x:c r="O24" s="15" t="n">
        <x:f>IF(E24=0,"해당 없음",G24/E24)</x:f>
        <x:v>0.029411764705882353</x:v>
      </x:c>
      <x:c r="P24" s="15" t="n">
        <x:f>IF(E24=0,"해당 없음",H24/E24)</x:f>
        <x:v>0.08823529411764706</x:v>
      </x:c>
      <x:c r="Q24" s="15" t="n">
        <x:f>IF(E24=0,"해당 없음",I24/E24)</x:f>
        <x:v>0.24509803921568626</x:v>
      </x:c>
      <x:c r="R24" s="15" t="n">
        <x:f>IF(E24=0,"해당 없음",J24/E24)</x:f>
        <x:v>0.049019607843137254</x:v>
      </x:c>
      <x:c r="S24" s="15" t="n">
        <x:f>IF(E24=0,"해당 없음",K24/E24)</x:f>
        <x:v>0.0392156862745098</x:v>
      </x:c>
      <x:c r="T24" s="15" t="n">
        <x:f>IF(E24=0,"해당 없음",L24/E24)</x:f>
        <x:v>0.20588235294117646</x:v>
      </x:c>
      <x:c r="U24" s="15" t="n">
        <x:f>IF(E24=0,"해당 없음",M24/E24)</x:f>
        <x:v>0.00980392156862745</x:v>
      </x:c>
      <x:c r="V24" s="16" t="n">
        <x:f>E24/5</x:f>
        <x:v>20.4</x:v>
      </x:c>
    </x:row>
    <x:row r="25" ht="22" customHeight="1">
      <x:c r="A25" s="2" t="n">
        <x:v>10</x:v>
      </x:c>
      <x:c r="B25" s="2" t="str">
        <x:v>NAVY</x:v>
      </x:c>
      <x:c r="C25" s="2" t="str">
        <x:v>0만</x:v>
      </x:c>
      <x:c r="D25" s="2" t="str">
        <x:v>규칙형</x:v>
      </x:c>
      <x:c r="E25" s="14" t="n">
        <x:f>SUM(F25:M25)</x:f>
        <x:v>102</x:v>
      </x:c>
      <x:c r="F25" s="14" t="n">
        <x:v>9</x:v>
      </x:c>
      <x:c r="G25" s="14" t="n">
        <x:v>9</x:v>
      </x:c>
      <x:c r="H25" s="14" t="n">
        <x:v>15</x:v>
      </x:c>
      <x:c r="I25" s="14" t="n">
        <x:v>9</x:v>
      </x:c>
      <x:c r="J25" s="14" t="n">
        <x:v>12</x:v>
      </x:c>
      <x:c r="K25" s="14" t="n">
        <x:v>17</x:v>
      </x:c>
      <x:c r="L25" s="14" t="n">
        <x:v>13</x:v>
      </x:c>
      <x:c r="M25" s="14" t="n">
        <x:v>18</x:v>
      </x:c>
      <x:c r="N25" s="15" t="n">
        <x:f>IF(E25=0,"해당 없음",F25/E25)</x:f>
        <x:v>0.08823529411764706</x:v>
      </x:c>
      <x:c r="O25" s="15" t="n">
        <x:f>IF(E25=0,"해당 없음",G25/E25)</x:f>
        <x:v>0.08823529411764706</x:v>
      </x:c>
      <x:c r="P25" s="15" t="n">
        <x:f>IF(E25=0,"해당 없음",H25/E25)</x:f>
        <x:v>0.14705882352941177</x:v>
      </x:c>
      <x:c r="Q25" s="15" t="n">
        <x:f>IF(E25=0,"해당 없음",I25/E25)</x:f>
        <x:v>0.08823529411764706</x:v>
      </x:c>
      <x:c r="R25" s="15" t="n">
        <x:f>IF(E25=0,"해당 없음",J25/E25)</x:f>
        <x:v>0.11764705882352941</x:v>
      </x:c>
      <x:c r="S25" s="15" t="n">
        <x:f>IF(E25=0,"해당 없음",K25/E25)</x:f>
        <x:v>0.16666666666666666</x:v>
      </x:c>
      <x:c r="T25" s="15" t="n">
        <x:f>IF(E25=0,"해당 없음",L25/E25)</x:f>
        <x:v>0.12745098039215685</x:v>
      </x:c>
      <x:c r="U25" s="15" t="n">
        <x:f>IF(E25=0,"해당 없음",M25/E25)</x:f>
        <x:v>0.17647058823529413</x:v>
      </x:c>
      <x:c r="V25" s="16" t="n">
        <x:f>E25/5</x:f>
        <x:v>20.4</x:v>
      </x:c>
    </x:row>
    <x:row r="26" ht="22" customHeight="1">
      <x:c r="A26" s="2" t="n">
        <x:v>11</x:v>
      </x:c>
      <x:c r="B26" s="2" t="str">
        <x:v>RED</x:v>
      </x:c>
      <x:c r="C26" s="2" t="str">
        <x:v>0만</x:v>
      </x:c>
      <x:c r="D26" s="2" t="str">
        <x:v>규칙형</x:v>
      </x:c>
      <x:c r="E26" s="14" t="n">
        <x:f>SUM(F26:M26)</x:f>
        <x:v>101</x:v>
      </x:c>
      <x:c r="F26" s="14" t="n">
        <x:v>14</x:v>
      </x:c>
      <x:c r="G26" s="14" t="n">
        <x:v>9</x:v>
      </x:c>
      <x:c r="H26" s="14" t="n">
        <x:v>9</x:v>
      </x:c>
      <x:c r="I26" s="14" t="n">
        <x:v>11</x:v>
      </x:c>
      <x:c r="J26" s="14" t="n">
        <x:v>17</x:v>
      </x:c>
      <x:c r="K26" s="14" t="n">
        <x:v>14</x:v>
      </x:c>
      <x:c r="L26" s="14" t="n">
        <x:v>10</x:v>
      </x:c>
      <x:c r="M26" s="14" t="n">
        <x:v>17</x:v>
      </x:c>
      <x:c r="N26" s="15" t="n">
        <x:f>IF(E26=0,"해당 없음",F26/E26)</x:f>
        <x:v>0.13861386138613863</x:v>
      </x:c>
      <x:c r="O26" s="15" t="n">
        <x:f>IF(E26=0,"해당 없음",G26/E26)</x:f>
        <x:v>0.0891089108910891</x:v>
      </x:c>
      <x:c r="P26" s="15" t="n">
        <x:f>IF(E26=0,"해당 없음",H26/E26)</x:f>
        <x:v>0.0891089108910891</x:v>
      </x:c>
      <x:c r="Q26" s="15" t="n">
        <x:f>IF(E26=0,"해당 없음",I26/E26)</x:f>
        <x:v>0.10891089108910891</x:v>
      </x:c>
      <x:c r="R26" s="15" t="n">
        <x:f>IF(E26=0,"해당 없음",J26/E26)</x:f>
        <x:v>0.16831683168316833</x:v>
      </x:c>
      <x:c r="S26" s="15" t="n">
        <x:f>IF(E26=0,"해당 없음",K26/E26)</x:f>
        <x:v>0.13861386138613863</x:v>
      </x:c>
      <x:c r="T26" s="15" t="n">
        <x:f>IF(E26=0,"해당 없음",L26/E26)</x:f>
        <x:v>0.09900990099009901</x:v>
      </x:c>
      <x:c r="U26" s="15" t="n">
        <x:f>IF(E26=0,"해당 없음",M26/E26)</x:f>
        <x:v>0.16831683168316833</x:v>
      </x:c>
      <x:c r="V26" s="16" t="n">
        <x:f>E26/5</x:f>
        <x:v>20.2</x:v>
      </x:c>
    </x:row>
    <x:row r="27" ht="22" customHeight="1">
      <x:c r="A27" s="2" t="n">
        <x:v>11</x:v>
      </x:c>
      <x:c r="B27" s="2" t="str">
        <x:v>NAVY</x:v>
      </x:c>
      <x:c r="C27" s="2" t="str">
        <x:v>규칙형</x:v>
      </x:c>
      <x:c r="D27" s="2" t="str">
        <x:v>0만</x:v>
      </x:c>
      <x:c r="E27" s="14" t="n">
        <x:f>SUM(F27:M27)</x:f>
        <x:v>100</x:v>
      </x:c>
      <x:c r="F27" s="14" t="n">
        <x:v>35</x:v>
      </x:c>
      <x:c r="G27" s="14" t="n">
        <x:v>3</x:v>
      </x:c>
      <x:c r="H27" s="14" t="n">
        <x:v>8</x:v>
      </x:c>
      <x:c r="I27" s="14" t="n">
        <x:v>23</x:v>
      </x:c>
      <x:c r="J27" s="14" t="n">
        <x:v>3</x:v>
      </x:c>
      <x:c r="K27" s="14" t="n">
        <x:v>3</x:v>
      </x:c>
      <x:c r="L27" s="14" t="n">
        <x:v>22</x:v>
      </x:c>
      <x:c r="M27" s="14" t="n">
        <x:v>3</x:v>
      </x:c>
      <x:c r="N27" s="15" t="n">
        <x:f>IF(E27=0,"해당 없음",F27/E27)</x:f>
        <x:v>0.35</x:v>
      </x:c>
      <x:c r="O27" s="15" t="n">
        <x:f>IF(E27=0,"해당 없음",G27/E27)</x:f>
        <x:v>0.03</x:v>
      </x:c>
      <x:c r="P27" s="15" t="n">
        <x:f>IF(E27=0,"해당 없음",H27/E27)</x:f>
        <x:v>0.08</x:v>
      </x:c>
      <x:c r="Q27" s="15" t="n">
        <x:f>IF(E27=0,"해당 없음",I27/E27)</x:f>
        <x:v>0.23</x:v>
      </x:c>
      <x:c r="R27" s="15" t="n">
        <x:f>IF(E27=0,"해당 없음",J27/E27)</x:f>
        <x:v>0.03</x:v>
      </x:c>
      <x:c r="S27" s="15" t="n">
        <x:f>IF(E27=0,"해당 없음",K27/E27)</x:f>
        <x:v>0.03</x:v>
      </x:c>
      <x:c r="T27" s="15" t="n">
        <x:f>IF(E27=0,"해당 없음",L27/E27)</x:f>
        <x:v>0.22</x:v>
      </x:c>
      <x:c r="U27" s="15" t="n">
        <x:f>IF(E27=0,"해당 없음",M27/E27)</x:f>
        <x:v>0.03</x:v>
      </x:c>
      <x:c r="V27" s="16" t="n">
        <x:f>E27/5</x:f>
        <x:v>20</x:v>
      </x:c>
    </x:row>
    <x:row r="28" ht="22" customHeight="1">
      <x:c r="A28" s="2" t="n">
        <x:v>12</x:v>
      </x:c>
      <x:c r="B28" s="2" t="str">
        <x:v>RED</x:v>
      </x:c>
      <x:c r="C28" s="2" t="str">
        <x:v>규칙형</x:v>
      </x:c>
      <x:c r="D28" s="2" t="str">
        <x:v>0만</x:v>
      </x:c>
      <x:c r="E28" s="14" t="n">
        <x:f>SUM(F28:M28)</x:f>
        <x:v>105</x:v>
      </x:c>
      <x:c r="F28" s="14" t="n">
        <x:v>47</x:v>
      </x:c>
      <x:c r="G28" s="14" t="n">
        <x:v>6</x:v>
      </x:c>
      <x:c r="H28" s="14" t="n">
        <x:v>7</x:v>
      </x:c>
      <x:c r="I28" s="14" t="n">
        <x:v>6</x:v>
      </x:c>
      <x:c r="J28" s="14" t="n">
        <x:v>11</x:v>
      </x:c>
      <x:c r="K28" s="14" t="n">
        <x:v>3</x:v>
      </x:c>
      <x:c r="L28" s="14" t="n">
        <x:v>20</x:v>
      </x:c>
      <x:c r="M28" s="14" t="n">
        <x:v>5</x:v>
      </x:c>
      <x:c r="N28" s="15" t="n">
        <x:f>IF(E28=0,"해당 없음",F28/E28)</x:f>
        <x:v>0.44761904761904764</x:v>
      </x:c>
      <x:c r="O28" s="15" t="n">
        <x:f>IF(E28=0,"해당 없음",G28/E28)</x:f>
        <x:v>0.05714285714285714</x:v>
      </x:c>
      <x:c r="P28" s="15" t="n">
        <x:f>IF(E28=0,"해당 없음",H28/E28)</x:f>
        <x:v>0.06666666666666667</x:v>
      </x:c>
      <x:c r="Q28" s="15" t="n">
        <x:f>IF(E28=0,"해당 없음",I28/E28)</x:f>
        <x:v>0.05714285714285714</x:v>
      </x:c>
      <x:c r="R28" s="15" t="n">
        <x:f>IF(E28=0,"해당 없음",J28/E28)</x:f>
        <x:v>0.10476190476190476</x:v>
      </x:c>
      <x:c r="S28" s="15" t="n">
        <x:f>IF(E28=0,"해당 없음",K28/E28)</x:f>
        <x:v>0.02857142857142857</x:v>
      </x:c>
      <x:c r="T28" s="15" t="n">
        <x:f>IF(E28=0,"해당 없음",L28/E28)</x:f>
        <x:v>0.19047619047619047</x:v>
      </x:c>
      <x:c r="U28" s="15" t="n">
        <x:f>IF(E28=0,"해당 없음",M28/E28)</x:f>
        <x:v>0.047619047619047616</x:v>
      </x:c>
      <x:c r="V28" s="16" t="n">
        <x:f>E28/5</x:f>
        <x:v>21</x:v>
      </x:c>
    </x:row>
    <x:row r="29" ht="22" customHeight="1">
      <x:c r="A29" s="2" t="n">
        <x:v>12</x:v>
      </x:c>
      <x:c r="B29" s="2" t="str">
        <x:v>NAVY</x:v>
      </x:c>
      <x:c r="C29" s="2" t="str">
        <x:v>0만</x:v>
      </x:c>
      <x:c r="D29" s="2" t="str">
        <x:v>규칙형</x:v>
      </x:c>
      <x:c r="E29" s="14" t="n">
        <x:f>SUM(F29:M29)</x:f>
        <x:v>105</x:v>
      </x:c>
      <x:c r="F29" s="14" t="n">
        <x:v>14</x:v>
      </x:c>
      <x:c r="G29" s="14" t="n">
        <x:v>9</x:v>
      </x:c>
      <x:c r="H29" s="14" t="n">
        <x:v>10</x:v>
      </x:c>
      <x:c r="I29" s="14" t="n">
        <x:v>11</x:v>
      </x:c>
      <x:c r="J29" s="14" t="n">
        <x:v>19</x:v>
      </x:c>
      <x:c r="K29" s="14" t="n">
        <x:v>14</x:v>
      </x:c>
      <x:c r="L29" s="14" t="n">
        <x:v>10</x:v>
      </x:c>
      <x:c r="M29" s="14" t="n">
        <x:v>18</x:v>
      </x:c>
      <x:c r="N29" s="15" t="n">
        <x:f>IF(E29=0,"해당 없음",F29/E29)</x:f>
        <x:v>0.13333333333333333</x:v>
      </x:c>
      <x:c r="O29" s="15" t="n">
        <x:f>IF(E29=0,"해당 없음",G29/E29)</x:f>
        <x:v>0.08571428571428572</x:v>
      </x:c>
      <x:c r="P29" s="15" t="n">
        <x:f>IF(E29=0,"해당 없음",H29/E29)</x:f>
        <x:v>0.09523809523809523</x:v>
      </x:c>
      <x:c r="Q29" s="15" t="n">
        <x:f>IF(E29=0,"해당 없음",I29/E29)</x:f>
        <x:v>0.10476190476190476</x:v>
      </x:c>
      <x:c r="R29" s="15" t="n">
        <x:f>IF(E29=0,"해당 없음",J29/E29)</x:f>
        <x:v>0.18095238095238095</x:v>
      </x:c>
      <x:c r="S29" s="15" t="n">
        <x:f>IF(E29=0,"해당 없음",K29/E29)</x:f>
        <x:v>0.13333333333333333</x:v>
      </x:c>
      <x:c r="T29" s="15" t="n">
        <x:f>IF(E29=0,"해당 없음",L29/E29)</x:f>
        <x:v>0.09523809523809523</x:v>
      </x:c>
      <x:c r="U29" s="15" t="n">
        <x:f>IF(E29=0,"해당 없음",M29/E29)</x:f>
        <x:v>0.17142857142857143</x:v>
      </x:c>
      <x:c r="V29" s="16" t="n">
        <x:f>E29/5</x:f>
        <x:v>21</x:v>
      </x:c>
    </x:row>
    <x:row r="30" ht="22" customHeight="1">
      <x:c r="A30" s="2" t="n">
        <x:v>13</x:v>
      </x:c>
      <x:c r="B30" s="2" t="str">
        <x:v>RED</x:v>
      </x:c>
      <x:c r="C30" s="2" t="str">
        <x:v>0만</x:v>
      </x:c>
      <x:c r="D30" s="2" t="str">
        <x:v>규칙형</x:v>
      </x:c>
      <x:c r="E30" s="14" t="n">
        <x:f>SUM(F30:M30)</x:f>
        <x:v>104</x:v>
      </x:c>
      <x:c r="F30" s="14" t="n">
        <x:v>20</x:v>
      </x:c>
      <x:c r="G30" s="14" t="n">
        <x:v>14</x:v>
      </x:c>
      <x:c r="H30" s="14" t="n">
        <x:v>11</x:v>
      </x:c>
      <x:c r="I30" s="14" t="n">
        <x:v>14</x:v>
      </x:c>
      <x:c r="J30" s="14" t="n">
        <x:v>12</x:v>
      </x:c>
      <x:c r="K30" s="14" t="n">
        <x:v>11</x:v>
      </x:c>
      <x:c r="L30" s="14" t="n">
        <x:v>11</x:v>
      </x:c>
      <x:c r="M30" s="14" t="n">
        <x:v>11</x:v>
      </x:c>
      <x:c r="N30" s="15" t="n">
        <x:f>IF(E30=0,"해당 없음",F30/E30)</x:f>
        <x:v>0.19230769230769232</x:v>
      </x:c>
      <x:c r="O30" s="15" t="n">
        <x:f>IF(E30=0,"해당 없음",G30/E30)</x:f>
        <x:v>0.1346153846153846</x:v>
      </x:c>
      <x:c r="P30" s="15" t="n">
        <x:f>IF(E30=0,"해당 없음",H30/E30)</x:f>
        <x:v>0.10576923076923077</x:v>
      </x:c>
      <x:c r="Q30" s="15" t="n">
        <x:f>IF(E30=0,"해당 없음",I30/E30)</x:f>
        <x:v>0.1346153846153846</x:v>
      </x:c>
      <x:c r="R30" s="15" t="n">
        <x:f>IF(E30=0,"해당 없음",J30/E30)</x:f>
        <x:v>0.11538461538461539</x:v>
      </x:c>
      <x:c r="S30" s="15" t="n">
        <x:f>IF(E30=0,"해당 없음",K30/E30)</x:f>
        <x:v>0.10576923076923077</x:v>
      </x:c>
      <x:c r="T30" s="15" t="n">
        <x:f>IF(E30=0,"해당 없음",L30/E30)</x:f>
        <x:v>0.10576923076923077</x:v>
      </x:c>
      <x:c r="U30" s="15" t="n">
        <x:f>IF(E30=0,"해당 없음",M30/E30)</x:f>
        <x:v>0.10576923076923077</x:v>
      </x:c>
      <x:c r="V30" s="16" t="n">
        <x:f>E30/5</x:f>
        <x:v>20.8</x:v>
      </x:c>
    </x:row>
    <x:row r="31" ht="22" customHeight="1">
      <x:c r="A31" s="2" t="n">
        <x:v>13</x:v>
      </x:c>
      <x:c r="B31" s="2" t="str">
        <x:v>NAVY</x:v>
      </x:c>
      <x:c r="C31" s="2" t="str">
        <x:v>규칙형</x:v>
      </x:c>
      <x:c r="D31" s="2" t="str">
        <x:v>0만</x:v>
      </x:c>
      <x:c r="E31" s="14" t="n">
        <x:f>SUM(F31:M31)</x:f>
        <x:v>103</x:v>
      </x:c>
      <x:c r="F31" s="14" t="n">
        <x:v>44</x:v>
      </x:c>
      <x:c r="G31" s="14" t="n">
        <x:v>4</x:v>
      </x:c>
      <x:c r="H31" s="14" t="n">
        <x:v>12</x:v>
      </x:c>
      <x:c r="I31" s="14" t="n">
        <x:v>12</x:v>
      </x:c>
      <x:c r="J31" s="14" t="n">
        <x:v>11</x:v>
      </x:c>
      <x:c r="K31" s="14" t="n">
        <x:v>1</x:v>
      </x:c>
      <x:c r="L31" s="14" t="n">
        <x:v>16</x:v>
      </x:c>
      <x:c r="M31" s="14" t="n">
        <x:v>3</x:v>
      </x:c>
      <x:c r="N31" s="15" t="n">
        <x:f>IF(E31=0,"해당 없음",F31/E31)</x:f>
        <x:v>0.42718446601941745</x:v>
      </x:c>
      <x:c r="O31" s="15" t="n">
        <x:f>IF(E31=0,"해당 없음",G31/E31)</x:f>
        <x:v>0.038834951456310676</x:v>
      </x:c>
      <x:c r="P31" s="15" t="n">
        <x:f>IF(E31=0,"해당 없음",H31/E31)</x:f>
        <x:v>0.11650485436893204</x:v>
      </x:c>
      <x:c r="Q31" s="15" t="n">
        <x:f>IF(E31=0,"해당 없음",I31/E31)</x:f>
        <x:v>0.11650485436893204</x:v>
      </x:c>
      <x:c r="R31" s="15" t="n">
        <x:f>IF(E31=0,"해당 없음",J31/E31)</x:f>
        <x:v>0.10679611650485436</x:v>
      </x:c>
      <x:c r="S31" s="15" t="n">
        <x:f>IF(E31=0,"해당 없음",K31/E31)</x:f>
        <x:v>0.009708737864077669</x:v>
      </x:c>
      <x:c r="T31" s="15" t="n">
        <x:f>IF(E31=0,"해당 없음",L31/E31)</x:f>
        <x:v>0.1553398058252427</x:v>
      </x:c>
      <x:c r="U31" s="15" t="n">
        <x:f>IF(E31=0,"해당 없음",M31/E31)</x:f>
        <x:v>0.02912621359223301</x:v>
      </x:c>
      <x:c r="V31" s="16" t="n">
        <x:f>E31/5</x:f>
        <x:v>20.6</x:v>
      </x:c>
    </x:row>
    <x:row r="32" ht="22" customHeight="1">
      <x:c r="A32" s="2" t="n">
        <x:v>14</x:v>
      </x:c>
      <x:c r="B32" s="2" t="str">
        <x:v>RED</x:v>
      </x:c>
      <x:c r="C32" s="2" t="str">
        <x:v>규칙형</x:v>
      </x:c>
      <x:c r="D32" s="2" t="str">
        <x:v>0만</x:v>
      </x:c>
      <x:c r="E32" s="14" t="n">
        <x:f>SUM(F32:M32)</x:f>
        <x:v>105</x:v>
      </x:c>
      <x:c r="F32" s="14" t="n">
        <x:v>36</x:v>
      </x:c>
      <x:c r="G32" s="14" t="n">
        <x:v>7</x:v>
      </x:c>
      <x:c r="H32" s="14" t="n">
        <x:v>8</x:v>
      </x:c>
      <x:c r="I32" s="14" t="n">
        <x:v>27</x:v>
      </x:c>
      <x:c r="J32" s="14" t="n">
        <x:v>5</x:v>
      </x:c>
      <x:c r="K32" s="14" t="n">
        <x:v>3</x:v>
      </x:c>
      <x:c r="L32" s="14" t="n">
        <x:v>16</x:v>
      </x:c>
      <x:c r="M32" s="14" t="n">
        <x:v>3</x:v>
      </x:c>
      <x:c r="N32" s="15" t="n">
        <x:f>IF(E32=0,"해당 없음",F32/E32)</x:f>
        <x:v>0.34285714285714286</x:v>
      </x:c>
      <x:c r="O32" s="15" t="n">
        <x:f>IF(E32=0,"해당 없음",G32/E32)</x:f>
        <x:v>0.06666666666666667</x:v>
      </x:c>
      <x:c r="P32" s="15" t="n">
        <x:f>IF(E32=0,"해당 없음",H32/E32)</x:f>
        <x:v>0.0761904761904762</x:v>
      </x:c>
      <x:c r="Q32" s="15" t="n">
        <x:f>IF(E32=0,"해당 없음",I32/E32)</x:f>
        <x:v>0.2571428571428571</x:v>
      </x:c>
      <x:c r="R32" s="15" t="n">
        <x:f>IF(E32=0,"해당 없음",J32/E32)</x:f>
        <x:v>0.047619047619047616</x:v>
      </x:c>
      <x:c r="S32" s="15" t="n">
        <x:f>IF(E32=0,"해당 없음",K32/E32)</x:f>
        <x:v>0.02857142857142857</x:v>
      </x:c>
      <x:c r="T32" s="15" t="n">
        <x:f>IF(E32=0,"해당 없음",L32/E32)</x:f>
        <x:v>0.1523809523809524</x:v>
      </x:c>
      <x:c r="U32" s="15" t="n">
        <x:f>IF(E32=0,"해당 없음",M32/E32)</x:f>
        <x:v>0.02857142857142857</x:v>
      </x:c>
      <x:c r="V32" s="16" t="n">
        <x:f>E32/5</x:f>
        <x:v>21</x:v>
      </x:c>
    </x:row>
    <x:row r="33" ht="22" customHeight="1">
      <x:c r="A33" s="2" t="n">
        <x:v>14</x:v>
      </x:c>
      <x:c r="B33" s="2" t="str">
        <x:v>NAVY</x:v>
      </x:c>
      <x:c r="C33" s="2" t="str">
        <x:v>0만</x:v>
      </x:c>
      <x:c r="D33" s="2" t="str">
        <x:v>규칙형</x:v>
      </x:c>
      <x:c r="E33" s="14" t="n">
        <x:f>SUM(F33:M33)</x:f>
        <x:v>106</x:v>
      </x:c>
      <x:c r="F33" s="14" t="n">
        <x:v>21</x:v>
      </x:c>
      <x:c r="G33" s="14" t="n">
        <x:v>13</x:v>
      </x:c>
      <x:c r="H33" s="14" t="n">
        <x:v>11</x:v>
      </x:c>
      <x:c r="I33" s="14" t="n">
        <x:v>15</x:v>
      </x:c>
      <x:c r="J33" s="14" t="n">
        <x:v>12</x:v>
      </x:c>
      <x:c r="K33" s="14" t="n">
        <x:v>12</x:v>
      </x:c>
      <x:c r="L33" s="14" t="n">
        <x:v>11</x:v>
      </x:c>
      <x:c r="M33" s="14" t="n">
        <x:v>11</x:v>
      </x:c>
      <x:c r="N33" s="15" t="n">
        <x:f>IF(E33=0,"해당 없음",F33/E33)</x:f>
        <x:v>0.19811320754716982</x:v>
      </x:c>
      <x:c r="O33" s="15" t="n">
        <x:f>IF(E33=0,"해당 없음",G33/E33)</x:f>
        <x:v>0.12264150943396226</x:v>
      </x:c>
      <x:c r="P33" s="15" t="n">
        <x:f>IF(E33=0,"해당 없음",H33/E33)</x:f>
        <x:v>0.10377358490566038</x:v>
      </x:c>
      <x:c r="Q33" s="15" t="n">
        <x:f>IF(E33=0,"해당 없음",I33/E33)</x:f>
        <x:v>0.14150943396226415</x:v>
      </x:c>
      <x:c r="R33" s="15" t="n">
        <x:f>IF(E33=0,"해당 없음",J33/E33)</x:f>
        <x:v>0.11320754716981132</x:v>
      </x:c>
      <x:c r="S33" s="15" t="n">
        <x:f>IF(E33=0,"해당 없음",K33/E33)</x:f>
        <x:v>0.11320754716981132</x:v>
      </x:c>
      <x:c r="T33" s="15" t="n">
        <x:f>IF(E33=0,"해당 없음",L33/E33)</x:f>
        <x:v>0.10377358490566038</x:v>
      </x:c>
      <x:c r="U33" s="15" t="n">
        <x:f>IF(E33=0,"해당 없음",M33/E33)</x:f>
        <x:v>0.10377358490566038</x:v>
      </x:c>
      <x:c r="V33" s="16" t="n">
        <x:f>E33/5</x:f>
        <x:v>21.2</x:v>
      </x:c>
    </x:row>
    <x:row r="34" ht="22" customHeight="1">
      <x:c r="A34" s="2" t="n">
        <x:v>15</x:v>
      </x:c>
      <x:c r="B34" s="2" t="str">
        <x:v>RED</x:v>
      </x:c>
      <x:c r="C34" s="2" t="str">
        <x:v>0만</x:v>
      </x:c>
      <x:c r="D34" s="2" t="str">
        <x:v>규칙형</x:v>
      </x:c>
      <x:c r="E34" s="14" t="n">
        <x:f>SUM(F34:M34)</x:f>
        <x:v>104</x:v>
      </x:c>
      <x:c r="F34" s="14" t="n">
        <x:v>11</x:v>
      </x:c>
      <x:c r="G34" s="14" t="n">
        <x:v>13</x:v>
      </x:c>
      <x:c r="H34" s="14" t="n">
        <x:v>9</x:v>
      </x:c>
      <x:c r="I34" s="14" t="n">
        <x:v>11</x:v>
      </x:c>
      <x:c r="J34" s="14" t="n">
        <x:v>11</x:v>
      </x:c>
      <x:c r="K34" s="14" t="n">
        <x:v>21</x:v>
      </x:c>
      <x:c r="L34" s="14" t="n">
        <x:v>11</x:v>
      </x:c>
      <x:c r="M34" s="14" t="n">
        <x:v>17</x:v>
      </x:c>
      <x:c r="N34" s="15" t="n">
        <x:f>IF(E34=0,"해당 없음",F34/E34)</x:f>
        <x:v>0.10576923076923077</x:v>
      </x:c>
      <x:c r="O34" s="15" t="n">
        <x:f>IF(E34=0,"해당 없음",G34/E34)</x:f>
        <x:v>0.125</x:v>
      </x:c>
      <x:c r="P34" s="15" t="n">
        <x:f>IF(E34=0,"해당 없음",H34/E34)</x:f>
        <x:v>0.08653846153846154</x:v>
      </x:c>
      <x:c r="Q34" s="15" t="n">
        <x:f>IF(E34=0,"해당 없음",I34/E34)</x:f>
        <x:v>0.10576923076923077</x:v>
      </x:c>
      <x:c r="R34" s="15" t="n">
        <x:f>IF(E34=0,"해당 없음",J34/E34)</x:f>
        <x:v>0.10576923076923077</x:v>
      </x:c>
      <x:c r="S34" s="15" t="n">
        <x:f>IF(E34=0,"해당 없음",K34/E34)</x:f>
        <x:v>0.20192307692307693</x:v>
      </x:c>
      <x:c r="T34" s="15" t="n">
        <x:f>IF(E34=0,"해당 없음",L34/E34)</x:f>
        <x:v>0.10576923076923077</x:v>
      </x:c>
      <x:c r="U34" s="15" t="n">
        <x:f>IF(E34=0,"해당 없음",M34/E34)</x:f>
        <x:v>0.16346153846153846</x:v>
      </x:c>
      <x:c r="V34" s="16" t="n">
        <x:f>E34/5</x:f>
        <x:v>20.8</x:v>
      </x:c>
    </x:row>
    <x:row r="35" ht="22" customHeight="1">
      <x:c r="A35" s="2" t="n">
        <x:v>15</x:v>
      </x:c>
      <x:c r="B35" s="2" t="str">
        <x:v>NAVY</x:v>
      </x:c>
      <x:c r="C35" s="2" t="str">
        <x:v>규칙형</x:v>
      </x:c>
      <x:c r="D35" s="2" t="str">
        <x:v>0만</x:v>
      </x:c>
      <x:c r="E35" s="14" t="n">
        <x:f>SUM(F35:M35)</x:f>
        <x:v>105</x:v>
      </x:c>
      <x:c r="F35" s="14" t="n">
        <x:v>48</x:v>
      </x:c>
      <x:c r="G35" s="14" t="n">
        <x:v>5</x:v>
      </x:c>
      <x:c r="H35" s="14" t="n">
        <x:v>10</x:v>
      </x:c>
      <x:c r="I35" s="14" t="n">
        <x:v>25</x:v>
      </x:c>
      <x:c r="J35" s="14" t="n">
        <x:v>2</x:v>
      </x:c>
      <x:c r="K35" s="14" t="n">
        <x:v>0</x:v>
      </x:c>
      <x:c r="L35" s="14" t="n">
        <x:v>14</x:v>
      </x:c>
      <x:c r="M35" s="14" t="n">
        <x:v>1</x:v>
      </x:c>
      <x:c r="N35" s="15" t="n">
        <x:f>IF(E35=0,"해당 없음",F35/E35)</x:f>
        <x:v>0.45714285714285713</x:v>
      </x:c>
      <x:c r="O35" s="15" t="n">
        <x:f>IF(E35=0,"해당 없음",G35/E35)</x:f>
        <x:v>0.047619047619047616</x:v>
      </x:c>
      <x:c r="P35" s="15" t="n">
        <x:f>IF(E35=0,"해당 없음",H35/E35)</x:f>
        <x:v>0.09523809523809523</x:v>
      </x:c>
      <x:c r="Q35" s="15" t="n">
        <x:f>IF(E35=0,"해당 없음",I35/E35)</x:f>
        <x:v>0.23809523809523808</x:v>
      </x:c>
      <x:c r="R35" s="15" t="n">
        <x:f>IF(E35=0,"해당 없음",J35/E35)</x:f>
        <x:v>0.01904761904761905</x:v>
      </x:c>
      <x:c r="S35" s="15" t="n">
        <x:f>IF(E35=0,"해당 없음",K35/E35)</x:f>
        <x:v>0</x:v>
      </x:c>
      <x:c r="T35" s="15" t="n">
        <x:f>IF(E35=0,"해당 없음",L35/E35)</x:f>
        <x:v>0.13333333333333333</x:v>
      </x:c>
      <x:c r="U35" s="15" t="n">
        <x:f>IF(E35=0,"해당 없음",M35/E35)</x:f>
        <x:v>0.009523809523809525</x:v>
      </x:c>
      <x:c r="V35" s="16" t="n">
        <x:f>E35/5</x:f>
        <x:v>21</x:v>
      </x:c>
    </x:row>
    <x:row r="36" ht="22" customHeight="1">
      <x:c r="A36" s="2" t="n">
        <x:v>16</x:v>
      </x:c>
      <x:c r="B36" s="2" t="str">
        <x:v>RED</x:v>
      </x:c>
      <x:c r="C36" s="2" t="str">
        <x:v>규칙형</x:v>
      </x:c>
      <x:c r="D36" s="2" t="str">
        <x:v>0만</x:v>
      </x:c>
      <x:c r="E36" s="14" t="n">
        <x:f>SUM(F36:M36)</x:f>
        <x:v>101</x:v>
      </x:c>
      <x:c r="F36" s="14" t="n">
        <x:v>40</x:v>
      </x:c>
      <x:c r="G36" s="14" t="n">
        <x:v>3</x:v>
      </x:c>
      <x:c r="H36" s="14" t="n">
        <x:v>8</x:v>
      </x:c>
      <x:c r="I36" s="14" t="n">
        <x:v>20</x:v>
      </x:c>
      <x:c r="J36" s="14" t="n">
        <x:v>6</x:v>
      </x:c>
      <x:c r="K36" s="14" t="n">
        <x:v>1</x:v>
      </x:c>
      <x:c r="L36" s="14" t="n">
        <x:v>20</x:v>
      </x:c>
      <x:c r="M36" s="14" t="n">
        <x:v>3</x:v>
      </x:c>
      <x:c r="N36" s="15" t="n">
        <x:f>IF(E36=0,"해당 없음",F36/E36)</x:f>
        <x:v>0.39603960396039606</x:v>
      </x:c>
      <x:c r="O36" s="15" t="n">
        <x:f>IF(E36=0,"해당 없음",G36/E36)</x:f>
        <x:v>0.0297029702970297</x:v>
      </x:c>
      <x:c r="P36" s="15" t="n">
        <x:f>IF(E36=0,"해당 없음",H36/E36)</x:f>
        <x:v>0.07920792079207921</x:v>
      </x:c>
      <x:c r="Q36" s="15" t="n">
        <x:f>IF(E36=0,"해당 없음",I36/E36)</x:f>
        <x:v>0.19801980198019803</x:v>
      </x:c>
      <x:c r="R36" s="15" t="n">
        <x:f>IF(E36=0,"해당 없음",J36/E36)</x:f>
        <x:v>0.0594059405940594</x:v>
      </x:c>
      <x:c r="S36" s="15" t="n">
        <x:f>IF(E36=0,"해당 없음",K36/E36)</x:f>
        <x:v>0.009900990099009901</x:v>
      </x:c>
      <x:c r="T36" s="15" t="n">
        <x:f>IF(E36=0,"해당 없음",L36/E36)</x:f>
        <x:v>0.19801980198019803</x:v>
      </x:c>
      <x:c r="U36" s="15" t="n">
        <x:f>IF(E36=0,"해당 없음",M36/E36)</x:f>
        <x:v>0.0297029702970297</x:v>
      </x:c>
      <x:c r="V36" s="16" t="n">
        <x:f>E36/5</x:f>
        <x:v>20.2</x:v>
      </x:c>
    </x:row>
    <x:row r="37" ht="22" customHeight="1">
      <x:c r="A37" s="2" t="n">
        <x:v>16</x:v>
      </x:c>
      <x:c r="B37" s="2" t="str">
        <x:v>NAVY</x:v>
      </x:c>
      <x:c r="C37" s="2" t="str">
        <x:v>0만</x:v>
      </x:c>
      <x:c r="D37" s="2" t="str">
        <x:v>규칙형</x:v>
      </x:c>
      <x:c r="E37" s="14" t="n">
        <x:f>SUM(F37:M37)</x:f>
        <x:v>103</x:v>
      </x:c>
      <x:c r="F37" s="14" t="n">
        <x:v>11</x:v>
      </x:c>
      <x:c r="G37" s="14" t="n">
        <x:v>14</x:v>
      </x:c>
      <x:c r="H37" s="14" t="n">
        <x:v>8</x:v>
      </x:c>
      <x:c r="I37" s="14" t="n">
        <x:v>11</x:v>
      </x:c>
      <x:c r="J37" s="14" t="n">
        <x:v>11</x:v>
      </x:c>
      <x:c r="K37" s="14" t="n">
        <x:v>22</x:v>
      </x:c>
      <x:c r="L37" s="14" t="n">
        <x:v>10</x:v>
      </x:c>
      <x:c r="M37" s="14" t="n">
        <x:v>16</x:v>
      </x:c>
      <x:c r="N37" s="15" t="n">
        <x:f>IF(E37=0,"해당 없음",F37/E37)</x:f>
        <x:v>0.10679611650485436</x:v>
      </x:c>
      <x:c r="O37" s="15" t="n">
        <x:f>IF(E37=0,"해당 없음",G37/E37)</x:f>
        <x:v>0.13592233009708737</x:v>
      </x:c>
      <x:c r="P37" s="15" t="n">
        <x:f>IF(E37=0,"해당 없음",H37/E37)</x:f>
        <x:v>0.07766990291262135</x:v>
      </x:c>
      <x:c r="Q37" s="15" t="n">
        <x:f>IF(E37=0,"해당 없음",I37/E37)</x:f>
        <x:v>0.10679611650485436</x:v>
      </x:c>
      <x:c r="R37" s="15" t="n">
        <x:f>IF(E37=0,"해당 없음",J37/E37)</x:f>
        <x:v>0.10679611650485436</x:v>
      </x:c>
      <x:c r="S37" s="15" t="n">
        <x:f>IF(E37=0,"해당 없음",K37/E37)</x:f>
        <x:v>0.21359223300970873</x:v>
      </x:c>
      <x:c r="T37" s="15" t="n">
        <x:f>IF(E37=0,"해당 없음",L37/E37)</x:f>
        <x:v>0.0970873786407767</x:v>
      </x:c>
      <x:c r="U37" s="15" t="n">
        <x:f>IF(E37=0,"해당 없음",M37/E37)</x:f>
        <x:v>0.1553398058252427</x:v>
      </x:c>
      <x:c r="V37" s="16" t="n">
        <x:f>E37/5</x:f>
        <x:v>20.6</x:v>
      </x:c>
    </x:row>
    <x:row r="38" ht="22" customHeight="1">
      <x:c r="A38" s="2" t="n">
        <x:v>17</x:v>
      </x:c>
      <x:c r="B38" s="2" t="str">
        <x:v>RED</x:v>
      </x:c>
      <x:c r="C38" s="2" t="str">
        <x:v>0만</x:v>
      </x:c>
      <x:c r="D38" s="2" t="str">
        <x:v>규칙형</x:v>
      </x:c>
      <x:c r="E38" s="14" t="n">
        <x:f>SUM(F38:M38)</x:f>
        <x:v>102</x:v>
      </x:c>
      <x:c r="F38" s="14" t="n">
        <x:v>13</x:v>
      </x:c>
      <x:c r="G38" s="14" t="n">
        <x:v>12</x:v>
      </x:c>
      <x:c r="H38" s="14" t="n">
        <x:v>11</x:v>
      </x:c>
      <x:c r="I38" s="14" t="n">
        <x:v>16</x:v>
      </x:c>
      <x:c r="J38" s="14" t="n">
        <x:v>13</x:v>
      </x:c>
      <x:c r="K38" s="14" t="n">
        <x:v>11</x:v>
      </x:c>
      <x:c r="L38" s="14" t="n">
        <x:v>8</x:v>
      </x:c>
      <x:c r="M38" s="14" t="n">
        <x:v>18</x:v>
      </x:c>
      <x:c r="N38" s="15" t="n">
        <x:f>IF(E38=0,"해당 없음",F38/E38)</x:f>
        <x:v>0.12745098039215685</x:v>
      </x:c>
      <x:c r="O38" s="15" t="n">
        <x:f>IF(E38=0,"해당 없음",G38/E38)</x:f>
        <x:v>0.11764705882352941</x:v>
      </x:c>
      <x:c r="P38" s="15" t="n">
        <x:f>IF(E38=0,"해당 없음",H38/E38)</x:f>
        <x:v>0.10784313725490197</x:v>
      </x:c>
      <x:c r="Q38" s="15" t="n">
        <x:f>IF(E38=0,"해당 없음",I38/E38)</x:f>
        <x:v>0.1568627450980392</x:v>
      </x:c>
      <x:c r="R38" s="15" t="n">
        <x:f>IF(E38=0,"해당 없음",J38/E38)</x:f>
        <x:v>0.12745098039215685</x:v>
      </x:c>
      <x:c r="S38" s="15" t="n">
        <x:f>IF(E38=0,"해당 없음",K38/E38)</x:f>
        <x:v>0.10784313725490197</x:v>
      </x:c>
      <x:c r="T38" s="15" t="n">
        <x:f>IF(E38=0,"해당 없음",L38/E38)</x:f>
        <x:v>0.0784313725490196</x:v>
      </x:c>
      <x:c r="U38" s="15" t="n">
        <x:f>IF(E38=0,"해당 없음",M38/E38)</x:f>
        <x:v>0.17647058823529413</x:v>
      </x:c>
      <x:c r="V38" s="16" t="n">
        <x:f>E38/5</x:f>
        <x:v>20.4</x:v>
      </x:c>
    </x:row>
    <x:row r="39" ht="22" customHeight="1">
      <x:c r="A39" s="2" t="n">
        <x:v>17</x:v>
      </x:c>
      <x:c r="B39" s="2" t="str">
        <x:v>NAVY</x:v>
      </x:c>
      <x:c r="C39" s="2" t="str">
        <x:v>규칙형</x:v>
      </x:c>
      <x:c r="D39" s="2" t="str">
        <x:v>0만</x:v>
      </x:c>
      <x:c r="E39" s="14" t="n">
        <x:f>SUM(F39:M39)</x:f>
        <x:v>106</x:v>
      </x:c>
      <x:c r="F39" s="14" t="n">
        <x:v>55</x:v>
      </x:c>
      <x:c r="G39" s="14" t="n">
        <x:v>2</x:v>
      </x:c>
      <x:c r="H39" s="14" t="n">
        <x:v>5</x:v>
      </x:c>
      <x:c r="I39" s="14" t="n">
        <x:v>21</x:v>
      </x:c>
      <x:c r="J39" s="14" t="n">
        <x:v>4</x:v>
      </x:c>
      <x:c r="K39" s="14" t="n">
        <x:v>1</x:v>
      </x:c>
      <x:c r="L39" s="14" t="n">
        <x:v>16</x:v>
      </x:c>
      <x:c r="M39" s="14" t="n">
        <x:v>2</x:v>
      </x:c>
      <x:c r="N39" s="15" t="n">
        <x:f>IF(E39=0,"해당 없음",F39/E39)</x:f>
        <x:v>0.5188679245283019</x:v>
      </x:c>
      <x:c r="O39" s="15" t="n">
        <x:f>IF(E39=0,"해당 없음",G39/E39)</x:f>
        <x:v>0.018867924528301886</x:v>
      </x:c>
      <x:c r="P39" s="15" t="n">
        <x:f>IF(E39=0,"해당 없음",H39/E39)</x:f>
        <x:v>0.04716981132075472</x:v>
      </x:c>
      <x:c r="Q39" s="15" t="n">
        <x:f>IF(E39=0,"해당 없음",I39/E39)</x:f>
        <x:v>0.19811320754716982</x:v>
      </x:c>
      <x:c r="R39" s="15" t="n">
        <x:f>IF(E39=0,"해당 없음",J39/E39)</x:f>
        <x:v>0.03773584905660377</x:v>
      </x:c>
      <x:c r="S39" s="15" t="n">
        <x:f>IF(E39=0,"해당 없음",K39/E39)</x:f>
        <x:v>0.009433962264150943</x:v>
      </x:c>
      <x:c r="T39" s="15" t="n">
        <x:f>IF(E39=0,"해당 없음",L39/E39)</x:f>
        <x:v>0.1509433962264151</x:v>
      </x:c>
      <x:c r="U39" s="15" t="n">
        <x:f>IF(E39=0,"해당 없음",M39/E39)</x:f>
        <x:v>0.018867924528301886</x:v>
      </x:c>
      <x:c r="V39" s="16" t="n">
        <x:f>E39/5</x:f>
        <x:v>21.2</x:v>
      </x:c>
    </x:row>
    <x:row r="40" ht="22" customHeight="1">
      <x:c r="A40" s="2" t="n">
        <x:v>18</x:v>
      </x:c>
      <x:c r="B40" s="2" t="str">
        <x:v>RED</x:v>
      </x:c>
      <x:c r="C40" s="2" t="str">
        <x:v>규칙형</x:v>
      </x:c>
      <x:c r="D40" s="2" t="str">
        <x:v>0만</x:v>
      </x:c>
      <x:c r="E40" s="14" t="n">
        <x:f>SUM(F40:M40)</x:f>
        <x:v>105</x:v>
      </x:c>
      <x:c r="F40" s="14" t="n">
        <x:v>48</x:v>
      </x:c>
      <x:c r="G40" s="14" t="n">
        <x:v>3</x:v>
      </x:c>
      <x:c r="H40" s="14" t="n">
        <x:v>7</x:v>
      </x:c>
      <x:c r="I40" s="14" t="n">
        <x:v>14</x:v>
      </x:c>
      <x:c r="J40" s="14" t="n">
        <x:v>5</x:v>
      </x:c>
      <x:c r="K40" s="14" t="n">
        <x:v>3</x:v>
      </x:c>
      <x:c r="L40" s="14" t="n">
        <x:v>11</x:v>
      </x:c>
      <x:c r="M40" s="14" t="n">
        <x:v>14</x:v>
      </x:c>
      <x:c r="N40" s="15" t="n">
        <x:f>IF(E40=0,"해당 없음",F40/E40)</x:f>
        <x:v>0.45714285714285713</x:v>
      </x:c>
      <x:c r="O40" s="15" t="n">
        <x:f>IF(E40=0,"해당 없음",G40/E40)</x:f>
        <x:v>0.02857142857142857</x:v>
      </x:c>
      <x:c r="P40" s="15" t="n">
        <x:f>IF(E40=0,"해당 없음",H40/E40)</x:f>
        <x:v>0.06666666666666667</x:v>
      </x:c>
      <x:c r="Q40" s="15" t="n">
        <x:f>IF(E40=0,"해당 없음",I40/E40)</x:f>
        <x:v>0.13333333333333333</x:v>
      </x:c>
      <x:c r="R40" s="15" t="n">
        <x:f>IF(E40=0,"해당 없음",J40/E40)</x:f>
        <x:v>0.047619047619047616</x:v>
      </x:c>
      <x:c r="S40" s="15" t="n">
        <x:f>IF(E40=0,"해당 없음",K40/E40)</x:f>
        <x:v>0.02857142857142857</x:v>
      </x:c>
      <x:c r="T40" s="15" t="n">
        <x:f>IF(E40=0,"해당 없음",L40/E40)</x:f>
        <x:v>0.10476190476190476</x:v>
      </x:c>
      <x:c r="U40" s="15" t="n">
        <x:f>IF(E40=0,"해당 없음",M40/E40)</x:f>
        <x:v>0.13333333333333333</x:v>
      </x:c>
      <x:c r="V40" s="16" t="n">
        <x:f>E40/5</x:f>
        <x:v>21</x:v>
      </x:c>
    </x:row>
    <x:row r="41" ht="22" customHeight="1">
      <x:c r="A41" s="2" t="n">
        <x:v>18</x:v>
      </x:c>
      <x:c r="B41" s="2" t="str">
        <x:v>NAVY</x:v>
      </x:c>
      <x:c r="C41" s="2" t="str">
        <x:v>0만</x:v>
      </x:c>
      <x:c r="D41" s="2" t="str">
        <x:v>규칙형</x:v>
      </x:c>
      <x:c r="E41" s="14" t="n">
        <x:f>SUM(F41:M41)</x:f>
        <x:v>104</x:v>
      </x:c>
      <x:c r="F41" s="14" t="n">
        <x:v>13</x:v>
      </x:c>
      <x:c r="G41" s="14" t="n">
        <x:v>12</x:v>
      </x:c>
      <x:c r="H41" s="14" t="n">
        <x:v>12</x:v>
      </x:c>
      <x:c r="I41" s="14" t="n">
        <x:v>16</x:v>
      </x:c>
      <x:c r="J41" s="14" t="n">
        <x:v>14</x:v>
      </x:c>
      <x:c r="K41" s="14" t="n">
        <x:v>11</x:v>
      </x:c>
      <x:c r="L41" s="14" t="n">
        <x:v>8</x:v>
      </x:c>
      <x:c r="M41" s="14" t="n">
        <x:v>18</x:v>
      </x:c>
      <x:c r="N41" s="15" t="n">
        <x:f>IF(E41=0,"해당 없음",F41/E41)</x:f>
        <x:v>0.125</x:v>
      </x:c>
      <x:c r="O41" s="15" t="n">
        <x:f>IF(E41=0,"해당 없음",G41/E41)</x:f>
        <x:v>0.11538461538461539</x:v>
      </x:c>
      <x:c r="P41" s="15" t="n">
        <x:f>IF(E41=0,"해당 없음",H41/E41)</x:f>
        <x:v>0.11538461538461539</x:v>
      </x:c>
      <x:c r="Q41" s="15" t="n">
        <x:f>IF(E41=0,"해당 없음",I41/E41)</x:f>
        <x:v>0.15384615384615385</x:v>
      </x:c>
      <x:c r="R41" s="15" t="n">
        <x:f>IF(E41=0,"해당 없음",J41/E41)</x:f>
        <x:v>0.1346153846153846</x:v>
      </x:c>
      <x:c r="S41" s="15" t="n">
        <x:f>IF(E41=0,"해당 없음",K41/E41)</x:f>
        <x:v>0.10576923076923077</x:v>
      </x:c>
      <x:c r="T41" s="15" t="n">
        <x:f>IF(E41=0,"해당 없음",L41/E41)</x:f>
        <x:v>0.07692307692307693</x:v>
      </x:c>
      <x:c r="U41" s="15" t="n">
        <x:f>IF(E41=0,"해당 없음",M41/E41)</x:f>
        <x:v>0.17307692307692307</x:v>
      </x:c>
      <x:c r="V41" s="16" t="n">
        <x:f>E41/5</x:f>
        <x:v>20.8</x:v>
      </x:c>
    </x:row>
    <x:row r="42" ht="22" customHeight="1">
      <x:c r="A42" s="2" t="n">
        <x:v>19</x:v>
      </x:c>
      <x:c r="B42" s="2" t="str">
        <x:v>RED</x:v>
      </x:c>
      <x:c r="C42" s="2" t="str">
        <x:v>0만</x:v>
      </x:c>
      <x:c r="D42" s="2" t="str">
        <x:v>규칙형</x:v>
      </x:c>
      <x:c r="E42" s="14" t="n">
        <x:f>SUM(F42:M42)</x:f>
        <x:v>106</x:v>
      </x:c>
      <x:c r="F42" s="14" t="n">
        <x:v>15</x:v>
      </x:c>
      <x:c r="G42" s="14" t="n">
        <x:v>7</x:v>
      </x:c>
      <x:c r="H42" s="14" t="n">
        <x:v>16</x:v>
      </x:c>
      <x:c r="I42" s="14" t="n">
        <x:v>11</x:v>
      </x:c>
      <x:c r="J42" s="14" t="n">
        <x:v>12</x:v>
      </x:c>
      <x:c r="K42" s="14" t="n">
        <x:v>16</x:v>
      </x:c>
      <x:c r="L42" s="14" t="n">
        <x:v>12</x:v>
      </x:c>
      <x:c r="M42" s="14" t="n">
        <x:v>17</x:v>
      </x:c>
      <x:c r="N42" s="15" t="n">
        <x:f>IF(E42=0,"해당 없음",F42/E42)</x:f>
        <x:v>0.14150943396226415</x:v>
      </x:c>
      <x:c r="O42" s="15" t="n">
        <x:f>IF(E42=0,"해당 없음",G42/E42)</x:f>
        <x:v>0.0660377358490566</x:v>
      </x:c>
      <x:c r="P42" s="15" t="n">
        <x:f>IF(E42=0,"해당 없음",H42/E42)</x:f>
        <x:v>0.1509433962264151</x:v>
      </x:c>
      <x:c r="Q42" s="15" t="n">
        <x:f>IF(E42=0,"해당 없음",I42/E42)</x:f>
        <x:v>0.10377358490566038</x:v>
      </x:c>
      <x:c r="R42" s="15" t="n">
        <x:f>IF(E42=0,"해당 없음",J42/E42)</x:f>
        <x:v>0.11320754716981132</x:v>
      </x:c>
      <x:c r="S42" s="15" t="n">
        <x:f>IF(E42=0,"해당 없음",K42/E42)</x:f>
        <x:v>0.1509433962264151</x:v>
      </x:c>
      <x:c r="T42" s="15" t="n">
        <x:f>IF(E42=0,"해당 없음",L42/E42)</x:f>
        <x:v>0.11320754716981132</x:v>
      </x:c>
      <x:c r="U42" s="15" t="n">
        <x:f>IF(E42=0,"해당 없음",M42/E42)</x:f>
        <x:v>0.16037735849056603</x:v>
      </x:c>
      <x:c r="V42" s="16" t="n">
        <x:f>E42/5</x:f>
        <x:v>21.2</x:v>
      </x:c>
    </x:row>
    <x:row r="43" ht="22" customHeight="1">
      <x:c r="A43" s="2" t="n">
        <x:v>19</x:v>
      </x:c>
      <x:c r="B43" s="2" t="str">
        <x:v>NAVY</x:v>
      </x:c>
      <x:c r="C43" s="2" t="str">
        <x:v>규칙형</x:v>
      </x:c>
      <x:c r="D43" s="2" t="str">
        <x:v>0만</x:v>
      </x:c>
      <x:c r="E43" s="14" t="n">
        <x:f>SUM(F43:M43)</x:f>
        <x:v>105</x:v>
      </x:c>
      <x:c r="F43" s="14" t="n">
        <x:v>40</x:v>
      </x:c>
      <x:c r="G43" s="14" t="n">
        <x:v>6</x:v>
      </x:c>
      <x:c r="H43" s="14" t="n">
        <x:v>9</x:v>
      </x:c>
      <x:c r="I43" s="14" t="n">
        <x:v>23</x:v>
      </x:c>
      <x:c r="J43" s="14" t="n">
        <x:v>5</x:v>
      </x:c>
      <x:c r="K43" s="14" t="n">
        <x:v>3</x:v>
      </x:c>
      <x:c r="L43" s="14" t="n">
        <x:v>14</x:v>
      </x:c>
      <x:c r="M43" s="14" t="n">
        <x:v>5</x:v>
      </x:c>
      <x:c r="N43" s="15" t="n">
        <x:f>IF(E43=0,"해당 없음",F43/E43)</x:f>
        <x:v>0.38095238095238093</x:v>
      </x:c>
      <x:c r="O43" s="15" t="n">
        <x:f>IF(E43=0,"해당 없음",G43/E43)</x:f>
        <x:v>0.05714285714285714</x:v>
      </x:c>
      <x:c r="P43" s="15" t="n">
        <x:f>IF(E43=0,"해당 없음",H43/E43)</x:f>
        <x:v>0.08571428571428572</x:v>
      </x:c>
      <x:c r="Q43" s="15" t="n">
        <x:f>IF(E43=0,"해당 없음",I43/E43)</x:f>
        <x:v>0.21904761904761905</x:v>
      </x:c>
      <x:c r="R43" s="15" t="n">
        <x:f>IF(E43=0,"해당 없음",J43/E43)</x:f>
        <x:v>0.047619047619047616</x:v>
      </x:c>
      <x:c r="S43" s="15" t="n">
        <x:f>IF(E43=0,"해당 없음",K43/E43)</x:f>
        <x:v>0.02857142857142857</x:v>
      </x:c>
      <x:c r="T43" s="15" t="n">
        <x:f>IF(E43=0,"해당 없음",L43/E43)</x:f>
        <x:v>0.13333333333333333</x:v>
      </x:c>
      <x:c r="U43" s="15" t="n">
        <x:f>IF(E43=0,"해당 없음",M43/E43)</x:f>
        <x:v>0.047619047619047616</x:v>
      </x:c>
      <x:c r="V43" s="16" t="n">
        <x:f>E43/5</x:f>
        <x:v>21</x:v>
      </x:c>
    </x:row>
    <x:row r="44" ht="22" customHeight="1">
      <x:c r="A44" s="2" t="n">
        <x:v>20</x:v>
      </x:c>
      <x:c r="B44" s="2" t="str">
        <x:v>RED</x:v>
      </x:c>
      <x:c r="C44" s="2" t="str">
        <x:v>규칙형</x:v>
      </x:c>
      <x:c r="D44" s="2" t="str">
        <x:v>0만</x:v>
      </x:c>
      <x:c r="E44" s="14" t="n">
        <x:f>SUM(F44:M44)</x:f>
        <x:v>103</x:v>
      </x:c>
      <x:c r="F44" s="14" t="n">
        <x:v>46</x:v>
      </x:c>
      <x:c r="G44" s="14" t="n">
        <x:v>5</x:v>
      </x:c>
      <x:c r="H44" s="14" t="n">
        <x:v>3</x:v>
      </x:c>
      <x:c r="I44" s="14" t="n">
        <x:v>13</x:v>
      </x:c>
      <x:c r="J44" s="14" t="n">
        <x:v>7</x:v>
      </x:c>
      <x:c r="K44" s="14" t="n">
        <x:v>5</x:v>
      </x:c>
      <x:c r="L44" s="14" t="n">
        <x:v>20</x:v>
      </x:c>
      <x:c r="M44" s="14" t="n">
        <x:v>4</x:v>
      </x:c>
      <x:c r="N44" s="15" t="n">
        <x:f>IF(E44=0,"해당 없음",F44/E44)</x:f>
        <x:v>0.44660194174757284</x:v>
      </x:c>
      <x:c r="O44" s="15" t="n">
        <x:f>IF(E44=0,"해당 없음",G44/E44)</x:f>
        <x:v>0.04854368932038835</x:v>
      </x:c>
      <x:c r="P44" s="15" t="n">
        <x:f>IF(E44=0,"해당 없음",H44/E44)</x:f>
        <x:v>0.02912621359223301</x:v>
      </x:c>
      <x:c r="Q44" s="15" t="n">
        <x:f>IF(E44=0,"해당 없음",I44/E44)</x:f>
        <x:v>0.1262135922330097</x:v>
      </x:c>
      <x:c r="R44" s="15" t="n">
        <x:f>IF(E44=0,"해당 없음",J44/E44)</x:f>
        <x:v>0.06796116504854369</x:v>
      </x:c>
      <x:c r="S44" s="15" t="n">
        <x:f>IF(E44=0,"해당 없음",K44/E44)</x:f>
        <x:v>0.04854368932038835</x:v>
      </x:c>
      <x:c r="T44" s="15" t="n">
        <x:f>IF(E44=0,"해당 없음",L44/E44)</x:f>
        <x:v>0.1941747572815534</x:v>
      </x:c>
      <x:c r="U44" s="15" t="n">
        <x:f>IF(E44=0,"해당 없음",M44/E44)</x:f>
        <x:v>0.038834951456310676</x:v>
      </x:c>
      <x:c r="V44" s="16" t="n">
        <x:f>E44/5</x:f>
        <x:v>20.6</x:v>
      </x:c>
    </x:row>
    <x:row r="45" ht="22" customHeight="1">
      <x:c r="A45" s="2" t="n">
        <x:v>20</x:v>
      </x:c>
      <x:c r="B45" s="2" t="str">
        <x:v>NAVY</x:v>
      </x:c>
      <x:c r="C45" s="2" t="str">
        <x:v>0만</x:v>
      </x:c>
      <x:c r="D45" s="2" t="str">
        <x:v>규칙형</x:v>
      </x:c>
      <x:c r="E45" s="14" t="n">
        <x:f>SUM(F45:M45)</x:f>
        <x:v>102</x:v>
      </x:c>
      <x:c r="F45" s="14" t="n">
        <x:v>14</x:v>
      </x:c>
      <x:c r="G45" s="14" t="n">
        <x:v>7</x:v>
      </x:c>
      <x:c r="H45" s="14" t="n">
        <x:v>15</x:v>
      </x:c>
      <x:c r="I45" s="14" t="n">
        <x:v>10</x:v>
      </x:c>
      <x:c r="J45" s="14" t="n">
        <x:v>12</x:v>
      </x:c>
      <x:c r="K45" s="14" t="n">
        <x:v>16</x:v>
      </x:c>
      <x:c r="L45" s="14" t="n">
        <x:v>12</x:v>
      </x:c>
      <x:c r="M45" s="14" t="n">
        <x:v>16</x:v>
      </x:c>
      <x:c r="N45" s="15" t="n">
        <x:f>IF(E45=0,"해당 없음",F45/E45)</x:f>
        <x:v>0.13725490196078433</x:v>
      </x:c>
      <x:c r="O45" s="15" t="n">
        <x:f>IF(E45=0,"해당 없음",G45/E45)</x:f>
        <x:v>0.06862745098039216</x:v>
      </x:c>
      <x:c r="P45" s="15" t="n">
        <x:f>IF(E45=0,"해당 없음",H45/E45)</x:f>
        <x:v>0.14705882352941177</x:v>
      </x:c>
      <x:c r="Q45" s="15" t="n">
        <x:f>IF(E45=0,"해당 없음",I45/E45)</x:f>
        <x:v>0.09803921568627451</x:v>
      </x:c>
      <x:c r="R45" s="15" t="n">
        <x:f>IF(E45=0,"해당 없음",J45/E45)</x:f>
        <x:v>0.11764705882352941</x:v>
      </x:c>
      <x:c r="S45" s="15" t="n">
        <x:f>IF(E45=0,"해당 없음",K45/E45)</x:f>
        <x:v>0.1568627450980392</x:v>
      </x:c>
      <x:c r="T45" s="15" t="n">
        <x:f>IF(E45=0,"해당 없음",L45/E45)</x:f>
        <x:v>0.11764705882352941</x:v>
      </x:c>
      <x:c r="U45" s="15" t="n">
        <x:f>IF(E45=0,"해당 없음",M45/E45)</x:f>
        <x:v>0.1568627450980392</x:v>
      </x:c>
      <x:c r="V45" s="16" t="n">
        <x:f>E45/5</x:f>
        <x:v>20.4</x:v>
      </x:c>
    </x:row>
    <x:row r="46" ht="22" customHeight="1">
      <x:c r="A46" s="2" t="n">
        <x:v>21</x:v>
      </x:c>
      <x:c r="B46" s="2" t="str">
        <x:v>RED</x:v>
      </x:c>
      <x:c r="C46" s="2" t="str">
        <x:v>0만</x:v>
      </x:c>
      <x:c r="D46" s="2" t="str">
        <x:v>규칙형</x:v>
      </x:c>
      <x:c r="E46" s="14" t="n">
        <x:f>SUM(F46:M46)</x:f>
        <x:v>104</x:v>
      </x:c>
      <x:c r="F46" s="14" t="n">
        <x:v>10</x:v>
      </x:c>
      <x:c r="G46" s="14" t="n">
        <x:v>11</x:v>
      </x:c>
      <x:c r="H46" s="14" t="n">
        <x:v>19</x:v>
      </x:c>
      <x:c r="I46" s="14" t="n">
        <x:v>11</x:v>
      </x:c>
      <x:c r="J46" s="14" t="n">
        <x:v>16</x:v>
      </x:c>
      <x:c r="K46" s="14" t="n">
        <x:v>13</x:v>
      </x:c>
      <x:c r="L46" s="14" t="n">
        <x:v>13</x:v>
      </x:c>
      <x:c r="M46" s="14" t="n">
        <x:v>11</x:v>
      </x:c>
      <x:c r="N46" s="15" t="n">
        <x:f>IF(E46=0,"해당 없음",F46/E46)</x:f>
        <x:v>0.09615384615384616</x:v>
      </x:c>
      <x:c r="O46" s="15" t="n">
        <x:f>IF(E46=0,"해당 없음",G46/E46)</x:f>
        <x:v>0.10576923076923077</x:v>
      </x:c>
      <x:c r="P46" s="15" t="n">
        <x:f>IF(E46=0,"해당 없음",H46/E46)</x:f>
        <x:v>0.18269230769230768</x:v>
      </x:c>
      <x:c r="Q46" s="15" t="n">
        <x:f>IF(E46=0,"해당 없음",I46/E46)</x:f>
        <x:v>0.10576923076923077</x:v>
      </x:c>
      <x:c r="R46" s="15" t="n">
        <x:f>IF(E46=0,"해당 없음",J46/E46)</x:f>
        <x:v>0.15384615384615385</x:v>
      </x:c>
      <x:c r="S46" s="15" t="n">
        <x:f>IF(E46=0,"해당 없음",K46/E46)</x:f>
        <x:v>0.125</x:v>
      </x:c>
      <x:c r="T46" s="15" t="n">
        <x:f>IF(E46=0,"해당 없음",L46/E46)</x:f>
        <x:v>0.125</x:v>
      </x:c>
      <x:c r="U46" s="15" t="n">
        <x:f>IF(E46=0,"해당 없음",M46/E46)</x:f>
        <x:v>0.10576923076923077</x:v>
      </x:c>
      <x:c r="V46" s="16" t="n">
        <x:f>E46/5</x:f>
        <x:v>20.8</x:v>
      </x:c>
    </x:row>
    <x:row r="47" ht="22" customHeight="1">
      <x:c r="A47" s="2" t="n">
        <x:v>21</x:v>
      </x:c>
      <x:c r="B47" s="2" t="str">
        <x:v>NAVY</x:v>
      </x:c>
      <x:c r="C47" s="2" t="str">
        <x:v>규칙형</x:v>
      </x:c>
      <x:c r="D47" s="2" t="str">
        <x:v>0만</x:v>
      </x:c>
      <x:c r="E47" s="14" t="n">
        <x:f>SUM(F47:M47)</x:f>
        <x:v>104</x:v>
      </x:c>
      <x:c r="F47" s="14" t="n">
        <x:v>42</x:v>
      </x:c>
      <x:c r="G47" s="14" t="n">
        <x:v>2</x:v>
      </x:c>
      <x:c r="H47" s="14" t="n">
        <x:v>14</x:v>
      </x:c>
      <x:c r="I47" s="14" t="n">
        <x:v>30</x:v>
      </x:c>
      <x:c r="J47" s="14" t="n">
        <x:v>3</x:v>
      </x:c>
      <x:c r="K47" s="14" t="n">
        <x:v>0</x:v>
      </x:c>
      <x:c r="L47" s="14" t="n">
        <x:v>13</x:v>
      </x:c>
      <x:c r="M47" s="14" t="n">
        <x:v>0</x:v>
      </x:c>
      <x:c r="N47" s="15" t="n">
        <x:f>IF(E47=0,"해당 없음",F47/E47)</x:f>
        <x:v>0.40384615384615385</x:v>
      </x:c>
      <x:c r="O47" s="15" t="n">
        <x:f>IF(E47=0,"해당 없음",G47/E47)</x:f>
        <x:v>0.019230769230769232</x:v>
      </x:c>
      <x:c r="P47" s="15" t="n">
        <x:f>IF(E47=0,"해당 없음",H47/E47)</x:f>
        <x:v>0.1346153846153846</x:v>
      </x:c>
      <x:c r="Q47" s="15" t="n">
        <x:f>IF(E47=0,"해당 없음",I47/E47)</x:f>
        <x:v>0.28846153846153844</x:v>
      </x:c>
      <x:c r="R47" s="15" t="n">
        <x:f>IF(E47=0,"해당 없음",J47/E47)</x:f>
        <x:v>0.028846153846153848</x:v>
      </x:c>
      <x:c r="S47" s="15" t="n">
        <x:f>IF(E47=0,"해당 없음",K47/E47)</x:f>
        <x:v>0</x:v>
      </x:c>
      <x:c r="T47" s="15" t="n">
        <x:f>IF(E47=0,"해당 없음",L47/E47)</x:f>
        <x:v>0.125</x:v>
      </x:c>
      <x:c r="U47" s="15" t="n">
        <x:f>IF(E47=0,"해당 없음",M47/E47)</x:f>
        <x:v>0</x:v>
      </x:c>
      <x:c r="V47" s="16" t="n">
        <x:f>E47/5</x:f>
        <x:v>20.8</x:v>
      </x:c>
    </x:row>
    <x:row r="48" ht="22" customHeight="1">
      <x:c r="A48" s="2" t="n">
        <x:v>22</x:v>
      </x:c>
      <x:c r="B48" s="2" t="str">
        <x:v>RED</x:v>
      </x:c>
      <x:c r="C48" s="2" t="str">
        <x:v>규칙형</x:v>
      </x:c>
      <x:c r="D48" s="2" t="str">
        <x:v>0만</x:v>
      </x:c>
      <x:c r="E48" s="14" t="n">
        <x:f>SUM(F48:M48)</x:f>
        <x:v>104</x:v>
      </x:c>
      <x:c r="F48" s="14" t="n">
        <x:v>42</x:v>
      </x:c>
      <x:c r="G48" s="14" t="n">
        <x:v>4</x:v>
      </x:c>
      <x:c r="H48" s="14" t="n">
        <x:v>9</x:v>
      </x:c>
      <x:c r="I48" s="14" t="n">
        <x:v>19</x:v>
      </x:c>
      <x:c r="J48" s="14" t="n">
        <x:v>5</x:v>
      </x:c>
      <x:c r="K48" s="14" t="n">
        <x:v>3</x:v>
      </x:c>
      <x:c r="L48" s="14" t="n">
        <x:v>19</x:v>
      </x:c>
      <x:c r="M48" s="14" t="n">
        <x:v>3</x:v>
      </x:c>
      <x:c r="N48" s="15" t="n">
        <x:f>IF(E48=0,"해당 없음",F48/E48)</x:f>
        <x:v>0.40384615384615385</x:v>
      </x:c>
      <x:c r="O48" s="15" t="n">
        <x:f>IF(E48=0,"해당 없음",G48/E48)</x:f>
        <x:v>0.038461538461538464</x:v>
      </x:c>
      <x:c r="P48" s="15" t="n">
        <x:f>IF(E48=0,"해당 없음",H48/E48)</x:f>
        <x:v>0.08653846153846154</x:v>
      </x:c>
      <x:c r="Q48" s="15" t="n">
        <x:f>IF(E48=0,"해당 없음",I48/E48)</x:f>
        <x:v>0.18269230769230768</x:v>
      </x:c>
      <x:c r="R48" s="15" t="n">
        <x:f>IF(E48=0,"해당 없음",J48/E48)</x:f>
        <x:v>0.04807692307692308</x:v>
      </x:c>
      <x:c r="S48" s="15" t="n">
        <x:f>IF(E48=0,"해당 없음",K48/E48)</x:f>
        <x:v>0.028846153846153848</x:v>
      </x:c>
      <x:c r="T48" s="15" t="n">
        <x:f>IF(E48=0,"해당 없음",L48/E48)</x:f>
        <x:v>0.18269230769230768</x:v>
      </x:c>
      <x:c r="U48" s="15" t="n">
        <x:f>IF(E48=0,"해당 없음",M48/E48)</x:f>
        <x:v>0.028846153846153848</x:v>
      </x:c>
      <x:c r="V48" s="16" t="n">
        <x:f>E48/5</x:f>
        <x:v>20.8</x:v>
      </x:c>
    </x:row>
    <x:row r="49" ht="22" customHeight="1">
      <x:c r="A49" s="2" t="n">
        <x:v>22</x:v>
      </x:c>
      <x:c r="B49" s="2" t="str">
        <x:v>NAVY</x:v>
      </x:c>
      <x:c r="C49" s="2" t="str">
        <x:v>0만</x:v>
      </x:c>
      <x:c r="D49" s="2" t="str">
        <x:v>규칙형</x:v>
      </x:c>
      <x:c r="E49" s="14" t="n">
        <x:f>SUM(F49:M49)</x:f>
        <x:v>103</x:v>
      </x:c>
      <x:c r="F49" s="14" t="n">
        <x:v>10</x:v>
      </x:c>
      <x:c r="G49" s="14" t="n">
        <x:v>11</x:v>
      </x:c>
      <x:c r="H49" s="14" t="n">
        <x:v>18</x:v>
      </x:c>
      <x:c r="I49" s="14" t="n">
        <x:v>11</x:v>
      </x:c>
      <x:c r="J49" s="14" t="n">
        <x:v>16</x:v>
      </x:c>
      <x:c r="K49" s="14" t="n">
        <x:v>13</x:v>
      </x:c>
      <x:c r="L49" s="14" t="n">
        <x:v>13</x:v>
      </x:c>
      <x:c r="M49" s="14" t="n">
        <x:v>11</x:v>
      </x:c>
      <x:c r="N49" s="15" t="n">
        <x:f>IF(E49=0,"해당 없음",F49/E49)</x:f>
        <x:v>0.0970873786407767</x:v>
      </x:c>
      <x:c r="O49" s="15" t="n">
        <x:f>IF(E49=0,"해당 없음",G49/E49)</x:f>
        <x:v>0.10679611650485436</x:v>
      </x:c>
      <x:c r="P49" s="15" t="n">
        <x:f>IF(E49=0,"해당 없음",H49/E49)</x:f>
        <x:v>0.17475728155339806</x:v>
      </x:c>
      <x:c r="Q49" s="15" t="n">
        <x:f>IF(E49=0,"해당 없음",I49/E49)</x:f>
        <x:v>0.10679611650485436</x:v>
      </x:c>
      <x:c r="R49" s="15" t="n">
        <x:f>IF(E49=0,"해당 없음",J49/E49)</x:f>
        <x:v>0.1553398058252427</x:v>
      </x:c>
      <x:c r="S49" s="15" t="n">
        <x:f>IF(E49=0,"해당 없음",K49/E49)</x:f>
        <x:v>0.1262135922330097</x:v>
      </x:c>
      <x:c r="T49" s="15" t="n">
        <x:f>IF(E49=0,"해당 없음",L49/E49)</x:f>
        <x:v>0.1262135922330097</x:v>
      </x:c>
      <x:c r="U49" s="15" t="n">
        <x:f>IF(E49=0,"해당 없음",M49/E49)</x:f>
        <x:v>0.10679611650485436</x:v>
      </x:c>
      <x:c r="V49" s="16" t="n">
        <x:f>E49/5</x:f>
        <x:v>20.6</x:v>
      </x:c>
    </x:row>
    <x:row r="50" ht="22" customHeight="1">
      <x:c r="A50" s="2" t="n">
        <x:v>23</x:v>
      </x:c>
      <x:c r="B50" s="2" t="str">
        <x:v>RED</x:v>
      </x:c>
      <x:c r="C50" s="2" t="str">
        <x:v>0만</x:v>
      </x:c>
      <x:c r="D50" s="2" t="str">
        <x:v>규칙형</x:v>
      </x:c>
      <x:c r="E50" s="14" t="n">
        <x:f>SUM(F50:M50)</x:f>
        <x:v>106</x:v>
      </x:c>
      <x:c r="F50" s="14" t="n">
        <x:v>20</x:v>
      </x:c>
      <x:c r="G50" s="14" t="n">
        <x:v>9</x:v>
      </x:c>
      <x:c r="H50" s="14" t="n">
        <x:v>10</x:v>
      </x:c>
      <x:c r="I50" s="14" t="n">
        <x:v>20</x:v>
      </x:c>
      <x:c r="J50" s="14" t="n">
        <x:v>7</x:v>
      </x:c>
      <x:c r="K50" s="14" t="n">
        <x:v>15</x:v>
      </x:c>
      <x:c r="L50" s="14" t="n">
        <x:v>13</x:v>
      </x:c>
      <x:c r="M50" s="14" t="n">
        <x:v>12</x:v>
      </x:c>
      <x:c r="N50" s="15" t="n">
        <x:f>IF(E50=0,"해당 없음",F50/E50)</x:f>
        <x:v>0.18867924528301888</x:v>
      </x:c>
      <x:c r="O50" s="15" t="n">
        <x:f>IF(E50=0,"해당 없음",G50/E50)</x:f>
        <x:v>0.08490566037735849</x:v>
      </x:c>
      <x:c r="P50" s="15" t="n">
        <x:f>IF(E50=0,"해당 없음",H50/E50)</x:f>
        <x:v>0.09433962264150944</x:v>
      </x:c>
      <x:c r="Q50" s="15" t="n">
        <x:f>IF(E50=0,"해당 없음",I50/E50)</x:f>
        <x:v>0.18867924528301888</x:v>
      </x:c>
      <x:c r="R50" s="15" t="n">
        <x:f>IF(E50=0,"해당 없음",J50/E50)</x:f>
        <x:v>0.0660377358490566</x:v>
      </x:c>
      <x:c r="S50" s="15" t="n">
        <x:f>IF(E50=0,"해당 없음",K50/E50)</x:f>
        <x:v>0.14150943396226415</x:v>
      </x:c>
      <x:c r="T50" s="15" t="n">
        <x:f>IF(E50=0,"해당 없음",L50/E50)</x:f>
        <x:v>0.12264150943396226</x:v>
      </x:c>
      <x:c r="U50" s="15" t="n">
        <x:f>IF(E50=0,"해당 없음",M50/E50)</x:f>
        <x:v>0.11320754716981132</x:v>
      </x:c>
      <x:c r="V50" s="16" t="n">
        <x:f>E50/5</x:f>
        <x:v>21.2</x:v>
      </x:c>
    </x:row>
    <x:row r="51" ht="22" customHeight="1">
      <x:c r="A51" s="2" t="n">
        <x:v>23</x:v>
      </x:c>
      <x:c r="B51" s="2" t="str">
        <x:v>NAVY</x:v>
      </x:c>
      <x:c r="C51" s="2" t="str">
        <x:v>규칙형</x:v>
      </x:c>
      <x:c r="D51" s="2" t="str">
        <x:v>0만</x:v>
      </x:c>
      <x:c r="E51" s="14" t="n">
        <x:f>SUM(F51:M51)</x:f>
        <x:v>107</x:v>
      </x:c>
      <x:c r="F51" s="14" t="n">
        <x:v>46</x:v>
      </x:c>
      <x:c r="G51" s="14" t="n">
        <x:v>3</x:v>
      </x:c>
      <x:c r="H51" s="14" t="n">
        <x:v>22</x:v>
      </x:c>
      <x:c r="I51" s="14" t="n">
        <x:v>15</x:v>
      </x:c>
      <x:c r="J51" s="14" t="n">
        <x:v>3</x:v>
      </x:c>
      <x:c r="K51" s="14" t="n">
        <x:v>4</x:v>
      </x:c>
      <x:c r="L51" s="14" t="n">
        <x:v>13</x:v>
      </x:c>
      <x:c r="M51" s="14" t="n">
        <x:v>1</x:v>
      </x:c>
      <x:c r="N51" s="15" t="n">
        <x:f>IF(E51=0,"해당 없음",F51/E51)</x:f>
        <x:v>0.42990654205607476</x:v>
      </x:c>
      <x:c r="O51" s="15" t="n">
        <x:f>IF(E51=0,"해당 없음",G51/E51)</x:f>
        <x:v>0.028037383177570093</x:v>
      </x:c>
      <x:c r="P51" s="15" t="n">
        <x:f>IF(E51=0,"해당 없음",H51/E51)</x:f>
        <x:v>0.205607476635514</x:v>
      </x:c>
      <x:c r="Q51" s="15" t="n">
        <x:f>IF(E51=0,"해당 없음",I51/E51)</x:f>
        <x:v>0.14018691588785046</x:v>
      </x:c>
      <x:c r="R51" s="15" t="n">
        <x:f>IF(E51=0,"해당 없음",J51/E51)</x:f>
        <x:v>0.028037383177570093</x:v>
      </x:c>
      <x:c r="S51" s="15" t="n">
        <x:f>IF(E51=0,"해당 없음",K51/E51)</x:f>
        <x:v>0.037383177570093455</x:v>
      </x:c>
      <x:c r="T51" s="15" t="n">
        <x:f>IF(E51=0,"해당 없음",L51/E51)</x:f>
        <x:v>0.12149532710280374</x:v>
      </x:c>
      <x:c r="U51" s="15" t="n">
        <x:f>IF(E51=0,"해당 없음",M51/E51)</x:f>
        <x:v>0.009345794392523364</x:v>
      </x:c>
      <x:c r="V51" s="16" t="n">
        <x:f>E51/5</x:f>
        <x:v>21.4</x:v>
      </x:c>
    </x:row>
    <x:row r="52" ht="22" customHeight="1">
      <x:c r="A52" s="2" t="n">
        <x:v>24</x:v>
      </x:c>
      <x:c r="B52" s="2" t="str">
        <x:v>RED</x:v>
      </x:c>
      <x:c r="C52" s="2" t="str">
        <x:v>규칙형</x:v>
      </x:c>
      <x:c r="D52" s="2" t="str">
        <x:v>0만</x:v>
      </x:c>
      <x:c r="E52" s="14" t="n">
        <x:f>SUM(F52:M52)</x:f>
        <x:v>102</x:v>
      </x:c>
      <x:c r="F52" s="14" t="n">
        <x:v>38</x:v>
      </x:c>
      <x:c r="G52" s="14" t="n">
        <x:v>2</x:v>
      </x:c>
      <x:c r="H52" s="14" t="n">
        <x:v>8</x:v>
      </x:c>
      <x:c r="I52" s="14" t="n">
        <x:v>20</x:v>
      </x:c>
      <x:c r="J52" s="14" t="n">
        <x:v>6</x:v>
      </x:c>
      <x:c r="K52" s="14" t="n">
        <x:v>4</x:v>
      </x:c>
      <x:c r="L52" s="14" t="n">
        <x:v>23</x:v>
      </x:c>
      <x:c r="M52" s="14" t="n">
        <x:v>1</x:v>
      </x:c>
      <x:c r="N52" s="15" t="n">
        <x:f>IF(E52=0,"해당 없음",F52/E52)</x:f>
        <x:v>0.37254901960784315</x:v>
      </x:c>
      <x:c r="O52" s="15" t="n">
        <x:f>IF(E52=0,"해당 없음",G52/E52)</x:f>
        <x:v>0.0196078431372549</x:v>
      </x:c>
      <x:c r="P52" s="15" t="n">
        <x:f>IF(E52=0,"해당 없음",H52/E52)</x:f>
        <x:v>0.0784313725490196</x:v>
      </x:c>
      <x:c r="Q52" s="15" t="n">
        <x:f>IF(E52=0,"해당 없음",I52/E52)</x:f>
        <x:v>0.19607843137254902</x:v>
      </x:c>
      <x:c r="R52" s="15" t="n">
        <x:f>IF(E52=0,"해당 없음",J52/E52)</x:f>
        <x:v>0.058823529411764705</x:v>
      </x:c>
      <x:c r="S52" s="15" t="n">
        <x:f>IF(E52=0,"해당 없음",K52/E52)</x:f>
        <x:v>0.0392156862745098</x:v>
      </x:c>
      <x:c r="T52" s="15" t="n">
        <x:f>IF(E52=0,"해당 없음",L52/E52)</x:f>
        <x:v>0.22549019607843138</x:v>
      </x:c>
      <x:c r="U52" s="15" t="n">
        <x:f>IF(E52=0,"해당 없음",M52/E52)</x:f>
        <x:v>0.00980392156862745</x:v>
      </x:c>
      <x:c r="V52" s="16" t="n">
        <x:f>E52/5</x:f>
        <x:v>20.4</x:v>
      </x:c>
    </x:row>
    <x:row r="53" ht="22" customHeight="1">
      <x:c r="A53" s="2" t="n">
        <x:v>24</x:v>
      </x:c>
      <x:c r="B53" s="2" t="str">
        <x:v>NAVY</x:v>
      </x:c>
      <x:c r="C53" s="2" t="str">
        <x:v>0만</x:v>
      </x:c>
      <x:c r="D53" s="2" t="str">
        <x:v>규칙형</x:v>
      </x:c>
      <x:c r="E53" s="14" t="n">
        <x:f>SUM(F53:M53)</x:f>
        <x:v>103</x:v>
      </x:c>
      <x:c r="F53" s="14" t="n">
        <x:v>18</x:v>
      </x:c>
      <x:c r="G53" s="14" t="n">
        <x:v>9</x:v>
      </x:c>
      <x:c r="H53" s="14" t="n">
        <x:v>9</x:v>
      </x:c>
      <x:c r="I53" s="14" t="n">
        <x:v>20</x:v>
      </x:c>
      <x:c r="J53" s="14" t="n">
        <x:v>7</x:v>
      </x:c>
      <x:c r="K53" s="14" t="n">
        <x:v>15</x:v>
      </x:c>
      <x:c r="L53" s="14" t="n">
        <x:v>13</x:v>
      </x:c>
      <x:c r="M53" s="14" t="n">
        <x:v>12</x:v>
      </x:c>
      <x:c r="N53" s="15" t="n">
        <x:f>IF(E53=0,"해당 없음",F53/E53)</x:f>
        <x:v>0.17475728155339806</x:v>
      </x:c>
      <x:c r="O53" s="15" t="n">
        <x:f>IF(E53=0,"해당 없음",G53/E53)</x:f>
        <x:v>0.08737864077669903</x:v>
      </x:c>
      <x:c r="P53" s="15" t="n">
        <x:f>IF(E53=0,"해당 없음",H53/E53)</x:f>
        <x:v>0.08737864077669903</x:v>
      </x:c>
      <x:c r="Q53" s="15" t="n">
        <x:f>IF(E53=0,"해당 없음",I53/E53)</x:f>
        <x:v>0.1941747572815534</x:v>
      </x:c>
      <x:c r="R53" s="15" t="n">
        <x:f>IF(E53=0,"해당 없음",J53/E53)</x:f>
        <x:v>0.06796116504854369</x:v>
      </x:c>
      <x:c r="S53" s="15" t="n">
        <x:f>IF(E53=0,"해당 없음",K53/E53)</x:f>
        <x:v>0.14563106796116504</x:v>
      </x:c>
      <x:c r="T53" s="15" t="n">
        <x:f>IF(E53=0,"해당 없음",L53/E53)</x:f>
        <x:v>0.1262135922330097</x:v>
      </x:c>
      <x:c r="U53" s="15" t="n">
        <x:f>IF(E53=0,"해당 없음",M53/E53)</x:f>
        <x:v>0.11650485436893204</x:v>
      </x:c>
      <x:c r="V53" s="16" t="n">
        <x:f>E53/5</x:f>
        <x:v>20.6</x:v>
      </x:c>
    </x:row>
    <x:row r="54" ht="22" customHeight="1">
      <x:c r="A54" s="2" t="n">
        <x:v>25</x:v>
      </x:c>
      <x:c r="B54" s="2" t="str">
        <x:v>RED</x:v>
      </x:c>
      <x:c r="C54" s="2" t="str">
        <x:v>0만</x:v>
      </x:c>
      <x:c r="D54" s="2" t="str">
        <x:v>규칙형</x:v>
      </x:c>
      <x:c r="E54" s="14" t="n">
        <x:f>SUM(F54:M54)</x:f>
        <x:v>101</x:v>
      </x:c>
      <x:c r="F54" s="14" t="n">
        <x:v>11</x:v>
      </x:c>
      <x:c r="G54" s="14" t="n">
        <x:v>14</x:v>
      </x:c>
      <x:c r="H54" s="14" t="n">
        <x:v>14</x:v>
      </x:c>
      <x:c r="I54" s="14" t="n">
        <x:v>9</x:v>
      </x:c>
      <x:c r="J54" s="14" t="n">
        <x:v>16</x:v>
      </x:c>
      <x:c r="K54" s="14" t="n">
        <x:v>13</x:v>
      </x:c>
      <x:c r="L54" s="14" t="n">
        <x:v>16</x:v>
      </x:c>
      <x:c r="M54" s="14" t="n">
        <x:v>8</x:v>
      </x:c>
      <x:c r="N54" s="15" t="n">
        <x:f>IF(E54=0,"해당 없음",F54/E54)</x:f>
        <x:v>0.10891089108910891</x:v>
      </x:c>
      <x:c r="O54" s="15" t="n">
        <x:f>IF(E54=0,"해당 없음",G54/E54)</x:f>
        <x:v>0.13861386138613863</x:v>
      </x:c>
      <x:c r="P54" s="15" t="n">
        <x:f>IF(E54=0,"해당 없음",H54/E54)</x:f>
        <x:v>0.13861386138613863</x:v>
      </x:c>
      <x:c r="Q54" s="15" t="n">
        <x:f>IF(E54=0,"해당 없음",I54/E54)</x:f>
        <x:v>0.0891089108910891</x:v>
      </x:c>
      <x:c r="R54" s="15" t="n">
        <x:f>IF(E54=0,"해당 없음",J54/E54)</x:f>
        <x:v>0.15841584158415842</x:v>
      </x:c>
      <x:c r="S54" s="15" t="n">
        <x:f>IF(E54=0,"해당 없음",K54/E54)</x:f>
        <x:v>0.12871287128712872</x:v>
      </x:c>
      <x:c r="T54" s="15" t="n">
        <x:f>IF(E54=0,"해당 없음",L54/E54)</x:f>
        <x:v>0.15841584158415842</x:v>
      </x:c>
      <x:c r="U54" s="15" t="n">
        <x:f>IF(E54=0,"해당 없음",M54/E54)</x:f>
        <x:v>0.07920792079207921</x:v>
      </x:c>
      <x:c r="V54" s="16" t="n">
        <x:f>E54/5</x:f>
        <x:v>20.2</x:v>
      </x:c>
    </x:row>
    <x:row r="55" ht="22" customHeight="1">
      <x:c r="A55" s="2" t="n">
        <x:v>25</x:v>
      </x:c>
      <x:c r="B55" s="2" t="str">
        <x:v>NAVY</x:v>
      </x:c>
      <x:c r="C55" s="2" t="str">
        <x:v>규칙형</x:v>
      </x:c>
      <x:c r="D55" s="2" t="str">
        <x:v>0만</x:v>
      </x:c>
      <x:c r="E55" s="14" t="n">
        <x:f>SUM(F55:M55)</x:f>
        <x:v>102</x:v>
      </x:c>
      <x:c r="F55" s="14" t="n">
        <x:v>37</x:v>
      </x:c>
      <x:c r="G55" s="14" t="n">
        <x:v>5</x:v>
      </x:c>
      <x:c r="H55" s="14" t="n">
        <x:v>8</x:v>
      </x:c>
      <x:c r="I55" s="14" t="n">
        <x:v>11</x:v>
      </x:c>
      <x:c r="J55" s="14" t="n">
        <x:v>10</x:v>
      </x:c>
      <x:c r="K55" s="14" t="n">
        <x:v>3</x:v>
      </x:c>
      <x:c r="L55" s="14" t="n">
        <x:v>22</x:v>
      </x:c>
      <x:c r="M55" s="14" t="n">
        <x:v>6</x:v>
      </x:c>
      <x:c r="N55" s="15" t="n">
        <x:f>IF(E55=0,"해당 없음",F55/E55)</x:f>
        <x:v>0.3627450980392157</x:v>
      </x:c>
      <x:c r="O55" s="15" t="n">
        <x:f>IF(E55=0,"해당 없음",G55/E55)</x:f>
        <x:v>0.049019607843137254</x:v>
      </x:c>
      <x:c r="P55" s="15" t="n">
        <x:f>IF(E55=0,"해당 없음",H55/E55)</x:f>
        <x:v>0.0784313725490196</x:v>
      </x:c>
      <x:c r="Q55" s="15" t="n">
        <x:f>IF(E55=0,"해당 없음",I55/E55)</x:f>
        <x:v>0.10784313725490197</x:v>
      </x:c>
      <x:c r="R55" s="15" t="n">
        <x:f>IF(E55=0,"해당 없음",J55/E55)</x:f>
        <x:v>0.09803921568627451</x:v>
      </x:c>
      <x:c r="S55" s="15" t="n">
        <x:f>IF(E55=0,"해당 없음",K55/E55)</x:f>
        <x:v>0.029411764705882353</x:v>
      </x:c>
      <x:c r="T55" s="15" t="n">
        <x:f>IF(E55=0,"해당 없음",L55/E55)</x:f>
        <x:v>0.21568627450980393</x:v>
      </x:c>
      <x:c r="U55" s="15" t="n">
        <x:f>IF(E55=0,"해당 없음",M55/E55)</x:f>
        <x:v>0.058823529411764705</x:v>
      </x:c>
      <x:c r="V55" s="16" t="n">
        <x:f>E55/5</x:f>
        <x:v>20.4</x:v>
      </x:c>
    </x:row>
    <x:row r="56" ht="22" customHeight="1">
      <x:c r="A56" s="2" t="n">
        <x:v>26</x:v>
      </x:c>
      <x:c r="B56" s="2" t="str">
        <x:v>RED</x:v>
      </x:c>
      <x:c r="C56" s="2" t="str">
        <x:v>규칙형</x:v>
      </x:c>
      <x:c r="D56" s="2" t="str">
        <x:v>0만</x:v>
      </x:c>
      <x:c r="E56" s="14" t="n">
        <x:f>SUM(F56:M56)</x:f>
        <x:v>100</x:v>
      </x:c>
      <x:c r="F56" s="14" t="n">
        <x:v>44</x:v>
      </x:c>
      <x:c r="G56" s="14" t="n">
        <x:v>4</x:v>
      </x:c>
      <x:c r="H56" s="14" t="n">
        <x:v>10</x:v>
      </x:c>
      <x:c r="I56" s="14" t="n">
        <x:v>15</x:v>
      </x:c>
      <x:c r="J56" s="14" t="n">
        <x:v>3</x:v>
      </x:c>
      <x:c r="K56" s="14" t="n">
        <x:v>5</x:v>
      </x:c>
      <x:c r="L56" s="14" t="n">
        <x:v>14</x:v>
      </x:c>
      <x:c r="M56" s="14" t="n">
        <x:v>5</x:v>
      </x:c>
      <x:c r="N56" s="15" t="n">
        <x:f>IF(E56=0,"해당 없음",F56/E56)</x:f>
        <x:v>0.44</x:v>
      </x:c>
      <x:c r="O56" s="15" t="n">
        <x:f>IF(E56=0,"해당 없음",G56/E56)</x:f>
        <x:v>0.04</x:v>
      </x:c>
      <x:c r="P56" s="15" t="n">
        <x:f>IF(E56=0,"해당 없음",H56/E56)</x:f>
        <x:v>0.1</x:v>
      </x:c>
      <x:c r="Q56" s="15" t="n">
        <x:f>IF(E56=0,"해당 없음",I56/E56)</x:f>
        <x:v>0.15</x:v>
      </x:c>
      <x:c r="R56" s="15" t="n">
        <x:f>IF(E56=0,"해당 없음",J56/E56)</x:f>
        <x:v>0.03</x:v>
      </x:c>
      <x:c r="S56" s="15" t="n">
        <x:f>IF(E56=0,"해당 없음",K56/E56)</x:f>
        <x:v>0.05</x:v>
      </x:c>
      <x:c r="T56" s="15" t="n">
        <x:f>IF(E56=0,"해당 없음",L56/E56)</x:f>
        <x:v>0.14</x:v>
      </x:c>
      <x:c r="U56" s="15" t="n">
        <x:f>IF(E56=0,"해당 없음",M56/E56)</x:f>
        <x:v>0.05</x:v>
      </x:c>
      <x:c r="V56" s="16" t="n">
        <x:f>E56/5</x:f>
        <x:v>20</x:v>
      </x:c>
    </x:row>
    <x:row r="57" ht="22" customHeight="1">
      <x:c r="A57" s="2" t="n">
        <x:v>26</x:v>
      </x:c>
      <x:c r="B57" s="2" t="str">
        <x:v>NAVY</x:v>
      </x:c>
      <x:c r="C57" s="2" t="str">
        <x:v>0만</x:v>
      </x:c>
      <x:c r="D57" s="2" t="str">
        <x:v>규칙형</x:v>
      </x:c>
      <x:c r="E57" s="14" t="n">
        <x:f>SUM(F57:M57)</x:f>
        <x:v>103</x:v>
      </x:c>
      <x:c r="F57" s="14" t="n">
        <x:v>11</x:v>
      </x:c>
      <x:c r="G57" s="14" t="n">
        <x:v>14</x:v>
      </x:c>
      <x:c r="H57" s="14" t="n">
        <x:v>14</x:v>
      </x:c>
      <x:c r="I57" s="14" t="n">
        <x:v>10</x:v>
      </x:c>
      <x:c r="J57" s="14" t="n">
        <x:v>17</x:v>
      </x:c>
      <x:c r="K57" s="14" t="n">
        <x:v>13</x:v>
      </x:c>
      <x:c r="L57" s="14" t="n">
        <x:v>16</x:v>
      </x:c>
      <x:c r="M57" s="14" t="n">
        <x:v>8</x:v>
      </x:c>
      <x:c r="N57" s="15" t="n">
        <x:f>IF(E57=0,"해당 없음",F57/E57)</x:f>
        <x:v>0.10679611650485436</x:v>
      </x:c>
      <x:c r="O57" s="15" t="n">
        <x:f>IF(E57=0,"해당 없음",G57/E57)</x:f>
        <x:v>0.13592233009708737</x:v>
      </x:c>
      <x:c r="P57" s="15" t="n">
        <x:f>IF(E57=0,"해당 없음",H57/E57)</x:f>
        <x:v>0.13592233009708737</x:v>
      </x:c>
      <x:c r="Q57" s="15" t="n">
        <x:f>IF(E57=0,"해당 없음",I57/E57)</x:f>
        <x:v>0.0970873786407767</x:v>
      </x:c>
      <x:c r="R57" s="15" t="n">
        <x:f>IF(E57=0,"해당 없음",J57/E57)</x:f>
        <x:v>0.1650485436893204</x:v>
      </x:c>
      <x:c r="S57" s="15" t="n">
        <x:f>IF(E57=0,"해당 없음",K57/E57)</x:f>
        <x:v>0.1262135922330097</x:v>
      </x:c>
      <x:c r="T57" s="15" t="n">
        <x:f>IF(E57=0,"해당 없음",L57/E57)</x:f>
        <x:v>0.1553398058252427</x:v>
      </x:c>
      <x:c r="U57" s="15" t="n">
        <x:f>IF(E57=0,"해당 없음",M57/E57)</x:f>
        <x:v>0.07766990291262135</x:v>
      </x:c>
      <x:c r="V57" s="16" t="n">
        <x:f>E57/5</x:f>
        <x:v>20.6</x:v>
      </x:c>
    </x:row>
    <x:row r="58" ht="22" customHeight="1">
      <x:c r="A58" s="2" t="n">
        <x:v>27</x:v>
      </x:c>
      <x:c r="B58" s="2" t="str">
        <x:v>RED</x:v>
      </x:c>
      <x:c r="C58" s="2" t="str">
        <x:v>0만</x:v>
      </x:c>
      <x:c r="D58" s="2" t="str">
        <x:v>규칙형</x:v>
      </x:c>
      <x:c r="E58" s="14" t="n">
        <x:f>SUM(F58:M58)</x:f>
        <x:v>103</x:v>
      </x:c>
      <x:c r="F58" s="14" t="n">
        <x:v>9</x:v>
      </x:c>
      <x:c r="G58" s="14" t="n">
        <x:v>11</x:v>
      </x:c>
      <x:c r="H58" s="14" t="n">
        <x:v>11</x:v>
      </x:c>
      <x:c r="I58" s="14" t="n">
        <x:v>17</x:v>
      </x:c>
      <x:c r="J58" s="14" t="n">
        <x:v>13</x:v>
      </x:c>
      <x:c r="K58" s="14" t="n">
        <x:v>11</x:v>
      </x:c>
      <x:c r="L58" s="14" t="n">
        <x:v>14</x:v>
      </x:c>
      <x:c r="M58" s="14" t="n">
        <x:v>17</x:v>
      </x:c>
      <x:c r="N58" s="15" t="n">
        <x:f>IF(E58=0,"해당 없음",F58/E58)</x:f>
        <x:v>0.08737864077669903</x:v>
      </x:c>
      <x:c r="O58" s="15" t="n">
        <x:f>IF(E58=0,"해당 없음",G58/E58)</x:f>
        <x:v>0.10679611650485436</x:v>
      </x:c>
      <x:c r="P58" s="15" t="n">
        <x:f>IF(E58=0,"해당 없음",H58/E58)</x:f>
        <x:v>0.10679611650485436</x:v>
      </x:c>
      <x:c r="Q58" s="15" t="n">
        <x:f>IF(E58=0,"해당 없음",I58/E58)</x:f>
        <x:v>0.1650485436893204</x:v>
      </x:c>
      <x:c r="R58" s="15" t="n">
        <x:f>IF(E58=0,"해당 없음",J58/E58)</x:f>
        <x:v>0.1262135922330097</x:v>
      </x:c>
      <x:c r="S58" s="15" t="n">
        <x:f>IF(E58=0,"해당 없음",K58/E58)</x:f>
        <x:v>0.10679611650485436</x:v>
      </x:c>
      <x:c r="T58" s="15" t="n">
        <x:f>IF(E58=0,"해당 없음",L58/E58)</x:f>
        <x:v>0.13592233009708737</x:v>
      </x:c>
      <x:c r="U58" s="15" t="n">
        <x:f>IF(E58=0,"해당 없음",M58/E58)</x:f>
        <x:v>0.1650485436893204</x:v>
      </x:c>
      <x:c r="V58" s="16" t="n">
        <x:f>E58/5</x:f>
        <x:v>20.6</x:v>
      </x:c>
    </x:row>
    <x:row r="59" ht="22" customHeight="1">
      <x:c r="A59" s="2" t="n">
        <x:v>27</x:v>
      </x:c>
      <x:c r="B59" s="2" t="str">
        <x:v>NAVY</x:v>
      </x:c>
      <x:c r="C59" s="2" t="str">
        <x:v>규칙형</x:v>
      </x:c>
      <x:c r="D59" s="2" t="str">
        <x:v>0만</x:v>
      </x:c>
      <x:c r="E59" s="14" t="n">
        <x:f>SUM(F59:M59)</x:f>
        <x:v>103</x:v>
      </x:c>
      <x:c r="F59" s="14" t="n">
        <x:v>50</x:v>
      </x:c>
      <x:c r="G59" s="14" t="n">
        <x:v>3</x:v>
      </x:c>
      <x:c r="H59" s="14" t="n">
        <x:v>7</x:v>
      </x:c>
      <x:c r="I59" s="14" t="n">
        <x:v>17</x:v>
      </x:c>
      <x:c r="J59" s="14" t="n">
        <x:v>2</x:v>
      </x:c>
      <x:c r="K59" s="14" t="n">
        <x:v>1</x:v>
      </x:c>
      <x:c r="L59" s="14" t="n">
        <x:v>14</x:v>
      </x:c>
      <x:c r="M59" s="14" t="n">
        <x:v>9</x:v>
      </x:c>
      <x:c r="N59" s="15" t="n">
        <x:f>IF(E59=0,"해당 없음",F59/E59)</x:f>
        <x:v>0.4854368932038835</x:v>
      </x:c>
      <x:c r="O59" s="15" t="n">
        <x:f>IF(E59=0,"해당 없음",G59/E59)</x:f>
        <x:v>0.02912621359223301</x:v>
      </x:c>
      <x:c r="P59" s="15" t="n">
        <x:f>IF(E59=0,"해당 없음",H59/E59)</x:f>
        <x:v>0.06796116504854369</x:v>
      </x:c>
      <x:c r="Q59" s="15" t="n">
        <x:f>IF(E59=0,"해당 없음",I59/E59)</x:f>
        <x:v>0.1650485436893204</x:v>
      </x:c>
      <x:c r="R59" s="15" t="n">
        <x:f>IF(E59=0,"해당 없음",J59/E59)</x:f>
        <x:v>0.019417475728155338</x:v>
      </x:c>
      <x:c r="S59" s="15" t="n">
        <x:f>IF(E59=0,"해당 없음",K59/E59)</x:f>
        <x:v>0.009708737864077669</x:v>
      </x:c>
      <x:c r="T59" s="15" t="n">
        <x:f>IF(E59=0,"해당 없음",L59/E59)</x:f>
        <x:v>0.13592233009708737</x:v>
      </x:c>
      <x:c r="U59" s="15" t="n">
        <x:f>IF(E59=0,"해당 없음",M59/E59)</x:f>
        <x:v>0.08737864077669903</x:v>
      </x:c>
      <x:c r="V59" s="16" t="n">
        <x:f>E59/5</x:f>
        <x:v>20.6</x:v>
      </x:c>
    </x:row>
    <x:row r="60" ht="22" customHeight="1">
      <x:c r="A60" s="2" t="n">
        <x:v>28</x:v>
      </x:c>
      <x:c r="B60" s="2" t="str">
        <x:v>RED</x:v>
      </x:c>
      <x:c r="C60" s="2" t="str">
        <x:v>규칙형</x:v>
      </x:c>
      <x:c r="D60" s="2" t="str">
        <x:v>0만</x:v>
      </x:c>
      <x:c r="E60" s="14" t="n">
        <x:f>SUM(F60:M60)</x:f>
        <x:v>102</x:v>
      </x:c>
      <x:c r="F60" s="14" t="n">
        <x:v>42</x:v>
      </x:c>
      <x:c r="G60" s="14" t="n">
        <x:v>4</x:v>
      </x:c>
      <x:c r="H60" s="14" t="n">
        <x:v>6</x:v>
      </x:c>
      <x:c r="I60" s="14" t="n">
        <x:v>25</x:v>
      </x:c>
      <x:c r="J60" s="14" t="n">
        <x:v>2</x:v>
      </x:c>
      <x:c r="K60" s="14" t="n">
        <x:v>5</x:v>
      </x:c>
      <x:c r="L60" s="14" t="n">
        <x:v>15</x:v>
      </x:c>
      <x:c r="M60" s="14" t="n">
        <x:v>3</x:v>
      </x:c>
      <x:c r="N60" s="15" t="n">
        <x:f>IF(E60=0,"해당 없음",F60/E60)</x:f>
        <x:v>0.4117647058823529</x:v>
      </x:c>
      <x:c r="O60" s="15" t="n">
        <x:f>IF(E60=0,"해당 없음",G60/E60)</x:f>
        <x:v>0.0392156862745098</x:v>
      </x:c>
      <x:c r="P60" s="15" t="n">
        <x:f>IF(E60=0,"해당 없음",H60/E60)</x:f>
        <x:v>0.058823529411764705</x:v>
      </x:c>
      <x:c r="Q60" s="15" t="n">
        <x:f>IF(E60=0,"해당 없음",I60/E60)</x:f>
        <x:v>0.24509803921568626</x:v>
      </x:c>
      <x:c r="R60" s="15" t="n">
        <x:f>IF(E60=0,"해당 없음",J60/E60)</x:f>
        <x:v>0.0196078431372549</x:v>
      </x:c>
      <x:c r="S60" s="15" t="n">
        <x:f>IF(E60=0,"해당 없음",K60/E60)</x:f>
        <x:v>0.049019607843137254</x:v>
      </x:c>
      <x:c r="T60" s="15" t="n">
        <x:f>IF(E60=0,"해당 없음",L60/E60)</x:f>
        <x:v>0.14705882352941177</x:v>
      </x:c>
      <x:c r="U60" s="15" t="n">
        <x:f>IF(E60=0,"해당 없음",M60/E60)</x:f>
        <x:v>0.029411764705882353</x:v>
      </x:c>
      <x:c r="V60" s="16" t="n">
        <x:f>E60/5</x:f>
        <x:v>20.4</x:v>
      </x:c>
    </x:row>
    <x:row r="61" ht="22" customHeight="1">
      <x:c r="A61" s="2" t="n">
        <x:v>28</x:v>
      </x:c>
      <x:c r="B61" s="2" t="str">
        <x:v>NAVY</x:v>
      </x:c>
      <x:c r="C61" s="2" t="str">
        <x:v>0만</x:v>
      </x:c>
      <x:c r="D61" s="2" t="str">
        <x:v>규칙형</x:v>
      </x:c>
      <x:c r="E61" s="14" t="n">
        <x:f>SUM(F61:M61)</x:f>
        <x:v>101</x:v>
      </x:c>
      <x:c r="F61" s="14" t="n">
        <x:v>9</x:v>
      </x:c>
      <x:c r="G61" s="14" t="n">
        <x:v>11</x:v>
      </x:c>
      <x:c r="H61" s="14" t="n">
        <x:v>11</x:v>
      </x:c>
      <x:c r="I61" s="14" t="n">
        <x:v>16</x:v>
      </x:c>
      <x:c r="J61" s="14" t="n">
        <x:v>13</x:v>
      </x:c>
      <x:c r="K61" s="14" t="n">
        <x:v>10</x:v>
      </x:c>
      <x:c r="L61" s="14" t="n">
        <x:v>14</x:v>
      </x:c>
      <x:c r="M61" s="14" t="n">
        <x:v>17</x:v>
      </x:c>
      <x:c r="N61" s="15" t="n">
        <x:f>IF(E61=0,"해당 없음",F61/E61)</x:f>
        <x:v>0.0891089108910891</x:v>
      </x:c>
      <x:c r="O61" s="15" t="n">
        <x:f>IF(E61=0,"해당 없음",G61/E61)</x:f>
        <x:v>0.10891089108910891</x:v>
      </x:c>
      <x:c r="P61" s="15" t="n">
        <x:f>IF(E61=0,"해당 없음",H61/E61)</x:f>
        <x:v>0.10891089108910891</x:v>
      </x:c>
      <x:c r="Q61" s="15" t="n">
        <x:f>IF(E61=0,"해당 없음",I61/E61)</x:f>
        <x:v>0.15841584158415842</x:v>
      </x:c>
      <x:c r="R61" s="15" t="n">
        <x:f>IF(E61=0,"해당 없음",J61/E61)</x:f>
        <x:v>0.12871287128712872</x:v>
      </x:c>
      <x:c r="S61" s="15" t="n">
        <x:f>IF(E61=0,"해당 없음",K61/E61)</x:f>
        <x:v>0.09900990099009901</x:v>
      </x:c>
      <x:c r="T61" s="15" t="n">
        <x:f>IF(E61=0,"해당 없음",L61/E61)</x:f>
        <x:v>0.13861386138613863</x:v>
      </x:c>
      <x:c r="U61" s="15" t="n">
        <x:f>IF(E61=0,"해당 없음",M61/E61)</x:f>
        <x:v>0.16831683168316833</x:v>
      </x:c>
      <x:c r="V61" s="16" t="n">
        <x:f>E61/5</x:f>
        <x:v>20.2</x:v>
      </x:c>
    </x:row>
    <x:row r="62" ht="22" customHeight="1">
      <x:c r="A62" s="2" t="n">
        <x:v>29</x:v>
      </x:c>
      <x:c r="B62" s="2" t="str">
        <x:v>RED</x:v>
      </x:c>
      <x:c r="C62" s="2" t="str">
        <x:v>0만</x:v>
      </x:c>
      <x:c r="D62" s="2" t="str">
        <x:v>규칙형</x:v>
      </x:c>
      <x:c r="E62" s="14" t="n">
        <x:f>SUM(F62:M62)</x:f>
        <x:v>104</x:v>
      </x:c>
      <x:c r="F62" s="14" t="n">
        <x:v>10</x:v>
      </x:c>
      <x:c r="G62" s="14" t="n">
        <x:v>19</x:v>
      </x:c>
      <x:c r="H62" s="14" t="n">
        <x:v>10</x:v>
      </x:c>
      <x:c r="I62" s="14" t="n">
        <x:v>4</x:v>
      </x:c>
      <x:c r="J62" s="14" t="n">
        <x:v>16</x:v>
      </x:c>
      <x:c r="K62" s="14" t="n">
        <x:v>17</x:v>
      </x:c>
      <x:c r="L62" s="14" t="n">
        <x:v>18</x:v>
      </x:c>
      <x:c r="M62" s="14" t="n">
        <x:v>10</x:v>
      </x:c>
      <x:c r="N62" s="15" t="n">
        <x:f>IF(E62=0,"해당 없음",F62/E62)</x:f>
        <x:v>0.09615384615384616</x:v>
      </x:c>
      <x:c r="O62" s="15" t="n">
        <x:f>IF(E62=0,"해당 없음",G62/E62)</x:f>
        <x:v>0.18269230769230768</x:v>
      </x:c>
      <x:c r="P62" s="15" t="n">
        <x:f>IF(E62=0,"해당 없음",H62/E62)</x:f>
        <x:v>0.09615384615384616</x:v>
      </x:c>
      <x:c r="Q62" s="15" t="n">
        <x:f>IF(E62=0,"해당 없음",I62/E62)</x:f>
        <x:v>0.038461538461538464</x:v>
      </x:c>
      <x:c r="R62" s="15" t="n">
        <x:f>IF(E62=0,"해당 없음",J62/E62)</x:f>
        <x:v>0.15384615384615385</x:v>
      </x:c>
      <x:c r="S62" s="15" t="n">
        <x:f>IF(E62=0,"해당 없음",K62/E62)</x:f>
        <x:v>0.16346153846153846</x:v>
      </x:c>
      <x:c r="T62" s="15" t="n">
        <x:f>IF(E62=0,"해당 없음",L62/E62)</x:f>
        <x:v>0.17307692307692307</x:v>
      </x:c>
      <x:c r="U62" s="15" t="n">
        <x:f>IF(E62=0,"해당 없음",M62/E62)</x:f>
        <x:v>0.09615384615384616</x:v>
      </x:c>
      <x:c r="V62" s="16" t="n">
        <x:f>E62/5</x:f>
        <x:v>20.8</x:v>
      </x:c>
    </x:row>
    <x:row r="63" ht="22" customHeight="1">
      <x:c r="A63" s="2" t="n">
        <x:v>29</x:v>
      </x:c>
      <x:c r="B63" s="2" t="str">
        <x:v>NAVY</x:v>
      </x:c>
      <x:c r="C63" s="2" t="str">
        <x:v>규칙형</x:v>
      </x:c>
      <x:c r="D63" s="2" t="str">
        <x:v>0만</x:v>
      </x:c>
      <x:c r="E63" s="14" t="n">
        <x:f>SUM(F63:M63)</x:f>
        <x:v>104</x:v>
      </x:c>
      <x:c r="F63" s="14" t="n">
        <x:v>36</x:v>
      </x:c>
      <x:c r="G63" s="14" t="n">
        <x:v>3</x:v>
      </x:c>
      <x:c r="H63" s="14" t="n">
        <x:v>14</x:v>
      </x:c>
      <x:c r="I63" s="14" t="n">
        <x:v>19</x:v>
      </x:c>
      <x:c r="J63" s="14" t="n">
        <x:v>8</x:v>
      </x:c>
      <x:c r="K63" s="14" t="n">
        <x:v>3</x:v>
      </x:c>
      <x:c r="L63" s="14" t="n">
        <x:v>20</x:v>
      </x:c>
      <x:c r="M63" s="14" t="n">
        <x:v>1</x:v>
      </x:c>
      <x:c r="N63" s="15" t="n">
        <x:f>IF(E63=0,"해당 없음",F63/E63)</x:f>
        <x:v>0.34615384615384615</x:v>
      </x:c>
      <x:c r="O63" s="15" t="n">
        <x:f>IF(E63=0,"해당 없음",G63/E63)</x:f>
        <x:v>0.028846153846153848</x:v>
      </x:c>
      <x:c r="P63" s="15" t="n">
        <x:f>IF(E63=0,"해당 없음",H63/E63)</x:f>
        <x:v>0.1346153846153846</x:v>
      </x:c>
      <x:c r="Q63" s="15" t="n">
        <x:f>IF(E63=0,"해당 없음",I63/E63)</x:f>
        <x:v>0.18269230769230768</x:v>
      </x:c>
      <x:c r="R63" s="15" t="n">
        <x:f>IF(E63=0,"해당 없음",J63/E63)</x:f>
        <x:v>0.07692307692307693</x:v>
      </x:c>
      <x:c r="S63" s="15" t="n">
        <x:f>IF(E63=0,"해당 없음",K63/E63)</x:f>
        <x:v>0.028846153846153848</x:v>
      </x:c>
      <x:c r="T63" s="15" t="n">
        <x:f>IF(E63=0,"해당 없음",L63/E63)</x:f>
        <x:v>0.19230769230769232</x:v>
      </x:c>
      <x:c r="U63" s="15" t="n">
        <x:f>IF(E63=0,"해당 없음",M63/E63)</x:f>
        <x:v>0.009615384615384616</x:v>
      </x:c>
      <x:c r="V63" s="16" t="n">
        <x:f>E63/5</x:f>
        <x:v>20.8</x:v>
      </x:c>
    </x:row>
    <x:row r="64" ht="22" customHeight="1">
      <x:c r="A64" s="2" t="n">
        <x:v>30</x:v>
      </x:c>
      <x:c r="B64" s="2" t="str">
        <x:v>RED</x:v>
      </x:c>
      <x:c r="C64" s="2" t="str">
        <x:v>규칙형</x:v>
      </x:c>
      <x:c r="D64" s="2" t="str">
        <x:v>0만</x:v>
      </x:c>
      <x:c r="E64" s="14" t="n">
        <x:f>SUM(F64:M64)</x:f>
        <x:v>101</x:v>
      </x:c>
      <x:c r="F64" s="14" t="n">
        <x:v>41</x:v>
      </x:c>
      <x:c r="G64" s="14" t="n">
        <x:v>4</x:v>
      </x:c>
      <x:c r="H64" s="14" t="n">
        <x:v>8</x:v>
      </x:c>
      <x:c r="I64" s="14" t="n">
        <x:v>15</x:v>
      </x:c>
      <x:c r="J64" s="14" t="n">
        <x:v>6</x:v>
      </x:c>
      <x:c r="K64" s="14" t="n">
        <x:v>4</x:v>
      </x:c>
      <x:c r="L64" s="14" t="n">
        <x:v>19</x:v>
      </x:c>
      <x:c r="M64" s="14" t="n">
        <x:v>4</x:v>
      </x:c>
      <x:c r="N64" s="15" t="n">
        <x:f>IF(E64=0,"해당 없음",F64/E64)</x:f>
        <x:v>0.40594059405940597</x:v>
      </x:c>
      <x:c r="O64" s="15" t="n">
        <x:f>IF(E64=0,"해당 없음",G64/E64)</x:f>
        <x:v>0.039603960396039604</x:v>
      </x:c>
      <x:c r="P64" s="15" t="n">
        <x:f>IF(E64=0,"해당 없음",H64/E64)</x:f>
        <x:v>0.07920792079207921</x:v>
      </x:c>
      <x:c r="Q64" s="15" t="n">
        <x:f>IF(E64=0,"해당 없음",I64/E64)</x:f>
        <x:v>0.1485148514851485</x:v>
      </x:c>
      <x:c r="R64" s="15" t="n">
        <x:f>IF(E64=0,"해당 없음",J64/E64)</x:f>
        <x:v>0.0594059405940594</x:v>
      </x:c>
      <x:c r="S64" s="15" t="n">
        <x:f>IF(E64=0,"해당 없음",K64/E64)</x:f>
        <x:v>0.039603960396039604</x:v>
      </x:c>
      <x:c r="T64" s="15" t="n">
        <x:f>IF(E64=0,"해당 없음",L64/E64)</x:f>
        <x:v>0.18811881188118812</x:v>
      </x:c>
      <x:c r="U64" s="15" t="n">
        <x:f>IF(E64=0,"해당 없음",M64/E64)</x:f>
        <x:v>0.039603960396039604</x:v>
      </x:c>
      <x:c r="V64" s="16" t="n">
        <x:f>E64/5</x:f>
        <x:v>20.2</x:v>
      </x:c>
    </x:row>
    <x:row r="65" ht="22" customHeight="1">
      <x:c r="A65" s="2" t="n">
        <x:v>30</x:v>
      </x:c>
      <x:c r="B65" s="2" t="str">
        <x:v>NAVY</x:v>
      </x:c>
      <x:c r="C65" s="2" t="str">
        <x:v>0만</x:v>
      </x:c>
      <x:c r="D65" s="2" t="str">
        <x:v>규칙형</x:v>
      </x:c>
      <x:c r="E65" s="14" t="n">
        <x:f>SUM(F65:M65)</x:f>
        <x:v>100</x:v>
      </x:c>
      <x:c r="F65" s="14" t="n">
        <x:v>8</x:v>
      </x:c>
      <x:c r="G65" s="14" t="n">
        <x:v>19</x:v>
      </x:c>
      <x:c r="H65" s="14" t="n">
        <x:v>8</x:v>
      </x:c>
      <x:c r="I65" s="14" t="n">
        <x:v>4</x:v>
      </x:c>
      <x:c r="J65" s="14" t="n">
        <x:v>16</x:v>
      </x:c>
      <x:c r="K65" s="14" t="n">
        <x:v>17</x:v>
      </x:c>
      <x:c r="L65" s="14" t="n">
        <x:v>18</x:v>
      </x:c>
      <x:c r="M65" s="14" t="n">
        <x:v>10</x:v>
      </x:c>
      <x:c r="N65" s="15" t="n">
        <x:f>IF(E65=0,"해당 없음",F65/E65)</x:f>
        <x:v>0.08</x:v>
      </x:c>
      <x:c r="O65" s="15" t="n">
        <x:f>IF(E65=0,"해당 없음",G65/E65)</x:f>
        <x:v>0.19</x:v>
      </x:c>
      <x:c r="P65" s="15" t="n">
        <x:f>IF(E65=0,"해당 없음",H65/E65)</x:f>
        <x:v>0.08</x:v>
      </x:c>
      <x:c r="Q65" s="15" t="n">
        <x:f>IF(E65=0,"해당 없음",I65/E65)</x:f>
        <x:v>0.04</x:v>
      </x:c>
      <x:c r="R65" s="15" t="n">
        <x:f>IF(E65=0,"해당 없음",J65/E65)</x:f>
        <x:v>0.16</x:v>
      </x:c>
      <x:c r="S65" s="15" t="n">
        <x:f>IF(E65=0,"해당 없음",K65/E65)</x:f>
        <x:v>0.17</x:v>
      </x:c>
      <x:c r="T65" s="15" t="n">
        <x:f>IF(E65=0,"해당 없음",L65/E65)</x:f>
        <x:v>0.18</x:v>
      </x:c>
      <x:c r="U65" s="15" t="n">
        <x:f>IF(E65=0,"해당 없음",M65/E65)</x:f>
        <x:v>0.1</x:v>
      </x:c>
      <x:c r="V65" s="16" t="n">
        <x:f>E65/5</x:f>
        <x:v>20</x:v>
      </x:c>
    </x:row>
    <x:row r="66" ht="22" customHeight="1">
      <x:c r="A66" s="2" t="n">
        <x:v>31</x:v>
      </x:c>
      <x:c r="B66" s="2" t="str">
        <x:v>RED</x:v>
      </x:c>
      <x:c r="C66" s="2" t="str">
        <x:v>0만</x:v>
      </x:c>
      <x:c r="D66" s="2" t="str">
        <x:v>규칙형</x:v>
      </x:c>
      <x:c r="E66" s="14" t="n">
        <x:f>SUM(F66:M66)</x:f>
        <x:v>105</x:v>
      </x:c>
      <x:c r="F66" s="14" t="n">
        <x:v>14</x:v>
      </x:c>
      <x:c r="G66" s="14" t="n">
        <x:v>14</x:v>
      </x:c>
      <x:c r="H66" s="14" t="n">
        <x:v>13</x:v>
      </x:c>
      <x:c r="I66" s="14" t="n">
        <x:v>12</x:v>
      </x:c>
      <x:c r="J66" s="14" t="n">
        <x:v>12</x:v>
      </x:c>
      <x:c r="K66" s="14" t="n">
        <x:v>9</x:v>
      </x:c>
      <x:c r="L66" s="14" t="n">
        <x:v>15</x:v>
      </x:c>
      <x:c r="M66" s="14" t="n">
        <x:v>16</x:v>
      </x:c>
      <x:c r="N66" s="15" t="n">
        <x:f>IF(E66=0,"해당 없음",F66/E66)</x:f>
        <x:v>0.13333333333333333</x:v>
      </x:c>
      <x:c r="O66" s="15" t="n">
        <x:f>IF(E66=0,"해당 없음",G66/E66)</x:f>
        <x:v>0.13333333333333333</x:v>
      </x:c>
      <x:c r="P66" s="15" t="n">
        <x:f>IF(E66=0,"해당 없음",H66/E66)</x:f>
        <x:v>0.12380952380952381</x:v>
      </x:c>
      <x:c r="Q66" s="15" t="n">
        <x:f>IF(E66=0,"해당 없음",I66/E66)</x:f>
        <x:v>0.11428571428571428</x:v>
      </x:c>
      <x:c r="R66" s="15" t="n">
        <x:f>IF(E66=0,"해당 없음",J66/E66)</x:f>
        <x:v>0.11428571428571428</x:v>
      </x:c>
      <x:c r="S66" s="15" t="n">
        <x:f>IF(E66=0,"해당 없음",K66/E66)</x:f>
        <x:v>0.08571428571428572</x:v>
      </x:c>
      <x:c r="T66" s="15" t="n">
        <x:f>IF(E66=0,"해당 없음",L66/E66)</x:f>
        <x:v>0.14285714285714285</x:v>
      </x:c>
      <x:c r="U66" s="15" t="n">
        <x:f>IF(E66=0,"해당 없음",M66/E66)</x:f>
        <x:v>0.1523809523809524</x:v>
      </x:c>
      <x:c r="V66" s="16" t="n">
        <x:f>E66/5</x:f>
        <x:v>21</x:v>
      </x:c>
    </x:row>
    <x:row r="67" ht="22" customHeight="1">
      <x:c r="A67" s="2" t="n">
        <x:v>31</x:v>
      </x:c>
      <x:c r="B67" s="2" t="str">
        <x:v>NAVY</x:v>
      </x:c>
      <x:c r="C67" s="2" t="str">
        <x:v>규칙형</x:v>
      </x:c>
      <x:c r="D67" s="2" t="str">
        <x:v>0만</x:v>
      </x:c>
      <x:c r="E67" s="14" t="n">
        <x:f>SUM(F67:M67)</x:f>
        <x:v>105</x:v>
      </x:c>
      <x:c r="F67" s="14" t="n">
        <x:v>36</x:v>
      </x:c>
      <x:c r="G67" s="14" t="n">
        <x:v>11</x:v>
      </x:c>
      <x:c r="H67" s="14" t="n">
        <x:v>12</x:v>
      </x:c>
      <x:c r="I67" s="14" t="n">
        <x:v>17</x:v>
      </x:c>
      <x:c r="J67" s="14" t="n">
        <x:v>5</x:v>
      </x:c>
      <x:c r="K67" s="14" t="n">
        <x:v>3</x:v>
      </x:c>
      <x:c r="L67" s="14" t="n">
        <x:v>18</x:v>
      </x:c>
      <x:c r="M67" s="14" t="n">
        <x:v>3</x:v>
      </x:c>
      <x:c r="N67" s="15" t="n">
        <x:f>IF(E67=0,"해당 없음",F67/E67)</x:f>
        <x:v>0.34285714285714286</x:v>
      </x:c>
      <x:c r="O67" s="15" t="n">
        <x:f>IF(E67=0,"해당 없음",G67/E67)</x:f>
        <x:v>0.10476190476190476</x:v>
      </x:c>
      <x:c r="P67" s="15" t="n">
        <x:f>IF(E67=0,"해당 없음",H67/E67)</x:f>
        <x:v>0.11428571428571428</x:v>
      </x:c>
      <x:c r="Q67" s="15" t="n">
        <x:f>IF(E67=0,"해당 없음",I67/E67)</x:f>
        <x:v>0.1619047619047619</x:v>
      </x:c>
      <x:c r="R67" s="15" t="n">
        <x:f>IF(E67=0,"해당 없음",J67/E67)</x:f>
        <x:v>0.047619047619047616</x:v>
      </x:c>
      <x:c r="S67" s="15" t="n">
        <x:f>IF(E67=0,"해당 없음",K67/E67)</x:f>
        <x:v>0.02857142857142857</x:v>
      </x:c>
      <x:c r="T67" s="15" t="n">
        <x:f>IF(E67=0,"해당 없음",L67/E67)</x:f>
        <x:v>0.17142857142857143</x:v>
      </x:c>
      <x:c r="U67" s="15" t="n">
        <x:f>IF(E67=0,"해당 없음",M67/E67)</x:f>
        <x:v>0.02857142857142857</x:v>
      </x:c>
      <x:c r="V67" s="16" t="n">
        <x:f>E67/5</x:f>
        <x:v>21</x:v>
      </x:c>
    </x:row>
    <x:row r="68" ht="22" customHeight="1">
      <x:c r="A68" s="2" t="n">
        <x:v>32</x:v>
      </x:c>
      <x:c r="B68" s="2" t="str">
        <x:v>RED</x:v>
      </x:c>
      <x:c r="C68" s="2" t="str">
        <x:v>규칙형</x:v>
      </x:c>
      <x:c r="D68" s="2" t="str">
        <x:v>0만</x:v>
      </x:c>
      <x:c r="E68" s="14" t="n">
        <x:f>SUM(F68:M68)</x:f>
        <x:v>104</x:v>
      </x:c>
      <x:c r="F68" s="14" t="n">
        <x:v>36</x:v>
      </x:c>
      <x:c r="G68" s="14" t="n">
        <x:v>6</x:v>
      </x:c>
      <x:c r="H68" s="14" t="n">
        <x:v>6</x:v>
      </x:c>
      <x:c r="I68" s="14" t="n">
        <x:v>17</x:v>
      </x:c>
      <x:c r="J68" s="14" t="n">
        <x:v>11</x:v>
      </x:c>
      <x:c r="K68" s="14" t="n">
        <x:v>6</x:v>
      </x:c>
      <x:c r="L68" s="14" t="n">
        <x:v>20</x:v>
      </x:c>
      <x:c r="M68" s="14" t="n">
        <x:v>2</x:v>
      </x:c>
      <x:c r="N68" s="15" t="n">
        <x:f>IF(E68=0,"해당 없음",F68/E68)</x:f>
        <x:v>0.34615384615384615</x:v>
      </x:c>
      <x:c r="O68" s="15" t="n">
        <x:f>IF(E68=0,"해당 없음",G68/E68)</x:f>
        <x:v>0.057692307692307696</x:v>
      </x:c>
      <x:c r="P68" s="15" t="n">
        <x:f>IF(E68=0,"해당 없음",H68/E68)</x:f>
        <x:v>0.057692307692307696</x:v>
      </x:c>
      <x:c r="Q68" s="15" t="n">
        <x:f>IF(E68=0,"해당 없음",I68/E68)</x:f>
        <x:v>0.16346153846153846</x:v>
      </x:c>
      <x:c r="R68" s="15" t="n">
        <x:f>IF(E68=0,"해당 없음",J68/E68)</x:f>
        <x:v>0.10576923076923077</x:v>
      </x:c>
      <x:c r="S68" s="15" t="n">
        <x:f>IF(E68=0,"해당 없음",K68/E68)</x:f>
        <x:v>0.057692307692307696</x:v>
      </x:c>
      <x:c r="T68" s="15" t="n">
        <x:f>IF(E68=0,"해당 없음",L68/E68)</x:f>
        <x:v>0.19230769230769232</x:v>
      </x:c>
      <x:c r="U68" s="15" t="n">
        <x:f>IF(E68=0,"해당 없음",M68/E68)</x:f>
        <x:v>0.019230769230769232</x:v>
      </x:c>
      <x:c r="V68" s="16" t="n">
        <x:f>E68/5</x:f>
        <x:v>20.8</x:v>
      </x:c>
    </x:row>
    <x:row r="69" ht="22" customHeight="1">
      <x:c r="A69" s="2" t="n">
        <x:v>32</x:v>
      </x:c>
      <x:c r="B69" s="2" t="str">
        <x:v>NAVY</x:v>
      </x:c>
      <x:c r="C69" s="2" t="str">
        <x:v>0만</x:v>
      </x:c>
      <x:c r="D69" s="2" t="str">
        <x:v>규칙형</x:v>
      </x:c>
      <x:c r="E69" s="14" t="n">
        <x:f>SUM(F69:M69)</x:f>
        <x:v>103</x:v>
      </x:c>
      <x:c r="F69" s="14" t="n">
        <x:v>13</x:v>
      </x:c>
      <x:c r="G69" s="14" t="n">
        <x:v>15</x:v>
      </x:c>
      <x:c r="H69" s="14" t="n">
        <x:v>13</x:v>
      </x:c>
      <x:c r="I69" s="14" t="n">
        <x:v>12</x:v>
      </x:c>
      <x:c r="J69" s="14" t="n">
        <x:v>11</x:v>
      </x:c>
      <x:c r="K69" s="14" t="n">
        <x:v>9</x:v>
      </x:c>
      <x:c r="L69" s="14" t="n">
        <x:v>15</x:v>
      </x:c>
      <x:c r="M69" s="14" t="n">
        <x:v>15</x:v>
      </x:c>
      <x:c r="N69" s="15" t="n">
        <x:f>IF(E69=0,"해당 없음",F69/E69)</x:f>
        <x:v>0.1262135922330097</x:v>
      </x:c>
      <x:c r="O69" s="15" t="n">
        <x:f>IF(E69=0,"해당 없음",G69/E69)</x:f>
        <x:v>0.14563106796116504</x:v>
      </x:c>
      <x:c r="P69" s="15" t="n">
        <x:f>IF(E69=0,"해당 없음",H69/E69)</x:f>
        <x:v>0.1262135922330097</x:v>
      </x:c>
      <x:c r="Q69" s="15" t="n">
        <x:f>IF(E69=0,"해당 없음",I69/E69)</x:f>
        <x:v>0.11650485436893204</x:v>
      </x:c>
      <x:c r="R69" s="15" t="n">
        <x:f>IF(E69=0,"해당 없음",J69/E69)</x:f>
        <x:v>0.10679611650485436</x:v>
      </x:c>
      <x:c r="S69" s="15" t="n">
        <x:f>IF(E69=0,"해당 없음",K69/E69)</x:f>
        <x:v>0.08737864077669903</x:v>
      </x:c>
      <x:c r="T69" s="15" t="n">
        <x:f>IF(E69=0,"해당 없음",L69/E69)</x:f>
        <x:v>0.14563106796116504</x:v>
      </x:c>
      <x:c r="U69" s="15" t="n">
        <x:f>IF(E69=0,"해당 없음",M69/E69)</x:f>
        <x:v>0.14563106796116504</x:v>
      </x:c>
      <x:c r="V69" s="16" t="n">
        <x:f>E69/5</x:f>
        <x:v>20.6</x:v>
      </x:c>
    </x:row>
    <x:row r="70" ht="22" customHeight="1">
      <x:c r="A70" s="2" t="n">
        <x:v>33</x:v>
      </x:c>
      <x:c r="B70" s="2" t="str">
        <x:v>RED</x:v>
      </x:c>
      <x:c r="C70" s="2" t="str">
        <x:v>0만</x:v>
      </x:c>
      <x:c r="D70" s="2" t="str">
        <x:v>규칙형</x:v>
      </x:c>
      <x:c r="E70" s="14" t="n">
        <x:f>SUM(F70:M70)</x:f>
        <x:v>103</x:v>
      </x:c>
      <x:c r="F70" s="14" t="n">
        <x:v>12</x:v>
      </x:c>
      <x:c r="G70" s="14" t="n">
        <x:v>13</x:v>
      </x:c>
      <x:c r="H70" s="14" t="n">
        <x:v>16</x:v>
      </x:c>
      <x:c r="I70" s="14" t="n">
        <x:v>7</x:v>
      </x:c>
      <x:c r="J70" s="14" t="n">
        <x:v>14</x:v>
      </x:c>
      <x:c r="K70" s="14" t="n">
        <x:v>11</x:v>
      </x:c>
      <x:c r="L70" s="14" t="n">
        <x:v>20</x:v>
      </x:c>
      <x:c r="M70" s="14" t="n">
        <x:v>10</x:v>
      </x:c>
      <x:c r="N70" s="15" t="n">
        <x:f>IF(E70=0,"해당 없음",F70/E70)</x:f>
        <x:v>0.11650485436893204</x:v>
      </x:c>
      <x:c r="O70" s="15" t="n">
        <x:f>IF(E70=0,"해당 없음",G70/E70)</x:f>
        <x:v>0.1262135922330097</x:v>
      </x:c>
      <x:c r="P70" s="15" t="n">
        <x:f>IF(E70=0,"해당 없음",H70/E70)</x:f>
        <x:v>0.1553398058252427</x:v>
      </x:c>
      <x:c r="Q70" s="15" t="n">
        <x:f>IF(E70=0,"해당 없음",I70/E70)</x:f>
        <x:v>0.06796116504854369</x:v>
      </x:c>
      <x:c r="R70" s="15" t="n">
        <x:f>IF(E70=0,"해당 없음",J70/E70)</x:f>
        <x:v>0.13592233009708737</x:v>
      </x:c>
      <x:c r="S70" s="15" t="n">
        <x:f>IF(E70=0,"해당 없음",K70/E70)</x:f>
        <x:v>0.10679611650485436</x:v>
      </x:c>
      <x:c r="T70" s="15" t="n">
        <x:f>IF(E70=0,"해당 없음",L70/E70)</x:f>
        <x:v>0.1941747572815534</x:v>
      </x:c>
      <x:c r="U70" s="15" t="n">
        <x:f>IF(E70=0,"해당 없음",M70/E70)</x:f>
        <x:v>0.0970873786407767</x:v>
      </x:c>
      <x:c r="V70" s="16" t="n">
        <x:f>E70/5</x:f>
        <x:v>20.6</x:v>
      </x:c>
    </x:row>
    <x:row r="71" ht="22" customHeight="1">
      <x:c r="A71" s="2" t="n">
        <x:v>33</x:v>
      </x:c>
      <x:c r="B71" s="2" t="str">
        <x:v>NAVY</x:v>
      </x:c>
      <x:c r="C71" s="2" t="str">
        <x:v>규칙형</x:v>
      </x:c>
      <x:c r="D71" s="2" t="str">
        <x:v>0만</x:v>
      </x:c>
      <x:c r="E71" s="14" t="n">
        <x:f>SUM(F71:M71)</x:f>
        <x:v>103</x:v>
      </x:c>
      <x:c r="F71" s="14" t="n">
        <x:v>43</x:v>
      </x:c>
      <x:c r="G71" s="14" t="n">
        <x:v>6</x:v>
      </x:c>
      <x:c r="H71" s="14" t="n">
        <x:v>11</x:v>
      </x:c>
      <x:c r="I71" s="14" t="n">
        <x:v>18</x:v>
      </x:c>
      <x:c r="J71" s="14" t="n">
        <x:v>4</x:v>
      </x:c>
      <x:c r="K71" s="14" t="n">
        <x:v>2</x:v>
      </x:c>
      <x:c r="L71" s="14" t="n">
        <x:v>17</x:v>
      </x:c>
      <x:c r="M71" s="14" t="n">
        <x:v>2</x:v>
      </x:c>
      <x:c r="N71" s="15" t="n">
        <x:f>IF(E71=0,"해당 없음",F71/E71)</x:f>
        <x:v>0.4174757281553398</x:v>
      </x:c>
      <x:c r="O71" s="15" t="n">
        <x:f>IF(E71=0,"해당 없음",G71/E71)</x:f>
        <x:v>0.05825242718446602</x:v>
      </x:c>
      <x:c r="P71" s="15" t="n">
        <x:f>IF(E71=0,"해당 없음",H71/E71)</x:f>
        <x:v>0.10679611650485436</x:v>
      </x:c>
      <x:c r="Q71" s="15" t="n">
        <x:f>IF(E71=0,"해당 없음",I71/E71)</x:f>
        <x:v>0.17475728155339806</x:v>
      </x:c>
      <x:c r="R71" s="15" t="n">
        <x:f>IF(E71=0,"해당 없음",J71/E71)</x:f>
        <x:v>0.038834951456310676</x:v>
      </x:c>
      <x:c r="S71" s="15" t="n">
        <x:f>IF(E71=0,"해당 없음",K71/E71)</x:f>
        <x:v>0.019417475728155338</x:v>
      </x:c>
      <x:c r="T71" s="15" t="n">
        <x:f>IF(E71=0,"해당 없음",L71/E71)</x:f>
        <x:v>0.1650485436893204</x:v>
      </x:c>
      <x:c r="U71" s="15" t="n">
        <x:f>IF(E71=0,"해당 없음",M71/E71)</x:f>
        <x:v>0.019417475728155338</x:v>
      </x:c>
      <x:c r="V71" s="16" t="n">
        <x:f>E71/5</x:f>
        <x:v>20.6</x:v>
      </x:c>
    </x:row>
    <x:row r="72" ht="22" customHeight="1">
      <x:c r="A72" s="2" t="n">
        <x:v>34</x:v>
      </x:c>
      <x:c r="B72" s="2" t="str">
        <x:v>RED</x:v>
      </x:c>
      <x:c r="C72" s="2" t="str">
        <x:v>규칙형</x:v>
      </x:c>
      <x:c r="D72" s="2" t="str">
        <x:v>0만</x:v>
      </x:c>
      <x:c r="E72" s="14" t="n">
        <x:f>SUM(F72:M72)</x:f>
        <x:v>100</x:v>
      </x:c>
      <x:c r="F72" s="14" t="n">
        <x:v>48</x:v>
      </x:c>
      <x:c r="G72" s="14" t="n">
        <x:v>4</x:v>
      </x:c>
      <x:c r="H72" s="14" t="n">
        <x:v>6</x:v>
      </x:c>
      <x:c r="I72" s="14" t="n">
        <x:v>8</x:v>
      </x:c>
      <x:c r="J72" s="14" t="n">
        <x:v>5</x:v>
      </x:c>
      <x:c r="K72" s="14" t="n">
        <x:v>4</x:v>
      </x:c>
      <x:c r="L72" s="14" t="n">
        <x:v>20</x:v>
      </x:c>
      <x:c r="M72" s="14" t="n">
        <x:v>5</x:v>
      </x:c>
      <x:c r="N72" s="15" t="n">
        <x:f>IF(E72=0,"해당 없음",F72/E72)</x:f>
        <x:v>0.48</x:v>
      </x:c>
      <x:c r="O72" s="15" t="n">
        <x:f>IF(E72=0,"해당 없음",G72/E72)</x:f>
        <x:v>0.04</x:v>
      </x:c>
      <x:c r="P72" s="15" t="n">
        <x:f>IF(E72=0,"해당 없음",H72/E72)</x:f>
        <x:v>0.06</x:v>
      </x:c>
      <x:c r="Q72" s="15" t="n">
        <x:f>IF(E72=0,"해당 없음",I72/E72)</x:f>
        <x:v>0.08</x:v>
      </x:c>
      <x:c r="R72" s="15" t="n">
        <x:f>IF(E72=0,"해당 없음",J72/E72)</x:f>
        <x:v>0.05</x:v>
      </x:c>
      <x:c r="S72" s="15" t="n">
        <x:f>IF(E72=0,"해당 없음",K72/E72)</x:f>
        <x:v>0.04</x:v>
      </x:c>
      <x:c r="T72" s="15" t="n">
        <x:f>IF(E72=0,"해당 없음",L72/E72)</x:f>
        <x:v>0.2</x:v>
      </x:c>
      <x:c r="U72" s="15" t="n">
        <x:f>IF(E72=0,"해당 없음",M72/E72)</x:f>
        <x:v>0.05</x:v>
      </x:c>
      <x:c r="V72" s="16" t="n">
        <x:f>E72/5</x:f>
        <x:v>20</x:v>
      </x:c>
    </x:row>
    <x:row r="73" ht="22" customHeight="1">
      <x:c r="A73" s="2" t="n">
        <x:v>34</x:v>
      </x:c>
      <x:c r="B73" s="2" t="str">
        <x:v>NAVY</x:v>
      </x:c>
      <x:c r="C73" s="2" t="str">
        <x:v>0만</x:v>
      </x:c>
      <x:c r="D73" s="2" t="str">
        <x:v>규칙형</x:v>
      </x:c>
      <x:c r="E73" s="14" t="n">
        <x:f>SUM(F73:M73)</x:f>
        <x:v>100</x:v>
      </x:c>
      <x:c r="F73" s="14" t="n">
        <x:v>12</x:v>
      </x:c>
      <x:c r="G73" s="14" t="n">
        <x:v>13</x:v>
      </x:c>
      <x:c r="H73" s="14" t="n">
        <x:v>16</x:v>
      </x:c>
      <x:c r="I73" s="14" t="n">
        <x:v>7</x:v>
      </x:c>
      <x:c r="J73" s="14" t="n">
        <x:v>12</x:v>
      </x:c>
      <x:c r="K73" s="14" t="n">
        <x:v>12</x:v>
      </x:c>
      <x:c r="L73" s="14" t="n">
        <x:v>18</x:v>
      </x:c>
      <x:c r="M73" s="14" t="n">
        <x:v>10</x:v>
      </x:c>
      <x:c r="N73" s="15" t="n">
        <x:f>IF(E73=0,"해당 없음",F73/E73)</x:f>
        <x:v>0.12</x:v>
      </x:c>
      <x:c r="O73" s="15" t="n">
        <x:f>IF(E73=0,"해당 없음",G73/E73)</x:f>
        <x:v>0.13</x:v>
      </x:c>
      <x:c r="P73" s="15" t="n">
        <x:f>IF(E73=0,"해당 없음",H73/E73)</x:f>
        <x:v>0.16</x:v>
      </x:c>
      <x:c r="Q73" s="15" t="n">
        <x:f>IF(E73=0,"해당 없음",I73/E73)</x:f>
        <x:v>0.07</x:v>
      </x:c>
      <x:c r="R73" s="15" t="n">
        <x:f>IF(E73=0,"해당 없음",J73/E73)</x:f>
        <x:v>0.12</x:v>
      </x:c>
      <x:c r="S73" s="15" t="n">
        <x:f>IF(E73=0,"해당 없음",K73/E73)</x:f>
        <x:v>0.12</x:v>
      </x:c>
      <x:c r="T73" s="15" t="n">
        <x:f>IF(E73=0,"해당 없음",L73/E73)</x:f>
        <x:v>0.18</x:v>
      </x:c>
      <x:c r="U73" s="15" t="n">
        <x:f>IF(E73=0,"해당 없음",M73/E73)</x:f>
        <x:v>0.1</x:v>
      </x:c>
      <x:c r="V73" s="16" t="n">
        <x:f>E73/5</x:f>
        <x:v>20</x:v>
      </x:c>
    </x:row>
    <x:row r="74" ht="22" customHeight="1">
      <x:c r="A74" s="2" t="n">
        <x:v>35</x:v>
      </x:c>
      <x:c r="B74" s="2" t="str">
        <x:v>RED</x:v>
      </x:c>
      <x:c r="C74" s="2" t="str">
        <x:v>0만</x:v>
      </x:c>
      <x:c r="D74" s="2" t="str">
        <x:v>규칙형</x:v>
      </x:c>
      <x:c r="E74" s="14" t="n">
        <x:f>SUM(F74:M74)</x:f>
        <x:v>105</x:v>
      </x:c>
      <x:c r="F74" s="14" t="n">
        <x:v>15</x:v>
      </x:c>
      <x:c r="G74" s="14" t="n">
        <x:v>15</x:v>
      </x:c>
      <x:c r="H74" s="14" t="n">
        <x:v>12</x:v>
      </x:c>
      <x:c r="I74" s="14" t="n">
        <x:v>12</x:v>
      </x:c>
      <x:c r="J74" s="14" t="n">
        <x:v>8</x:v>
      </x:c>
      <x:c r="K74" s="14" t="n">
        <x:v>16</x:v>
      </x:c>
      <x:c r="L74" s="14" t="n">
        <x:v>15</x:v>
      </x:c>
      <x:c r="M74" s="14" t="n">
        <x:v>12</x:v>
      </x:c>
      <x:c r="N74" s="15" t="n">
        <x:f>IF(E74=0,"해당 없음",F74/E74)</x:f>
        <x:v>0.14285714285714285</x:v>
      </x:c>
      <x:c r="O74" s="15" t="n">
        <x:f>IF(E74=0,"해당 없음",G74/E74)</x:f>
        <x:v>0.14285714285714285</x:v>
      </x:c>
      <x:c r="P74" s="15" t="n">
        <x:f>IF(E74=0,"해당 없음",H74/E74)</x:f>
        <x:v>0.11428571428571428</x:v>
      </x:c>
      <x:c r="Q74" s="15" t="n">
        <x:f>IF(E74=0,"해당 없음",I74/E74)</x:f>
        <x:v>0.11428571428571428</x:v>
      </x:c>
      <x:c r="R74" s="15" t="n">
        <x:f>IF(E74=0,"해당 없음",J74/E74)</x:f>
        <x:v>0.0761904761904762</x:v>
      </x:c>
      <x:c r="S74" s="15" t="n">
        <x:f>IF(E74=0,"해당 없음",K74/E74)</x:f>
        <x:v>0.1523809523809524</x:v>
      </x:c>
      <x:c r="T74" s="15" t="n">
        <x:f>IF(E74=0,"해당 없음",L74/E74)</x:f>
        <x:v>0.14285714285714285</x:v>
      </x:c>
      <x:c r="U74" s="15" t="n">
        <x:f>IF(E74=0,"해당 없음",M74/E74)</x:f>
        <x:v>0.11428571428571428</x:v>
      </x:c>
      <x:c r="V74" s="16" t="n">
        <x:f>E74/5</x:f>
        <x:v>21</x:v>
      </x:c>
    </x:row>
    <x:row r="75" ht="22" customHeight="1">
      <x:c r="A75" s="2" t="n">
        <x:v>35</x:v>
      </x:c>
      <x:c r="B75" s="2" t="str">
        <x:v>NAVY</x:v>
      </x:c>
      <x:c r="C75" s="2" t="str">
        <x:v>규칙형</x:v>
      </x:c>
      <x:c r="D75" s="2" t="str">
        <x:v>0만</x:v>
      </x:c>
      <x:c r="E75" s="14" t="n">
        <x:f>SUM(F75:M75)</x:f>
        <x:v>105</x:v>
      </x:c>
      <x:c r="F75" s="14" t="n">
        <x:v>43</x:v>
      </x:c>
      <x:c r="G75" s="14" t="n">
        <x:v>7</x:v>
      </x:c>
      <x:c r="H75" s="14" t="n">
        <x:v>19</x:v>
      </x:c>
      <x:c r="I75" s="14" t="n">
        <x:v>13</x:v>
      </x:c>
      <x:c r="J75" s="14" t="n">
        <x:v>4</x:v>
      </x:c>
      <x:c r="K75" s="14" t="n">
        <x:v>1</x:v>
      </x:c>
      <x:c r="L75" s="14" t="n">
        <x:v>15</x:v>
      </x:c>
      <x:c r="M75" s="14" t="n">
        <x:v>3</x:v>
      </x:c>
      <x:c r="N75" s="15" t="n">
        <x:f>IF(E75=0,"해당 없음",F75/E75)</x:f>
        <x:v>0.4095238095238095</x:v>
      </x:c>
      <x:c r="O75" s="15" t="n">
        <x:f>IF(E75=0,"해당 없음",G75/E75)</x:f>
        <x:v>0.06666666666666667</x:v>
      </x:c>
      <x:c r="P75" s="15" t="n">
        <x:f>IF(E75=0,"해당 없음",H75/E75)</x:f>
        <x:v>0.18095238095238095</x:v>
      </x:c>
      <x:c r="Q75" s="15" t="n">
        <x:f>IF(E75=0,"해당 없음",I75/E75)</x:f>
        <x:v>0.12380952380952381</x:v>
      </x:c>
      <x:c r="R75" s="15" t="n">
        <x:f>IF(E75=0,"해당 없음",J75/E75)</x:f>
        <x:v>0.0380952380952381</x:v>
      </x:c>
      <x:c r="S75" s="15" t="n">
        <x:f>IF(E75=0,"해당 없음",K75/E75)</x:f>
        <x:v>0.009523809523809525</x:v>
      </x:c>
      <x:c r="T75" s="15" t="n">
        <x:f>IF(E75=0,"해당 없음",L75/E75)</x:f>
        <x:v>0.14285714285714285</x:v>
      </x:c>
      <x:c r="U75" s="15" t="n">
        <x:f>IF(E75=0,"해당 없음",M75/E75)</x:f>
        <x:v>0.02857142857142857</x:v>
      </x:c>
      <x:c r="V75" s="16" t="n">
        <x:f>E75/5</x:f>
        <x:v>21</x:v>
      </x:c>
    </x:row>
    <x:row r="76" ht="22" customHeight="1">
      <x:c r="A76" s="2" t="n">
        <x:v>36</x:v>
      </x:c>
      <x:c r="B76" s="2" t="str">
        <x:v>RED</x:v>
      </x:c>
      <x:c r="C76" s="2" t="str">
        <x:v>규칙형</x:v>
      </x:c>
      <x:c r="D76" s="2" t="str">
        <x:v>0만</x:v>
      </x:c>
      <x:c r="E76" s="14" t="n">
        <x:f>SUM(F76:M76)</x:f>
        <x:v>104</x:v>
      </x:c>
      <x:c r="F76" s="14" t="n">
        <x:v>42</x:v>
      </x:c>
      <x:c r="G76" s="14" t="n">
        <x:v>8</x:v>
      </x:c>
      <x:c r="H76" s="14" t="n">
        <x:v>9</x:v>
      </x:c>
      <x:c r="I76" s="14" t="n">
        <x:v>16</x:v>
      </x:c>
      <x:c r="J76" s="14" t="n">
        <x:v>5</x:v>
      </x:c>
      <x:c r="K76" s="14" t="n">
        <x:v>3</x:v>
      </x:c>
      <x:c r="L76" s="14" t="n">
        <x:v>18</x:v>
      </x:c>
      <x:c r="M76" s="14" t="n">
        <x:v>3</x:v>
      </x:c>
      <x:c r="N76" s="15" t="n">
        <x:f>IF(E76=0,"해당 없음",F76/E76)</x:f>
        <x:v>0.40384615384615385</x:v>
      </x:c>
      <x:c r="O76" s="15" t="n">
        <x:f>IF(E76=0,"해당 없음",G76/E76)</x:f>
        <x:v>0.07692307692307693</x:v>
      </x:c>
      <x:c r="P76" s="15" t="n">
        <x:f>IF(E76=0,"해당 없음",H76/E76)</x:f>
        <x:v>0.08653846153846154</x:v>
      </x:c>
      <x:c r="Q76" s="15" t="n">
        <x:f>IF(E76=0,"해당 없음",I76/E76)</x:f>
        <x:v>0.15384615384615385</x:v>
      </x:c>
      <x:c r="R76" s="15" t="n">
        <x:f>IF(E76=0,"해당 없음",J76/E76)</x:f>
        <x:v>0.04807692307692308</x:v>
      </x:c>
      <x:c r="S76" s="15" t="n">
        <x:f>IF(E76=0,"해당 없음",K76/E76)</x:f>
        <x:v>0.028846153846153848</x:v>
      </x:c>
      <x:c r="T76" s="15" t="n">
        <x:f>IF(E76=0,"해당 없음",L76/E76)</x:f>
        <x:v>0.17307692307692307</x:v>
      </x:c>
      <x:c r="U76" s="15" t="n">
        <x:f>IF(E76=0,"해당 없음",M76/E76)</x:f>
        <x:v>0.028846153846153848</x:v>
      </x:c>
      <x:c r="V76" s="16" t="n">
        <x:f>E76/5</x:f>
        <x:v>20.8</x:v>
      </x:c>
    </x:row>
    <x:row r="77" ht="22" customHeight="1">
      <x:c r="A77" s="2" t="n">
        <x:v>36</x:v>
      </x:c>
      <x:c r="B77" s="2" t="str">
        <x:v>NAVY</x:v>
      </x:c>
      <x:c r="C77" s="2" t="str">
        <x:v>0만</x:v>
      </x:c>
      <x:c r="D77" s="2" t="str">
        <x:v>규칙형</x:v>
      </x:c>
      <x:c r="E77" s="14" t="n">
        <x:f>SUM(F77:M77)</x:f>
        <x:v>104</x:v>
      </x:c>
      <x:c r="F77" s="14" t="n">
        <x:v>15</x:v>
      </x:c>
      <x:c r="G77" s="14" t="n">
        <x:v>14</x:v>
      </x:c>
      <x:c r="H77" s="14" t="n">
        <x:v>12</x:v>
      </x:c>
      <x:c r="I77" s="14" t="n">
        <x:v>12</x:v>
      </x:c>
      <x:c r="J77" s="14" t="n">
        <x:v>8</x:v>
      </x:c>
      <x:c r="K77" s="14" t="n">
        <x:v>16</x:v>
      </x:c>
      <x:c r="L77" s="14" t="n">
        <x:v>15</x:v>
      </x:c>
      <x:c r="M77" s="14" t="n">
        <x:v>12</x:v>
      </x:c>
      <x:c r="N77" s="15" t="n">
        <x:f>IF(E77=0,"해당 없음",F77/E77)</x:f>
        <x:v>0.14423076923076922</x:v>
      </x:c>
      <x:c r="O77" s="15" t="n">
        <x:f>IF(E77=0,"해당 없음",G77/E77)</x:f>
        <x:v>0.1346153846153846</x:v>
      </x:c>
      <x:c r="P77" s="15" t="n">
        <x:f>IF(E77=0,"해당 없음",H77/E77)</x:f>
        <x:v>0.11538461538461539</x:v>
      </x:c>
      <x:c r="Q77" s="15" t="n">
        <x:f>IF(E77=0,"해당 없음",I77/E77)</x:f>
        <x:v>0.11538461538461539</x:v>
      </x:c>
      <x:c r="R77" s="15" t="n">
        <x:f>IF(E77=0,"해당 없음",J77/E77)</x:f>
        <x:v>0.07692307692307693</x:v>
      </x:c>
      <x:c r="S77" s="15" t="n">
        <x:f>IF(E77=0,"해당 없음",K77/E77)</x:f>
        <x:v>0.15384615384615385</x:v>
      </x:c>
      <x:c r="T77" s="15" t="n">
        <x:f>IF(E77=0,"해당 없음",L77/E77)</x:f>
        <x:v>0.14423076923076922</x:v>
      </x:c>
      <x:c r="U77" s="15" t="n">
        <x:f>IF(E77=0,"해당 없음",M77/E77)</x:f>
        <x:v>0.11538461538461539</x:v>
      </x:c>
      <x:c r="V77" s="16" t="n">
        <x:f>E77/5</x:f>
        <x:v>20.8</x:v>
      </x:c>
    </x:row>
    <x:row r="78" ht="22" customHeight="1">
      <x:c r="A78" s="2" t="n">
        <x:v>37</x:v>
      </x:c>
      <x:c r="B78" s="2" t="str">
        <x:v>RED</x:v>
      </x:c>
      <x:c r="C78" s="2" t="str">
        <x:v>0만</x:v>
      </x:c>
      <x:c r="D78" s="2" t="str">
        <x:v>규칙형</x:v>
      </x:c>
      <x:c r="E78" s="14" t="n">
        <x:f>SUM(F78:M78)</x:f>
        <x:v>102</x:v>
      </x:c>
      <x:c r="F78" s="14" t="n">
        <x:v>17</x:v>
      </x:c>
      <x:c r="G78" s="14" t="n">
        <x:v>7</x:v>
      </x:c>
      <x:c r="H78" s="14" t="n">
        <x:v>13</x:v>
      </x:c>
      <x:c r="I78" s="14" t="n">
        <x:v>14</x:v>
      </x:c>
      <x:c r="J78" s="14" t="n">
        <x:v>13</x:v>
      </x:c>
      <x:c r="K78" s="14" t="n">
        <x:v>15</x:v>
      </x:c>
      <x:c r="L78" s="14" t="n">
        <x:v>11</x:v>
      </x:c>
      <x:c r="M78" s="14" t="n">
        <x:v>12</x:v>
      </x:c>
      <x:c r="N78" s="15" t="n">
        <x:f>IF(E78=0,"해당 없음",F78/E78)</x:f>
        <x:v>0.16666666666666666</x:v>
      </x:c>
      <x:c r="O78" s="15" t="n">
        <x:f>IF(E78=0,"해당 없음",G78/E78)</x:f>
        <x:v>0.06862745098039216</x:v>
      </x:c>
      <x:c r="P78" s="15" t="n">
        <x:f>IF(E78=0,"해당 없음",H78/E78)</x:f>
        <x:v>0.12745098039215685</x:v>
      </x:c>
      <x:c r="Q78" s="15" t="n">
        <x:f>IF(E78=0,"해당 없음",I78/E78)</x:f>
        <x:v>0.13725490196078433</x:v>
      </x:c>
      <x:c r="R78" s="15" t="n">
        <x:f>IF(E78=0,"해당 없음",J78/E78)</x:f>
        <x:v>0.12745098039215685</x:v>
      </x:c>
      <x:c r="S78" s="15" t="n">
        <x:f>IF(E78=0,"해당 없음",K78/E78)</x:f>
        <x:v>0.14705882352941177</x:v>
      </x:c>
      <x:c r="T78" s="15" t="n">
        <x:f>IF(E78=0,"해당 없음",L78/E78)</x:f>
        <x:v>0.10784313725490197</x:v>
      </x:c>
      <x:c r="U78" s="15" t="n">
        <x:f>IF(E78=0,"해당 없음",M78/E78)</x:f>
        <x:v>0.11764705882352941</x:v>
      </x:c>
      <x:c r="V78" s="16" t="n">
        <x:f>E78/5</x:f>
        <x:v>20.4</x:v>
      </x:c>
    </x:row>
    <x:row r="79" ht="22" customHeight="1">
      <x:c r="A79" s="2" t="n">
        <x:v>37</x:v>
      </x:c>
      <x:c r="B79" s="2" t="str">
        <x:v>NAVY</x:v>
      </x:c>
      <x:c r="C79" s="2" t="str">
        <x:v>규칙형</x:v>
      </x:c>
      <x:c r="D79" s="2" t="str">
        <x:v>0만</x:v>
      </x:c>
      <x:c r="E79" s="14" t="n">
        <x:f>SUM(F79:M79)</x:f>
        <x:v>103</x:v>
      </x:c>
      <x:c r="F79" s="14" t="n">
        <x:v>37</x:v>
      </x:c>
      <x:c r="G79" s="14" t="n">
        <x:v>6</x:v>
      </x:c>
      <x:c r="H79" s="14" t="n">
        <x:v>12</x:v>
      </x:c>
      <x:c r="I79" s="14" t="n">
        <x:v>24</x:v>
      </x:c>
      <x:c r="J79" s="14" t="n">
        <x:v>4</x:v>
      </x:c>
      <x:c r="K79" s="14" t="n">
        <x:v>2</x:v>
      </x:c>
      <x:c r="L79" s="14" t="n">
        <x:v>17</x:v>
      </x:c>
      <x:c r="M79" s="14" t="n">
        <x:v>1</x:v>
      </x:c>
      <x:c r="N79" s="15" t="n">
        <x:f>IF(E79=0,"해당 없음",F79/E79)</x:f>
        <x:v>0.3592233009708738</x:v>
      </x:c>
      <x:c r="O79" s="15" t="n">
        <x:f>IF(E79=0,"해당 없음",G79/E79)</x:f>
        <x:v>0.05825242718446602</x:v>
      </x:c>
      <x:c r="P79" s="15" t="n">
        <x:f>IF(E79=0,"해당 없음",H79/E79)</x:f>
        <x:v>0.11650485436893204</x:v>
      </x:c>
      <x:c r="Q79" s="15" t="n">
        <x:f>IF(E79=0,"해당 없음",I79/E79)</x:f>
        <x:v>0.23300970873786409</x:v>
      </x:c>
      <x:c r="R79" s="15" t="n">
        <x:f>IF(E79=0,"해당 없음",J79/E79)</x:f>
        <x:v>0.038834951456310676</x:v>
      </x:c>
      <x:c r="S79" s="15" t="n">
        <x:f>IF(E79=0,"해당 없음",K79/E79)</x:f>
        <x:v>0.019417475728155338</x:v>
      </x:c>
      <x:c r="T79" s="15" t="n">
        <x:f>IF(E79=0,"해당 없음",L79/E79)</x:f>
        <x:v>0.1650485436893204</x:v>
      </x:c>
      <x:c r="U79" s="15" t="n">
        <x:f>IF(E79=0,"해당 없음",M79/E79)</x:f>
        <x:v>0.009708737864077669</x:v>
      </x:c>
      <x:c r="V79" s="16" t="n">
        <x:f>E79/5</x:f>
        <x:v>20.6</x:v>
      </x:c>
    </x:row>
    <x:row r="80" ht="22" customHeight="1">
      <x:c r="A80" s="2" t="n">
        <x:v>38</x:v>
      </x:c>
      <x:c r="B80" s="2" t="str">
        <x:v>RED</x:v>
      </x:c>
      <x:c r="C80" s="2" t="str">
        <x:v>규칙형</x:v>
      </x:c>
      <x:c r="D80" s="2" t="str">
        <x:v>0만</x:v>
      </x:c>
      <x:c r="E80" s="14" t="n">
        <x:f>SUM(F80:M80)</x:f>
        <x:v>104</x:v>
      </x:c>
      <x:c r="F80" s="14" t="n">
        <x:v>43</x:v>
      </x:c>
      <x:c r="G80" s="14" t="n">
        <x:v>5</x:v>
      </x:c>
      <x:c r="H80" s="14" t="n">
        <x:v>9</x:v>
      </x:c>
      <x:c r="I80" s="14" t="n">
        <x:v>13</x:v>
      </x:c>
      <x:c r="J80" s="14" t="n">
        <x:v>11</x:v>
      </x:c>
      <x:c r="K80" s="14" t="n">
        <x:v>2</x:v>
      </x:c>
      <x:c r="L80" s="14" t="n">
        <x:v>18</x:v>
      </x:c>
      <x:c r="M80" s="14" t="n">
        <x:v>3</x:v>
      </x:c>
      <x:c r="N80" s="15" t="n">
        <x:f>IF(E80=0,"해당 없음",F80/E80)</x:f>
        <x:v>0.41346153846153844</x:v>
      </x:c>
      <x:c r="O80" s="15" t="n">
        <x:f>IF(E80=0,"해당 없음",G80/E80)</x:f>
        <x:v>0.04807692307692308</x:v>
      </x:c>
      <x:c r="P80" s="15" t="n">
        <x:f>IF(E80=0,"해당 없음",H80/E80)</x:f>
        <x:v>0.08653846153846154</x:v>
      </x:c>
      <x:c r="Q80" s="15" t="n">
        <x:f>IF(E80=0,"해당 없음",I80/E80)</x:f>
        <x:v>0.125</x:v>
      </x:c>
      <x:c r="R80" s="15" t="n">
        <x:f>IF(E80=0,"해당 없음",J80/E80)</x:f>
        <x:v>0.10576923076923077</x:v>
      </x:c>
      <x:c r="S80" s="15" t="n">
        <x:f>IF(E80=0,"해당 없음",K80/E80)</x:f>
        <x:v>0.019230769230769232</x:v>
      </x:c>
      <x:c r="T80" s="15" t="n">
        <x:f>IF(E80=0,"해당 없음",L80/E80)</x:f>
        <x:v>0.17307692307692307</x:v>
      </x:c>
      <x:c r="U80" s="15" t="n">
        <x:f>IF(E80=0,"해당 없음",M80/E80)</x:f>
        <x:v>0.028846153846153848</x:v>
      </x:c>
      <x:c r="V80" s="16" t="n">
        <x:f>E80/5</x:f>
        <x:v>20.8</x:v>
      </x:c>
    </x:row>
    <x:row r="81" ht="22" customHeight="1">
      <x:c r="A81" s="2" t="n">
        <x:v>38</x:v>
      </x:c>
      <x:c r="B81" s="2" t="str">
        <x:v>NAVY</x:v>
      </x:c>
      <x:c r="C81" s="2" t="str">
        <x:v>0만</x:v>
      </x:c>
      <x:c r="D81" s="2" t="str">
        <x:v>규칙형</x:v>
      </x:c>
      <x:c r="E81" s="14" t="n">
        <x:f>SUM(F81:M81)</x:f>
        <x:v>103</x:v>
      </x:c>
      <x:c r="F81" s="14" t="n">
        <x:v>17</x:v>
      </x:c>
      <x:c r="G81" s="14" t="n">
        <x:v>7</x:v>
      </x:c>
      <x:c r="H81" s="14" t="n">
        <x:v>13</x:v>
      </x:c>
      <x:c r="I81" s="14" t="n">
        <x:v>14</x:v>
      </x:c>
      <x:c r="J81" s="14" t="n">
        <x:v>12</x:v>
      </x:c>
      <x:c r="K81" s="14" t="n">
        <x:v>15</x:v>
      </x:c>
      <x:c r="L81" s="14" t="n">
        <x:v>12</x:v>
      </x:c>
      <x:c r="M81" s="14" t="n">
        <x:v>13</x:v>
      </x:c>
      <x:c r="N81" s="15" t="n">
        <x:f>IF(E81=0,"해당 없음",F81/E81)</x:f>
        <x:v>0.1650485436893204</x:v>
      </x:c>
      <x:c r="O81" s="15" t="n">
        <x:f>IF(E81=0,"해당 없음",G81/E81)</x:f>
        <x:v>0.06796116504854369</x:v>
      </x:c>
      <x:c r="P81" s="15" t="n">
        <x:f>IF(E81=0,"해당 없음",H81/E81)</x:f>
        <x:v>0.1262135922330097</x:v>
      </x:c>
      <x:c r="Q81" s="15" t="n">
        <x:f>IF(E81=0,"해당 없음",I81/E81)</x:f>
        <x:v>0.13592233009708737</x:v>
      </x:c>
      <x:c r="R81" s="15" t="n">
        <x:f>IF(E81=0,"해당 없음",J81/E81)</x:f>
        <x:v>0.11650485436893204</x:v>
      </x:c>
      <x:c r="S81" s="15" t="n">
        <x:f>IF(E81=0,"해당 없음",K81/E81)</x:f>
        <x:v>0.14563106796116504</x:v>
      </x:c>
      <x:c r="T81" s="15" t="n">
        <x:f>IF(E81=0,"해당 없음",L81/E81)</x:f>
        <x:v>0.11650485436893204</x:v>
      </x:c>
      <x:c r="U81" s="15" t="n">
        <x:f>IF(E81=0,"해당 없음",M81/E81)</x:f>
        <x:v>0.1262135922330097</x:v>
      </x:c>
      <x:c r="V81" s="16" t="n">
        <x:f>E81/5</x:f>
        <x:v>20.6</x:v>
      </x:c>
    </x:row>
    <x:row r="82" ht="22" customHeight="1">
      <x:c r="A82" s="2" t="n">
        <x:v>39</x:v>
      </x:c>
      <x:c r="B82" s="2" t="str">
        <x:v>RED</x:v>
      </x:c>
      <x:c r="C82" s="2" t="str">
        <x:v>0만</x:v>
      </x:c>
      <x:c r="D82" s="2" t="str">
        <x:v>규칙형</x:v>
      </x:c>
      <x:c r="E82" s="14" t="n">
        <x:f>SUM(F82:M82)</x:f>
        <x:v>103</x:v>
      </x:c>
      <x:c r="F82" s="14" t="n">
        <x:v>13</x:v>
      </x:c>
      <x:c r="G82" s="14" t="n">
        <x:v>11</x:v>
      </x:c>
      <x:c r="H82" s="14" t="n">
        <x:v>18</x:v>
      </x:c>
      <x:c r="I82" s="14" t="n">
        <x:v>9</x:v>
      </x:c>
      <x:c r="J82" s="14" t="n">
        <x:v>22</x:v>
      </x:c>
      <x:c r="K82" s="14" t="n">
        <x:v>9</x:v>
      </x:c>
      <x:c r="L82" s="14" t="n">
        <x:v>12</x:v>
      </x:c>
      <x:c r="M82" s="14" t="n">
        <x:v>9</x:v>
      </x:c>
      <x:c r="N82" s="15" t="n">
        <x:f>IF(E82=0,"해당 없음",F82/E82)</x:f>
        <x:v>0.1262135922330097</x:v>
      </x:c>
      <x:c r="O82" s="15" t="n">
        <x:f>IF(E82=0,"해당 없음",G82/E82)</x:f>
        <x:v>0.10679611650485436</x:v>
      </x:c>
      <x:c r="P82" s="15" t="n">
        <x:f>IF(E82=0,"해당 없음",H82/E82)</x:f>
        <x:v>0.17475728155339806</x:v>
      </x:c>
      <x:c r="Q82" s="15" t="n">
        <x:f>IF(E82=0,"해당 없음",I82/E82)</x:f>
        <x:v>0.08737864077669903</x:v>
      </x:c>
      <x:c r="R82" s="15" t="n">
        <x:f>IF(E82=0,"해당 없음",J82/E82)</x:f>
        <x:v>0.21359223300970873</x:v>
      </x:c>
      <x:c r="S82" s="15" t="n">
        <x:f>IF(E82=0,"해당 없음",K82/E82)</x:f>
        <x:v>0.08737864077669903</x:v>
      </x:c>
      <x:c r="T82" s="15" t="n">
        <x:f>IF(E82=0,"해당 없음",L82/E82)</x:f>
        <x:v>0.11650485436893204</x:v>
      </x:c>
      <x:c r="U82" s="15" t="n">
        <x:f>IF(E82=0,"해당 없음",M82/E82)</x:f>
        <x:v>0.08737864077669903</x:v>
      </x:c>
      <x:c r="V82" s="16" t="n">
        <x:f>E82/5</x:f>
        <x:v>20.6</x:v>
      </x:c>
    </x:row>
    <x:row r="83" ht="22" customHeight="1">
      <x:c r="A83" s="2" t="n">
        <x:v>39</x:v>
      </x:c>
      <x:c r="B83" s="2" t="str">
        <x:v>NAVY</x:v>
      </x:c>
      <x:c r="C83" s="2" t="str">
        <x:v>규칙형</x:v>
      </x:c>
      <x:c r="D83" s="2" t="str">
        <x:v>0만</x:v>
      </x:c>
      <x:c r="E83" s="14" t="n">
        <x:f>SUM(F83:M83)</x:f>
        <x:v>103</x:v>
      </x:c>
      <x:c r="F83" s="14" t="n">
        <x:v>52</x:v>
      </x:c>
      <x:c r="G83" s="14" t="n">
        <x:v>6</x:v>
      </x:c>
      <x:c r="H83" s="14" t="n">
        <x:v>17</x:v>
      </x:c>
      <x:c r="I83" s="14" t="n">
        <x:v>4</x:v>
      </x:c>
      <x:c r="J83" s="14" t="n">
        <x:v>3</x:v>
      </x:c>
      <x:c r="K83" s="14" t="n">
        <x:v>4</x:v>
      </x:c>
      <x:c r="L83" s="14" t="n">
        <x:v>14</x:v>
      </x:c>
      <x:c r="M83" s="14" t="n">
        <x:v>3</x:v>
      </x:c>
      <x:c r="N83" s="15" t="n">
        <x:f>IF(E83=0,"해당 없음",F83/E83)</x:f>
        <x:v>0.5048543689320388</x:v>
      </x:c>
      <x:c r="O83" s="15" t="n">
        <x:f>IF(E83=0,"해당 없음",G83/E83)</x:f>
        <x:v>0.05825242718446602</x:v>
      </x:c>
      <x:c r="P83" s="15" t="n">
        <x:f>IF(E83=0,"해당 없음",H83/E83)</x:f>
        <x:v>0.1650485436893204</x:v>
      </x:c>
      <x:c r="Q83" s="15" t="n">
        <x:f>IF(E83=0,"해당 없음",I83/E83)</x:f>
        <x:v>0.038834951456310676</x:v>
      </x:c>
      <x:c r="R83" s="15" t="n">
        <x:f>IF(E83=0,"해당 없음",J83/E83)</x:f>
        <x:v>0.02912621359223301</x:v>
      </x:c>
      <x:c r="S83" s="15" t="n">
        <x:f>IF(E83=0,"해당 없음",K83/E83)</x:f>
        <x:v>0.038834951456310676</x:v>
      </x:c>
      <x:c r="T83" s="15" t="n">
        <x:f>IF(E83=0,"해당 없음",L83/E83)</x:f>
        <x:v>0.13592233009708737</x:v>
      </x:c>
      <x:c r="U83" s="15" t="n">
        <x:f>IF(E83=0,"해당 없음",M83/E83)</x:f>
        <x:v>0.02912621359223301</x:v>
      </x:c>
      <x:c r="V83" s="16" t="n">
        <x:f>E83/5</x:f>
        <x:v>20.6</x:v>
      </x:c>
    </x:row>
    <x:row r="84" ht="22" customHeight="1">
      <x:c r="A84" s="2" t="n">
        <x:v>40</x:v>
      </x:c>
      <x:c r="B84" s="2" t="str">
        <x:v>RED</x:v>
      </x:c>
      <x:c r="C84" s="2" t="str">
        <x:v>규칙형</x:v>
      </x:c>
      <x:c r="D84" s="2" t="str">
        <x:v>0만</x:v>
      </x:c>
      <x:c r="E84" s="14" t="n">
        <x:f>SUM(F84:M84)</x:f>
        <x:v>103</x:v>
      </x:c>
      <x:c r="F84" s="14" t="n">
        <x:v>37</x:v>
      </x:c>
      <x:c r="G84" s="14" t="n">
        <x:v>6</x:v>
      </x:c>
      <x:c r="H84" s="14" t="n">
        <x:v>11</x:v>
      </x:c>
      <x:c r="I84" s="14" t="n">
        <x:v>13</x:v>
      </x:c>
      <x:c r="J84" s="14" t="n">
        <x:v>8</x:v>
      </x:c>
      <x:c r="K84" s="14" t="n">
        <x:v>5</x:v>
      </x:c>
      <x:c r="L84" s="14" t="n">
        <x:v>17</x:v>
      </x:c>
      <x:c r="M84" s="14" t="n">
        <x:v>6</x:v>
      </x:c>
      <x:c r="N84" s="15" t="n">
        <x:f>IF(E84=0,"해당 없음",F84/E84)</x:f>
        <x:v>0.3592233009708738</x:v>
      </x:c>
      <x:c r="O84" s="15" t="n">
        <x:f>IF(E84=0,"해당 없음",G84/E84)</x:f>
        <x:v>0.05825242718446602</x:v>
      </x:c>
      <x:c r="P84" s="15" t="n">
        <x:f>IF(E84=0,"해당 없음",H84/E84)</x:f>
        <x:v>0.10679611650485436</x:v>
      </x:c>
      <x:c r="Q84" s="15" t="n">
        <x:f>IF(E84=0,"해당 없음",I84/E84)</x:f>
        <x:v>0.1262135922330097</x:v>
      </x:c>
      <x:c r="R84" s="15" t="n">
        <x:f>IF(E84=0,"해당 없음",J84/E84)</x:f>
        <x:v>0.07766990291262135</x:v>
      </x:c>
      <x:c r="S84" s="15" t="n">
        <x:f>IF(E84=0,"해당 없음",K84/E84)</x:f>
        <x:v>0.04854368932038835</x:v>
      </x:c>
      <x:c r="T84" s="15" t="n">
        <x:f>IF(E84=0,"해당 없음",L84/E84)</x:f>
        <x:v>0.1650485436893204</x:v>
      </x:c>
      <x:c r="U84" s="15" t="n">
        <x:f>IF(E84=0,"해당 없음",M84/E84)</x:f>
        <x:v>0.05825242718446602</x:v>
      </x:c>
      <x:c r="V84" s="16" t="n">
        <x:f>E84/5</x:f>
        <x:v>20.6</x:v>
      </x:c>
    </x:row>
    <x:row r="85" ht="22" customHeight="1">
      <x:c r="A85" s="2" t="n">
        <x:v>40</x:v>
      </x:c>
      <x:c r="B85" s="2" t="str">
        <x:v>NAVY</x:v>
      </x:c>
      <x:c r="C85" s="2" t="str">
        <x:v>0만</x:v>
      </x:c>
      <x:c r="D85" s="2" t="str">
        <x:v>규칙형</x:v>
      </x:c>
      <x:c r="E85" s="14" t="n">
        <x:f>SUM(F85:M85)</x:f>
        <x:v>103</x:v>
      </x:c>
      <x:c r="F85" s="14" t="n">
        <x:v>13</x:v>
      </x:c>
      <x:c r="G85" s="14" t="n">
        <x:v>11</x:v>
      </x:c>
      <x:c r="H85" s="14" t="n">
        <x:v>17</x:v>
      </x:c>
      <x:c r="I85" s="14" t="n">
        <x:v>10</x:v>
      </x:c>
      <x:c r="J85" s="14" t="n">
        <x:v>22</x:v>
      </x:c>
      <x:c r="K85" s="14" t="n">
        <x:v>9</x:v>
      </x:c>
      <x:c r="L85" s="14" t="n">
        <x:v>12</x:v>
      </x:c>
      <x:c r="M85" s="14" t="n">
        <x:v>9</x:v>
      </x:c>
      <x:c r="N85" s="15" t="n">
        <x:f>IF(E85=0,"해당 없음",F85/E85)</x:f>
        <x:v>0.1262135922330097</x:v>
      </x:c>
      <x:c r="O85" s="15" t="n">
        <x:f>IF(E85=0,"해당 없음",G85/E85)</x:f>
        <x:v>0.10679611650485436</x:v>
      </x:c>
      <x:c r="P85" s="15" t="n">
        <x:f>IF(E85=0,"해당 없음",H85/E85)</x:f>
        <x:v>0.1650485436893204</x:v>
      </x:c>
      <x:c r="Q85" s="15" t="n">
        <x:f>IF(E85=0,"해당 없음",I85/E85)</x:f>
        <x:v>0.0970873786407767</x:v>
      </x:c>
      <x:c r="R85" s="15" t="n">
        <x:f>IF(E85=0,"해당 없음",J85/E85)</x:f>
        <x:v>0.21359223300970873</x:v>
      </x:c>
      <x:c r="S85" s="15" t="n">
        <x:f>IF(E85=0,"해당 없음",K85/E85)</x:f>
        <x:v>0.08737864077669903</x:v>
      </x:c>
      <x:c r="T85" s="15" t="n">
        <x:f>IF(E85=0,"해당 없음",L85/E85)</x:f>
        <x:v>0.11650485436893204</x:v>
      </x:c>
      <x:c r="U85" s="15" t="n">
        <x:f>IF(E85=0,"해당 없음",M85/E85)</x:f>
        <x:v>0.08737864077669903</x:v>
      </x:c>
      <x:c r="V85" s="16" t="n">
        <x:f>E85/5</x:f>
        <x:v>20.6</x:v>
      </x:c>
    </x:row>
    <x:row r="86" ht="22" customHeight="1">
      <x:c r="A86" s="2" t="n">
        <x:v>41</x:v>
      </x:c>
      <x:c r="B86" s="2" t="str">
        <x:v>RED</x:v>
      </x:c>
      <x:c r="C86" s="2" t="str">
        <x:v>40만</x:v>
      </x:c>
      <x:c r="D86" s="2" t="str">
        <x:v>규칙형</x:v>
      </x:c>
      <x:c r="E86" s="14" t="n">
        <x:f>SUM(F86:M86)</x:f>
        <x:v>102</x:v>
      </x:c>
      <x:c r="F86" s="14" t="n">
        <x:v>3</x:v>
      </x:c>
      <x:c r="G86" s="14" t="n">
        <x:v>28</x:v>
      </x:c>
      <x:c r="H86" s="14" t="n">
        <x:v>7</x:v>
      </x:c>
      <x:c r="I86" s="14" t="n">
        <x:v>6</x:v>
      </x:c>
      <x:c r="J86" s="14" t="n">
        <x:v>7</x:v>
      </x:c>
      <x:c r="K86" s="14" t="n">
        <x:v>10</x:v>
      </x:c>
      <x:c r="L86" s="14" t="n">
        <x:v>36</x:v>
      </x:c>
      <x:c r="M86" s="14" t="n">
        <x:v>5</x:v>
      </x:c>
      <x:c r="N86" s="15" t="n">
        <x:f>IF(E86=0,"해당 없음",F86/E86)</x:f>
        <x:v>0.029411764705882353</x:v>
      </x:c>
      <x:c r="O86" s="15" t="n">
        <x:f>IF(E86=0,"해당 없음",G86/E86)</x:f>
        <x:v>0.27450980392156865</x:v>
      </x:c>
      <x:c r="P86" s="15" t="n">
        <x:f>IF(E86=0,"해당 없음",H86/E86)</x:f>
        <x:v>0.06862745098039216</x:v>
      </x:c>
      <x:c r="Q86" s="15" t="n">
        <x:f>IF(E86=0,"해당 없음",I86/E86)</x:f>
        <x:v>0.058823529411764705</x:v>
      </x:c>
      <x:c r="R86" s="15" t="n">
        <x:f>IF(E86=0,"해당 없음",J86/E86)</x:f>
        <x:v>0.06862745098039216</x:v>
      </x:c>
      <x:c r="S86" s="15" t="n">
        <x:f>IF(E86=0,"해당 없음",K86/E86)</x:f>
        <x:v>0.09803921568627451</x:v>
      </x:c>
      <x:c r="T86" s="15" t="n">
        <x:f>IF(E86=0,"해당 없음",L86/E86)</x:f>
        <x:v>0.35294117647058826</x:v>
      </x:c>
      <x:c r="U86" s="15" t="n">
        <x:f>IF(E86=0,"해당 없음",M86/E86)</x:f>
        <x:v>0.049019607843137254</x:v>
      </x:c>
      <x:c r="V86" s="16" t="n">
        <x:f>E86/5</x:f>
        <x:v>20.4</x:v>
      </x:c>
    </x:row>
    <x:row r="87" ht="22" customHeight="1">
      <x:c r="A87" s="2" t="n">
        <x:v>41</x:v>
      </x:c>
      <x:c r="B87" s="2" t="str">
        <x:v>NAVY</x:v>
      </x:c>
      <x:c r="C87" s="2" t="str">
        <x:v>규칙형</x:v>
      </x:c>
      <x:c r="D87" s="2" t="str">
        <x:v>40만</x:v>
      </x:c>
      <x:c r="E87" s="14" t="n">
        <x:f>SUM(F87:M87)</x:f>
        <x:v>103</x:v>
      </x:c>
      <x:c r="F87" s="14" t="n">
        <x:v>44</x:v>
      </x:c>
      <x:c r="G87" s="14" t="n">
        <x:v>9</x:v>
      </x:c>
      <x:c r="H87" s="14" t="n">
        <x:v>10</x:v>
      </x:c>
      <x:c r="I87" s="14" t="n">
        <x:v>8</x:v>
      </x:c>
      <x:c r="J87" s="14" t="n">
        <x:v>6</x:v>
      </x:c>
      <x:c r="K87" s="14" t="n">
        <x:v>3</x:v>
      </x:c>
      <x:c r="L87" s="14" t="n">
        <x:v>20</x:v>
      </x:c>
      <x:c r="M87" s="14" t="n">
        <x:v>3</x:v>
      </x:c>
      <x:c r="N87" s="15" t="n">
        <x:f>IF(E87=0,"해당 없음",F87/E87)</x:f>
        <x:v>0.42718446601941745</x:v>
      </x:c>
      <x:c r="O87" s="15" t="n">
        <x:f>IF(E87=0,"해당 없음",G87/E87)</x:f>
        <x:v>0.08737864077669903</x:v>
      </x:c>
      <x:c r="P87" s="15" t="n">
        <x:f>IF(E87=0,"해당 없음",H87/E87)</x:f>
        <x:v>0.0970873786407767</x:v>
      </x:c>
      <x:c r="Q87" s="15" t="n">
        <x:f>IF(E87=0,"해당 없음",I87/E87)</x:f>
        <x:v>0.07766990291262135</x:v>
      </x:c>
      <x:c r="R87" s="15" t="n">
        <x:f>IF(E87=0,"해당 없음",J87/E87)</x:f>
        <x:v>0.05825242718446602</x:v>
      </x:c>
      <x:c r="S87" s="15" t="n">
        <x:f>IF(E87=0,"해당 없음",K87/E87)</x:f>
        <x:v>0.02912621359223301</x:v>
      </x:c>
      <x:c r="T87" s="15" t="n">
        <x:f>IF(E87=0,"해당 없음",L87/E87)</x:f>
        <x:v>0.1941747572815534</x:v>
      </x:c>
      <x:c r="U87" s="15" t="n">
        <x:f>IF(E87=0,"해당 없음",M87/E87)</x:f>
        <x:v>0.02912621359223301</x:v>
      </x:c>
      <x:c r="V87" s="16" t="n">
        <x:f>E87/5</x:f>
        <x:v>20.6</x:v>
      </x:c>
    </x:row>
    <x:row r="88" ht="22" customHeight="1">
      <x:c r="A88" s="2" t="n">
        <x:v>42</x:v>
      </x:c>
      <x:c r="B88" s="2" t="str">
        <x:v>RED</x:v>
      </x:c>
      <x:c r="C88" s="2" t="str">
        <x:v>규칙형</x:v>
      </x:c>
      <x:c r="D88" s="2" t="str">
        <x:v>40만</x:v>
      </x:c>
      <x:c r="E88" s="14" t="n">
        <x:f>SUM(F88:M88)</x:f>
        <x:v>102</x:v>
      </x:c>
      <x:c r="F88" s="14" t="n">
        <x:v>40</x:v>
      </x:c>
      <x:c r="G88" s="14" t="n">
        <x:v>3</x:v>
      </x:c>
      <x:c r="H88" s="14" t="n">
        <x:v>5</x:v>
      </x:c>
      <x:c r="I88" s="14" t="n">
        <x:v>21</x:v>
      </x:c>
      <x:c r="J88" s="14" t="n">
        <x:v>6</x:v>
      </x:c>
      <x:c r="K88" s="14" t="n">
        <x:v>8</x:v>
      </x:c>
      <x:c r="L88" s="14" t="n">
        <x:v>13</x:v>
      </x:c>
      <x:c r="M88" s="14" t="n">
        <x:v>6</x:v>
      </x:c>
      <x:c r="N88" s="15" t="n">
        <x:f>IF(E88=0,"해당 없음",F88/E88)</x:f>
        <x:v>0.39215686274509803</x:v>
      </x:c>
      <x:c r="O88" s="15" t="n">
        <x:f>IF(E88=0,"해당 없음",G88/E88)</x:f>
        <x:v>0.029411764705882353</x:v>
      </x:c>
      <x:c r="P88" s="15" t="n">
        <x:f>IF(E88=0,"해당 없음",H88/E88)</x:f>
        <x:v>0.049019607843137254</x:v>
      </x:c>
      <x:c r="Q88" s="15" t="n">
        <x:f>IF(E88=0,"해당 없음",I88/E88)</x:f>
        <x:v>0.20588235294117646</x:v>
      </x:c>
      <x:c r="R88" s="15" t="n">
        <x:f>IF(E88=0,"해당 없음",J88/E88)</x:f>
        <x:v>0.058823529411764705</x:v>
      </x:c>
      <x:c r="S88" s="15" t="n">
        <x:f>IF(E88=0,"해당 없음",K88/E88)</x:f>
        <x:v>0.0784313725490196</x:v>
      </x:c>
      <x:c r="T88" s="15" t="n">
        <x:f>IF(E88=0,"해당 없음",L88/E88)</x:f>
        <x:v>0.12745098039215685</x:v>
      </x:c>
      <x:c r="U88" s="15" t="n">
        <x:f>IF(E88=0,"해당 없음",M88/E88)</x:f>
        <x:v>0.058823529411764705</x:v>
      </x:c>
      <x:c r="V88" s="16" t="n">
        <x:f>E88/5</x:f>
        <x:v>20.4</x:v>
      </x:c>
    </x:row>
    <x:row r="89" ht="22" customHeight="1">
      <x:c r="A89" s="2" t="n">
        <x:v>42</x:v>
      </x:c>
      <x:c r="B89" s="2" t="str">
        <x:v>NAVY</x:v>
      </x:c>
      <x:c r="C89" s="2" t="str">
        <x:v>40만</x:v>
      </x:c>
      <x:c r="D89" s="2" t="str">
        <x:v>규칙형</x:v>
      </x:c>
      <x:c r="E89" s="14" t="n">
        <x:f>SUM(F89:M89)</x:f>
        <x:v>103</x:v>
      </x:c>
      <x:c r="F89" s="14" t="n">
        <x:v>4</x:v>
      </x:c>
      <x:c r="G89" s="14" t="n">
        <x:v>32</x:v>
      </x:c>
      <x:c r="H89" s="14" t="n">
        <x:v>2</x:v>
      </x:c>
      <x:c r="I89" s="14" t="n">
        <x:v>8</x:v>
      </x:c>
      <x:c r="J89" s="14" t="n">
        <x:v>4</x:v>
      </x:c>
      <x:c r="K89" s="14" t="n">
        <x:v>8</x:v>
      </x:c>
      <x:c r="L89" s="14" t="n">
        <x:v>40</x:v>
      </x:c>
      <x:c r="M89" s="14" t="n">
        <x:v>5</x:v>
      </x:c>
      <x:c r="N89" s="15" t="n">
        <x:f>IF(E89=0,"해당 없음",F89/E89)</x:f>
        <x:v>0.038834951456310676</x:v>
      </x:c>
      <x:c r="O89" s="15" t="n">
        <x:f>IF(E89=0,"해당 없음",G89/E89)</x:f>
        <x:v>0.3106796116504854</x:v>
      </x:c>
      <x:c r="P89" s="15" t="n">
        <x:f>IF(E89=0,"해당 없음",H89/E89)</x:f>
        <x:v>0.019417475728155338</x:v>
      </x:c>
      <x:c r="Q89" s="15" t="n">
        <x:f>IF(E89=0,"해당 없음",I89/E89)</x:f>
        <x:v>0.07766990291262135</x:v>
      </x:c>
      <x:c r="R89" s="15" t="n">
        <x:f>IF(E89=0,"해당 없음",J89/E89)</x:f>
        <x:v>0.038834951456310676</x:v>
      </x:c>
      <x:c r="S89" s="15" t="n">
        <x:f>IF(E89=0,"해당 없음",K89/E89)</x:f>
        <x:v>0.07766990291262135</x:v>
      </x:c>
      <x:c r="T89" s="15" t="n">
        <x:f>IF(E89=0,"해당 없음",L89/E89)</x:f>
        <x:v>0.3883495145631068</x:v>
      </x:c>
      <x:c r="U89" s="15" t="n">
        <x:f>IF(E89=0,"해당 없음",M89/E89)</x:f>
        <x:v>0.04854368932038835</x:v>
      </x:c>
      <x:c r="V89" s="16" t="n">
        <x:f>E89/5</x:f>
        <x:v>20.6</x:v>
      </x:c>
    </x:row>
    <x:row r="90" ht="22" customHeight="1">
      <x:c r="A90" s="2" t="n">
        <x:v>43</x:v>
      </x:c>
      <x:c r="B90" s="2" t="str">
        <x:v>RED</x:v>
      </x:c>
      <x:c r="C90" s="2" t="str">
        <x:v>40만</x:v>
      </x:c>
      <x:c r="D90" s="2" t="str">
        <x:v>규칙형</x:v>
      </x:c>
      <x:c r="E90" s="14" t="n">
        <x:f>SUM(F90:M90)</x:f>
        <x:v>104</x:v>
      </x:c>
      <x:c r="F90" s="14" t="n">
        <x:v>3</x:v>
      </x:c>
      <x:c r="G90" s="14" t="n">
        <x:v>36</x:v>
      </x:c>
      <x:c r="H90" s="14" t="n">
        <x:v>4</x:v>
      </x:c>
      <x:c r="I90" s="14" t="n">
        <x:v>5</x:v>
      </x:c>
      <x:c r="J90" s="14" t="n">
        <x:v>9</x:v>
      </x:c>
      <x:c r="K90" s="14" t="n">
        <x:v>8</x:v>
      </x:c>
      <x:c r="L90" s="14" t="n">
        <x:v>35</x:v>
      </x:c>
      <x:c r="M90" s="14" t="n">
        <x:v>4</x:v>
      </x:c>
      <x:c r="N90" s="15" t="n">
        <x:f>IF(E90=0,"해당 없음",F90/E90)</x:f>
        <x:v>0.028846153846153848</x:v>
      </x:c>
      <x:c r="O90" s="15" t="n">
        <x:f>IF(E90=0,"해당 없음",G90/E90)</x:f>
        <x:v>0.34615384615384615</x:v>
      </x:c>
      <x:c r="P90" s="15" t="n">
        <x:f>IF(E90=0,"해당 없음",H90/E90)</x:f>
        <x:v>0.038461538461538464</x:v>
      </x:c>
      <x:c r="Q90" s="15" t="n">
        <x:f>IF(E90=0,"해당 없음",I90/E90)</x:f>
        <x:v>0.04807692307692308</x:v>
      </x:c>
      <x:c r="R90" s="15" t="n">
        <x:f>IF(E90=0,"해당 없음",J90/E90)</x:f>
        <x:v>0.08653846153846154</x:v>
      </x:c>
      <x:c r="S90" s="15" t="n">
        <x:f>IF(E90=0,"해당 없음",K90/E90)</x:f>
        <x:v>0.07692307692307693</x:v>
      </x:c>
      <x:c r="T90" s="15" t="n">
        <x:f>IF(E90=0,"해당 없음",L90/E90)</x:f>
        <x:v>0.33653846153846156</x:v>
      </x:c>
      <x:c r="U90" s="15" t="n">
        <x:f>IF(E90=0,"해당 없음",M90/E90)</x:f>
        <x:v>0.038461538461538464</x:v>
      </x:c>
      <x:c r="V90" s="16" t="n">
        <x:f>E90/5</x:f>
        <x:v>20.8</x:v>
      </x:c>
    </x:row>
    <x:row r="91" ht="22" customHeight="1">
      <x:c r="A91" s="2" t="n">
        <x:v>43</x:v>
      </x:c>
      <x:c r="B91" s="2" t="str">
        <x:v>NAVY</x:v>
      </x:c>
      <x:c r="C91" s="2" t="str">
        <x:v>규칙형</x:v>
      </x:c>
      <x:c r="D91" s="2" t="str">
        <x:v>40만</x:v>
      </x:c>
      <x:c r="E91" s="14" t="n">
        <x:f>SUM(F91:M91)</x:f>
        <x:v>104</x:v>
      </x:c>
      <x:c r="F91" s="14" t="n">
        <x:v>46</x:v>
      </x:c>
      <x:c r="G91" s="14" t="n">
        <x:v>8</x:v>
      </x:c>
      <x:c r="H91" s="14" t="n">
        <x:v>10</x:v>
      </x:c>
      <x:c r="I91" s="14" t="n">
        <x:v>7</x:v>
      </x:c>
      <x:c r="J91" s="14" t="n">
        <x:v>8</x:v>
      </x:c>
      <x:c r="K91" s="14" t="n">
        <x:v>3</x:v>
      </x:c>
      <x:c r="L91" s="14" t="n">
        <x:v>15</x:v>
      </x:c>
      <x:c r="M91" s="14" t="n">
        <x:v>7</x:v>
      </x:c>
      <x:c r="N91" s="15" t="n">
        <x:f>IF(E91=0,"해당 없음",F91/E91)</x:f>
        <x:v>0.4423076923076923</x:v>
      </x:c>
      <x:c r="O91" s="15" t="n">
        <x:f>IF(E91=0,"해당 없음",G91/E91)</x:f>
        <x:v>0.07692307692307693</x:v>
      </x:c>
      <x:c r="P91" s="15" t="n">
        <x:f>IF(E91=0,"해당 없음",H91/E91)</x:f>
        <x:v>0.09615384615384616</x:v>
      </x:c>
      <x:c r="Q91" s="15" t="n">
        <x:f>IF(E91=0,"해당 없음",I91/E91)</x:f>
        <x:v>0.0673076923076923</x:v>
      </x:c>
      <x:c r="R91" s="15" t="n">
        <x:f>IF(E91=0,"해당 없음",J91/E91)</x:f>
        <x:v>0.07692307692307693</x:v>
      </x:c>
      <x:c r="S91" s="15" t="n">
        <x:f>IF(E91=0,"해당 없음",K91/E91)</x:f>
        <x:v>0.028846153846153848</x:v>
      </x:c>
      <x:c r="T91" s="15" t="n">
        <x:f>IF(E91=0,"해당 없음",L91/E91)</x:f>
        <x:v>0.14423076923076922</x:v>
      </x:c>
      <x:c r="U91" s="15" t="n">
        <x:f>IF(E91=0,"해당 없음",M91/E91)</x:f>
        <x:v>0.0673076923076923</x:v>
      </x:c>
      <x:c r="V91" s="16" t="n">
        <x:f>E91/5</x:f>
        <x:v>20.8</x:v>
      </x:c>
    </x:row>
    <x:row r="92" ht="22" customHeight="1">
      <x:c r="A92" s="2" t="n">
        <x:v>44</x:v>
      </x:c>
      <x:c r="B92" s="2" t="str">
        <x:v>RED</x:v>
      </x:c>
      <x:c r="C92" s="2" t="str">
        <x:v>규칙형</x:v>
      </x:c>
      <x:c r="D92" s="2" t="str">
        <x:v>40만</x:v>
      </x:c>
      <x:c r="E92" s="14" t="n">
        <x:f>SUM(F92:M92)</x:f>
        <x:v>102</x:v>
      </x:c>
      <x:c r="F92" s="14" t="n">
        <x:v>35</x:v>
      </x:c>
      <x:c r="G92" s="14" t="n">
        <x:v>7</x:v>
      </x:c>
      <x:c r="H92" s="14" t="n">
        <x:v>10</x:v>
      </x:c>
      <x:c r="I92" s="14" t="n">
        <x:v>15</x:v>
      </x:c>
      <x:c r="J92" s="14" t="n">
        <x:v>5</x:v>
      </x:c>
      <x:c r="K92" s="14" t="n">
        <x:v>5</x:v>
      </x:c>
      <x:c r="L92" s="14" t="n">
        <x:v>19</x:v>
      </x:c>
      <x:c r="M92" s="14" t="n">
        <x:v>6</x:v>
      </x:c>
      <x:c r="N92" s="15" t="n">
        <x:f>IF(E92=0,"해당 없음",F92/E92)</x:f>
        <x:v>0.3431372549019608</x:v>
      </x:c>
      <x:c r="O92" s="15" t="n">
        <x:f>IF(E92=0,"해당 없음",G92/E92)</x:f>
        <x:v>0.06862745098039216</x:v>
      </x:c>
      <x:c r="P92" s="15" t="n">
        <x:f>IF(E92=0,"해당 없음",H92/E92)</x:f>
        <x:v>0.09803921568627451</x:v>
      </x:c>
      <x:c r="Q92" s="15" t="n">
        <x:f>IF(E92=0,"해당 없음",I92/E92)</x:f>
        <x:v>0.14705882352941177</x:v>
      </x:c>
      <x:c r="R92" s="15" t="n">
        <x:f>IF(E92=0,"해당 없음",J92/E92)</x:f>
        <x:v>0.049019607843137254</x:v>
      </x:c>
      <x:c r="S92" s="15" t="n">
        <x:f>IF(E92=0,"해당 없음",K92/E92)</x:f>
        <x:v>0.049019607843137254</x:v>
      </x:c>
      <x:c r="T92" s="15" t="n">
        <x:f>IF(E92=0,"해당 없음",L92/E92)</x:f>
        <x:v>0.18627450980392157</x:v>
      </x:c>
      <x:c r="U92" s="15" t="n">
        <x:f>IF(E92=0,"해당 없음",M92/E92)</x:f>
        <x:v>0.058823529411764705</x:v>
      </x:c>
      <x:c r="V92" s="16" t="n">
        <x:f>E92/5</x:f>
        <x:v>20.4</x:v>
      </x:c>
    </x:row>
    <x:row r="93" ht="22" customHeight="1">
      <x:c r="A93" s="2" t="n">
        <x:v>44</x:v>
      </x:c>
      <x:c r="B93" s="2" t="str">
        <x:v>NAVY</x:v>
      </x:c>
      <x:c r="C93" s="2" t="str">
        <x:v>40만</x:v>
      </x:c>
      <x:c r="D93" s="2" t="str">
        <x:v>규칙형</x:v>
      </x:c>
      <x:c r="E93" s="14" t="n">
        <x:f>SUM(F93:M93)</x:f>
        <x:v>103</x:v>
      </x:c>
      <x:c r="F93" s="14" t="n">
        <x:v>4</x:v>
      </x:c>
      <x:c r="G93" s="14" t="n">
        <x:v>34</x:v>
      </x:c>
      <x:c r="H93" s="14" t="n">
        <x:v>10</x:v>
      </x:c>
      <x:c r="I93" s="14" t="n">
        <x:v>3</x:v>
      </x:c>
      <x:c r="J93" s="14" t="n">
        <x:v>7</x:v>
      </x:c>
      <x:c r="K93" s="14" t="n">
        <x:v>10</x:v>
      </x:c>
      <x:c r="L93" s="14" t="n">
        <x:v>34</x:v>
      </x:c>
      <x:c r="M93" s="14" t="n">
        <x:v>1</x:v>
      </x:c>
      <x:c r="N93" s="15" t="n">
        <x:f>IF(E93=0,"해당 없음",F93/E93)</x:f>
        <x:v>0.038834951456310676</x:v>
      </x:c>
      <x:c r="O93" s="15" t="n">
        <x:f>IF(E93=0,"해당 없음",G93/E93)</x:f>
        <x:v>0.3300970873786408</x:v>
      </x:c>
      <x:c r="P93" s="15" t="n">
        <x:f>IF(E93=0,"해당 없음",H93/E93)</x:f>
        <x:v>0.0970873786407767</x:v>
      </x:c>
      <x:c r="Q93" s="15" t="n">
        <x:f>IF(E93=0,"해당 없음",I93/E93)</x:f>
        <x:v>0.02912621359223301</x:v>
      </x:c>
      <x:c r="R93" s="15" t="n">
        <x:f>IF(E93=0,"해당 없음",J93/E93)</x:f>
        <x:v>0.06796116504854369</x:v>
      </x:c>
      <x:c r="S93" s="15" t="n">
        <x:f>IF(E93=0,"해당 없음",K93/E93)</x:f>
        <x:v>0.0970873786407767</x:v>
      </x:c>
      <x:c r="T93" s="15" t="n">
        <x:f>IF(E93=0,"해당 없음",L93/E93)</x:f>
        <x:v>0.3300970873786408</x:v>
      </x:c>
      <x:c r="U93" s="15" t="n">
        <x:f>IF(E93=0,"해당 없음",M93/E93)</x:f>
        <x:v>0.009708737864077669</x:v>
      </x:c>
      <x:c r="V93" s="16" t="n">
        <x:f>E93/5</x:f>
        <x:v>20.6</x:v>
      </x:c>
    </x:row>
    <x:row r="94" ht="22" customHeight="1">
      <x:c r="A94" s="2" t="n">
        <x:v>45</x:v>
      </x:c>
      <x:c r="B94" s="2" t="str">
        <x:v>RED</x:v>
      </x:c>
      <x:c r="C94" s="2" t="str">
        <x:v>40만</x:v>
      </x:c>
      <x:c r="D94" s="2" t="str">
        <x:v>규칙형</x:v>
      </x:c>
      <x:c r="E94" s="14" t="n">
        <x:f>SUM(F94:M94)</x:f>
        <x:v>101</x:v>
      </x:c>
      <x:c r="F94" s="14" t="n">
        <x:v>4</x:v>
      </x:c>
      <x:c r="G94" s="14" t="n">
        <x:v>31</x:v>
      </x:c>
      <x:c r="H94" s="14" t="n">
        <x:v>7</x:v>
      </x:c>
      <x:c r="I94" s="14" t="n">
        <x:v>3</x:v>
      </x:c>
      <x:c r="J94" s="14" t="n">
        <x:v>10</x:v>
      </x:c>
      <x:c r="K94" s="14" t="n">
        <x:v>9</x:v>
      </x:c>
      <x:c r="L94" s="14" t="n">
        <x:v>34</x:v>
      </x:c>
      <x:c r="M94" s="14" t="n">
        <x:v>3</x:v>
      </x:c>
      <x:c r="N94" s="15" t="n">
        <x:f>IF(E94=0,"해당 없음",F94/E94)</x:f>
        <x:v>0.039603960396039604</x:v>
      </x:c>
      <x:c r="O94" s="15" t="n">
        <x:f>IF(E94=0,"해당 없음",G94/E94)</x:f>
        <x:v>0.3069306930693069</x:v>
      </x:c>
      <x:c r="P94" s="15" t="n">
        <x:f>IF(E94=0,"해당 없음",H94/E94)</x:f>
        <x:v>0.06930693069306931</x:v>
      </x:c>
      <x:c r="Q94" s="15" t="n">
        <x:f>IF(E94=0,"해당 없음",I94/E94)</x:f>
        <x:v>0.0297029702970297</x:v>
      </x:c>
      <x:c r="R94" s="15" t="n">
        <x:f>IF(E94=0,"해당 없음",J94/E94)</x:f>
        <x:v>0.09900990099009901</x:v>
      </x:c>
      <x:c r="S94" s="15" t="n">
        <x:f>IF(E94=0,"해당 없음",K94/E94)</x:f>
        <x:v>0.0891089108910891</x:v>
      </x:c>
      <x:c r="T94" s="15" t="n">
        <x:f>IF(E94=0,"해당 없음",L94/E94)</x:f>
        <x:v>0.33663366336633666</x:v>
      </x:c>
      <x:c r="U94" s="15" t="n">
        <x:f>IF(E94=0,"해당 없음",M94/E94)</x:f>
        <x:v>0.0297029702970297</x:v>
      </x:c>
      <x:c r="V94" s="16" t="n">
        <x:f>E94/5</x:f>
        <x:v>20.2</x:v>
      </x:c>
    </x:row>
    <x:row r="95" ht="22" customHeight="1">
      <x:c r="A95" s="2" t="n">
        <x:v>45</x:v>
      </x:c>
      <x:c r="B95" s="2" t="str">
        <x:v>NAVY</x:v>
      </x:c>
      <x:c r="C95" s="2" t="str">
        <x:v>규칙형</x:v>
      </x:c>
      <x:c r="D95" s="2" t="str">
        <x:v>40만</x:v>
      </x:c>
      <x:c r="E95" s="14" t="n">
        <x:f>SUM(F95:M95)</x:f>
        <x:v>101</x:v>
      </x:c>
      <x:c r="F95" s="14" t="n">
        <x:v>40</x:v>
      </x:c>
      <x:c r="G95" s="14" t="n">
        <x:v>5</x:v>
      </x:c>
      <x:c r="H95" s="14" t="n">
        <x:v>10</x:v>
      </x:c>
      <x:c r="I95" s="14" t="n">
        <x:v>14</x:v>
      </x:c>
      <x:c r="J95" s="14" t="n">
        <x:v>6</x:v>
      </x:c>
      <x:c r="K95" s="14" t="n">
        <x:v>4</x:v>
      </x:c>
      <x:c r="L95" s="14" t="n">
        <x:v>15</x:v>
      </x:c>
      <x:c r="M95" s="14" t="n">
        <x:v>7</x:v>
      </x:c>
      <x:c r="N95" s="15" t="n">
        <x:f>IF(E95=0,"해당 없음",F95/E95)</x:f>
        <x:v>0.39603960396039606</x:v>
      </x:c>
      <x:c r="O95" s="15" t="n">
        <x:f>IF(E95=0,"해당 없음",G95/E95)</x:f>
        <x:v>0.04950495049504951</x:v>
      </x:c>
      <x:c r="P95" s="15" t="n">
        <x:f>IF(E95=0,"해당 없음",H95/E95)</x:f>
        <x:v>0.09900990099009901</x:v>
      </x:c>
      <x:c r="Q95" s="15" t="n">
        <x:f>IF(E95=0,"해당 없음",I95/E95)</x:f>
        <x:v>0.13861386138613863</x:v>
      </x:c>
      <x:c r="R95" s="15" t="n">
        <x:f>IF(E95=0,"해당 없음",J95/E95)</x:f>
        <x:v>0.0594059405940594</x:v>
      </x:c>
      <x:c r="S95" s="15" t="n">
        <x:f>IF(E95=0,"해당 없음",K95/E95)</x:f>
        <x:v>0.039603960396039604</x:v>
      </x:c>
      <x:c r="T95" s="15" t="n">
        <x:f>IF(E95=0,"해당 없음",L95/E95)</x:f>
        <x:v>0.1485148514851485</x:v>
      </x:c>
      <x:c r="U95" s="15" t="n">
        <x:f>IF(E95=0,"해당 없음",M95/E95)</x:f>
        <x:v>0.06930693069306931</x:v>
      </x:c>
      <x:c r="V95" s="16" t="n">
        <x:f>E95/5</x:f>
        <x:v>20.2</x:v>
      </x:c>
    </x:row>
    <x:row r="96" ht="22" customHeight="1">
      <x:c r="A96" s="2" t="n">
        <x:v>46</x:v>
      </x:c>
      <x:c r="B96" s="2" t="str">
        <x:v>RED</x:v>
      </x:c>
      <x:c r="C96" s="2" t="str">
        <x:v>규칙형</x:v>
      </x:c>
      <x:c r="D96" s="2" t="str">
        <x:v>40만</x:v>
      </x:c>
      <x:c r="E96" s="14" t="n">
        <x:f>SUM(F96:M96)</x:f>
        <x:v>105</x:v>
      </x:c>
      <x:c r="F96" s="14" t="n">
        <x:v>48</x:v>
      </x:c>
      <x:c r="G96" s="14" t="n">
        <x:v>5</x:v>
      </x:c>
      <x:c r="H96" s="14" t="n">
        <x:v>6</x:v>
      </x:c>
      <x:c r="I96" s="14" t="n">
        <x:v>11</x:v>
      </x:c>
      <x:c r="J96" s="14" t="n">
        <x:v>4</x:v>
      </x:c>
      <x:c r="K96" s="14" t="n">
        <x:v>4</x:v>
      </x:c>
      <x:c r="L96" s="14" t="n">
        <x:v>21</x:v>
      </x:c>
      <x:c r="M96" s="14" t="n">
        <x:v>6</x:v>
      </x:c>
      <x:c r="N96" s="15" t="n">
        <x:f>IF(E96=0,"해당 없음",F96/E96)</x:f>
        <x:v>0.45714285714285713</x:v>
      </x:c>
      <x:c r="O96" s="15" t="n">
        <x:f>IF(E96=0,"해당 없음",G96/E96)</x:f>
        <x:v>0.047619047619047616</x:v>
      </x:c>
      <x:c r="P96" s="15" t="n">
        <x:f>IF(E96=0,"해당 없음",H96/E96)</x:f>
        <x:v>0.05714285714285714</x:v>
      </x:c>
      <x:c r="Q96" s="15" t="n">
        <x:f>IF(E96=0,"해당 없음",I96/E96)</x:f>
        <x:v>0.10476190476190476</x:v>
      </x:c>
      <x:c r="R96" s="15" t="n">
        <x:f>IF(E96=0,"해당 없음",J96/E96)</x:f>
        <x:v>0.0380952380952381</x:v>
      </x:c>
      <x:c r="S96" s="15" t="n">
        <x:f>IF(E96=0,"해당 없음",K96/E96)</x:f>
        <x:v>0.0380952380952381</x:v>
      </x:c>
      <x:c r="T96" s="15" t="n">
        <x:f>IF(E96=0,"해당 없음",L96/E96)</x:f>
        <x:v>0.2</x:v>
      </x:c>
      <x:c r="U96" s="15" t="n">
        <x:f>IF(E96=0,"해당 없음",M96/E96)</x:f>
        <x:v>0.05714285714285714</x:v>
      </x:c>
      <x:c r="V96" s="16" t="n">
        <x:f>E96/5</x:f>
        <x:v>21</x:v>
      </x:c>
    </x:row>
    <x:row r="97" ht="22" customHeight="1">
      <x:c r="A97" s="2" t="n">
        <x:v>46</x:v>
      </x:c>
      <x:c r="B97" s="2" t="str">
        <x:v>NAVY</x:v>
      </x:c>
      <x:c r="C97" s="2" t="str">
        <x:v>40만</x:v>
      </x:c>
      <x:c r="D97" s="2" t="str">
        <x:v>규칙형</x:v>
      </x:c>
      <x:c r="E97" s="14" t="n">
        <x:f>SUM(F97:M97)</x:f>
        <x:v>103</x:v>
      </x:c>
      <x:c r="F97" s="14" t="n">
        <x:v>5</x:v>
      </x:c>
      <x:c r="G97" s="14" t="n">
        <x:v>30</x:v>
      </x:c>
      <x:c r="H97" s="14" t="n">
        <x:v>10</x:v>
      </x:c>
      <x:c r="I97" s="14" t="n">
        <x:v>5</x:v>
      </x:c>
      <x:c r="J97" s="14" t="n">
        <x:v>8</x:v>
      </x:c>
      <x:c r="K97" s="14" t="n">
        <x:v>2</x:v>
      </x:c>
      <x:c r="L97" s="14" t="n">
        <x:v>40</x:v>
      </x:c>
      <x:c r="M97" s="14" t="n">
        <x:v>3</x:v>
      </x:c>
      <x:c r="N97" s="15" t="n">
        <x:f>IF(E97=0,"해당 없음",F97/E97)</x:f>
        <x:v>0.04854368932038835</x:v>
      </x:c>
      <x:c r="O97" s="15" t="n">
        <x:f>IF(E97=0,"해당 없음",G97/E97)</x:f>
        <x:v>0.2912621359223301</x:v>
      </x:c>
      <x:c r="P97" s="15" t="n">
        <x:f>IF(E97=0,"해당 없음",H97/E97)</x:f>
        <x:v>0.0970873786407767</x:v>
      </x:c>
      <x:c r="Q97" s="15" t="n">
        <x:f>IF(E97=0,"해당 없음",I97/E97)</x:f>
        <x:v>0.04854368932038835</x:v>
      </x:c>
      <x:c r="R97" s="15" t="n">
        <x:f>IF(E97=0,"해당 없음",J97/E97)</x:f>
        <x:v>0.07766990291262135</x:v>
      </x:c>
      <x:c r="S97" s="15" t="n">
        <x:f>IF(E97=0,"해당 없음",K97/E97)</x:f>
        <x:v>0.019417475728155338</x:v>
      </x:c>
      <x:c r="T97" s="15" t="n">
        <x:f>IF(E97=0,"해당 없음",L97/E97)</x:f>
        <x:v>0.3883495145631068</x:v>
      </x:c>
      <x:c r="U97" s="15" t="n">
        <x:f>IF(E97=0,"해당 없음",M97/E97)</x:f>
        <x:v>0.02912621359223301</x:v>
      </x:c>
      <x:c r="V97" s="16" t="n">
        <x:f>E97/5</x:f>
        <x:v>20.6</x:v>
      </x:c>
    </x:row>
    <x:row r="98" ht="22" customHeight="1">
      <x:c r="A98" s="2" t="n">
        <x:v>47</x:v>
      </x:c>
      <x:c r="B98" s="2" t="str">
        <x:v>RED</x:v>
      </x:c>
      <x:c r="C98" s="2" t="str">
        <x:v>40만</x:v>
      </x:c>
      <x:c r="D98" s="2" t="str">
        <x:v>규칙형</x:v>
      </x:c>
      <x:c r="E98" s="14" t="n">
        <x:f>SUM(F98:M98)</x:f>
        <x:v>104</x:v>
      </x:c>
      <x:c r="F98" s="14" t="n">
        <x:v>4</x:v>
      </x:c>
      <x:c r="G98" s="14" t="n">
        <x:v>31</x:v>
      </x:c>
      <x:c r="H98" s="14" t="n">
        <x:v>5</x:v>
      </x:c>
      <x:c r="I98" s="14" t="n">
        <x:v>4</x:v>
      </x:c>
      <x:c r="J98" s="14" t="n">
        <x:v>3</x:v>
      </x:c>
      <x:c r="K98" s="14" t="n">
        <x:v>5</x:v>
      </x:c>
      <x:c r="L98" s="14" t="n">
        <x:v>43</x:v>
      </x:c>
      <x:c r="M98" s="14" t="n">
        <x:v>9</x:v>
      </x:c>
      <x:c r="N98" s="15" t="n">
        <x:f>IF(E98=0,"해당 없음",F98/E98)</x:f>
        <x:v>0.038461538461538464</x:v>
      </x:c>
      <x:c r="O98" s="15" t="n">
        <x:f>IF(E98=0,"해당 없음",G98/E98)</x:f>
        <x:v>0.2980769230769231</x:v>
      </x:c>
      <x:c r="P98" s="15" t="n">
        <x:f>IF(E98=0,"해당 없음",H98/E98)</x:f>
        <x:v>0.04807692307692308</x:v>
      </x:c>
      <x:c r="Q98" s="15" t="n">
        <x:f>IF(E98=0,"해당 없음",I98/E98)</x:f>
        <x:v>0.038461538461538464</x:v>
      </x:c>
      <x:c r="R98" s="15" t="n">
        <x:f>IF(E98=0,"해당 없음",J98/E98)</x:f>
        <x:v>0.028846153846153848</x:v>
      </x:c>
      <x:c r="S98" s="15" t="n">
        <x:f>IF(E98=0,"해당 없음",K98/E98)</x:f>
        <x:v>0.04807692307692308</x:v>
      </x:c>
      <x:c r="T98" s="15" t="n">
        <x:f>IF(E98=0,"해당 없음",L98/E98)</x:f>
        <x:v>0.41346153846153844</x:v>
      </x:c>
      <x:c r="U98" s="15" t="n">
        <x:f>IF(E98=0,"해당 없음",M98/E98)</x:f>
        <x:v>0.08653846153846154</x:v>
      </x:c>
      <x:c r="V98" s="16" t="n">
        <x:f>E98/5</x:f>
        <x:v>20.8</x:v>
      </x:c>
    </x:row>
    <x:row r="99" ht="22" customHeight="1">
      <x:c r="A99" s="2" t="n">
        <x:v>47</x:v>
      </x:c>
      <x:c r="B99" s="2" t="str">
        <x:v>NAVY</x:v>
      </x:c>
      <x:c r="C99" s="2" t="str">
        <x:v>규칙형</x:v>
      </x:c>
      <x:c r="D99" s="2" t="str">
        <x:v>40만</x:v>
      </x:c>
      <x:c r="E99" s="14" t="n">
        <x:f>SUM(F99:M99)</x:f>
        <x:v>104</x:v>
      </x:c>
      <x:c r="F99" s="14" t="n">
        <x:v>41</x:v>
      </x:c>
      <x:c r="G99" s="14" t="n">
        <x:v>6</x:v>
      </x:c>
      <x:c r="H99" s="14" t="n">
        <x:v>6</x:v>
      </x:c>
      <x:c r="I99" s="14" t="n">
        <x:v>14</x:v>
      </x:c>
      <x:c r="J99" s="14" t="n">
        <x:v>8</x:v>
      </x:c>
      <x:c r="K99" s="14" t="n">
        <x:v>6</x:v>
      </x:c>
      <x:c r="L99" s="14" t="n">
        <x:v>19</x:v>
      </x:c>
      <x:c r="M99" s="14" t="n">
        <x:v>4</x:v>
      </x:c>
      <x:c r="N99" s="15" t="n">
        <x:f>IF(E99=0,"해당 없음",F99/E99)</x:f>
        <x:v>0.3942307692307692</x:v>
      </x:c>
      <x:c r="O99" s="15" t="n">
        <x:f>IF(E99=0,"해당 없음",G99/E99)</x:f>
        <x:v>0.057692307692307696</x:v>
      </x:c>
      <x:c r="P99" s="15" t="n">
        <x:f>IF(E99=0,"해당 없음",H99/E99)</x:f>
        <x:v>0.057692307692307696</x:v>
      </x:c>
      <x:c r="Q99" s="15" t="n">
        <x:f>IF(E99=0,"해당 없음",I99/E99)</x:f>
        <x:v>0.1346153846153846</x:v>
      </x:c>
      <x:c r="R99" s="15" t="n">
        <x:f>IF(E99=0,"해당 없음",J99/E99)</x:f>
        <x:v>0.07692307692307693</x:v>
      </x:c>
      <x:c r="S99" s="15" t="n">
        <x:f>IF(E99=0,"해당 없음",K99/E99)</x:f>
        <x:v>0.057692307692307696</x:v>
      </x:c>
      <x:c r="T99" s="15" t="n">
        <x:f>IF(E99=0,"해당 없음",L99/E99)</x:f>
        <x:v>0.18269230769230768</x:v>
      </x:c>
      <x:c r="U99" s="15" t="n">
        <x:f>IF(E99=0,"해당 없음",M99/E99)</x:f>
        <x:v>0.038461538461538464</x:v>
      </x:c>
      <x:c r="V99" s="16" t="n">
        <x:f>E99/5</x:f>
        <x:v>20.8</x:v>
      </x:c>
    </x:row>
    <x:row r="100" ht="22" customHeight="1">
      <x:c r="A100" s="2" t="n">
        <x:v>48</x:v>
      </x:c>
      <x:c r="B100" s="2" t="str">
        <x:v>RED</x:v>
      </x:c>
      <x:c r="C100" s="2" t="str">
        <x:v>규칙형</x:v>
      </x:c>
      <x:c r="D100" s="2" t="str">
        <x:v>40만</x:v>
      </x:c>
      <x:c r="E100" s="14" t="n">
        <x:f>SUM(F100:M100)</x:f>
        <x:v>105</x:v>
      </x:c>
      <x:c r="F100" s="14" t="n">
        <x:v>43</x:v>
      </x:c>
      <x:c r="G100" s="14" t="n">
        <x:v>4</x:v>
      </x:c>
      <x:c r="H100" s="14" t="n">
        <x:v>7</x:v>
      </x:c>
      <x:c r="I100" s="14" t="n">
        <x:v>17</x:v>
      </x:c>
      <x:c r="J100" s="14" t="n">
        <x:v>6</x:v>
      </x:c>
      <x:c r="K100" s="14" t="n">
        <x:v>4</x:v>
      </x:c>
      <x:c r="L100" s="14" t="n">
        <x:v>19</x:v>
      </x:c>
      <x:c r="M100" s="14" t="n">
        <x:v>5</x:v>
      </x:c>
      <x:c r="N100" s="15" t="n">
        <x:f>IF(E100=0,"해당 없음",F100/E100)</x:f>
        <x:v>0.4095238095238095</x:v>
      </x:c>
      <x:c r="O100" s="15" t="n">
        <x:f>IF(E100=0,"해당 없음",G100/E100)</x:f>
        <x:v>0.0380952380952381</x:v>
      </x:c>
      <x:c r="P100" s="15" t="n">
        <x:f>IF(E100=0,"해당 없음",H100/E100)</x:f>
        <x:v>0.06666666666666667</x:v>
      </x:c>
      <x:c r="Q100" s="15" t="n">
        <x:f>IF(E100=0,"해당 없음",I100/E100)</x:f>
        <x:v>0.1619047619047619</x:v>
      </x:c>
      <x:c r="R100" s="15" t="n">
        <x:f>IF(E100=0,"해당 없음",J100/E100)</x:f>
        <x:v>0.05714285714285714</x:v>
      </x:c>
      <x:c r="S100" s="15" t="n">
        <x:f>IF(E100=0,"해당 없음",K100/E100)</x:f>
        <x:v>0.0380952380952381</x:v>
      </x:c>
      <x:c r="T100" s="15" t="n">
        <x:f>IF(E100=0,"해당 없음",L100/E100)</x:f>
        <x:v>0.18095238095238095</x:v>
      </x:c>
      <x:c r="U100" s="15" t="n">
        <x:f>IF(E100=0,"해당 없음",M100/E100)</x:f>
        <x:v>0.047619047619047616</x:v>
      </x:c>
      <x:c r="V100" s="16" t="n">
        <x:f>E100/5</x:f>
        <x:v>21</x:v>
      </x:c>
    </x:row>
    <x:row r="101" ht="22" customHeight="1">
      <x:c r="A101" s="2" t="n">
        <x:v>48</x:v>
      </x:c>
      <x:c r="B101" s="2" t="str">
        <x:v>NAVY</x:v>
      </x:c>
      <x:c r="C101" s="2" t="str">
        <x:v>40만</x:v>
      </x:c>
      <x:c r="D101" s="2" t="str">
        <x:v>규칙형</x:v>
      </x:c>
      <x:c r="E101" s="14" t="n">
        <x:f>SUM(F101:M101)</x:f>
        <x:v>104</x:v>
      </x:c>
      <x:c r="F101" s="14" t="n">
        <x:v>1</x:v>
      </x:c>
      <x:c r="G101" s="14" t="n">
        <x:v>33</x:v>
      </x:c>
      <x:c r="H101" s="14" t="n">
        <x:v>12</x:v>
      </x:c>
      <x:c r="I101" s="14" t="n">
        <x:v>3</x:v>
      </x:c>
      <x:c r="J101" s="14" t="n">
        <x:v>5</x:v>
      </x:c>
      <x:c r="K101" s="14" t="n">
        <x:v>6</x:v>
      </x:c>
      <x:c r="L101" s="14" t="n">
        <x:v>39</x:v>
      </x:c>
      <x:c r="M101" s="14" t="n">
        <x:v>5</x:v>
      </x:c>
      <x:c r="N101" s="15" t="n">
        <x:f>IF(E101=0,"해당 없음",F101/E101)</x:f>
        <x:v>0.009615384615384616</x:v>
      </x:c>
      <x:c r="O101" s="15" t="n">
        <x:f>IF(E101=0,"해당 없음",G101/E101)</x:f>
        <x:v>0.3173076923076923</x:v>
      </x:c>
      <x:c r="P101" s="15" t="n">
        <x:f>IF(E101=0,"해당 없음",H101/E101)</x:f>
        <x:v>0.11538461538461539</x:v>
      </x:c>
      <x:c r="Q101" s="15" t="n">
        <x:f>IF(E101=0,"해당 없음",I101/E101)</x:f>
        <x:v>0.028846153846153848</x:v>
      </x:c>
      <x:c r="R101" s="15" t="n">
        <x:f>IF(E101=0,"해당 없음",J101/E101)</x:f>
        <x:v>0.04807692307692308</x:v>
      </x:c>
      <x:c r="S101" s="15" t="n">
        <x:f>IF(E101=0,"해당 없음",K101/E101)</x:f>
        <x:v>0.057692307692307696</x:v>
      </x:c>
      <x:c r="T101" s="15" t="n">
        <x:f>IF(E101=0,"해당 없음",L101/E101)</x:f>
        <x:v>0.375</x:v>
      </x:c>
      <x:c r="U101" s="15" t="n">
        <x:f>IF(E101=0,"해당 없음",M101/E101)</x:f>
        <x:v>0.04807692307692308</x:v>
      </x:c>
      <x:c r="V101" s="16" t="n">
        <x:f>E101/5</x:f>
        <x:v>20.8</x:v>
      </x:c>
    </x:row>
    <x:row r="102" ht="22" customHeight="1">
      <x:c r="A102" s="2" t="n">
        <x:v>49</x:v>
      </x:c>
      <x:c r="B102" s="2" t="str">
        <x:v>RED</x:v>
      </x:c>
      <x:c r="C102" s="2" t="str">
        <x:v>40만</x:v>
      </x:c>
      <x:c r="D102" s="2" t="str">
        <x:v>규칙형</x:v>
      </x:c>
      <x:c r="E102" s="14" t="n">
        <x:f>SUM(F102:M102)</x:f>
        <x:v>104</x:v>
      </x:c>
      <x:c r="F102" s="14" t="n">
        <x:v>5</x:v>
      </x:c>
      <x:c r="G102" s="14" t="n">
        <x:v>26</x:v>
      </x:c>
      <x:c r="H102" s="14" t="n">
        <x:v>9</x:v>
      </x:c>
      <x:c r="I102" s="14" t="n">
        <x:v>8</x:v>
      </x:c>
      <x:c r="J102" s="14" t="n">
        <x:v>5</x:v>
      </x:c>
      <x:c r="K102" s="14" t="n">
        <x:v>6</x:v>
      </x:c>
      <x:c r="L102" s="14" t="n">
        <x:v>40</x:v>
      </x:c>
      <x:c r="M102" s="14" t="n">
        <x:v>5</x:v>
      </x:c>
      <x:c r="N102" s="15" t="n">
        <x:f>IF(E102=0,"해당 없음",F102/E102)</x:f>
        <x:v>0.04807692307692308</x:v>
      </x:c>
      <x:c r="O102" s="15" t="n">
        <x:f>IF(E102=0,"해당 없음",G102/E102)</x:f>
        <x:v>0.25</x:v>
      </x:c>
      <x:c r="P102" s="15" t="n">
        <x:f>IF(E102=0,"해당 없음",H102/E102)</x:f>
        <x:v>0.08653846153846154</x:v>
      </x:c>
      <x:c r="Q102" s="15" t="n">
        <x:f>IF(E102=0,"해당 없음",I102/E102)</x:f>
        <x:v>0.07692307692307693</x:v>
      </x:c>
      <x:c r="R102" s="15" t="n">
        <x:f>IF(E102=0,"해당 없음",J102/E102)</x:f>
        <x:v>0.04807692307692308</x:v>
      </x:c>
      <x:c r="S102" s="15" t="n">
        <x:f>IF(E102=0,"해당 없음",K102/E102)</x:f>
        <x:v>0.057692307692307696</x:v>
      </x:c>
      <x:c r="T102" s="15" t="n">
        <x:f>IF(E102=0,"해당 없음",L102/E102)</x:f>
        <x:v>0.38461538461538464</x:v>
      </x:c>
      <x:c r="U102" s="15" t="n">
        <x:f>IF(E102=0,"해당 없음",M102/E102)</x:f>
        <x:v>0.04807692307692308</x:v>
      </x:c>
      <x:c r="V102" s="16" t="n">
        <x:f>E102/5</x:f>
        <x:v>20.8</x:v>
      </x:c>
    </x:row>
    <x:row r="103" ht="22" customHeight="1">
      <x:c r="A103" s="2" t="n">
        <x:v>49</x:v>
      </x:c>
      <x:c r="B103" s="2" t="str">
        <x:v>NAVY</x:v>
      </x:c>
      <x:c r="C103" s="2" t="str">
        <x:v>규칙형</x:v>
      </x:c>
      <x:c r="D103" s="2" t="str">
        <x:v>40만</x:v>
      </x:c>
      <x:c r="E103" s="14" t="n">
        <x:f>SUM(F103:M103)</x:f>
        <x:v>103</x:v>
      </x:c>
      <x:c r="F103" s="14" t="n">
        <x:v>42</x:v>
      </x:c>
      <x:c r="G103" s="14" t="n">
        <x:v>9</x:v>
      </x:c>
      <x:c r="H103" s="14" t="n">
        <x:v>6</x:v>
      </x:c>
      <x:c r="I103" s="14" t="n">
        <x:v>11</x:v>
      </x:c>
      <x:c r="J103" s="14" t="n">
        <x:v>8</x:v>
      </x:c>
      <x:c r="K103" s="14" t="n">
        <x:v>6</x:v>
      </x:c>
      <x:c r="L103" s="14" t="n">
        <x:v>20</x:v>
      </x:c>
      <x:c r="M103" s="14" t="n">
        <x:v>1</x:v>
      </x:c>
      <x:c r="N103" s="15" t="n">
        <x:f>IF(E103=0,"해당 없음",F103/E103)</x:f>
        <x:v>0.4077669902912621</x:v>
      </x:c>
      <x:c r="O103" s="15" t="n">
        <x:f>IF(E103=0,"해당 없음",G103/E103)</x:f>
        <x:v>0.08737864077669903</x:v>
      </x:c>
      <x:c r="P103" s="15" t="n">
        <x:f>IF(E103=0,"해당 없음",H103/E103)</x:f>
        <x:v>0.05825242718446602</x:v>
      </x:c>
      <x:c r="Q103" s="15" t="n">
        <x:f>IF(E103=0,"해당 없음",I103/E103)</x:f>
        <x:v>0.10679611650485436</x:v>
      </x:c>
      <x:c r="R103" s="15" t="n">
        <x:f>IF(E103=0,"해당 없음",J103/E103)</x:f>
        <x:v>0.07766990291262135</x:v>
      </x:c>
      <x:c r="S103" s="15" t="n">
        <x:f>IF(E103=0,"해당 없음",K103/E103)</x:f>
        <x:v>0.05825242718446602</x:v>
      </x:c>
      <x:c r="T103" s="15" t="n">
        <x:f>IF(E103=0,"해당 없음",L103/E103)</x:f>
        <x:v>0.1941747572815534</x:v>
      </x:c>
      <x:c r="U103" s="15" t="n">
        <x:f>IF(E103=0,"해당 없음",M103/E103)</x:f>
        <x:v>0.009708737864077669</x:v>
      </x:c>
      <x:c r="V103" s="16" t="n">
        <x:f>E103/5</x:f>
        <x:v>20.6</x:v>
      </x:c>
    </x:row>
    <x:row r="104" ht="22" customHeight="1">
      <x:c r="A104" s="2" t="n">
        <x:v>50</x:v>
      </x:c>
      <x:c r="B104" s="2" t="str">
        <x:v>RED</x:v>
      </x:c>
      <x:c r="C104" s="2" t="str">
        <x:v>규칙형</x:v>
      </x:c>
      <x:c r="D104" s="2" t="str">
        <x:v>40만</x:v>
      </x:c>
      <x:c r="E104" s="14" t="n">
        <x:f>SUM(F104:M104)</x:f>
        <x:v>104</x:v>
      </x:c>
      <x:c r="F104" s="14" t="n">
        <x:v>40</x:v>
      </x:c>
      <x:c r="G104" s="14" t="n">
        <x:v>2</x:v>
      </x:c>
      <x:c r="H104" s="14" t="n">
        <x:v>9</x:v>
      </x:c>
      <x:c r="I104" s="14" t="n">
        <x:v>12</x:v>
      </x:c>
      <x:c r="J104" s="14" t="n">
        <x:v>9</x:v>
      </x:c>
      <x:c r="K104" s="14" t="n">
        <x:v>3</x:v>
      </x:c>
      <x:c r="L104" s="14" t="n">
        <x:v>23</x:v>
      </x:c>
      <x:c r="M104" s="14" t="n">
        <x:v>6</x:v>
      </x:c>
      <x:c r="N104" s="15" t="n">
        <x:f>IF(E104=0,"해당 없음",F104/E104)</x:f>
        <x:v>0.38461538461538464</x:v>
      </x:c>
      <x:c r="O104" s="15" t="n">
        <x:f>IF(E104=0,"해당 없음",G104/E104)</x:f>
        <x:v>0.019230769230769232</x:v>
      </x:c>
      <x:c r="P104" s="15" t="n">
        <x:f>IF(E104=0,"해당 없음",H104/E104)</x:f>
        <x:v>0.08653846153846154</x:v>
      </x:c>
      <x:c r="Q104" s="15" t="n">
        <x:f>IF(E104=0,"해당 없음",I104/E104)</x:f>
        <x:v>0.11538461538461539</x:v>
      </x:c>
      <x:c r="R104" s="15" t="n">
        <x:f>IF(E104=0,"해당 없음",J104/E104)</x:f>
        <x:v>0.08653846153846154</x:v>
      </x:c>
      <x:c r="S104" s="15" t="n">
        <x:f>IF(E104=0,"해당 없음",K104/E104)</x:f>
        <x:v>0.028846153846153848</x:v>
      </x:c>
      <x:c r="T104" s="15" t="n">
        <x:f>IF(E104=0,"해당 없음",L104/E104)</x:f>
        <x:v>0.22115384615384615</x:v>
      </x:c>
      <x:c r="U104" s="15" t="n">
        <x:f>IF(E104=0,"해당 없음",M104/E104)</x:f>
        <x:v>0.057692307692307696</x:v>
      </x:c>
      <x:c r="V104" s="16" t="n">
        <x:f>E104/5</x:f>
        <x:v>20.8</x:v>
      </x:c>
    </x:row>
    <x:row r="105" ht="22" customHeight="1">
      <x:c r="A105" s="2" t="n">
        <x:v>50</x:v>
      </x:c>
      <x:c r="B105" s="2" t="str">
        <x:v>NAVY</x:v>
      </x:c>
      <x:c r="C105" s="2" t="str">
        <x:v>40만</x:v>
      </x:c>
      <x:c r="D105" s="2" t="str">
        <x:v>규칙형</x:v>
      </x:c>
      <x:c r="E105" s="14" t="n">
        <x:f>SUM(F105:M105)</x:f>
        <x:v>105</x:v>
      </x:c>
      <x:c r="F105" s="14" t="n">
        <x:v>3</x:v>
      </x:c>
      <x:c r="G105" s="14" t="n">
        <x:v>27</x:v>
      </x:c>
      <x:c r="H105" s="14" t="n">
        <x:v>8</x:v>
      </x:c>
      <x:c r="I105" s="14" t="n">
        <x:v>6</x:v>
      </x:c>
      <x:c r="J105" s="14" t="n">
        <x:v>7</x:v>
      </x:c>
      <x:c r="K105" s="14" t="n">
        <x:v>12</x:v>
      </x:c>
      <x:c r="L105" s="14" t="n">
        <x:v>36</x:v>
      </x:c>
      <x:c r="M105" s="14" t="n">
        <x:v>6</x:v>
      </x:c>
      <x:c r="N105" s="15" t="n">
        <x:f>IF(E105=0,"해당 없음",F105/E105)</x:f>
        <x:v>0.02857142857142857</x:v>
      </x:c>
      <x:c r="O105" s="15" t="n">
        <x:f>IF(E105=0,"해당 없음",G105/E105)</x:f>
        <x:v>0.2571428571428571</x:v>
      </x:c>
      <x:c r="P105" s="15" t="n">
        <x:f>IF(E105=0,"해당 없음",H105/E105)</x:f>
        <x:v>0.0761904761904762</x:v>
      </x:c>
      <x:c r="Q105" s="15" t="n">
        <x:f>IF(E105=0,"해당 없음",I105/E105)</x:f>
        <x:v>0.05714285714285714</x:v>
      </x:c>
      <x:c r="R105" s="15" t="n">
        <x:f>IF(E105=0,"해당 없음",J105/E105)</x:f>
        <x:v>0.06666666666666667</x:v>
      </x:c>
      <x:c r="S105" s="15" t="n">
        <x:f>IF(E105=0,"해당 없음",K105/E105)</x:f>
        <x:v>0.11428571428571428</x:v>
      </x:c>
      <x:c r="T105" s="15" t="n">
        <x:f>IF(E105=0,"해당 없음",L105/E105)</x:f>
        <x:v>0.34285714285714286</x:v>
      </x:c>
      <x:c r="U105" s="15" t="n">
        <x:f>IF(E105=0,"해당 없음",M105/E105)</x:f>
        <x:v>0.05714285714285714</x:v>
      </x:c>
      <x:c r="V105" s="16" t="n">
        <x:f>E105/5</x:f>
        <x:v>21</x:v>
      </x:c>
    </x:row>
    <x:row r="106" ht="22" customHeight="1">
      <x:c r="A106" s="2" t="n">
        <x:v>51</x:v>
      </x:c>
      <x:c r="B106" s="2" t="str">
        <x:v>RED</x:v>
      </x:c>
      <x:c r="C106" s="2" t="str">
        <x:v>40만</x:v>
      </x:c>
      <x:c r="D106" s="2" t="str">
        <x:v>규칙형</x:v>
      </x:c>
      <x:c r="E106" s="14" t="n">
        <x:f>SUM(F106:M106)</x:f>
        <x:v>103</x:v>
      </x:c>
      <x:c r="F106" s="14" t="n">
        <x:v>4</x:v>
      </x:c>
      <x:c r="G106" s="14" t="n">
        <x:v>30</x:v>
      </x:c>
      <x:c r="H106" s="14" t="n">
        <x:v>6</x:v>
      </x:c>
      <x:c r="I106" s="14" t="n">
        <x:v>7</x:v>
      </x:c>
      <x:c r="J106" s="14" t="n">
        <x:v>1</x:v>
      </x:c>
      <x:c r="K106" s="14" t="n">
        <x:v>10</x:v>
      </x:c>
      <x:c r="L106" s="14" t="n">
        <x:v>41</x:v>
      </x:c>
      <x:c r="M106" s="14" t="n">
        <x:v>4</x:v>
      </x:c>
      <x:c r="N106" s="15" t="n">
        <x:f>IF(E106=0,"해당 없음",F106/E106)</x:f>
        <x:v>0.038834951456310676</x:v>
      </x:c>
      <x:c r="O106" s="15" t="n">
        <x:f>IF(E106=0,"해당 없음",G106/E106)</x:f>
        <x:v>0.2912621359223301</x:v>
      </x:c>
      <x:c r="P106" s="15" t="n">
        <x:f>IF(E106=0,"해당 없음",H106/E106)</x:f>
        <x:v>0.05825242718446602</x:v>
      </x:c>
      <x:c r="Q106" s="15" t="n">
        <x:f>IF(E106=0,"해당 없음",I106/E106)</x:f>
        <x:v>0.06796116504854369</x:v>
      </x:c>
      <x:c r="R106" s="15" t="n">
        <x:f>IF(E106=0,"해당 없음",J106/E106)</x:f>
        <x:v>0.009708737864077669</x:v>
      </x:c>
      <x:c r="S106" s="15" t="n">
        <x:f>IF(E106=0,"해당 없음",K106/E106)</x:f>
        <x:v>0.0970873786407767</x:v>
      </x:c>
      <x:c r="T106" s="15" t="n">
        <x:f>IF(E106=0,"해당 없음",L106/E106)</x:f>
        <x:v>0.39805825242718446</x:v>
      </x:c>
      <x:c r="U106" s="15" t="n">
        <x:f>IF(E106=0,"해당 없음",M106/E106)</x:f>
        <x:v>0.038834951456310676</x:v>
      </x:c>
      <x:c r="V106" s="16" t="n">
        <x:f>E106/5</x:f>
        <x:v>20.6</x:v>
      </x:c>
    </x:row>
    <x:row r="107" ht="22" customHeight="1">
      <x:c r="A107" s="2" t="n">
        <x:v>51</x:v>
      </x:c>
      <x:c r="B107" s="2" t="str">
        <x:v>NAVY</x:v>
      </x:c>
      <x:c r="C107" s="2" t="str">
        <x:v>규칙형</x:v>
      </x:c>
      <x:c r="D107" s="2" t="str">
        <x:v>40만</x:v>
      </x:c>
      <x:c r="E107" s="14" t="n">
        <x:f>SUM(F107:M107)</x:f>
        <x:v>103</x:v>
      </x:c>
      <x:c r="F107" s="14" t="n">
        <x:v>43</x:v>
      </x:c>
      <x:c r="G107" s="14" t="n">
        <x:v>5</x:v>
      </x:c>
      <x:c r="H107" s="14" t="n">
        <x:v>6</x:v>
      </x:c>
      <x:c r="I107" s="14" t="n">
        <x:v>13</x:v>
      </x:c>
      <x:c r="J107" s="14" t="n">
        <x:v>6</x:v>
      </x:c>
      <x:c r="K107" s="14" t="n">
        <x:v>5</x:v>
      </x:c>
      <x:c r="L107" s="14" t="n">
        <x:v>20</x:v>
      </x:c>
      <x:c r="M107" s="14" t="n">
        <x:v>5</x:v>
      </x:c>
      <x:c r="N107" s="15" t="n">
        <x:f>IF(E107=0,"해당 없음",F107/E107)</x:f>
        <x:v>0.4174757281553398</x:v>
      </x:c>
      <x:c r="O107" s="15" t="n">
        <x:f>IF(E107=0,"해당 없음",G107/E107)</x:f>
        <x:v>0.04854368932038835</x:v>
      </x:c>
      <x:c r="P107" s="15" t="n">
        <x:f>IF(E107=0,"해당 없음",H107/E107)</x:f>
        <x:v>0.05825242718446602</x:v>
      </x:c>
      <x:c r="Q107" s="15" t="n">
        <x:f>IF(E107=0,"해당 없음",I107/E107)</x:f>
        <x:v>0.1262135922330097</x:v>
      </x:c>
      <x:c r="R107" s="15" t="n">
        <x:f>IF(E107=0,"해당 없음",J107/E107)</x:f>
        <x:v>0.05825242718446602</x:v>
      </x:c>
      <x:c r="S107" s="15" t="n">
        <x:f>IF(E107=0,"해당 없음",K107/E107)</x:f>
        <x:v>0.04854368932038835</x:v>
      </x:c>
      <x:c r="T107" s="15" t="n">
        <x:f>IF(E107=0,"해당 없음",L107/E107)</x:f>
        <x:v>0.1941747572815534</x:v>
      </x:c>
      <x:c r="U107" s="15" t="n">
        <x:f>IF(E107=0,"해당 없음",M107/E107)</x:f>
        <x:v>0.04854368932038835</x:v>
      </x:c>
      <x:c r="V107" s="16" t="n">
        <x:f>E107/5</x:f>
        <x:v>20.6</x:v>
      </x:c>
    </x:row>
    <x:row r="108" ht="22" customHeight="1">
      <x:c r="A108" s="2" t="n">
        <x:v>52</x:v>
      </x:c>
      <x:c r="B108" s="2" t="str">
        <x:v>RED</x:v>
      </x:c>
      <x:c r="C108" s="2" t="str">
        <x:v>규칙형</x:v>
      </x:c>
      <x:c r="D108" s="2" t="str">
        <x:v>40만</x:v>
      </x:c>
      <x:c r="E108" s="14" t="n">
        <x:f>SUM(F108:M108)</x:f>
        <x:v>104</x:v>
      </x:c>
      <x:c r="F108" s="14" t="n">
        <x:v>45</x:v>
      </x:c>
      <x:c r="G108" s="14" t="n">
        <x:v>5</x:v>
      </x:c>
      <x:c r="H108" s="14" t="n">
        <x:v>6</x:v>
      </x:c>
      <x:c r="I108" s="14" t="n">
        <x:v>5</x:v>
      </x:c>
      <x:c r="J108" s="14" t="n">
        <x:v>6</x:v>
      </x:c>
      <x:c r="K108" s="14" t="n">
        <x:v>3</x:v>
      </x:c>
      <x:c r="L108" s="14" t="n">
        <x:v>30</x:v>
      </x:c>
      <x:c r="M108" s="14" t="n">
        <x:v>4</x:v>
      </x:c>
      <x:c r="N108" s="15" t="n">
        <x:f>IF(E108=0,"해당 없음",F108/E108)</x:f>
        <x:v>0.4326923076923077</x:v>
      </x:c>
      <x:c r="O108" s="15" t="n">
        <x:f>IF(E108=0,"해당 없음",G108/E108)</x:f>
        <x:v>0.04807692307692308</x:v>
      </x:c>
      <x:c r="P108" s="15" t="n">
        <x:f>IF(E108=0,"해당 없음",H108/E108)</x:f>
        <x:v>0.057692307692307696</x:v>
      </x:c>
      <x:c r="Q108" s="15" t="n">
        <x:f>IF(E108=0,"해당 없음",I108/E108)</x:f>
        <x:v>0.04807692307692308</x:v>
      </x:c>
      <x:c r="R108" s="15" t="n">
        <x:f>IF(E108=0,"해당 없음",J108/E108)</x:f>
        <x:v>0.057692307692307696</x:v>
      </x:c>
      <x:c r="S108" s="15" t="n">
        <x:f>IF(E108=0,"해당 없음",K108/E108)</x:f>
        <x:v>0.028846153846153848</x:v>
      </x:c>
      <x:c r="T108" s="15" t="n">
        <x:f>IF(E108=0,"해당 없음",L108/E108)</x:f>
        <x:v>0.28846153846153844</x:v>
      </x:c>
      <x:c r="U108" s="15" t="n">
        <x:f>IF(E108=0,"해당 없음",M108/E108)</x:f>
        <x:v>0.038461538461538464</x:v>
      </x:c>
      <x:c r="V108" s="16" t="n">
        <x:f>E108/5</x:f>
        <x:v>20.8</x:v>
      </x:c>
    </x:row>
    <x:row r="109" ht="22" customHeight="1">
      <x:c r="A109" s="2" t="n">
        <x:v>52</x:v>
      </x:c>
      <x:c r="B109" s="2" t="str">
        <x:v>NAVY</x:v>
      </x:c>
      <x:c r="C109" s="2" t="str">
        <x:v>40만</x:v>
      </x:c>
      <x:c r="D109" s="2" t="str">
        <x:v>규칙형</x:v>
      </x:c>
      <x:c r="E109" s="14" t="n">
        <x:f>SUM(F109:M109)</x:f>
        <x:v>104</x:v>
      </x:c>
      <x:c r="F109" s="14" t="n">
        <x:v>5</x:v>
      </x:c>
      <x:c r="G109" s="14" t="n">
        <x:v>21</x:v>
      </x:c>
      <x:c r="H109" s="14" t="n">
        <x:v>6</x:v>
      </x:c>
      <x:c r="I109" s="14" t="n">
        <x:v>5</x:v>
      </x:c>
      <x:c r="J109" s="14" t="n">
        <x:v>5</x:v>
      </x:c>
      <x:c r="K109" s="14" t="n">
        <x:v>13</x:v>
      </x:c>
      <x:c r="L109" s="14" t="n">
        <x:v>39</x:v>
      </x:c>
      <x:c r="M109" s="14" t="n">
        <x:v>10</x:v>
      </x:c>
      <x:c r="N109" s="15" t="n">
        <x:f>IF(E109=0,"해당 없음",F109/E109)</x:f>
        <x:v>0.04807692307692308</x:v>
      </x:c>
      <x:c r="O109" s="15" t="n">
        <x:f>IF(E109=0,"해당 없음",G109/E109)</x:f>
        <x:v>0.20192307692307693</x:v>
      </x:c>
      <x:c r="P109" s="15" t="n">
        <x:f>IF(E109=0,"해당 없음",H109/E109)</x:f>
        <x:v>0.057692307692307696</x:v>
      </x:c>
      <x:c r="Q109" s="15" t="n">
        <x:f>IF(E109=0,"해당 없음",I109/E109)</x:f>
        <x:v>0.04807692307692308</x:v>
      </x:c>
      <x:c r="R109" s="15" t="n">
        <x:f>IF(E109=0,"해당 없음",J109/E109)</x:f>
        <x:v>0.04807692307692308</x:v>
      </x:c>
      <x:c r="S109" s="15" t="n">
        <x:f>IF(E109=0,"해당 없음",K109/E109)</x:f>
        <x:v>0.125</x:v>
      </x:c>
      <x:c r="T109" s="15" t="n">
        <x:f>IF(E109=0,"해당 없음",L109/E109)</x:f>
        <x:v>0.375</x:v>
      </x:c>
      <x:c r="U109" s="15" t="n">
        <x:f>IF(E109=0,"해당 없음",M109/E109)</x:f>
        <x:v>0.09615384615384616</x:v>
      </x:c>
      <x:c r="V109" s="16" t="n">
        <x:f>E109/5</x:f>
        <x:v>20.8</x:v>
      </x:c>
    </x:row>
    <x:row r="110" ht="22" customHeight="1">
      <x:c r="A110" s="2" t="n">
        <x:v>53</x:v>
      </x:c>
      <x:c r="B110" s="2" t="str">
        <x:v>RED</x:v>
      </x:c>
      <x:c r="C110" s="2" t="str">
        <x:v>40만</x:v>
      </x:c>
      <x:c r="D110" s="2" t="str">
        <x:v>규칙형</x:v>
      </x:c>
      <x:c r="E110" s="14" t="n">
        <x:f>SUM(F110:M110)</x:f>
        <x:v>103</x:v>
      </x:c>
      <x:c r="F110" s="14" t="n">
        <x:v>6</x:v>
      </x:c>
      <x:c r="G110" s="14" t="n">
        <x:v>28</x:v>
      </x:c>
      <x:c r="H110" s="14" t="n">
        <x:v>10</x:v>
      </x:c>
      <x:c r="I110" s="14" t="n">
        <x:v>4</x:v>
      </x:c>
      <x:c r="J110" s="14" t="n">
        <x:v>4</x:v>
      </x:c>
      <x:c r="K110" s="14" t="n">
        <x:v>10</x:v>
      </x:c>
      <x:c r="L110" s="14" t="n">
        <x:v>38</x:v>
      </x:c>
      <x:c r="M110" s="14" t="n">
        <x:v>3</x:v>
      </x:c>
      <x:c r="N110" s="15" t="n">
        <x:f>IF(E110=0,"해당 없음",F110/E110)</x:f>
        <x:v>0.05825242718446602</x:v>
      </x:c>
      <x:c r="O110" s="15" t="n">
        <x:f>IF(E110=0,"해당 없음",G110/E110)</x:f>
        <x:v>0.27184466019417475</x:v>
      </x:c>
      <x:c r="P110" s="15" t="n">
        <x:f>IF(E110=0,"해당 없음",H110/E110)</x:f>
        <x:v>0.0970873786407767</x:v>
      </x:c>
      <x:c r="Q110" s="15" t="n">
        <x:f>IF(E110=0,"해당 없음",I110/E110)</x:f>
        <x:v>0.038834951456310676</x:v>
      </x:c>
      <x:c r="R110" s="15" t="n">
        <x:f>IF(E110=0,"해당 없음",J110/E110)</x:f>
        <x:v>0.038834951456310676</x:v>
      </x:c>
      <x:c r="S110" s="15" t="n">
        <x:f>IF(E110=0,"해당 없음",K110/E110)</x:f>
        <x:v>0.0970873786407767</x:v>
      </x:c>
      <x:c r="T110" s="15" t="n">
        <x:f>IF(E110=0,"해당 없음",L110/E110)</x:f>
        <x:v>0.36893203883495146</x:v>
      </x:c>
      <x:c r="U110" s="15" t="n">
        <x:f>IF(E110=0,"해당 없음",M110/E110)</x:f>
        <x:v>0.02912621359223301</x:v>
      </x:c>
      <x:c r="V110" s="16" t="n">
        <x:f>E110/5</x:f>
        <x:v>20.6</x:v>
      </x:c>
    </x:row>
    <x:row r="111" ht="22" customHeight="1">
      <x:c r="A111" s="2" t="n">
        <x:v>53</x:v>
      </x:c>
      <x:c r="B111" s="2" t="str">
        <x:v>NAVY</x:v>
      </x:c>
      <x:c r="C111" s="2" t="str">
        <x:v>규칙형</x:v>
      </x:c>
      <x:c r="D111" s="2" t="str">
        <x:v>40만</x:v>
      </x:c>
      <x:c r="E111" s="14" t="n">
        <x:f>SUM(F111:M111)</x:f>
        <x:v>104</x:v>
      </x:c>
      <x:c r="F111" s="14" t="n">
        <x:v>42</x:v>
      </x:c>
      <x:c r="G111" s="14" t="n">
        <x:v>5</x:v>
      </x:c>
      <x:c r="H111" s="14" t="n">
        <x:v>4</x:v>
      </x:c>
      <x:c r="I111" s="14" t="n">
        <x:v>10</x:v>
      </x:c>
      <x:c r="J111" s="14" t="n">
        <x:v>7</x:v>
      </x:c>
      <x:c r="K111" s="14" t="n">
        <x:v>4</x:v>
      </x:c>
      <x:c r="L111" s="14" t="n">
        <x:v>17</x:v>
      </x:c>
      <x:c r="M111" s="14" t="n">
        <x:v>15</x:v>
      </x:c>
      <x:c r="N111" s="15" t="n">
        <x:f>IF(E111=0,"해당 없음",F111/E111)</x:f>
        <x:v>0.40384615384615385</x:v>
      </x:c>
      <x:c r="O111" s="15" t="n">
        <x:f>IF(E111=0,"해당 없음",G111/E111)</x:f>
        <x:v>0.04807692307692308</x:v>
      </x:c>
      <x:c r="P111" s="15" t="n">
        <x:f>IF(E111=0,"해당 없음",H111/E111)</x:f>
        <x:v>0.038461538461538464</x:v>
      </x:c>
      <x:c r="Q111" s="15" t="n">
        <x:f>IF(E111=0,"해당 없음",I111/E111)</x:f>
        <x:v>0.09615384615384616</x:v>
      </x:c>
      <x:c r="R111" s="15" t="n">
        <x:f>IF(E111=0,"해당 없음",J111/E111)</x:f>
        <x:v>0.0673076923076923</x:v>
      </x:c>
      <x:c r="S111" s="15" t="n">
        <x:f>IF(E111=0,"해당 없음",K111/E111)</x:f>
        <x:v>0.038461538461538464</x:v>
      </x:c>
      <x:c r="T111" s="15" t="n">
        <x:f>IF(E111=0,"해당 없음",L111/E111)</x:f>
        <x:v>0.16346153846153846</x:v>
      </x:c>
      <x:c r="U111" s="15" t="n">
        <x:f>IF(E111=0,"해당 없음",M111/E111)</x:f>
        <x:v>0.14423076923076922</x:v>
      </x:c>
      <x:c r="V111" s="16" t="n">
        <x:f>E111/5</x:f>
        <x:v>20.8</x:v>
      </x:c>
    </x:row>
    <x:row r="112" ht="22" customHeight="1">
      <x:c r="A112" s="2" t="n">
        <x:v>54</x:v>
      </x:c>
      <x:c r="B112" s="2" t="str">
        <x:v>RED</x:v>
      </x:c>
      <x:c r="C112" s="2" t="str">
        <x:v>규칙형</x:v>
      </x:c>
      <x:c r="D112" s="2" t="str">
        <x:v>40만</x:v>
      </x:c>
      <x:c r="E112" s="14" t="n">
        <x:f>SUM(F112:M112)</x:f>
        <x:v>104</x:v>
      </x:c>
      <x:c r="F112" s="14" t="n">
        <x:v>38</x:v>
      </x:c>
      <x:c r="G112" s="14" t="n">
        <x:v>10</x:v>
      </x:c>
      <x:c r="H112" s="14" t="n">
        <x:v>5</x:v>
      </x:c>
      <x:c r="I112" s="14" t="n">
        <x:v>13</x:v>
      </x:c>
      <x:c r="J112" s="14" t="n">
        <x:v>8</x:v>
      </x:c>
      <x:c r="K112" s="14" t="n">
        <x:v>6</x:v>
      </x:c>
      <x:c r="L112" s="14" t="n">
        <x:v>16</x:v>
      </x:c>
      <x:c r="M112" s="14" t="n">
        <x:v>8</x:v>
      </x:c>
      <x:c r="N112" s="15" t="n">
        <x:f>IF(E112=0,"해당 없음",F112/E112)</x:f>
        <x:v>0.36538461538461536</x:v>
      </x:c>
      <x:c r="O112" s="15" t="n">
        <x:f>IF(E112=0,"해당 없음",G112/E112)</x:f>
        <x:v>0.09615384615384616</x:v>
      </x:c>
      <x:c r="P112" s="15" t="n">
        <x:f>IF(E112=0,"해당 없음",H112/E112)</x:f>
        <x:v>0.04807692307692308</x:v>
      </x:c>
      <x:c r="Q112" s="15" t="n">
        <x:f>IF(E112=0,"해당 없음",I112/E112)</x:f>
        <x:v>0.125</x:v>
      </x:c>
      <x:c r="R112" s="15" t="n">
        <x:f>IF(E112=0,"해당 없음",J112/E112)</x:f>
        <x:v>0.07692307692307693</x:v>
      </x:c>
      <x:c r="S112" s="15" t="n">
        <x:f>IF(E112=0,"해당 없음",K112/E112)</x:f>
        <x:v>0.057692307692307696</x:v>
      </x:c>
      <x:c r="T112" s="15" t="n">
        <x:f>IF(E112=0,"해당 없음",L112/E112)</x:f>
        <x:v>0.15384615384615385</x:v>
      </x:c>
      <x:c r="U112" s="15" t="n">
        <x:f>IF(E112=0,"해당 없음",M112/E112)</x:f>
        <x:v>0.07692307692307693</x:v>
      </x:c>
      <x:c r="V112" s="16" t="n">
        <x:f>E112/5</x:f>
        <x:v>20.8</x:v>
      </x:c>
    </x:row>
    <x:row r="113" ht="22" customHeight="1">
      <x:c r="A113" s="2" t="n">
        <x:v>54</x:v>
      </x:c>
      <x:c r="B113" s="2" t="str">
        <x:v>NAVY</x:v>
      </x:c>
      <x:c r="C113" s="2" t="str">
        <x:v>40만</x:v>
      </x:c>
      <x:c r="D113" s="2" t="str">
        <x:v>규칙형</x:v>
      </x:c>
      <x:c r="E113" s="14" t="n">
        <x:f>SUM(F113:M113)</x:f>
        <x:v>104</x:v>
      </x:c>
      <x:c r="F113" s="14" t="n">
        <x:v>4</x:v>
      </x:c>
      <x:c r="G113" s="14" t="n">
        <x:v>37</x:v>
      </x:c>
      <x:c r="H113" s="14" t="n">
        <x:v>5</x:v>
      </x:c>
      <x:c r="I113" s="14" t="n">
        <x:v>6</x:v>
      </x:c>
      <x:c r="J113" s="14" t="n">
        <x:v>4</x:v>
      </x:c>
      <x:c r="K113" s="14" t="n">
        <x:v>5</x:v>
      </x:c>
      <x:c r="L113" s="14" t="n">
        <x:v>41</x:v>
      </x:c>
      <x:c r="M113" s="14" t="n">
        <x:v>2</x:v>
      </x:c>
      <x:c r="N113" s="15" t="n">
        <x:f>IF(E113=0,"해당 없음",F113/E113)</x:f>
        <x:v>0.038461538461538464</x:v>
      </x:c>
      <x:c r="O113" s="15" t="n">
        <x:f>IF(E113=0,"해당 없음",G113/E113)</x:f>
        <x:v>0.3557692307692308</x:v>
      </x:c>
      <x:c r="P113" s="15" t="n">
        <x:f>IF(E113=0,"해당 없음",H113/E113)</x:f>
        <x:v>0.04807692307692308</x:v>
      </x:c>
      <x:c r="Q113" s="15" t="n">
        <x:f>IF(E113=0,"해당 없음",I113/E113)</x:f>
        <x:v>0.057692307692307696</x:v>
      </x:c>
      <x:c r="R113" s="15" t="n">
        <x:f>IF(E113=0,"해당 없음",J113/E113)</x:f>
        <x:v>0.038461538461538464</x:v>
      </x:c>
      <x:c r="S113" s="15" t="n">
        <x:f>IF(E113=0,"해당 없음",K113/E113)</x:f>
        <x:v>0.04807692307692308</x:v>
      </x:c>
      <x:c r="T113" s="15" t="n">
        <x:f>IF(E113=0,"해당 없음",L113/E113)</x:f>
        <x:v>0.3942307692307692</x:v>
      </x:c>
      <x:c r="U113" s="15" t="n">
        <x:f>IF(E113=0,"해당 없음",M113/E113)</x:f>
        <x:v>0.019230769230769232</x:v>
      </x:c>
      <x:c r="V113" s="16" t="n">
        <x:f>E113/5</x:f>
        <x:v>20.8</x:v>
      </x:c>
    </x:row>
    <x:row r="114" ht="22" customHeight="1">
      <x:c r="A114" s="2" t="n">
        <x:v>55</x:v>
      </x:c>
      <x:c r="B114" s="2" t="str">
        <x:v>RED</x:v>
      </x:c>
      <x:c r="C114" s="2" t="str">
        <x:v>40만</x:v>
      </x:c>
      <x:c r="D114" s="2" t="str">
        <x:v>규칙형</x:v>
      </x:c>
      <x:c r="E114" s="14" t="n">
        <x:f>SUM(F114:M114)</x:f>
        <x:v>103</x:v>
      </x:c>
      <x:c r="F114" s="14" t="n">
        <x:v>4</x:v>
      </x:c>
      <x:c r="G114" s="14" t="n">
        <x:v>26</x:v>
      </x:c>
      <x:c r="H114" s="14" t="n">
        <x:v>7</x:v>
      </x:c>
      <x:c r="I114" s="14" t="n">
        <x:v>5</x:v>
      </x:c>
      <x:c r="J114" s="14" t="n">
        <x:v>6</x:v>
      </x:c>
      <x:c r="K114" s="14" t="n">
        <x:v>6</x:v>
      </x:c>
      <x:c r="L114" s="14" t="n">
        <x:v>41</x:v>
      </x:c>
      <x:c r="M114" s="14" t="n">
        <x:v>8</x:v>
      </x:c>
      <x:c r="N114" s="15" t="n">
        <x:f>IF(E114=0,"해당 없음",F114/E114)</x:f>
        <x:v>0.038834951456310676</x:v>
      </x:c>
      <x:c r="O114" s="15" t="n">
        <x:f>IF(E114=0,"해당 없음",G114/E114)</x:f>
        <x:v>0.2524271844660194</x:v>
      </x:c>
      <x:c r="P114" s="15" t="n">
        <x:f>IF(E114=0,"해당 없음",H114/E114)</x:f>
        <x:v>0.06796116504854369</x:v>
      </x:c>
      <x:c r="Q114" s="15" t="n">
        <x:f>IF(E114=0,"해당 없음",I114/E114)</x:f>
        <x:v>0.04854368932038835</x:v>
      </x:c>
      <x:c r="R114" s="15" t="n">
        <x:f>IF(E114=0,"해당 없음",J114/E114)</x:f>
        <x:v>0.05825242718446602</x:v>
      </x:c>
      <x:c r="S114" s="15" t="n">
        <x:f>IF(E114=0,"해당 없음",K114/E114)</x:f>
        <x:v>0.05825242718446602</x:v>
      </x:c>
      <x:c r="T114" s="15" t="n">
        <x:f>IF(E114=0,"해당 없음",L114/E114)</x:f>
        <x:v>0.39805825242718446</x:v>
      </x:c>
      <x:c r="U114" s="15" t="n">
        <x:f>IF(E114=0,"해당 없음",M114/E114)</x:f>
        <x:v>0.07766990291262135</x:v>
      </x:c>
      <x:c r="V114" s="16" t="n">
        <x:f>E114/5</x:f>
        <x:v>20.6</x:v>
      </x:c>
    </x:row>
    <x:row r="115" ht="22" customHeight="1">
      <x:c r="A115" s="2" t="n">
        <x:v>55</x:v>
      </x:c>
      <x:c r="B115" s="2" t="str">
        <x:v>NAVY</x:v>
      </x:c>
      <x:c r="C115" s="2" t="str">
        <x:v>규칙형</x:v>
      </x:c>
      <x:c r="D115" s="2" t="str">
        <x:v>40만</x:v>
      </x:c>
      <x:c r="E115" s="14" t="n">
        <x:f>SUM(F115:M115)</x:f>
        <x:v>104</x:v>
      </x:c>
      <x:c r="F115" s="14" t="n">
        <x:v>43</x:v>
      </x:c>
      <x:c r="G115" s="14" t="n">
        <x:v>6</x:v>
      </x:c>
      <x:c r="H115" s="14" t="n">
        <x:v>8</x:v>
      </x:c>
      <x:c r="I115" s="14" t="n">
        <x:v>15</x:v>
      </x:c>
      <x:c r="J115" s="14" t="n">
        <x:v>6</x:v>
      </x:c>
      <x:c r="K115" s="14" t="n">
        <x:v>4</x:v>
      </x:c>
      <x:c r="L115" s="14" t="n">
        <x:v>20</x:v>
      </x:c>
      <x:c r="M115" s="14" t="n">
        <x:v>2</x:v>
      </x:c>
      <x:c r="N115" s="15" t="n">
        <x:f>IF(E115=0,"해당 없음",F115/E115)</x:f>
        <x:v>0.41346153846153844</x:v>
      </x:c>
      <x:c r="O115" s="15" t="n">
        <x:f>IF(E115=0,"해당 없음",G115/E115)</x:f>
        <x:v>0.057692307692307696</x:v>
      </x:c>
      <x:c r="P115" s="15" t="n">
        <x:f>IF(E115=0,"해당 없음",H115/E115)</x:f>
        <x:v>0.07692307692307693</x:v>
      </x:c>
      <x:c r="Q115" s="15" t="n">
        <x:f>IF(E115=0,"해당 없음",I115/E115)</x:f>
        <x:v>0.14423076923076922</x:v>
      </x:c>
      <x:c r="R115" s="15" t="n">
        <x:f>IF(E115=0,"해당 없음",J115/E115)</x:f>
        <x:v>0.057692307692307696</x:v>
      </x:c>
      <x:c r="S115" s="15" t="n">
        <x:f>IF(E115=0,"해당 없음",K115/E115)</x:f>
        <x:v>0.038461538461538464</x:v>
      </x:c>
      <x:c r="T115" s="15" t="n">
        <x:f>IF(E115=0,"해당 없음",L115/E115)</x:f>
        <x:v>0.19230769230769232</x:v>
      </x:c>
      <x:c r="U115" s="15" t="n">
        <x:f>IF(E115=0,"해당 없음",M115/E115)</x:f>
        <x:v>0.019230769230769232</x:v>
      </x:c>
      <x:c r="V115" s="16" t="n">
        <x:f>E115/5</x:f>
        <x:v>20.8</x:v>
      </x:c>
    </x:row>
    <x:row r="116" ht="22" customHeight="1">
      <x:c r="A116" s="2" t="n">
        <x:v>56</x:v>
      </x:c>
      <x:c r="B116" s="2" t="str">
        <x:v>RED</x:v>
      </x:c>
      <x:c r="C116" s="2" t="str">
        <x:v>규칙형</x:v>
      </x:c>
      <x:c r="D116" s="2" t="str">
        <x:v>40만</x:v>
      </x:c>
      <x:c r="E116" s="14" t="n">
        <x:f>SUM(F116:M116)</x:f>
        <x:v>102</x:v>
      </x:c>
      <x:c r="F116" s="14" t="n">
        <x:v>44</x:v>
      </x:c>
      <x:c r="G116" s="14" t="n">
        <x:v>5</x:v>
      </x:c>
      <x:c r="H116" s="14" t="n">
        <x:v>13</x:v>
      </x:c>
      <x:c r="I116" s="14" t="n">
        <x:v>10</x:v>
      </x:c>
      <x:c r="J116" s="14" t="n">
        <x:v>7</x:v>
      </x:c>
      <x:c r="K116" s="14" t="n">
        <x:v>4</x:v>
      </x:c>
      <x:c r="L116" s="14" t="n">
        <x:v>17</x:v>
      </x:c>
      <x:c r="M116" s="14" t="n">
        <x:v>2</x:v>
      </x:c>
      <x:c r="N116" s="15" t="n">
        <x:f>IF(E116=0,"해당 없음",F116/E116)</x:f>
        <x:v>0.43137254901960786</x:v>
      </x:c>
      <x:c r="O116" s="15" t="n">
        <x:f>IF(E116=0,"해당 없음",G116/E116)</x:f>
        <x:v>0.049019607843137254</x:v>
      </x:c>
      <x:c r="P116" s="15" t="n">
        <x:f>IF(E116=0,"해당 없음",H116/E116)</x:f>
        <x:v>0.12745098039215685</x:v>
      </x:c>
      <x:c r="Q116" s="15" t="n">
        <x:f>IF(E116=0,"해당 없음",I116/E116)</x:f>
        <x:v>0.09803921568627451</x:v>
      </x:c>
      <x:c r="R116" s="15" t="n">
        <x:f>IF(E116=0,"해당 없음",J116/E116)</x:f>
        <x:v>0.06862745098039216</x:v>
      </x:c>
      <x:c r="S116" s="15" t="n">
        <x:f>IF(E116=0,"해당 없음",K116/E116)</x:f>
        <x:v>0.0392156862745098</x:v>
      </x:c>
      <x:c r="T116" s="15" t="n">
        <x:f>IF(E116=0,"해당 없음",L116/E116)</x:f>
        <x:v>0.16666666666666666</x:v>
      </x:c>
      <x:c r="U116" s="15" t="n">
        <x:f>IF(E116=0,"해당 없음",M116/E116)</x:f>
        <x:v>0.0196078431372549</x:v>
      </x:c>
      <x:c r="V116" s="16" t="n">
        <x:f>E116/5</x:f>
        <x:v>20.4</x:v>
      </x:c>
    </x:row>
    <x:row r="117" ht="22" customHeight="1">
      <x:c r="A117" s="2" t="n">
        <x:v>56</x:v>
      </x:c>
      <x:c r="B117" s="2" t="str">
        <x:v>NAVY</x:v>
      </x:c>
      <x:c r="C117" s="2" t="str">
        <x:v>40만</x:v>
      </x:c>
      <x:c r="D117" s="2" t="str">
        <x:v>규칙형</x:v>
      </x:c>
      <x:c r="E117" s="14" t="n">
        <x:f>SUM(F117:M117)</x:f>
        <x:v>103</x:v>
      </x:c>
      <x:c r="F117" s="14" t="n">
        <x:v>5</x:v>
      </x:c>
      <x:c r="G117" s="14" t="n">
        <x:v>30</x:v>
      </x:c>
      <x:c r="H117" s="14" t="n">
        <x:v>10</x:v>
      </x:c>
      <x:c r="I117" s="14" t="n">
        <x:v>2</x:v>
      </x:c>
      <x:c r="J117" s="14" t="n">
        <x:v>10</x:v>
      </x:c>
      <x:c r="K117" s="14" t="n">
        <x:v>10</x:v>
      </x:c>
      <x:c r="L117" s="14" t="n">
        <x:v>33</x:v>
      </x:c>
      <x:c r="M117" s="14" t="n">
        <x:v>3</x:v>
      </x:c>
      <x:c r="N117" s="15" t="n">
        <x:f>IF(E117=0,"해당 없음",F117/E117)</x:f>
        <x:v>0.04854368932038835</x:v>
      </x:c>
      <x:c r="O117" s="15" t="n">
        <x:f>IF(E117=0,"해당 없음",G117/E117)</x:f>
        <x:v>0.2912621359223301</x:v>
      </x:c>
      <x:c r="P117" s="15" t="n">
        <x:f>IF(E117=0,"해당 없음",H117/E117)</x:f>
        <x:v>0.0970873786407767</x:v>
      </x:c>
      <x:c r="Q117" s="15" t="n">
        <x:f>IF(E117=0,"해당 없음",I117/E117)</x:f>
        <x:v>0.019417475728155338</x:v>
      </x:c>
      <x:c r="R117" s="15" t="n">
        <x:f>IF(E117=0,"해당 없음",J117/E117)</x:f>
        <x:v>0.0970873786407767</x:v>
      </x:c>
      <x:c r="S117" s="15" t="n">
        <x:f>IF(E117=0,"해당 없음",K117/E117)</x:f>
        <x:v>0.0970873786407767</x:v>
      </x:c>
      <x:c r="T117" s="15" t="n">
        <x:f>IF(E117=0,"해당 없음",L117/E117)</x:f>
        <x:v>0.32038834951456313</x:v>
      </x:c>
      <x:c r="U117" s="15" t="n">
        <x:f>IF(E117=0,"해당 없음",M117/E117)</x:f>
        <x:v>0.02912621359223301</x:v>
      </x:c>
      <x:c r="V117" s="16" t="n">
        <x:f>E117/5</x:f>
        <x:v>20.6</x:v>
      </x:c>
    </x:row>
    <x:row r="118" ht="22" customHeight="1">
      <x:c r="A118" s="2" t="n">
        <x:v>57</x:v>
      </x:c>
      <x:c r="B118" s="2" t="str">
        <x:v>RED</x:v>
      </x:c>
      <x:c r="C118" s="2" t="str">
        <x:v>40만</x:v>
      </x:c>
      <x:c r="D118" s="2" t="str">
        <x:v>규칙형</x:v>
      </x:c>
      <x:c r="E118" s="14" t="n">
        <x:f>SUM(F118:M118)</x:f>
        <x:v>102</x:v>
      </x:c>
      <x:c r="F118" s="14" t="n">
        <x:v>4</x:v>
      </x:c>
      <x:c r="G118" s="14" t="n">
        <x:v>33</x:v>
      </x:c>
      <x:c r="H118" s="14" t="n">
        <x:v>6</x:v>
      </x:c>
      <x:c r="I118" s="14" t="n">
        <x:v>4</x:v>
      </x:c>
      <x:c r="J118" s="14" t="n">
        <x:v>10</x:v>
      </x:c>
      <x:c r="K118" s="14" t="n">
        <x:v>4</x:v>
      </x:c>
      <x:c r="L118" s="14" t="n">
        <x:v>36</x:v>
      </x:c>
      <x:c r="M118" s="14" t="n">
        <x:v>5</x:v>
      </x:c>
      <x:c r="N118" s="15" t="n">
        <x:f>IF(E118=0,"해당 없음",F118/E118)</x:f>
        <x:v>0.0392156862745098</x:v>
      </x:c>
      <x:c r="O118" s="15" t="n">
        <x:f>IF(E118=0,"해당 없음",G118/E118)</x:f>
        <x:v>0.3235294117647059</x:v>
      </x:c>
      <x:c r="P118" s="15" t="n">
        <x:f>IF(E118=0,"해당 없음",H118/E118)</x:f>
        <x:v>0.058823529411764705</x:v>
      </x:c>
      <x:c r="Q118" s="15" t="n">
        <x:f>IF(E118=0,"해당 없음",I118/E118)</x:f>
        <x:v>0.0392156862745098</x:v>
      </x:c>
      <x:c r="R118" s="15" t="n">
        <x:f>IF(E118=0,"해당 없음",J118/E118)</x:f>
        <x:v>0.09803921568627451</x:v>
      </x:c>
      <x:c r="S118" s="15" t="n">
        <x:f>IF(E118=0,"해당 없음",K118/E118)</x:f>
        <x:v>0.0392156862745098</x:v>
      </x:c>
      <x:c r="T118" s="15" t="n">
        <x:f>IF(E118=0,"해당 없음",L118/E118)</x:f>
        <x:v>0.35294117647058826</x:v>
      </x:c>
      <x:c r="U118" s="15" t="n">
        <x:f>IF(E118=0,"해당 없음",M118/E118)</x:f>
        <x:v>0.049019607843137254</x:v>
      </x:c>
      <x:c r="V118" s="16" t="n">
        <x:f>E118/5</x:f>
        <x:v>20.4</x:v>
      </x:c>
    </x:row>
    <x:row r="119" ht="22" customHeight="1">
      <x:c r="A119" s="2" t="n">
        <x:v>57</x:v>
      </x:c>
      <x:c r="B119" s="2" t="str">
        <x:v>NAVY</x:v>
      </x:c>
      <x:c r="C119" s="2" t="str">
        <x:v>규칙형</x:v>
      </x:c>
      <x:c r="D119" s="2" t="str">
        <x:v>40만</x:v>
      </x:c>
      <x:c r="E119" s="14" t="n">
        <x:f>SUM(F119:M119)</x:f>
        <x:v>101</x:v>
      </x:c>
      <x:c r="F119" s="14" t="n">
        <x:v>33</x:v>
      </x:c>
      <x:c r="G119" s="14" t="n">
        <x:v>5</x:v>
      </x:c>
      <x:c r="H119" s="14" t="n">
        <x:v>8</x:v>
      </x:c>
      <x:c r="I119" s="14" t="n">
        <x:v>20</x:v>
      </x:c>
      <x:c r="J119" s="14" t="n">
        <x:v>7</x:v>
      </x:c>
      <x:c r="K119" s="14" t="n">
        <x:v>3</x:v>
      </x:c>
      <x:c r="L119" s="14" t="n">
        <x:v>17</x:v>
      </x:c>
      <x:c r="M119" s="14" t="n">
        <x:v>8</x:v>
      </x:c>
      <x:c r="N119" s="15" t="n">
        <x:f>IF(E119=0,"해당 없음",F119/E119)</x:f>
        <x:v>0.32673267326732675</x:v>
      </x:c>
      <x:c r="O119" s="15" t="n">
        <x:f>IF(E119=0,"해당 없음",G119/E119)</x:f>
        <x:v>0.04950495049504951</x:v>
      </x:c>
      <x:c r="P119" s="15" t="n">
        <x:f>IF(E119=0,"해당 없음",H119/E119)</x:f>
        <x:v>0.07920792079207921</x:v>
      </x:c>
      <x:c r="Q119" s="15" t="n">
        <x:f>IF(E119=0,"해당 없음",I119/E119)</x:f>
        <x:v>0.19801980198019803</x:v>
      </x:c>
      <x:c r="R119" s="15" t="n">
        <x:f>IF(E119=0,"해당 없음",J119/E119)</x:f>
        <x:v>0.06930693069306931</x:v>
      </x:c>
      <x:c r="S119" s="15" t="n">
        <x:f>IF(E119=0,"해당 없음",K119/E119)</x:f>
        <x:v>0.0297029702970297</x:v>
      </x:c>
      <x:c r="T119" s="15" t="n">
        <x:f>IF(E119=0,"해당 없음",L119/E119)</x:f>
        <x:v>0.16831683168316833</x:v>
      </x:c>
      <x:c r="U119" s="15" t="n">
        <x:f>IF(E119=0,"해당 없음",M119/E119)</x:f>
        <x:v>0.07920792079207921</x:v>
      </x:c>
      <x:c r="V119" s="16" t="n">
        <x:f>E119/5</x:f>
        <x:v>20.2</x:v>
      </x:c>
    </x:row>
    <x:row r="120" ht="22" customHeight="1">
      <x:c r="A120" s="2" t="n">
        <x:v>58</x:v>
      </x:c>
      <x:c r="B120" s="2" t="str">
        <x:v>RED</x:v>
      </x:c>
      <x:c r="C120" s="2" t="str">
        <x:v>규칙형</x:v>
      </x:c>
      <x:c r="D120" s="2" t="str">
        <x:v>40만</x:v>
      </x:c>
      <x:c r="E120" s="14" t="n">
        <x:f>SUM(F120:M120)</x:f>
        <x:v>103</x:v>
      </x:c>
      <x:c r="F120" s="14" t="n">
        <x:v>42</x:v>
      </x:c>
      <x:c r="G120" s="14" t="n">
        <x:v>4</x:v>
      </x:c>
      <x:c r="H120" s="14" t="n">
        <x:v>6</x:v>
      </x:c>
      <x:c r="I120" s="14" t="n">
        <x:v>20</x:v>
      </x:c>
      <x:c r="J120" s="14" t="n">
        <x:v>7</x:v>
      </x:c>
      <x:c r="K120" s="14" t="n">
        <x:v>5</x:v>
      </x:c>
      <x:c r="L120" s="14" t="n">
        <x:v>18</x:v>
      </x:c>
      <x:c r="M120" s="14" t="n">
        <x:v>1</x:v>
      </x:c>
      <x:c r="N120" s="15" t="n">
        <x:f>IF(E120=0,"해당 없음",F120/E120)</x:f>
        <x:v>0.4077669902912621</x:v>
      </x:c>
      <x:c r="O120" s="15" t="n">
        <x:f>IF(E120=0,"해당 없음",G120/E120)</x:f>
        <x:v>0.038834951456310676</x:v>
      </x:c>
      <x:c r="P120" s="15" t="n">
        <x:f>IF(E120=0,"해당 없음",H120/E120)</x:f>
        <x:v>0.05825242718446602</x:v>
      </x:c>
      <x:c r="Q120" s="15" t="n">
        <x:f>IF(E120=0,"해당 없음",I120/E120)</x:f>
        <x:v>0.1941747572815534</x:v>
      </x:c>
      <x:c r="R120" s="15" t="n">
        <x:f>IF(E120=0,"해당 없음",J120/E120)</x:f>
        <x:v>0.06796116504854369</x:v>
      </x:c>
      <x:c r="S120" s="15" t="n">
        <x:f>IF(E120=0,"해당 없음",K120/E120)</x:f>
        <x:v>0.04854368932038835</x:v>
      </x:c>
      <x:c r="T120" s="15" t="n">
        <x:f>IF(E120=0,"해당 없음",L120/E120)</x:f>
        <x:v>0.17475728155339806</x:v>
      </x:c>
      <x:c r="U120" s="15" t="n">
        <x:f>IF(E120=0,"해당 없음",M120/E120)</x:f>
        <x:v>0.009708737864077669</x:v>
      </x:c>
      <x:c r="V120" s="16" t="n">
        <x:f>E120/5</x:f>
        <x:v>20.6</x:v>
      </x:c>
    </x:row>
    <x:row r="121" ht="22" customHeight="1">
      <x:c r="A121" s="2" t="n">
        <x:v>58</x:v>
      </x:c>
      <x:c r="B121" s="2" t="str">
        <x:v>NAVY</x:v>
      </x:c>
      <x:c r="C121" s="2" t="str">
        <x:v>40만</x:v>
      </x:c>
      <x:c r="D121" s="2" t="str">
        <x:v>규칙형</x:v>
      </x:c>
      <x:c r="E121" s="14" t="n">
        <x:f>SUM(F121:M121)</x:f>
        <x:v>103</x:v>
      </x:c>
      <x:c r="F121" s="14" t="n">
        <x:v>4</x:v>
      </x:c>
      <x:c r="G121" s="14" t="n">
        <x:v>31</x:v>
      </x:c>
      <x:c r="H121" s="14" t="n">
        <x:v>7</x:v>
      </x:c>
      <x:c r="I121" s="14" t="n">
        <x:v>5</x:v>
      </x:c>
      <x:c r="J121" s="14" t="n">
        <x:v>8</x:v>
      </x:c>
      <x:c r="K121" s="14" t="n">
        <x:v>7</x:v>
      </x:c>
      <x:c r="L121" s="14" t="n">
        <x:v>37</x:v>
      </x:c>
      <x:c r="M121" s="14" t="n">
        <x:v>4</x:v>
      </x:c>
      <x:c r="N121" s="15" t="n">
        <x:f>IF(E121=0,"해당 없음",F121/E121)</x:f>
        <x:v>0.038834951456310676</x:v>
      </x:c>
      <x:c r="O121" s="15" t="n">
        <x:f>IF(E121=0,"해당 없음",G121/E121)</x:f>
        <x:v>0.30097087378640774</x:v>
      </x:c>
      <x:c r="P121" s="15" t="n">
        <x:f>IF(E121=0,"해당 없음",H121/E121)</x:f>
        <x:v>0.06796116504854369</x:v>
      </x:c>
      <x:c r="Q121" s="15" t="n">
        <x:f>IF(E121=0,"해당 없음",I121/E121)</x:f>
        <x:v>0.04854368932038835</x:v>
      </x:c>
      <x:c r="R121" s="15" t="n">
        <x:f>IF(E121=0,"해당 없음",J121/E121)</x:f>
        <x:v>0.07766990291262135</x:v>
      </x:c>
      <x:c r="S121" s="15" t="n">
        <x:f>IF(E121=0,"해당 없음",K121/E121)</x:f>
        <x:v>0.06796116504854369</x:v>
      </x:c>
      <x:c r="T121" s="15" t="n">
        <x:f>IF(E121=0,"해당 없음",L121/E121)</x:f>
        <x:v>0.3592233009708738</x:v>
      </x:c>
      <x:c r="U121" s="15" t="n">
        <x:f>IF(E121=0,"해당 없음",M121/E121)</x:f>
        <x:v>0.038834951456310676</x:v>
      </x:c>
      <x:c r="V121" s="16" t="n">
        <x:f>E121/5</x:f>
        <x:v>20.6</x:v>
      </x:c>
    </x:row>
    <x:row r="122" ht="22" customHeight="1">
      <x:c r="A122" s="2" t="n">
        <x:v>59</x:v>
      </x:c>
      <x:c r="B122" s="2" t="str">
        <x:v>RED</x:v>
      </x:c>
      <x:c r="C122" s="2" t="str">
        <x:v>40만</x:v>
      </x:c>
      <x:c r="D122" s="2" t="str">
        <x:v>규칙형</x:v>
      </x:c>
      <x:c r="E122" s="14" t="n">
        <x:f>SUM(F122:M122)</x:f>
        <x:v>103</x:v>
      </x:c>
      <x:c r="F122" s="14" t="n">
        <x:v>2</x:v>
      </x:c>
      <x:c r="G122" s="14" t="n">
        <x:v>33</x:v>
      </x:c>
      <x:c r="H122" s="14" t="n">
        <x:v>11</x:v>
      </x:c>
      <x:c r="I122" s="14" t="n">
        <x:v>3</x:v>
      </x:c>
      <x:c r="J122" s="14" t="n">
        <x:v>4</x:v>
      </x:c>
      <x:c r="K122" s="14" t="n">
        <x:v>7</x:v>
      </x:c>
      <x:c r="L122" s="14" t="n">
        <x:v>37</x:v>
      </x:c>
      <x:c r="M122" s="14" t="n">
        <x:v>6</x:v>
      </x:c>
      <x:c r="N122" s="15" t="n">
        <x:f>IF(E122=0,"해당 없음",F122/E122)</x:f>
        <x:v>0.019417475728155338</x:v>
      </x:c>
      <x:c r="O122" s="15" t="n">
        <x:f>IF(E122=0,"해당 없음",G122/E122)</x:f>
        <x:v>0.32038834951456313</x:v>
      </x:c>
      <x:c r="P122" s="15" t="n">
        <x:f>IF(E122=0,"해당 없음",H122/E122)</x:f>
        <x:v>0.10679611650485436</x:v>
      </x:c>
      <x:c r="Q122" s="15" t="n">
        <x:f>IF(E122=0,"해당 없음",I122/E122)</x:f>
        <x:v>0.02912621359223301</x:v>
      </x:c>
      <x:c r="R122" s="15" t="n">
        <x:f>IF(E122=0,"해당 없음",J122/E122)</x:f>
        <x:v>0.038834951456310676</x:v>
      </x:c>
      <x:c r="S122" s="15" t="n">
        <x:f>IF(E122=0,"해당 없음",K122/E122)</x:f>
        <x:v>0.06796116504854369</x:v>
      </x:c>
      <x:c r="T122" s="15" t="n">
        <x:f>IF(E122=0,"해당 없음",L122/E122)</x:f>
        <x:v>0.3592233009708738</x:v>
      </x:c>
      <x:c r="U122" s="15" t="n">
        <x:f>IF(E122=0,"해당 없음",M122/E122)</x:f>
        <x:v>0.05825242718446602</x:v>
      </x:c>
      <x:c r="V122" s="16" t="n">
        <x:f>E122/5</x:f>
        <x:v>20.6</x:v>
      </x:c>
    </x:row>
    <x:row r="123" ht="22" customHeight="1">
      <x:c r="A123" s="2" t="n">
        <x:v>59</x:v>
      </x:c>
      <x:c r="B123" s="2" t="str">
        <x:v>NAVY</x:v>
      </x:c>
      <x:c r="C123" s="2" t="str">
        <x:v>규칙형</x:v>
      </x:c>
      <x:c r="D123" s="2" t="str">
        <x:v>40만</x:v>
      </x:c>
      <x:c r="E123" s="14" t="n">
        <x:f>SUM(F123:M123)</x:f>
        <x:v>103</x:v>
      </x:c>
      <x:c r="F123" s="14" t="n">
        <x:v>41</x:v>
      </x:c>
      <x:c r="G123" s="14" t="n">
        <x:v>13</x:v>
      </x:c>
      <x:c r="H123" s="14" t="n">
        <x:v>3</x:v>
      </x:c>
      <x:c r="I123" s="14" t="n">
        <x:v>13</x:v>
      </x:c>
      <x:c r="J123" s="14" t="n">
        <x:v>5</x:v>
      </x:c>
      <x:c r="K123" s="14" t="n">
        <x:v>3</x:v>
      </x:c>
      <x:c r="L123" s="14" t="n">
        <x:v>21</x:v>
      </x:c>
      <x:c r="M123" s="14" t="n">
        <x:v>4</x:v>
      </x:c>
      <x:c r="N123" s="15" t="n">
        <x:f>IF(E123=0,"해당 없음",F123/E123)</x:f>
        <x:v>0.39805825242718446</x:v>
      </x:c>
      <x:c r="O123" s="15" t="n">
        <x:f>IF(E123=0,"해당 없음",G123/E123)</x:f>
        <x:v>0.1262135922330097</x:v>
      </x:c>
      <x:c r="P123" s="15" t="n">
        <x:f>IF(E123=0,"해당 없음",H123/E123)</x:f>
        <x:v>0.02912621359223301</x:v>
      </x:c>
      <x:c r="Q123" s="15" t="n">
        <x:f>IF(E123=0,"해당 없음",I123/E123)</x:f>
        <x:v>0.1262135922330097</x:v>
      </x:c>
      <x:c r="R123" s="15" t="n">
        <x:f>IF(E123=0,"해당 없음",J123/E123)</x:f>
        <x:v>0.04854368932038835</x:v>
      </x:c>
      <x:c r="S123" s="15" t="n">
        <x:f>IF(E123=0,"해당 없음",K123/E123)</x:f>
        <x:v>0.02912621359223301</x:v>
      </x:c>
      <x:c r="T123" s="15" t="n">
        <x:f>IF(E123=0,"해당 없음",L123/E123)</x:f>
        <x:v>0.20388349514563106</x:v>
      </x:c>
      <x:c r="U123" s="15" t="n">
        <x:f>IF(E123=0,"해당 없음",M123/E123)</x:f>
        <x:v>0.038834951456310676</x:v>
      </x:c>
      <x:c r="V123" s="16" t="n">
        <x:f>E123/5</x:f>
        <x:v>20.6</x:v>
      </x:c>
    </x:row>
    <x:row r="124" ht="22" customHeight="1">
      <x:c r="A124" s="2" t="n">
        <x:v>60</x:v>
      </x:c>
      <x:c r="B124" s="2" t="str">
        <x:v>RED</x:v>
      </x:c>
      <x:c r="C124" s="2" t="str">
        <x:v>규칙형</x:v>
      </x:c>
      <x:c r="D124" s="2" t="str">
        <x:v>40만</x:v>
      </x:c>
      <x:c r="E124" s="14" t="n">
        <x:f>SUM(F124:M124)</x:f>
        <x:v>103</x:v>
      </x:c>
      <x:c r="F124" s="14" t="n">
        <x:v>40</x:v>
      </x:c>
      <x:c r="G124" s="14" t="n">
        <x:v>6</x:v>
      </x:c>
      <x:c r="H124" s="14" t="n">
        <x:v>7</x:v>
      </x:c>
      <x:c r="I124" s="14" t="n">
        <x:v>18</x:v>
      </x:c>
      <x:c r="J124" s="14" t="n">
        <x:v>6</x:v>
      </x:c>
      <x:c r="K124" s="14" t="n">
        <x:v>3</x:v>
      </x:c>
      <x:c r="L124" s="14" t="n">
        <x:v>18</x:v>
      </x:c>
      <x:c r="M124" s="14" t="n">
        <x:v>5</x:v>
      </x:c>
      <x:c r="N124" s="15" t="n">
        <x:f>IF(E124=0,"해당 없음",F124/E124)</x:f>
        <x:v>0.3883495145631068</x:v>
      </x:c>
      <x:c r="O124" s="15" t="n">
        <x:f>IF(E124=0,"해당 없음",G124/E124)</x:f>
        <x:v>0.05825242718446602</x:v>
      </x:c>
      <x:c r="P124" s="15" t="n">
        <x:f>IF(E124=0,"해당 없음",H124/E124)</x:f>
        <x:v>0.06796116504854369</x:v>
      </x:c>
      <x:c r="Q124" s="15" t="n">
        <x:f>IF(E124=0,"해당 없음",I124/E124)</x:f>
        <x:v>0.17475728155339806</x:v>
      </x:c>
      <x:c r="R124" s="15" t="n">
        <x:f>IF(E124=0,"해당 없음",J124/E124)</x:f>
        <x:v>0.05825242718446602</x:v>
      </x:c>
      <x:c r="S124" s="15" t="n">
        <x:f>IF(E124=0,"해당 없음",K124/E124)</x:f>
        <x:v>0.02912621359223301</x:v>
      </x:c>
      <x:c r="T124" s="15" t="n">
        <x:f>IF(E124=0,"해당 없음",L124/E124)</x:f>
        <x:v>0.17475728155339806</x:v>
      </x:c>
      <x:c r="U124" s="15" t="n">
        <x:f>IF(E124=0,"해당 없음",M124/E124)</x:f>
        <x:v>0.04854368932038835</x:v>
      </x:c>
      <x:c r="V124" s="16" t="n">
        <x:f>E124/5</x:f>
        <x:v>20.6</x:v>
      </x:c>
    </x:row>
    <x:row r="125" ht="22" customHeight="1">
      <x:c r="A125" s="2" t="n">
        <x:v>60</x:v>
      </x:c>
      <x:c r="B125" s="2" t="str">
        <x:v>NAVY</x:v>
      </x:c>
      <x:c r="C125" s="2" t="str">
        <x:v>40만</x:v>
      </x:c>
      <x:c r="D125" s="2" t="str">
        <x:v>규칙형</x:v>
      </x:c>
      <x:c r="E125" s="14" t="n">
        <x:f>SUM(F125:M125)</x:f>
        <x:v>103</x:v>
      </x:c>
      <x:c r="F125" s="14" t="n">
        <x:v>4</x:v>
      </x:c>
      <x:c r="G125" s="14" t="n">
        <x:v>33</x:v>
      </x:c>
      <x:c r="H125" s="14" t="n">
        <x:v>9</x:v>
      </x:c>
      <x:c r="I125" s="14" t="n">
        <x:v>5</x:v>
      </x:c>
      <x:c r="J125" s="14" t="n">
        <x:v>2</x:v>
      </x:c>
      <x:c r="K125" s="14" t="n">
        <x:v>10</x:v>
      </x:c>
      <x:c r="L125" s="14" t="n">
        <x:v>31</x:v>
      </x:c>
      <x:c r="M125" s="14" t="n">
        <x:v>9</x:v>
      </x:c>
      <x:c r="N125" s="15" t="n">
        <x:f>IF(E125=0,"해당 없음",F125/E125)</x:f>
        <x:v>0.038834951456310676</x:v>
      </x:c>
      <x:c r="O125" s="15" t="n">
        <x:f>IF(E125=0,"해당 없음",G125/E125)</x:f>
        <x:v>0.32038834951456313</x:v>
      </x:c>
      <x:c r="P125" s="15" t="n">
        <x:f>IF(E125=0,"해당 없음",H125/E125)</x:f>
        <x:v>0.08737864077669903</x:v>
      </x:c>
      <x:c r="Q125" s="15" t="n">
        <x:f>IF(E125=0,"해당 없음",I125/E125)</x:f>
        <x:v>0.04854368932038835</x:v>
      </x:c>
      <x:c r="R125" s="15" t="n">
        <x:f>IF(E125=0,"해당 없음",J125/E125)</x:f>
        <x:v>0.019417475728155338</x:v>
      </x:c>
      <x:c r="S125" s="15" t="n">
        <x:f>IF(E125=0,"해당 없음",K125/E125)</x:f>
        <x:v>0.0970873786407767</x:v>
      </x:c>
      <x:c r="T125" s="15" t="n">
        <x:f>IF(E125=0,"해당 없음",L125/E125)</x:f>
        <x:v>0.30097087378640774</x:v>
      </x:c>
      <x:c r="U125" s="15" t="n">
        <x:f>IF(E125=0,"해당 없음",M125/E125)</x:f>
        <x:v>0.08737864077669903</x:v>
      </x:c>
      <x:c r="V125" s="16" t="n">
        <x:f>E125/5</x:f>
        <x:v>20.6</x:v>
      </x:c>
    </x:row>
    <x:row r="126" ht="22" customHeight="1">
      <x:c r="A126" s="2" t="n">
        <x:v>61</x:v>
      </x:c>
      <x:c r="B126" s="2" t="str">
        <x:v>RED</x:v>
      </x:c>
      <x:c r="C126" s="2" t="str">
        <x:v>40만</x:v>
      </x:c>
      <x:c r="D126" s="2" t="str">
        <x:v>규칙형</x:v>
      </x:c>
      <x:c r="E126" s="14" t="n">
        <x:f>SUM(F126:M126)</x:f>
        <x:v>105</x:v>
      </x:c>
      <x:c r="F126" s="14" t="n">
        <x:v>5</x:v>
      </x:c>
      <x:c r="G126" s="14" t="n">
        <x:v>32</x:v>
      </x:c>
      <x:c r="H126" s="14" t="n">
        <x:v>9</x:v>
      </x:c>
      <x:c r="I126" s="14" t="n">
        <x:v>4</x:v>
      </x:c>
      <x:c r="J126" s="14" t="n">
        <x:v>3</x:v>
      </x:c>
      <x:c r="K126" s="14" t="n">
        <x:v>8</x:v>
      </x:c>
      <x:c r="L126" s="14" t="n">
        <x:v>38</x:v>
      </x:c>
      <x:c r="M126" s="14" t="n">
        <x:v>6</x:v>
      </x:c>
      <x:c r="N126" s="15" t="n">
        <x:f>IF(E126=0,"해당 없음",F126/E126)</x:f>
        <x:v>0.047619047619047616</x:v>
      </x:c>
      <x:c r="O126" s="15" t="n">
        <x:f>IF(E126=0,"해당 없음",G126/E126)</x:f>
        <x:v>0.3047619047619048</x:v>
      </x:c>
      <x:c r="P126" s="15" t="n">
        <x:f>IF(E126=0,"해당 없음",H126/E126)</x:f>
        <x:v>0.08571428571428572</x:v>
      </x:c>
      <x:c r="Q126" s="15" t="n">
        <x:f>IF(E126=0,"해당 없음",I126/E126)</x:f>
        <x:v>0.0380952380952381</x:v>
      </x:c>
      <x:c r="R126" s="15" t="n">
        <x:f>IF(E126=0,"해당 없음",J126/E126)</x:f>
        <x:v>0.02857142857142857</x:v>
      </x:c>
      <x:c r="S126" s="15" t="n">
        <x:f>IF(E126=0,"해당 없음",K126/E126)</x:f>
        <x:v>0.0761904761904762</x:v>
      </x:c>
      <x:c r="T126" s="15" t="n">
        <x:f>IF(E126=0,"해당 없음",L126/E126)</x:f>
        <x:v>0.3619047619047619</x:v>
      </x:c>
      <x:c r="U126" s="15" t="n">
        <x:f>IF(E126=0,"해당 없음",M126/E126)</x:f>
        <x:v>0.05714285714285714</x:v>
      </x:c>
      <x:c r="V126" s="16" t="n">
        <x:f>E126/5</x:f>
        <x:v>21</x:v>
      </x:c>
    </x:row>
    <x:row r="127" ht="22" customHeight="1">
      <x:c r="A127" s="2" t="n">
        <x:v>61</x:v>
      </x:c>
      <x:c r="B127" s="2" t="str">
        <x:v>NAVY</x:v>
      </x:c>
      <x:c r="C127" s="2" t="str">
        <x:v>규칙형</x:v>
      </x:c>
      <x:c r="D127" s="2" t="str">
        <x:v>40만</x:v>
      </x:c>
      <x:c r="E127" s="14" t="n">
        <x:f>SUM(F127:M127)</x:f>
        <x:v>104</x:v>
      </x:c>
      <x:c r="F127" s="14" t="n">
        <x:v>35</x:v>
      </x:c>
      <x:c r="G127" s="14" t="n">
        <x:v>3</x:v>
      </x:c>
      <x:c r="H127" s="14" t="n">
        <x:v>9</x:v>
      </x:c>
      <x:c r="I127" s="14" t="n">
        <x:v>18</x:v>
      </x:c>
      <x:c r="J127" s="14" t="n">
        <x:v>9</x:v>
      </x:c>
      <x:c r="K127" s="14" t="n">
        <x:v>3</x:v>
      </x:c>
      <x:c r="L127" s="14" t="n">
        <x:v>23</x:v>
      </x:c>
      <x:c r="M127" s="14" t="n">
        <x:v>4</x:v>
      </x:c>
      <x:c r="N127" s="15" t="n">
        <x:f>IF(E127=0,"해당 없음",F127/E127)</x:f>
        <x:v>0.33653846153846156</x:v>
      </x:c>
      <x:c r="O127" s="15" t="n">
        <x:f>IF(E127=0,"해당 없음",G127/E127)</x:f>
        <x:v>0.028846153846153848</x:v>
      </x:c>
      <x:c r="P127" s="15" t="n">
        <x:f>IF(E127=0,"해당 없음",H127/E127)</x:f>
        <x:v>0.08653846153846154</x:v>
      </x:c>
      <x:c r="Q127" s="15" t="n">
        <x:f>IF(E127=0,"해당 없음",I127/E127)</x:f>
        <x:v>0.17307692307692307</x:v>
      </x:c>
      <x:c r="R127" s="15" t="n">
        <x:f>IF(E127=0,"해당 없음",J127/E127)</x:f>
        <x:v>0.08653846153846154</x:v>
      </x:c>
      <x:c r="S127" s="15" t="n">
        <x:f>IF(E127=0,"해당 없음",K127/E127)</x:f>
        <x:v>0.028846153846153848</x:v>
      </x:c>
      <x:c r="T127" s="15" t="n">
        <x:f>IF(E127=0,"해당 없음",L127/E127)</x:f>
        <x:v>0.22115384615384615</x:v>
      </x:c>
      <x:c r="U127" s="15" t="n">
        <x:f>IF(E127=0,"해당 없음",M127/E127)</x:f>
        <x:v>0.038461538461538464</x:v>
      </x:c>
      <x:c r="V127" s="16" t="n">
        <x:f>E127/5</x:f>
        <x:v>20.8</x:v>
      </x:c>
    </x:row>
    <x:row r="128" ht="22" customHeight="1">
      <x:c r="A128" s="2" t="n">
        <x:v>62</x:v>
      </x:c>
      <x:c r="B128" s="2" t="str">
        <x:v>RED</x:v>
      </x:c>
      <x:c r="C128" s="2" t="str">
        <x:v>규칙형</x:v>
      </x:c>
      <x:c r="D128" s="2" t="str">
        <x:v>40만</x:v>
      </x:c>
      <x:c r="E128" s="14" t="n">
        <x:f>SUM(F128:M128)</x:f>
        <x:v>105</x:v>
      </x:c>
      <x:c r="F128" s="14" t="n">
        <x:v>34</x:v>
      </x:c>
      <x:c r="G128" s="14" t="n">
        <x:v>5</x:v>
      </x:c>
      <x:c r="H128" s="14" t="n">
        <x:v>7</x:v>
      </x:c>
      <x:c r="I128" s="14" t="n">
        <x:v>19</x:v>
      </x:c>
      <x:c r="J128" s="14" t="n">
        <x:v>8</x:v>
      </x:c>
      <x:c r="K128" s="14" t="n">
        <x:v>5</x:v>
      </x:c>
      <x:c r="L128" s="14" t="n">
        <x:v>20</x:v>
      </x:c>
      <x:c r="M128" s="14" t="n">
        <x:v>7</x:v>
      </x:c>
      <x:c r="N128" s="15" t="n">
        <x:f>IF(E128=0,"해당 없음",F128/E128)</x:f>
        <x:v>0.3238095238095238</x:v>
      </x:c>
      <x:c r="O128" s="15" t="n">
        <x:f>IF(E128=0,"해당 없음",G128/E128)</x:f>
        <x:v>0.047619047619047616</x:v>
      </x:c>
      <x:c r="P128" s="15" t="n">
        <x:f>IF(E128=0,"해당 없음",H128/E128)</x:f>
        <x:v>0.06666666666666667</x:v>
      </x:c>
      <x:c r="Q128" s="15" t="n">
        <x:f>IF(E128=0,"해당 없음",I128/E128)</x:f>
        <x:v>0.18095238095238095</x:v>
      </x:c>
      <x:c r="R128" s="15" t="n">
        <x:f>IF(E128=0,"해당 없음",J128/E128)</x:f>
        <x:v>0.0761904761904762</x:v>
      </x:c>
      <x:c r="S128" s="15" t="n">
        <x:f>IF(E128=0,"해당 없음",K128/E128)</x:f>
        <x:v>0.047619047619047616</x:v>
      </x:c>
      <x:c r="T128" s="15" t="n">
        <x:f>IF(E128=0,"해당 없음",L128/E128)</x:f>
        <x:v>0.19047619047619047</x:v>
      </x:c>
      <x:c r="U128" s="15" t="n">
        <x:f>IF(E128=0,"해당 없음",M128/E128)</x:f>
        <x:v>0.06666666666666667</x:v>
      </x:c>
      <x:c r="V128" s="16" t="n">
        <x:f>E128/5</x:f>
        <x:v>21</x:v>
      </x:c>
    </x:row>
    <x:row r="129" ht="22" customHeight="1">
      <x:c r="A129" s="2" t="n">
        <x:v>62</x:v>
      </x:c>
      <x:c r="B129" s="2" t="str">
        <x:v>NAVY</x:v>
      </x:c>
      <x:c r="C129" s="2" t="str">
        <x:v>40만</x:v>
      </x:c>
      <x:c r="D129" s="2" t="str">
        <x:v>규칙형</x:v>
      </x:c>
      <x:c r="E129" s="14" t="n">
        <x:f>SUM(F129:M129)</x:f>
        <x:v>106</x:v>
      </x:c>
      <x:c r="F129" s="14" t="n">
        <x:v>7</x:v>
      </x:c>
      <x:c r="G129" s="14" t="n">
        <x:v>25</x:v>
      </x:c>
      <x:c r="H129" s="14" t="n">
        <x:v>5</x:v>
      </x:c>
      <x:c r="I129" s="14" t="n">
        <x:v>7</x:v>
      </x:c>
      <x:c r="J129" s="14" t="n">
        <x:v>2</x:v>
      </x:c>
      <x:c r="K129" s="14" t="n">
        <x:v>8</x:v>
      </x:c>
      <x:c r="L129" s="14" t="n">
        <x:v>46</x:v>
      </x:c>
      <x:c r="M129" s="14" t="n">
        <x:v>6</x:v>
      </x:c>
      <x:c r="N129" s="15" t="n">
        <x:f>IF(E129=0,"해당 없음",F129/E129)</x:f>
        <x:v>0.0660377358490566</x:v>
      </x:c>
      <x:c r="O129" s="15" t="n">
        <x:f>IF(E129=0,"해당 없음",G129/E129)</x:f>
        <x:v>0.2358490566037736</x:v>
      </x:c>
      <x:c r="P129" s="15" t="n">
        <x:f>IF(E129=0,"해당 없음",H129/E129)</x:f>
        <x:v>0.04716981132075472</x:v>
      </x:c>
      <x:c r="Q129" s="15" t="n">
        <x:f>IF(E129=0,"해당 없음",I129/E129)</x:f>
        <x:v>0.0660377358490566</x:v>
      </x:c>
      <x:c r="R129" s="15" t="n">
        <x:f>IF(E129=0,"해당 없음",J129/E129)</x:f>
        <x:v>0.018867924528301886</x:v>
      </x:c>
      <x:c r="S129" s="15" t="n">
        <x:f>IF(E129=0,"해당 없음",K129/E129)</x:f>
        <x:v>0.07547169811320754</x:v>
      </x:c>
      <x:c r="T129" s="15" t="n">
        <x:f>IF(E129=0,"해당 없음",L129/E129)</x:f>
        <x:v>0.4339622641509434</x:v>
      </x:c>
      <x:c r="U129" s="15" t="n">
        <x:f>IF(E129=0,"해당 없음",M129/E129)</x:f>
        <x:v>0.05660377358490566</x:v>
      </x:c>
      <x:c r="V129" s="16" t="n">
        <x:f>E129/5</x:f>
        <x:v>21.2</x:v>
      </x:c>
    </x:row>
    <x:row r="130" ht="22" customHeight="1">
      <x:c r="A130" s="2" t="n">
        <x:v>63</x:v>
      </x:c>
      <x:c r="B130" s="2" t="str">
        <x:v>RED</x:v>
      </x:c>
      <x:c r="C130" s="2" t="str">
        <x:v>40만</x:v>
      </x:c>
      <x:c r="D130" s="2" t="str">
        <x:v>규칙형</x:v>
      </x:c>
      <x:c r="E130" s="14" t="n">
        <x:f>SUM(F130:M130)</x:f>
        <x:v>101</x:v>
      </x:c>
      <x:c r="F130" s="14" t="n">
        <x:v>6</x:v>
      </x:c>
      <x:c r="G130" s="14" t="n">
        <x:v>24</x:v>
      </x:c>
      <x:c r="H130" s="14" t="n">
        <x:v>9</x:v>
      </x:c>
      <x:c r="I130" s="14" t="n">
        <x:v>11</x:v>
      </x:c>
      <x:c r="J130" s="14" t="n">
        <x:v>2</x:v>
      </x:c>
      <x:c r="K130" s="14" t="n">
        <x:v>8</x:v>
      </x:c>
      <x:c r="L130" s="14" t="n">
        <x:v>36</x:v>
      </x:c>
      <x:c r="M130" s="14" t="n">
        <x:v>5</x:v>
      </x:c>
      <x:c r="N130" s="15" t="n">
        <x:f>IF(E130=0,"해당 없음",F130/E130)</x:f>
        <x:v>0.0594059405940594</x:v>
      </x:c>
      <x:c r="O130" s="15" t="n">
        <x:f>IF(E130=0,"해당 없음",G130/E130)</x:f>
        <x:v>0.2376237623762376</x:v>
      </x:c>
      <x:c r="P130" s="15" t="n">
        <x:f>IF(E130=0,"해당 없음",H130/E130)</x:f>
        <x:v>0.0891089108910891</x:v>
      </x:c>
      <x:c r="Q130" s="15" t="n">
        <x:f>IF(E130=0,"해당 없음",I130/E130)</x:f>
        <x:v>0.10891089108910891</x:v>
      </x:c>
      <x:c r="R130" s="15" t="n">
        <x:f>IF(E130=0,"해당 없음",J130/E130)</x:f>
        <x:v>0.019801980198019802</x:v>
      </x:c>
      <x:c r="S130" s="15" t="n">
        <x:f>IF(E130=0,"해당 없음",K130/E130)</x:f>
        <x:v>0.07920792079207921</x:v>
      </x:c>
      <x:c r="T130" s="15" t="n">
        <x:f>IF(E130=0,"해당 없음",L130/E130)</x:f>
        <x:v>0.3564356435643564</x:v>
      </x:c>
      <x:c r="U130" s="15" t="n">
        <x:f>IF(E130=0,"해당 없음",M130/E130)</x:f>
        <x:v>0.04950495049504951</x:v>
      </x:c>
      <x:c r="V130" s="16" t="n">
        <x:f>E130/5</x:f>
        <x:v>20.2</x:v>
      </x:c>
    </x:row>
    <x:row r="131" ht="22" customHeight="1">
      <x:c r="A131" s="2" t="n">
        <x:v>63</x:v>
      </x:c>
      <x:c r="B131" s="2" t="str">
        <x:v>NAVY</x:v>
      </x:c>
      <x:c r="C131" s="2" t="str">
        <x:v>규칙형</x:v>
      </x:c>
      <x:c r="D131" s="2" t="str">
        <x:v>40만</x:v>
      </x:c>
      <x:c r="E131" s="14" t="n">
        <x:f>SUM(F131:M131)</x:f>
        <x:v>102</x:v>
      </x:c>
      <x:c r="F131" s="14" t="n">
        <x:v>35</x:v>
      </x:c>
      <x:c r="G131" s="14" t="n">
        <x:v>4</x:v>
      </x:c>
      <x:c r="H131" s="14" t="n">
        <x:v>3</x:v>
      </x:c>
      <x:c r="I131" s="14" t="n">
        <x:v>15</x:v>
      </x:c>
      <x:c r="J131" s="14" t="n">
        <x:v>12</x:v>
      </x:c>
      <x:c r="K131" s="14" t="n">
        <x:v>2</x:v>
      </x:c>
      <x:c r="L131" s="14" t="n">
        <x:v>19</x:v>
      </x:c>
      <x:c r="M131" s="14" t="n">
        <x:v>12</x:v>
      </x:c>
      <x:c r="N131" s="15" t="n">
        <x:f>IF(E131=0,"해당 없음",F131/E131)</x:f>
        <x:v>0.3431372549019608</x:v>
      </x:c>
      <x:c r="O131" s="15" t="n">
        <x:f>IF(E131=0,"해당 없음",G131/E131)</x:f>
        <x:v>0.0392156862745098</x:v>
      </x:c>
      <x:c r="P131" s="15" t="n">
        <x:f>IF(E131=0,"해당 없음",H131/E131)</x:f>
        <x:v>0.029411764705882353</x:v>
      </x:c>
      <x:c r="Q131" s="15" t="n">
        <x:f>IF(E131=0,"해당 없음",I131/E131)</x:f>
        <x:v>0.14705882352941177</x:v>
      </x:c>
      <x:c r="R131" s="15" t="n">
        <x:f>IF(E131=0,"해당 없음",J131/E131)</x:f>
        <x:v>0.11764705882352941</x:v>
      </x:c>
      <x:c r="S131" s="15" t="n">
        <x:f>IF(E131=0,"해당 없음",K131/E131)</x:f>
        <x:v>0.0196078431372549</x:v>
      </x:c>
      <x:c r="T131" s="15" t="n">
        <x:f>IF(E131=0,"해당 없음",L131/E131)</x:f>
        <x:v>0.18627450980392157</x:v>
      </x:c>
      <x:c r="U131" s="15" t="n">
        <x:f>IF(E131=0,"해당 없음",M131/E131)</x:f>
        <x:v>0.11764705882352941</x:v>
      </x:c>
      <x:c r="V131" s="16" t="n">
        <x:f>E131/5</x:f>
        <x:v>20.4</x:v>
      </x:c>
    </x:row>
    <x:row r="132" ht="22" customHeight="1">
      <x:c r="A132" s="2" t="n">
        <x:v>64</x:v>
      </x:c>
      <x:c r="B132" s="2" t="str">
        <x:v>RED</x:v>
      </x:c>
      <x:c r="C132" s="2" t="str">
        <x:v>규칙형</x:v>
      </x:c>
      <x:c r="D132" s="2" t="str">
        <x:v>40만</x:v>
      </x:c>
      <x:c r="E132" s="14" t="n">
        <x:f>SUM(F132:M132)</x:f>
        <x:v>105</x:v>
      </x:c>
      <x:c r="F132" s="14" t="n">
        <x:v>39</x:v>
      </x:c>
      <x:c r="G132" s="14" t="n">
        <x:v>1</x:v>
      </x:c>
      <x:c r="H132" s="14" t="n">
        <x:v>12</x:v>
      </x:c>
      <x:c r="I132" s="14" t="n">
        <x:v>13</x:v>
      </x:c>
      <x:c r="J132" s="14" t="n">
        <x:v>9</x:v>
      </x:c>
      <x:c r="K132" s="14" t="n">
        <x:v>3</x:v>
      </x:c>
      <x:c r="L132" s="14" t="n">
        <x:v>19</x:v>
      </x:c>
      <x:c r="M132" s="14" t="n">
        <x:v>9</x:v>
      </x:c>
      <x:c r="N132" s="15" t="n">
        <x:f>IF(E132=0,"해당 없음",F132/E132)</x:f>
        <x:v>0.37142857142857144</x:v>
      </x:c>
      <x:c r="O132" s="15" t="n">
        <x:f>IF(E132=0,"해당 없음",G132/E132)</x:f>
        <x:v>0.009523809523809525</x:v>
      </x:c>
      <x:c r="P132" s="15" t="n">
        <x:f>IF(E132=0,"해당 없음",H132/E132)</x:f>
        <x:v>0.11428571428571428</x:v>
      </x:c>
      <x:c r="Q132" s="15" t="n">
        <x:f>IF(E132=0,"해당 없음",I132/E132)</x:f>
        <x:v>0.12380952380952381</x:v>
      </x:c>
      <x:c r="R132" s="15" t="n">
        <x:f>IF(E132=0,"해당 없음",J132/E132)</x:f>
        <x:v>0.08571428571428572</x:v>
      </x:c>
      <x:c r="S132" s="15" t="n">
        <x:f>IF(E132=0,"해당 없음",K132/E132)</x:f>
        <x:v>0.02857142857142857</x:v>
      </x:c>
      <x:c r="T132" s="15" t="n">
        <x:f>IF(E132=0,"해당 없음",L132/E132)</x:f>
        <x:v>0.18095238095238095</x:v>
      </x:c>
      <x:c r="U132" s="15" t="n">
        <x:f>IF(E132=0,"해당 없음",M132/E132)</x:f>
        <x:v>0.08571428571428572</x:v>
      </x:c>
      <x:c r="V132" s="16" t="n">
        <x:f>E132/5</x:f>
        <x:v>21</x:v>
      </x:c>
    </x:row>
    <x:row r="133" ht="22" customHeight="1">
      <x:c r="A133" s="2" t="n">
        <x:v>64</x:v>
      </x:c>
      <x:c r="B133" s="2" t="str">
        <x:v>NAVY</x:v>
      </x:c>
      <x:c r="C133" s="2" t="str">
        <x:v>40만</x:v>
      </x:c>
      <x:c r="D133" s="2" t="str">
        <x:v>규칙형</x:v>
      </x:c>
      <x:c r="E133" s="14" t="n">
        <x:f>SUM(F133:M133)</x:f>
        <x:v>105</x:v>
      </x:c>
      <x:c r="F133" s="14" t="n">
        <x:v>7</x:v>
      </x:c>
      <x:c r="G133" s="14" t="n">
        <x:v>27</x:v>
      </x:c>
      <x:c r="H133" s="14" t="n">
        <x:v>9</x:v>
      </x:c>
      <x:c r="I133" s="14" t="n">
        <x:v>7</x:v>
      </x:c>
      <x:c r="J133" s="14" t="n">
        <x:v>2</x:v>
      </x:c>
      <x:c r="K133" s="14" t="n">
        <x:v>4</x:v>
      </x:c>
      <x:c r="L133" s="14" t="n">
        <x:v>43</x:v>
      </x:c>
      <x:c r="M133" s="14" t="n">
        <x:v>6</x:v>
      </x:c>
      <x:c r="N133" s="15" t="n">
        <x:f>IF(E133=0,"해당 없음",F133/E133)</x:f>
        <x:v>0.06666666666666667</x:v>
      </x:c>
      <x:c r="O133" s="15" t="n">
        <x:f>IF(E133=0,"해당 없음",G133/E133)</x:f>
        <x:v>0.2571428571428571</x:v>
      </x:c>
      <x:c r="P133" s="15" t="n">
        <x:f>IF(E133=0,"해당 없음",H133/E133)</x:f>
        <x:v>0.08571428571428572</x:v>
      </x:c>
      <x:c r="Q133" s="15" t="n">
        <x:f>IF(E133=0,"해당 없음",I133/E133)</x:f>
        <x:v>0.06666666666666667</x:v>
      </x:c>
      <x:c r="R133" s="15" t="n">
        <x:f>IF(E133=0,"해당 없음",J133/E133)</x:f>
        <x:v>0.01904761904761905</x:v>
      </x:c>
      <x:c r="S133" s="15" t="n">
        <x:f>IF(E133=0,"해당 없음",K133/E133)</x:f>
        <x:v>0.0380952380952381</x:v>
      </x:c>
      <x:c r="T133" s="15" t="n">
        <x:f>IF(E133=0,"해당 없음",L133/E133)</x:f>
        <x:v>0.4095238095238095</x:v>
      </x:c>
      <x:c r="U133" s="15" t="n">
        <x:f>IF(E133=0,"해당 없음",M133/E133)</x:f>
        <x:v>0.05714285714285714</x:v>
      </x:c>
      <x:c r="V133" s="16" t="n">
        <x:f>E133/5</x:f>
        <x:v>21</x:v>
      </x:c>
    </x:row>
    <x:row r="134" ht="22" customHeight="1">
      <x:c r="A134" s="2" t="n">
        <x:v>65</x:v>
      </x:c>
      <x:c r="B134" s="2" t="str">
        <x:v>RED</x:v>
      </x:c>
      <x:c r="C134" s="2" t="str">
        <x:v>40만</x:v>
      </x:c>
      <x:c r="D134" s="2" t="str">
        <x:v>규칙형</x:v>
      </x:c>
      <x:c r="E134" s="14" t="n">
        <x:f>SUM(F134:M134)</x:f>
        <x:v>103</x:v>
      </x:c>
      <x:c r="F134" s="14" t="n">
        <x:v>1</x:v>
      </x:c>
      <x:c r="G134" s="14" t="n">
        <x:v>35</x:v>
      </x:c>
      <x:c r="H134" s="14" t="n">
        <x:v>8</x:v>
      </x:c>
      <x:c r="I134" s="14" t="n">
        <x:v>3</x:v>
      </x:c>
      <x:c r="J134" s="14" t="n">
        <x:v>6</x:v>
      </x:c>
      <x:c r="K134" s="14" t="n">
        <x:v>7</x:v>
      </x:c>
      <x:c r="L134" s="14" t="n">
        <x:v>39</x:v>
      </x:c>
      <x:c r="M134" s="14" t="n">
        <x:v>4</x:v>
      </x:c>
      <x:c r="N134" s="15" t="n">
        <x:f>IF(E134=0,"해당 없음",F134/E134)</x:f>
        <x:v>0.009708737864077669</x:v>
      </x:c>
      <x:c r="O134" s="15" t="n">
        <x:f>IF(E134=0,"해당 없음",G134/E134)</x:f>
        <x:v>0.33980582524271846</x:v>
      </x:c>
      <x:c r="P134" s="15" t="n">
        <x:f>IF(E134=0,"해당 없음",H134/E134)</x:f>
        <x:v>0.07766990291262135</x:v>
      </x:c>
      <x:c r="Q134" s="15" t="n">
        <x:f>IF(E134=0,"해당 없음",I134/E134)</x:f>
        <x:v>0.02912621359223301</x:v>
      </x:c>
      <x:c r="R134" s="15" t="n">
        <x:f>IF(E134=0,"해당 없음",J134/E134)</x:f>
        <x:v>0.05825242718446602</x:v>
      </x:c>
      <x:c r="S134" s="15" t="n">
        <x:f>IF(E134=0,"해당 없음",K134/E134)</x:f>
        <x:v>0.06796116504854369</x:v>
      </x:c>
      <x:c r="T134" s="15" t="n">
        <x:f>IF(E134=0,"해당 없음",L134/E134)</x:f>
        <x:v>0.3786407766990291</x:v>
      </x:c>
      <x:c r="U134" s="15" t="n">
        <x:f>IF(E134=0,"해당 없음",M134/E134)</x:f>
        <x:v>0.038834951456310676</x:v>
      </x:c>
      <x:c r="V134" s="16" t="n">
        <x:f>E134/5</x:f>
        <x:v>20.6</x:v>
      </x:c>
    </x:row>
    <x:row r="135" ht="22" customHeight="1">
      <x:c r="A135" s="2" t="n">
        <x:v>65</x:v>
      </x:c>
      <x:c r="B135" s="2" t="str">
        <x:v>NAVY</x:v>
      </x:c>
      <x:c r="C135" s="2" t="str">
        <x:v>규칙형</x:v>
      </x:c>
      <x:c r="D135" s="2" t="str">
        <x:v>40만</x:v>
      </x:c>
      <x:c r="E135" s="14" t="n">
        <x:f>SUM(F135:M135)</x:f>
        <x:v>104</x:v>
      </x:c>
      <x:c r="F135" s="14" t="n">
        <x:v>44</x:v>
      </x:c>
      <x:c r="G135" s="14" t="n">
        <x:v>6</x:v>
      </x:c>
      <x:c r="H135" s="14" t="n">
        <x:v>7</x:v>
      </x:c>
      <x:c r="I135" s="14" t="n">
        <x:v>12</x:v>
      </x:c>
      <x:c r="J135" s="14" t="n">
        <x:v>7</x:v>
      </x:c>
      <x:c r="K135" s="14" t="n">
        <x:v>2</x:v>
      </x:c>
      <x:c r="L135" s="14" t="n">
        <x:v>18</x:v>
      </x:c>
      <x:c r="M135" s="14" t="n">
        <x:v>8</x:v>
      </x:c>
      <x:c r="N135" s="15" t="n">
        <x:f>IF(E135=0,"해당 없음",F135/E135)</x:f>
        <x:v>0.4230769230769231</x:v>
      </x:c>
      <x:c r="O135" s="15" t="n">
        <x:f>IF(E135=0,"해당 없음",G135/E135)</x:f>
        <x:v>0.057692307692307696</x:v>
      </x:c>
      <x:c r="P135" s="15" t="n">
        <x:f>IF(E135=0,"해당 없음",H135/E135)</x:f>
        <x:v>0.0673076923076923</x:v>
      </x:c>
      <x:c r="Q135" s="15" t="n">
        <x:f>IF(E135=0,"해당 없음",I135/E135)</x:f>
        <x:v>0.11538461538461539</x:v>
      </x:c>
      <x:c r="R135" s="15" t="n">
        <x:f>IF(E135=0,"해당 없음",J135/E135)</x:f>
        <x:v>0.0673076923076923</x:v>
      </x:c>
      <x:c r="S135" s="15" t="n">
        <x:f>IF(E135=0,"해당 없음",K135/E135)</x:f>
        <x:v>0.019230769230769232</x:v>
      </x:c>
      <x:c r="T135" s="15" t="n">
        <x:f>IF(E135=0,"해당 없음",L135/E135)</x:f>
        <x:v>0.17307692307692307</x:v>
      </x:c>
      <x:c r="U135" s="15" t="n">
        <x:f>IF(E135=0,"해당 없음",M135/E135)</x:f>
        <x:v>0.07692307692307693</x:v>
      </x:c>
      <x:c r="V135" s="16" t="n">
        <x:f>E135/5</x:f>
        <x:v>20.8</x:v>
      </x:c>
    </x:row>
    <x:row r="136" ht="22" customHeight="1">
      <x:c r="A136" s="2" t="n">
        <x:v>66</x:v>
      </x:c>
      <x:c r="B136" s="2" t="str">
        <x:v>RED</x:v>
      </x:c>
      <x:c r="C136" s="2" t="str">
        <x:v>규칙형</x:v>
      </x:c>
      <x:c r="D136" s="2" t="str">
        <x:v>40만</x:v>
      </x:c>
      <x:c r="E136" s="14" t="n">
        <x:f>SUM(F136:M136)</x:f>
        <x:v>105</x:v>
      </x:c>
      <x:c r="F136" s="14" t="n">
        <x:v>42</x:v>
      </x:c>
      <x:c r="G136" s="14" t="n">
        <x:v>5</x:v>
      </x:c>
      <x:c r="H136" s="14" t="n">
        <x:v>8</x:v>
      </x:c>
      <x:c r="I136" s="14" t="n">
        <x:v>16</x:v>
      </x:c>
      <x:c r="J136" s="14" t="n">
        <x:v>5</x:v>
      </x:c>
      <x:c r="K136" s="14" t="n">
        <x:v>8</x:v>
      </x:c>
      <x:c r="L136" s="14" t="n">
        <x:v>15</x:v>
      </x:c>
      <x:c r="M136" s="14" t="n">
        <x:v>6</x:v>
      </x:c>
      <x:c r="N136" s="15" t="n">
        <x:f>IF(E136=0,"해당 없음",F136/E136)</x:f>
        <x:v>0.4</x:v>
      </x:c>
      <x:c r="O136" s="15" t="n">
        <x:f>IF(E136=0,"해당 없음",G136/E136)</x:f>
        <x:v>0.047619047619047616</x:v>
      </x:c>
      <x:c r="P136" s="15" t="n">
        <x:f>IF(E136=0,"해당 없음",H136/E136)</x:f>
        <x:v>0.0761904761904762</x:v>
      </x:c>
      <x:c r="Q136" s="15" t="n">
        <x:f>IF(E136=0,"해당 없음",I136/E136)</x:f>
        <x:v>0.1523809523809524</x:v>
      </x:c>
      <x:c r="R136" s="15" t="n">
        <x:f>IF(E136=0,"해당 없음",J136/E136)</x:f>
        <x:v>0.047619047619047616</x:v>
      </x:c>
      <x:c r="S136" s="15" t="n">
        <x:f>IF(E136=0,"해당 없음",K136/E136)</x:f>
        <x:v>0.0761904761904762</x:v>
      </x:c>
      <x:c r="T136" s="15" t="n">
        <x:f>IF(E136=0,"해당 없음",L136/E136)</x:f>
        <x:v>0.14285714285714285</x:v>
      </x:c>
      <x:c r="U136" s="15" t="n">
        <x:f>IF(E136=0,"해당 없음",M136/E136)</x:f>
        <x:v>0.05714285714285714</x:v>
      </x:c>
      <x:c r="V136" s="16" t="n">
        <x:f>E136/5</x:f>
        <x:v>21</x:v>
      </x:c>
    </x:row>
    <x:row r="137" ht="22" customHeight="1">
      <x:c r="A137" s="2" t="n">
        <x:v>66</x:v>
      </x:c>
      <x:c r="B137" s="2" t="str">
        <x:v>NAVY</x:v>
      </x:c>
      <x:c r="C137" s="2" t="str">
        <x:v>40만</x:v>
      </x:c>
      <x:c r="D137" s="2" t="str">
        <x:v>규칙형</x:v>
      </x:c>
      <x:c r="E137" s="14" t="n">
        <x:f>SUM(F137:M137)</x:f>
        <x:v>106</x:v>
      </x:c>
      <x:c r="F137" s="14" t="n">
        <x:v>3</x:v>
      </x:c>
      <x:c r="G137" s="14" t="n">
        <x:v>27</x:v>
      </x:c>
      <x:c r="H137" s="14" t="n">
        <x:v>9</x:v>
      </x:c>
      <x:c r="I137" s="14" t="n">
        <x:v>9</x:v>
      </x:c>
      <x:c r="J137" s="14" t="n">
        <x:v>10</x:v>
      </x:c>
      <x:c r="K137" s="14" t="n">
        <x:v>6</x:v>
      </x:c>
      <x:c r="L137" s="14" t="n">
        <x:v>39</x:v>
      </x:c>
      <x:c r="M137" s="14" t="n">
        <x:v>3</x:v>
      </x:c>
      <x:c r="N137" s="15" t="n">
        <x:f>IF(E137=0,"해당 없음",F137/E137)</x:f>
        <x:v>0.02830188679245283</x:v>
      </x:c>
      <x:c r="O137" s="15" t="n">
        <x:f>IF(E137=0,"해당 없음",G137/E137)</x:f>
        <x:v>0.25471698113207547</x:v>
      </x:c>
      <x:c r="P137" s="15" t="n">
        <x:f>IF(E137=0,"해당 없음",H137/E137)</x:f>
        <x:v>0.08490566037735849</x:v>
      </x:c>
      <x:c r="Q137" s="15" t="n">
        <x:f>IF(E137=0,"해당 없음",I137/E137)</x:f>
        <x:v>0.08490566037735849</x:v>
      </x:c>
      <x:c r="R137" s="15" t="n">
        <x:f>IF(E137=0,"해당 없음",J137/E137)</x:f>
        <x:v>0.09433962264150944</x:v>
      </x:c>
      <x:c r="S137" s="15" t="n">
        <x:f>IF(E137=0,"해당 없음",K137/E137)</x:f>
        <x:v>0.05660377358490566</x:v>
      </x:c>
      <x:c r="T137" s="15" t="n">
        <x:f>IF(E137=0,"해당 없음",L137/E137)</x:f>
        <x:v>0.36792452830188677</x:v>
      </x:c>
      <x:c r="U137" s="15" t="n">
        <x:f>IF(E137=0,"해당 없음",M137/E137)</x:f>
        <x:v>0.02830188679245283</x:v>
      </x:c>
      <x:c r="V137" s="16" t="n">
        <x:f>E137/5</x:f>
        <x:v>21.2</x:v>
      </x:c>
    </x:row>
    <x:row r="138" ht="22" customHeight="1">
      <x:c r="A138" s="2" t="n">
        <x:v>67</x:v>
      </x:c>
      <x:c r="B138" s="2" t="str">
        <x:v>RED</x:v>
      </x:c>
      <x:c r="C138" s="2" t="str">
        <x:v>40만</x:v>
      </x:c>
      <x:c r="D138" s="2" t="str">
        <x:v>규칙형</x:v>
      </x:c>
      <x:c r="E138" s="14" t="n">
        <x:f>SUM(F138:M138)</x:f>
        <x:v>102</x:v>
      </x:c>
      <x:c r="F138" s="14" t="n">
        <x:v>3</x:v>
      </x:c>
      <x:c r="G138" s="14" t="n">
        <x:v>23</x:v>
      </x:c>
      <x:c r="H138" s="14" t="n">
        <x:v>14</x:v>
      </x:c>
      <x:c r="I138" s="14" t="n">
        <x:v>6</x:v>
      </x:c>
      <x:c r="J138" s="14" t="n">
        <x:v>6</x:v>
      </x:c>
      <x:c r="K138" s="14" t="n">
        <x:v>10</x:v>
      </x:c>
      <x:c r="L138" s="14" t="n">
        <x:v>36</x:v>
      </x:c>
      <x:c r="M138" s="14" t="n">
        <x:v>4</x:v>
      </x:c>
      <x:c r="N138" s="15" t="n">
        <x:f>IF(E138=0,"해당 없음",F138/E138)</x:f>
        <x:v>0.029411764705882353</x:v>
      </x:c>
      <x:c r="O138" s="15" t="n">
        <x:f>IF(E138=0,"해당 없음",G138/E138)</x:f>
        <x:v>0.22549019607843138</x:v>
      </x:c>
      <x:c r="P138" s="15" t="n">
        <x:f>IF(E138=0,"해당 없음",H138/E138)</x:f>
        <x:v>0.13725490196078433</x:v>
      </x:c>
      <x:c r="Q138" s="15" t="n">
        <x:f>IF(E138=0,"해당 없음",I138/E138)</x:f>
        <x:v>0.058823529411764705</x:v>
      </x:c>
      <x:c r="R138" s="15" t="n">
        <x:f>IF(E138=0,"해당 없음",J138/E138)</x:f>
        <x:v>0.058823529411764705</x:v>
      </x:c>
      <x:c r="S138" s="15" t="n">
        <x:f>IF(E138=0,"해당 없음",K138/E138)</x:f>
        <x:v>0.09803921568627451</x:v>
      </x:c>
      <x:c r="T138" s="15" t="n">
        <x:f>IF(E138=0,"해당 없음",L138/E138)</x:f>
        <x:v>0.35294117647058826</x:v>
      </x:c>
      <x:c r="U138" s="15" t="n">
        <x:f>IF(E138=0,"해당 없음",M138/E138)</x:f>
        <x:v>0.0392156862745098</x:v>
      </x:c>
      <x:c r="V138" s="16" t="n">
        <x:f>E138/5</x:f>
        <x:v>20.4</x:v>
      </x:c>
    </x:row>
    <x:row r="139" ht="22" customHeight="1">
      <x:c r="A139" s="2" t="n">
        <x:v>67</x:v>
      </x:c>
      <x:c r="B139" s="2" t="str">
        <x:v>NAVY</x:v>
      </x:c>
      <x:c r="C139" s="2" t="str">
        <x:v>규칙형</x:v>
      </x:c>
      <x:c r="D139" s="2" t="str">
        <x:v>40만</x:v>
      </x:c>
      <x:c r="E139" s="14" t="n">
        <x:f>SUM(F139:M139)</x:f>
        <x:v>103</x:v>
      </x:c>
      <x:c r="F139" s="14" t="n">
        <x:v>50</x:v>
      </x:c>
      <x:c r="G139" s="14" t="n">
        <x:v>1</x:v>
      </x:c>
      <x:c r="H139" s="14" t="n">
        <x:v>1</x:v>
      </x:c>
      <x:c r="I139" s="14" t="n">
        <x:v>11</x:v>
      </x:c>
      <x:c r="J139" s="14" t="n">
        <x:v>9</x:v>
      </x:c>
      <x:c r="K139" s="14" t="n">
        <x:v>2</x:v>
      </x:c>
      <x:c r="L139" s="14" t="n">
        <x:v>22</x:v>
      </x:c>
      <x:c r="M139" s="14" t="n">
        <x:v>7</x:v>
      </x:c>
      <x:c r="N139" s="15" t="n">
        <x:f>IF(E139=0,"해당 없음",F139/E139)</x:f>
        <x:v>0.4854368932038835</x:v>
      </x:c>
      <x:c r="O139" s="15" t="n">
        <x:f>IF(E139=0,"해당 없음",G139/E139)</x:f>
        <x:v>0.009708737864077669</x:v>
      </x:c>
      <x:c r="P139" s="15" t="n">
        <x:f>IF(E139=0,"해당 없음",H139/E139)</x:f>
        <x:v>0.009708737864077669</x:v>
      </x:c>
      <x:c r="Q139" s="15" t="n">
        <x:f>IF(E139=0,"해당 없음",I139/E139)</x:f>
        <x:v>0.10679611650485436</x:v>
      </x:c>
      <x:c r="R139" s="15" t="n">
        <x:f>IF(E139=0,"해당 없음",J139/E139)</x:f>
        <x:v>0.08737864077669903</x:v>
      </x:c>
      <x:c r="S139" s="15" t="n">
        <x:f>IF(E139=0,"해당 없음",K139/E139)</x:f>
        <x:v>0.019417475728155338</x:v>
      </x:c>
      <x:c r="T139" s="15" t="n">
        <x:f>IF(E139=0,"해당 없음",L139/E139)</x:f>
        <x:v>0.21359223300970873</x:v>
      </x:c>
      <x:c r="U139" s="15" t="n">
        <x:f>IF(E139=0,"해당 없음",M139/E139)</x:f>
        <x:v>0.06796116504854369</x:v>
      </x:c>
      <x:c r="V139" s="16" t="n">
        <x:f>E139/5</x:f>
        <x:v>20.6</x:v>
      </x:c>
    </x:row>
    <x:row r="140" ht="22" customHeight="1">
      <x:c r="A140" s="2" t="n">
        <x:v>68</x:v>
      </x:c>
      <x:c r="B140" s="2" t="str">
        <x:v>RED</x:v>
      </x:c>
      <x:c r="C140" s="2" t="str">
        <x:v>규칙형</x:v>
      </x:c>
      <x:c r="D140" s="2" t="str">
        <x:v>40만</x:v>
      </x:c>
      <x:c r="E140" s="14" t="n">
        <x:f>SUM(F140:M140)</x:f>
        <x:v>104</x:v>
      </x:c>
      <x:c r="F140" s="14" t="n">
        <x:v>43</x:v>
      </x:c>
      <x:c r="G140" s="14" t="n">
        <x:v>4</x:v>
      </x:c>
      <x:c r="H140" s="14" t="n">
        <x:v>9</x:v>
      </x:c>
      <x:c r="I140" s="14" t="n">
        <x:v>21</x:v>
      </x:c>
      <x:c r="J140" s="14" t="n">
        <x:v>3</x:v>
      </x:c>
      <x:c r="K140" s="14" t="n">
        <x:v>5</x:v>
      </x:c>
      <x:c r="L140" s="14" t="n">
        <x:v>17</x:v>
      </x:c>
      <x:c r="M140" s="14" t="n">
        <x:v>2</x:v>
      </x:c>
      <x:c r="N140" s="15" t="n">
        <x:f>IF(E140=0,"해당 없음",F140/E140)</x:f>
        <x:v>0.41346153846153844</x:v>
      </x:c>
      <x:c r="O140" s="15" t="n">
        <x:f>IF(E140=0,"해당 없음",G140/E140)</x:f>
        <x:v>0.038461538461538464</x:v>
      </x:c>
      <x:c r="P140" s="15" t="n">
        <x:f>IF(E140=0,"해당 없음",H140/E140)</x:f>
        <x:v>0.08653846153846154</x:v>
      </x:c>
      <x:c r="Q140" s="15" t="n">
        <x:f>IF(E140=0,"해당 없음",I140/E140)</x:f>
        <x:v>0.20192307692307693</x:v>
      </x:c>
      <x:c r="R140" s="15" t="n">
        <x:f>IF(E140=0,"해당 없음",J140/E140)</x:f>
        <x:v>0.028846153846153848</x:v>
      </x:c>
      <x:c r="S140" s="15" t="n">
        <x:f>IF(E140=0,"해당 없음",K140/E140)</x:f>
        <x:v>0.04807692307692308</x:v>
      </x:c>
      <x:c r="T140" s="15" t="n">
        <x:f>IF(E140=0,"해당 없음",L140/E140)</x:f>
        <x:v>0.16346153846153846</x:v>
      </x:c>
      <x:c r="U140" s="15" t="n">
        <x:f>IF(E140=0,"해당 없음",M140/E140)</x:f>
        <x:v>0.019230769230769232</x:v>
      </x:c>
      <x:c r="V140" s="16" t="n">
        <x:f>E140/5</x:f>
        <x:v>20.8</x:v>
      </x:c>
    </x:row>
    <x:row r="141" ht="22" customHeight="1">
      <x:c r="A141" s="2" t="n">
        <x:v>68</x:v>
      </x:c>
      <x:c r="B141" s="2" t="str">
        <x:v>NAVY</x:v>
      </x:c>
      <x:c r="C141" s="2" t="str">
        <x:v>40만</x:v>
      </x:c>
      <x:c r="D141" s="2" t="str">
        <x:v>규칙형</x:v>
      </x:c>
      <x:c r="E141" s="14" t="n">
        <x:f>SUM(F141:M141)</x:f>
        <x:v>103</x:v>
      </x:c>
      <x:c r="F141" s="14" t="n">
        <x:v>1</x:v>
      </x:c>
      <x:c r="G141" s="14" t="n">
        <x:v>26</x:v>
      </x:c>
      <x:c r="H141" s="14" t="n">
        <x:v>7</x:v>
      </x:c>
      <x:c r="I141" s="14" t="n">
        <x:v>7</x:v>
      </x:c>
      <x:c r="J141" s="14" t="n">
        <x:v>9</x:v>
      </x:c>
      <x:c r="K141" s="14" t="n">
        <x:v>7</x:v>
      </x:c>
      <x:c r="L141" s="14" t="n">
        <x:v>43</x:v>
      </x:c>
      <x:c r="M141" s="14" t="n">
        <x:v>3</x:v>
      </x:c>
      <x:c r="N141" s="15" t="n">
        <x:f>IF(E141=0,"해당 없음",F141/E141)</x:f>
        <x:v>0.009708737864077669</x:v>
      </x:c>
      <x:c r="O141" s="15" t="n">
        <x:f>IF(E141=0,"해당 없음",G141/E141)</x:f>
        <x:v>0.2524271844660194</x:v>
      </x:c>
      <x:c r="P141" s="15" t="n">
        <x:f>IF(E141=0,"해당 없음",H141/E141)</x:f>
        <x:v>0.06796116504854369</x:v>
      </x:c>
      <x:c r="Q141" s="15" t="n">
        <x:f>IF(E141=0,"해당 없음",I141/E141)</x:f>
        <x:v>0.06796116504854369</x:v>
      </x:c>
      <x:c r="R141" s="15" t="n">
        <x:f>IF(E141=0,"해당 없음",J141/E141)</x:f>
        <x:v>0.08737864077669903</x:v>
      </x:c>
      <x:c r="S141" s="15" t="n">
        <x:f>IF(E141=0,"해당 없음",K141/E141)</x:f>
        <x:v>0.06796116504854369</x:v>
      </x:c>
      <x:c r="T141" s="15" t="n">
        <x:f>IF(E141=0,"해당 없음",L141/E141)</x:f>
        <x:v>0.4174757281553398</x:v>
      </x:c>
      <x:c r="U141" s="15" t="n">
        <x:f>IF(E141=0,"해당 없음",M141/E141)</x:f>
        <x:v>0.02912621359223301</x:v>
      </x:c>
      <x:c r="V141" s="16" t="n">
        <x:f>E141/5</x:f>
        <x:v>20.6</x:v>
      </x:c>
    </x:row>
    <x:row r="142" ht="22" customHeight="1">
      <x:c r="A142" s="2" t="n">
        <x:v>69</x:v>
      </x:c>
      <x:c r="B142" s="2" t="str">
        <x:v>RED</x:v>
      </x:c>
      <x:c r="C142" s="2" t="str">
        <x:v>40만</x:v>
      </x:c>
      <x:c r="D142" s="2" t="str">
        <x:v>규칙형</x:v>
      </x:c>
      <x:c r="E142" s="14" t="n">
        <x:f>SUM(F142:M142)</x:f>
        <x:v>105</x:v>
      </x:c>
      <x:c r="F142" s="14" t="n">
        <x:v>1</x:v>
      </x:c>
      <x:c r="G142" s="14" t="n">
        <x:v>31</x:v>
      </x:c>
      <x:c r="H142" s="14" t="n">
        <x:v>11</x:v>
      </x:c>
      <x:c r="I142" s="14" t="n">
        <x:v>3</x:v>
      </x:c>
      <x:c r="J142" s="14" t="n">
        <x:v>11</x:v>
      </x:c>
      <x:c r="K142" s="14" t="n">
        <x:v>8</x:v>
      </x:c>
      <x:c r="L142" s="14" t="n">
        <x:v>38</x:v>
      </x:c>
      <x:c r="M142" s="14" t="n">
        <x:v>2</x:v>
      </x:c>
      <x:c r="N142" s="15" t="n">
        <x:f>IF(E142=0,"해당 없음",F142/E142)</x:f>
        <x:v>0.009523809523809525</x:v>
      </x:c>
      <x:c r="O142" s="15" t="n">
        <x:f>IF(E142=0,"해당 없음",G142/E142)</x:f>
        <x:v>0.29523809523809524</x:v>
      </x:c>
      <x:c r="P142" s="15" t="n">
        <x:f>IF(E142=0,"해당 없음",H142/E142)</x:f>
        <x:v>0.10476190476190476</x:v>
      </x:c>
      <x:c r="Q142" s="15" t="n">
        <x:f>IF(E142=0,"해당 없음",I142/E142)</x:f>
        <x:v>0.02857142857142857</x:v>
      </x:c>
      <x:c r="R142" s="15" t="n">
        <x:f>IF(E142=0,"해당 없음",J142/E142)</x:f>
        <x:v>0.10476190476190476</x:v>
      </x:c>
      <x:c r="S142" s="15" t="n">
        <x:f>IF(E142=0,"해당 없음",K142/E142)</x:f>
        <x:v>0.0761904761904762</x:v>
      </x:c>
      <x:c r="T142" s="15" t="n">
        <x:f>IF(E142=0,"해당 없음",L142/E142)</x:f>
        <x:v>0.3619047619047619</x:v>
      </x:c>
      <x:c r="U142" s="15" t="n">
        <x:f>IF(E142=0,"해당 없음",M142/E142)</x:f>
        <x:v>0.01904761904761905</x:v>
      </x:c>
      <x:c r="V142" s="16" t="n">
        <x:f>E142/5</x:f>
        <x:v>21</x:v>
      </x:c>
    </x:row>
    <x:row r="143" ht="22" customHeight="1">
      <x:c r="A143" s="2" t="n">
        <x:v>69</x:v>
      </x:c>
      <x:c r="B143" s="2" t="str">
        <x:v>NAVY</x:v>
      </x:c>
      <x:c r="C143" s="2" t="str">
        <x:v>규칙형</x:v>
      </x:c>
      <x:c r="D143" s="2" t="str">
        <x:v>40만</x:v>
      </x:c>
      <x:c r="E143" s="14" t="n">
        <x:f>SUM(F143:M143)</x:f>
        <x:v>106</x:v>
      </x:c>
      <x:c r="F143" s="14" t="n">
        <x:v>47</x:v>
      </x:c>
      <x:c r="G143" s="14" t="n">
        <x:v>2</x:v>
      </x:c>
      <x:c r="H143" s="14" t="n">
        <x:v>4</x:v>
      </x:c>
      <x:c r="I143" s="14" t="n">
        <x:v>14</x:v>
      </x:c>
      <x:c r="J143" s="14" t="n">
        <x:v>5</x:v>
      </x:c>
      <x:c r="K143" s="14" t="n">
        <x:v>7</x:v>
      </x:c>
      <x:c r="L143" s="14" t="n">
        <x:v>22</x:v>
      </x:c>
      <x:c r="M143" s="14" t="n">
        <x:v>5</x:v>
      </x:c>
      <x:c r="N143" s="15" t="n">
        <x:f>IF(E143=0,"해당 없음",F143/E143)</x:f>
        <x:v>0.44339622641509435</x:v>
      </x:c>
      <x:c r="O143" s="15" t="n">
        <x:f>IF(E143=0,"해당 없음",G143/E143)</x:f>
        <x:v>0.018867924528301886</x:v>
      </x:c>
      <x:c r="P143" s="15" t="n">
        <x:f>IF(E143=0,"해당 없음",H143/E143)</x:f>
        <x:v>0.03773584905660377</x:v>
      </x:c>
      <x:c r="Q143" s="15" t="n">
        <x:f>IF(E143=0,"해당 없음",I143/E143)</x:f>
        <x:v>0.1320754716981132</x:v>
      </x:c>
      <x:c r="R143" s="15" t="n">
        <x:f>IF(E143=0,"해당 없음",J143/E143)</x:f>
        <x:v>0.04716981132075472</x:v>
      </x:c>
      <x:c r="S143" s="15" t="n">
        <x:f>IF(E143=0,"해당 없음",K143/E143)</x:f>
        <x:v>0.0660377358490566</x:v>
      </x:c>
      <x:c r="T143" s="15" t="n">
        <x:f>IF(E143=0,"해당 없음",L143/E143)</x:f>
        <x:v>0.20754716981132076</x:v>
      </x:c>
      <x:c r="U143" s="15" t="n">
        <x:f>IF(E143=0,"해당 없음",M143/E143)</x:f>
        <x:v>0.04716981132075472</x:v>
      </x:c>
      <x:c r="V143" s="16" t="n">
        <x:f>E143/5</x:f>
        <x:v>21.2</x:v>
      </x:c>
    </x:row>
    <x:row r="144" ht="22" customHeight="1">
      <x:c r="A144" s="2" t="n">
        <x:v>70</x:v>
      </x:c>
      <x:c r="B144" s="2" t="str">
        <x:v>RED</x:v>
      </x:c>
      <x:c r="C144" s="2" t="str">
        <x:v>규칙형</x:v>
      </x:c>
      <x:c r="D144" s="2" t="str">
        <x:v>40만</x:v>
      </x:c>
      <x:c r="E144" s="14" t="n">
        <x:f>SUM(F144:M144)</x:f>
        <x:v>104</x:v>
      </x:c>
      <x:c r="F144" s="14" t="n">
        <x:v>39</x:v>
      </x:c>
      <x:c r="G144" s="14" t="n">
        <x:v>7</x:v>
      </x:c>
      <x:c r="H144" s="14" t="n">
        <x:v>11</x:v>
      </x:c>
      <x:c r="I144" s="14" t="n">
        <x:v>12</x:v>
      </x:c>
      <x:c r="J144" s="14" t="n">
        <x:v>6</x:v>
      </x:c>
      <x:c r="K144" s="14" t="n">
        <x:v>7</x:v>
      </x:c>
      <x:c r="L144" s="14" t="n">
        <x:v>17</x:v>
      </x:c>
      <x:c r="M144" s="14" t="n">
        <x:v>5</x:v>
      </x:c>
      <x:c r="N144" s="15" t="n">
        <x:f>IF(E144=0,"해당 없음",F144/E144)</x:f>
        <x:v>0.375</x:v>
      </x:c>
      <x:c r="O144" s="15" t="n">
        <x:f>IF(E144=0,"해당 없음",G144/E144)</x:f>
        <x:v>0.0673076923076923</x:v>
      </x:c>
      <x:c r="P144" s="15" t="n">
        <x:f>IF(E144=0,"해당 없음",H144/E144)</x:f>
        <x:v>0.10576923076923077</x:v>
      </x:c>
      <x:c r="Q144" s="15" t="n">
        <x:f>IF(E144=0,"해당 없음",I144/E144)</x:f>
        <x:v>0.11538461538461539</x:v>
      </x:c>
      <x:c r="R144" s="15" t="n">
        <x:f>IF(E144=0,"해당 없음",J144/E144)</x:f>
        <x:v>0.057692307692307696</x:v>
      </x:c>
      <x:c r="S144" s="15" t="n">
        <x:f>IF(E144=0,"해당 없음",K144/E144)</x:f>
        <x:v>0.0673076923076923</x:v>
      </x:c>
      <x:c r="T144" s="15" t="n">
        <x:f>IF(E144=0,"해당 없음",L144/E144)</x:f>
        <x:v>0.16346153846153846</x:v>
      </x:c>
      <x:c r="U144" s="15" t="n">
        <x:f>IF(E144=0,"해당 없음",M144/E144)</x:f>
        <x:v>0.04807692307692308</x:v>
      </x:c>
      <x:c r="V144" s="16" t="n">
        <x:f>E144/5</x:f>
        <x:v>20.8</x:v>
      </x:c>
    </x:row>
    <x:row r="145" ht="22" customHeight="1">
      <x:c r="A145" s="2" t="n">
        <x:v>70</x:v>
      </x:c>
      <x:c r="B145" s="2" t="str">
        <x:v>NAVY</x:v>
      </x:c>
      <x:c r="C145" s="2" t="str">
        <x:v>40만</x:v>
      </x:c>
      <x:c r="D145" s="2" t="str">
        <x:v>규칙형</x:v>
      </x:c>
      <x:c r="E145" s="14" t="n">
        <x:f>SUM(F145:M145)</x:f>
        <x:v>103</x:v>
      </x:c>
      <x:c r="F145" s="14" t="n">
        <x:v>1</x:v>
      </x:c>
      <x:c r="G145" s="14" t="n">
        <x:v>34</x:v>
      </x:c>
      <x:c r="H145" s="14" t="n">
        <x:v>6</x:v>
      </x:c>
      <x:c r="I145" s="14" t="n">
        <x:v>4</x:v>
      </x:c>
      <x:c r="J145" s="14" t="n">
        <x:v>6</x:v>
      </x:c>
      <x:c r="K145" s="14" t="n">
        <x:v>12</x:v>
      </x:c>
      <x:c r="L145" s="14" t="n">
        <x:v>37</x:v>
      </x:c>
      <x:c r="M145" s="14" t="n">
        <x:v>3</x:v>
      </x:c>
      <x:c r="N145" s="15" t="n">
        <x:f>IF(E145=0,"해당 없음",F145/E145)</x:f>
        <x:v>0.009708737864077669</x:v>
      </x:c>
      <x:c r="O145" s="15" t="n">
        <x:f>IF(E145=0,"해당 없음",G145/E145)</x:f>
        <x:v>0.3300970873786408</x:v>
      </x:c>
      <x:c r="P145" s="15" t="n">
        <x:f>IF(E145=0,"해당 없음",H145/E145)</x:f>
        <x:v>0.05825242718446602</x:v>
      </x:c>
      <x:c r="Q145" s="15" t="n">
        <x:f>IF(E145=0,"해당 없음",I145/E145)</x:f>
        <x:v>0.038834951456310676</x:v>
      </x:c>
      <x:c r="R145" s="15" t="n">
        <x:f>IF(E145=0,"해당 없음",J145/E145)</x:f>
        <x:v>0.05825242718446602</x:v>
      </x:c>
      <x:c r="S145" s="15" t="n">
        <x:f>IF(E145=0,"해당 없음",K145/E145)</x:f>
        <x:v>0.11650485436893204</x:v>
      </x:c>
      <x:c r="T145" s="15" t="n">
        <x:f>IF(E145=0,"해당 없음",L145/E145)</x:f>
        <x:v>0.3592233009708738</x:v>
      </x:c>
      <x:c r="U145" s="15" t="n">
        <x:f>IF(E145=0,"해당 없음",M145/E145)</x:f>
        <x:v>0.02912621359223301</x:v>
      </x:c>
      <x:c r="V145" s="16" t="n">
        <x:f>E145/5</x:f>
        <x:v>20.6</x:v>
      </x:c>
    </x:row>
    <x:row r="146" ht="22" customHeight="1">
      <x:c r="A146" s="2" t="n">
        <x:v>71</x:v>
      </x:c>
      <x:c r="B146" s="2" t="str">
        <x:v>RED</x:v>
      </x:c>
      <x:c r="C146" s="2" t="str">
        <x:v>40만</x:v>
      </x:c>
      <x:c r="D146" s="2" t="str">
        <x:v>규칙형</x:v>
      </x:c>
      <x:c r="E146" s="14" t="n">
        <x:f>SUM(F146:M146)</x:f>
        <x:v>104</x:v>
      </x:c>
      <x:c r="F146" s="14" t="n">
        <x:v>3</x:v>
      </x:c>
      <x:c r="G146" s="14" t="n">
        <x:v>31</x:v>
      </x:c>
      <x:c r="H146" s="14" t="n">
        <x:v>8</x:v>
      </x:c>
      <x:c r="I146" s="14" t="n">
        <x:v>5</x:v>
      </x:c>
      <x:c r="J146" s="14" t="n">
        <x:v>4</x:v>
      </x:c>
      <x:c r="K146" s="14" t="n">
        <x:v>7</x:v>
      </x:c>
      <x:c r="L146" s="14" t="n">
        <x:v>42</x:v>
      </x:c>
      <x:c r="M146" s="14" t="n">
        <x:v>4</x:v>
      </x:c>
      <x:c r="N146" s="15" t="n">
        <x:f>IF(E146=0,"해당 없음",F146/E146)</x:f>
        <x:v>0.028846153846153848</x:v>
      </x:c>
      <x:c r="O146" s="15" t="n">
        <x:f>IF(E146=0,"해당 없음",G146/E146)</x:f>
        <x:v>0.2980769230769231</x:v>
      </x:c>
      <x:c r="P146" s="15" t="n">
        <x:f>IF(E146=0,"해당 없음",H146/E146)</x:f>
        <x:v>0.07692307692307693</x:v>
      </x:c>
      <x:c r="Q146" s="15" t="n">
        <x:f>IF(E146=0,"해당 없음",I146/E146)</x:f>
        <x:v>0.04807692307692308</x:v>
      </x:c>
      <x:c r="R146" s="15" t="n">
        <x:f>IF(E146=0,"해당 없음",J146/E146)</x:f>
        <x:v>0.038461538461538464</x:v>
      </x:c>
      <x:c r="S146" s="15" t="n">
        <x:f>IF(E146=0,"해당 없음",K146/E146)</x:f>
        <x:v>0.0673076923076923</x:v>
      </x:c>
      <x:c r="T146" s="15" t="n">
        <x:f>IF(E146=0,"해당 없음",L146/E146)</x:f>
        <x:v>0.40384615384615385</x:v>
      </x:c>
      <x:c r="U146" s="15" t="n">
        <x:f>IF(E146=0,"해당 없음",M146/E146)</x:f>
        <x:v>0.038461538461538464</x:v>
      </x:c>
      <x:c r="V146" s="16" t="n">
        <x:f>E146/5</x:f>
        <x:v>20.8</x:v>
      </x:c>
    </x:row>
    <x:row r="147" ht="22" customHeight="1">
      <x:c r="A147" s="2" t="n">
        <x:v>71</x:v>
      </x:c>
      <x:c r="B147" s="2" t="str">
        <x:v>NAVY</x:v>
      </x:c>
      <x:c r="C147" s="2" t="str">
        <x:v>규칙형</x:v>
      </x:c>
      <x:c r="D147" s="2" t="str">
        <x:v>40만</x:v>
      </x:c>
      <x:c r="E147" s="14" t="n">
        <x:f>SUM(F147:M147)</x:f>
        <x:v>105</x:v>
      </x:c>
      <x:c r="F147" s="14" t="n">
        <x:v>40</x:v>
      </x:c>
      <x:c r="G147" s="14" t="n">
        <x:v>5</x:v>
      </x:c>
      <x:c r="H147" s="14" t="n">
        <x:v>8</x:v>
      </x:c>
      <x:c r="I147" s="14" t="n">
        <x:v>16</x:v>
      </x:c>
      <x:c r="J147" s="14" t="n">
        <x:v>5</x:v>
      </x:c>
      <x:c r="K147" s="14" t="n">
        <x:v>2</x:v>
      </x:c>
      <x:c r="L147" s="14" t="n">
        <x:v>20</x:v>
      </x:c>
      <x:c r="M147" s="14" t="n">
        <x:v>9</x:v>
      </x:c>
      <x:c r="N147" s="15" t="n">
        <x:f>IF(E147=0,"해당 없음",F147/E147)</x:f>
        <x:v>0.38095238095238093</x:v>
      </x:c>
      <x:c r="O147" s="15" t="n">
        <x:f>IF(E147=0,"해당 없음",G147/E147)</x:f>
        <x:v>0.047619047619047616</x:v>
      </x:c>
      <x:c r="P147" s="15" t="n">
        <x:f>IF(E147=0,"해당 없음",H147/E147)</x:f>
        <x:v>0.0761904761904762</x:v>
      </x:c>
      <x:c r="Q147" s="15" t="n">
        <x:f>IF(E147=0,"해당 없음",I147/E147)</x:f>
        <x:v>0.1523809523809524</x:v>
      </x:c>
      <x:c r="R147" s="15" t="n">
        <x:f>IF(E147=0,"해당 없음",J147/E147)</x:f>
        <x:v>0.047619047619047616</x:v>
      </x:c>
      <x:c r="S147" s="15" t="n">
        <x:f>IF(E147=0,"해당 없음",K147/E147)</x:f>
        <x:v>0.01904761904761905</x:v>
      </x:c>
      <x:c r="T147" s="15" t="n">
        <x:f>IF(E147=0,"해당 없음",L147/E147)</x:f>
        <x:v>0.19047619047619047</x:v>
      </x:c>
      <x:c r="U147" s="15" t="n">
        <x:f>IF(E147=0,"해당 없음",M147/E147)</x:f>
        <x:v>0.08571428571428572</x:v>
      </x:c>
      <x:c r="V147" s="16" t="n">
        <x:f>E147/5</x:f>
        <x:v>21</x:v>
      </x:c>
    </x:row>
    <x:row r="148" ht="22" customHeight="1">
      <x:c r="A148" s="2" t="n">
        <x:v>72</x:v>
      </x:c>
      <x:c r="B148" s="2" t="str">
        <x:v>RED</x:v>
      </x:c>
      <x:c r="C148" s="2" t="str">
        <x:v>규칙형</x:v>
      </x:c>
      <x:c r="D148" s="2" t="str">
        <x:v>40만</x:v>
      </x:c>
      <x:c r="E148" s="14" t="n">
        <x:f>SUM(F148:M148)</x:f>
        <x:v>106</x:v>
      </x:c>
      <x:c r="F148" s="14" t="n">
        <x:v>34</x:v>
      </x:c>
      <x:c r="G148" s="14" t="n">
        <x:v>14</x:v>
      </x:c>
      <x:c r="H148" s="14" t="n">
        <x:v>6</x:v>
      </x:c>
      <x:c r="I148" s="14" t="n">
        <x:v>12</x:v>
      </x:c>
      <x:c r="J148" s="14" t="n">
        <x:v>8</x:v>
      </x:c>
      <x:c r="K148" s="14" t="n">
        <x:v>5</x:v>
      </x:c>
      <x:c r="L148" s="14" t="n">
        <x:v>14</x:v>
      </x:c>
      <x:c r="M148" s="14" t="n">
        <x:v>13</x:v>
      </x:c>
      <x:c r="N148" s="15" t="n">
        <x:f>IF(E148=0,"해당 없음",F148/E148)</x:f>
        <x:v>0.32075471698113206</x:v>
      </x:c>
      <x:c r="O148" s="15" t="n">
        <x:f>IF(E148=0,"해당 없음",G148/E148)</x:f>
        <x:v>0.1320754716981132</x:v>
      </x:c>
      <x:c r="P148" s="15" t="n">
        <x:f>IF(E148=0,"해당 없음",H148/E148)</x:f>
        <x:v>0.05660377358490566</x:v>
      </x:c>
      <x:c r="Q148" s="15" t="n">
        <x:f>IF(E148=0,"해당 없음",I148/E148)</x:f>
        <x:v>0.11320754716981132</x:v>
      </x:c>
      <x:c r="R148" s="15" t="n">
        <x:f>IF(E148=0,"해당 없음",J148/E148)</x:f>
        <x:v>0.07547169811320754</x:v>
      </x:c>
      <x:c r="S148" s="15" t="n">
        <x:f>IF(E148=0,"해당 없음",K148/E148)</x:f>
        <x:v>0.04716981132075472</x:v>
      </x:c>
      <x:c r="T148" s="15" t="n">
        <x:f>IF(E148=0,"해당 없음",L148/E148)</x:f>
        <x:v>0.1320754716981132</x:v>
      </x:c>
      <x:c r="U148" s="15" t="n">
        <x:f>IF(E148=0,"해당 없음",M148/E148)</x:f>
        <x:v>0.12264150943396226</x:v>
      </x:c>
      <x:c r="V148" s="16" t="n">
        <x:f>E148/5</x:f>
        <x:v>21.2</x:v>
      </x:c>
    </x:row>
    <x:row r="149" ht="22" customHeight="1">
      <x:c r="A149" s="2" t="n">
        <x:v>72</x:v>
      </x:c>
      <x:c r="B149" s="2" t="str">
        <x:v>NAVY</x:v>
      </x:c>
      <x:c r="C149" s="2" t="str">
        <x:v>40만</x:v>
      </x:c>
      <x:c r="D149" s="2" t="str">
        <x:v>규칙형</x:v>
      </x:c>
      <x:c r="E149" s="14" t="n">
        <x:f>SUM(F149:M149)</x:f>
        <x:v>104</x:v>
      </x:c>
      <x:c r="F149" s="14" t="n">
        <x:v>4</x:v>
      </x:c>
      <x:c r="G149" s="14" t="n">
        <x:v>30</x:v>
      </x:c>
      <x:c r="H149" s="14" t="n">
        <x:v>7</x:v>
      </x:c>
      <x:c r="I149" s="14" t="n">
        <x:v>4</x:v>
      </x:c>
      <x:c r="J149" s="14" t="n">
        <x:v>3</x:v>
      </x:c>
      <x:c r="K149" s="14" t="n">
        <x:v>11</x:v>
      </x:c>
      <x:c r="L149" s="14" t="n">
        <x:v>40</x:v>
      </x:c>
      <x:c r="M149" s="14" t="n">
        <x:v>5</x:v>
      </x:c>
      <x:c r="N149" s="15" t="n">
        <x:f>IF(E149=0,"해당 없음",F149/E149)</x:f>
        <x:v>0.038461538461538464</x:v>
      </x:c>
      <x:c r="O149" s="15" t="n">
        <x:f>IF(E149=0,"해당 없음",G149/E149)</x:f>
        <x:v>0.28846153846153844</x:v>
      </x:c>
      <x:c r="P149" s="15" t="n">
        <x:f>IF(E149=0,"해당 없음",H149/E149)</x:f>
        <x:v>0.0673076923076923</x:v>
      </x:c>
      <x:c r="Q149" s="15" t="n">
        <x:f>IF(E149=0,"해당 없음",I149/E149)</x:f>
        <x:v>0.038461538461538464</x:v>
      </x:c>
      <x:c r="R149" s="15" t="n">
        <x:f>IF(E149=0,"해당 없음",J149/E149)</x:f>
        <x:v>0.028846153846153848</x:v>
      </x:c>
      <x:c r="S149" s="15" t="n">
        <x:f>IF(E149=0,"해당 없음",K149/E149)</x:f>
        <x:v>0.10576923076923077</x:v>
      </x:c>
      <x:c r="T149" s="15" t="n">
        <x:f>IF(E149=0,"해당 없음",L149/E149)</x:f>
        <x:v>0.38461538461538464</x:v>
      </x:c>
      <x:c r="U149" s="15" t="n">
        <x:f>IF(E149=0,"해당 없음",M149/E149)</x:f>
        <x:v>0.04807692307692308</x:v>
      </x:c>
      <x:c r="V149" s="16" t="n">
        <x:f>E149/5</x:f>
        <x:v>20.8</x:v>
      </x:c>
    </x:row>
    <x:row r="150" ht="22" customHeight="1">
      <x:c r="A150" s="2" t="n">
        <x:v>73</x:v>
      </x:c>
      <x:c r="B150" s="2" t="str">
        <x:v>RED</x:v>
      </x:c>
      <x:c r="C150" s="2" t="str">
        <x:v>40만</x:v>
      </x:c>
      <x:c r="D150" s="2" t="str">
        <x:v>규칙형</x:v>
      </x:c>
      <x:c r="E150" s="14" t="n">
        <x:f>SUM(F150:M150)</x:f>
        <x:v>104</x:v>
      </x:c>
      <x:c r="F150" s="14" t="n">
        <x:v>5</x:v>
      </x:c>
      <x:c r="G150" s="14" t="n">
        <x:v>34</x:v>
      </x:c>
      <x:c r="H150" s="14" t="n">
        <x:v>5</x:v>
      </x:c>
      <x:c r="I150" s="14" t="n">
        <x:v>5</x:v>
      </x:c>
      <x:c r="J150" s="14" t="n">
        <x:v>5</x:v>
      </x:c>
      <x:c r="K150" s="14" t="n">
        <x:v>4</x:v>
      </x:c>
      <x:c r="L150" s="14" t="n">
        <x:v>42</x:v>
      </x:c>
      <x:c r="M150" s="14" t="n">
        <x:v>4</x:v>
      </x:c>
      <x:c r="N150" s="15" t="n">
        <x:f>IF(E150=0,"해당 없음",F150/E150)</x:f>
        <x:v>0.04807692307692308</x:v>
      </x:c>
      <x:c r="O150" s="15" t="n">
        <x:f>IF(E150=0,"해당 없음",G150/E150)</x:f>
        <x:v>0.3269230769230769</x:v>
      </x:c>
      <x:c r="P150" s="15" t="n">
        <x:f>IF(E150=0,"해당 없음",H150/E150)</x:f>
        <x:v>0.04807692307692308</x:v>
      </x:c>
      <x:c r="Q150" s="15" t="n">
        <x:f>IF(E150=0,"해당 없음",I150/E150)</x:f>
        <x:v>0.04807692307692308</x:v>
      </x:c>
      <x:c r="R150" s="15" t="n">
        <x:f>IF(E150=0,"해당 없음",J150/E150)</x:f>
        <x:v>0.04807692307692308</x:v>
      </x:c>
      <x:c r="S150" s="15" t="n">
        <x:f>IF(E150=0,"해당 없음",K150/E150)</x:f>
        <x:v>0.038461538461538464</x:v>
      </x:c>
      <x:c r="T150" s="15" t="n">
        <x:f>IF(E150=0,"해당 없음",L150/E150)</x:f>
        <x:v>0.40384615384615385</x:v>
      </x:c>
      <x:c r="U150" s="15" t="n">
        <x:f>IF(E150=0,"해당 없음",M150/E150)</x:f>
        <x:v>0.038461538461538464</x:v>
      </x:c>
      <x:c r="V150" s="16" t="n">
        <x:f>E150/5</x:f>
        <x:v>20.8</x:v>
      </x:c>
    </x:row>
    <x:row r="151" ht="22" customHeight="1">
      <x:c r="A151" s="2" t="n">
        <x:v>73</x:v>
      </x:c>
      <x:c r="B151" s="2" t="str">
        <x:v>NAVY</x:v>
      </x:c>
      <x:c r="C151" s="2" t="str">
        <x:v>규칙형</x:v>
      </x:c>
      <x:c r="D151" s="2" t="str">
        <x:v>40만</x:v>
      </x:c>
      <x:c r="E151" s="14" t="n">
        <x:f>SUM(F151:M151)</x:f>
        <x:v>104</x:v>
      </x:c>
      <x:c r="F151" s="14" t="n">
        <x:v>47</x:v>
      </x:c>
      <x:c r="G151" s="14" t="n">
        <x:v>11</x:v>
      </x:c>
      <x:c r="H151" s="14" t="n">
        <x:v>9</x:v>
      </x:c>
      <x:c r="I151" s="14" t="n">
        <x:v>11</x:v>
      </x:c>
      <x:c r="J151" s="14" t="n">
        <x:v>4</x:v>
      </x:c>
      <x:c r="K151" s="14" t="n">
        <x:v>4</x:v>
      </x:c>
      <x:c r="L151" s="14" t="n">
        <x:v>15</x:v>
      </x:c>
      <x:c r="M151" s="14" t="n">
        <x:v>3</x:v>
      </x:c>
      <x:c r="N151" s="15" t="n">
        <x:f>IF(E151=0,"해당 없음",F151/E151)</x:f>
        <x:v>0.4519230769230769</x:v>
      </x:c>
      <x:c r="O151" s="15" t="n">
        <x:f>IF(E151=0,"해당 없음",G151/E151)</x:f>
        <x:v>0.10576923076923077</x:v>
      </x:c>
      <x:c r="P151" s="15" t="n">
        <x:f>IF(E151=0,"해당 없음",H151/E151)</x:f>
        <x:v>0.08653846153846154</x:v>
      </x:c>
      <x:c r="Q151" s="15" t="n">
        <x:f>IF(E151=0,"해당 없음",I151/E151)</x:f>
        <x:v>0.10576923076923077</x:v>
      </x:c>
      <x:c r="R151" s="15" t="n">
        <x:f>IF(E151=0,"해당 없음",J151/E151)</x:f>
        <x:v>0.038461538461538464</x:v>
      </x:c>
      <x:c r="S151" s="15" t="n">
        <x:f>IF(E151=0,"해당 없음",K151/E151)</x:f>
        <x:v>0.038461538461538464</x:v>
      </x:c>
      <x:c r="T151" s="15" t="n">
        <x:f>IF(E151=0,"해당 없음",L151/E151)</x:f>
        <x:v>0.14423076923076922</x:v>
      </x:c>
      <x:c r="U151" s="15" t="n">
        <x:f>IF(E151=0,"해당 없음",M151/E151)</x:f>
        <x:v>0.028846153846153848</x:v>
      </x:c>
      <x:c r="V151" s="16" t="n">
        <x:f>E151/5</x:f>
        <x:v>20.8</x:v>
      </x:c>
    </x:row>
    <x:row r="152" ht="22" customHeight="1">
      <x:c r="A152" s="2" t="n">
        <x:v>74</x:v>
      </x:c>
      <x:c r="B152" s="2" t="str">
        <x:v>RED</x:v>
      </x:c>
      <x:c r="C152" s="2" t="str">
        <x:v>규칙형</x:v>
      </x:c>
      <x:c r="D152" s="2" t="str">
        <x:v>40만</x:v>
      </x:c>
      <x:c r="E152" s="14" t="n">
        <x:f>SUM(F152:M152)</x:f>
        <x:v>102</x:v>
      </x:c>
      <x:c r="F152" s="14" t="n">
        <x:v>42</x:v>
      </x:c>
      <x:c r="G152" s="14" t="n">
        <x:v>5</x:v>
      </x:c>
      <x:c r="H152" s="14" t="n">
        <x:v>5</x:v>
      </x:c>
      <x:c r="I152" s="14" t="n">
        <x:v>9</x:v>
      </x:c>
      <x:c r="J152" s="14" t="n">
        <x:v>7</x:v>
      </x:c>
      <x:c r="K152" s="14" t="n">
        <x:v>8</x:v>
      </x:c>
      <x:c r="L152" s="14" t="n">
        <x:v>17</x:v>
      </x:c>
      <x:c r="M152" s="14" t="n">
        <x:v>9</x:v>
      </x:c>
      <x:c r="N152" s="15" t="n">
        <x:f>IF(E152=0,"해당 없음",F152/E152)</x:f>
        <x:v>0.4117647058823529</x:v>
      </x:c>
      <x:c r="O152" s="15" t="n">
        <x:f>IF(E152=0,"해당 없음",G152/E152)</x:f>
        <x:v>0.049019607843137254</x:v>
      </x:c>
      <x:c r="P152" s="15" t="n">
        <x:f>IF(E152=0,"해당 없음",H152/E152)</x:f>
        <x:v>0.049019607843137254</x:v>
      </x:c>
      <x:c r="Q152" s="15" t="n">
        <x:f>IF(E152=0,"해당 없음",I152/E152)</x:f>
        <x:v>0.08823529411764706</x:v>
      </x:c>
      <x:c r="R152" s="15" t="n">
        <x:f>IF(E152=0,"해당 없음",J152/E152)</x:f>
        <x:v>0.06862745098039216</x:v>
      </x:c>
      <x:c r="S152" s="15" t="n">
        <x:f>IF(E152=0,"해당 없음",K152/E152)</x:f>
        <x:v>0.0784313725490196</x:v>
      </x:c>
      <x:c r="T152" s="15" t="n">
        <x:f>IF(E152=0,"해당 없음",L152/E152)</x:f>
        <x:v>0.16666666666666666</x:v>
      </x:c>
      <x:c r="U152" s="15" t="n">
        <x:f>IF(E152=0,"해당 없음",M152/E152)</x:f>
        <x:v>0.08823529411764706</x:v>
      </x:c>
      <x:c r="V152" s="16" t="n">
        <x:f>E152/5</x:f>
        <x:v>20.4</x:v>
      </x:c>
    </x:row>
    <x:row r="153" ht="22" customHeight="1">
      <x:c r="A153" s="2" t="n">
        <x:v>74</x:v>
      </x:c>
      <x:c r="B153" s="2" t="str">
        <x:v>NAVY</x:v>
      </x:c>
      <x:c r="C153" s="2" t="str">
        <x:v>40만</x:v>
      </x:c>
      <x:c r="D153" s="2" t="str">
        <x:v>규칙형</x:v>
      </x:c>
      <x:c r="E153" s="14" t="n">
        <x:f>SUM(F153:M153)</x:f>
        <x:v>102</x:v>
      </x:c>
      <x:c r="F153" s="14" t="n">
        <x:v>4</x:v>
      </x:c>
      <x:c r="G153" s="14" t="n">
        <x:v>32</x:v>
      </x:c>
      <x:c r="H153" s="14" t="n">
        <x:v>2</x:v>
      </x:c>
      <x:c r="I153" s="14" t="n">
        <x:v>10</x:v>
      </x:c>
      <x:c r="J153" s="14" t="n">
        <x:v>2</x:v>
      </x:c>
      <x:c r="K153" s="14" t="n">
        <x:v>8</x:v>
      </x:c>
      <x:c r="L153" s="14" t="n">
        <x:v>41</x:v>
      </x:c>
      <x:c r="M153" s="14" t="n">
        <x:v>3</x:v>
      </x:c>
      <x:c r="N153" s="15" t="n">
        <x:f>IF(E153=0,"해당 없음",F153/E153)</x:f>
        <x:v>0.0392156862745098</x:v>
      </x:c>
      <x:c r="O153" s="15" t="n">
        <x:f>IF(E153=0,"해당 없음",G153/E153)</x:f>
        <x:v>0.3137254901960784</x:v>
      </x:c>
      <x:c r="P153" s="15" t="n">
        <x:f>IF(E153=0,"해당 없음",H153/E153)</x:f>
        <x:v>0.0196078431372549</x:v>
      </x:c>
      <x:c r="Q153" s="15" t="n">
        <x:f>IF(E153=0,"해당 없음",I153/E153)</x:f>
        <x:v>0.09803921568627451</x:v>
      </x:c>
      <x:c r="R153" s="15" t="n">
        <x:f>IF(E153=0,"해당 없음",J153/E153)</x:f>
        <x:v>0.0196078431372549</x:v>
      </x:c>
      <x:c r="S153" s="15" t="n">
        <x:f>IF(E153=0,"해당 없음",K153/E153)</x:f>
        <x:v>0.0784313725490196</x:v>
      </x:c>
      <x:c r="T153" s="15" t="n">
        <x:f>IF(E153=0,"해당 없음",L153/E153)</x:f>
        <x:v>0.4019607843137255</x:v>
      </x:c>
      <x:c r="U153" s="15" t="n">
        <x:f>IF(E153=0,"해당 없음",M153/E153)</x:f>
        <x:v>0.029411764705882353</x:v>
      </x:c>
      <x:c r="V153" s="16" t="n">
        <x:f>E153/5</x:f>
        <x:v>20.4</x:v>
      </x:c>
    </x:row>
    <x:row r="154" ht="22" customHeight="1">
      <x:c r="A154" s="2" t="n">
        <x:v>75</x:v>
      </x:c>
      <x:c r="B154" s="2" t="str">
        <x:v>RED</x:v>
      </x:c>
      <x:c r="C154" s="2" t="str">
        <x:v>40만</x:v>
      </x:c>
      <x:c r="D154" s="2" t="str">
        <x:v>규칙형</x:v>
      </x:c>
      <x:c r="E154" s="14" t="n">
        <x:f>SUM(F154:M154)</x:f>
        <x:v>103</x:v>
      </x:c>
      <x:c r="F154" s="14" t="n">
        <x:v>3</x:v>
      </x:c>
      <x:c r="G154" s="14" t="n">
        <x:v>27</x:v>
      </x:c>
      <x:c r="H154" s="14" t="n">
        <x:v>6</x:v>
      </x:c>
      <x:c r="I154" s="14" t="n">
        <x:v>6</x:v>
      </x:c>
      <x:c r="J154" s="14" t="n">
        <x:v>5</x:v>
      </x:c>
      <x:c r="K154" s="14" t="n">
        <x:v>12</x:v>
      </x:c>
      <x:c r="L154" s="14" t="n">
        <x:v>39</x:v>
      </x:c>
      <x:c r="M154" s="14" t="n">
        <x:v>5</x:v>
      </x:c>
      <x:c r="N154" s="15" t="n">
        <x:f>IF(E154=0,"해당 없음",F154/E154)</x:f>
        <x:v>0.02912621359223301</x:v>
      </x:c>
      <x:c r="O154" s="15" t="n">
        <x:f>IF(E154=0,"해당 없음",G154/E154)</x:f>
        <x:v>0.2621359223300971</x:v>
      </x:c>
      <x:c r="P154" s="15" t="n">
        <x:f>IF(E154=0,"해당 없음",H154/E154)</x:f>
        <x:v>0.05825242718446602</x:v>
      </x:c>
      <x:c r="Q154" s="15" t="n">
        <x:f>IF(E154=0,"해당 없음",I154/E154)</x:f>
        <x:v>0.05825242718446602</x:v>
      </x:c>
      <x:c r="R154" s="15" t="n">
        <x:f>IF(E154=0,"해당 없음",J154/E154)</x:f>
        <x:v>0.04854368932038835</x:v>
      </x:c>
      <x:c r="S154" s="15" t="n">
        <x:f>IF(E154=0,"해당 없음",K154/E154)</x:f>
        <x:v>0.11650485436893204</x:v>
      </x:c>
      <x:c r="T154" s="15" t="n">
        <x:f>IF(E154=0,"해당 없음",L154/E154)</x:f>
        <x:v>0.3786407766990291</x:v>
      </x:c>
      <x:c r="U154" s="15" t="n">
        <x:f>IF(E154=0,"해당 없음",M154/E154)</x:f>
        <x:v>0.04854368932038835</x:v>
      </x:c>
      <x:c r="V154" s="16" t="n">
        <x:f>E154/5</x:f>
        <x:v>20.6</x:v>
      </x:c>
    </x:row>
    <x:row r="155" ht="22" customHeight="1">
      <x:c r="A155" s="2" t="n">
        <x:v>75</x:v>
      </x:c>
      <x:c r="B155" s="2" t="str">
        <x:v>NAVY</x:v>
      </x:c>
      <x:c r="C155" s="2" t="str">
        <x:v>규칙형</x:v>
      </x:c>
      <x:c r="D155" s="2" t="str">
        <x:v>40만</x:v>
      </x:c>
      <x:c r="E155" s="14" t="n">
        <x:f>SUM(F155:M155)</x:f>
        <x:v>104</x:v>
      </x:c>
      <x:c r="F155" s="14" t="n">
        <x:v>42</x:v>
      </x:c>
      <x:c r="G155" s="14" t="n">
        <x:v>3</x:v>
      </x:c>
      <x:c r="H155" s="14" t="n">
        <x:v>12</x:v>
      </x:c>
      <x:c r="I155" s="14" t="n">
        <x:v>14</x:v>
      </x:c>
      <x:c r="J155" s="14" t="n">
        <x:v>8</x:v>
      </x:c>
      <x:c r="K155" s="14" t="n">
        <x:v>4</x:v>
      </x:c>
      <x:c r="L155" s="14" t="n">
        <x:v>15</x:v>
      </x:c>
      <x:c r="M155" s="14" t="n">
        <x:v>6</x:v>
      </x:c>
      <x:c r="N155" s="15" t="n">
        <x:f>IF(E155=0,"해당 없음",F155/E155)</x:f>
        <x:v>0.40384615384615385</x:v>
      </x:c>
      <x:c r="O155" s="15" t="n">
        <x:f>IF(E155=0,"해당 없음",G155/E155)</x:f>
        <x:v>0.028846153846153848</x:v>
      </x:c>
      <x:c r="P155" s="15" t="n">
        <x:f>IF(E155=0,"해당 없음",H155/E155)</x:f>
        <x:v>0.11538461538461539</x:v>
      </x:c>
      <x:c r="Q155" s="15" t="n">
        <x:f>IF(E155=0,"해당 없음",I155/E155)</x:f>
        <x:v>0.1346153846153846</x:v>
      </x:c>
      <x:c r="R155" s="15" t="n">
        <x:f>IF(E155=0,"해당 없음",J155/E155)</x:f>
        <x:v>0.07692307692307693</x:v>
      </x:c>
      <x:c r="S155" s="15" t="n">
        <x:f>IF(E155=0,"해당 없음",K155/E155)</x:f>
        <x:v>0.038461538461538464</x:v>
      </x:c>
      <x:c r="T155" s="15" t="n">
        <x:f>IF(E155=0,"해당 없음",L155/E155)</x:f>
        <x:v>0.14423076923076922</x:v>
      </x:c>
      <x:c r="U155" s="15" t="n">
        <x:f>IF(E155=0,"해당 없음",M155/E155)</x:f>
        <x:v>0.057692307692307696</x:v>
      </x:c>
      <x:c r="V155" s="16" t="n">
        <x:f>E155/5</x:f>
        <x:v>20.8</x:v>
      </x:c>
    </x:row>
    <x:row r="156" ht="22" customHeight="1">
      <x:c r="A156" s="2" t="n">
        <x:v>76</x:v>
      </x:c>
      <x:c r="B156" s="2" t="str">
        <x:v>RED</x:v>
      </x:c>
      <x:c r="C156" s="2" t="str">
        <x:v>규칙형</x:v>
      </x:c>
      <x:c r="D156" s="2" t="str">
        <x:v>40만</x:v>
      </x:c>
      <x:c r="E156" s="14" t="n">
        <x:f>SUM(F156:M156)</x:f>
        <x:v>103</x:v>
      </x:c>
      <x:c r="F156" s="14" t="n">
        <x:v>42</x:v>
      </x:c>
      <x:c r="G156" s="14" t="n">
        <x:v>5</x:v>
      </x:c>
      <x:c r="H156" s="14" t="n">
        <x:v>15</x:v>
      </x:c>
      <x:c r="I156" s="14" t="n">
        <x:v>15</x:v>
      </x:c>
      <x:c r="J156" s="14" t="n">
        <x:v>6</x:v>
      </x:c>
      <x:c r="K156" s="14" t="n">
        <x:v>4</x:v>
      </x:c>
      <x:c r="L156" s="14" t="n">
        <x:v>11</x:v>
      </x:c>
      <x:c r="M156" s="14" t="n">
        <x:v>5</x:v>
      </x:c>
      <x:c r="N156" s="15" t="n">
        <x:f>IF(E156=0,"해당 없음",F156/E156)</x:f>
        <x:v>0.4077669902912621</x:v>
      </x:c>
      <x:c r="O156" s="15" t="n">
        <x:f>IF(E156=0,"해당 없음",G156/E156)</x:f>
        <x:v>0.04854368932038835</x:v>
      </x:c>
      <x:c r="P156" s="15" t="n">
        <x:f>IF(E156=0,"해당 없음",H156/E156)</x:f>
        <x:v>0.14563106796116504</x:v>
      </x:c>
      <x:c r="Q156" s="15" t="n">
        <x:f>IF(E156=0,"해당 없음",I156/E156)</x:f>
        <x:v>0.14563106796116504</x:v>
      </x:c>
      <x:c r="R156" s="15" t="n">
        <x:f>IF(E156=0,"해당 없음",J156/E156)</x:f>
        <x:v>0.05825242718446602</x:v>
      </x:c>
      <x:c r="S156" s="15" t="n">
        <x:f>IF(E156=0,"해당 없음",K156/E156)</x:f>
        <x:v>0.038834951456310676</x:v>
      </x:c>
      <x:c r="T156" s="15" t="n">
        <x:f>IF(E156=0,"해당 없음",L156/E156)</x:f>
        <x:v>0.10679611650485436</x:v>
      </x:c>
      <x:c r="U156" s="15" t="n">
        <x:f>IF(E156=0,"해당 없음",M156/E156)</x:f>
        <x:v>0.04854368932038835</x:v>
      </x:c>
      <x:c r="V156" s="16" t="n">
        <x:f>E156/5</x:f>
        <x:v>20.6</x:v>
      </x:c>
    </x:row>
    <x:row r="157" ht="22" customHeight="1">
      <x:c r="A157" s="2" t="n">
        <x:v>76</x:v>
      </x:c>
      <x:c r="B157" s="2" t="str">
        <x:v>NAVY</x:v>
      </x:c>
      <x:c r="C157" s="2" t="str">
        <x:v>40만</x:v>
      </x:c>
      <x:c r="D157" s="2" t="str">
        <x:v>규칙형</x:v>
      </x:c>
      <x:c r="E157" s="14" t="n">
        <x:f>SUM(F157:M157)</x:f>
        <x:v>103</x:v>
      </x:c>
      <x:c r="F157" s="14" t="n">
        <x:v>2</x:v>
      </x:c>
      <x:c r="G157" s="14" t="n">
        <x:v>34</x:v>
      </x:c>
      <x:c r="H157" s="14" t="n">
        <x:v>14</x:v>
      </x:c>
      <x:c r="I157" s="14" t="n">
        <x:v>4</x:v>
      </x:c>
      <x:c r="J157" s="14" t="n">
        <x:v>11</x:v>
      </x:c>
      <x:c r="K157" s="14" t="n">
        <x:v>1</x:v>
      </x:c>
      <x:c r="L157" s="14" t="n">
        <x:v>35</x:v>
      </x:c>
      <x:c r="M157" s="14" t="n">
        <x:v>2</x:v>
      </x:c>
      <x:c r="N157" s="15" t="n">
        <x:f>IF(E157=0,"해당 없음",F157/E157)</x:f>
        <x:v>0.019417475728155338</x:v>
      </x:c>
      <x:c r="O157" s="15" t="n">
        <x:f>IF(E157=0,"해당 없음",G157/E157)</x:f>
        <x:v>0.3300970873786408</x:v>
      </x:c>
      <x:c r="P157" s="15" t="n">
        <x:f>IF(E157=0,"해당 없음",H157/E157)</x:f>
        <x:v>0.13592233009708737</x:v>
      </x:c>
      <x:c r="Q157" s="15" t="n">
        <x:f>IF(E157=0,"해당 없음",I157/E157)</x:f>
        <x:v>0.038834951456310676</x:v>
      </x:c>
      <x:c r="R157" s="15" t="n">
        <x:f>IF(E157=0,"해당 없음",J157/E157)</x:f>
        <x:v>0.10679611650485436</x:v>
      </x:c>
      <x:c r="S157" s="15" t="n">
        <x:f>IF(E157=0,"해당 없음",K157/E157)</x:f>
        <x:v>0.009708737864077669</x:v>
      </x:c>
      <x:c r="T157" s="15" t="n">
        <x:f>IF(E157=0,"해당 없음",L157/E157)</x:f>
        <x:v>0.33980582524271846</x:v>
      </x:c>
      <x:c r="U157" s="15" t="n">
        <x:f>IF(E157=0,"해당 없음",M157/E157)</x:f>
        <x:v>0.019417475728155338</x:v>
      </x:c>
      <x:c r="V157" s="16" t="n">
        <x:f>E157/5</x:f>
        <x:v>20.6</x:v>
      </x:c>
    </x:row>
    <x:row r="158" ht="22" customHeight="1">
      <x:c r="A158" s="2" t="n">
        <x:v>77</x:v>
      </x:c>
      <x:c r="B158" s="2" t="str">
        <x:v>RED</x:v>
      </x:c>
      <x:c r="C158" s="2" t="str">
        <x:v>40만</x:v>
      </x:c>
      <x:c r="D158" s="2" t="str">
        <x:v>규칙형</x:v>
      </x:c>
      <x:c r="E158" s="14" t="n">
        <x:f>SUM(F158:M158)</x:f>
        <x:v>104</x:v>
      </x:c>
      <x:c r="F158" s="14" t="n">
        <x:v>5</x:v>
      </x:c>
      <x:c r="G158" s="14" t="n">
        <x:v>27</x:v>
      </x:c>
      <x:c r="H158" s="14" t="n">
        <x:v>9</x:v>
      </x:c>
      <x:c r="I158" s="14" t="n">
        <x:v>9</x:v>
      </x:c>
      <x:c r="J158" s="14" t="n">
        <x:v>4</x:v>
      </x:c>
      <x:c r="K158" s="14" t="n">
        <x:v>4</x:v>
      </x:c>
      <x:c r="L158" s="14" t="n">
        <x:v>42</x:v>
      </x:c>
      <x:c r="M158" s="14" t="n">
        <x:v>4</x:v>
      </x:c>
      <x:c r="N158" s="15" t="n">
        <x:f>IF(E158=0,"해당 없음",F158/E158)</x:f>
        <x:v>0.04807692307692308</x:v>
      </x:c>
      <x:c r="O158" s="15" t="n">
        <x:f>IF(E158=0,"해당 없음",G158/E158)</x:f>
        <x:v>0.25961538461538464</x:v>
      </x:c>
      <x:c r="P158" s="15" t="n">
        <x:f>IF(E158=0,"해당 없음",H158/E158)</x:f>
        <x:v>0.08653846153846154</x:v>
      </x:c>
      <x:c r="Q158" s="15" t="n">
        <x:f>IF(E158=0,"해당 없음",I158/E158)</x:f>
        <x:v>0.08653846153846154</x:v>
      </x:c>
      <x:c r="R158" s="15" t="n">
        <x:f>IF(E158=0,"해당 없음",J158/E158)</x:f>
        <x:v>0.038461538461538464</x:v>
      </x:c>
      <x:c r="S158" s="15" t="n">
        <x:f>IF(E158=0,"해당 없음",K158/E158)</x:f>
        <x:v>0.038461538461538464</x:v>
      </x:c>
      <x:c r="T158" s="15" t="n">
        <x:f>IF(E158=0,"해당 없음",L158/E158)</x:f>
        <x:v>0.40384615384615385</x:v>
      </x:c>
      <x:c r="U158" s="15" t="n">
        <x:f>IF(E158=0,"해당 없음",M158/E158)</x:f>
        <x:v>0.038461538461538464</x:v>
      </x:c>
      <x:c r="V158" s="16" t="n">
        <x:f>E158/5</x:f>
        <x:v>20.8</x:v>
      </x:c>
    </x:row>
    <x:row r="159" ht="22" customHeight="1">
      <x:c r="A159" s="2" t="n">
        <x:v>77</x:v>
      </x:c>
      <x:c r="B159" s="2" t="str">
        <x:v>NAVY</x:v>
      </x:c>
      <x:c r="C159" s="2" t="str">
        <x:v>규칙형</x:v>
      </x:c>
      <x:c r="D159" s="2" t="str">
        <x:v>40만</x:v>
      </x:c>
      <x:c r="E159" s="14" t="n">
        <x:f>SUM(F159:M159)</x:f>
        <x:v>104</x:v>
      </x:c>
      <x:c r="F159" s="14" t="n">
        <x:v>46</x:v>
      </x:c>
      <x:c r="G159" s="14" t="n">
        <x:v>4</x:v>
      </x:c>
      <x:c r="H159" s="14" t="n">
        <x:v>7</x:v>
      </x:c>
      <x:c r="I159" s="14" t="n">
        <x:v>8</x:v>
      </x:c>
      <x:c r="J159" s="14" t="n">
        <x:v>7</x:v>
      </x:c>
      <x:c r="K159" s="14" t="n">
        <x:v>2</x:v>
      </x:c>
      <x:c r="L159" s="14" t="n">
        <x:v>24</x:v>
      </x:c>
      <x:c r="M159" s="14" t="n">
        <x:v>6</x:v>
      </x:c>
      <x:c r="N159" s="15" t="n">
        <x:f>IF(E159=0,"해당 없음",F159/E159)</x:f>
        <x:v>0.4423076923076923</x:v>
      </x:c>
      <x:c r="O159" s="15" t="n">
        <x:f>IF(E159=0,"해당 없음",G159/E159)</x:f>
        <x:v>0.038461538461538464</x:v>
      </x:c>
      <x:c r="P159" s="15" t="n">
        <x:f>IF(E159=0,"해당 없음",H159/E159)</x:f>
        <x:v>0.0673076923076923</x:v>
      </x:c>
      <x:c r="Q159" s="15" t="n">
        <x:f>IF(E159=0,"해당 없음",I159/E159)</x:f>
        <x:v>0.07692307692307693</x:v>
      </x:c>
      <x:c r="R159" s="15" t="n">
        <x:f>IF(E159=0,"해당 없음",J159/E159)</x:f>
        <x:v>0.0673076923076923</x:v>
      </x:c>
      <x:c r="S159" s="15" t="n">
        <x:f>IF(E159=0,"해당 없음",K159/E159)</x:f>
        <x:v>0.019230769230769232</x:v>
      </x:c>
      <x:c r="T159" s="15" t="n">
        <x:f>IF(E159=0,"해당 없음",L159/E159)</x:f>
        <x:v>0.23076923076923078</x:v>
      </x:c>
      <x:c r="U159" s="15" t="n">
        <x:f>IF(E159=0,"해당 없음",M159/E159)</x:f>
        <x:v>0.057692307692307696</x:v>
      </x:c>
      <x:c r="V159" s="16" t="n">
        <x:f>E159/5</x:f>
        <x:v>20.8</x:v>
      </x:c>
    </x:row>
    <x:row r="160" ht="22" customHeight="1">
      <x:c r="A160" s="2" t="n">
        <x:v>78</x:v>
      </x:c>
      <x:c r="B160" s="2" t="str">
        <x:v>RED</x:v>
      </x:c>
      <x:c r="C160" s="2" t="str">
        <x:v>규칙형</x:v>
      </x:c>
      <x:c r="D160" s="2" t="str">
        <x:v>40만</x:v>
      </x:c>
      <x:c r="E160" s="14" t="n">
        <x:f>SUM(F160:M160)</x:f>
        <x:v>105</x:v>
      </x:c>
      <x:c r="F160" s="14" t="n">
        <x:v>44</x:v>
      </x:c>
      <x:c r="G160" s="14" t="n">
        <x:v>4</x:v>
      </x:c>
      <x:c r="H160" s="14" t="n">
        <x:v>4</x:v>
      </x:c>
      <x:c r="I160" s="14" t="n">
        <x:v>11</x:v>
      </x:c>
      <x:c r="J160" s="14" t="n">
        <x:v>11</x:v>
      </x:c>
      <x:c r="K160" s="14" t="n">
        <x:v>6</x:v>
      </x:c>
      <x:c r="L160" s="14" t="n">
        <x:v>19</x:v>
      </x:c>
      <x:c r="M160" s="14" t="n">
        <x:v>6</x:v>
      </x:c>
      <x:c r="N160" s="15" t="n">
        <x:f>IF(E160=0,"해당 없음",F160/E160)</x:f>
        <x:v>0.41904761904761906</x:v>
      </x:c>
      <x:c r="O160" s="15" t="n">
        <x:f>IF(E160=0,"해당 없음",G160/E160)</x:f>
        <x:v>0.0380952380952381</x:v>
      </x:c>
      <x:c r="P160" s="15" t="n">
        <x:f>IF(E160=0,"해당 없음",H160/E160)</x:f>
        <x:v>0.0380952380952381</x:v>
      </x:c>
      <x:c r="Q160" s="15" t="n">
        <x:f>IF(E160=0,"해당 없음",I160/E160)</x:f>
        <x:v>0.10476190476190476</x:v>
      </x:c>
      <x:c r="R160" s="15" t="n">
        <x:f>IF(E160=0,"해당 없음",J160/E160)</x:f>
        <x:v>0.10476190476190476</x:v>
      </x:c>
      <x:c r="S160" s="15" t="n">
        <x:f>IF(E160=0,"해당 없음",K160/E160)</x:f>
        <x:v>0.05714285714285714</x:v>
      </x:c>
      <x:c r="T160" s="15" t="n">
        <x:f>IF(E160=0,"해당 없음",L160/E160)</x:f>
        <x:v>0.18095238095238095</x:v>
      </x:c>
      <x:c r="U160" s="15" t="n">
        <x:f>IF(E160=0,"해당 없음",M160/E160)</x:f>
        <x:v>0.05714285714285714</x:v>
      </x:c>
      <x:c r="V160" s="16" t="n">
        <x:f>E160/5</x:f>
        <x:v>21</x:v>
      </x:c>
    </x:row>
    <x:row r="161" ht="22" customHeight="1">
      <x:c r="A161" s="2" t="n">
        <x:v>78</x:v>
      </x:c>
      <x:c r="B161" s="2" t="str">
        <x:v>NAVY</x:v>
      </x:c>
      <x:c r="C161" s="2" t="str">
        <x:v>40만</x:v>
      </x:c>
      <x:c r="D161" s="2" t="str">
        <x:v>규칙형</x:v>
      </x:c>
      <x:c r="E161" s="14" t="n">
        <x:f>SUM(F161:M161)</x:f>
        <x:v>105</x:v>
      </x:c>
      <x:c r="F161" s="14" t="n">
        <x:v>3</x:v>
      </x:c>
      <x:c r="G161" s="14" t="n">
        <x:v>31</x:v>
      </x:c>
      <x:c r="H161" s="14" t="n">
        <x:v>7</x:v>
      </x:c>
      <x:c r="I161" s="14" t="n">
        <x:v>5</x:v>
      </x:c>
      <x:c r="J161" s="14" t="n">
        <x:v>7</x:v>
      </x:c>
      <x:c r="K161" s="14" t="n">
        <x:v>4</x:v>
      </x:c>
      <x:c r="L161" s="14" t="n">
        <x:v>41</x:v>
      </x:c>
      <x:c r="M161" s="14" t="n">
        <x:v>7</x:v>
      </x:c>
      <x:c r="N161" s="15" t="n">
        <x:f>IF(E161=0,"해당 없음",F161/E161)</x:f>
        <x:v>0.02857142857142857</x:v>
      </x:c>
      <x:c r="O161" s="15" t="n">
        <x:f>IF(E161=0,"해당 없음",G161/E161)</x:f>
        <x:v>0.29523809523809524</x:v>
      </x:c>
      <x:c r="P161" s="15" t="n">
        <x:f>IF(E161=0,"해당 없음",H161/E161)</x:f>
        <x:v>0.06666666666666667</x:v>
      </x:c>
      <x:c r="Q161" s="15" t="n">
        <x:f>IF(E161=0,"해당 없음",I161/E161)</x:f>
        <x:v>0.047619047619047616</x:v>
      </x:c>
      <x:c r="R161" s="15" t="n">
        <x:f>IF(E161=0,"해당 없음",J161/E161)</x:f>
        <x:v>0.06666666666666667</x:v>
      </x:c>
      <x:c r="S161" s="15" t="n">
        <x:f>IF(E161=0,"해당 없음",K161/E161)</x:f>
        <x:v>0.0380952380952381</x:v>
      </x:c>
      <x:c r="T161" s="15" t="n">
        <x:f>IF(E161=0,"해당 없음",L161/E161)</x:f>
        <x:v>0.3904761904761905</x:v>
      </x:c>
      <x:c r="U161" s="15" t="n">
        <x:f>IF(E161=0,"해당 없음",M161/E161)</x:f>
        <x:v>0.06666666666666667</x:v>
      </x:c>
      <x:c r="V161" s="16" t="n">
        <x:f>E161/5</x:f>
        <x:v>21</x:v>
      </x:c>
    </x:row>
    <x:row r="162" ht="22" customHeight="1">
      <x:c r="A162" s="2" t="n">
        <x:v>79</x:v>
      </x:c>
      <x:c r="B162" s="2" t="str">
        <x:v>RED</x:v>
      </x:c>
      <x:c r="C162" s="2" t="str">
        <x:v>40만</x:v>
      </x:c>
      <x:c r="D162" s="2" t="str">
        <x:v>규칙형</x:v>
      </x:c>
      <x:c r="E162" s="14" t="n">
        <x:f>SUM(F162:M162)</x:f>
        <x:v>103</x:v>
      </x:c>
      <x:c r="F162" s="14" t="n">
        <x:v>5</x:v>
      </x:c>
      <x:c r="G162" s="14" t="n">
        <x:v>31</x:v>
      </x:c>
      <x:c r="H162" s="14" t="n">
        <x:v>6</x:v>
      </x:c>
      <x:c r="I162" s="14" t="n">
        <x:v>5</x:v>
      </x:c>
      <x:c r="J162" s="14" t="n">
        <x:v>7</x:v>
      </x:c>
      <x:c r="K162" s="14" t="n">
        <x:v>4</x:v>
      </x:c>
      <x:c r="L162" s="14" t="n">
        <x:v>42</x:v>
      </x:c>
      <x:c r="M162" s="14" t="n">
        <x:v>3</x:v>
      </x:c>
      <x:c r="N162" s="15" t="n">
        <x:f>IF(E162=0,"해당 없음",F162/E162)</x:f>
        <x:v>0.04854368932038835</x:v>
      </x:c>
      <x:c r="O162" s="15" t="n">
        <x:f>IF(E162=0,"해당 없음",G162/E162)</x:f>
        <x:v>0.30097087378640774</x:v>
      </x:c>
      <x:c r="P162" s="15" t="n">
        <x:f>IF(E162=0,"해당 없음",H162/E162)</x:f>
        <x:v>0.05825242718446602</x:v>
      </x:c>
      <x:c r="Q162" s="15" t="n">
        <x:f>IF(E162=0,"해당 없음",I162/E162)</x:f>
        <x:v>0.04854368932038835</x:v>
      </x:c>
      <x:c r="R162" s="15" t="n">
        <x:f>IF(E162=0,"해당 없음",J162/E162)</x:f>
        <x:v>0.06796116504854369</x:v>
      </x:c>
      <x:c r="S162" s="15" t="n">
        <x:f>IF(E162=0,"해당 없음",K162/E162)</x:f>
        <x:v>0.038834951456310676</x:v>
      </x:c>
      <x:c r="T162" s="15" t="n">
        <x:f>IF(E162=0,"해당 없음",L162/E162)</x:f>
        <x:v>0.4077669902912621</x:v>
      </x:c>
      <x:c r="U162" s="15" t="n">
        <x:f>IF(E162=0,"해당 없음",M162/E162)</x:f>
        <x:v>0.02912621359223301</x:v>
      </x:c>
      <x:c r="V162" s="16" t="n">
        <x:f>E162/5</x:f>
        <x:v>20.6</x:v>
      </x:c>
    </x:row>
    <x:row r="163" ht="22" customHeight="1">
      <x:c r="A163" s="2" t="n">
        <x:v>79</x:v>
      </x:c>
      <x:c r="B163" s="2" t="str">
        <x:v>NAVY</x:v>
      </x:c>
      <x:c r="C163" s="2" t="str">
        <x:v>규칙형</x:v>
      </x:c>
      <x:c r="D163" s="2" t="str">
        <x:v>40만</x:v>
      </x:c>
      <x:c r="E163" s="14" t="n">
        <x:f>SUM(F163:M163)</x:f>
        <x:v>105</x:v>
      </x:c>
      <x:c r="F163" s="14" t="n">
        <x:v>43</x:v>
      </x:c>
      <x:c r="G163" s="14" t="n">
        <x:v>6</x:v>
      </x:c>
      <x:c r="H163" s="14" t="n">
        <x:v>5</x:v>
      </x:c>
      <x:c r="I163" s="14" t="n">
        <x:v>14</x:v>
      </x:c>
      <x:c r="J163" s="14" t="n">
        <x:v>7</x:v>
      </x:c>
      <x:c r="K163" s="14" t="n">
        <x:v>5</x:v>
      </x:c>
      <x:c r="L163" s="14" t="n">
        <x:v>15</x:v>
      </x:c>
      <x:c r="M163" s="14" t="n">
        <x:v>10</x:v>
      </x:c>
      <x:c r="N163" s="15" t="n">
        <x:f>IF(E163=0,"해당 없음",F163/E163)</x:f>
        <x:v>0.4095238095238095</x:v>
      </x:c>
      <x:c r="O163" s="15" t="n">
        <x:f>IF(E163=0,"해당 없음",G163/E163)</x:f>
        <x:v>0.05714285714285714</x:v>
      </x:c>
      <x:c r="P163" s="15" t="n">
        <x:f>IF(E163=0,"해당 없음",H163/E163)</x:f>
        <x:v>0.047619047619047616</x:v>
      </x:c>
      <x:c r="Q163" s="15" t="n">
        <x:f>IF(E163=0,"해당 없음",I163/E163)</x:f>
        <x:v>0.13333333333333333</x:v>
      </x:c>
      <x:c r="R163" s="15" t="n">
        <x:f>IF(E163=0,"해당 없음",J163/E163)</x:f>
        <x:v>0.06666666666666667</x:v>
      </x:c>
      <x:c r="S163" s="15" t="n">
        <x:f>IF(E163=0,"해당 없음",K163/E163)</x:f>
        <x:v>0.047619047619047616</x:v>
      </x:c>
      <x:c r="T163" s="15" t="n">
        <x:f>IF(E163=0,"해당 없음",L163/E163)</x:f>
        <x:v>0.14285714285714285</x:v>
      </x:c>
      <x:c r="U163" s="15" t="n">
        <x:f>IF(E163=0,"해당 없음",M163/E163)</x:f>
        <x:v>0.09523809523809523</x:v>
      </x:c>
      <x:c r="V163" s="16" t="n">
        <x:f>E163/5</x:f>
        <x:v>21</x:v>
      </x:c>
    </x:row>
    <x:row r="164" ht="22" customHeight="1">
      <x:c r="A164" s="2" t="n">
        <x:v>80</x:v>
      </x:c>
      <x:c r="B164" s="2" t="str">
        <x:v>RED</x:v>
      </x:c>
      <x:c r="C164" s="2" t="str">
        <x:v>규칙형</x:v>
      </x:c>
      <x:c r="D164" s="2" t="str">
        <x:v>40만</x:v>
      </x:c>
      <x:c r="E164" s="14" t="n">
        <x:f>SUM(F164:M164)</x:f>
        <x:v>103</x:v>
      </x:c>
      <x:c r="F164" s="14" t="n">
        <x:v>42</x:v>
      </x:c>
      <x:c r="G164" s="14" t="n">
        <x:v>6</x:v>
      </x:c>
      <x:c r="H164" s="14" t="n">
        <x:v>6</x:v>
      </x:c>
      <x:c r="I164" s="14" t="n">
        <x:v>20</x:v>
      </x:c>
      <x:c r="J164" s="14" t="n">
        <x:v>4</x:v>
      </x:c>
      <x:c r="K164" s="14" t="n">
        <x:v>8</x:v>
      </x:c>
      <x:c r="L164" s="14" t="n">
        <x:v>13</x:v>
      </x:c>
      <x:c r="M164" s="14" t="n">
        <x:v>4</x:v>
      </x:c>
      <x:c r="N164" s="15" t="n">
        <x:f>IF(E164=0,"해당 없음",F164/E164)</x:f>
        <x:v>0.4077669902912621</x:v>
      </x:c>
      <x:c r="O164" s="15" t="n">
        <x:f>IF(E164=0,"해당 없음",G164/E164)</x:f>
        <x:v>0.05825242718446602</x:v>
      </x:c>
      <x:c r="P164" s="15" t="n">
        <x:f>IF(E164=0,"해당 없음",H164/E164)</x:f>
        <x:v>0.05825242718446602</x:v>
      </x:c>
      <x:c r="Q164" s="15" t="n">
        <x:f>IF(E164=0,"해당 없음",I164/E164)</x:f>
        <x:v>0.1941747572815534</x:v>
      </x:c>
      <x:c r="R164" s="15" t="n">
        <x:f>IF(E164=0,"해당 없음",J164/E164)</x:f>
        <x:v>0.038834951456310676</x:v>
      </x:c>
      <x:c r="S164" s="15" t="n">
        <x:f>IF(E164=0,"해당 없음",K164/E164)</x:f>
        <x:v>0.07766990291262135</x:v>
      </x:c>
      <x:c r="T164" s="15" t="n">
        <x:f>IF(E164=0,"해당 없음",L164/E164)</x:f>
        <x:v>0.1262135922330097</x:v>
      </x:c>
      <x:c r="U164" s="15" t="n">
        <x:f>IF(E164=0,"해당 없음",M164/E164)</x:f>
        <x:v>0.038834951456310676</x:v>
      </x:c>
      <x:c r="V164" s="16" t="n">
        <x:f>E164/5</x:f>
        <x:v>20.6</x:v>
      </x:c>
    </x:row>
    <x:row r="165" ht="22" customHeight="1">
      <x:c r="A165" s="2" t="n">
        <x:v>80</x:v>
      </x:c>
      <x:c r="B165" s="2" t="str">
        <x:v>NAVY</x:v>
      </x:c>
      <x:c r="C165" s="2" t="str">
        <x:v>40만</x:v>
      </x:c>
      <x:c r="D165" s="2" t="str">
        <x:v>규칙형</x:v>
      </x:c>
      <x:c r="E165" s="14" t="n">
        <x:f>SUM(F165:M165)</x:f>
        <x:v>103</x:v>
      </x:c>
      <x:c r="F165" s="14" t="n">
        <x:v>3</x:v>
      </x:c>
      <x:c r="G165" s="14" t="n">
        <x:v>31</x:v>
      </x:c>
      <x:c r="H165" s="14" t="n">
        <x:v>11</x:v>
      </x:c>
      <x:c r="I165" s="14" t="n">
        <x:v>3</x:v>
      </x:c>
      <x:c r="J165" s="14" t="n">
        <x:v>6</x:v>
      </x:c>
      <x:c r="K165" s="14" t="n">
        <x:v>7</x:v>
      </x:c>
      <x:c r="L165" s="14" t="n">
        <x:v>39</x:v>
      </x:c>
      <x:c r="M165" s="14" t="n">
        <x:v>3</x:v>
      </x:c>
      <x:c r="N165" s="15" t="n">
        <x:f>IF(E165=0,"해당 없음",F165/E165)</x:f>
        <x:v>0.02912621359223301</x:v>
      </x:c>
      <x:c r="O165" s="15" t="n">
        <x:f>IF(E165=0,"해당 없음",G165/E165)</x:f>
        <x:v>0.30097087378640774</x:v>
      </x:c>
      <x:c r="P165" s="15" t="n">
        <x:f>IF(E165=0,"해당 없음",H165/E165)</x:f>
        <x:v>0.10679611650485436</x:v>
      </x:c>
      <x:c r="Q165" s="15" t="n">
        <x:f>IF(E165=0,"해당 없음",I165/E165)</x:f>
        <x:v>0.02912621359223301</x:v>
      </x:c>
      <x:c r="R165" s="15" t="n">
        <x:f>IF(E165=0,"해당 없음",J165/E165)</x:f>
        <x:v>0.05825242718446602</x:v>
      </x:c>
      <x:c r="S165" s="15" t="n">
        <x:f>IF(E165=0,"해당 없음",K165/E165)</x:f>
        <x:v>0.06796116504854369</x:v>
      </x:c>
      <x:c r="T165" s="15" t="n">
        <x:f>IF(E165=0,"해당 없음",L165/E165)</x:f>
        <x:v>0.3786407766990291</x:v>
      </x:c>
      <x:c r="U165" s="15" t="n">
        <x:f>IF(E165=0,"해당 없음",M165/E165)</x:f>
        <x:v>0.02912621359223301</x:v>
      </x:c>
      <x:c r="V165" s="16" t="n">
        <x:f>E165/5</x:f>
        <x:v>20.6</x:v>
      </x:c>
    </x:row>
    <x:row r="166" ht="22" customHeight="1">
      <x:c r="A166" s="2" t="n">
        <x:v>81</x:v>
      </x:c>
      <x:c r="B166" s="2" t="str">
        <x:v>RED</x:v>
      </x:c>
      <x:c r="C166" s="2" t="str">
        <x:v>80만</x:v>
      </x:c>
      <x:c r="D166" s="2" t="str">
        <x:v>규칙형</x:v>
      </x:c>
      <x:c r="E166" s="14" t="n">
        <x:f>SUM(F166:M166)</x:f>
        <x:v>101</x:v>
      </x:c>
      <x:c r="F166" s="14" t="n">
        <x:v>3</x:v>
      </x:c>
      <x:c r="G166" s="14" t="n">
        <x:v>17</x:v>
      </x:c>
      <x:c r="H166" s="14" t="n">
        <x:v>8</x:v>
      </x:c>
      <x:c r="I166" s="14" t="n">
        <x:v>9</x:v>
      </x:c>
      <x:c r="J166" s="14" t="n">
        <x:v>1</x:v>
      </x:c>
      <x:c r="K166" s="14" t="n">
        <x:v>7</x:v>
      </x:c>
      <x:c r="L166" s="14" t="n">
        <x:v>35</x:v>
      </x:c>
      <x:c r="M166" s="14" t="n">
        <x:v>21</x:v>
      </x:c>
      <x:c r="N166" s="15" t="n">
        <x:f>IF(E166=0,"해당 없음",F166/E166)</x:f>
        <x:v>0.0297029702970297</x:v>
      </x:c>
      <x:c r="O166" s="15" t="n">
        <x:f>IF(E166=0,"해당 없음",G166/E166)</x:f>
        <x:v>0.16831683168316833</x:v>
      </x:c>
      <x:c r="P166" s="15" t="n">
        <x:f>IF(E166=0,"해당 없음",H166/E166)</x:f>
        <x:v>0.07920792079207921</x:v>
      </x:c>
      <x:c r="Q166" s="15" t="n">
        <x:f>IF(E166=0,"해당 없음",I166/E166)</x:f>
        <x:v>0.0891089108910891</x:v>
      </x:c>
      <x:c r="R166" s="15" t="n">
        <x:f>IF(E166=0,"해당 없음",J166/E166)</x:f>
        <x:v>0.009900990099009901</x:v>
      </x:c>
      <x:c r="S166" s="15" t="n">
        <x:f>IF(E166=0,"해당 없음",K166/E166)</x:f>
        <x:v>0.06930693069306931</x:v>
      </x:c>
      <x:c r="T166" s="15" t="n">
        <x:f>IF(E166=0,"해당 없음",L166/E166)</x:f>
        <x:v>0.3465346534653465</x:v>
      </x:c>
      <x:c r="U166" s="15" t="n">
        <x:f>IF(E166=0,"해당 없음",M166/E166)</x:f>
        <x:v>0.2079207920792079</x:v>
      </x:c>
      <x:c r="V166" s="16" t="n">
        <x:f>E166/5</x:f>
        <x:v>20.2</x:v>
      </x:c>
    </x:row>
    <x:row r="167" ht="22" customHeight="1">
      <x:c r="A167" s="2" t="n">
        <x:v>81</x:v>
      </x:c>
      <x:c r="B167" s="2" t="str">
        <x:v>NAVY</x:v>
      </x:c>
      <x:c r="C167" s="2" t="str">
        <x:v>규칙형</x:v>
      </x:c>
      <x:c r="D167" s="2" t="str">
        <x:v>80만</x:v>
      </x:c>
      <x:c r="E167" s="14" t="n">
        <x:f>SUM(F167:M167)</x:f>
        <x:v>101</x:v>
      </x:c>
      <x:c r="F167" s="14" t="n">
        <x:v>42</x:v>
      </x:c>
      <x:c r="G167" s="14" t="n">
        <x:v>7</x:v>
      </x:c>
      <x:c r="H167" s="14" t="n">
        <x:v>3</x:v>
      </x:c>
      <x:c r="I167" s="14" t="n">
        <x:v>14</x:v>
      </x:c>
      <x:c r="J167" s="14" t="n">
        <x:v>11</x:v>
      </x:c>
      <x:c r="K167" s="14" t="n">
        <x:v>3</x:v>
      </x:c>
      <x:c r="L167" s="14" t="n">
        <x:v>15</x:v>
      </x:c>
      <x:c r="M167" s="14" t="n">
        <x:v>6</x:v>
      </x:c>
      <x:c r="N167" s="15" t="n">
        <x:f>IF(E167=0,"해당 없음",F167/E167)</x:f>
        <x:v>0.4158415841584158</x:v>
      </x:c>
      <x:c r="O167" s="15" t="n">
        <x:f>IF(E167=0,"해당 없음",G167/E167)</x:f>
        <x:v>0.06930693069306931</x:v>
      </x:c>
      <x:c r="P167" s="15" t="n">
        <x:f>IF(E167=0,"해당 없음",H167/E167)</x:f>
        <x:v>0.0297029702970297</x:v>
      </x:c>
      <x:c r="Q167" s="15" t="n">
        <x:f>IF(E167=0,"해당 없음",I167/E167)</x:f>
        <x:v>0.13861386138613863</x:v>
      </x:c>
      <x:c r="R167" s="15" t="n">
        <x:f>IF(E167=0,"해당 없음",J167/E167)</x:f>
        <x:v>0.10891089108910891</x:v>
      </x:c>
      <x:c r="S167" s="15" t="n">
        <x:f>IF(E167=0,"해당 없음",K167/E167)</x:f>
        <x:v>0.0297029702970297</x:v>
      </x:c>
      <x:c r="T167" s="15" t="n">
        <x:f>IF(E167=0,"해당 없음",L167/E167)</x:f>
        <x:v>0.1485148514851485</x:v>
      </x:c>
      <x:c r="U167" s="15" t="n">
        <x:f>IF(E167=0,"해당 없음",M167/E167)</x:f>
        <x:v>0.0594059405940594</x:v>
      </x:c>
      <x:c r="V167" s="16" t="n">
        <x:f>E167/5</x:f>
        <x:v>20.2</x:v>
      </x:c>
    </x:row>
    <x:row r="168" ht="22" customHeight="1">
      <x:c r="A168" s="2" t="n">
        <x:v>82</x:v>
      </x:c>
      <x:c r="B168" s="2" t="str">
        <x:v>RED</x:v>
      </x:c>
      <x:c r="C168" s="2" t="str">
        <x:v>규칙형</x:v>
      </x:c>
      <x:c r="D168" s="2" t="str">
        <x:v>80만</x:v>
      </x:c>
      <x:c r="E168" s="14" t="n">
        <x:f>SUM(F168:M168)</x:f>
        <x:v>104</x:v>
      </x:c>
      <x:c r="F168" s="14" t="n">
        <x:v>32</x:v>
      </x:c>
      <x:c r="G168" s="14" t="n">
        <x:v>5</x:v>
      </x:c>
      <x:c r="H168" s="14" t="n">
        <x:v>10</x:v>
      </x:c>
      <x:c r="I168" s="14" t="n">
        <x:v>18</x:v>
      </x:c>
      <x:c r="J168" s="14" t="n">
        <x:v>8</x:v>
      </x:c>
      <x:c r="K168" s="14" t="n">
        <x:v>5</x:v>
      </x:c>
      <x:c r="L168" s="14" t="n">
        <x:v>20</x:v>
      </x:c>
      <x:c r="M168" s="14" t="n">
        <x:v>6</x:v>
      </x:c>
      <x:c r="N168" s="15" t="n">
        <x:f>IF(E168=0,"해당 없음",F168/E168)</x:f>
        <x:v>0.3076923076923077</x:v>
      </x:c>
      <x:c r="O168" s="15" t="n">
        <x:f>IF(E168=0,"해당 없음",G168/E168)</x:f>
        <x:v>0.04807692307692308</x:v>
      </x:c>
      <x:c r="P168" s="15" t="n">
        <x:f>IF(E168=0,"해당 없음",H168/E168)</x:f>
        <x:v>0.09615384615384616</x:v>
      </x:c>
      <x:c r="Q168" s="15" t="n">
        <x:f>IF(E168=0,"해당 없음",I168/E168)</x:f>
        <x:v>0.17307692307692307</x:v>
      </x:c>
      <x:c r="R168" s="15" t="n">
        <x:f>IF(E168=0,"해당 없음",J168/E168)</x:f>
        <x:v>0.07692307692307693</x:v>
      </x:c>
      <x:c r="S168" s="15" t="n">
        <x:f>IF(E168=0,"해당 없음",K168/E168)</x:f>
        <x:v>0.04807692307692308</x:v>
      </x:c>
      <x:c r="T168" s="15" t="n">
        <x:f>IF(E168=0,"해당 없음",L168/E168)</x:f>
        <x:v>0.19230769230769232</x:v>
      </x:c>
      <x:c r="U168" s="15" t="n">
        <x:f>IF(E168=0,"해당 없음",M168/E168)</x:f>
        <x:v>0.057692307692307696</x:v>
      </x:c>
      <x:c r="V168" s="16" t="n">
        <x:f>E168/5</x:f>
        <x:v>20.8</x:v>
      </x:c>
    </x:row>
    <x:row r="169" ht="22" customHeight="1">
      <x:c r="A169" s="2" t="n">
        <x:v>82</x:v>
      </x:c>
      <x:c r="B169" s="2" t="str">
        <x:v>NAVY</x:v>
      </x:c>
      <x:c r="C169" s="2" t="str">
        <x:v>80만</x:v>
      </x:c>
      <x:c r="D169" s="2" t="str">
        <x:v>규칙형</x:v>
      </x:c>
      <x:c r="E169" s="14" t="n">
        <x:f>SUM(F169:M169)</x:f>
        <x:v>104</x:v>
      </x:c>
      <x:c r="F169" s="14" t="n">
        <x:v>8</x:v>
      </x:c>
      <x:c r="G169" s="14" t="n">
        <x:v>12</x:v>
      </x:c>
      <x:c r="H169" s="14" t="n">
        <x:v>7</x:v>
      </x:c>
      <x:c r="I169" s="14" t="n">
        <x:v>6</x:v>
      </x:c>
      <x:c r="J169" s="14" t="n">
        <x:v>3</x:v>
      </x:c>
      <x:c r="K169" s="14" t="n">
        <x:v>4</x:v>
      </x:c>
      <x:c r="L169" s="14" t="n">
        <x:v>44</x:v>
      </x:c>
      <x:c r="M169" s="14" t="n">
        <x:v>20</x:v>
      </x:c>
      <x:c r="N169" s="15" t="n">
        <x:f>IF(E169=0,"해당 없음",F169/E169)</x:f>
        <x:v>0.07692307692307693</x:v>
      </x:c>
      <x:c r="O169" s="15" t="n">
        <x:f>IF(E169=0,"해당 없음",G169/E169)</x:f>
        <x:v>0.11538461538461539</x:v>
      </x:c>
      <x:c r="P169" s="15" t="n">
        <x:f>IF(E169=0,"해당 없음",H169/E169)</x:f>
        <x:v>0.0673076923076923</x:v>
      </x:c>
      <x:c r="Q169" s="15" t="n">
        <x:f>IF(E169=0,"해당 없음",I169/E169)</x:f>
        <x:v>0.057692307692307696</x:v>
      </x:c>
      <x:c r="R169" s="15" t="n">
        <x:f>IF(E169=0,"해당 없음",J169/E169)</x:f>
        <x:v>0.028846153846153848</x:v>
      </x:c>
      <x:c r="S169" s="15" t="n">
        <x:f>IF(E169=0,"해당 없음",K169/E169)</x:f>
        <x:v>0.038461538461538464</x:v>
      </x:c>
      <x:c r="T169" s="15" t="n">
        <x:f>IF(E169=0,"해당 없음",L169/E169)</x:f>
        <x:v>0.4230769230769231</x:v>
      </x:c>
      <x:c r="U169" s="15" t="n">
        <x:f>IF(E169=0,"해당 없음",M169/E169)</x:f>
        <x:v>0.19230769230769232</x:v>
      </x:c>
      <x:c r="V169" s="16" t="n">
        <x:f>E169/5</x:f>
        <x:v>20.8</x:v>
      </x:c>
    </x:row>
    <x:row r="170" ht="22" customHeight="1">
      <x:c r="A170" s="2" t="n">
        <x:v>83</x:v>
      </x:c>
      <x:c r="B170" s="2" t="str">
        <x:v>RED</x:v>
      </x:c>
      <x:c r="C170" s="2" t="str">
        <x:v>80만</x:v>
      </x:c>
      <x:c r="D170" s="2" t="str">
        <x:v>규칙형</x:v>
      </x:c>
      <x:c r="E170" s="14" t="n">
        <x:f>SUM(F170:M170)</x:f>
        <x:v>104</x:v>
      </x:c>
      <x:c r="F170" s="14" t="n">
        <x:v>3</x:v>
      </x:c>
      <x:c r="G170" s="14" t="n">
        <x:v>19</x:v>
      </x:c>
      <x:c r="H170" s="14" t="n">
        <x:v>17</x:v>
      </x:c>
      <x:c r="I170" s="14" t="n">
        <x:v>7</x:v>
      </x:c>
      <x:c r="J170" s="14" t="n">
        <x:v>3</x:v>
      </x:c>
      <x:c r="K170" s="14" t="n">
        <x:v>6</x:v>
      </x:c>
      <x:c r="L170" s="14" t="n">
        <x:v>35</x:v>
      </x:c>
      <x:c r="M170" s="14" t="n">
        <x:v>14</x:v>
      </x:c>
      <x:c r="N170" s="15" t="n">
        <x:f>IF(E170=0,"해당 없음",F170/E170)</x:f>
        <x:v>0.028846153846153848</x:v>
      </x:c>
      <x:c r="O170" s="15" t="n">
        <x:f>IF(E170=0,"해당 없음",G170/E170)</x:f>
        <x:v>0.18269230769230768</x:v>
      </x:c>
      <x:c r="P170" s="15" t="n">
        <x:f>IF(E170=0,"해당 없음",H170/E170)</x:f>
        <x:v>0.16346153846153846</x:v>
      </x:c>
      <x:c r="Q170" s="15" t="n">
        <x:f>IF(E170=0,"해당 없음",I170/E170)</x:f>
        <x:v>0.0673076923076923</x:v>
      </x:c>
      <x:c r="R170" s="15" t="n">
        <x:f>IF(E170=0,"해당 없음",J170/E170)</x:f>
        <x:v>0.028846153846153848</x:v>
      </x:c>
      <x:c r="S170" s="15" t="n">
        <x:f>IF(E170=0,"해당 없음",K170/E170)</x:f>
        <x:v>0.057692307692307696</x:v>
      </x:c>
      <x:c r="T170" s="15" t="n">
        <x:f>IF(E170=0,"해당 없음",L170/E170)</x:f>
        <x:v>0.33653846153846156</x:v>
      </x:c>
      <x:c r="U170" s="15" t="n">
        <x:f>IF(E170=0,"해당 없음",M170/E170)</x:f>
        <x:v>0.1346153846153846</x:v>
      </x:c>
      <x:c r="V170" s="16" t="n">
        <x:f>E170/5</x:f>
        <x:v>20.8</x:v>
      </x:c>
    </x:row>
    <x:row r="171" ht="22" customHeight="1">
      <x:c r="A171" s="2" t="n">
        <x:v>83</x:v>
      </x:c>
      <x:c r="B171" s="2" t="str">
        <x:v>NAVY</x:v>
      </x:c>
      <x:c r="C171" s="2" t="str">
        <x:v>규칙형</x:v>
      </x:c>
      <x:c r="D171" s="2" t="str">
        <x:v>80만</x:v>
      </x:c>
      <x:c r="E171" s="14" t="n">
        <x:f>SUM(F171:M171)</x:f>
        <x:v>103</x:v>
      </x:c>
      <x:c r="F171" s="14" t="n">
        <x:v>47</x:v>
      </x:c>
      <x:c r="G171" s="14" t="n">
        <x:v>6</x:v>
      </x:c>
      <x:c r="H171" s="14" t="n">
        <x:v>11</x:v>
      </x:c>
      <x:c r="I171" s="14" t="n">
        <x:v>10</x:v>
      </x:c>
      <x:c r="J171" s="14" t="n">
        <x:v>8</x:v>
      </x:c>
      <x:c r="K171" s="14" t="n">
        <x:v>4</x:v>
      </x:c>
      <x:c r="L171" s="14" t="n">
        <x:v>13</x:v>
      </x:c>
      <x:c r="M171" s="14" t="n">
        <x:v>4</x:v>
      </x:c>
      <x:c r="N171" s="15" t="n">
        <x:f>IF(E171=0,"해당 없음",F171/E171)</x:f>
        <x:v>0.4563106796116505</x:v>
      </x:c>
      <x:c r="O171" s="15" t="n">
        <x:f>IF(E171=0,"해당 없음",G171/E171)</x:f>
        <x:v>0.05825242718446602</x:v>
      </x:c>
      <x:c r="P171" s="15" t="n">
        <x:f>IF(E171=0,"해당 없음",H171/E171)</x:f>
        <x:v>0.10679611650485436</x:v>
      </x:c>
      <x:c r="Q171" s="15" t="n">
        <x:f>IF(E171=0,"해당 없음",I171/E171)</x:f>
        <x:v>0.0970873786407767</x:v>
      </x:c>
      <x:c r="R171" s="15" t="n">
        <x:f>IF(E171=0,"해당 없음",J171/E171)</x:f>
        <x:v>0.07766990291262135</x:v>
      </x:c>
      <x:c r="S171" s="15" t="n">
        <x:f>IF(E171=0,"해당 없음",K171/E171)</x:f>
        <x:v>0.038834951456310676</x:v>
      </x:c>
      <x:c r="T171" s="15" t="n">
        <x:f>IF(E171=0,"해당 없음",L171/E171)</x:f>
        <x:v>0.1262135922330097</x:v>
      </x:c>
      <x:c r="U171" s="15" t="n">
        <x:f>IF(E171=0,"해당 없음",M171/E171)</x:f>
        <x:v>0.038834951456310676</x:v>
      </x:c>
      <x:c r="V171" s="16" t="n">
        <x:f>E171/5</x:f>
        <x:v>20.6</x:v>
      </x:c>
    </x:row>
    <x:row r="172" ht="22" customHeight="1">
      <x:c r="A172" s="2" t="n">
        <x:v>84</x:v>
      </x:c>
      <x:c r="B172" s="2" t="str">
        <x:v>RED</x:v>
      </x:c>
      <x:c r="C172" s="2" t="str">
        <x:v>규칙형</x:v>
      </x:c>
      <x:c r="D172" s="2" t="str">
        <x:v>80만</x:v>
      </x:c>
      <x:c r="E172" s="14" t="n">
        <x:f>SUM(F172:M172)</x:f>
        <x:v>104</x:v>
      </x:c>
      <x:c r="F172" s="14" t="n">
        <x:v>42</x:v>
      </x:c>
      <x:c r="G172" s="14" t="n">
        <x:v>2</x:v>
      </x:c>
      <x:c r="H172" s="14" t="n">
        <x:v>4</x:v>
      </x:c>
      <x:c r="I172" s="14" t="n">
        <x:v>20</x:v>
      </x:c>
      <x:c r="J172" s="14" t="n">
        <x:v>8</x:v>
      </x:c>
      <x:c r="K172" s="14" t="n">
        <x:v>3</x:v>
      </x:c>
      <x:c r="L172" s="14" t="n">
        <x:v>19</x:v>
      </x:c>
      <x:c r="M172" s="14" t="n">
        <x:v>6</x:v>
      </x:c>
      <x:c r="N172" s="15" t="n">
        <x:f>IF(E172=0,"해당 없음",F172/E172)</x:f>
        <x:v>0.40384615384615385</x:v>
      </x:c>
      <x:c r="O172" s="15" t="n">
        <x:f>IF(E172=0,"해당 없음",G172/E172)</x:f>
        <x:v>0.019230769230769232</x:v>
      </x:c>
      <x:c r="P172" s="15" t="n">
        <x:f>IF(E172=0,"해당 없음",H172/E172)</x:f>
        <x:v>0.038461538461538464</x:v>
      </x:c>
      <x:c r="Q172" s="15" t="n">
        <x:f>IF(E172=0,"해당 없음",I172/E172)</x:f>
        <x:v>0.19230769230769232</x:v>
      </x:c>
      <x:c r="R172" s="15" t="n">
        <x:f>IF(E172=0,"해당 없음",J172/E172)</x:f>
        <x:v>0.07692307692307693</x:v>
      </x:c>
      <x:c r="S172" s="15" t="n">
        <x:f>IF(E172=0,"해당 없음",K172/E172)</x:f>
        <x:v>0.028846153846153848</x:v>
      </x:c>
      <x:c r="T172" s="15" t="n">
        <x:f>IF(E172=0,"해당 없음",L172/E172)</x:f>
        <x:v>0.18269230769230768</x:v>
      </x:c>
      <x:c r="U172" s="15" t="n">
        <x:f>IF(E172=0,"해당 없음",M172/E172)</x:f>
        <x:v>0.057692307692307696</x:v>
      </x:c>
      <x:c r="V172" s="16" t="n">
        <x:f>E172/5</x:f>
        <x:v>20.8</x:v>
      </x:c>
    </x:row>
    <x:row r="173" ht="22" customHeight="1">
      <x:c r="A173" s="2" t="n">
        <x:v>84</x:v>
      </x:c>
      <x:c r="B173" s="2" t="str">
        <x:v>NAVY</x:v>
      </x:c>
      <x:c r="C173" s="2" t="str">
        <x:v>80만</x:v>
      </x:c>
      <x:c r="D173" s="2" t="str">
        <x:v>규칙형</x:v>
      </x:c>
      <x:c r="E173" s="14" t="n">
        <x:f>SUM(F173:M173)</x:f>
        <x:v>103</x:v>
      </x:c>
      <x:c r="F173" s="14" t="n">
        <x:v>5</x:v>
      </x:c>
      <x:c r="G173" s="14" t="n">
        <x:v>19</x:v>
      </x:c>
      <x:c r="H173" s="14" t="n">
        <x:v>9</x:v>
      </x:c>
      <x:c r="I173" s="14" t="n">
        <x:v>6</x:v>
      </x:c>
      <x:c r="J173" s="14" t="n">
        <x:v>3</x:v>
      </x:c>
      <x:c r="K173" s="14" t="n">
        <x:v>6</x:v>
      </x:c>
      <x:c r="L173" s="14" t="n">
        <x:v>41</x:v>
      </x:c>
      <x:c r="M173" s="14" t="n">
        <x:v>14</x:v>
      </x:c>
      <x:c r="N173" s="15" t="n">
        <x:f>IF(E173=0,"해당 없음",F173/E173)</x:f>
        <x:v>0.04854368932038835</x:v>
      </x:c>
      <x:c r="O173" s="15" t="n">
        <x:f>IF(E173=0,"해당 없음",G173/E173)</x:f>
        <x:v>0.18446601941747573</x:v>
      </x:c>
      <x:c r="P173" s="15" t="n">
        <x:f>IF(E173=0,"해당 없음",H173/E173)</x:f>
        <x:v>0.08737864077669903</x:v>
      </x:c>
      <x:c r="Q173" s="15" t="n">
        <x:f>IF(E173=0,"해당 없음",I173/E173)</x:f>
        <x:v>0.05825242718446602</x:v>
      </x:c>
      <x:c r="R173" s="15" t="n">
        <x:f>IF(E173=0,"해당 없음",J173/E173)</x:f>
        <x:v>0.02912621359223301</x:v>
      </x:c>
      <x:c r="S173" s="15" t="n">
        <x:f>IF(E173=0,"해당 없음",K173/E173)</x:f>
        <x:v>0.05825242718446602</x:v>
      </x:c>
      <x:c r="T173" s="15" t="n">
        <x:f>IF(E173=0,"해당 없음",L173/E173)</x:f>
        <x:v>0.39805825242718446</x:v>
      </x:c>
      <x:c r="U173" s="15" t="n">
        <x:f>IF(E173=0,"해당 없음",M173/E173)</x:f>
        <x:v>0.13592233009708737</x:v>
      </x:c>
      <x:c r="V173" s="16" t="n">
        <x:f>E173/5</x:f>
        <x:v>20.6</x:v>
      </x:c>
    </x:row>
    <x:row r="174" ht="22" customHeight="1">
      <x:c r="A174" s="2" t="n">
        <x:v>85</x:v>
      </x:c>
      <x:c r="B174" s="2" t="str">
        <x:v>RED</x:v>
      </x:c>
      <x:c r="C174" s="2" t="str">
        <x:v>80만</x:v>
      </x:c>
      <x:c r="D174" s="2" t="str">
        <x:v>규칙형</x:v>
      </x:c>
      <x:c r="E174" s="14" t="n">
        <x:f>SUM(F174:M174)</x:f>
        <x:v>102</x:v>
      </x:c>
      <x:c r="F174" s="14" t="n">
        <x:v>4</x:v>
      </x:c>
      <x:c r="G174" s="14" t="n">
        <x:v>21</x:v>
      </x:c>
      <x:c r="H174" s="14" t="n">
        <x:v>16</x:v>
      </x:c>
      <x:c r="I174" s="14" t="n">
        <x:v>6</x:v>
      </x:c>
      <x:c r="J174" s="14" t="n">
        <x:v>5</x:v>
      </x:c>
      <x:c r="K174" s="14" t="n">
        <x:v>3</x:v>
      </x:c>
      <x:c r="L174" s="14" t="n">
        <x:v>33</x:v>
      </x:c>
      <x:c r="M174" s="14" t="n">
        <x:v>14</x:v>
      </x:c>
      <x:c r="N174" s="15" t="n">
        <x:f>IF(E174=0,"해당 없음",F174/E174)</x:f>
        <x:v>0.0392156862745098</x:v>
      </x:c>
      <x:c r="O174" s="15" t="n">
        <x:f>IF(E174=0,"해당 없음",G174/E174)</x:f>
        <x:v>0.20588235294117646</x:v>
      </x:c>
      <x:c r="P174" s="15" t="n">
        <x:f>IF(E174=0,"해당 없음",H174/E174)</x:f>
        <x:v>0.1568627450980392</x:v>
      </x:c>
      <x:c r="Q174" s="15" t="n">
        <x:f>IF(E174=0,"해당 없음",I174/E174)</x:f>
        <x:v>0.058823529411764705</x:v>
      </x:c>
      <x:c r="R174" s="15" t="n">
        <x:f>IF(E174=0,"해당 없음",J174/E174)</x:f>
        <x:v>0.049019607843137254</x:v>
      </x:c>
      <x:c r="S174" s="15" t="n">
        <x:f>IF(E174=0,"해당 없음",K174/E174)</x:f>
        <x:v>0.029411764705882353</x:v>
      </x:c>
      <x:c r="T174" s="15" t="n">
        <x:f>IF(E174=0,"해당 없음",L174/E174)</x:f>
        <x:v>0.3235294117647059</x:v>
      </x:c>
      <x:c r="U174" s="15" t="n">
        <x:f>IF(E174=0,"해당 없음",M174/E174)</x:f>
        <x:v>0.13725490196078433</x:v>
      </x:c>
      <x:c r="V174" s="16" t="n">
        <x:f>E174/5</x:f>
        <x:v>20.4</x:v>
      </x:c>
    </x:row>
    <x:row r="175" ht="22" customHeight="1">
      <x:c r="A175" s="2" t="n">
        <x:v>85</x:v>
      </x:c>
      <x:c r="B175" s="2" t="str">
        <x:v>NAVY</x:v>
      </x:c>
      <x:c r="C175" s="2" t="str">
        <x:v>규칙형</x:v>
      </x:c>
      <x:c r="D175" s="2" t="str">
        <x:v>80만</x:v>
      </x:c>
      <x:c r="E175" s="14" t="n">
        <x:f>SUM(F175:M175)</x:f>
        <x:v>101</x:v>
      </x:c>
      <x:c r="F175" s="14" t="n">
        <x:v>34</x:v>
      </x:c>
      <x:c r="G175" s="14" t="n">
        <x:v>3</x:v>
      </x:c>
      <x:c r="H175" s="14" t="n">
        <x:v>9</x:v>
      </x:c>
      <x:c r="I175" s="14" t="n">
        <x:v>13</x:v>
      </x:c>
      <x:c r="J175" s="14" t="n">
        <x:v>8</x:v>
      </x:c>
      <x:c r="K175" s="14" t="n">
        <x:v>4</x:v>
      </x:c>
      <x:c r="L175" s="14" t="n">
        <x:v>23</x:v>
      </x:c>
      <x:c r="M175" s="14" t="n">
        <x:v>7</x:v>
      </x:c>
      <x:c r="N175" s="15" t="n">
        <x:f>IF(E175=0,"해당 없음",F175/E175)</x:f>
        <x:v>0.33663366336633666</x:v>
      </x:c>
      <x:c r="O175" s="15" t="n">
        <x:f>IF(E175=0,"해당 없음",G175/E175)</x:f>
        <x:v>0.0297029702970297</x:v>
      </x:c>
      <x:c r="P175" s="15" t="n">
        <x:f>IF(E175=0,"해당 없음",H175/E175)</x:f>
        <x:v>0.0891089108910891</x:v>
      </x:c>
      <x:c r="Q175" s="15" t="n">
        <x:f>IF(E175=0,"해당 없음",I175/E175)</x:f>
        <x:v>0.12871287128712872</x:v>
      </x:c>
      <x:c r="R175" s="15" t="n">
        <x:f>IF(E175=0,"해당 없음",J175/E175)</x:f>
        <x:v>0.07920792079207921</x:v>
      </x:c>
      <x:c r="S175" s="15" t="n">
        <x:f>IF(E175=0,"해당 없음",K175/E175)</x:f>
        <x:v>0.039603960396039604</x:v>
      </x:c>
      <x:c r="T175" s="15" t="n">
        <x:f>IF(E175=0,"해당 없음",L175/E175)</x:f>
        <x:v>0.22772277227722773</x:v>
      </x:c>
      <x:c r="U175" s="15" t="n">
        <x:f>IF(E175=0,"해당 없음",M175/E175)</x:f>
        <x:v>0.06930693069306931</x:v>
      </x:c>
      <x:c r="V175" s="16" t="n">
        <x:f>E175/5</x:f>
        <x:v>20.2</x:v>
      </x:c>
    </x:row>
    <x:row r="176" ht="22" customHeight="1">
      <x:c r="A176" s="2" t="n">
        <x:v>86</x:v>
      </x:c>
      <x:c r="B176" s="2" t="str">
        <x:v>RED</x:v>
      </x:c>
      <x:c r="C176" s="2" t="str">
        <x:v>규칙형</x:v>
      </x:c>
      <x:c r="D176" s="2" t="str">
        <x:v>80만</x:v>
      </x:c>
      <x:c r="E176" s="14" t="n">
        <x:f>SUM(F176:M176)</x:f>
        <x:v>103</x:v>
      </x:c>
      <x:c r="F176" s="14" t="n">
        <x:v>36</x:v>
      </x:c>
      <x:c r="G176" s="14" t="n">
        <x:v>4</x:v>
      </x:c>
      <x:c r="H176" s="14" t="n">
        <x:v>3</x:v>
      </x:c>
      <x:c r="I176" s="14" t="n">
        <x:v>21</x:v>
      </x:c>
      <x:c r="J176" s="14" t="n">
        <x:v>8</x:v>
      </x:c>
      <x:c r="K176" s="14" t="n">
        <x:v>8</x:v>
      </x:c>
      <x:c r="L176" s="14" t="n">
        <x:v>14</x:v>
      </x:c>
      <x:c r="M176" s="14" t="n">
        <x:v>9</x:v>
      </x:c>
      <x:c r="N176" s="15" t="n">
        <x:f>IF(E176=0,"해당 없음",F176/E176)</x:f>
        <x:v>0.34951456310679613</x:v>
      </x:c>
      <x:c r="O176" s="15" t="n">
        <x:f>IF(E176=0,"해당 없음",G176/E176)</x:f>
        <x:v>0.038834951456310676</x:v>
      </x:c>
      <x:c r="P176" s="15" t="n">
        <x:f>IF(E176=0,"해당 없음",H176/E176)</x:f>
        <x:v>0.02912621359223301</x:v>
      </x:c>
      <x:c r="Q176" s="15" t="n">
        <x:f>IF(E176=0,"해당 없음",I176/E176)</x:f>
        <x:v>0.20388349514563106</x:v>
      </x:c>
      <x:c r="R176" s="15" t="n">
        <x:f>IF(E176=0,"해당 없음",J176/E176)</x:f>
        <x:v>0.07766990291262135</x:v>
      </x:c>
      <x:c r="S176" s="15" t="n">
        <x:f>IF(E176=0,"해당 없음",K176/E176)</x:f>
        <x:v>0.07766990291262135</x:v>
      </x:c>
      <x:c r="T176" s="15" t="n">
        <x:f>IF(E176=0,"해당 없음",L176/E176)</x:f>
        <x:v>0.13592233009708737</x:v>
      </x:c>
      <x:c r="U176" s="15" t="n">
        <x:f>IF(E176=0,"해당 없음",M176/E176)</x:f>
        <x:v>0.08737864077669903</x:v>
      </x:c>
      <x:c r="V176" s="16" t="n">
        <x:f>E176/5</x:f>
        <x:v>20.6</x:v>
      </x:c>
    </x:row>
    <x:row r="177" ht="22" customHeight="1">
      <x:c r="A177" s="2" t="n">
        <x:v>86</x:v>
      </x:c>
      <x:c r="B177" s="2" t="str">
        <x:v>NAVY</x:v>
      </x:c>
      <x:c r="C177" s="2" t="str">
        <x:v>80만</x:v>
      </x:c>
      <x:c r="D177" s="2" t="str">
        <x:v>규칙형</x:v>
      </x:c>
      <x:c r="E177" s="14" t="n">
        <x:f>SUM(F177:M177)</x:f>
        <x:v>102</x:v>
      </x:c>
      <x:c r="F177" s="14" t="n">
        <x:v>4</x:v>
      </x:c>
      <x:c r="G177" s="14" t="n">
        <x:v>22</x:v>
      </x:c>
      <x:c r="H177" s="14" t="n">
        <x:v>8</x:v>
      </x:c>
      <x:c r="I177" s="14" t="n">
        <x:v>7</x:v>
      </x:c>
      <x:c r="J177" s="14" t="n">
        <x:v>3</x:v>
      </x:c>
      <x:c r="K177" s="14" t="n">
        <x:v>7</x:v>
      </x:c>
      <x:c r="L177" s="14" t="n">
        <x:v>42</x:v>
      </x:c>
      <x:c r="M177" s="14" t="n">
        <x:v>9</x:v>
      </x:c>
      <x:c r="N177" s="15" t="n">
        <x:f>IF(E177=0,"해당 없음",F177/E177)</x:f>
        <x:v>0.0392156862745098</x:v>
      </x:c>
      <x:c r="O177" s="15" t="n">
        <x:f>IF(E177=0,"해당 없음",G177/E177)</x:f>
        <x:v>0.21568627450980393</x:v>
      </x:c>
      <x:c r="P177" s="15" t="n">
        <x:f>IF(E177=0,"해당 없음",H177/E177)</x:f>
        <x:v>0.0784313725490196</x:v>
      </x:c>
      <x:c r="Q177" s="15" t="n">
        <x:f>IF(E177=0,"해당 없음",I177/E177)</x:f>
        <x:v>0.06862745098039216</x:v>
      </x:c>
      <x:c r="R177" s="15" t="n">
        <x:f>IF(E177=0,"해당 없음",J177/E177)</x:f>
        <x:v>0.029411764705882353</x:v>
      </x:c>
      <x:c r="S177" s="15" t="n">
        <x:f>IF(E177=0,"해당 없음",K177/E177)</x:f>
        <x:v>0.06862745098039216</x:v>
      </x:c>
      <x:c r="T177" s="15" t="n">
        <x:f>IF(E177=0,"해당 없음",L177/E177)</x:f>
        <x:v>0.4117647058823529</x:v>
      </x:c>
      <x:c r="U177" s="15" t="n">
        <x:f>IF(E177=0,"해당 없음",M177/E177)</x:f>
        <x:v>0.08823529411764706</x:v>
      </x:c>
      <x:c r="V177" s="16" t="n">
        <x:f>E177/5</x:f>
        <x:v>20.4</x:v>
      </x:c>
    </x:row>
    <x:row r="178" ht="22" customHeight="1">
      <x:c r="A178" s="2" t="n">
        <x:v>87</x:v>
      </x:c>
      <x:c r="B178" s="2" t="str">
        <x:v>RED</x:v>
      </x:c>
      <x:c r="C178" s="2" t="str">
        <x:v>80만</x:v>
      </x:c>
      <x:c r="D178" s="2" t="str">
        <x:v>규칙형</x:v>
      </x:c>
      <x:c r="E178" s="14" t="n">
        <x:f>SUM(F178:M178)</x:f>
        <x:v>104</x:v>
      </x:c>
      <x:c r="F178" s="14" t="n">
        <x:v>4</x:v>
      </x:c>
      <x:c r="G178" s="14" t="n">
        <x:v>13</x:v>
      </x:c>
      <x:c r="H178" s="14" t="n">
        <x:v>8</x:v>
      </x:c>
      <x:c r="I178" s="14" t="n">
        <x:v>11</x:v>
      </x:c>
      <x:c r="J178" s="14" t="n">
        <x:v>4</x:v>
      </x:c>
      <x:c r="K178" s="14" t="n">
        <x:v>8</x:v>
      </x:c>
      <x:c r="L178" s="14" t="n">
        <x:v>41</x:v>
      </x:c>
      <x:c r="M178" s="14" t="n">
        <x:v>15</x:v>
      </x:c>
      <x:c r="N178" s="15" t="n">
        <x:f>IF(E178=0,"해당 없음",F178/E178)</x:f>
        <x:v>0.038461538461538464</x:v>
      </x:c>
      <x:c r="O178" s="15" t="n">
        <x:f>IF(E178=0,"해당 없음",G178/E178)</x:f>
        <x:v>0.125</x:v>
      </x:c>
      <x:c r="P178" s="15" t="n">
        <x:f>IF(E178=0,"해당 없음",H178/E178)</x:f>
        <x:v>0.07692307692307693</x:v>
      </x:c>
      <x:c r="Q178" s="15" t="n">
        <x:f>IF(E178=0,"해당 없음",I178/E178)</x:f>
        <x:v>0.10576923076923077</x:v>
      </x:c>
      <x:c r="R178" s="15" t="n">
        <x:f>IF(E178=0,"해당 없음",J178/E178)</x:f>
        <x:v>0.038461538461538464</x:v>
      </x:c>
      <x:c r="S178" s="15" t="n">
        <x:f>IF(E178=0,"해당 없음",K178/E178)</x:f>
        <x:v>0.07692307692307693</x:v>
      </x:c>
      <x:c r="T178" s="15" t="n">
        <x:f>IF(E178=0,"해당 없음",L178/E178)</x:f>
        <x:v>0.3942307692307692</x:v>
      </x:c>
      <x:c r="U178" s="15" t="n">
        <x:f>IF(E178=0,"해당 없음",M178/E178)</x:f>
        <x:v>0.14423076923076922</x:v>
      </x:c>
      <x:c r="V178" s="16" t="n">
        <x:f>E178/5</x:f>
        <x:v>20.8</x:v>
      </x:c>
    </x:row>
    <x:row r="179" ht="22" customHeight="1">
      <x:c r="A179" s="2" t="n">
        <x:v>87</x:v>
      </x:c>
      <x:c r="B179" s="2" t="str">
        <x:v>NAVY</x:v>
      </x:c>
      <x:c r="C179" s="2" t="str">
        <x:v>규칙형</x:v>
      </x:c>
      <x:c r="D179" s="2" t="str">
        <x:v>80만</x:v>
      </x:c>
      <x:c r="E179" s="14" t="n">
        <x:f>SUM(F179:M179)</x:f>
        <x:v>104</x:v>
      </x:c>
      <x:c r="F179" s="14" t="n">
        <x:v>39</x:v>
      </x:c>
      <x:c r="G179" s="14" t="n">
        <x:v>7</x:v>
      </x:c>
      <x:c r="H179" s="14" t="n">
        <x:v>12</x:v>
      </x:c>
      <x:c r="I179" s="14" t="n">
        <x:v>10</x:v>
      </x:c>
      <x:c r="J179" s="14" t="n">
        <x:v>5</x:v>
      </x:c>
      <x:c r="K179" s="14" t="n">
        <x:v>2</x:v>
      </x:c>
      <x:c r="L179" s="14" t="n">
        <x:v>21</x:v>
      </x:c>
      <x:c r="M179" s="14" t="n">
        <x:v>8</x:v>
      </x:c>
      <x:c r="N179" s="15" t="n">
        <x:f>IF(E179=0,"해당 없음",F179/E179)</x:f>
        <x:v>0.375</x:v>
      </x:c>
      <x:c r="O179" s="15" t="n">
        <x:f>IF(E179=0,"해당 없음",G179/E179)</x:f>
        <x:v>0.0673076923076923</x:v>
      </x:c>
      <x:c r="P179" s="15" t="n">
        <x:f>IF(E179=0,"해당 없음",H179/E179)</x:f>
        <x:v>0.11538461538461539</x:v>
      </x:c>
      <x:c r="Q179" s="15" t="n">
        <x:f>IF(E179=0,"해당 없음",I179/E179)</x:f>
        <x:v>0.09615384615384616</x:v>
      </x:c>
      <x:c r="R179" s="15" t="n">
        <x:f>IF(E179=0,"해당 없음",J179/E179)</x:f>
        <x:v>0.04807692307692308</x:v>
      </x:c>
      <x:c r="S179" s="15" t="n">
        <x:f>IF(E179=0,"해당 없음",K179/E179)</x:f>
        <x:v>0.019230769230769232</x:v>
      </x:c>
      <x:c r="T179" s="15" t="n">
        <x:f>IF(E179=0,"해당 없음",L179/E179)</x:f>
        <x:v>0.20192307692307693</x:v>
      </x:c>
      <x:c r="U179" s="15" t="n">
        <x:f>IF(E179=0,"해당 없음",M179/E179)</x:f>
        <x:v>0.07692307692307693</x:v>
      </x:c>
      <x:c r="V179" s="16" t="n">
        <x:f>E179/5</x:f>
        <x:v>20.8</x:v>
      </x:c>
    </x:row>
    <x:row r="180" ht="22" customHeight="1">
      <x:c r="A180" s="2" t="n">
        <x:v>88</x:v>
      </x:c>
      <x:c r="B180" s="2" t="str">
        <x:v>RED</x:v>
      </x:c>
      <x:c r="C180" s="2" t="str">
        <x:v>규칙형</x:v>
      </x:c>
      <x:c r="D180" s="2" t="str">
        <x:v>80만</x:v>
      </x:c>
      <x:c r="E180" s="14" t="n">
        <x:f>SUM(F180:M180)</x:f>
        <x:v>105</x:v>
      </x:c>
      <x:c r="F180" s="14" t="n">
        <x:v>36</x:v>
      </x:c>
      <x:c r="G180" s="14" t="n">
        <x:v>5</x:v>
      </x:c>
      <x:c r="H180" s="14" t="n">
        <x:v>12</x:v>
      </x:c>
      <x:c r="I180" s="14" t="n">
        <x:v>16</x:v>
      </x:c>
      <x:c r="J180" s="14" t="n">
        <x:v>2</x:v>
      </x:c>
      <x:c r="K180" s="14" t="n">
        <x:v>6</x:v>
      </x:c>
      <x:c r="L180" s="14" t="n">
        <x:v>22</x:v>
      </x:c>
      <x:c r="M180" s="14" t="n">
        <x:v>6</x:v>
      </x:c>
      <x:c r="N180" s="15" t="n">
        <x:f>IF(E180=0,"해당 없음",F180/E180)</x:f>
        <x:v>0.34285714285714286</x:v>
      </x:c>
      <x:c r="O180" s="15" t="n">
        <x:f>IF(E180=0,"해당 없음",G180/E180)</x:f>
        <x:v>0.047619047619047616</x:v>
      </x:c>
      <x:c r="P180" s="15" t="n">
        <x:f>IF(E180=0,"해당 없음",H180/E180)</x:f>
        <x:v>0.11428571428571428</x:v>
      </x:c>
      <x:c r="Q180" s="15" t="n">
        <x:f>IF(E180=0,"해당 없음",I180/E180)</x:f>
        <x:v>0.1523809523809524</x:v>
      </x:c>
      <x:c r="R180" s="15" t="n">
        <x:f>IF(E180=0,"해당 없음",J180/E180)</x:f>
        <x:v>0.01904761904761905</x:v>
      </x:c>
      <x:c r="S180" s="15" t="n">
        <x:f>IF(E180=0,"해당 없음",K180/E180)</x:f>
        <x:v>0.05714285714285714</x:v>
      </x:c>
      <x:c r="T180" s="15" t="n">
        <x:f>IF(E180=0,"해당 없음",L180/E180)</x:f>
        <x:v>0.20952380952380953</x:v>
      </x:c>
      <x:c r="U180" s="15" t="n">
        <x:f>IF(E180=0,"해당 없음",M180/E180)</x:f>
        <x:v>0.05714285714285714</x:v>
      </x:c>
      <x:c r="V180" s="16" t="n">
        <x:f>E180/5</x:f>
        <x:v>21</x:v>
      </x:c>
    </x:row>
    <x:row r="181" ht="22" customHeight="1">
      <x:c r="A181" s="2" t="n">
        <x:v>88</x:v>
      </x:c>
      <x:c r="B181" s="2" t="str">
        <x:v>NAVY</x:v>
      </x:c>
      <x:c r="C181" s="2" t="str">
        <x:v>80만</x:v>
      </x:c>
      <x:c r="D181" s="2" t="str">
        <x:v>규칙형</x:v>
      </x:c>
      <x:c r="E181" s="14" t="n">
        <x:f>SUM(F181:M181)</x:f>
        <x:v>104</x:v>
      </x:c>
      <x:c r="F181" s="14" t="n">
        <x:v>2</x:v>
      </x:c>
      <x:c r="G181" s="14" t="n">
        <x:v>21</x:v>
      </x:c>
      <x:c r="H181" s="14" t="n">
        <x:v>8</x:v>
      </x:c>
      <x:c r="I181" s="14" t="n">
        <x:v>12</x:v>
      </x:c>
      <x:c r="J181" s="14" t="n">
        <x:v>2</x:v>
      </x:c>
      <x:c r="K181" s="14" t="n">
        <x:v>10</x:v>
      </x:c>
      <x:c r="L181" s="14" t="n">
        <x:v>35</x:v>
      </x:c>
      <x:c r="M181" s="14" t="n">
        <x:v>14</x:v>
      </x:c>
      <x:c r="N181" s="15" t="n">
        <x:f>IF(E181=0,"해당 없음",F181/E181)</x:f>
        <x:v>0.019230769230769232</x:v>
      </x:c>
      <x:c r="O181" s="15" t="n">
        <x:f>IF(E181=0,"해당 없음",G181/E181)</x:f>
        <x:v>0.20192307692307693</x:v>
      </x:c>
      <x:c r="P181" s="15" t="n">
        <x:f>IF(E181=0,"해당 없음",H181/E181)</x:f>
        <x:v>0.07692307692307693</x:v>
      </x:c>
      <x:c r="Q181" s="15" t="n">
        <x:f>IF(E181=0,"해당 없음",I181/E181)</x:f>
        <x:v>0.11538461538461539</x:v>
      </x:c>
      <x:c r="R181" s="15" t="n">
        <x:f>IF(E181=0,"해당 없음",J181/E181)</x:f>
        <x:v>0.019230769230769232</x:v>
      </x:c>
      <x:c r="S181" s="15" t="n">
        <x:f>IF(E181=0,"해당 없음",K181/E181)</x:f>
        <x:v>0.09615384615384616</x:v>
      </x:c>
      <x:c r="T181" s="15" t="n">
        <x:f>IF(E181=0,"해당 없음",L181/E181)</x:f>
        <x:v>0.33653846153846156</x:v>
      </x:c>
      <x:c r="U181" s="15" t="n">
        <x:f>IF(E181=0,"해당 없음",M181/E181)</x:f>
        <x:v>0.1346153846153846</x:v>
      </x:c>
      <x:c r="V181" s="16" t="n">
        <x:f>E181/5</x:f>
        <x:v>20.8</x:v>
      </x:c>
    </x:row>
    <x:row r="182" ht="22" customHeight="1">
      <x:c r="A182" s="2" t="n">
        <x:v>89</x:v>
      </x:c>
      <x:c r="B182" s="2" t="str">
        <x:v>RED</x:v>
      </x:c>
      <x:c r="C182" s="2" t="str">
        <x:v>80만</x:v>
      </x:c>
      <x:c r="D182" s="2" t="str">
        <x:v>규칙형</x:v>
      </x:c>
      <x:c r="E182" s="14" t="n">
        <x:f>SUM(F182:M182)</x:f>
        <x:v>107</x:v>
      </x:c>
      <x:c r="F182" s="14" t="n">
        <x:v>3</x:v>
      </x:c>
      <x:c r="G182" s="14" t="n">
        <x:v>11</x:v>
      </x:c>
      <x:c r="H182" s="14" t="n">
        <x:v>11</x:v>
      </x:c>
      <x:c r="I182" s="14" t="n">
        <x:v>8</x:v>
      </x:c>
      <x:c r="J182" s="14" t="n">
        <x:v>1</x:v>
      </x:c>
      <x:c r="K182" s="14" t="n">
        <x:v>10</x:v>
      </x:c>
      <x:c r="L182" s="14" t="n">
        <x:v>45</x:v>
      </x:c>
      <x:c r="M182" s="14" t="n">
        <x:v>18</x:v>
      </x:c>
      <x:c r="N182" s="15" t="n">
        <x:f>IF(E182=0,"해당 없음",F182/E182)</x:f>
        <x:v>0.028037383177570093</x:v>
      </x:c>
      <x:c r="O182" s="15" t="n">
        <x:f>IF(E182=0,"해당 없음",G182/E182)</x:f>
        <x:v>0.102803738317757</x:v>
      </x:c>
      <x:c r="P182" s="15" t="n">
        <x:f>IF(E182=0,"해당 없음",H182/E182)</x:f>
        <x:v>0.102803738317757</x:v>
      </x:c>
      <x:c r="Q182" s="15" t="n">
        <x:f>IF(E182=0,"해당 없음",I182/E182)</x:f>
        <x:v>0.07476635514018691</x:v>
      </x:c>
      <x:c r="R182" s="15" t="n">
        <x:f>IF(E182=0,"해당 없음",J182/E182)</x:f>
        <x:v>0.009345794392523364</x:v>
      </x:c>
      <x:c r="S182" s="15" t="n">
        <x:f>IF(E182=0,"해당 없음",K182/E182)</x:f>
        <x:v>0.09345794392523364</x:v>
      </x:c>
      <x:c r="T182" s="15" t="n">
        <x:f>IF(E182=0,"해당 없음",L182/E182)</x:f>
        <x:v>0.4205607476635514</x:v>
      </x:c>
      <x:c r="U182" s="15" t="n">
        <x:f>IF(E182=0,"해당 없음",M182/E182)</x:f>
        <x:v>0.16822429906542055</x:v>
      </x:c>
      <x:c r="V182" s="16" t="n">
        <x:f>E182/5</x:f>
        <x:v>21.4</x:v>
      </x:c>
    </x:row>
    <x:row r="183" ht="22" customHeight="1">
      <x:c r="A183" s="2" t="n">
        <x:v>89</x:v>
      </x:c>
      <x:c r="B183" s="2" t="str">
        <x:v>NAVY</x:v>
      </x:c>
      <x:c r="C183" s="2" t="str">
        <x:v>규칙형</x:v>
      </x:c>
      <x:c r="D183" s="2" t="str">
        <x:v>80만</x:v>
      </x:c>
      <x:c r="E183" s="14" t="n">
        <x:f>SUM(F183:M183)</x:f>
        <x:v>106</x:v>
      </x:c>
      <x:c r="F183" s="14" t="n">
        <x:v>39</x:v>
      </x:c>
      <x:c r="G183" s="14" t="n">
        <x:v>7</x:v>
      </x:c>
      <x:c r="H183" s="14" t="n">
        <x:v>5</x:v>
      </x:c>
      <x:c r="I183" s="14" t="n">
        <x:v>15</x:v>
      </x:c>
      <x:c r="J183" s="14" t="n">
        <x:v>4</x:v>
      </x:c>
      <x:c r="K183" s="14" t="n">
        <x:v>3</x:v>
      </x:c>
      <x:c r="L183" s="14" t="n">
        <x:v>21</x:v>
      </x:c>
      <x:c r="M183" s="14" t="n">
        <x:v>12</x:v>
      </x:c>
      <x:c r="N183" s="15" t="n">
        <x:f>IF(E183=0,"해당 없음",F183/E183)</x:f>
        <x:v>0.36792452830188677</x:v>
      </x:c>
      <x:c r="O183" s="15" t="n">
        <x:f>IF(E183=0,"해당 없음",G183/E183)</x:f>
        <x:v>0.0660377358490566</x:v>
      </x:c>
      <x:c r="P183" s="15" t="n">
        <x:f>IF(E183=0,"해당 없음",H183/E183)</x:f>
        <x:v>0.04716981132075472</x:v>
      </x:c>
      <x:c r="Q183" s="15" t="n">
        <x:f>IF(E183=0,"해당 없음",I183/E183)</x:f>
        <x:v>0.14150943396226415</x:v>
      </x:c>
      <x:c r="R183" s="15" t="n">
        <x:f>IF(E183=0,"해당 없음",J183/E183)</x:f>
        <x:v>0.03773584905660377</x:v>
      </x:c>
      <x:c r="S183" s="15" t="n">
        <x:f>IF(E183=0,"해당 없음",K183/E183)</x:f>
        <x:v>0.02830188679245283</x:v>
      </x:c>
      <x:c r="T183" s="15" t="n">
        <x:f>IF(E183=0,"해당 없음",L183/E183)</x:f>
        <x:v>0.19811320754716982</x:v>
      </x:c>
      <x:c r="U183" s="15" t="n">
        <x:f>IF(E183=0,"해당 없음",M183/E183)</x:f>
        <x:v>0.11320754716981132</x:v>
      </x:c>
      <x:c r="V183" s="16" t="n">
        <x:f>E183/5</x:f>
        <x:v>21.2</x:v>
      </x:c>
    </x:row>
    <x:row r="184" ht="22" customHeight="1">
      <x:c r="A184" s="2" t="n">
        <x:v>90</x:v>
      </x:c>
      <x:c r="B184" s="2" t="str">
        <x:v>RED</x:v>
      </x:c>
      <x:c r="C184" s="2" t="str">
        <x:v>규칙형</x:v>
      </x:c>
      <x:c r="D184" s="2" t="str">
        <x:v>80만</x:v>
      </x:c>
      <x:c r="E184" s="14" t="n">
        <x:f>SUM(F184:M184)</x:f>
        <x:v>105</x:v>
      </x:c>
      <x:c r="F184" s="14" t="n">
        <x:v>38</x:v>
      </x:c>
      <x:c r="G184" s="14" t="n">
        <x:v>3</x:v>
      </x:c>
      <x:c r="H184" s="14" t="n">
        <x:v>10</x:v>
      </x:c>
      <x:c r="I184" s="14" t="n">
        <x:v>26</x:v>
      </x:c>
      <x:c r="J184" s="14" t="n">
        <x:v>5</x:v>
      </x:c>
      <x:c r="K184" s="14" t="n">
        <x:v>6</x:v>
      </x:c>
      <x:c r="L184" s="14" t="n">
        <x:v>14</x:v>
      </x:c>
      <x:c r="M184" s="14" t="n">
        <x:v>3</x:v>
      </x:c>
      <x:c r="N184" s="15" t="n">
        <x:f>IF(E184=0,"해당 없음",F184/E184)</x:f>
        <x:v>0.3619047619047619</x:v>
      </x:c>
      <x:c r="O184" s="15" t="n">
        <x:f>IF(E184=0,"해당 없음",G184/E184)</x:f>
        <x:v>0.02857142857142857</x:v>
      </x:c>
      <x:c r="P184" s="15" t="n">
        <x:f>IF(E184=0,"해당 없음",H184/E184)</x:f>
        <x:v>0.09523809523809523</x:v>
      </x:c>
      <x:c r="Q184" s="15" t="n">
        <x:f>IF(E184=0,"해당 없음",I184/E184)</x:f>
        <x:v>0.24761904761904763</x:v>
      </x:c>
      <x:c r="R184" s="15" t="n">
        <x:f>IF(E184=0,"해당 없음",J184/E184)</x:f>
        <x:v>0.047619047619047616</x:v>
      </x:c>
      <x:c r="S184" s="15" t="n">
        <x:f>IF(E184=0,"해당 없음",K184/E184)</x:f>
        <x:v>0.05714285714285714</x:v>
      </x:c>
      <x:c r="T184" s="15" t="n">
        <x:f>IF(E184=0,"해당 없음",L184/E184)</x:f>
        <x:v>0.13333333333333333</x:v>
      </x:c>
      <x:c r="U184" s="15" t="n">
        <x:f>IF(E184=0,"해당 없음",M184/E184)</x:f>
        <x:v>0.02857142857142857</x:v>
      </x:c>
      <x:c r="V184" s="16" t="n">
        <x:f>E184/5</x:f>
        <x:v>21</x:v>
      </x:c>
    </x:row>
    <x:row r="185" ht="22" customHeight="1">
      <x:c r="A185" s="2" t="n">
        <x:v>90</x:v>
      </x:c>
      <x:c r="B185" s="2" t="str">
        <x:v>NAVY</x:v>
      </x:c>
      <x:c r="C185" s="2" t="str">
        <x:v>80만</x:v>
      </x:c>
      <x:c r="D185" s="2" t="str">
        <x:v>규칙형</x:v>
      </x:c>
      <x:c r="E185" s="14" t="n">
        <x:f>SUM(F185:M185)</x:f>
        <x:v>105</x:v>
      </x:c>
      <x:c r="F185" s="14" t="n">
        <x:v>3</x:v>
      </x:c>
      <x:c r="G185" s="14" t="n">
        <x:v>17</x:v>
      </x:c>
      <x:c r="H185" s="14" t="n">
        <x:v>9</x:v>
      </x:c>
      <x:c r="I185" s="14" t="n">
        <x:v>4</x:v>
      </x:c>
      <x:c r="J185" s="14" t="n">
        <x:v>1</x:v>
      </x:c>
      <x:c r="K185" s="14" t="n">
        <x:v>4</x:v>
      </x:c>
      <x:c r="L185" s="14" t="n">
        <x:v>41</x:v>
      </x:c>
      <x:c r="M185" s="14" t="n">
        <x:v>26</x:v>
      </x:c>
      <x:c r="N185" s="15" t="n">
        <x:f>IF(E185=0,"해당 없음",F185/E185)</x:f>
        <x:v>0.02857142857142857</x:v>
      </x:c>
      <x:c r="O185" s="15" t="n">
        <x:f>IF(E185=0,"해당 없음",G185/E185)</x:f>
        <x:v>0.1619047619047619</x:v>
      </x:c>
      <x:c r="P185" s="15" t="n">
        <x:f>IF(E185=0,"해당 없음",H185/E185)</x:f>
        <x:v>0.08571428571428572</x:v>
      </x:c>
      <x:c r="Q185" s="15" t="n">
        <x:f>IF(E185=0,"해당 없음",I185/E185)</x:f>
        <x:v>0.0380952380952381</x:v>
      </x:c>
      <x:c r="R185" s="15" t="n">
        <x:f>IF(E185=0,"해당 없음",J185/E185)</x:f>
        <x:v>0.009523809523809525</x:v>
      </x:c>
      <x:c r="S185" s="15" t="n">
        <x:f>IF(E185=0,"해당 없음",K185/E185)</x:f>
        <x:v>0.0380952380952381</x:v>
      </x:c>
      <x:c r="T185" s="15" t="n">
        <x:f>IF(E185=0,"해당 없음",L185/E185)</x:f>
        <x:v>0.3904761904761905</x:v>
      </x:c>
      <x:c r="U185" s="15" t="n">
        <x:f>IF(E185=0,"해당 없음",M185/E185)</x:f>
        <x:v>0.24761904761904763</x:v>
      </x:c>
      <x:c r="V185" s="16" t="n">
        <x:f>E185/5</x:f>
        <x:v>21</x:v>
      </x:c>
    </x:row>
    <x:row r="186" ht="22" customHeight="1">
      <x:c r="A186" s="2" t="n">
        <x:v>91</x:v>
      </x:c>
      <x:c r="B186" s="2" t="str">
        <x:v>RED</x:v>
      </x:c>
      <x:c r="C186" s="2" t="str">
        <x:v>80만</x:v>
      </x:c>
      <x:c r="D186" s="2" t="str">
        <x:v>규칙형</x:v>
      </x:c>
      <x:c r="E186" s="14" t="n">
        <x:f>SUM(F186:M186)</x:f>
        <x:v>103</x:v>
      </x:c>
      <x:c r="F186" s="14" t="n">
        <x:v>2</x:v>
      </x:c>
      <x:c r="G186" s="14" t="n">
        <x:v>13</x:v>
      </x:c>
      <x:c r="H186" s="14" t="n">
        <x:v>8</x:v>
      </x:c>
      <x:c r="I186" s="14" t="n">
        <x:v>11</x:v>
      </x:c>
      <x:c r="J186" s="14" t="n">
        <x:v>1</x:v>
      </x:c>
      <x:c r="K186" s="14" t="n">
        <x:v>4</x:v>
      </x:c>
      <x:c r="L186" s="14" t="n">
        <x:v>43</x:v>
      </x:c>
      <x:c r="M186" s="14" t="n">
        <x:v>21</x:v>
      </x:c>
      <x:c r="N186" s="15" t="n">
        <x:f>IF(E186=0,"해당 없음",F186/E186)</x:f>
        <x:v>0.019417475728155338</x:v>
      </x:c>
      <x:c r="O186" s="15" t="n">
        <x:f>IF(E186=0,"해당 없음",G186/E186)</x:f>
        <x:v>0.1262135922330097</x:v>
      </x:c>
      <x:c r="P186" s="15" t="n">
        <x:f>IF(E186=0,"해당 없음",H186/E186)</x:f>
        <x:v>0.07766990291262135</x:v>
      </x:c>
      <x:c r="Q186" s="15" t="n">
        <x:f>IF(E186=0,"해당 없음",I186/E186)</x:f>
        <x:v>0.10679611650485436</x:v>
      </x:c>
      <x:c r="R186" s="15" t="n">
        <x:f>IF(E186=0,"해당 없음",J186/E186)</x:f>
        <x:v>0.009708737864077669</x:v>
      </x:c>
      <x:c r="S186" s="15" t="n">
        <x:f>IF(E186=0,"해당 없음",K186/E186)</x:f>
        <x:v>0.038834951456310676</x:v>
      </x:c>
      <x:c r="T186" s="15" t="n">
        <x:f>IF(E186=0,"해당 없음",L186/E186)</x:f>
        <x:v>0.4174757281553398</x:v>
      </x:c>
      <x:c r="U186" s="15" t="n">
        <x:f>IF(E186=0,"해당 없음",M186/E186)</x:f>
        <x:v>0.20388349514563106</x:v>
      </x:c>
      <x:c r="V186" s="16" t="n">
        <x:f>E186/5</x:f>
        <x:v>20.6</x:v>
      </x:c>
    </x:row>
    <x:row r="187" ht="22" customHeight="1">
      <x:c r="A187" s="2" t="n">
        <x:v>91</x:v>
      </x:c>
      <x:c r="B187" s="2" t="str">
        <x:v>NAVY</x:v>
      </x:c>
      <x:c r="C187" s="2" t="str">
        <x:v>규칙형</x:v>
      </x:c>
      <x:c r="D187" s="2" t="str">
        <x:v>80만</x:v>
      </x:c>
      <x:c r="E187" s="14" t="n">
        <x:f>SUM(F187:M187)</x:f>
        <x:v>104</x:v>
      </x:c>
      <x:c r="F187" s="14" t="n">
        <x:v>31</x:v>
      </x:c>
      <x:c r="G187" s="14" t="n">
        <x:v>7</x:v>
      </x:c>
      <x:c r="H187" s="14" t="n">
        <x:v>10</x:v>
      </x:c>
      <x:c r="I187" s="14" t="n">
        <x:v>10</x:v>
      </x:c>
      <x:c r="J187" s="14" t="n">
        <x:v>13</x:v>
      </x:c>
      <x:c r="K187" s="14" t="n">
        <x:v>5</x:v>
      </x:c>
      <x:c r="L187" s="14" t="n">
        <x:v>21</x:v>
      </x:c>
      <x:c r="M187" s="14" t="n">
        <x:v>7</x:v>
      </x:c>
      <x:c r="N187" s="15" t="n">
        <x:f>IF(E187=0,"해당 없음",F187/E187)</x:f>
        <x:v>0.2980769230769231</x:v>
      </x:c>
      <x:c r="O187" s="15" t="n">
        <x:f>IF(E187=0,"해당 없음",G187/E187)</x:f>
        <x:v>0.0673076923076923</x:v>
      </x:c>
      <x:c r="P187" s="15" t="n">
        <x:f>IF(E187=0,"해당 없음",H187/E187)</x:f>
        <x:v>0.09615384615384616</x:v>
      </x:c>
      <x:c r="Q187" s="15" t="n">
        <x:f>IF(E187=0,"해당 없음",I187/E187)</x:f>
        <x:v>0.09615384615384616</x:v>
      </x:c>
      <x:c r="R187" s="15" t="n">
        <x:f>IF(E187=0,"해당 없음",J187/E187)</x:f>
        <x:v>0.125</x:v>
      </x:c>
      <x:c r="S187" s="15" t="n">
        <x:f>IF(E187=0,"해당 없음",K187/E187)</x:f>
        <x:v>0.04807692307692308</x:v>
      </x:c>
      <x:c r="T187" s="15" t="n">
        <x:f>IF(E187=0,"해당 없음",L187/E187)</x:f>
        <x:v>0.20192307692307693</x:v>
      </x:c>
      <x:c r="U187" s="15" t="n">
        <x:f>IF(E187=0,"해당 없음",M187/E187)</x:f>
        <x:v>0.0673076923076923</x:v>
      </x:c>
      <x:c r="V187" s="16" t="n">
        <x:f>E187/5</x:f>
        <x:v>20.8</x:v>
      </x:c>
    </x:row>
    <x:row r="188" ht="22" customHeight="1">
      <x:c r="A188" s="2" t="n">
        <x:v>92</x:v>
      </x:c>
      <x:c r="B188" s="2" t="str">
        <x:v>RED</x:v>
      </x:c>
      <x:c r="C188" s="2" t="str">
        <x:v>규칙형</x:v>
      </x:c>
      <x:c r="D188" s="2" t="str">
        <x:v>80만</x:v>
      </x:c>
      <x:c r="E188" s="14" t="n">
        <x:f>SUM(F188:M188)</x:f>
        <x:v>105</x:v>
      </x:c>
      <x:c r="F188" s="14" t="n">
        <x:v>37</x:v>
      </x:c>
      <x:c r="G188" s="14" t="n">
        <x:v>6</x:v>
      </x:c>
      <x:c r="H188" s="14" t="n">
        <x:v>12</x:v>
      </x:c>
      <x:c r="I188" s="14" t="n">
        <x:v>14</x:v>
      </x:c>
      <x:c r="J188" s="14" t="n">
        <x:v>4</x:v>
      </x:c>
      <x:c r="K188" s="14" t="n">
        <x:v>5</x:v>
      </x:c>
      <x:c r="L188" s="14" t="n">
        <x:v>16</x:v>
      </x:c>
      <x:c r="M188" s="14" t="n">
        <x:v>11</x:v>
      </x:c>
      <x:c r="N188" s="15" t="n">
        <x:f>IF(E188=0,"해당 없음",F188/E188)</x:f>
        <x:v>0.3523809523809524</x:v>
      </x:c>
      <x:c r="O188" s="15" t="n">
        <x:f>IF(E188=0,"해당 없음",G188/E188)</x:f>
        <x:v>0.05714285714285714</x:v>
      </x:c>
      <x:c r="P188" s="15" t="n">
        <x:f>IF(E188=0,"해당 없음",H188/E188)</x:f>
        <x:v>0.11428571428571428</x:v>
      </x:c>
      <x:c r="Q188" s="15" t="n">
        <x:f>IF(E188=0,"해당 없음",I188/E188)</x:f>
        <x:v>0.13333333333333333</x:v>
      </x:c>
      <x:c r="R188" s="15" t="n">
        <x:f>IF(E188=0,"해당 없음",J188/E188)</x:f>
        <x:v>0.0380952380952381</x:v>
      </x:c>
      <x:c r="S188" s="15" t="n">
        <x:f>IF(E188=0,"해당 없음",K188/E188)</x:f>
        <x:v>0.047619047619047616</x:v>
      </x:c>
      <x:c r="T188" s="15" t="n">
        <x:f>IF(E188=0,"해당 없음",L188/E188)</x:f>
        <x:v>0.1523809523809524</x:v>
      </x:c>
      <x:c r="U188" s="15" t="n">
        <x:f>IF(E188=0,"해당 없음",M188/E188)</x:f>
        <x:v>0.10476190476190476</x:v>
      </x:c>
      <x:c r="V188" s="16" t="n">
        <x:f>E188/5</x:f>
        <x:v>21</x:v>
      </x:c>
    </x:row>
    <x:row r="189" ht="22" customHeight="1">
      <x:c r="A189" s="2" t="n">
        <x:v>92</x:v>
      </x:c>
      <x:c r="B189" s="2" t="str">
        <x:v>NAVY</x:v>
      </x:c>
      <x:c r="C189" s="2" t="str">
        <x:v>80만</x:v>
      </x:c>
      <x:c r="D189" s="2" t="str">
        <x:v>규칙형</x:v>
      </x:c>
      <x:c r="E189" s="14" t="n">
        <x:f>SUM(F189:M189)</x:f>
        <x:v>104</x:v>
      </x:c>
      <x:c r="F189" s="14" t="n">
        <x:v>2</x:v>
      </x:c>
      <x:c r="G189" s="14" t="n">
        <x:v>23</x:v>
      </x:c>
      <x:c r="H189" s="14" t="n">
        <x:v>4</x:v>
      </x:c>
      <x:c r="I189" s="14" t="n">
        <x:v>7</x:v>
      </x:c>
      <x:c r="J189" s="14" t="n">
        <x:v>8</x:v>
      </x:c>
      <x:c r="K189" s="14" t="n">
        <x:v>6</x:v>
      </x:c>
      <x:c r="L189" s="14" t="n">
        <x:v>38</x:v>
      </x:c>
      <x:c r="M189" s="14" t="n">
        <x:v>16</x:v>
      </x:c>
      <x:c r="N189" s="15" t="n">
        <x:f>IF(E189=0,"해당 없음",F189/E189)</x:f>
        <x:v>0.019230769230769232</x:v>
      </x:c>
      <x:c r="O189" s="15" t="n">
        <x:f>IF(E189=0,"해당 없음",G189/E189)</x:f>
        <x:v>0.22115384615384615</x:v>
      </x:c>
      <x:c r="P189" s="15" t="n">
        <x:f>IF(E189=0,"해당 없음",H189/E189)</x:f>
        <x:v>0.038461538461538464</x:v>
      </x:c>
      <x:c r="Q189" s="15" t="n">
        <x:f>IF(E189=0,"해당 없음",I189/E189)</x:f>
        <x:v>0.0673076923076923</x:v>
      </x:c>
      <x:c r="R189" s="15" t="n">
        <x:f>IF(E189=0,"해당 없음",J189/E189)</x:f>
        <x:v>0.07692307692307693</x:v>
      </x:c>
      <x:c r="S189" s="15" t="n">
        <x:f>IF(E189=0,"해당 없음",K189/E189)</x:f>
        <x:v>0.057692307692307696</x:v>
      </x:c>
      <x:c r="T189" s="15" t="n">
        <x:f>IF(E189=0,"해당 없음",L189/E189)</x:f>
        <x:v>0.36538461538461536</x:v>
      </x:c>
      <x:c r="U189" s="15" t="n">
        <x:f>IF(E189=0,"해당 없음",M189/E189)</x:f>
        <x:v>0.15384615384615385</x:v>
      </x:c>
      <x:c r="V189" s="16" t="n">
        <x:f>E189/5</x:f>
        <x:v>20.8</x:v>
      </x:c>
    </x:row>
    <x:row r="190" ht="22" customHeight="1">
      <x:c r="A190" s="2" t="n">
        <x:v>93</x:v>
      </x:c>
      <x:c r="B190" s="2" t="str">
        <x:v>RED</x:v>
      </x:c>
      <x:c r="C190" s="2" t="str">
        <x:v>80만</x:v>
      </x:c>
      <x:c r="D190" s="2" t="str">
        <x:v>규칙형</x:v>
      </x:c>
      <x:c r="E190" s="14" t="n">
        <x:f>SUM(F190:M190)</x:f>
        <x:v>104</x:v>
      </x:c>
      <x:c r="F190" s="14" t="n">
        <x:v>6</x:v>
      </x:c>
      <x:c r="G190" s="14" t="n">
        <x:v>26</x:v>
      </x:c>
      <x:c r="H190" s="14" t="n">
        <x:v>9</x:v>
      </x:c>
      <x:c r="I190" s="14" t="n">
        <x:v>4</x:v>
      </x:c>
      <x:c r="J190" s="14" t="n">
        <x:v>3</x:v>
      </x:c>
      <x:c r="K190" s="14" t="n">
        <x:v>12</x:v>
      </x:c>
      <x:c r="L190" s="14" t="n">
        <x:v>36</x:v>
      </x:c>
      <x:c r="M190" s="14" t="n">
        <x:v>8</x:v>
      </x:c>
      <x:c r="N190" s="15" t="n">
        <x:f>IF(E190=0,"해당 없음",F190/E190)</x:f>
        <x:v>0.057692307692307696</x:v>
      </x:c>
      <x:c r="O190" s="15" t="n">
        <x:f>IF(E190=0,"해당 없음",G190/E190)</x:f>
        <x:v>0.25</x:v>
      </x:c>
      <x:c r="P190" s="15" t="n">
        <x:f>IF(E190=0,"해당 없음",H190/E190)</x:f>
        <x:v>0.08653846153846154</x:v>
      </x:c>
      <x:c r="Q190" s="15" t="n">
        <x:f>IF(E190=0,"해당 없음",I190/E190)</x:f>
        <x:v>0.038461538461538464</x:v>
      </x:c>
      <x:c r="R190" s="15" t="n">
        <x:f>IF(E190=0,"해당 없음",J190/E190)</x:f>
        <x:v>0.028846153846153848</x:v>
      </x:c>
      <x:c r="S190" s="15" t="n">
        <x:f>IF(E190=0,"해당 없음",K190/E190)</x:f>
        <x:v>0.11538461538461539</x:v>
      </x:c>
      <x:c r="T190" s="15" t="n">
        <x:f>IF(E190=0,"해당 없음",L190/E190)</x:f>
        <x:v>0.34615384615384615</x:v>
      </x:c>
      <x:c r="U190" s="15" t="n">
        <x:f>IF(E190=0,"해당 없음",M190/E190)</x:f>
        <x:v>0.07692307692307693</x:v>
      </x:c>
      <x:c r="V190" s="16" t="n">
        <x:f>E190/5</x:f>
        <x:v>20.8</x:v>
      </x:c>
    </x:row>
    <x:row r="191" ht="22" customHeight="1">
      <x:c r="A191" s="2" t="n">
        <x:v>93</x:v>
      </x:c>
      <x:c r="B191" s="2" t="str">
        <x:v>NAVY</x:v>
      </x:c>
      <x:c r="C191" s="2" t="str">
        <x:v>규칙형</x:v>
      </x:c>
      <x:c r="D191" s="2" t="str">
        <x:v>80만</x:v>
      </x:c>
      <x:c r="E191" s="14" t="n">
        <x:f>SUM(F191:M191)</x:f>
        <x:v>101</x:v>
      </x:c>
      <x:c r="F191" s="14" t="n">
        <x:v>38</x:v>
      </x:c>
      <x:c r="G191" s="14" t="n">
        <x:v>4</x:v>
      </x:c>
      <x:c r="H191" s="14" t="n">
        <x:v>11</x:v>
      </x:c>
      <x:c r="I191" s="14" t="n">
        <x:v>10</x:v>
      </x:c>
      <x:c r="J191" s="14" t="n">
        <x:v>8</x:v>
      </x:c>
      <x:c r="K191" s="14" t="n">
        <x:v>8</x:v>
      </x:c>
      <x:c r="L191" s="14" t="n">
        <x:v>15</x:v>
      </x:c>
      <x:c r="M191" s="14" t="n">
        <x:v>7</x:v>
      </x:c>
      <x:c r="N191" s="15" t="n">
        <x:f>IF(E191=0,"해당 없음",F191/E191)</x:f>
        <x:v>0.37623762376237624</x:v>
      </x:c>
      <x:c r="O191" s="15" t="n">
        <x:f>IF(E191=0,"해당 없음",G191/E191)</x:f>
        <x:v>0.039603960396039604</x:v>
      </x:c>
      <x:c r="P191" s="15" t="n">
        <x:f>IF(E191=0,"해당 없음",H191/E191)</x:f>
        <x:v>0.10891089108910891</x:v>
      </x:c>
      <x:c r="Q191" s="15" t="n">
        <x:f>IF(E191=0,"해당 없음",I191/E191)</x:f>
        <x:v>0.09900990099009901</x:v>
      </x:c>
      <x:c r="R191" s="15" t="n">
        <x:f>IF(E191=0,"해당 없음",J191/E191)</x:f>
        <x:v>0.07920792079207921</x:v>
      </x:c>
      <x:c r="S191" s="15" t="n">
        <x:f>IF(E191=0,"해당 없음",K191/E191)</x:f>
        <x:v>0.07920792079207921</x:v>
      </x:c>
      <x:c r="T191" s="15" t="n">
        <x:f>IF(E191=0,"해당 없음",L191/E191)</x:f>
        <x:v>0.1485148514851485</x:v>
      </x:c>
      <x:c r="U191" s="15" t="n">
        <x:f>IF(E191=0,"해당 없음",M191/E191)</x:f>
        <x:v>0.06930693069306931</x:v>
      </x:c>
      <x:c r="V191" s="16" t="n">
        <x:f>E191/5</x:f>
        <x:v>20.2</x:v>
      </x:c>
    </x:row>
    <x:row r="192" ht="22" customHeight="1">
      <x:c r="A192" s="2" t="n">
        <x:v>94</x:v>
      </x:c>
      <x:c r="B192" s="2" t="str">
        <x:v>RED</x:v>
      </x:c>
      <x:c r="C192" s="2" t="str">
        <x:v>규칙형</x:v>
      </x:c>
      <x:c r="D192" s="2" t="str">
        <x:v>80만</x:v>
      </x:c>
      <x:c r="E192" s="14" t="n">
        <x:f>SUM(F192:M192)</x:f>
        <x:v>104</x:v>
      </x:c>
      <x:c r="F192" s="14" t="n">
        <x:v>35</x:v>
      </x:c>
      <x:c r="G192" s="14" t="n">
        <x:v>2</x:v>
      </x:c>
      <x:c r="H192" s="14" t="n">
        <x:v>7</x:v>
      </x:c>
      <x:c r="I192" s="14" t="n">
        <x:v>16</x:v>
      </x:c>
      <x:c r="J192" s="14" t="n">
        <x:v>4</x:v>
      </x:c>
      <x:c r="K192" s="14" t="n">
        <x:v>10</x:v>
      </x:c>
      <x:c r="L192" s="14" t="n">
        <x:v>26</x:v>
      </x:c>
      <x:c r="M192" s="14" t="n">
        <x:v>4</x:v>
      </x:c>
      <x:c r="N192" s="15" t="n">
        <x:f>IF(E192=0,"해당 없음",F192/E192)</x:f>
        <x:v>0.33653846153846156</x:v>
      </x:c>
      <x:c r="O192" s="15" t="n">
        <x:f>IF(E192=0,"해당 없음",G192/E192)</x:f>
        <x:v>0.019230769230769232</x:v>
      </x:c>
      <x:c r="P192" s="15" t="n">
        <x:f>IF(E192=0,"해당 없음",H192/E192)</x:f>
        <x:v>0.0673076923076923</x:v>
      </x:c>
      <x:c r="Q192" s="15" t="n">
        <x:f>IF(E192=0,"해당 없음",I192/E192)</x:f>
        <x:v>0.15384615384615385</x:v>
      </x:c>
      <x:c r="R192" s="15" t="n">
        <x:f>IF(E192=0,"해당 없음",J192/E192)</x:f>
        <x:v>0.038461538461538464</x:v>
      </x:c>
      <x:c r="S192" s="15" t="n">
        <x:f>IF(E192=0,"해당 없음",K192/E192)</x:f>
        <x:v>0.09615384615384616</x:v>
      </x:c>
      <x:c r="T192" s="15" t="n">
        <x:f>IF(E192=0,"해당 없음",L192/E192)</x:f>
        <x:v>0.25</x:v>
      </x:c>
      <x:c r="U192" s="15" t="n">
        <x:f>IF(E192=0,"해당 없음",M192/E192)</x:f>
        <x:v>0.038461538461538464</x:v>
      </x:c>
      <x:c r="V192" s="16" t="n">
        <x:f>E192/5</x:f>
        <x:v>20.8</x:v>
      </x:c>
    </x:row>
    <x:row r="193" ht="22" customHeight="1">
      <x:c r="A193" s="2" t="n">
        <x:v>94</x:v>
      </x:c>
      <x:c r="B193" s="2" t="str">
        <x:v>NAVY</x:v>
      </x:c>
      <x:c r="C193" s="2" t="str">
        <x:v>80만</x:v>
      </x:c>
      <x:c r="D193" s="2" t="str">
        <x:v>규칙형</x:v>
      </x:c>
      <x:c r="E193" s="14" t="n">
        <x:f>SUM(F193:M193)</x:f>
        <x:v>103</x:v>
      </x:c>
      <x:c r="F193" s="14" t="n">
        <x:v>5</x:v>
      </x:c>
      <x:c r="G193" s="14" t="n">
        <x:v>15</x:v>
      </x:c>
      <x:c r="H193" s="14" t="n">
        <x:v>10</x:v>
      </x:c>
      <x:c r="I193" s="14" t="n">
        <x:v>4</x:v>
      </x:c>
      <x:c r="J193" s="14" t="n">
        <x:v>1</x:v>
      </x:c>
      <x:c r="K193" s="14" t="n">
        <x:v>10</x:v>
      </x:c>
      <x:c r="L193" s="14" t="n">
        <x:v>37</x:v>
      </x:c>
      <x:c r="M193" s="14" t="n">
        <x:v>21</x:v>
      </x:c>
      <x:c r="N193" s="15" t="n">
        <x:f>IF(E193=0,"해당 없음",F193/E193)</x:f>
        <x:v>0.04854368932038835</x:v>
      </x:c>
      <x:c r="O193" s="15" t="n">
        <x:f>IF(E193=0,"해당 없음",G193/E193)</x:f>
        <x:v>0.14563106796116504</x:v>
      </x:c>
      <x:c r="P193" s="15" t="n">
        <x:f>IF(E193=0,"해당 없음",H193/E193)</x:f>
        <x:v>0.0970873786407767</x:v>
      </x:c>
      <x:c r="Q193" s="15" t="n">
        <x:f>IF(E193=0,"해당 없음",I193/E193)</x:f>
        <x:v>0.038834951456310676</x:v>
      </x:c>
      <x:c r="R193" s="15" t="n">
        <x:f>IF(E193=0,"해당 없음",J193/E193)</x:f>
        <x:v>0.009708737864077669</x:v>
      </x:c>
      <x:c r="S193" s="15" t="n">
        <x:f>IF(E193=0,"해당 없음",K193/E193)</x:f>
        <x:v>0.0970873786407767</x:v>
      </x:c>
      <x:c r="T193" s="15" t="n">
        <x:f>IF(E193=0,"해당 없음",L193/E193)</x:f>
        <x:v>0.3592233009708738</x:v>
      </x:c>
      <x:c r="U193" s="15" t="n">
        <x:f>IF(E193=0,"해당 없음",M193/E193)</x:f>
        <x:v>0.20388349514563106</x:v>
      </x:c>
      <x:c r="V193" s="16" t="n">
        <x:f>E193/5</x:f>
        <x:v>20.6</x:v>
      </x:c>
    </x:row>
    <x:row r="194" ht="22" customHeight="1">
      <x:c r="A194" s="2" t="n">
        <x:v>95</x:v>
      </x:c>
      <x:c r="B194" s="2" t="str">
        <x:v>RED</x:v>
      </x:c>
      <x:c r="C194" s="2" t="str">
        <x:v>80만</x:v>
      </x:c>
      <x:c r="D194" s="2" t="str">
        <x:v>규칙형</x:v>
      </x:c>
      <x:c r="E194" s="14" t="n">
        <x:f>SUM(F194:M194)</x:f>
        <x:v>105</x:v>
      </x:c>
      <x:c r="F194" s="14" t="n">
        <x:v>3</x:v>
      </x:c>
      <x:c r="G194" s="14" t="n">
        <x:v>20</x:v>
      </x:c>
      <x:c r="H194" s="14" t="n">
        <x:v>4</x:v>
      </x:c>
      <x:c r="I194" s="14" t="n">
        <x:v>6</x:v>
      </x:c>
      <x:c r="J194" s="14" t="n">
        <x:v>3</x:v>
      </x:c>
      <x:c r="K194" s="14" t="n">
        <x:v>9</x:v>
      </x:c>
      <x:c r="L194" s="14" t="n">
        <x:v>42</x:v>
      </x:c>
      <x:c r="M194" s="14" t="n">
        <x:v>18</x:v>
      </x:c>
      <x:c r="N194" s="15" t="n">
        <x:f>IF(E194=0,"해당 없음",F194/E194)</x:f>
        <x:v>0.02857142857142857</x:v>
      </x:c>
      <x:c r="O194" s="15" t="n">
        <x:f>IF(E194=0,"해당 없음",G194/E194)</x:f>
        <x:v>0.19047619047619047</x:v>
      </x:c>
      <x:c r="P194" s="15" t="n">
        <x:f>IF(E194=0,"해당 없음",H194/E194)</x:f>
        <x:v>0.0380952380952381</x:v>
      </x:c>
      <x:c r="Q194" s="15" t="n">
        <x:f>IF(E194=0,"해당 없음",I194/E194)</x:f>
        <x:v>0.05714285714285714</x:v>
      </x:c>
      <x:c r="R194" s="15" t="n">
        <x:f>IF(E194=0,"해당 없음",J194/E194)</x:f>
        <x:v>0.02857142857142857</x:v>
      </x:c>
      <x:c r="S194" s="15" t="n">
        <x:f>IF(E194=0,"해당 없음",K194/E194)</x:f>
        <x:v>0.08571428571428572</x:v>
      </x:c>
      <x:c r="T194" s="15" t="n">
        <x:f>IF(E194=0,"해당 없음",L194/E194)</x:f>
        <x:v>0.4</x:v>
      </x:c>
      <x:c r="U194" s="15" t="n">
        <x:f>IF(E194=0,"해당 없음",M194/E194)</x:f>
        <x:v>0.17142857142857143</x:v>
      </x:c>
      <x:c r="V194" s="16" t="n">
        <x:f>E194/5</x:f>
        <x:v>21</x:v>
      </x:c>
    </x:row>
    <x:row r="195" ht="22" customHeight="1">
      <x:c r="A195" s="2" t="n">
        <x:v>95</x:v>
      </x:c>
      <x:c r="B195" s="2" t="str">
        <x:v>NAVY</x:v>
      </x:c>
      <x:c r="C195" s="2" t="str">
        <x:v>규칙형</x:v>
      </x:c>
      <x:c r="D195" s="2" t="str">
        <x:v>80만</x:v>
      </x:c>
      <x:c r="E195" s="14" t="n">
        <x:f>SUM(F195:M195)</x:f>
        <x:v>106</x:v>
      </x:c>
      <x:c r="F195" s="14" t="n">
        <x:v>49</x:v>
      </x:c>
      <x:c r="G195" s="14" t="n">
        <x:v>6</x:v>
      </x:c>
      <x:c r="H195" s="14" t="n">
        <x:v>5</x:v>
      </x:c>
      <x:c r="I195" s="14" t="n">
        <x:v>12</x:v>
      </x:c>
      <x:c r="J195" s="14" t="n">
        <x:v>4</x:v>
      </x:c>
      <x:c r="K195" s="14" t="n">
        <x:v>3</x:v>
      </x:c>
      <x:c r="L195" s="14" t="n">
        <x:v>22</x:v>
      </x:c>
      <x:c r="M195" s="14" t="n">
        <x:v>5</x:v>
      </x:c>
      <x:c r="N195" s="15" t="n">
        <x:f>IF(E195=0,"해당 없음",F195/E195)</x:f>
        <x:v>0.46226415094339623</x:v>
      </x:c>
      <x:c r="O195" s="15" t="n">
        <x:f>IF(E195=0,"해당 없음",G195/E195)</x:f>
        <x:v>0.05660377358490566</x:v>
      </x:c>
      <x:c r="P195" s="15" t="n">
        <x:f>IF(E195=0,"해당 없음",H195/E195)</x:f>
        <x:v>0.04716981132075472</x:v>
      </x:c>
      <x:c r="Q195" s="15" t="n">
        <x:f>IF(E195=0,"해당 없음",I195/E195)</x:f>
        <x:v>0.11320754716981132</x:v>
      </x:c>
      <x:c r="R195" s="15" t="n">
        <x:f>IF(E195=0,"해당 없음",J195/E195)</x:f>
        <x:v>0.03773584905660377</x:v>
      </x:c>
      <x:c r="S195" s="15" t="n">
        <x:f>IF(E195=0,"해당 없음",K195/E195)</x:f>
        <x:v>0.02830188679245283</x:v>
      </x:c>
      <x:c r="T195" s="15" t="n">
        <x:f>IF(E195=0,"해당 없음",L195/E195)</x:f>
        <x:v>0.20754716981132076</x:v>
      </x:c>
      <x:c r="U195" s="15" t="n">
        <x:f>IF(E195=0,"해당 없음",M195/E195)</x:f>
        <x:v>0.04716981132075472</x:v>
      </x:c>
      <x:c r="V195" s="16" t="n">
        <x:f>E195/5</x:f>
        <x:v>21.2</x:v>
      </x:c>
    </x:row>
    <x:row r="196" ht="22" customHeight="1">
      <x:c r="A196" s="2" t="n">
        <x:v>96</x:v>
      </x:c>
      <x:c r="B196" s="2" t="str">
        <x:v>RED</x:v>
      </x:c>
      <x:c r="C196" s="2" t="str">
        <x:v>규칙형</x:v>
      </x:c>
      <x:c r="D196" s="2" t="str">
        <x:v>80만</x:v>
      </x:c>
      <x:c r="E196" s="14" t="n">
        <x:f>SUM(F196:M196)</x:f>
        <x:v>102</x:v>
      </x:c>
      <x:c r="F196" s="14" t="n">
        <x:v>36</x:v>
      </x:c>
      <x:c r="G196" s="14" t="n">
        <x:v>2</x:v>
      </x:c>
      <x:c r="H196" s="14" t="n">
        <x:v>8</x:v>
      </x:c>
      <x:c r="I196" s="14" t="n">
        <x:v>10</x:v>
      </x:c>
      <x:c r="J196" s="14" t="n">
        <x:v>6</x:v>
      </x:c>
      <x:c r="K196" s="14" t="n">
        <x:v>3</x:v>
      </x:c>
      <x:c r="L196" s="14" t="n">
        <x:v>23</x:v>
      </x:c>
      <x:c r="M196" s="14" t="n">
        <x:v>14</x:v>
      </x:c>
      <x:c r="N196" s="15" t="n">
        <x:f>IF(E196=0,"해당 없음",F196/E196)</x:f>
        <x:v>0.35294117647058826</x:v>
      </x:c>
      <x:c r="O196" s="15" t="n">
        <x:f>IF(E196=0,"해당 없음",G196/E196)</x:f>
        <x:v>0.0196078431372549</x:v>
      </x:c>
      <x:c r="P196" s="15" t="n">
        <x:f>IF(E196=0,"해당 없음",H196/E196)</x:f>
        <x:v>0.0784313725490196</x:v>
      </x:c>
      <x:c r="Q196" s="15" t="n">
        <x:f>IF(E196=0,"해당 없음",I196/E196)</x:f>
        <x:v>0.09803921568627451</x:v>
      </x:c>
      <x:c r="R196" s="15" t="n">
        <x:f>IF(E196=0,"해당 없음",J196/E196)</x:f>
        <x:v>0.058823529411764705</x:v>
      </x:c>
      <x:c r="S196" s="15" t="n">
        <x:f>IF(E196=0,"해당 없음",K196/E196)</x:f>
        <x:v>0.029411764705882353</x:v>
      </x:c>
      <x:c r="T196" s="15" t="n">
        <x:f>IF(E196=0,"해당 없음",L196/E196)</x:f>
        <x:v>0.22549019607843138</x:v>
      </x:c>
      <x:c r="U196" s="15" t="n">
        <x:f>IF(E196=0,"해당 없음",M196/E196)</x:f>
        <x:v>0.13725490196078433</x:v>
      </x:c>
      <x:c r="V196" s="16" t="n">
        <x:f>E196/5</x:f>
        <x:v>20.4</x:v>
      </x:c>
    </x:row>
    <x:row r="197" ht="22" customHeight="1">
      <x:c r="A197" s="2" t="n">
        <x:v>96</x:v>
      </x:c>
      <x:c r="B197" s="2" t="str">
        <x:v>NAVY</x:v>
      </x:c>
      <x:c r="C197" s="2" t="str">
        <x:v>80만</x:v>
      </x:c>
      <x:c r="D197" s="2" t="str">
        <x:v>규칙형</x:v>
      </x:c>
      <x:c r="E197" s="14" t="n">
        <x:f>SUM(F197:M197)</x:f>
        <x:v>104</x:v>
      </x:c>
      <x:c r="F197" s="14" t="n">
        <x:v>3</x:v>
      </x:c>
      <x:c r="G197" s="14" t="n">
        <x:v>20</x:v>
      </x:c>
      <x:c r="H197" s="14" t="n">
        <x:v>7</x:v>
      </x:c>
      <x:c r="I197" s="14" t="n">
        <x:v>6</x:v>
      </x:c>
      <x:c r="J197" s="14" t="n">
        <x:v>3</x:v>
      </x:c>
      <x:c r="K197" s="14" t="n">
        <x:v>8</x:v>
      </x:c>
      <x:c r="L197" s="14" t="n">
        <x:v>37</x:v>
      </x:c>
      <x:c r="M197" s="14" t="n">
        <x:v>20</x:v>
      </x:c>
      <x:c r="N197" s="15" t="n">
        <x:f>IF(E197=0,"해당 없음",F197/E197)</x:f>
        <x:v>0.028846153846153848</x:v>
      </x:c>
      <x:c r="O197" s="15" t="n">
        <x:f>IF(E197=0,"해당 없음",G197/E197)</x:f>
        <x:v>0.19230769230769232</x:v>
      </x:c>
      <x:c r="P197" s="15" t="n">
        <x:f>IF(E197=0,"해당 없음",H197/E197)</x:f>
        <x:v>0.0673076923076923</x:v>
      </x:c>
      <x:c r="Q197" s="15" t="n">
        <x:f>IF(E197=0,"해당 없음",I197/E197)</x:f>
        <x:v>0.057692307692307696</x:v>
      </x:c>
      <x:c r="R197" s="15" t="n">
        <x:f>IF(E197=0,"해당 없음",J197/E197)</x:f>
        <x:v>0.028846153846153848</x:v>
      </x:c>
      <x:c r="S197" s="15" t="n">
        <x:f>IF(E197=0,"해당 없음",K197/E197)</x:f>
        <x:v>0.07692307692307693</x:v>
      </x:c>
      <x:c r="T197" s="15" t="n">
        <x:f>IF(E197=0,"해당 없음",L197/E197)</x:f>
        <x:v>0.3557692307692308</x:v>
      </x:c>
      <x:c r="U197" s="15" t="n">
        <x:f>IF(E197=0,"해당 없음",M197/E197)</x:f>
        <x:v>0.19230769230769232</x:v>
      </x:c>
      <x:c r="V197" s="16" t="n">
        <x:f>E197/5</x:f>
        <x:v>20.8</x:v>
      </x:c>
    </x:row>
    <x:row r="198" ht="22" customHeight="1">
      <x:c r="A198" s="2" t="n">
        <x:v>97</x:v>
      </x:c>
      <x:c r="B198" s="2" t="str">
        <x:v>RED</x:v>
      </x:c>
      <x:c r="C198" s="2" t="str">
        <x:v>80만</x:v>
      </x:c>
      <x:c r="D198" s="2" t="str">
        <x:v>규칙형</x:v>
      </x:c>
      <x:c r="E198" s="14" t="n">
        <x:f>SUM(F198:M198)</x:f>
        <x:v>102</x:v>
      </x:c>
      <x:c r="F198" s="14" t="n">
        <x:v>5</x:v>
      </x:c>
      <x:c r="G198" s="14" t="n">
        <x:v>24</x:v>
      </x:c>
      <x:c r="H198" s="14" t="n">
        <x:v>6</x:v>
      </x:c>
      <x:c r="I198" s="14" t="n">
        <x:v>6</x:v>
      </x:c>
      <x:c r="J198" s="14" t="n">
        <x:v>5</x:v>
      </x:c>
      <x:c r="K198" s="14" t="n">
        <x:v>7</x:v>
      </x:c>
      <x:c r="L198" s="14" t="n">
        <x:v>34</x:v>
      </x:c>
      <x:c r="M198" s="14" t="n">
        <x:v>15</x:v>
      </x:c>
      <x:c r="N198" s="15" t="n">
        <x:f>IF(E198=0,"해당 없음",F198/E198)</x:f>
        <x:v>0.049019607843137254</x:v>
      </x:c>
      <x:c r="O198" s="15" t="n">
        <x:f>IF(E198=0,"해당 없음",G198/E198)</x:f>
        <x:v>0.23529411764705882</x:v>
      </x:c>
      <x:c r="P198" s="15" t="n">
        <x:f>IF(E198=0,"해당 없음",H198/E198)</x:f>
        <x:v>0.058823529411764705</x:v>
      </x:c>
      <x:c r="Q198" s="15" t="n">
        <x:f>IF(E198=0,"해당 없음",I198/E198)</x:f>
        <x:v>0.058823529411764705</x:v>
      </x:c>
      <x:c r="R198" s="15" t="n">
        <x:f>IF(E198=0,"해당 없음",J198/E198)</x:f>
        <x:v>0.049019607843137254</x:v>
      </x:c>
      <x:c r="S198" s="15" t="n">
        <x:f>IF(E198=0,"해당 없음",K198/E198)</x:f>
        <x:v>0.06862745098039216</x:v>
      </x:c>
      <x:c r="T198" s="15" t="n">
        <x:f>IF(E198=0,"해당 없음",L198/E198)</x:f>
        <x:v>0.3333333333333333</x:v>
      </x:c>
      <x:c r="U198" s="15" t="n">
        <x:f>IF(E198=0,"해당 없음",M198/E198)</x:f>
        <x:v>0.14705882352941177</x:v>
      </x:c>
      <x:c r="V198" s="16" t="n">
        <x:f>E198/5</x:f>
        <x:v>20.4</x:v>
      </x:c>
    </x:row>
    <x:row r="199" ht="22" customHeight="1">
      <x:c r="A199" s="2" t="n">
        <x:v>97</x:v>
      </x:c>
      <x:c r="B199" s="2" t="str">
        <x:v>NAVY</x:v>
      </x:c>
      <x:c r="C199" s="2" t="str">
        <x:v>규칙형</x:v>
      </x:c>
      <x:c r="D199" s="2" t="str">
        <x:v>80만</x:v>
      </x:c>
      <x:c r="E199" s="14" t="n">
        <x:f>SUM(F199:M199)</x:f>
        <x:v>103</x:v>
      </x:c>
      <x:c r="F199" s="14" t="n">
        <x:v>45</x:v>
      </x:c>
      <x:c r="G199" s="14" t="n">
        <x:v>5</x:v>
      </x:c>
      <x:c r="H199" s="14" t="n">
        <x:v>13</x:v>
      </x:c>
      <x:c r="I199" s="14" t="n">
        <x:v>20</x:v>
      </x:c>
      <x:c r="J199" s="14" t="n">
        <x:v>4</x:v>
      </x:c>
      <x:c r="K199" s="14" t="n">
        <x:v>2</x:v>
      </x:c>
      <x:c r="L199" s="14" t="n">
        <x:v>11</x:v>
      </x:c>
      <x:c r="M199" s="14" t="n">
        <x:v>3</x:v>
      </x:c>
      <x:c r="N199" s="15" t="n">
        <x:f>IF(E199=0,"해당 없음",F199/E199)</x:f>
        <x:v>0.4368932038834951</x:v>
      </x:c>
      <x:c r="O199" s="15" t="n">
        <x:f>IF(E199=0,"해당 없음",G199/E199)</x:f>
        <x:v>0.04854368932038835</x:v>
      </x:c>
      <x:c r="P199" s="15" t="n">
        <x:f>IF(E199=0,"해당 없음",H199/E199)</x:f>
        <x:v>0.1262135922330097</x:v>
      </x:c>
      <x:c r="Q199" s="15" t="n">
        <x:f>IF(E199=0,"해당 없음",I199/E199)</x:f>
        <x:v>0.1941747572815534</x:v>
      </x:c>
      <x:c r="R199" s="15" t="n">
        <x:f>IF(E199=0,"해당 없음",J199/E199)</x:f>
        <x:v>0.038834951456310676</x:v>
      </x:c>
      <x:c r="S199" s="15" t="n">
        <x:f>IF(E199=0,"해당 없음",K199/E199)</x:f>
        <x:v>0.019417475728155338</x:v>
      </x:c>
      <x:c r="T199" s="15" t="n">
        <x:f>IF(E199=0,"해당 없음",L199/E199)</x:f>
        <x:v>0.10679611650485436</x:v>
      </x:c>
      <x:c r="U199" s="15" t="n">
        <x:f>IF(E199=0,"해당 없음",M199/E199)</x:f>
        <x:v>0.02912621359223301</x:v>
      </x:c>
      <x:c r="V199" s="16" t="n">
        <x:f>E199/5</x:f>
        <x:v>20.6</x:v>
      </x:c>
    </x:row>
    <x:row r="200" ht="22" customHeight="1">
      <x:c r="A200" s="2" t="n">
        <x:v>98</x:v>
      </x:c>
      <x:c r="B200" s="2" t="str">
        <x:v>RED</x:v>
      </x:c>
      <x:c r="C200" s="2" t="str">
        <x:v>규칙형</x:v>
      </x:c>
      <x:c r="D200" s="2" t="str">
        <x:v>80만</x:v>
      </x:c>
      <x:c r="E200" s="14" t="n">
        <x:f>SUM(F200:M200)</x:f>
        <x:v>104</x:v>
      </x:c>
      <x:c r="F200" s="14" t="n">
        <x:v>37</x:v>
      </x:c>
      <x:c r="G200" s="14" t="n">
        <x:v>5</x:v>
      </x:c>
      <x:c r="H200" s="14" t="n">
        <x:v>2</x:v>
      </x:c>
      <x:c r="I200" s="14" t="n">
        <x:v>15</x:v>
      </x:c>
      <x:c r="J200" s="14" t="n">
        <x:v>5</x:v>
      </x:c>
      <x:c r="K200" s="14" t="n">
        <x:v>9</x:v>
      </x:c>
      <x:c r="L200" s="14" t="n">
        <x:v>25</x:v>
      </x:c>
      <x:c r="M200" s="14" t="n">
        <x:v>6</x:v>
      </x:c>
      <x:c r="N200" s="15" t="n">
        <x:f>IF(E200=0,"해당 없음",F200/E200)</x:f>
        <x:v>0.3557692307692308</x:v>
      </x:c>
      <x:c r="O200" s="15" t="n">
        <x:f>IF(E200=0,"해당 없음",G200/E200)</x:f>
        <x:v>0.04807692307692308</x:v>
      </x:c>
      <x:c r="P200" s="15" t="n">
        <x:f>IF(E200=0,"해당 없음",H200/E200)</x:f>
        <x:v>0.019230769230769232</x:v>
      </x:c>
      <x:c r="Q200" s="15" t="n">
        <x:f>IF(E200=0,"해당 없음",I200/E200)</x:f>
        <x:v>0.14423076923076922</x:v>
      </x:c>
      <x:c r="R200" s="15" t="n">
        <x:f>IF(E200=0,"해당 없음",J200/E200)</x:f>
        <x:v>0.04807692307692308</x:v>
      </x:c>
      <x:c r="S200" s="15" t="n">
        <x:f>IF(E200=0,"해당 없음",K200/E200)</x:f>
        <x:v>0.08653846153846154</x:v>
      </x:c>
      <x:c r="T200" s="15" t="n">
        <x:f>IF(E200=0,"해당 없음",L200/E200)</x:f>
        <x:v>0.2403846153846154</x:v>
      </x:c>
      <x:c r="U200" s="15" t="n">
        <x:f>IF(E200=0,"해당 없음",M200/E200)</x:f>
        <x:v>0.057692307692307696</x:v>
      </x:c>
      <x:c r="V200" s="16" t="n">
        <x:f>E200/5</x:f>
        <x:v>20.8</x:v>
      </x:c>
    </x:row>
    <x:row r="201" ht="22" customHeight="1">
      <x:c r="A201" s="2" t="n">
        <x:v>98</x:v>
      </x:c>
      <x:c r="B201" s="2" t="str">
        <x:v>NAVY</x:v>
      </x:c>
      <x:c r="C201" s="2" t="str">
        <x:v>80만</x:v>
      </x:c>
      <x:c r="D201" s="2" t="str">
        <x:v>규칙형</x:v>
      </x:c>
      <x:c r="E201" s="14" t="n">
        <x:f>SUM(F201:M201)</x:f>
        <x:v>103</x:v>
      </x:c>
      <x:c r="F201" s="14" t="n">
        <x:v>4</x:v>
      </x:c>
      <x:c r="G201" s="14" t="n">
        <x:v>17</x:v>
      </x:c>
      <x:c r="H201" s="14" t="n">
        <x:v>12</x:v>
      </x:c>
      <x:c r="I201" s="14" t="n">
        <x:v>3</x:v>
      </x:c>
      <x:c r="J201" s="14" t="n">
        <x:v>4</x:v>
      </x:c>
      <x:c r="K201" s="14" t="n">
        <x:v>7</x:v>
      </x:c>
      <x:c r="L201" s="14" t="n">
        <x:v>34</x:v>
      </x:c>
      <x:c r="M201" s="14" t="n">
        <x:v>22</x:v>
      </x:c>
      <x:c r="N201" s="15" t="n">
        <x:f>IF(E201=0,"해당 없음",F201/E201)</x:f>
        <x:v>0.038834951456310676</x:v>
      </x:c>
      <x:c r="O201" s="15" t="n">
        <x:f>IF(E201=0,"해당 없음",G201/E201)</x:f>
        <x:v>0.1650485436893204</x:v>
      </x:c>
      <x:c r="P201" s="15" t="n">
        <x:f>IF(E201=0,"해당 없음",H201/E201)</x:f>
        <x:v>0.11650485436893204</x:v>
      </x:c>
      <x:c r="Q201" s="15" t="n">
        <x:f>IF(E201=0,"해당 없음",I201/E201)</x:f>
        <x:v>0.02912621359223301</x:v>
      </x:c>
      <x:c r="R201" s="15" t="n">
        <x:f>IF(E201=0,"해당 없음",J201/E201)</x:f>
        <x:v>0.038834951456310676</x:v>
      </x:c>
      <x:c r="S201" s="15" t="n">
        <x:f>IF(E201=0,"해당 없음",K201/E201)</x:f>
        <x:v>0.06796116504854369</x:v>
      </x:c>
      <x:c r="T201" s="15" t="n">
        <x:f>IF(E201=0,"해당 없음",L201/E201)</x:f>
        <x:v>0.3300970873786408</x:v>
      </x:c>
      <x:c r="U201" s="15" t="n">
        <x:f>IF(E201=0,"해당 없음",M201/E201)</x:f>
        <x:v>0.21359223300970873</x:v>
      </x:c>
      <x:c r="V201" s="16" t="n">
        <x:f>E201/5</x:f>
        <x:v>20.6</x:v>
      </x:c>
    </x:row>
    <x:row r="202" ht="22" customHeight="1">
      <x:c r="A202" s="2" t="n">
        <x:v>99</x:v>
      </x:c>
      <x:c r="B202" s="2" t="str">
        <x:v>RED</x:v>
      </x:c>
      <x:c r="C202" s="2" t="str">
        <x:v>80만</x:v>
      </x:c>
      <x:c r="D202" s="2" t="str">
        <x:v>규칙형</x:v>
      </x:c>
      <x:c r="E202" s="14" t="n">
        <x:f>SUM(F202:M202)</x:f>
        <x:v>106</x:v>
      </x:c>
      <x:c r="F202" s="14" t="n">
        <x:v>4</x:v>
      </x:c>
      <x:c r="G202" s="14" t="n">
        <x:v>13</x:v>
      </x:c>
      <x:c r="H202" s="14" t="n">
        <x:v>13</x:v>
      </x:c>
      <x:c r="I202" s="14" t="n">
        <x:v>9</x:v>
      </x:c>
      <x:c r="J202" s="14" t="n">
        <x:v>0</x:v>
      </x:c>
      <x:c r="K202" s="14" t="n">
        <x:v>6</x:v>
      </x:c>
      <x:c r="L202" s="14" t="n">
        <x:v>39</x:v>
      </x:c>
      <x:c r="M202" s="14" t="n">
        <x:v>22</x:v>
      </x:c>
      <x:c r="N202" s="15" t="n">
        <x:f>IF(E202=0,"해당 없음",F202/E202)</x:f>
        <x:v>0.03773584905660377</x:v>
      </x:c>
      <x:c r="O202" s="15" t="n">
        <x:f>IF(E202=0,"해당 없음",G202/E202)</x:f>
        <x:v>0.12264150943396226</x:v>
      </x:c>
      <x:c r="P202" s="15" t="n">
        <x:f>IF(E202=0,"해당 없음",H202/E202)</x:f>
        <x:v>0.12264150943396226</x:v>
      </x:c>
      <x:c r="Q202" s="15" t="n">
        <x:f>IF(E202=0,"해당 없음",I202/E202)</x:f>
        <x:v>0.08490566037735849</x:v>
      </x:c>
      <x:c r="R202" s="15" t="n">
        <x:f>IF(E202=0,"해당 없음",J202/E202)</x:f>
        <x:v>0</x:v>
      </x:c>
      <x:c r="S202" s="15" t="n">
        <x:f>IF(E202=0,"해당 없음",K202/E202)</x:f>
        <x:v>0.05660377358490566</x:v>
      </x:c>
      <x:c r="T202" s="15" t="n">
        <x:f>IF(E202=0,"해당 없음",L202/E202)</x:f>
        <x:v>0.36792452830188677</x:v>
      </x:c>
      <x:c r="U202" s="15" t="n">
        <x:f>IF(E202=0,"해당 없음",M202/E202)</x:f>
        <x:v>0.20754716981132076</x:v>
      </x:c>
      <x:c r="V202" s="16" t="n">
        <x:f>E202/5</x:f>
        <x:v>21.2</x:v>
      </x:c>
    </x:row>
    <x:row r="203" ht="22" customHeight="1">
      <x:c r="A203" s="2" t="n">
        <x:v>99</x:v>
      </x:c>
      <x:c r="B203" s="2" t="str">
        <x:v>NAVY</x:v>
      </x:c>
      <x:c r="C203" s="2" t="str">
        <x:v>규칙형</x:v>
      </x:c>
      <x:c r="D203" s="2" t="str">
        <x:v>80만</x:v>
      </x:c>
      <x:c r="E203" s="14" t="n">
        <x:f>SUM(F203:M203)</x:f>
        <x:v>105</x:v>
      </x:c>
      <x:c r="F203" s="14" t="n">
        <x:v>40</x:v>
      </x:c>
      <x:c r="G203" s="14" t="n">
        <x:v>5</x:v>
      </x:c>
      <x:c r="H203" s="14" t="n">
        <x:v>8</x:v>
      </x:c>
      <x:c r="I203" s="14" t="n">
        <x:v>7</x:v>
      </x:c>
      <x:c r="J203" s="14" t="n">
        <x:v>11</x:v>
      </x:c>
      <x:c r="K203" s="14" t="n">
        <x:v>5</x:v>
      </x:c>
      <x:c r="L203" s="14" t="n">
        <x:v>22</x:v>
      </x:c>
      <x:c r="M203" s="14" t="n">
        <x:v>7</x:v>
      </x:c>
      <x:c r="N203" s="15" t="n">
        <x:f>IF(E203=0,"해당 없음",F203/E203)</x:f>
        <x:v>0.38095238095238093</x:v>
      </x:c>
      <x:c r="O203" s="15" t="n">
        <x:f>IF(E203=0,"해당 없음",G203/E203)</x:f>
        <x:v>0.047619047619047616</x:v>
      </x:c>
      <x:c r="P203" s="15" t="n">
        <x:f>IF(E203=0,"해당 없음",H203/E203)</x:f>
        <x:v>0.0761904761904762</x:v>
      </x:c>
      <x:c r="Q203" s="15" t="n">
        <x:f>IF(E203=0,"해당 없음",I203/E203)</x:f>
        <x:v>0.06666666666666667</x:v>
      </x:c>
      <x:c r="R203" s="15" t="n">
        <x:f>IF(E203=0,"해당 없음",J203/E203)</x:f>
        <x:v>0.10476190476190476</x:v>
      </x:c>
      <x:c r="S203" s="15" t="n">
        <x:f>IF(E203=0,"해당 없음",K203/E203)</x:f>
        <x:v>0.047619047619047616</x:v>
      </x:c>
      <x:c r="T203" s="15" t="n">
        <x:f>IF(E203=0,"해당 없음",L203/E203)</x:f>
        <x:v>0.20952380952380953</x:v>
      </x:c>
      <x:c r="U203" s="15" t="n">
        <x:f>IF(E203=0,"해당 없음",M203/E203)</x:f>
        <x:v>0.06666666666666667</x:v>
      </x:c>
      <x:c r="V203" s="16" t="n">
        <x:f>E203/5</x:f>
        <x:v>21</x:v>
      </x:c>
    </x:row>
    <x:row r="204" ht="22" customHeight="1">
      <x:c r="A204" s="2" t="n">
        <x:v>100</x:v>
      </x:c>
      <x:c r="B204" s="2" t="str">
        <x:v>RED</x:v>
      </x:c>
      <x:c r="C204" s="2" t="str">
        <x:v>규칙형</x:v>
      </x:c>
      <x:c r="D204" s="2" t="str">
        <x:v>80만</x:v>
      </x:c>
      <x:c r="E204" s="14" t="n">
        <x:f>SUM(F204:M204)</x:f>
        <x:v>108</x:v>
      </x:c>
      <x:c r="F204" s="14" t="n">
        <x:v>39</x:v>
      </x:c>
      <x:c r="G204" s="14" t="n">
        <x:v>5</x:v>
      </x:c>
      <x:c r="H204" s="14" t="n">
        <x:v>4</x:v>
      </x:c>
      <x:c r="I204" s="14" t="n">
        <x:v>9</x:v>
      </x:c>
      <x:c r="J204" s="14" t="n">
        <x:v>12</x:v>
      </x:c>
      <x:c r="K204" s="14" t="n">
        <x:v>6</x:v>
      </x:c>
      <x:c r="L204" s="14" t="n">
        <x:v>26</x:v>
      </x:c>
      <x:c r="M204" s="14" t="n">
        <x:v>7</x:v>
      </x:c>
      <x:c r="N204" s="15" t="n">
        <x:f>IF(E204=0,"해당 없음",F204/E204)</x:f>
        <x:v>0.3611111111111111</x:v>
      </x:c>
      <x:c r="O204" s="15" t="n">
        <x:f>IF(E204=0,"해당 없음",G204/E204)</x:f>
        <x:v>0.046296296296296294</x:v>
      </x:c>
      <x:c r="P204" s="15" t="n">
        <x:f>IF(E204=0,"해당 없음",H204/E204)</x:f>
        <x:v>0.037037037037037035</x:v>
      </x:c>
      <x:c r="Q204" s="15" t="n">
        <x:f>IF(E204=0,"해당 없음",I204/E204)</x:f>
        <x:v>0.08333333333333333</x:v>
      </x:c>
      <x:c r="R204" s="15" t="n">
        <x:f>IF(E204=0,"해당 없음",J204/E204)</x:f>
        <x:v>0.1111111111111111</x:v>
      </x:c>
      <x:c r="S204" s="15" t="n">
        <x:f>IF(E204=0,"해당 없음",K204/E204)</x:f>
        <x:v>0.05555555555555555</x:v>
      </x:c>
      <x:c r="T204" s="15" t="n">
        <x:f>IF(E204=0,"해당 없음",L204/E204)</x:f>
        <x:v>0.24074074074074073</x:v>
      </x:c>
      <x:c r="U204" s="15" t="n">
        <x:f>IF(E204=0,"해당 없음",M204/E204)</x:f>
        <x:v>0.06481481481481481</x:v>
      </x:c>
      <x:c r="V204" s="16" t="n">
        <x:f>E204/5</x:f>
        <x:v>21.6</x:v>
      </x:c>
    </x:row>
    <x:row r="205" ht="22" customHeight="1">
      <x:c r="A205" s="2" t="n">
        <x:v>100</x:v>
      </x:c>
      <x:c r="B205" s="2" t="str">
        <x:v>NAVY</x:v>
      </x:c>
      <x:c r="C205" s="2" t="str">
        <x:v>80만</x:v>
      </x:c>
      <x:c r="D205" s="2" t="str">
        <x:v>규칙형</x:v>
      </x:c>
      <x:c r="E205" s="14" t="n">
        <x:f>SUM(F205:M205)</x:f>
        <x:v>107</x:v>
      </x:c>
      <x:c r="F205" s="14" t="n">
        <x:v>8</x:v>
      </x:c>
      <x:c r="G205" s="14" t="n">
        <x:v>19</x:v>
      </x:c>
      <x:c r="H205" s="14" t="n">
        <x:v>8</x:v>
      </x:c>
      <x:c r="I205" s="14" t="n">
        <x:v>10</x:v>
      </x:c>
      <x:c r="J205" s="14" t="n">
        <x:v>2</x:v>
      </x:c>
      <x:c r="K205" s="14" t="n">
        <x:v>8</x:v>
      </x:c>
      <x:c r="L205" s="14" t="n">
        <x:v>42</x:v>
      </x:c>
      <x:c r="M205" s="14" t="n">
        <x:v>10</x:v>
      </x:c>
      <x:c r="N205" s="15" t="n">
        <x:f>IF(E205=0,"해당 없음",F205/E205)</x:f>
        <x:v>0.07476635514018691</x:v>
      </x:c>
      <x:c r="O205" s="15" t="n">
        <x:f>IF(E205=0,"해당 없음",G205/E205)</x:f>
        <x:v>0.17757009345794392</x:v>
      </x:c>
      <x:c r="P205" s="15" t="n">
        <x:f>IF(E205=0,"해당 없음",H205/E205)</x:f>
        <x:v>0.07476635514018691</x:v>
      </x:c>
      <x:c r="Q205" s="15" t="n">
        <x:f>IF(E205=0,"해당 없음",I205/E205)</x:f>
        <x:v>0.09345794392523364</x:v>
      </x:c>
      <x:c r="R205" s="15" t="n">
        <x:f>IF(E205=0,"해당 없음",J205/E205)</x:f>
        <x:v>0.018691588785046728</x:v>
      </x:c>
      <x:c r="S205" s="15" t="n">
        <x:f>IF(E205=0,"해당 없음",K205/E205)</x:f>
        <x:v>0.07476635514018691</x:v>
      </x:c>
      <x:c r="T205" s="15" t="n">
        <x:f>IF(E205=0,"해당 없음",L205/E205)</x:f>
        <x:v>0.3925233644859813</x:v>
      </x:c>
      <x:c r="U205" s="15" t="n">
        <x:f>IF(E205=0,"해당 없음",M205/E205)</x:f>
        <x:v>0.09345794392523364</x:v>
      </x:c>
      <x:c r="V205" s="16" t="n">
        <x:f>E205/5</x:f>
        <x:v>21.4</x:v>
      </x:c>
    </x:row>
    <x:row r="206" ht="22" customHeight="1">
      <x:c r="A206" s="2" t="n">
        <x:v>101</x:v>
      </x:c>
      <x:c r="B206" s="2" t="str">
        <x:v>RED</x:v>
      </x:c>
      <x:c r="C206" s="2" t="str">
        <x:v>80만</x:v>
      </x:c>
      <x:c r="D206" s="2" t="str">
        <x:v>규칙형</x:v>
      </x:c>
      <x:c r="E206" s="14" t="n">
        <x:f>SUM(F206:M206)</x:f>
        <x:v>105</x:v>
      </x:c>
      <x:c r="F206" s="14" t="n">
        <x:v>4</x:v>
      </x:c>
      <x:c r="G206" s="14" t="n">
        <x:v>14</x:v>
      </x:c>
      <x:c r="H206" s="14" t="n">
        <x:v>11</x:v>
      </x:c>
      <x:c r="I206" s="14" t="n">
        <x:v>13</x:v>
      </x:c>
      <x:c r="J206" s="14" t="n">
        <x:v>1</x:v>
      </x:c>
      <x:c r="K206" s="14" t="n">
        <x:v>6</x:v>
      </x:c>
      <x:c r="L206" s="14" t="n">
        <x:v>38</x:v>
      </x:c>
      <x:c r="M206" s="14" t="n">
        <x:v>18</x:v>
      </x:c>
      <x:c r="N206" s="15" t="n">
        <x:f>IF(E206=0,"해당 없음",F206/E206)</x:f>
        <x:v>0.0380952380952381</x:v>
      </x:c>
      <x:c r="O206" s="15" t="n">
        <x:f>IF(E206=0,"해당 없음",G206/E206)</x:f>
        <x:v>0.13333333333333333</x:v>
      </x:c>
      <x:c r="P206" s="15" t="n">
        <x:f>IF(E206=0,"해당 없음",H206/E206)</x:f>
        <x:v>0.10476190476190476</x:v>
      </x:c>
      <x:c r="Q206" s="15" t="n">
        <x:f>IF(E206=0,"해당 없음",I206/E206)</x:f>
        <x:v>0.12380952380952381</x:v>
      </x:c>
      <x:c r="R206" s="15" t="n">
        <x:f>IF(E206=0,"해당 없음",J206/E206)</x:f>
        <x:v>0.009523809523809525</x:v>
      </x:c>
      <x:c r="S206" s="15" t="n">
        <x:f>IF(E206=0,"해당 없음",K206/E206)</x:f>
        <x:v>0.05714285714285714</x:v>
      </x:c>
      <x:c r="T206" s="15" t="n">
        <x:f>IF(E206=0,"해당 없음",L206/E206)</x:f>
        <x:v>0.3619047619047619</x:v>
      </x:c>
      <x:c r="U206" s="15" t="n">
        <x:f>IF(E206=0,"해당 없음",M206/E206)</x:f>
        <x:v>0.17142857142857143</x:v>
      </x:c>
      <x:c r="V206" s="16" t="n">
        <x:f>E206/5</x:f>
        <x:v>21</x:v>
      </x:c>
    </x:row>
    <x:row r="207" ht="22" customHeight="1">
      <x:c r="A207" s="2" t="n">
        <x:v>101</x:v>
      </x:c>
      <x:c r="B207" s="2" t="str">
        <x:v>NAVY</x:v>
      </x:c>
      <x:c r="C207" s="2" t="str">
        <x:v>규칙형</x:v>
      </x:c>
      <x:c r="D207" s="2" t="str">
        <x:v>80만</x:v>
      </x:c>
      <x:c r="E207" s="14" t="n">
        <x:f>SUM(F207:M207)</x:f>
        <x:v>103</x:v>
      </x:c>
      <x:c r="F207" s="14" t="n">
        <x:v>43</x:v>
      </x:c>
      <x:c r="G207" s="14" t="n">
        <x:v>1</x:v>
      </x:c>
      <x:c r="H207" s="14" t="n">
        <x:v>10</x:v>
      </x:c>
      <x:c r="I207" s="14" t="n">
        <x:v>8</x:v>
      </x:c>
      <x:c r="J207" s="14" t="n">
        <x:v>7</x:v>
      </x:c>
      <x:c r="K207" s="14" t="n">
        <x:v>5</x:v>
      </x:c>
      <x:c r="L207" s="14" t="n">
        <x:v>21</x:v>
      </x:c>
      <x:c r="M207" s="14" t="n">
        <x:v>8</x:v>
      </x:c>
      <x:c r="N207" s="15" t="n">
        <x:f>IF(E207=0,"해당 없음",F207/E207)</x:f>
        <x:v>0.4174757281553398</x:v>
      </x:c>
      <x:c r="O207" s="15" t="n">
        <x:f>IF(E207=0,"해당 없음",G207/E207)</x:f>
        <x:v>0.009708737864077669</x:v>
      </x:c>
      <x:c r="P207" s="15" t="n">
        <x:f>IF(E207=0,"해당 없음",H207/E207)</x:f>
        <x:v>0.0970873786407767</x:v>
      </x:c>
      <x:c r="Q207" s="15" t="n">
        <x:f>IF(E207=0,"해당 없음",I207/E207)</x:f>
        <x:v>0.07766990291262135</x:v>
      </x:c>
      <x:c r="R207" s="15" t="n">
        <x:f>IF(E207=0,"해당 없음",J207/E207)</x:f>
        <x:v>0.06796116504854369</x:v>
      </x:c>
      <x:c r="S207" s="15" t="n">
        <x:f>IF(E207=0,"해당 없음",K207/E207)</x:f>
        <x:v>0.04854368932038835</x:v>
      </x:c>
      <x:c r="T207" s="15" t="n">
        <x:f>IF(E207=0,"해당 없음",L207/E207)</x:f>
        <x:v>0.20388349514563106</x:v>
      </x:c>
      <x:c r="U207" s="15" t="n">
        <x:f>IF(E207=0,"해당 없음",M207/E207)</x:f>
        <x:v>0.07766990291262135</x:v>
      </x:c>
      <x:c r="V207" s="16" t="n">
        <x:f>E207/5</x:f>
        <x:v>20.6</x:v>
      </x:c>
    </x:row>
    <x:row r="208" ht="22" customHeight="1">
      <x:c r="A208" s="2" t="n">
        <x:v>102</x:v>
      </x:c>
      <x:c r="B208" s="2" t="str">
        <x:v>RED</x:v>
      </x:c>
      <x:c r="C208" s="2" t="str">
        <x:v>규칙형</x:v>
      </x:c>
      <x:c r="D208" s="2" t="str">
        <x:v>80만</x:v>
      </x:c>
      <x:c r="E208" s="14" t="n">
        <x:f>SUM(F208:M208)</x:f>
        <x:v>102</x:v>
      </x:c>
      <x:c r="F208" s="14" t="n">
        <x:v>39</x:v>
      </x:c>
      <x:c r="G208" s="14" t="n">
        <x:v>7</x:v>
      </x:c>
      <x:c r="H208" s="14" t="n">
        <x:v>3</x:v>
      </x:c>
      <x:c r="I208" s="14" t="n">
        <x:v>12</x:v>
      </x:c>
      <x:c r="J208" s="14" t="n">
        <x:v>8</x:v>
      </x:c>
      <x:c r="K208" s="14" t="n">
        <x:v>4</x:v>
      </x:c>
      <x:c r="L208" s="14" t="n">
        <x:v>19</x:v>
      </x:c>
      <x:c r="M208" s="14" t="n">
        <x:v>10</x:v>
      </x:c>
      <x:c r="N208" s="15" t="n">
        <x:f>IF(E208=0,"해당 없음",F208/E208)</x:f>
        <x:v>0.38235294117647056</x:v>
      </x:c>
      <x:c r="O208" s="15" t="n">
        <x:f>IF(E208=0,"해당 없음",G208/E208)</x:f>
        <x:v>0.06862745098039216</x:v>
      </x:c>
      <x:c r="P208" s="15" t="n">
        <x:f>IF(E208=0,"해당 없음",H208/E208)</x:f>
        <x:v>0.029411764705882353</x:v>
      </x:c>
      <x:c r="Q208" s="15" t="n">
        <x:f>IF(E208=0,"해당 없음",I208/E208)</x:f>
        <x:v>0.11764705882352941</x:v>
      </x:c>
      <x:c r="R208" s="15" t="n">
        <x:f>IF(E208=0,"해당 없음",J208/E208)</x:f>
        <x:v>0.0784313725490196</x:v>
      </x:c>
      <x:c r="S208" s="15" t="n">
        <x:f>IF(E208=0,"해당 없음",K208/E208)</x:f>
        <x:v>0.0392156862745098</x:v>
      </x:c>
      <x:c r="T208" s="15" t="n">
        <x:f>IF(E208=0,"해당 없음",L208/E208)</x:f>
        <x:v>0.18627450980392157</x:v>
      </x:c>
      <x:c r="U208" s="15" t="n">
        <x:f>IF(E208=0,"해당 없음",M208/E208)</x:f>
        <x:v>0.09803921568627451</x:v>
      </x:c>
      <x:c r="V208" s="16" t="n">
        <x:f>E208/5</x:f>
        <x:v>20.4</x:v>
      </x:c>
    </x:row>
    <x:row r="209" ht="22" customHeight="1">
      <x:c r="A209" s="2" t="n">
        <x:v>102</x:v>
      </x:c>
      <x:c r="B209" s="2" t="str">
        <x:v>NAVY</x:v>
      </x:c>
      <x:c r="C209" s="2" t="str">
        <x:v>80만</x:v>
      </x:c>
      <x:c r="D209" s="2" t="str">
        <x:v>규칙형</x:v>
      </x:c>
      <x:c r="E209" s="14" t="n">
        <x:f>SUM(F209:M209)</x:f>
        <x:v>102</x:v>
      </x:c>
      <x:c r="F209" s="14" t="n">
        <x:v>3</x:v>
      </x:c>
      <x:c r="G209" s="14" t="n">
        <x:v>17</x:v>
      </x:c>
      <x:c r="H209" s="14" t="n">
        <x:v>12</x:v>
      </x:c>
      <x:c r="I209" s="14" t="n">
        <x:v>9</x:v>
      </x:c>
      <x:c r="J209" s="14" t="n">
        <x:v>1</x:v>
      </x:c>
      <x:c r="K209" s="14" t="n">
        <x:v>11</x:v>
      </x:c>
      <x:c r="L209" s="14" t="n">
        <x:v>36</x:v>
      </x:c>
      <x:c r="M209" s="14" t="n">
        <x:v>13</x:v>
      </x:c>
      <x:c r="N209" s="15" t="n">
        <x:f>IF(E209=0,"해당 없음",F209/E209)</x:f>
        <x:v>0.029411764705882353</x:v>
      </x:c>
      <x:c r="O209" s="15" t="n">
        <x:f>IF(E209=0,"해당 없음",G209/E209)</x:f>
        <x:v>0.16666666666666666</x:v>
      </x:c>
      <x:c r="P209" s="15" t="n">
        <x:f>IF(E209=0,"해당 없음",H209/E209)</x:f>
        <x:v>0.11764705882352941</x:v>
      </x:c>
      <x:c r="Q209" s="15" t="n">
        <x:f>IF(E209=0,"해당 없음",I209/E209)</x:f>
        <x:v>0.08823529411764706</x:v>
      </x:c>
      <x:c r="R209" s="15" t="n">
        <x:f>IF(E209=0,"해당 없음",J209/E209)</x:f>
        <x:v>0.00980392156862745</x:v>
      </x:c>
      <x:c r="S209" s="15" t="n">
        <x:f>IF(E209=0,"해당 없음",K209/E209)</x:f>
        <x:v>0.10784313725490197</x:v>
      </x:c>
      <x:c r="T209" s="15" t="n">
        <x:f>IF(E209=0,"해당 없음",L209/E209)</x:f>
        <x:v>0.35294117647058826</x:v>
      </x:c>
      <x:c r="U209" s="15" t="n">
        <x:f>IF(E209=0,"해당 없음",M209/E209)</x:f>
        <x:v>0.12745098039215685</x:v>
      </x:c>
      <x:c r="V209" s="16" t="n">
        <x:f>E209/5</x:f>
        <x:v>20.4</x:v>
      </x:c>
    </x:row>
    <x:row r="210" ht="22" customHeight="1">
      <x:c r="A210" s="2" t="n">
        <x:v>103</x:v>
      </x:c>
      <x:c r="B210" s="2" t="str">
        <x:v>RED</x:v>
      </x:c>
      <x:c r="C210" s="2" t="str">
        <x:v>80만</x:v>
      </x:c>
      <x:c r="D210" s="2" t="str">
        <x:v>규칙형</x:v>
      </x:c>
      <x:c r="E210" s="14" t="n">
        <x:f>SUM(F210:M210)</x:f>
        <x:v>104</x:v>
      </x:c>
      <x:c r="F210" s="14" t="n">
        <x:v>9</x:v>
      </x:c>
      <x:c r="G210" s="14" t="n">
        <x:v>20</x:v>
      </x:c>
      <x:c r="H210" s="14" t="n">
        <x:v>10</x:v>
      </x:c>
      <x:c r="I210" s="14" t="n">
        <x:v>7</x:v>
      </x:c>
      <x:c r="J210" s="14" t="n">
        <x:v>2</x:v>
      </x:c>
      <x:c r="K210" s="14" t="n">
        <x:v>2</x:v>
      </x:c>
      <x:c r="L210" s="14" t="n">
        <x:v>39</x:v>
      </x:c>
      <x:c r="M210" s="14" t="n">
        <x:v>15</x:v>
      </x:c>
      <x:c r="N210" s="15" t="n">
        <x:f>IF(E210=0,"해당 없음",F210/E210)</x:f>
        <x:v>0.08653846153846154</x:v>
      </x:c>
      <x:c r="O210" s="15" t="n">
        <x:f>IF(E210=0,"해당 없음",G210/E210)</x:f>
        <x:v>0.19230769230769232</x:v>
      </x:c>
      <x:c r="P210" s="15" t="n">
        <x:f>IF(E210=0,"해당 없음",H210/E210)</x:f>
        <x:v>0.09615384615384616</x:v>
      </x:c>
      <x:c r="Q210" s="15" t="n">
        <x:f>IF(E210=0,"해당 없음",I210/E210)</x:f>
        <x:v>0.0673076923076923</x:v>
      </x:c>
      <x:c r="R210" s="15" t="n">
        <x:f>IF(E210=0,"해당 없음",J210/E210)</x:f>
        <x:v>0.019230769230769232</x:v>
      </x:c>
      <x:c r="S210" s="15" t="n">
        <x:f>IF(E210=0,"해당 없음",K210/E210)</x:f>
        <x:v>0.019230769230769232</x:v>
      </x:c>
      <x:c r="T210" s="15" t="n">
        <x:f>IF(E210=0,"해당 없음",L210/E210)</x:f>
        <x:v>0.375</x:v>
      </x:c>
      <x:c r="U210" s="15" t="n">
        <x:f>IF(E210=0,"해당 없음",M210/E210)</x:f>
        <x:v>0.14423076923076922</x:v>
      </x:c>
      <x:c r="V210" s="16" t="n">
        <x:f>E210/5</x:f>
        <x:v>20.8</x:v>
      </x:c>
    </x:row>
    <x:row r="211" ht="22" customHeight="1">
      <x:c r="A211" s="2" t="n">
        <x:v>103</x:v>
      </x:c>
      <x:c r="B211" s="2" t="str">
        <x:v>NAVY</x:v>
      </x:c>
      <x:c r="C211" s="2" t="str">
        <x:v>규칙형</x:v>
      </x:c>
      <x:c r="D211" s="2" t="str">
        <x:v>80만</x:v>
      </x:c>
      <x:c r="E211" s="14" t="n">
        <x:f>SUM(F211:M211)</x:f>
        <x:v>104</x:v>
      </x:c>
      <x:c r="F211" s="14" t="n">
        <x:v>39</x:v>
      </x:c>
      <x:c r="G211" s="14" t="n">
        <x:v>5</x:v>
      </x:c>
      <x:c r="H211" s="14" t="n">
        <x:v>11</x:v>
      </x:c>
      <x:c r="I211" s="14" t="n">
        <x:v>11</x:v>
      </x:c>
      <x:c r="J211" s="14" t="n">
        <x:v>10</x:v>
      </x:c>
      <x:c r="K211" s="14" t="n">
        <x:v>3</x:v>
      </x:c>
      <x:c r="L211" s="14" t="n">
        <x:v>19</x:v>
      </x:c>
      <x:c r="M211" s="14" t="n">
        <x:v>6</x:v>
      </x:c>
      <x:c r="N211" s="15" t="n">
        <x:f>IF(E211=0,"해당 없음",F211/E211)</x:f>
        <x:v>0.375</x:v>
      </x:c>
      <x:c r="O211" s="15" t="n">
        <x:f>IF(E211=0,"해당 없음",G211/E211)</x:f>
        <x:v>0.04807692307692308</x:v>
      </x:c>
      <x:c r="P211" s="15" t="n">
        <x:f>IF(E211=0,"해당 없음",H211/E211)</x:f>
        <x:v>0.10576923076923077</x:v>
      </x:c>
      <x:c r="Q211" s="15" t="n">
        <x:f>IF(E211=0,"해당 없음",I211/E211)</x:f>
        <x:v>0.10576923076923077</x:v>
      </x:c>
      <x:c r="R211" s="15" t="n">
        <x:f>IF(E211=0,"해당 없음",J211/E211)</x:f>
        <x:v>0.09615384615384616</x:v>
      </x:c>
      <x:c r="S211" s="15" t="n">
        <x:f>IF(E211=0,"해당 없음",K211/E211)</x:f>
        <x:v>0.028846153846153848</x:v>
      </x:c>
      <x:c r="T211" s="15" t="n">
        <x:f>IF(E211=0,"해당 없음",L211/E211)</x:f>
        <x:v>0.18269230769230768</x:v>
      </x:c>
      <x:c r="U211" s="15" t="n">
        <x:f>IF(E211=0,"해당 없음",M211/E211)</x:f>
        <x:v>0.057692307692307696</x:v>
      </x:c>
      <x:c r="V211" s="16" t="n">
        <x:f>E211/5</x:f>
        <x:v>20.8</x:v>
      </x:c>
    </x:row>
    <x:row r="212" ht="22" customHeight="1">
      <x:c r="A212" s="2" t="n">
        <x:v>104</x:v>
      </x:c>
      <x:c r="B212" s="2" t="str">
        <x:v>RED</x:v>
      </x:c>
      <x:c r="C212" s="2" t="str">
        <x:v>규칙형</x:v>
      </x:c>
      <x:c r="D212" s="2" t="str">
        <x:v>80만</x:v>
      </x:c>
      <x:c r="E212" s="14" t="n">
        <x:f>SUM(F212:M212)</x:f>
        <x:v>100</x:v>
      </x:c>
      <x:c r="F212" s="14" t="n">
        <x:v>39</x:v>
      </x:c>
      <x:c r="G212" s="14" t="n">
        <x:v>3</x:v>
      </x:c>
      <x:c r="H212" s="14" t="n">
        <x:v>12</x:v>
      </x:c>
      <x:c r="I212" s="14" t="n">
        <x:v>19</x:v>
      </x:c>
      <x:c r="J212" s="14" t="n">
        <x:v>4</x:v>
      </x:c>
      <x:c r="K212" s="14" t="n">
        <x:v>4</x:v>
      </x:c>
      <x:c r="L212" s="14" t="n">
        <x:v>16</x:v>
      </x:c>
      <x:c r="M212" s="14" t="n">
        <x:v>3</x:v>
      </x:c>
      <x:c r="N212" s="15" t="n">
        <x:f>IF(E212=0,"해당 없음",F212/E212)</x:f>
        <x:v>0.39</x:v>
      </x:c>
      <x:c r="O212" s="15" t="n">
        <x:f>IF(E212=0,"해당 없음",G212/E212)</x:f>
        <x:v>0.03</x:v>
      </x:c>
      <x:c r="P212" s="15" t="n">
        <x:f>IF(E212=0,"해당 없음",H212/E212)</x:f>
        <x:v>0.12</x:v>
      </x:c>
      <x:c r="Q212" s="15" t="n">
        <x:f>IF(E212=0,"해당 없음",I212/E212)</x:f>
        <x:v>0.19</x:v>
      </x:c>
      <x:c r="R212" s="15" t="n">
        <x:f>IF(E212=0,"해당 없음",J212/E212)</x:f>
        <x:v>0.04</x:v>
      </x:c>
      <x:c r="S212" s="15" t="n">
        <x:f>IF(E212=0,"해당 없음",K212/E212)</x:f>
        <x:v>0.04</x:v>
      </x:c>
      <x:c r="T212" s="15" t="n">
        <x:f>IF(E212=0,"해당 없음",L212/E212)</x:f>
        <x:v>0.16</x:v>
      </x:c>
      <x:c r="U212" s="15" t="n">
        <x:f>IF(E212=0,"해당 없음",M212/E212)</x:f>
        <x:v>0.03</x:v>
      </x:c>
      <x:c r="V212" s="16" t="n">
        <x:f>E212/5</x:f>
        <x:v>20</x:v>
      </x:c>
    </x:row>
    <x:row r="213" ht="22" customHeight="1">
      <x:c r="A213" s="2" t="n">
        <x:v>104</x:v>
      </x:c>
      <x:c r="B213" s="2" t="str">
        <x:v>NAVY</x:v>
      </x:c>
      <x:c r="C213" s="2" t="str">
        <x:v>80만</x:v>
      </x:c>
      <x:c r="D213" s="2" t="str">
        <x:v>규칙형</x:v>
      </x:c>
      <x:c r="E213" s="14" t="n">
        <x:f>SUM(F213:M213)</x:f>
        <x:v>102</x:v>
      </x:c>
      <x:c r="F213" s="14" t="n">
        <x:v>4</x:v>
      </x:c>
      <x:c r="G213" s="14" t="n">
        <x:v>22</x:v>
      </x:c>
      <x:c r="H213" s="14" t="n">
        <x:v>6</x:v>
      </x:c>
      <x:c r="I213" s="14" t="n">
        <x:v>10</x:v>
      </x:c>
      <x:c r="J213" s="14" t="n">
        <x:v>1</x:v>
      </x:c>
      <x:c r="K213" s="14" t="n">
        <x:v>3</x:v>
      </x:c>
      <x:c r="L213" s="14" t="n">
        <x:v>38</x:v>
      </x:c>
      <x:c r="M213" s="14" t="n">
        <x:v>18</x:v>
      </x:c>
      <x:c r="N213" s="15" t="n">
        <x:f>IF(E213=0,"해당 없음",F213/E213)</x:f>
        <x:v>0.0392156862745098</x:v>
      </x:c>
      <x:c r="O213" s="15" t="n">
        <x:f>IF(E213=0,"해당 없음",G213/E213)</x:f>
        <x:v>0.21568627450980393</x:v>
      </x:c>
      <x:c r="P213" s="15" t="n">
        <x:f>IF(E213=0,"해당 없음",H213/E213)</x:f>
        <x:v>0.058823529411764705</x:v>
      </x:c>
      <x:c r="Q213" s="15" t="n">
        <x:f>IF(E213=0,"해당 없음",I213/E213)</x:f>
        <x:v>0.09803921568627451</x:v>
      </x:c>
      <x:c r="R213" s="15" t="n">
        <x:f>IF(E213=0,"해당 없음",J213/E213)</x:f>
        <x:v>0.00980392156862745</x:v>
      </x:c>
      <x:c r="S213" s="15" t="n">
        <x:f>IF(E213=0,"해당 없음",K213/E213)</x:f>
        <x:v>0.029411764705882353</x:v>
      </x:c>
      <x:c r="T213" s="15" t="n">
        <x:f>IF(E213=0,"해당 없음",L213/E213)</x:f>
        <x:v>0.37254901960784315</x:v>
      </x:c>
      <x:c r="U213" s="15" t="n">
        <x:f>IF(E213=0,"해당 없음",M213/E213)</x:f>
        <x:v>0.17647058823529413</x:v>
      </x:c>
      <x:c r="V213" s="16" t="n">
        <x:f>E213/5</x:f>
        <x:v>20.4</x:v>
      </x:c>
    </x:row>
    <x:row r="214" ht="22" customHeight="1">
      <x:c r="A214" s="2" t="n">
        <x:v>105</x:v>
      </x:c>
      <x:c r="B214" s="2" t="str">
        <x:v>RED</x:v>
      </x:c>
      <x:c r="C214" s="2" t="str">
        <x:v>80만</x:v>
      </x:c>
      <x:c r="D214" s="2" t="str">
        <x:v>규칙형</x:v>
      </x:c>
      <x:c r="E214" s="14" t="n">
        <x:f>SUM(F214:M214)</x:f>
        <x:v>103</x:v>
      </x:c>
      <x:c r="F214" s="14" t="n">
        <x:v>3</x:v>
      </x:c>
      <x:c r="G214" s="14" t="n">
        <x:v>15</x:v>
      </x:c>
      <x:c r="H214" s="14" t="n">
        <x:v>13</x:v>
      </x:c>
      <x:c r="I214" s="14" t="n">
        <x:v>10</x:v>
      </x:c>
      <x:c r="J214" s="14" t="n">
        <x:v>2</x:v>
      </x:c>
      <x:c r="K214" s="14" t="n">
        <x:v>8</x:v>
      </x:c>
      <x:c r="L214" s="14" t="n">
        <x:v>40</x:v>
      </x:c>
      <x:c r="M214" s="14" t="n">
        <x:v>12</x:v>
      </x:c>
      <x:c r="N214" s="15" t="n">
        <x:f>IF(E214=0,"해당 없음",F214/E214)</x:f>
        <x:v>0.02912621359223301</x:v>
      </x:c>
      <x:c r="O214" s="15" t="n">
        <x:f>IF(E214=0,"해당 없음",G214/E214)</x:f>
        <x:v>0.14563106796116504</x:v>
      </x:c>
      <x:c r="P214" s="15" t="n">
        <x:f>IF(E214=0,"해당 없음",H214/E214)</x:f>
        <x:v>0.1262135922330097</x:v>
      </x:c>
      <x:c r="Q214" s="15" t="n">
        <x:f>IF(E214=0,"해당 없음",I214/E214)</x:f>
        <x:v>0.0970873786407767</x:v>
      </x:c>
      <x:c r="R214" s="15" t="n">
        <x:f>IF(E214=0,"해당 없음",J214/E214)</x:f>
        <x:v>0.019417475728155338</x:v>
      </x:c>
      <x:c r="S214" s="15" t="n">
        <x:f>IF(E214=0,"해당 없음",K214/E214)</x:f>
        <x:v>0.07766990291262135</x:v>
      </x:c>
      <x:c r="T214" s="15" t="n">
        <x:f>IF(E214=0,"해당 없음",L214/E214)</x:f>
        <x:v>0.3883495145631068</x:v>
      </x:c>
      <x:c r="U214" s="15" t="n">
        <x:f>IF(E214=0,"해당 없음",M214/E214)</x:f>
        <x:v>0.11650485436893204</x:v>
      </x:c>
      <x:c r="V214" s="16" t="n">
        <x:f>E214/5</x:f>
        <x:v>20.6</x:v>
      </x:c>
    </x:row>
    <x:row r="215" ht="22" customHeight="1">
      <x:c r="A215" s="2" t="n">
        <x:v>105</x:v>
      </x:c>
      <x:c r="B215" s="2" t="str">
        <x:v>NAVY</x:v>
      </x:c>
      <x:c r="C215" s="2" t="str">
        <x:v>규칙형</x:v>
      </x:c>
      <x:c r="D215" s="2" t="str">
        <x:v>80만</x:v>
      </x:c>
      <x:c r="E215" s="14" t="n">
        <x:f>SUM(F215:M215)</x:f>
        <x:v>103</x:v>
      </x:c>
      <x:c r="F215" s="14" t="n">
        <x:v>41</x:v>
      </x:c>
      <x:c r="G215" s="14" t="n">
        <x:v>5</x:v>
      </x:c>
      <x:c r="H215" s="14" t="n">
        <x:v>4</x:v>
      </x:c>
      <x:c r="I215" s="14" t="n">
        <x:v>11</x:v>
      </x:c>
      <x:c r="J215" s="14" t="n">
        <x:v>11</x:v>
      </x:c>
      <x:c r="K215" s="14" t="n">
        <x:v>5</x:v>
      </x:c>
      <x:c r="L215" s="14" t="n">
        <x:v>17</x:v>
      </x:c>
      <x:c r="M215" s="14" t="n">
        <x:v>9</x:v>
      </x:c>
      <x:c r="N215" s="15" t="n">
        <x:f>IF(E215=0,"해당 없음",F215/E215)</x:f>
        <x:v>0.39805825242718446</x:v>
      </x:c>
      <x:c r="O215" s="15" t="n">
        <x:f>IF(E215=0,"해당 없음",G215/E215)</x:f>
        <x:v>0.04854368932038835</x:v>
      </x:c>
      <x:c r="P215" s="15" t="n">
        <x:f>IF(E215=0,"해당 없음",H215/E215)</x:f>
        <x:v>0.038834951456310676</x:v>
      </x:c>
      <x:c r="Q215" s="15" t="n">
        <x:f>IF(E215=0,"해당 없음",I215/E215)</x:f>
        <x:v>0.10679611650485436</x:v>
      </x:c>
      <x:c r="R215" s="15" t="n">
        <x:f>IF(E215=0,"해당 없음",J215/E215)</x:f>
        <x:v>0.10679611650485436</x:v>
      </x:c>
      <x:c r="S215" s="15" t="n">
        <x:f>IF(E215=0,"해당 없음",K215/E215)</x:f>
        <x:v>0.04854368932038835</x:v>
      </x:c>
      <x:c r="T215" s="15" t="n">
        <x:f>IF(E215=0,"해당 없음",L215/E215)</x:f>
        <x:v>0.1650485436893204</x:v>
      </x:c>
      <x:c r="U215" s="15" t="n">
        <x:f>IF(E215=0,"해당 없음",M215/E215)</x:f>
        <x:v>0.08737864077669903</x:v>
      </x:c>
      <x:c r="V215" s="16" t="n">
        <x:f>E215/5</x:f>
        <x:v>20.6</x:v>
      </x:c>
    </x:row>
    <x:row r="216" ht="22" customHeight="1">
      <x:c r="A216" s="2" t="n">
        <x:v>106</x:v>
      </x:c>
      <x:c r="B216" s="2" t="str">
        <x:v>RED</x:v>
      </x:c>
      <x:c r="C216" s="2" t="str">
        <x:v>규칙형</x:v>
      </x:c>
      <x:c r="D216" s="2" t="str">
        <x:v>80만</x:v>
      </x:c>
      <x:c r="E216" s="14" t="n">
        <x:f>SUM(F216:M216)</x:f>
        <x:v>105</x:v>
      </x:c>
      <x:c r="F216" s="14" t="n">
        <x:v>35</x:v>
      </x:c>
      <x:c r="G216" s="14" t="n">
        <x:v>2</x:v>
      </x:c>
      <x:c r="H216" s="14" t="n">
        <x:v>5</x:v>
      </x:c>
      <x:c r="I216" s="14" t="n">
        <x:v>12</x:v>
      </x:c>
      <x:c r="J216" s="14" t="n">
        <x:v>9</x:v>
      </x:c>
      <x:c r="K216" s="14" t="n">
        <x:v>5</x:v>
      </x:c>
      <x:c r="L216" s="14" t="n">
        <x:v>27</x:v>
      </x:c>
      <x:c r="M216" s="14" t="n">
        <x:v>10</x:v>
      </x:c>
      <x:c r="N216" s="15" t="n">
        <x:f>IF(E216=0,"해당 없음",F216/E216)</x:f>
        <x:v>0.3333333333333333</x:v>
      </x:c>
      <x:c r="O216" s="15" t="n">
        <x:f>IF(E216=0,"해당 없음",G216/E216)</x:f>
        <x:v>0.01904761904761905</x:v>
      </x:c>
      <x:c r="P216" s="15" t="n">
        <x:f>IF(E216=0,"해당 없음",H216/E216)</x:f>
        <x:v>0.047619047619047616</x:v>
      </x:c>
      <x:c r="Q216" s="15" t="n">
        <x:f>IF(E216=0,"해당 없음",I216/E216)</x:f>
        <x:v>0.11428571428571428</x:v>
      </x:c>
      <x:c r="R216" s="15" t="n">
        <x:f>IF(E216=0,"해당 없음",J216/E216)</x:f>
        <x:v>0.08571428571428572</x:v>
      </x:c>
      <x:c r="S216" s="15" t="n">
        <x:f>IF(E216=0,"해당 없음",K216/E216)</x:f>
        <x:v>0.047619047619047616</x:v>
      </x:c>
      <x:c r="T216" s="15" t="n">
        <x:f>IF(E216=0,"해당 없음",L216/E216)</x:f>
        <x:v>0.2571428571428571</x:v>
      </x:c>
      <x:c r="U216" s="15" t="n">
        <x:f>IF(E216=0,"해당 없음",M216/E216)</x:f>
        <x:v>0.09523809523809523</x:v>
      </x:c>
      <x:c r="V216" s="16" t="n">
        <x:f>E216/5</x:f>
        <x:v>21</x:v>
      </x:c>
    </x:row>
    <x:row r="217" ht="22" customHeight="1">
      <x:c r="A217" s="2" t="n">
        <x:v>106</x:v>
      </x:c>
      <x:c r="B217" s="2" t="str">
        <x:v>NAVY</x:v>
      </x:c>
      <x:c r="C217" s="2" t="str">
        <x:v>80만</x:v>
      </x:c>
      <x:c r="D217" s="2" t="str">
        <x:v>규칙형</x:v>
      </x:c>
      <x:c r="E217" s="14" t="n">
        <x:f>SUM(F217:M217)</x:f>
        <x:v>106</x:v>
      </x:c>
      <x:c r="F217" s="14" t="n">
        <x:v>0</x:v>
      </x:c>
      <x:c r="G217" s="14" t="n">
        <x:v>17</x:v>
      </x:c>
      <x:c r="H217" s="14" t="n">
        <x:v>9</x:v>
      </x:c>
      <x:c r="I217" s="14" t="n">
        <x:v>11</x:v>
      </x:c>
      <x:c r="J217" s="14" t="n">
        <x:v>0</x:v>
      </x:c>
      <x:c r="K217" s="14" t="n">
        <x:v>16</x:v>
      </x:c>
      <x:c r="L217" s="14" t="n">
        <x:v>40</x:v>
      </x:c>
      <x:c r="M217" s="14" t="n">
        <x:v>13</x:v>
      </x:c>
      <x:c r="N217" s="15" t="n">
        <x:f>IF(E217=0,"해당 없음",F217/E217)</x:f>
        <x:v>0</x:v>
      </x:c>
      <x:c r="O217" s="15" t="n">
        <x:f>IF(E217=0,"해당 없음",G217/E217)</x:f>
        <x:v>0.16037735849056603</x:v>
      </x:c>
      <x:c r="P217" s="15" t="n">
        <x:f>IF(E217=0,"해당 없음",H217/E217)</x:f>
        <x:v>0.08490566037735849</x:v>
      </x:c>
      <x:c r="Q217" s="15" t="n">
        <x:f>IF(E217=0,"해당 없음",I217/E217)</x:f>
        <x:v>0.10377358490566038</x:v>
      </x:c>
      <x:c r="R217" s="15" t="n">
        <x:f>IF(E217=0,"해당 없음",J217/E217)</x:f>
        <x:v>0</x:v>
      </x:c>
      <x:c r="S217" s="15" t="n">
        <x:f>IF(E217=0,"해당 없음",K217/E217)</x:f>
        <x:v>0.1509433962264151</x:v>
      </x:c>
      <x:c r="T217" s="15" t="n">
        <x:f>IF(E217=0,"해당 없음",L217/E217)</x:f>
        <x:v>0.37735849056603776</x:v>
      </x:c>
      <x:c r="U217" s="15" t="n">
        <x:f>IF(E217=0,"해당 없음",M217/E217)</x:f>
        <x:v>0.12264150943396226</x:v>
      </x:c>
      <x:c r="V217" s="16" t="n">
        <x:f>E217/5</x:f>
        <x:v>21.2</x:v>
      </x:c>
    </x:row>
    <x:row r="218" ht="22" customHeight="1">
      <x:c r="A218" s="2" t="n">
        <x:v>107</x:v>
      </x:c>
      <x:c r="B218" s="2" t="str">
        <x:v>RED</x:v>
      </x:c>
      <x:c r="C218" s="2" t="str">
        <x:v>80만</x:v>
      </x:c>
      <x:c r="D218" s="2" t="str">
        <x:v>규칙형</x:v>
      </x:c>
      <x:c r="E218" s="14" t="n">
        <x:f>SUM(F218:M218)</x:f>
        <x:v>105</x:v>
      </x:c>
      <x:c r="F218" s="14" t="n">
        <x:v>2</x:v>
      </x:c>
      <x:c r="G218" s="14" t="n">
        <x:v>18</x:v>
      </x:c>
      <x:c r="H218" s="14" t="n">
        <x:v>5</x:v>
      </x:c>
      <x:c r="I218" s="14" t="n">
        <x:v>14</x:v>
      </x:c>
      <x:c r="J218" s="14" t="n">
        <x:v>3</x:v>
      </x:c>
      <x:c r="K218" s="14" t="n">
        <x:v>4</x:v>
      </x:c>
      <x:c r="L218" s="14" t="n">
        <x:v>40</x:v>
      </x:c>
      <x:c r="M218" s="14" t="n">
        <x:v>19</x:v>
      </x:c>
      <x:c r="N218" s="15" t="n">
        <x:f>IF(E218=0,"해당 없음",F218/E218)</x:f>
        <x:v>0.01904761904761905</x:v>
      </x:c>
      <x:c r="O218" s="15" t="n">
        <x:f>IF(E218=0,"해당 없음",G218/E218)</x:f>
        <x:v>0.17142857142857143</x:v>
      </x:c>
      <x:c r="P218" s="15" t="n">
        <x:f>IF(E218=0,"해당 없음",H218/E218)</x:f>
        <x:v>0.047619047619047616</x:v>
      </x:c>
      <x:c r="Q218" s="15" t="n">
        <x:f>IF(E218=0,"해당 없음",I218/E218)</x:f>
        <x:v>0.13333333333333333</x:v>
      </x:c>
      <x:c r="R218" s="15" t="n">
        <x:f>IF(E218=0,"해당 없음",J218/E218)</x:f>
        <x:v>0.02857142857142857</x:v>
      </x:c>
      <x:c r="S218" s="15" t="n">
        <x:f>IF(E218=0,"해당 없음",K218/E218)</x:f>
        <x:v>0.0380952380952381</x:v>
      </x:c>
      <x:c r="T218" s="15" t="n">
        <x:f>IF(E218=0,"해당 없음",L218/E218)</x:f>
        <x:v>0.38095238095238093</x:v>
      </x:c>
      <x:c r="U218" s="15" t="n">
        <x:f>IF(E218=0,"해당 없음",M218/E218)</x:f>
        <x:v>0.18095238095238095</x:v>
      </x:c>
      <x:c r="V218" s="16" t="n">
        <x:f>E218/5</x:f>
        <x:v>21</x:v>
      </x:c>
    </x:row>
    <x:row r="219" ht="22" customHeight="1">
      <x:c r="A219" s="2" t="n">
        <x:v>107</x:v>
      </x:c>
      <x:c r="B219" s="2" t="str">
        <x:v>NAVY</x:v>
      </x:c>
      <x:c r="C219" s="2" t="str">
        <x:v>규칙형</x:v>
      </x:c>
      <x:c r="D219" s="2" t="str">
        <x:v>80만</x:v>
      </x:c>
      <x:c r="E219" s="14" t="n">
        <x:f>SUM(F219:M219)</x:f>
        <x:v>107</x:v>
      </x:c>
      <x:c r="F219" s="14" t="n">
        <x:v>42</x:v>
      </x:c>
      <x:c r="G219" s="14" t="n">
        <x:v>9</x:v>
      </x:c>
      <x:c r="H219" s="14" t="n">
        <x:v>1</x:v>
      </x:c>
      <x:c r="I219" s="14" t="n">
        <x:v>16</x:v>
      </x:c>
      <x:c r="J219" s="14" t="n">
        <x:v>5</x:v>
      </x:c>
      <x:c r="K219" s="14" t="n">
        <x:v>4</x:v>
      </x:c>
      <x:c r="L219" s="14" t="n">
        <x:v>26</x:v>
      </x:c>
      <x:c r="M219" s="14" t="n">
        <x:v>4</x:v>
      </x:c>
      <x:c r="N219" s="15" t="n">
        <x:f>IF(E219=0,"해당 없음",F219/E219)</x:f>
        <x:v>0.3925233644859813</x:v>
      </x:c>
      <x:c r="O219" s="15" t="n">
        <x:f>IF(E219=0,"해당 없음",G219/E219)</x:f>
        <x:v>0.08411214953271028</x:v>
      </x:c>
      <x:c r="P219" s="15" t="n">
        <x:f>IF(E219=0,"해당 없음",H219/E219)</x:f>
        <x:v>0.009345794392523364</x:v>
      </x:c>
      <x:c r="Q219" s="15" t="n">
        <x:f>IF(E219=0,"해당 없음",I219/E219)</x:f>
        <x:v>0.14953271028037382</x:v>
      </x:c>
      <x:c r="R219" s="15" t="n">
        <x:f>IF(E219=0,"해당 없음",J219/E219)</x:f>
        <x:v>0.04672897196261682</x:v>
      </x:c>
      <x:c r="S219" s="15" t="n">
        <x:f>IF(E219=0,"해당 없음",K219/E219)</x:f>
        <x:v>0.037383177570093455</x:v>
      </x:c>
      <x:c r="T219" s="15" t="n">
        <x:f>IF(E219=0,"해당 없음",L219/E219)</x:f>
        <x:v>0.24299065420560748</x:v>
      </x:c>
      <x:c r="U219" s="15" t="n">
        <x:f>IF(E219=0,"해당 없음",M219/E219)</x:f>
        <x:v>0.037383177570093455</x:v>
      </x:c>
      <x:c r="V219" s="16" t="n">
        <x:f>E219/5</x:f>
        <x:v>21.4</x:v>
      </x:c>
    </x:row>
    <x:row r="220" ht="22" customHeight="1">
      <x:c r="A220" s="2" t="n">
        <x:v>108</x:v>
      </x:c>
      <x:c r="B220" s="2" t="str">
        <x:v>RED</x:v>
      </x:c>
      <x:c r="C220" s="2" t="str">
        <x:v>규칙형</x:v>
      </x:c>
      <x:c r="D220" s="2" t="str">
        <x:v>80만</x:v>
      </x:c>
      <x:c r="E220" s="14" t="n">
        <x:f>SUM(F220:M220)</x:f>
        <x:v>103</x:v>
      </x:c>
      <x:c r="F220" s="14" t="n">
        <x:v>32</x:v>
      </x:c>
      <x:c r="G220" s="14" t="n">
        <x:v>6</x:v>
      </x:c>
      <x:c r="H220" s="14" t="n">
        <x:v>7</x:v>
      </x:c>
      <x:c r="I220" s="14" t="n">
        <x:v>17</x:v>
      </x:c>
      <x:c r="J220" s="14" t="n">
        <x:v>14</x:v>
      </x:c>
      <x:c r="K220" s="14" t="n">
        <x:v>5</x:v>
      </x:c>
      <x:c r="L220" s="14" t="n">
        <x:v>20</x:v>
      </x:c>
      <x:c r="M220" s="14" t="n">
        <x:v>2</x:v>
      </x:c>
      <x:c r="N220" s="15" t="n">
        <x:f>IF(E220=0,"해당 없음",F220/E220)</x:f>
        <x:v>0.3106796116504854</x:v>
      </x:c>
      <x:c r="O220" s="15" t="n">
        <x:f>IF(E220=0,"해당 없음",G220/E220)</x:f>
        <x:v>0.05825242718446602</x:v>
      </x:c>
      <x:c r="P220" s="15" t="n">
        <x:f>IF(E220=0,"해당 없음",H220/E220)</x:f>
        <x:v>0.06796116504854369</x:v>
      </x:c>
      <x:c r="Q220" s="15" t="n">
        <x:f>IF(E220=0,"해당 없음",I220/E220)</x:f>
        <x:v>0.1650485436893204</x:v>
      </x:c>
      <x:c r="R220" s="15" t="n">
        <x:f>IF(E220=0,"해당 없음",J220/E220)</x:f>
        <x:v>0.13592233009708737</x:v>
      </x:c>
      <x:c r="S220" s="15" t="n">
        <x:f>IF(E220=0,"해당 없음",K220/E220)</x:f>
        <x:v>0.04854368932038835</x:v>
      </x:c>
      <x:c r="T220" s="15" t="n">
        <x:f>IF(E220=0,"해당 없음",L220/E220)</x:f>
        <x:v>0.1941747572815534</x:v>
      </x:c>
      <x:c r="U220" s="15" t="n">
        <x:f>IF(E220=0,"해당 없음",M220/E220)</x:f>
        <x:v>0.019417475728155338</x:v>
      </x:c>
      <x:c r="V220" s="16" t="n">
        <x:f>E220/5</x:f>
        <x:v>20.6</x:v>
      </x:c>
    </x:row>
    <x:row r="221" ht="22" customHeight="1">
      <x:c r="A221" s="2" t="n">
        <x:v>108</x:v>
      </x:c>
      <x:c r="B221" s="2" t="str">
        <x:v>NAVY</x:v>
      </x:c>
      <x:c r="C221" s="2" t="str">
        <x:v>80만</x:v>
      </x:c>
      <x:c r="D221" s="2" t="str">
        <x:v>규칙형</x:v>
      </x:c>
      <x:c r="E221" s="14" t="n">
        <x:f>SUM(F221:M221)</x:f>
        <x:v>103</x:v>
      </x:c>
      <x:c r="F221" s="14" t="n">
        <x:v>2</x:v>
      </x:c>
      <x:c r="G221" s="14" t="n">
        <x:v>9</x:v>
      </x:c>
      <x:c r="H221" s="14" t="n">
        <x:v>9</x:v>
      </x:c>
      <x:c r="I221" s="14" t="n">
        <x:v>11</x:v>
      </x:c>
      <x:c r="J221" s="14" t="n">
        <x:v>4</x:v>
      </x:c>
      <x:c r="K221" s="14" t="n">
        <x:v>6</x:v>
      </x:c>
      <x:c r="L221" s="14" t="n">
        <x:v>36</x:v>
      </x:c>
      <x:c r="M221" s="14" t="n">
        <x:v>26</x:v>
      </x:c>
      <x:c r="N221" s="15" t="n">
        <x:f>IF(E221=0,"해당 없음",F221/E221)</x:f>
        <x:v>0.019417475728155338</x:v>
      </x:c>
      <x:c r="O221" s="15" t="n">
        <x:f>IF(E221=0,"해당 없음",G221/E221)</x:f>
        <x:v>0.08737864077669903</x:v>
      </x:c>
      <x:c r="P221" s="15" t="n">
        <x:f>IF(E221=0,"해당 없음",H221/E221)</x:f>
        <x:v>0.08737864077669903</x:v>
      </x:c>
      <x:c r="Q221" s="15" t="n">
        <x:f>IF(E221=0,"해당 없음",I221/E221)</x:f>
        <x:v>0.10679611650485436</x:v>
      </x:c>
      <x:c r="R221" s="15" t="n">
        <x:f>IF(E221=0,"해당 없음",J221/E221)</x:f>
        <x:v>0.038834951456310676</x:v>
      </x:c>
      <x:c r="S221" s="15" t="n">
        <x:f>IF(E221=0,"해당 없음",K221/E221)</x:f>
        <x:v>0.05825242718446602</x:v>
      </x:c>
      <x:c r="T221" s="15" t="n">
        <x:f>IF(E221=0,"해당 없음",L221/E221)</x:f>
        <x:v>0.34951456310679613</x:v>
      </x:c>
      <x:c r="U221" s="15" t="n">
        <x:f>IF(E221=0,"해당 없음",M221/E221)</x:f>
        <x:v>0.2524271844660194</x:v>
      </x:c>
      <x:c r="V221" s="16" t="n">
        <x:f>E221/5</x:f>
        <x:v>20.6</x:v>
      </x:c>
    </x:row>
    <x:row r="222" ht="22" customHeight="1">
      <x:c r="A222" s="2" t="n">
        <x:v>109</x:v>
      </x:c>
      <x:c r="B222" s="2" t="str">
        <x:v>RED</x:v>
      </x:c>
      <x:c r="C222" s="2" t="str">
        <x:v>80만</x:v>
      </x:c>
      <x:c r="D222" s="2" t="str">
        <x:v>규칙형</x:v>
      </x:c>
      <x:c r="E222" s="14" t="n">
        <x:f>SUM(F222:M222)</x:f>
        <x:v>104</x:v>
      </x:c>
      <x:c r="F222" s="14" t="n">
        <x:v>5</x:v>
      </x:c>
      <x:c r="G222" s="14" t="n">
        <x:v>10</x:v>
      </x:c>
      <x:c r="H222" s="14" t="n">
        <x:v>11</x:v>
      </x:c>
      <x:c r="I222" s="14" t="n">
        <x:v>7</x:v>
      </x:c>
      <x:c r="J222" s="14" t="n">
        <x:v>1</x:v>
      </x:c>
      <x:c r="K222" s="14" t="n">
        <x:v>13</x:v>
      </x:c>
      <x:c r="L222" s="14" t="n">
        <x:v>39</x:v>
      </x:c>
      <x:c r="M222" s="14" t="n">
        <x:v>18</x:v>
      </x:c>
      <x:c r="N222" s="15" t="n">
        <x:f>IF(E222=0,"해당 없음",F222/E222)</x:f>
        <x:v>0.04807692307692308</x:v>
      </x:c>
      <x:c r="O222" s="15" t="n">
        <x:f>IF(E222=0,"해당 없음",G222/E222)</x:f>
        <x:v>0.09615384615384616</x:v>
      </x:c>
      <x:c r="P222" s="15" t="n">
        <x:f>IF(E222=0,"해당 없음",H222/E222)</x:f>
        <x:v>0.10576923076923077</x:v>
      </x:c>
      <x:c r="Q222" s="15" t="n">
        <x:f>IF(E222=0,"해당 없음",I222/E222)</x:f>
        <x:v>0.0673076923076923</x:v>
      </x:c>
      <x:c r="R222" s="15" t="n">
        <x:f>IF(E222=0,"해당 없음",J222/E222)</x:f>
        <x:v>0.009615384615384616</x:v>
      </x:c>
      <x:c r="S222" s="15" t="n">
        <x:f>IF(E222=0,"해당 없음",K222/E222)</x:f>
        <x:v>0.125</x:v>
      </x:c>
      <x:c r="T222" s="15" t="n">
        <x:f>IF(E222=0,"해당 없음",L222/E222)</x:f>
        <x:v>0.375</x:v>
      </x:c>
      <x:c r="U222" s="15" t="n">
        <x:f>IF(E222=0,"해당 없음",M222/E222)</x:f>
        <x:v>0.17307692307692307</x:v>
      </x:c>
      <x:c r="V222" s="16" t="n">
        <x:f>E222/5</x:f>
        <x:v>20.8</x:v>
      </x:c>
    </x:row>
    <x:row r="223" ht="22" customHeight="1">
      <x:c r="A223" s="2" t="n">
        <x:v>109</x:v>
      </x:c>
      <x:c r="B223" s="2" t="str">
        <x:v>NAVY</x:v>
      </x:c>
      <x:c r="C223" s="2" t="str">
        <x:v>규칙형</x:v>
      </x:c>
      <x:c r="D223" s="2" t="str">
        <x:v>80만</x:v>
      </x:c>
      <x:c r="E223" s="14" t="n">
        <x:f>SUM(F223:M223)</x:f>
        <x:v>104</x:v>
      </x:c>
      <x:c r="F223" s="14" t="n">
        <x:v>33</x:v>
      </x:c>
      <x:c r="G223" s="14" t="n">
        <x:v>7</x:v>
      </x:c>
      <x:c r="H223" s="14" t="n">
        <x:v>6</x:v>
      </x:c>
      <x:c r="I223" s="14" t="n">
        <x:v>8</x:v>
      </x:c>
      <x:c r="J223" s="14" t="n">
        <x:v>8</x:v>
      </x:c>
      <x:c r="K223" s="14" t="n">
        <x:v>9</x:v>
      </x:c>
      <x:c r="L223" s="14" t="n">
        <x:v>27</x:v>
      </x:c>
      <x:c r="M223" s="14" t="n">
        <x:v>6</x:v>
      </x:c>
      <x:c r="N223" s="15" t="n">
        <x:f>IF(E223=0,"해당 없음",F223/E223)</x:f>
        <x:v>0.3173076923076923</x:v>
      </x:c>
      <x:c r="O223" s="15" t="n">
        <x:f>IF(E223=0,"해당 없음",G223/E223)</x:f>
        <x:v>0.0673076923076923</x:v>
      </x:c>
      <x:c r="P223" s="15" t="n">
        <x:f>IF(E223=0,"해당 없음",H223/E223)</x:f>
        <x:v>0.057692307692307696</x:v>
      </x:c>
      <x:c r="Q223" s="15" t="n">
        <x:f>IF(E223=0,"해당 없음",I223/E223)</x:f>
        <x:v>0.07692307692307693</x:v>
      </x:c>
      <x:c r="R223" s="15" t="n">
        <x:f>IF(E223=0,"해당 없음",J223/E223)</x:f>
        <x:v>0.07692307692307693</x:v>
      </x:c>
      <x:c r="S223" s="15" t="n">
        <x:f>IF(E223=0,"해당 없음",K223/E223)</x:f>
        <x:v>0.08653846153846154</x:v>
      </x:c>
      <x:c r="T223" s="15" t="n">
        <x:f>IF(E223=0,"해당 없음",L223/E223)</x:f>
        <x:v>0.25961538461538464</x:v>
      </x:c>
      <x:c r="U223" s="15" t="n">
        <x:f>IF(E223=0,"해당 없음",M223/E223)</x:f>
        <x:v>0.057692307692307696</x:v>
      </x:c>
      <x:c r="V223" s="16" t="n">
        <x:f>E223/5</x:f>
        <x:v>20.8</x:v>
      </x:c>
    </x:row>
    <x:row r="224" ht="22" customHeight="1">
      <x:c r="A224" s="2" t="n">
        <x:v>110</x:v>
      </x:c>
      <x:c r="B224" s="2" t="str">
        <x:v>RED</x:v>
      </x:c>
      <x:c r="C224" s="2" t="str">
        <x:v>규칙형</x:v>
      </x:c>
      <x:c r="D224" s="2" t="str">
        <x:v>80만</x:v>
      </x:c>
      <x:c r="E224" s="14" t="n">
        <x:f>SUM(F224:M224)</x:f>
        <x:v>104</x:v>
      </x:c>
      <x:c r="F224" s="14" t="n">
        <x:v>42</x:v>
      </x:c>
      <x:c r="G224" s="14" t="n">
        <x:v>7</x:v>
      </x:c>
      <x:c r="H224" s="14" t="n">
        <x:v>10</x:v>
      </x:c>
      <x:c r="I224" s="14" t="n">
        <x:v>16</x:v>
      </x:c>
      <x:c r="J224" s="14" t="n">
        <x:v>8</x:v>
      </x:c>
      <x:c r="K224" s="14" t="n">
        <x:v>6</x:v>
      </x:c>
      <x:c r="L224" s="14" t="n">
        <x:v>13</x:v>
      </x:c>
      <x:c r="M224" s="14" t="n">
        <x:v>2</x:v>
      </x:c>
      <x:c r="N224" s="15" t="n">
        <x:f>IF(E224=0,"해당 없음",F224/E224)</x:f>
        <x:v>0.40384615384615385</x:v>
      </x:c>
      <x:c r="O224" s="15" t="n">
        <x:f>IF(E224=0,"해당 없음",G224/E224)</x:f>
        <x:v>0.0673076923076923</x:v>
      </x:c>
      <x:c r="P224" s="15" t="n">
        <x:f>IF(E224=0,"해당 없음",H224/E224)</x:f>
        <x:v>0.09615384615384616</x:v>
      </x:c>
      <x:c r="Q224" s="15" t="n">
        <x:f>IF(E224=0,"해당 없음",I224/E224)</x:f>
        <x:v>0.15384615384615385</x:v>
      </x:c>
      <x:c r="R224" s="15" t="n">
        <x:f>IF(E224=0,"해당 없음",J224/E224)</x:f>
        <x:v>0.07692307692307693</x:v>
      </x:c>
      <x:c r="S224" s="15" t="n">
        <x:f>IF(E224=0,"해당 없음",K224/E224)</x:f>
        <x:v>0.057692307692307696</x:v>
      </x:c>
      <x:c r="T224" s="15" t="n">
        <x:f>IF(E224=0,"해당 없음",L224/E224)</x:f>
        <x:v>0.125</x:v>
      </x:c>
      <x:c r="U224" s="15" t="n">
        <x:f>IF(E224=0,"해당 없음",M224/E224)</x:f>
        <x:v>0.019230769230769232</x:v>
      </x:c>
      <x:c r="V224" s="16" t="n">
        <x:f>E224/5</x:f>
        <x:v>20.8</x:v>
      </x:c>
    </x:row>
    <x:row r="225" ht="22" customHeight="1">
      <x:c r="A225" s="2" t="n">
        <x:v>110</x:v>
      </x:c>
      <x:c r="B225" s="2" t="str">
        <x:v>NAVY</x:v>
      </x:c>
      <x:c r="C225" s="2" t="str">
        <x:v>80만</x:v>
      </x:c>
      <x:c r="D225" s="2" t="str">
        <x:v>규칙형</x:v>
      </x:c>
      <x:c r="E225" s="14" t="n">
        <x:f>SUM(F225:M225)</x:f>
        <x:v>104</x:v>
      </x:c>
      <x:c r="F225" s="14" t="n">
        <x:v>2</x:v>
      </x:c>
      <x:c r="G225" s="14" t="n">
        <x:v>15</x:v>
      </x:c>
      <x:c r="H225" s="14" t="n">
        <x:v>9</x:v>
      </x:c>
      <x:c r="I225" s="14" t="n">
        <x:v>7</x:v>
      </x:c>
      <x:c r="J225" s="14" t="n">
        <x:v>2</x:v>
      </x:c>
      <x:c r="K225" s="14" t="n">
        <x:v>11</x:v>
      </x:c>
      <x:c r="L225" s="14" t="n">
        <x:v>38</x:v>
      </x:c>
      <x:c r="M225" s="14" t="n">
        <x:v>20</x:v>
      </x:c>
      <x:c r="N225" s="15" t="n">
        <x:f>IF(E225=0,"해당 없음",F225/E225)</x:f>
        <x:v>0.019230769230769232</x:v>
      </x:c>
      <x:c r="O225" s="15" t="n">
        <x:f>IF(E225=0,"해당 없음",G225/E225)</x:f>
        <x:v>0.14423076923076922</x:v>
      </x:c>
      <x:c r="P225" s="15" t="n">
        <x:f>IF(E225=0,"해당 없음",H225/E225)</x:f>
        <x:v>0.08653846153846154</x:v>
      </x:c>
      <x:c r="Q225" s="15" t="n">
        <x:f>IF(E225=0,"해당 없음",I225/E225)</x:f>
        <x:v>0.0673076923076923</x:v>
      </x:c>
      <x:c r="R225" s="15" t="n">
        <x:f>IF(E225=0,"해당 없음",J225/E225)</x:f>
        <x:v>0.019230769230769232</x:v>
      </x:c>
      <x:c r="S225" s="15" t="n">
        <x:f>IF(E225=0,"해당 없음",K225/E225)</x:f>
        <x:v>0.10576923076923077</x:v>
      </x:c>
      <x:c r="T225" s="15" t="n">
        <x:f>IF(E225=0,"해당 없음",L225/E225)</x:f>
        <x:v>0.36538461538461536</x:v>
      </x:c>
      <x:c r="U225" s="15" t="n">
        <x:f>IF(E225=0,"해당 없음",M225/E225)</x:f>
        <x:v>0.19230769230769232</x:v>
      </x:c>
      <x:c r="V225" s="16" t="n">
        <x:f>E225/5</x:f>
        <x:v>20.8</x:v>
      </x:c>
    </x:row>
    <x:row r="226" ht="22" customHeight="1">
      <x:c r="A226" s="2" t="n">
        <x:v>111</x:v>
      </x:c>
      <x:c r="B226" s="2" t="str">
        <x:v>RED</x:v>
      </x:c>
      <x:c r="C226" s="2" t="str">
        <x:v>80만</x:v>
      </x:c>
      <x:c r="D226" s="2" t="str">
        <x:v>규칙형</x:v>
      </x:c>
      <x:c r="E226" s="14" t="n">
        <x:f>SUM(F226:M226)</x:f>
        <x:v>106</x:v>
      </x:c>
      <x:c r="F226" s="14" t="n">
        <x:v>6</x:v>
      </x:c>
      <x:c r="G226" s="14" t="n">
        <x:v>22</x:v>
      </x:c>
      <x:c r="H226" s="14" t="n">
        <x:v>14</x:v>
      </x:c>
      <x:c r="I226" s="14" t="n">
        <x:v>2</x:v>
      </x:c>
      <x:c r="J226" s="14" t="n">
        <x:v>0</x:v>
      </x:c>
      <x:c r="K226" s="14" t="n">
        <x:v>11</x:v>
      </x:c>
      <x:c r="L226" s="14" t="n">
        <x:v>38</x:v>
      </x:c>
      <x:c r="M226" s="14" t="n">
        <x:v>13</x:v>
      </x:c>
      <x:c r="N226" s="15" t="n">
        <x:f>IF(E226=0,"해당 없음",F226/E226)</x:f>
        <x:v>0.05660377358490566</x:v>
      </x:c>
      <x:c r="O226" s="15" t="n">
        <x:f>IF(E226=0,"해당 없음",G226/E226)</x:f>
        <x:v>0.20754716981132076</x:v>
      </x:c>
      <x:c r="P226" s="15" t="n">
        <x:f>IF(E226=0,"해당 없음",H226/E226)</x:f>
        <x:v>0.1320754716981132</x:v>
      </x:c>
      <x:c r="Q226" s="15" t="n">
        <x:f>IF(E226=0,"해당 없음",I226/E226)</x:f>
        <x:v>0.018867924528301886</x:v>
      </x:c>
      <x:c r="R226" s="15" t="n">
        <x:f>IF(E226=0,"해당 없음",J226/E226)</x:f>
        <x:v>0</x:v>
      </x:c>
      <x:c r="S226" s="15" t="n">
        <x:f>IF(E226=0,"해당 없음",K226/E226)</x:f>
        <x:v>0.10377358490566038</x:v>
      </x:c>
      <x:c r="T226" s="15" t="n">
        <x:f>IF(E226=0,"해당 없음",L226/E226)</x:f>
        <x:v>0.3584905660377358</x:v>
      </x:c>
      <x:c r="U226" s="15" t="n">
        <x:f>IF(E226=0,"해당 없음",M226/E226)</x:f>
        <x:v>0.12264150943396226</x:v>
      </x:c>
      <x:c r="V226" s="16" t="n">
        <x:f>E226/5</x:f>
        <x:v>21.2</x:v>
      </x:c>
    </x:row>
    <x:row r="227" ht="22" customHeight="1">
      <x:c r="A227" s="2" t="n">
        <x:v>111</x:v>
      </x:c>
      <x:c r="B227" s="2" t="str">
        <x:v>NAVY</x:v>
      </x:c>
      <x:c r="C227" s="2" t="str">
        <x:v>규칙형</x:v>
      </x:c>
      <x:c r="D227" s="2" t="str">
        <x:v>80만</x:v>
      </x:c>
      <x:c r="E227" s="14" t="n">
        <x:f>SUM(F227:M227)</x:f>
        <x:v>105</x:v>
      </x:c>
      <x:c r="F227" s="14" t="n">
        <x:v>39</x:v>
      </x:c>
      <x:c r="G227" s="14" t="n">
        <x:v>3</x:v>
      </x:c>
      <x:c r="H227" s="14" t="n">
        <x:v>7</x:v>
      </x:c>
      <x:c r="I227" s="14" t="n">
        <x:v>8</x:v>
      </x:c>
      <x:c r="J227" s="14" t="n">
        <x:v>9</x:v>
      </x:c>
      <x:c r="K227" s="14" t="n">
        <x:v>6</x:v>
      </x:c>
      <x:c r="L227" s="14" t="n">
        <x:v>21</x:v>
      </x:c>
      <x:c r="M227" s="14" t="n">
        <x:v>12</x:v>
      </x:c>
      <x:c r="N227" s="15" t="n">
        <x:f>IF(E227=0,"해당 없음",F227/E227)</x:f>
        <x:v>0.37142857142857144</x:v>
      </x:c>
      <x:c r="O227" s="15" t="n">
        <x:f>IF(E227=0,"해당 없음",G227/E227)</x:f>
        <x:v>0.02857142857142857</x:v>
      </x:c>
      <x:c r="P227" s="15" t="n">
        <x:f>IF(E227=0,"해당 없음",H227/E227)</x:f>
        <x:v>0.06666666666666667</x:v>
      </x:c>
      <x:c r="Q227" s="15" t="n">
        <x:f>IF(E227=0,"해당 없음",I227/E227)</x:f>
        <x:v>0.0761904761904762</x:v>
      </x:c>
      <x:c r="R227" s="15" t="n">
        <x:f>IF(E227=0,"해당 없음",J227/E227)</x:f>
        <x:v>0.08571428571428572</x:v>
      </x:c>
      <x:c r="S227" s="15" t="n">
        <x:f>IF(E227=0,"해당 없음",K227/E227)</x:f>
        <x:v>0.05714285714285714</x:v>
      </x:c>
      <x:c r="T227" s="15" t="n">
        <x:f>IF(E227=0,"해당 없음",L227/E227)</x:f>
        <x:v>0.2</x:v>
      </x:c>
      <x:c r="U227" s="15" t="n">
        <x:f>IF(E227=0,"해당 없음",M227/E227)</x:f>
        <x:v>0.11428571428571428</x:v>
      </x:c>
      <x:c r="V227" s="16" t="n">
        <x:f>E227/5</x:f>
        <x:v>21</x:v>
      </x:c>
    </x:row>
    <x:row r="228" ht="22" customHeight="1">
      <x:c r="A228" s="2" t="n">
        <x:v>112</x:v>
      </x:c>
      <x:c r="B228" s="2" t="str">
        <x:v>RED</x:v>
      </x:c>
      <x:c r="C228" s="2" t="str">
        <x:v>규칙형</x:v>
      </x:c>
      <x:c r="D228" s="2" t="str">
        <x:v>80만</x:v>
      </x:c>
      <x:c r="E228" s="14" t="n">
        <x:f>SUM(F228:M228)</x:f>
        <x:v>105</x:v>
      </x:c>
      <x:c r="F228" s="14" t="n">
        <x:v>46</x:v>
      </x:c>
      <x:c r="G228" s="14" t="n">
        <x:v>1</x:v>
      </x:c>
      <x:c r="H228" s="14" t="n">
        <x:v>7</x:v>
      </x:c>
      <x:c r="I228" s="14" t="n">
        <x:v>15</x:v>
      </x:c>
      <x:c r="J228" s="14" t="n">
        <x:v>3</x:v>
      </x:c>
      <x:c r="K228" s="14" t="n">
        <x:v>3</x:v>
      </x:c>
      <x:c r="L228" s="14" t="n">
        <x:v>23</x:v>
      </x:c>
      <x:c r="M228" s="14" t="n">
        <x:v>7</x:v>
      </x:c>
      <x:c r="N228" s="15" t="n">
        <x:f>IF(E228=0,"해당 없음",F228/E228)</x:f>
        <x:v>0.4380952380952381</x:v>
      </x:c>
      <x:c r="O228" s="15" t="n">
        <x:f>IF(E228=0,"해당 없음",G228/E228)</x:f>
        <x:v>0.009523809523809525</x:v>
      </x:c>
      <x:c r="P228" s="15" t="n">
        <x:f>IF(E228=0,"해당 없음",H228/E228)</x:f>
        <x:v>0.06666666666666667</x:v>
      </x:c>
      <x:c r="Q228" s="15" t="n">
        <x:f>IF(E228=0,"해당 없음",I228/E228)</x:f>
        <x:v>0.14285714285714285</x:v>
      </x:c>
      <x:c r="R228" s="15" t="n">
        <x:f>IF(E228=0,"해당 없음",J228/E228)</x:f>
        <x:v>0.02857142857142857</x:v>
      </x:c>
      <x:c r="S228" s="15" t="n">
        <x:f>IF(E228=0,"해당 없음",K228/E228)</x:f>
        <x:v>0.02857142857142857</x:v>
      </x:c>
      <x:c r="T228" s="15" t="n">
        <x:f>IF(E228=0,"해당 없음",L228/E228)</x:f>
        <x:v>0.21904761904761905</x:v>
      </x:c>
      <x:c r="U228" s="15" t="n">
        <x:f>IF(E228=0,"해당 없음",M228/E228)</x:f>
        <x:v>0.06666666666666667</x:v>
      </x:c>
      <x:c r="V228" s="16" t="n">
        <x:f>E228/5</x:f>
        <x:v>21</x:v>
      </x:c>
    </x:row>
    <x:row r="229" ht="22" customHeight="1">
      <x:c r="A229" s="2" t="n">
        <x:v>112</x:v>
      </x:c>
      <x:c r="B229" s="2" t="str">
        <x:v>NAVY</x:v>
      </x:c>
      <x:c r="C229" s="2" t="str">
        <x:v>80만</x:v>
      </x:c>
      <x:c r="D229" s="2" t="str">
        <x:v>규칙형</x:v>
      </x:c>
      <x:c r="E229" s="14" t="n">
        <x:f>SUM(F229:M229)</x:f>
        <x:v>106</x:v>
      </x:c>
      <x:c r="F229" s="14" t="n">
        <x:v>3</x:v>
      </x:c>
      <x:c r="G229" s="14" t="n">
        <x:v>19</x:v>
      </x:c>
      <x:c r="H229" s="14" t="n">
        <x:v>4</x:v>
      </x:c>
      <x:c r="I229" s="14" t="n">
        <x:v>7</x:v>
      </x:c>
      <x:c r="J229" s="14" t="n">
        <x:v>2</x:v>
      </x:c>
      <x:c r="K229" s="14" t="n">
        <x:v>11</x:v>
      </x:c>
      <x:c r="L229" s="14" t="n">
        <x:v>42</x:v>
      </x:c>
      <x:c r="M229" s="14" t="n">
        <x:v>18</x:v>
      </x:c>
      <x:c r="N229" s="15" t="n">
        <x:f>IF(E229=0,"해당 없음",F229/E229)</x:f>
        <x:v>0.02830188679245283</x:v>
      </x:c>
      <x:c r="O229" s="15" t="n">
        <x:f>IF(E229=0,"해당 없음",G229/E229)</x:f>
        <x:v>0.1792452830188679</x:v>
      </x:c>
      <x:c r="P229" s="15" t="n">
        <x:f>IF(E229=0,"해당 없음",H229/E229)</x:f>
        <x:v>0.03773584905660377</x:v>
      </x:c>
      <x:c r="Q229" s="15" t="n">
        <x:f>IF(E229=0,"해당 없음",I229/E229)</x:f>
        <x:v>0.0660377358490566</x:v>
      </x:c>
      <x:c r="R229" s="15" t="n">
        <x:f>IF(E229=0,"해당 없음",J229/E229)</x:f>
        <x:v>0.018867924528301886</x:v>
      </x:c>
      <x:c r="S229" s="15" t="n">
        <x:f>IF(E229=0,"해당 없음",K229/E229)</x:f>
        <x:v>0.10377358490566038</x:v>
      </x:c>
      <x:c r="T229" s="15" t="n">
        <x:f>IF(E229=0,"해당 없음",L229/E229)</x:f>
        <x:v>0.39622641509433965</x:v>
      </x:c>
      <x:c r="U229" s="15" t="n">
        <x:f>IF(E229=0,"해당 없음",M229/E229)</x:f>
        <x:v>0.16981132075471697</x:v>
      </x:c>
      <x:c r="V229" s="16" t="n">
        <x:f>E229/5</x:f>
        <x:v>21.2</x:v>
      </x:c>
    </x:row>
    <x:row r="230" ht="22" customHeight="1">
      <x:c r="A230" s="2" t="n">
        <x:v>113</x:v>
      </x:c>
      <x:c r="B230" s="2" t="str">
        <x:v>RED</x:v>
      </x:c>
      <x:c r="C230" s="2" t="str">
        <x:v>80만</x:v>
      </x:c>
      <x:c r="D230" s="2" t="str">
        <x:v>규칙형</x:v>
      </x:c>
      <x:c r="E230" s="14" t="n">
        <x:f>SUM(F230:M230)</x:f>
        <x:v>104</x:v>
      </x:c>
      <x:c r="F230" s="14" t="n">
        <x:v>4</x:v>
      </x:c>
      <x:c r="G230" s="14" t="n">
        <x:v>18</x:v>
      </x:c>
      <x:c r="H230" s="14" t="n">
        <x:v>10</x:v>
      </x:c>
      <x:c r="I230" s="14" t="n">
        <x:v>11</x:v>
      </x:c>
      <x:c r="J230" s="14" t="n">
        <x:v>2</x:v>
      </x:c>
      <x:c r="K230" s="14" t="n">
        <x:v>7</x:v>
      </x:c>
      <x:c r="L230" s="14" t="n">
        <x:v>34</x:v>
      </x:c>
      <x:c r="M230" s="14" t="n">
        <x:v>18</x:v>
      </x:c>
      <x:c r="N230" s="15" t="n">
        <x:f>IF(E230=0,"해당 없음",F230/E230)</x:f>
        <x:v>0.038461538461538464</x:v>
      </x:c>
      <x:c r="O230" s="15" t="n">
        <x:f>IF(E230=0,"해당 없음",G230/E230)</x:f>
        <x:v>0.17307692307692307</x:v>
      </x:c>
      <x:c r="P230" s="15" t="n">
        <x:f>IF(E230=0,"해당 없음",H230/E230)</x:f>
        <x:v>0.09615384615384616</x:v>
      </x:c>
      <x:c r="Q230" s="15" t="n">
        <x:f>IF(E230=0,"해당 없음",I230/E230)</x:f>
        <x:v>0.10576923076923077</x:v>
      </x:c>
      <x:c r="R230" s="15" t="n">
        <x:f>IF(E230=0,"해당 없음",J230/E230)</x:f>
        <x:v>0.019230769230769232</x:v>
      </x:c>
      <x:c r="S230" s="15" t="n">
        <x:f>IF(E230=0,"해당 없음",K230/E230)</x:f>
        <x:v>0.0673076923076923</x:v>
      </x:c>
      <x:c r="T230" s="15" t="n">
        <x:f>IF(E230=0,"해당 없음",L230/E230)</x:f>
        <x:v>0.3269230769230769</x:v>
      </x:c>
      <x:c r="U230" s="15" t="n">
        <x:f>IF(E230=0,"해당 없음",M230/E230)</x:f>
        <x:v>0.17307692307692307</x:v>
      </x:c>
      <x:c r="V230" s="16" t="n">
        <x:f>E230/5</x:f>
        <x:v>20.8</x:v>
      </x:c>
    </x:row>
    <x:row r="231" ht="22" customHeight="1">
      <x:c r="A231" s="2" t="n">
        <x:v>113</x:v>
      </x:c>
      <x:c r="B231" s="2" t="str">
        <x:v>NAVY</x:v>
      </x:c>
      <x:c r="C231" s="2" t="str">
        <x:v>규칙형</x:v>
      </x:c>
      <x:c r="D231" s="2" t="str">
        <x:v>80만</x:v>
      </x:c>
      <x:c r="E231" s="14" t="n">
        <x:f>SUM(F231:M231)</x:f>
        <x:v>104</x:v>
      </x:c>
      <x:c r="F231" s="14" t="n">
        <x:v>31</x:v>
      </x:c>
      <x:c r="G231" s="14" t="n">
        <x:v>5</x:v>
      </x:c>
      <x:c r="H231" s="14" t="n">
        <x:v>15</x:v>
      </x:c>
      <x:c r="I231" s="14" t="n">
        <x:v>8</x:v>
      </x:c>
      <x:c r="J231" s="14" t="n">
        <x:v>11</x:v>
      </x:c>
      <x:c r="K231" s="14" t="n">
        <x:v>2</x:v>
      </x:c>
      <x:c r="L231" s="14" t="n">
        <x:v>22</x:v>
      </x:c>
      <x:c r="M231" s="14" t="n">
        <x:v>10</x:v>
      </x:c>
      <x:c r="N231" s="15" t="n">
        <x:f>IF(E231=0,"해당 없음",F231/E231)</x:f>
        <x:v>0.2980769230769231</x:v>
      </x:c>
      <x:c r="O231" s="15" t="n">
        <x:f>IF(E231=0,"해당 없음",G231/E231)</x:f>
        <x:v>0.04807692307692308</x:v>
      </x:c>
      <x:c r="P231" s="15" t="n">
        <x:f>IF(E231=0,"해당 없음",H231/E231)</x:f>
        <x:v>0.14423076923076922</x:v>
      </x:c>
      <x:c r="Q231" s="15" t="n">
        <x:f>IF(E231=0,"해당 없음",I231/E231)</x:f>
        <x:v>0.07692307692307693</x:v>
      </x:c>
      <x:c r="R231" s="15" t="n">
        <x:f>IF(E231=0,"해당 없음",J231/E231)</x:f>
        <x:v>0.10576923076923077</x:v>
      </x:c>
      <x:c r="S231" s="15" t="n">
        <x:f>IF(E231=0,"해당 없음",K231/E231)</x:f>
        <x:v>0.019230769230769232</x:v>
      </x:c>
      <x:c r="T231" s="15" t="n">
        <x:f>IF(E231=0,"해당 없음",L231/E231)</x:f>
        <x:v>0.21153846153846154</x:v>
      </x:c>
      <x:c r="U231" s="15" t="n">
        <x:f>IF(E231=0,"해당 없음",M231/E231)</x:f>
        <x:v>0.09615384615384616</x:v>
      </x:c>
      <x:c r="V231" s="16" t="n">
        <x:f>E231/5</x:f>
        <x:v>20.8</x:v>
      </x:c>
    </x:row>
    <x:row r="232" ht="22" customHeight="1">
      <x:c r="A232" s="2" t="n">
        <x:v>114</x:v>
      </x:c>
      <x:c r="B232" s="2" t="str">
        <x:v>RED</x:v>
      </x:c>
      <x:c r="C232" s="2" t="str">
        <x:v>규칙형</x:v>
      </x:c>
      <x:c r="D232" s="2" t="str">
        <x:v>80만</x:v>
      </x:c>
      <x:c r="E232" s="14" t="n">
        <x:f>SUM(F232:M232)</x:f>
        <x:v>103</x:v>
      </x:c>
      <x:c r="F232" s="14" t="n">
        <x:v>32</x:v>
      </x:c>
      <x:c r="G232" s="14" t="n">
        <x:v>5</x:v>
      </x:c>
      <x:c r="H232" s="14" t="n">
        <x:v>7</x:v>
      </x:c>
      <x:c r="I232" s="14" t="n">
        <x:v>13</x:v>
      </x:c>
      <x:c r="J232" s="14" t="n">
        <x:v>9</x:v>
      </x:c>
      <x:c r="K232" s="14" t="n">
        <x:v>4</x:v>
      </x:c>
      <x:c r="L232" s="14" t="n">
        <x:v>22</x:v>
      </x:c>
      <x:c r="M232" s="14" t="n">
        <x:v>11</x:v>
      </x:c>
      <x:c r="N232" s="15" t="n">
        <x:f>IF(E232=0,"해당 없음",F232/E232)</x:f>
        <x:v>0.3106796116504854</x:v>
      </x:c>
      <x:c r="O232" s="15" t="n">
        <x:f>IF(E232=0,"해당 없음",G232/E232)</x:f>
        <x:v>0.04854368932038835</x:v>
      </x:c>
      <x:c r="P232" s="15" t="n">
        <x:f>IF(E232=0,"해당 없음",H232/E232)</x:f>
        <x:v>0.06796116504854369</x:v>
      </x:c>
      <x:c r="Q232" s="15" t="n">
        <x:f>IF(E232=0,"해당 없음",I232/E232)</x:f>
        <x:v>0.1262135922330097</x:v>
      </x:c>
      <x:c r="R232" s="15" t="n">
        <x:f>IF(E232=0,"해당 없음",J232/E232)</x:f>
        <x:v>0.08737864077669903</x:v>
      </x:c>
      <x:c r="S232" s="15" t="n">
        <x:f>IF(E232=0,"해당 없음",K232/E232)</x:f>
        <x:v>0.038834951456310676</x:v>
      </x:c>
      <x:c r="T232" s="15" t="n">
        <x:f>IF(E232=0,"해당 없음",L232/E232)</x:f>
        <x:v>0.21359223300970873</x:v>
      </x:c>
      <x:c r="U232" s="15" t="n">
        <x:f>IF(E232=0,"해당 없음",M232/E232)</x:f>
        <x:v>0.10679611650485436</x:v>
      </x:c>
      <x:c r="V232" s="16" t="n">
        <x:f>E232/5</x:f>
        <x:v>20.6</x:v>
      </x:c>
    </x:row>
    <x:row r="233" ht="22" customHeight="1">
      <x:c r="A233" s="2" t="n">
        <x:v>114</x:v>
      </x:c>
      <x:c r="B233" s="2" t="str">
        <x:v>NAVY</x:v>
      </x:c>
      <x:c r="C233" s="2" t="str">
        <x:v>80만</x:v>
      </x:c>
      <x:c r="D233" s="2" t="str">
        <x:v>규칙형</x:v>
      </x:c>
      <x:c r="E233" s="14" t="n">
        <x:f>SUM(F233:M233)</x:f>
        <x:v>105</x:v>
      </x:c>
      <x:c r="F233" s="14" t="n">
        <x:v>3</x:v>
      </x:c>
      <x:c r="G233" s="14" t="n">
        <x:v>18</x:v>
      </x:c>
      <x:c r="H233" s="14" t="n">
        <x:v>6</x:v>
      </x:c>
      <x:c r="I233" s="14" t="n">
        <x:v>9</x:v>
      </x:c>
      <x:c r="J233" s="14" t="n">
        <x:v>1</x:v>
      </x:c>
      <x:c r="K233" s="14" t="n">
        <x:v>6</x:v>
      </x:c>
      <x:c r="L233" s="14" t="n">
        <x:v>36</x:v>
      </x:c>
      <x:c r="M233" s="14" t="n">
        <x:v>26</x:v>
      </x:c>
      <x:c r="N233" s="15" t="n">
        <x:f>IF(E233=0,"해당 없음",F233/E233)</x:f>
        <x:v>0.02857142857142857</x:v>
      </x:c>
      <x:c r="O233" s="15" t="n">
        <x:f>IF(E233=0,"해당 없음",G233/E233)</x:f>
        <x:v>0.17142857142857143</x:v>
      </x:c>
      <x:c r="P233" s="15" t="n">
        <x:f>IF(E233=0,"해당 없음",H233/E233)</x:f>
        <x:v>0.05714285714285714</x:v>
      </x:c>
      <x:c r="Q233" s="15" t="n">
        <x:f>IF(E233=0,"해당 없음",I233/E233)</x:f>
        <x:v>0.08571428571428572</x:v>
      </x:c>
      <x:c r="R233" s="15" t="n">
        <x:f>IF(E233=0,"해당 없음",J233/E233)</x:f>
        <x:v>0.009523809523809525</x:v>
      </x:c>
      <x:c r="S233" s="15" t="n">
        <x:f>IF(E233=0,"해당 없음",K233/E233)</x:f>
        <x:v>0.05714285714285714</x:v>
      </x:c>
      <x:c r="T233" s="15" t="n">
        <x:f>IF(E233=0,"해당 없음",L233/E233)</x:f>
        <x:v>0.34285714285714286</x:v>
      </x:c>
      <x:c r="U233" s="15" t="n">
        <x:f>IF(E233=0,"해당 없음",M233/E233)</x:f>
        <x:v>0.24761904761904763</x:v>
      </x:c>
      <x:c r="V233" s="16" t="n">
        <x:f>E233/5</x:f>
        <x:v>21</x:v>
      </x:c>
    </x:row>
    <x:row r="234" ht="22" customHeight="1">
      <x:c r="A234" s="2" t="n">
        <x:v>115</x:v>
      </x:c>
      <x:c r="B234" s="2" t="str">
        <x:v>RED</x:v>
      </x:c>
      <x:c r="C234" s="2" t="str">
        <x:v>80만</x:v>
      </x:c>
      <x:c r="D234" s="2" t="str">
        <x:v>규칙형</x:v>
      </x:c>
      <x:c r="E234" s="14" t="n">
        <x:f>SUM(F234:M234)</x:f>
        <x:v>104</x:v>
      </x:c>
      <x:c r="F234" s="14" t="n">
        <x:v>3</x:v>
      </x:c>
      <x:c r="G234" s="14" t="n">
        <x:v>21</x:v>
      </x:c>
      <x:c r="H234" s="14" t="n">
        <x:v>11</x:v>
      </x:c>
      <x:c r="I234" s="14" t="n">
        <x:v>5</x:v>
      </x:c>
      <x:c r="J234" s="14" t="n">
        <x:v>2</x:v>
      </x:c>
      <x:c r="K234" s="14" t="n">
        <x:v>5</x:v>
      </x:c>
      <x:c r="L234" s="14" t="n">
        <x:v>41</x:v>
      </x:c>
      <x:c r="M234" s="14" t="n">
        <x:v>16</x:v>
      </x:c>
      <x:c r="N234" s="15" t="n">
        <x:f>IF(E234=0,"해당 없음",F234/E234)</x:f>
        <x:v>0.028846153846153848</x:v>
      </x:c>
      <x:c r="O234" s="15" t="n">
        <x:f>IF(E234=0,"해당 없음",G234/E234)</x:f>
        <x:v>0.20192307692307693</x:v>
      </x:c>
      <x:c r="P234" s="15" t="n">
        <x:f>IF(E234=0,"해당 없음",H234/E234)</x:f>
        <x:v>0.10576923076923077</x:v>
      </x:c>
      <x:c r="Q234" s="15" t="n">
        <x:f>IF(E234=0,"해당 없음",I234/E234)</x:f>
        <x:v>0.04807692307692308</x:v>
      </x:c>
      <x:c r="R234" s="15" t="n">
        <x:f>IF(E234=0,"해당 없음",J234/E234)</x:f>
        <x:v>0.019230769230769232</x:v>
      </x:c>
      <x:c r="S234" s="15" t="n">
        <x:f>IF(E234=0,"해당 없음",K234/E234)</x:f>
        <x:v>0.04807692307692308</x:v>
      </x:c>
      <x:c r="T234" s="15" t="n">
        <x:f>IF(E234=0,"해당 없음",L234/E234)</x:f>
        <x:v>0.3942307692307692</x:v>
      </x:c>
      <x:c r="U234" s="15" t="n">
        <x:f>IF(E234=0,"해당 없음",M234/E234)</x:f>
        <x:v>0.15384615384615385</x:v>
      </x:c>
      <x:c r="V234" s="16" t="n">
        <x:f>E234/5</x:f>
        <x:v>20.8</x:v>
      </x:c>
    </x:row>
    <x:row r="235" ht="22" customHeight="1">
      <x:c r="A235" s="2" t="n">
        <x:v>115</x:v>
      </x:c>
      <x:c r="B235" s="2" t="str">
        <x:v>NAVY</x:v>
      </x:c>
      <x:c r="C235" s="2" t="str">
        <x:v>규칙형</x:v>
      </x:c>
      <x:c r="D235" s="2" t="str">
        <x:v>80만</x:v>
      </x:c>
      <x:c r="E235" s="14" t="n">
        <x:f>SUM(F235:M235)</x:f>
        <x:v>103</x:v>
      </x:c>
      <x:c r="F235" s="14" t="n">
        <x:v>39</x:v>
      </x:c>
      <x:c r="G235" s="14" t="n">
        <x:v>5</x:v>
      </x:c>
      <x:c r="H235" s="14" t="n">
        <x:v>5</x:v>
      </x:c>
      <x:c r="I235" s="14" t="n">
        <x:v>14</x:v>
      </x:c>
      <x:c r="J235" s="14" t="n">
        <x:v>5</x:v>
      </x:c>
      <x:c r="K235" s="14" t="n">
        <x:v>5</x:v>
      </x:c>
      <x:c r="L235" s="14" t="n">
        <x:v>21</x:v>
      </x:c>
      <x:c r="M235" s="14" t="n">
        <x:v>9</x:v>
      </x:c>
      <x:c r="N235" s="15" t="n">
        <x:f>IF(E235=0,"해당 없음",F235/E235)</x:f>
        <x:v>0.3786407766990291</x:v>
      </x:c>
      <x:c r="O235" s="15" t="n">
        <x:f>IF(E235=0,"해당 없음",G235/E235)</x:f>
        <x:v>0.04854368932038835</x:v>
      </x:c>
      <x:c r="P235" s="15" t="n">
        <x:f>IF(E235=0,"해당 없음",H235/E235)</x:f>
        <x:v>0.04854368932038835</x:v>
      </x:c>
      <x:c r="Q235" s="15" t="n">
        <x:f>IF(E235=0,"해당 없음",I235/E235)</x:f>
        <x:v>0.13592233009708737</x:v>
      </x:c>
      <x:c r="R235" s="15" t="n">
        <x:f>IF(E235=0,"해당 없음",J235/E235)</x:f>
        <x:v>0.04854368932038835</x:v>
      </x:c>
      <x:c r="S235" s="15" t="n">
        <x:f>IF(E235=0,"해당 없음",K235/E235)</x:f>
        <x:v>0.04854368932038835</x:v>
      </x:c>
      <x:c r="T235" s="15" t="n">
        <x:f>IF(E235=0,"해당 없음",L235/E235)</x:f>
        <x:v>0.20388349514563106</x:v>
      </x:c>
      <x:c r="U235" s="15" t="n">
        <x:f>IF(E235=0,"해당 없음",M235/E235)</x:f>
        <x:v>0.08737864077669903</x:v>
      </x:c>
      <x:c r="V235" s="16" t="n">
        <x:f>E235/5</x:f>
        <x:v>20.6</x:v>
      </x:c>
    </x:row>
    <x:row r="236" ht="22" customHeight="1">
      <x:c r="A236" s="2" t="n">
        <x:v>116</x:v>
      </x:c>
      <x:c r="B236" s="2" t="str">
        <x:v>RED</x:v>
      </x:c>
      <x:c r="C236" s="2" t="str">
        <x:v>규칙형</x:v>
      </x:c>
      <x:c r="D236" s="2" t="str">
        <x:v>80만</x:v>
      </x:c>
      <x:c r="E236" s="14" t="n">
        <x:f>SUM(F236:M236)</x:f>
        <x:v>102</x:v>
      </x:c>
      <x:c r="F236" s="14" t="n">
        <x:v>36</x:v>
      </x:c>
      <x:c r="G236" s="14" t="n">
        <x:v>3</x:v>
      </x:c>
      <x:c r="H236" s="14" t="n">
        <x:v>4</x:v>
      </x:c>
      <x:c r="I236" s="14" t="n">
        <x:v>20</x:v>
      </x:c>
      <x:c r="J236" s="14" t="n">
        <x:v>10</x:v>
      </x:c>
      <x:c r="K236" s="14" t="n">
        <x:v>4</x:v>
      </x:c>
      <x:c r="L236" s="14" t="n">
        <x:v>20</x:v>
      </x:c>
      <x:c r="M236" s="14" t="n">
        <x:v>5</x:v>
      </x:c>
      <x:c r="N236" s="15" t="n">
        <x:f>IF(E236=0,"해당 없음",F236/E236)</x:f>
        <x:v>0.35294117647058826</x:v>
      </x:c>
      <x:c r="O236" s="15" t="n">
        <x:f>IF(E236=0,"해당 없음",G236/E236)</x:f>
        <x:v>0.029411764705882353</x:v>
      </x:c>
      <x:c r="P236" s="15" t="n">
        <x:f>IF(E236=0,"해당 없음",H236/E236)</x:f>
        <x:v>0.0392156862745098</x:v>
      </x:c>
      <x:c r="Q236" s="15" t="n">
        <x:f>IF(E236=0,"해당 없음",I236/E236)</x:f>
        <x:v>0.19607843137254902</x:v>
      </x:c>
      <x:c r="R236" s="15" t="n">
        <x:f>IF(E236=0,"해당 없음",J236/E236)</x:f>
        <x:v>0.09803921568627451</x:v>
      </x:c>
      <x:c r="S236" s="15" t="n">
        <x:f>IF(E236=0,"해당 없음",K236/E236)</x:f>
        <x:v>0.0392156862745098</x:v>
      </x:c>
      <x:c r="T236" s="15" t="n">
        <x:f>IF(E236=0,"해당 없음",L236/E236)</x:f>
        <x:v>0.19607843137254902</x:v>
      </x:c>
      <x:c r="U236" s="15" t="n">
        <x:f>IF(E236=0,"해당 없음",M236/E236)</x:f>
        <x:v>0.049019607843137254</x:v>
      </x:c>
      <x:c r="V236" s="16" t="n">
        <x:f>E236/5</x:f>
        <x:v>20.4</x:v>
      </x:c>
    </x:row>
    <x:row r="237" ht="22" customHeight="1">
      <x:c r="A237" s="2" t="n">
        <x:v>116</x:v>
      </x:c>
      <x:c r="B237" s="2" t="str">
        <x:v>NAVY</x:v>
      </x:c>
      <x:c r="C237" s="2" t="str">
        <x:v>80만</x:v>
      </x:c>
      <x:c r="D237" s="2" t="str">
        <x:v>규칙형</x:v>
      </x:c>
      <x:c r="E237" s="14" t="n">
        <x:f>SUM(F237:M237)</x:f>
        <x:v>102</x:v>
      </x:c>
      <x:c r="F237" s="14" t="n">
        <x:v>3</x:v>
      </x:c>
      <x:c r="G237" s="14" t="n">
        <x:v>16</x:v>
      </x:c>
      <x:c r="H237" s="14" t="n">
        <x:v>6</x:v>
      </x:c>
      <x:c r="I237" s="14" t="n">
        <x:v>6</x:v>
      </x:c>
      <x:c r="J237" s="14" t="n">
        <x:v>2</x:v>
      </x:c>
      <x:c r="K237" s="14" t="n">
        <x:v>7</x:v>
      </x:c>
      <x:c r="L237" s="14" t="n">
        <x:v>36</x:v>
      </x:c>
      <x:c r="M237" s="14" t="n">
        <x:v>26</x:v>
      </x:c>
      <x:c r="N237" s="15" t="n">
        <x:f>IF(E237=0,"해당 없음",F237/E237)</x:f>
        <x:v>0.029411764705882353</x:v>
      </x:c>
      <x:c r="O237" s="15" t="n">
        <x:f>IF(E237=0,"해당 없음",G237/E237)</x:f>
        <x:v>0.1568627450980392</x:v>
      </x:c>
      <x:c r="P237" s="15" t="n">
        <x:f>IF(E237=0,"해당 없음",H237/E237)</x:f>
        <x:v>0.058823529411764705</x:v>
      </x:c>
      <x:c r="Q237" s="15" t="n">
        <x:f>IF(E237=0,"해당 없음",I237/E237)</x:f>
        <x:v>0.058823529411764705</x:v>
      </x:c>
      <x:c r="R237" s="15" t="n">
        <x:f>IF(E237=0,"해당 없음",J237/E237)</x:f>
        <x:v>0.0196078431372549</x:v>
      </x:c>
      <x:c r="S237" s="15" t="n">
        <x:f>IF(E237=0,"해당 없음",K237/E237)</x:f>
        <x:v>0.06862745098039216</x:v>
      </x:c>
      <x:c r="T237" s="15" t="n">
        <x:f>IF(E237=0,"해당 없음",L237/E237)</x:f>
        <x:v>0.35294117647058826</x:v>
      </x:c>
      <x:c r="U237" s="15" t="n">
        <x:f>IF(E237=0,"해당 없음",M237/E237)</x:f>
        <x:v>0.2549019607843137</x:v>
      </x:c>
      <x:c r="V237" s="16" t="n">
        <x:f>E237/5</x:f>
        <x:v>20.4</x:v>
      </x:c>
    </x:row>
    <x:row r="238" ht="22" customHeight="1">
      <x:c r="A238" s="2" t="n">
        <x:v>117</x:v>
      </x:c>
      <x:c r="B238" s="2" t="str">
        <x:v>RED</x:v>
      </x:c>
      <x:c r="C238" s="2" t="str">
        <x:v>80만</x:v>
      </x:c>
      <x:c r="D238" s="2" t="str">
        <x:v>규칙형</x:v>
      </x:c>
      <x:c r="E238" s="14" t="n">
        <x:f>SUM(F238:M238)</x:f>
        <x:v>103</x:v>
      </x:c>
      <x:c r="F238" s="14" t="n">
        <x:v>5</x:v>
      </x:c>
      <x:c r="G238" s="14" t="n">
        <x:v>15</x:v>
      </x:c>
      <x:c r="H238" s="14" t="n">
        <x:v>6</x:v>
      </x:c>
      <x:c r="I238" s="14" t="n">
        <x:v>6</x:v>
      </x:c>
      <x:c r="J238" s="14" t="n">
        <x:v>1</x:v>
      </x:c>
      <x:c r="K238" s="14" t="n">
        <x:v>4</x:v>
      </x:c>
      <x:c r="L238" s="14" t="n">
        <x:v>41</x:v>
      </x:c>
      <x:c r="M238" s="14" t="n">
        <x:v>25</x:v>
      </x:c>
      <x:c r="N238" s="15" t="n">
        <x:f>IF(E238=0,"해당 없음",F238/E238)</x:f>
        <x:v>0.04854368932038835</x:v>
      </x:c>
      <x:c r="O238" s="15" t="n">
        <x:f>IF(E238=0,"해당 없음",G238/E238)</x:f>
        <x:v>0.14563106796116504</x:v>
      </x:c>
      <x:c r="P238" s="15" t="n">
        <x:f>IF(E238=0,"해당 없음",H238/E238)</x:f>
        <x:v>0.05825242718446602</x:v>
      </x:c>
      <x:c r="Q238" s="15" t="n">
        <x:f>IF(E238=0,"해당 없음",I238/E238)</x:f>
        <x:v>0.05825242718446602</x:v>
      </x:c>
      <x:c r="R238" s="15" t="n">
        <x:f>IF(E238=0,"해당 없음",J238/E238)</x:f>
        <x:v>0.009708737864077669</x:v>
      </x:c>
      <x:c r="S238" s="15" t="n">
        <x:f>IF(E238=0,"해당 없음",K238/E238)</x:f>
        <x:v>0.038834951456310676</x:v>
      </x:c>
      <x:c r="T238" s="15" t="n">
        <x:f>IF(E238=0,"해당 없음",L238/E238)</x:f>
        <x:v>0.39805825242718446</x:v>
      </x:c>
      <x:c r="U238" s="15" t="n">
        <x:f>IF(E238=0,"해당 없음",M238/E238)</x:f>
        <x:v>0.24271844660194175</x:v>
      </x:c>
      <x:c r="V238" s="16" t="n">
        <x:f>E238/5</x:f>
        <x:v>20.6</x:v>
      </x:c>
    </x:row>
    <x:row r="239" ht="22" customHeight="1">
      <x:c r="A239" s="2" t="n">
        <x:v>117</x:v>
      </x:c>
      <x:c r="B239" s="2" t="str">
        <x:v>NAVY</x:v>
      </x:c>
      <x:c r="C239" s="2" t="str">
        <x:v>규칙형</x:v>
      </x:c>
      <x:c r="D239" s="2" t="str">
        <x:v>80만</x:v>
      </x:c>
      <x:c r="E239" s="14" t="n">
        <x:f>SUM(F239:M239)</x:f>
        <x:v>105</x:v>
      </x:c>
      <x:c r="F239" s="14" t="n">
        <x:v>37</x:v>
      </x:c>
      <x:c r="G239" s="14" t="n">
        <x:v>5</x:v>
      </x:c>
      <x:c r="H239" s="14" t="n">
        <x:v>5</x:v>
      </x:c>
      <x:c r="I239" s="14" t="n">
        <x:v>23</x:v>
      </x:c>
      <x:c r="J239" s="14" t="n">
        <x:v>8</x:v>
      </x:c>
      <x:c r="K239" s="14" t="n">
        <x:v>5</x:v>
      </x:c>
      <x:c r="L239" s="14" t="n">
        <x:v>16</x:v>
      </x:c>
      <x:c r="M239" s="14" t="n">
        <x:v>6</x:v>
      </x:c>
      <x:c r="N239" s="15" t="n">
        <x:f>IF(E239=0,"해당 없음",F239/E239)</x:f>
        <x:v>0.3523809523809524</x:v>
      </x:c>
      <x:c r="O239" s="15" t="n">
        <x:f>IF(E239=0,"해당 없음",G239/E239)</x:f>
        <x:v>0.047619047619047616</x:v>
      </x:c>
      <x:c r="P239" s="15" t="n">
        <x:f>IF(E239=0,"해당 없음",H239/E239)</x:f>
        <x:v>0.047619047619047616</x:v>
      </x:c>
      <x:c r="Q239" s="15" t="n">
        <x:f>IF(E239=0,"해당 없음",I239/E239)</x:f>
        <x:v>0.21904761904761905</x:v>
      </x:c>
      <x:c r="R239" s="15" t="n">
        <x:f>IF(E239=0,"해당 없음",J239/E239)</x:f>
        <x:v>0.0761904761904762</x:v>
      </x:c>
      <x:c r="S239" s="15" t="n">
        <x:f>IF(E239=0,"해당 없음",K239/E239)</x:f>
        <x:v>0.047619047619047616</x:v>
      </x:c>
      <x:c r="T239" s="15" t="n">
        <x:f>IF(E239=0,"해당 없음",L239/E239)</x:f>
        <x:v>0.1523809523809524</x:v>
      </x:c>
      <x:c r="U239" s="15" t="n">
        <x:f>IF(E239=0,"해당 없음",M239/E239)</x:f>
        <x:v>0.05714285714285714</x:v>
      </x:c>
      <x:c r="V239" s="16" t="n">
        <x:f>E239/5</x:f>
        <x:v>21</x:v>
      </x:c>
    </x:row>
    <x:row r="240" ht="22" customHeight="1">
      <x:c r="A240" s="2" t="n">
        <x:v>118</x:v>
      </x:c>
      <x:c r="B240" s="2" t="str">
        <x:v>RED</x:v>
      </x:c>
      <x:c r="C240" s="2" t="str">
        <x:v>규칙형</x:v>
      </x:c>
      <x:c r="D240" s="2" t="str">
        <x:v>80만</x:v>
      </x:c>
      <x:c r="E240" s="14" t="n">
        <x:f>SUM(F240:M240)</x:f>
        <x:v>105</x:v>
      </x:c>
      <x:c r="F240" s="14" t="n">
        <x:v>38</x:v>
      </x:c>
      <x:c r="G240" s="14" t="n">
        <x:v>4</x:v>
      </x:c>
      <x:c r="H240" s="14" t="n">
        <x:v>6</x:v>
      </x:c>
      <x:c r="I240" s="14" t="n">
        <x:v>17</x:v>
      </x:c>
      <x:c r="J240" s="14" t="n">
        <x:v>4</x:v>
      </x:c>
      <x:c r="K240" s="14" t="n">
        <x:v>5</x:v>
      </x:c>
      <x:c r="L240" s="14" t="n">
        <x:v>25</x:v>
      </x:c>
      <x:c r="M240" s="14" t="n">
        <x:v>6</x:v>
      </x:c>
      <x:c r="N240" s="15" t="n">
        <x:f>IF(E240=0,"해당 없음",F240/E240)</x:f>
        <x:v>0.3619047619047619</x:v>
      </x:c>
      <x:c r="O240" s="15" t="n">
        <x:f>IF(E240=0,"해당 없음",G240/E240)</x:f>
        <x:v>0.0380952380952381</x:v>
      </x:c>
      <x:c r="P240" s="15" t="n">
        <x:f>IF(E240=0,"해당 없음",H240/E240)</x:f>
        <x:v>0.05714285714285714</x:v>
      </x:c>
      <x:c r="Q240" s="15" t="n">
        <x:f>IF(E240=0,"해당 없음",I240/E240)</x:f>
        <x:v>0.1619047619047619</x:v>
      </x:c>
      <x:c r="R240" s="15" t="n">
        <x:f>IF(E240=0,"해당 없음",J240/E240)</x:f>
        <x:v>0.0380952380952381</x:v>
      </x:c>
      <x:c r="S240" s="15" t="n">
        <x:f>IF(E240=0,"해당 없음",K240/E240)</x:f>
        <x:v>0.047619047619047616</x:v>
      </x:c>
      <x:c r="T240" s="15" t="n">
        <x:f>IF(E240=0,"해당 없음",L240/E240)</x:f>
        <x:v>0.23809523809523808</x:v>
      </x:c>
      <x:c r="U240" s="15" t="n">
        <x:f>IF(E240=0,"해당 없음",M240/E240)</x:f>
        <x:v>0.05714285714285714</x:v>
      </x:c>
      <x:c r="V240" s="16" t="n">
        <x:f>E240/5</x:f>
        <x:v>21</x:v>
      </x:c>
    </x:row>
    <x:row r="241" ht="22" customHeight="1">
      <x:c r="A241" s="2" t="n">
        <x:v>118</x:v>
      </x:c>
      <x:c r="B241" s="2" t="str">
        <x:v>NAVY</x:v>
      </x:c>
      <x:c r="C241" s="2" t="str">
        <x:v>80만</x:v>
      </x:c>
      <x:c r="D241" s="2" t="str">
        <x:v>규칙형</x:v>
      </x:c>
      <x:c r="E241" s="14" t="n">
        <x:f>SUM(F241:M241)</x:f>
        <x:v>105</x:v>
      </x:c>
      <x:c r="F241" s="14" t="n">
        <x:v>5</x:v>
      </x:c>
      <x:c r="G241" s="14" t="n">
        <x:v>29</x:v>
      </x:c>
      <x:c r="H241" s="14" t="n">
        <x:v>8</x:v>
      </x:c>
      <x:c r="I241" s="14" t="n">
        <x:v>3</x:v>
      </x:c>
      <x:c r="J241" s="14" t="n">
        <x:v>4</x:v>
      </x:c>
      <x:c r="K241" s="14" t="n">
        <x:v>5</x:v>
      </x:c>
      <x:c r="L241" s="14" t="n">
        <x:v>41</x:v>
      </x:c>
      <x:c r="M241" s="14" t="n">
        <x:v>10</x:v>
      </x:c>
      <x:c r="N241" s="15" t="n">
        <x:f>IF(E241=0,"해당 없음",F241/E241)</x:f>
        <x:v>0.047619047619047616</x:v>
      </x:c>
      <x:c r="O241" s="15" t="n">
        <x:f>IF(E241=0,"해당 없음",G241/E241)</x:f>
        <x:v>0.2761904761904762</x:v>
      </x:c>
      <x:c r="P241" s="15" t="n">
        <x:f>IF(E241=0,"해당 없음",H241/E241)</x:f>
        <x:v>0.0761904761904762</x:v>
      </x:c>
      <x:c r="Q241" s="15" t="n">
        <x:f>IF(E241=0,"해당 없음",I241/E241)</x:f>
        <x:v>0.02857142857142857</x:v>
      </x:c>
      <x:c r="R241" s="15" t="n">
        <x:f>IF(E241=0,"해당 없음",J241/E241)</x:f>
        <x:v>0.0380952380952381</x:v>
      </x:c>
      <x:c r="S241" s="15" t="n">
        <x:f>IF(E241=0,"해당 없음",K241/E241)</x:f>
        <x:v>0.047619047619047616</x:v>
      </x:c>
      <x:c r="T241" s="15" t="n">
        <x:f>IF(E241=0,"해당 없음",L241/E241)</x:f>
        <x:v>0.3904761904761905</x:v>
      </x:c>
      <x:c r="U241" s="15" t="n">
        <x:f>IF(E241=0,"해당 없음",M241/E241)</x:f>
        <x:v>0.09523809523809523</x:v>
      </x:c>
      <x:c r="V241" s="16" t="n">
        <x:f>E241/5</x:f>
        <x:v>21</x:v>
      </x:c>
    </x:row>
    <x:row r="242" ht="22" customHeight="1">
      <x:c r="A242" s="2" t="n">
        <x:v>119</x:v>
      </x:c>
      <x:c r="B242" s="2" t="str">
        <x:v>RED</x:v>
      </x:c>
      <x:c r="C242" s="2" t="str">
        <x:v>80만</x:v>
      </x:c>
      <x:c r="D242" s="2" t="str">
        <x:v>규칙형</x:v>
      </x:c>
      <x:c r="E242" s="14" t="n">
        <x:f>SUM(F242:M242)</x:f>
        <x:v>103</x:v>
      </x:c>
      <x:c r="F242" s="14" t="n">
        <x:v>4</x:v>
      </x:c>
      <x:c r="G242" s="14" t="n">
        <x:v>22</x:v>
      </x:c>
      <x:c r="H242" s="14" t="n">
        <x:v>10</x:v>
      </x:c>
      <x:c r="I242" s="14" t="n">
        <x:v>10</x:v>
      </x:c>
      <x:c r="J242" s="14" t="n">
        <x:v>2</x:v>
      </x:c>
      <x:c r="K242" s="14" t="n">
        <x:v>5</x:v>
      </x:c>
      <x:c r="L242" s="14" t="n">
        <x:v>40</x:v>
      </x:c>
      <x:c r="M242" s="14" t="n">
        <x:v>10</x:v>
      </x:c>
      <x:c r="N242" s="15" t="n">
        <x:f>IF(E242=0,"해당 없음",F242/E242)</x:f>
        <x:v>0.038834951456310676</x:v>
      </x:c>
      <x:c r="O242" s="15" t="n">
        <x:f>IF(E242=0,"해당 없음",G242/E242)</x:f>
        <x:v>0.21359223300970873</x:v>
      </x:c>
      <x:c r="P242" s="15" t="n">
        <x:f>IF(E242=0,"해당 없음",H242/E242)</x:f>
        <x:v>0.0970873786407767</x:v>
      </x:c>
      <x:c r="Q242" s="15" t="n">
        <x:f>IF(E242=0,"해당 없음",I242/E242)</x:f>
        <x:v>0.0970873786407767</x:v>
      </x:c>
      <x:c r="R242" s="15" t="n">
        <x:f>IF(E242=0,"해당 없음",J242/E242)</x:f>
        <x:v>0.019417475728155338</x:v>
      </x:c>
      <x:c r="S242" s="15" t="n">
        <x:f>IF(E242=0,"해당 없음",K242/E242)</x:f>
        <x:v>0.04854368932038835</x:v>
      </x:c>
      <x:c r="T242" s="15" t="n">
        <x:f>IF(E242=0,"해당 없음",L242/E242)</x:f>
        <x:v>0.3883495145631068</x:v>
      </x:c>
      <x:c r="U242" s="15" t="n">
        <x:f>IF(E242=0,"해당 없음",M242/E242)</x:f>
        <x:v>0.0970873786407767</x:v>
      </x:c>
      <x:c r="V242" s="16" t="n">
        <x:f>E242/5</x:f>
        <x:v>20.6</x:v>
      </x:c>
    </x:row>
    <x:row r="243" ht="22" customHeight="1">
      <x:c r="A243" s="2" t="n">
        <x:v>119</x:v>
      </x:c>
      <x:c r="B243" s="2" t="str">
        <x:v>NAVY</x:v>
      </x:c>
      <x:c r="C243" s="2" t="str">
        <x:v>규칙형</x:v>
      </x:c>
      <x:c r="D243" s="2" t="str">
        <x:v>80만</x:v>
      </x:c>
      <x:c r="E243" s="14" t="n">
        <x:f>SUM(F243:M243)</x:f>
        <x:v>105</x:v>
      </x:c>
      <x:c r="F243" s="14" t="n">
        <x:v>35</x:v>
      </x:c>
      <x:c r="G243" s="14" t="n">
        <x:v>6</x:v>
      </x:c>
      <x:c r="H243" s="14" t="n">
        <x:v>9</x:v>
      </x:c>
      <x:c r="I243" s="14" t="n">
        <x:v>26</x:v>
      </x:c>
      <x:c r="J243" s="14" t="n">
        <x:v>8</x:v>
      </x:c>
      <x:c r="K243" s="14" t="n">
        <x:v>3</x:v>
      </x:c>
      <x:c r="L243" s="14" t="n">
        <x:v>11</x:v>
      </x:c>
      <x:c r="M243" s="14" t="n">
        <x:v>7</x:v>
      </x:c>
      <x:c r="N243" s="15" t="n">
        <x:f>IF(E243=0,"해당 없음",F243/E243)</x:f>
        <x:v>0.3333333333333333</x:v>
      </x:c>
      <x:c r="O243" s="15" t="n">
        <x:f>IF(E243=0,"해당 없음",G243/E243)</x:f>
        <x:v>0.05714285714285714</x:v>
      </x:c>
      <x:c r="P243" s="15" t="n">
        <x:f>IF(E243=0,"해당 없음",H243/E243)</x:f>
        <x:v>0.08571428571428572</x:v>
      </x:c>
      <x:c r="Q243" s="15" t="n">
        <x:f>IF(E243=0,"해당 없음",I243/E243)</x:f>
        <x:v>0.24761904761904763</x:v>
      </x:c>
      <x:c r="R243" s="15" t="n">
        <x:f>IF(E243=0,"해당 없음",J243/E243)</x:f>
        <x:v>0.0761904761904762</x:v>
      </x:c>
      <x:c r="S243" s="15" t="n">
        <x:f>IF(E243=0,"해당 없음",K243/E243)</x:f>
        <x:v>0.02857142857142857</x:v>
      </x:c>
      <x:c r="T243" s="15" t="n">
        <x:f>IF(E243=0,"해당 없음",L243/E243)</x:f>
        <x:v>0.10476190476190476</x:v>
      </x:c>
      <x:c r="U243" s="15" t="n">
        <x:f>IF(E243=0,"해당 없음",M243/E243)</x:f>
        <x:v>0.06666666666666667</x:v>
      </x:c>
      <x:c r="V243" s="16" t="n">
        <x:f>E243/5</x:f>
        <x:v>21</x:v>
      </x:c>
    </x:row>
    <x:row r="244" ht="22" customHeight="1">
      <x:c r="A244" s="2" t="n">
        <x:v>120</x:v>
      </x:c>
      <x:c r="B244" s="2" t="str">
        <x:v>RED</x:v>
      </x:c>
      <x:c r="C244" s="2" t="str">
        <x:v>규칙형</x:v>
      </x:c>
      <x:c r="D244" s="2" t="str">
        <x:v>80만</x:v>
      </x:c>
      <x:c r="E244" s="14" t="n">
        <x:f>SUM(F244:M244)</x:f>
        <x:v>103</x:v>
      </x:c>
      <x:c r="F244" s="14" t="n">
        <x:v>32</x:v>
      </x:c>
      <x:c r="G244" s="14" t="n">
        <x:v>2</x:v>
      </x:c>
      <x:c r="H244" s="14" t="n">
        <x:v>7</x:v>
      </x:c>
      <x:c r="I244" s="14" t="n">
        <x:v>7</x:v>
      </x:c>
      <x:c r="J244" s="14" t="n">
        <x:v>11</x:v>
      </x:c>
      <x:c r="K244" s="14" t="n">
        <x:v>8</x:v>
      </x:c>
      <x:c r="L244" s="14" t="n">
        <x:v>27</x:v>
      </x:c>
      <x:c r="M244" s="14" t="n">
        <x:v>9</x:v>
      </x:c>
      <x:c r="N244" s="15" t="n">
        <x:f>IF(E244=0,"해당 없음",F244/E244)</x:f>
        <x:v>0.3106796116504854</x:v>
      </x:c>
      <x:c r="O244" s="15" t="n">
        <x:f>IF(E244=0,"해당 없음",G244/E244)</x:f>
        <x:v>0.019417475728155338</x:v>
      </x:c>
      <x:c r="P244" s="15" t="n">
        <x:f>IF(E244=0,"해당 없음",H244/E244)</x:f>
        <x:v>0.06796116504854369</x:v>
      </x:c>
      <x:c r="Q244" s="15" t="n">
        <x:f>IF(E244=0,"해당 없음",I244/E244)</x:f>
        <x:v>0.06796116504854369</x:v>
      </x:c>
      <x:c r="R244" s="15" t="n">
        <x:f>IF(E244=0,"해당 없음",J244/E244)</x:f>
        <x:v>0.10679611650485436</x:v>
      </x:c>
      <x:c r="S244" s="15" t="n">
        <x:f>IF(E244=0,"해당 없음",K244/E244)</x:f>
        <x:v>0.07766990291262135</x:v>
      </x:c>
      <x:c r="T244" s="15" t="n">
        <x:f>IF(E244=0,"해당 없음",L244/E244)</x:f>
        <x:v>0.2621359223300971</x:v>
      </x:c>
      <x:c r="U244" s="15" t="n">
        <x:f>IF(E244=0,"해당 없음",M244/E244)</x:f>
        <x:v>0.08737864077669903</x:v>
      </x:c>
      <x:c r="V244" s="16" t="n">
        <x:f>E244/5</x:f>
        <x:v>20.6</x:v>
      </x:c>
    </x:row>
    <x:row r="245" ht="22" customHeight="1">
      <x:c r="A245" s="2" t="n">
        <x:v>120</x:v>
      </x:c>
      <x:c r="B245" s="2" t="str">
        <x:v>NAVY</x:v>
      </x:c>
      <x:c r="C245" s="2" t="str">
        <x:v>80만</x:v>
      </x:c>
      <x:c r="D245" s="2" t="str">
        <x:v>규칙형</x:v>
      </x:c>
      <x:c r="E245" s="14" t="n">
        <x:f>SUM(F245:M245)</x:f>
        <x:v>103</x:v>
      </x:c>
      <x:c r="F245" s="14" t="n">
        <x:v>6</x:v>
      </x:c>
      <x:c r="G245" s="14" t="n">
        <x:v>22</x:v>
      </x:c>
      <x:c r="H245" s="14" t="n">
        <x:v>9</x:v>
      </x:c>
      <x:c r="I245" s="14" t="n">
        <x:v>10</x:v>
      </x:c>
      <x:c r="J245" s="14" t="n">
        <x:v>0</x:v>
      </x:c>
      <x:c r="K245" s="14" t="n">
        <x:v>7</x:v>
      </x:c>
      <x:c r="L245" s="14" t="n">
        <x:v>39</x:v>
      </x:c>
      <x:c r="M245" s="14" t="n">
        <x:v>10</x:v>
      </x:c>
      <x:c r="N245" s="15" t="n">
        <x:f>IF(E245=0,"해당 없음",F245/E245)</x:f>
        <x:v>0.05825242718446602</x:v>
      </x:c>
      <x:c r="O245" s="15" t="n">
        <x:f>IF(E245=0,"해당 없음",G245/E245)</x:f>
        <x:v>0.21359223300970873</x:v>
      </x:c>
      <x:c r="P245" s="15" t="n">
        <x:f>IF(E245=0,"해당 없음",H245/E245)</x:f>
        <x:v>0.08737864077669903</x:v>
      </x:c>
      <x:c r="Q245" s="15" t="n">
        <x:f>IF(E245=0,"해당 없음",I245/E245)</x:f>
        <x:v>0.0970873786407767</x:v>
      </x:c>
      <x:c r="R245" s="15" t="n">
        <x:f>IF(E245=0,"해당 없음",J245/E245)</x:f>
        <x:v>0</x:v>
      </x:c>
      <x:c r="S245" s="15" t="n">
        <x:f>IF(E245=0,"해당 없음",K245/E245)</x:f>
        <x:v>0.06796116504854369</x:v>
      </x:c>
      <x:c r="T245" s="15" t="n">
        <x:f>IF(E245=0,"해당 없음",L245/E245)</x:f>
        <x:v>0.3786407766990291</x:v>
      </x:c>
      <x:c r="U245" s="15" t="n">
        <x:f>IF(E245=0,"해당 없음",M245/E245)</x:f>
        <x:v>0.0970873786407767</x:v>
      </x:c>
      <x:c r="V245" s="16" t="n">
        <x:f>E245/5</x:f>
        <x:v>20.6</x:v>
      </x:c>
    </x:row>
    <x:row r="246" ht="22" customHeight="1">
      <x:c r="A246" s="2" t="n">
        <x:v>121</x:v>
      </x:c>
      <x:c r="B246" s="2" t="str">
        <x:v>RED</x:v>
      </x:c>
      <x:c r="C246" s="2" t="str">
        <x:v>120만</x:v>
      </x:c>
      <x:c r="D246" s="2" t="str">
        <x:v>규칙형</x:v>
      </x:c>
      <x:c r="E246" s="14" t="n">
        <x:f>SUM(F246:M246)</x:f>
        <x:v>103</x:v>
      </x:c>
      <x:c r="F246" s="14" t="n">
        <x:v>1</x:v>
      </x:c>
      <x:c r="G246" s="14" t="n">
        <x:v>12</x:v>
      </x:c>
      <x:c r="H246" s="14" t="n">
        <x:v>8</x:v>
      </x:c>
      <x:c r="I246" s="14" t="n">
        <x:v>10</x:v>
      </x:c>
      <x:c r="J246" s="14" t="n">
        <x:v>5</x:v>
      </x:c>
      <x:c r="K246" s="14" t="n">
        <x:v>10</x:v>
      </x:c>
      <x:c r="L246" s="14" t="n">
        <x:v>45</x:v>
      </x:c>
      <x:c r="M246" s="14" t="n">
        <x:v>12</x:v>
      </x:c>
      <x:c r="N246" s="15" t="n">
        <x:f>IF(E246=0,"해당 없음",F246/E246)</x:f>
        <x:v>0.009708737864077669</x:v>
      </x:c>
      <x:c r="O246" s="15" t="n">
        <x:f>IF(E246=0,"해당 없음",G246/E246)</x:f>
        <x:v>0.11650485436893204</x:v>
      </x:c>
      <x:c r="P246" s="15" t="n">
        <x:f>IF(E246=0,"해당 없음",H246/E246)</x:f>
        <x:v>0.07766990291262135</x:v>
      </x:c>
      <x:c r="Q246" s="15" t="n">
        <x:f>IF(E246=0,"해당 없음",I246/E246)</x:f>
        <x:v>0.0970873786407767</x:v>
      </x:c>
      <x:c r="R246" s="15" t="n">
        <x:f>IF(E246=0,"해당 없음",J246/E246)</x:f>
        <x:v>0.04854368932038835</x:v>
      </x:c>
      <x:c r="S246" s="15" t="n">
        <x:f>IF(E246=0,"해당 없음",K246/E246)</x:f>
        <x:v>0.0970873786407767</x:v>
      </x:c>
      <x:c r="T246" s="15" t="n">
        <x:f>IF(E246=0,"해당 없음",L246/E246)</x:f>
        <x:v>0.4368932038834951</x:v>
      </x:c>
      <x:c r="U246" s="15" t="n">
        <x:f>IF(E246=0,"해당 없음",M246/E246)</x:f>
        <x:v>0.11650485436893204</x:v>
      </x:c>
      <x:c r="V246" s="16" t="n">
        <x:f>E246/5</x:f>
        <x:v>20.6</x:v>
      </x:c>
    </x:row>
    <x:row r="247" ht="22" customHeight="1">
      <x:c r="A247" s="2" t="n">
        <x:v>121</x:v>
      </x:c>
      <x:c r="B247" s="2" t="str">
        <x:v>NAVY</x:v>
      </x:c>
      <x:c r="C247" s="2" t="str">
        <x:v>규칙형</x:v>
      </x:c>
      <x:c r="D247" s="2" t="str">
        <x:v>120만</x:v>
      </x:c>
      <x:c r="E247" s="14" t="n">
        <x:f>SUM(F247:M247)</x:f>
        <x:v>103</x:v>
      </x:c>
      <x:c r="F247" s="14" t="n">
        <x:v>34</x:v>
      </x:c>
      <x:c r="G247" s="14" t="n">
        <x:v>4</x:v>
      </x:c>
      <x:c r="H247" s="14" t="n">
        <x:v>16</x:v>
      </x:c>
      <x:c r="I247" s="14" t="n">
        <x:v>11</x:v>
      </x:c>
      <x:c r="J247" s="14" t="n">
        <x:v>8</x:v>
      </x:c>
      <x:c r="K247" s="14" t="n">
        <x:v>1</x:v>
      </x:c>
      <x:c r="L247" s="14" t="n">
        <x:v>25</x:v>
      </x:c>
      <x:c r="M247" s="14" t="n">
        <x:v>4</x:v>
      </x:c>
      <x:c r="N247" s="15" t="n">
        <x:f>IF(E247=0,"해당 없음",F247/E247)</x:f>
        <x:v>0.3300970873786408</x:v>
      </x:c>
      <x:c r="O247" s="15" t="n">
        <x:f>IF(E247=0,"해당 없음",G247/E247)</x:f>
        <x:v>0.038834951456310676</x:v>
      </x:c>
      <x:c r="P247" s="15" t="n">
        <x:f>IF(E247=0,"해당 없음",H247/E247)</x:f>
        <x:v>0.1553398058252427</x:v>
      </x:c>
      <x:c r="Q247" s="15" t="n">
        <x:f>IF(E247=0,"해당 없음",I247/E247)</x:f>
        <x:v>0.10679611650485436</x:v>
      </x:c>
      <x:c r="R247" s="15" t="n">
        <x:f>IF(E247=0,"해당 없음",J247/E247)</x:f>
        <x:v>0.07766990291262135</x:v>
      </x:c>
      <x:c r="S247" s="15" t="n">
        <x:f>IF(E247=0,"해당 없음",K247/E247)</x:f>
        <x:v>0.009708737864077669</x:v>
      </x:c>
      <x:c r="T247" s="15" t="n">
        <x:f>IF(E247=0,"해당 없음",L247/E247)</x:f>
        <x:v>0.24271844660194175</x:v>
      </x:c>
      <x:c r="U247" s="15" t="n">
        <x:f>IF(E247=0,"해당 없음",M247/E247)</x:f>
        <x:v>0.038834951456310676</x:v>
      </x:c>
      <x:c r="V247" s="16" t="n">
        <x:f>E247/5</x:f>
        <x:v>20.6</x:v>
      </x:c>
    </x:row>
    <x:row r="248" ht="22" customHeight="1">
      <x:c r="A248" s="2" t="n">
        <x:v>122</x:v>
      </x:c>
      <x:c r="B248" s="2" t="str">
        <x:v>RED</x:v>
      </x:c>
      <x:c r="C248" s="2" t="str">
        <x:v>규칙형</x:v>
      </x:c>
      <x:c r="D248" s="2" t="str">
        <x:v>120만</x:v>
      </x:c>
      <x:c r="E248" s="14" t="n">
        <x:f>SUM(F248:M248)</x:f>
        <x:v>106</x:v>
      </x:c>
      <x:c r="F248" s="14" t="n">
        <x:v>43</x:v>
      </x:c>
      <x:c r="G248" s="14" t="n">
        <x:v>4</x:v>
      </x:c>
      <x:c r="H248" s="14" t="n">
        <x:v>6</x:v>
      </x:c>
      <x:c r="I248" s="14" t="n">
        <x:v>15</x:v>
      </x:c>
      <x:c r="J248" s="14" t="n">
        <x:v>7</x:v>
      </x:c>
      <x:c r="K248" s="14" t="n">
        <x:v>7</x:v>
      </x:c>
      <x:c r="L248" s="14" t="n">
        <x:v>15</x:v>
      </x:c>
      <x:c r="M248" s="14" t="n">
        <x:v>9</x:v>
      </x:c>
      <x:c r="N248" s="15" t="n">
        <x:f>IF(E248=0,"해당 없음",F248/E248)</x:f>
        <x:v>0.4056603773584906</x:v>
      </x:c>
      <x:c r="O248" s="15" t="n">
        <x:f>IF(E248=0,"해당 없음",G248/E248)</x:f>
        <x:v>0.03773584905660377</x:v>
      </x:c>
      <x:c r="P248" s="15" t="n">
        <x:f>IF(E248=0,"해당 없음",H248/E248)</x:f>
        <x:v>0.05660377358490566</x:v>
      </x:c>
      <x:c r="Q248" s="15" t="n">
        <x:f>IF(E248=0,"해당 없음",I248/E248)</x:f>
        <x:v>0.14150943396226415</x:v>
      </x:c>
      <x:c r="R248" s="15" t="n">
        <x:f>IF(E248=0,"해당 없음",J248/E248)</x:f>
        <x:v>0.0660377358490566</x:v>
      </x:c>
      <x:c r="S248" s="15" t="n">
        <x:f>IF(E248=0,"해당 없음",K248/E248)</x:f>
        <x:v>0.0660377358490566</x:v>
      </x:c>
      <x:c r="T248" s="15" t="n">
        <x:f>IF(E248=0,"해당 없음",L248/E248)</x:f>
        <x:v>0.14150943396226415</x:v>
      </x:c>
      <x:c r="U248" s="15" t="n">
        <x:f>IF(E248=0,"해당 없음",M248/E248)</x:f>
        <x:v>0.08490566037735849</x:v>
      </x:c>
      <x:c r="V248" s="16" t="n">
        <x:f>E248/5</x:f>
        <x:v>21.2</x:v>
      </x:c>
    </x:row>
    <x:row r="249" ht="22" customHeight="1">
      <x:c r="A249" s="2" t="n">
        <x:v>122</x:v>
      </x:c>
      <x:c r="B249" s="2" t="str">
        <x:v>NAVY</x:v>
      </x:c>
      <x:c r="C249" s="2" t="str">
        <x:v>120만</x:v>
      </x:c>
      <x:c r="D249" s="2" t="str">
        <x:v>규칙형</x:v>
      </x:c>
      <x:c r="E249" s="14" t="n">
        <x:f>SUM(F249:M249)</x:f>
        <x:v>105</x:v>
      </x:c>
      <x:c r="F249" s="14" t="n">
        <x:v>2</x:v>
      </x:c>
      <x:c r="G249" s="14" t="n">
        <x:v>13</x:v>
      </x:c>
      <x:c r="H249" s="14" t="n">
        <x:v>10</x:v>
      </x:c>
      <x:c r="I249" s="14" t="n">
        <x:v>6</x:v>
      </x:c>
      <x:c r="J249" s="14" t="n">
        <x:v>3</x:v>
      </x:c>
      <x:c r="K249" s="14" t="n">
        <x:v>4</x:v>
      </x:c>
      <x:c r="L249" s="14" t="n">
        <x:v>40</x:v>
      </x:c>
      <x:c r="M249" s="14" t="n">
        <x:v>27</x:v>
      </x:c>
      <x:c r="N249" s="15" t="n">
        <x:f>IF(E249=0,"해당 없음",F249/E249)</x:f>
        <x:v>0.01904761904761905</x:v>
      </x:c>
      <x:c r="O249" s="15" t="n">
        <x:f>IF(E249=0,"해당 없음",G249/E249)</x:f>
        <x:v>0.12380952380952381</x:v>
      </x:c>
      <x:c r="P249" s="15" t="n">
        <x:f>IF(E249=0,"해당 없음",H249/E249)</x:f>
        <x:v>0.09523809523809523</x:v>
      </x:c>
      <x:c r="Q249" s="15" t="n">
        <x:f>IF(E249=0,"해당 없음",I249/E249)</x:f>
        <x:v>0.05714285714285714</x:v>
      </x:c>
      <x:c r="R249" s="15" t="n">
        <x:f>IF(E249=0,"해당 없음",J249/E249)</x:f>
        <x:v>0.02857142857142857</x:v>
      </x:c>
      <x:c r="S249" s="15" t="n">
        <x:f>IF(E249=0,"해당 없음",K249/E249)</x:f>
        <x:v>0.0380952380952381</x:v>
      </x:c>
      <x:c r="T249" s="15" t="n">
        <x:f>IF(E249=0,"해당 없음",L249/E249)</x:f>
        <x:v>0.38095238095238093</x:v>
      </x:c>
      <x:c r="U249" s="15" t="n">
        <x:f>IF(E249=0,"해당 없음",M249/E249)</x:f>
        <x:v>0.2571428571428571</x:v>
      </x:c>
      <x:c r="V249" s="16" t="n">
        <x:f>E249/5</x:f>
        <x:v>21</x:v>
      </x:c>
    </x:row>
    <x:row r="250" ht="22" customHeight="1">
      <x:c r="A250" s="2" t="n">
        <x:v>123</x:v>
      </x:c>
      <x:c r="B250" s="2" t="str">
        <x:v>RED</x:v>
      </x:c>
      <x:c r="C250" s="2" t="str">
        <x:v>120만</x:v>
      </x:c>
      <x:c r="D250" s="2" t="str">
        <x:v>규칙형</x:v>
      </x:c>
      <x:c r="E250" s="14" t="n">
        <x:f>SUM(F250:M250)</x:f>
        <x:v>105</x:v>
      </x:c>
      <x:c r="F250" s="14" t="n">
        <x:v>0</x:v>
      </x:c>
      <x:c r="G250" s="14" t="n">
        <x:v>16</x:v>
      </x:c>
      <x:c r="H250" s="14" t="n">
        <x:v>11</x:v>
      </x:c>
      <x:c r="I250" s="14" t="n">
        <x:v>3</x:v>
      </x:c>
      <x:c r="J250" s="14" t="n">
        <x:v>2</x:v>
      </x:c>
      <x:c r="K250" s="14" t="n">
        <x:v>15</x:v>
      </x:c>
      <x:c r="L250" s="14" t="n">
        <x:v>37</x:v>
      </x:c>
      <x:c r="M250" s="14" t="n">
        <x:v>21</x:v>
      </x:c>
      <x:c r="N250" s="15" t="n">
        <x:f>IF(E250=0,"해당 없음",F250/E250)</x:f>
        <x:v>0</x:v>
      </x:c>
      <x:c r="O250" s="15" t="n">
        <x:f>IF(E250=0,"해당 없음",G250/E250)</x:f>
        <x:v>0.1523809523809524</x:v>
      </x:c>
      <x:c r="P250" s="15" t="n">
        <x:f>IF(E250=0,"해당 없음",H250/E250)</x:f>
        <x:v>0.10476190476190476</x:v>
      </x:c>
      <x:c r="Q250" s="15" t="n">
        <x:f>IF(E250=0,"해당 없음",I250/E250)</x:f>
        <x:v>0.02857142857142857</x:v>
      </x:c>
      <x:c r="R250" s="15" t="n">
        <x:f>IF(E250=0,"해당 없음",J250/E250)</x:f>
        <x:v>0.01904761904761905</x:v>
      </x:c>
      <x:c r="S250" s="15" t="n">
        <x:f>IF(E250=0,"해당 없음",K250/E250)</x:f>
        <x:v>0.14285714285714285</x:v>
      </x:c>
      <x:c r="T250" s="15" t="n">
        <x:f>IF(E250=0,"해당 없음",L250/E250)</x:f>
        <x:v>0.3523809523809524</x:v>
      </x:c>
      <x:c r="U250" s="15" t="n">
        <x:f>IF(E250=0,"해당 없음",M250/E250)</x:f>
        <x:v>0.2</x:v>
      </x:c>
      <x:c r="V250" s="16" t="n">
        <x:f>E250/5</x:f>
        <x:v>21</x:v>
      </x:c>
    </x:row>
    <x:row r="251" ht="22" customHeight="1">
      <x:c r="A251" s="2" t="n">
        <x:v>123</x:v>
      </x:c>
      <x:c r="B251" s="2" t="str">
        <x:v>NAVY</x:v>
      </x:c>
      <x:c r="C251" s="2" t="str">
        <x:v>규칙형</x:v>
      </x:c>
      <x:c r="D251" s="2" t="str">
        <x:v>120만</x:v>
      </x:c>
      <x:c r="E251" s="14" t="n">
        <x:f>SUM(F251:M251)</x:f>
        <x:v>104</x:v>
      </x:c>
      <x:c r="F251" s="14" t="n">
        <x:v>40</x:v>
      </x:c>
      <x:c r="G251" s="14" t="n">
        <x:v>6</x:v>
      </x:c>
      <x:c r="H251" s="14" t="n">
        <x:v>9</x:v>
      </x:c>
      <x:c r="I251" s="14" t="n">
        <x:v>9</x:v>
      </x:c>
      <x:c r="J251" s="14" t="n">
        <x:v>8</x:v>
      </x:c>
      <x:c r="K251" s="14" t="n">
        <x:v>5</x:v>
      </x:c>
      <x:c r="L251" s="14" t="n">
        <x:v>20</x:v>
      </x:c>
      <x:c r="M251" s="14" t="n">
        <x:v>7</x:v>
      </x:c>
      <x:c r="N251" s="15" t="n">
        <x:f>IF(E251=0,"해당 없음",F251/E251)</x:f>
        <x:v>0.38461538461538464</x:v>
      </x:c>
      <x:c r="O251" s="15" t="n">
        <x:f>IF(E251=0,"해당 없음",G251/E251)</x:f>
        <x:v>0.057692307692307696</x:v>
      </x:c>
      <x:c r="P251" s="15" t="n">
        <x:f>IF(E251=0,"해당 없음",H251/E251)</x:f>
        <x:v>0.08653846153846154</x:v>
      </x:c>
      <x:c r="Q251" s="15" t="n">
        <x:f>IF(E251=0,"해당 없음",I251/E251)</x:f>
        <x:v>0.08653846153846154</x:v>
      </x:c>
      <x:c r="R251" s="15" t="n">
        <x:f>IF(E251=0,"해당 없음",J251/E251)</x:f>
        <x:v>0.07692307692307693</x:v>
      </x:c>
      <x:c r="S251" s="15" t="n">
        <x:f>IF(E251=0,"해당 없음",K251/E251)</x:f>
        <x:v>0.04807692307692308</x:v>
      </x:c>
      <x:c r="T251" s="15" t="n">
        <x:f>IF(E251=0,"해당 없음",L251/E251)</x:f>
        <x:v>0.19230769230769232</x:v>
      </x:c>
      <x:c r="U251" s="15" t="n">
        <x:f>IF(E251=0,"해당 없음",M251/E251)</x:f>
        <x:v>0.0673076923076923</x:v>
      </x:c>
      <x:c r="V251" s="16" t="n">
        <x:f>E251/5</x:f>
        <x:v>20.8</x:v>
      </x:c>
    </x:row>
    <x:row r="252" ht="22" customHeight="1">
      <x:c r="A252" s="2" t="n">
        <x:v>124</x:v>
      </x:c>
      <x:c r="B252" s="2" t="str">
        <x:v>RED</x:v>
      </x:c>
      <x:c r="C252" s="2" t="str">
        <x:v>규칙형</x:v>
      </x:c>
      <x:c r="D252" s="2" t="str">
        <x:v>120만</x:v>
      </x:c>
      <x:c r="E252" s="14" t="n">
        <x:f>SUM(F252:M252)</x:f>
        <x:v>105</x:v>
      </x:c>
      <x:c r="F252" s="14" t="n">
        <x:v>30</x:v>
      </x:c>
      <x:c r="G252" s="14" t="n">
        <x:v>2</x:v>
      </x:c>
      <x:c r="H252" s="14" t="n">
        <x:v>7</x:v>
      </x:c>
      <x:c r="I252" s="14" t="n">
        <x:v>14</x:v>
      </x:c>
      <x:c r="J252" s="14" t="n">
        <x:v>11</x:v>
      </x:c>
      <x:c r="K252" s="14" t="n">
        <x:v>7</x:v>
      </x:c>
      <x:c r="L252" s="14" t="n">
        <x:v>27</x:v>
      </x:c>
      <x:c r="M252" s="14" t="n">
        <x:v>7</x:v>
      </x:c>
      <x:c r="N252" s="15" t="n">
        <x:f>IF(E252=0,"해당 없음",F252/E252)</x:f>
        <x:v>0.2857142857142857</x:v>
      </x:c>
      <x:c r="O252" s="15" t="n">
        <x:f>IF(E252=0,"해당 없음",G252/E252)</x:f>
        <x:v>0.01904761904761905</x:v>
      </x:c>
      <x:c r="P252" s="15" t="n">
        <x:f>IF(E252=0,"해당 없음",H252/E252)</x:f>
        <x:v>0.06666666666666667</x:v>
      </x:c>
      <x:c r="Q252" s="15" t="n">
        <x:f>IF(E252=0,"해당 없음",I252/E252)</x:f>
        <x:v>0.13333333333333333</x:v>
      </x:c>
      <x:c r="R252" s="15" t="n">
        <x:f>IF(E252=0,"해당 없음",J252/E252)</x:f>
        <x:v>0.10476190476190476</x:v>
      </x:c>
      <x:c r="S252" s="15" t="n">
        <x:f>IF(E252=0,"해당 없음",K252/E252)</x:f>
        <x:v>0.06666666666666667</x:v>
      </x:c>
      <x:c r="T252" s="15" t="n">
        <x:f>IF(E252=0,"해당 없음",L252/E252)</x:f>
        <x:v>0.2571428571428571</x:v>
      </x:c>
      <x:c r="U252" s="15" t="n">
        <x:f>IF(E252=0,"해당 없음",M252/E252)</x:f>
        <x:v>0.06666666666666667</x:v>
      </x:c>
      <x:c r="V252" s="16" t="n">
        <x:f>E252/5</x:f>
        <x:v>21</x:v>
      </x:c>
    </x:row>
    <x:row r="253" ht="22" customHeight="1">
      <x:c r="A253" s="2" t="n">
        <x:v>124</x:v>
      </x:c>
      <x:c r="B253" s="2" t="str">
        <x:v>NAVY</x:v>
      </x:c>
      <x:c r="C253" s="2" t="str">
        <x:v>120만</x:v>
      </x:c>
      <x:c r="D253" s="2" t="str">
        <x:v>규칙형</x:v>
      </x:c>
      <x:c r="E253" s="14" t="n">
        <x:f>SUM(F253:M253)</x:f>
        <x:v>105</x:v>
      </x:c>
      <x:c r="F253" s="14" t="n">
        <x:v>0</x:v>
      </x:c>
      <x:c r="G253" s="14" t="n">
        <x:v>16</x:v>
      </x:c>
      <x:c r="H253" s="14" t="n">
        <x:v>9</x:v>
      </x:c>
      <x:c r="I253" s="14" t="n">
        <x:v>9</x:v>
      </x:c>
      <x:c r="J253" s="14" t="n">
        <x:v>3</x:v>
      </x:c>
      <x:c r="K253" s="14" t="n">
        <x:v>5</x:v>
      </x:c>
      <x:c r="L253" s="14" t="n">
        <x:v>45</x:v>
      </x:c>
      <x:c r="M253" s="14" t="n">
        <x:v>18</x:v>
      </x:c>
      <x:c r="N253" s="15" t="n">
        <x:f>IF(E253=0,"해당 없음",F253/E253)</x:f>
        <x:v>0</x:v>
      </x:c>
      <x:c r="O253" s="15" t="n">
        <x:f>IF(E253=0,"해당 없음",G253/E253)</x:f>
        <x:v>0.1523809523809524</x:v>
      </x:c>
      <x:c r="P253" s="15" t="n">
        <x:f>IF(E253=0,"해당 없음",H253/E253)</x:f>
        <x:v>0.08571428571428572</x:v>
      </x:c>
      <x:c r="Q253" s="15" t="n">
        <x:f>IF(E253=0,"해당 없음",I253/E253)</x:f>
        <x:v>0.08571428571428572</x:v>
      </x:c>
      <x:c r="R253" s="15" t="n">
        <x:f>IF(E253=0,"해당 없음",J253/E253)</x:f>
        <x:v>0.02857142857142857</x:v>
      </x:c>
      <x:c r="S253" s="15" t="n">
        <x:f>IF(E253=0,"해당 없음",K253/E253)</x:f>
        <x:v>0.047619047619047616</x:v>
      </x:c>
      <x:c r="T253" s="15" t="n">
        <x:f>IF(E253=0,"해당 없음",L253/E253)</x:f>
        <x:v>0.42857142857142855</x:v>
      </x:c>
      <x:c r="U253" s="15" t="n">
        <x:f>IF(E253=0,"해당 없음",M253/E253)</x:f>
        <x:v>0.17142857142857143</x:v>
      </x:c>
      <x:c r="V253" s="16" t="n">
        <x:f>E253/5</x:f>
        <x:v>21</x:v>
      </x:c>
    </x:row>
    <x:row r="254" ht="22" customHeight="1">
      <x:c r="A254" s="2" t="n">
        <x:v>125</x:v>
      </x:c>
      <x:c r="B254" s="2" t="str">
        <x:v>RED</x:v>
      </x:c>
      <x:c r="C254" s="2" t="str">
        <x:v>120만</x:v>
      </x:c>
      <x:c r="D254" s="2" t="str">
        <x:v>규칙형</x:v>
      </x:c>
      <x:c r="E254" s="14" t="n">
        <x:f>SUM(F254:M254)</x:f>
        <x:v>105</x:v>
      </x:c>
      <x:c r="F254" s="14" t="n">
        <x:v>1</x:v>
      </x:c>
      <x:c r="G254" s="14" t="n">
        <x:v>7</x:v>
      </x:c>
      <x:c r="H254" s="14" t="n">
        <x:v>3</x:v>
      </x:c>
      <x:c r="I254" s="14" t="n">
        <x:v>7</x:v>
      </x:c>
      <x:c r="J254" s="14" t="n">
        <x:v>1</x:v>
      </x:c>
      <x:c r="K254" s="14" t="n">
        <x:v>12</x:v>
      </x:c>
      <x:c r="L254" s="14" t="n">
        <x:v>42</x:v>
      </x:c>
      <x:c r="M254" s="14" t="n">
        <x:v>32</x:v>
      </x:c>
      <x:c r="N254" s="15" t="n">
        <x:f>IF(E254=0,"해당 없음",F254/E254)</x:f>
        <x:v>0.009523809523809525</x:v>
      </x:c>
      <x:c r="O254" s="15" t="n">
        <x:f>IF(E254=0,"해당 없음",G254/E254)</x:f>
        <x:v>0.06666666666666667</x:v>
      </x:c>
      <x:c r="P254" s="15" t="n">
        <x:f>IF(E254=0,"해당 없음",H254/E254)</x:f>
        <x:v>0.02857142857142857</x:v>
      </x:c>
      <x:c r="Q254" s="15" t="n">
        <x:f>IF(E254=0,"해당 없음",I254/E254)</x:f>
        <x:v>0.06666666666666667</x:v>
      </x:c>
      <x:c r="R254" s="15" t="n">
        <x:f>IF(E254=0,"해당 없음",J254/E254)</x:f>
        <x:v>0.009523809523809525</x:v>
      </x:c>
      <x:c r="S254" s="15" t="n">
        <x:f>IF(E254=0,"해당 없음",K254/E254)</x:f>
        <x:v>0.11428571428571428</x:v>
      </x:c>
      <x:c r="T254" s="15" t="n">
        <x:f>IF(E254=0,"해당 없음",L254/E254)</x:f>
        <x:v>0.4</x:v>
      </x:c>
      <x:c r="U254" s="15" t="n">
        <x:f>IF(E254=0,"해당 없음",M254/E254)</x:f>
        <x:v>0.3047619047619048</x:v>
      </x:c>
      <x:c r="V254" s="16" t="n">
        <x:f>E254/5</x:f>
        <x:v>21</x:v>
      </x:c>
    </x:row>
    <x:row r="255" ht="22" customHeight="1">
      <x:c r="A255" s="2" t="n">
        <x:v>125</x:v>
      </x:c>
      <x:c r="B255" s="2" t="str">
        <x:v>NAVY</x:v>
      </x:c>
      <x:c r="C255" s="2" t="str">
        <x:v>규칙형</x:v>
      </x:c>
      <x:c r="D255" s="2" t="str">
        <x:v>120만</x:v>
      </x:c>
      <x:c r="E255" s="14" t="n">
        <x:f>SUM(F255:M255)</x:f>
        <x:v>105</x:v>
      </x:c>
      <x:c r="F255" s="14" t="n">
        <x:v>31</x:v>
      </x:c>
      <x:c r="G255" s="14" t="n">
        <x:v>7</x:v>
      </x:c>
      <x:c r="H255" s="14" t="n">
        <x:v>11</x:v>
      </x:c>
      <x:c r="I255" s="14" t="n">
        <x:v>13</x:v>
      </x:c>
      <x:c r="J255" s="14" t="n">
        <x:v>7</x:v>
      </x:c>
      <x:c r="K255" s="14" t="n">
        <x:v>6</x:v>
      </x:c>
      <x:c r="L255" s="14" t="n">
        <x:v>27</x:v>
      </x:c>
      <x:c r="M255" s="14" t="n">
        <x:v>3</x:v>
      </x:c>
      <x:c r="N255" s="15" t="n">
        <x:f>IF(E255=0,"해당 없음",F255/E255)</x:f>
        <x:v>0.29523809523809524</x:v>
      </x:c>
      <x:c r="O255" s="15" t="n">
        <x:f>IF(E255=0,"해당 없음",G255/E255)</x:f>
        <x:v>0.06666666666666667</x:v>
      </x:c>
      <x:c r="P255" s="15" t="n">
        <x:f>IF(E255=0,"해당 없음",H255/E255)</x:f>
        <x:v>0.10476190476190476</x:v>
      </x:c>
      <x:c r="Q255" s="15" t="n">
        <x:f>IF(E255=0,"해당 없음",I255/E255)</x:f>
        <x:v>0.12380952380952381</x:v>
      </x:c>
      <x:c r="R255" s="15" t="n">
        <x:f>IF(E255=0,"해당 없음",J255/E255)</x:f>
        <x:v>0.06666666666666667</x:v>
      </x:c>
      <x:c r="S255" s="15" t="n">
        <x:f>IF(E255=0,"해당 없음",K255/E255)</x:f>
        <x:v>0.05714285714285714</x:v>
      </x:c>
      <x:c r="T255" s="15" t="n">
        <x:f>IF(E255=0,"해당 없음",L255/E255)</x:f>
        <x:v>0.2571428571428571</x:v>
      </x:c>
      <x:c r="U255" s="15" t="n">
        <x:f>IF(E255=0,"해당 없음",M255/E255)</x:f>
        <x:v>0.02857142857142857</x:v>
      </x:c>
      <x:c r="V255" s="16" t="n">
        <x:f>E255/5</x:f>
        <x:v>21</x:v>
      </x:c>
    </x:row>
    <x:row r="256" ht="22" customHeight="1">
      <x:c r="A256" s="2" t="n">
        <x:v>126</x:v>
      </x:c>
      <x:c r="B256" s="2" t="str">
        <x:v>RED</x:v>
      </x:c>
      <x:c r="C256" s="2" t="str">
        <x:v>규칙형</x:v>
      </x:c>
      <x:c r="D256" s="2" t="str">
        <x:v>120만</x:v>
      </x:c>
      <x:c r="E256" s="14" t="n">
        <x:f>SUM(F256:M256)</x:f>
        <x:v>103</x:v>
      </x:c>
      <x:c r="F256" s="14" t="n">
        <x:v>31</x:v>
      </x:c>
      <x:c r="G256" s="14" t="n">
        <x:v>2</x:v>
      </x:c>
      <x:c r="H256" s="14" t="n">
        <x:v>6</x:v>
      </x:c>
      <x:c r="I256" s="14" t="n">
        <x:v>18</x:v>
      </x:c>
      <x:c r="J256" s="14" t="n">
        <x:v>8</x:v>
      </x:c>
      <x:c r="K256" s="14" t="n">
        <x:v>5</x:v>
      </x:c>
      <x:c r="L256" s="14" t="n">
        <x:v>23</x:v>
      </x:c>
      <x:c r="M256" s="14" t="n">
        <x:v>10</x:v>
      </x:c>
      <x:c r="N256" s="15" t="n">
        <x:f>IF(E256=0,"해당 없음",F256/E256)</x:f>
        <x:v>0.30097087378640774</x:v>
      </x:c>
      <x:c r="O256" s="15" t="n">
        <x:f>IF(E256=0,"해당 없음",G256/E256)</x:f>
        <x:v>0.019417475728155338</x:v>
      </x:c>
      <x:c r="P256" s="15" t="n">
        <x:f>IF(E256=0,"해당 없음",H256/E256)</x:f>
        <x:v>0.05825242718446602</x:v>
      </x:c>
      <x:c r="Q256" s="15" t="n">
        <x:f>IF(E256=0,"해당 없음",I256/E256)</x:f>
        <x:v>0.17475728155339806</x:v>
      </x:c>
      <x:c r="R256" s="15" t="n">
        <x:f>IF(E256=0,"해당 없음",J256/E256)</x:f>
        <x:v>0.07766990291262135</x:v>
      </x:c>
      <x:c r="S256" s="15" t="n">
        <x:f>IF(E256=0,"해당 없음",K256/E256)</x:f>
        <x:v>0.04854368932038835</x:v>
      </x:c>
      <x:c r="T256" s="15" t="n">
        <x:f>IF(E256=0,"해당 없음",L256/E256)</x:f>
        <x:v>0.22330097087378642</x:v>
      </x:c>
      <x:c r="U256" s="15" t="n">
        <x:f>IF(E256=0,"해당 없음",M256/E256)</x:f>
        <x:v>0.0970873786407767</x:v>
      </x:c>
      <x:c r="V256" s="16" t="n">
        <x:f>E256/5</x:f>
        <x:v>20.6</x:v>
      </x:c>
    </x:row>
    <x:row r="257" ht="22" customHeight="1">
      <x:c r="A257" s="2" t="n">
        <x:v>126</x:v>
      </x:c>
      <x:c r="B257" s="2" t="str">
        <x:v>NAVY</x:v>
      </x:c>
      <x:c r="C257" s="2" t="str">
        <x:v>120만</x:v>
      </x:c>
      <x:c r="D257" s="2" t="str">
        <x:v>규칙형</x:v>
      </x:c>
      <x:c r="E257" s="14" t="n">
        <x:f>SUM(F257:M257)</x:f>
        <x:v>104</x:v>
      </x:c>
      <x:c r="F257" s="14" t="n">
        <x:v>2</x:v>
      </x:c>
      <x:c r="G257" s="14" t="n">
        <x:v>27</x:v>
      </x:c>
      <x:c r="H257" s="14" t="n">
        <x:v>7</x:v>
      </x:c>
      <x:c r="I257" s="14" t="n">
        <x:v>6</x:v>
      </x:c>
      <x:c r="J257" s="14" t="n">
        <x:v>4</x:v>
      </x:c>
      <x:c r="K257" s="14" t="n">
        <x:v>5</x:v>
      </x:c>
      <x:c r="L257" s="14" t="n">
        <x:v>37</x:v>
      </x:c>
      <x:c r="M257" s="14" t="n">
        <x:v>16</x:v>
      </x:c>
      <x:c r="N257" s="15" t="n">
        <x:f>IF(E257=0,"해당 없음",F257/E257)</x:f>
        <x:v>0.019230769230769232</x:v>
      </x:c>
      <x:c r="O257" s="15" t="n">
        <x:f>IF(E257=0,"해당 없음",G257/E257)</x:f>
        <x:v>0.25961538461538464</x:v>
      </x:c>
      <x:c r="P257" s="15" t="n">
        <x:f>IF(E257=0,"해당 없음",H257/E257)</x:f>
        <x:v>0.0673076923076923</x:v>
      </x:c>
      <x:c r="Q257" s="15" t="n">
        <x:f>IF(E257=0,"해당 없음",I257/E257)</x:f>
        <x:v>0.057692307692307696</x:v>
      </x:c>
      <x:c r="R257" s="15" t="n">
        <x:f>IF(E257=0,"해당 없음",J257/E257)</x:f>
        <x:v>0.038461538461538464</x:v>
      </x:c>
      <x:c r="S257" s="15" t="n">
        <x:f>IF(E257=0,"해당 없음",K257/E257)</x:f>
        <x:v>0.04807692307692308</x:v>
      </x:c>
      <x:c r="T257" s="15" t="n">
        <x:f>IF(E257=0,"해당 없음",L257/E257)</x:f>
        <x:v>0.3557692307692308</x:v>
      </x:c>
      <x:c r="U257" s="15" t="n">
        <x:f>IF(E257=0,"해당 없음",M257/E257)</x:f>
        <x:v>0.15384615384615385</x:v>
      </x:c>
      <x:c r="V257" s="16" t="n">
        <x:f>E257/5</x:f>
        <x:v>20.8</x:v>
      </x:c>
    </x:row>
    <x:row r="258" ht="22" customHeight="1">
      <x:c r="A258" s="2" t="n">
        <x:v>127</x:v>
      </x:c>
      <x:c r="B258" s="2" t="str">
        <x:v>RED</x:v>
      </x:c>
      <x:c r="C258" s="2" t="str">
        <x:v>120만</x:v>
      </x:c>
      <x:c r="D258" s="2" t="str">
        <x:v>규칙형</x:v>
      </x:c>
      <x:c r="E258" s="14" t="n">
        <x:f>SUM(F258:M258)</x:f>
        <x:v>103</x:v>
      </x:c>
      <x:c r="F258" s="14" t="n">
        <x:v>0</x:v>
      </x:c>
      <x:c r="G258" s="14" t="n">
        <x:v>13</x:v>
      </x:c>
      <x:c r="H258" s="14" t="n">
        <x:v>10</x:v>
      </x:c>
      <x:c r="I258" s="14" t="n">
        <x:v>5</x:v>
      </x:c>
      <x:c r="J258" s="14" t="n">
        <x:v>1</x:v>
      </x:c>
      <x:c r="K258" s="14" t="n">
        <x:v>9</x:v>
      </x:c>
      <x:c r="L258" s="14" t="n">
        <x:v>40</x:v>
      </x:c>
      <x:c r="M258" s="14" t="n">
        <x:v>25</x:v>
      </x:c>
      <x:c r="N258" s="15" t="n">
        <x:f>IF(E258=0,"해당 없음",F258/E258)</x:f>
        <x:v>0</x:v>
      </x:c>
      <x:c r="O258" s="15" t="n">
        <x:f>IF(E258=0,"해당 없음",G258/E258)</x:f>
        <x:v>0.1262135922330097</x:v>
      </x:c>
      <x:c r="P258" s="15" t="n">
        <x:f>IF(E258=0,"해당 없음",H258/E258)</x:f>
        <x:v>0.0970873786407767</x:v>
      </x:c>
      <x:c r="Q258" s="15" t="n">
        <x:f>IF(E258=0,"해당 없음",I258/E258)</x:f>
        <x:v>0.04854368932038835</x:v>
      </x:c>
      <x:c r="R258" s="15" t="n">
        <x:f>IF(E258=0,"해당 없음",J258/E258)</x:f>
        <x:v>0.009708737864077669</x:v>
      </x:c>
      <x:c r="S258" s="15" t="n">
        <x:f>IF(E258=0,"해당 없음",K258/E258)</x:f>
        <x:v>0.08737864077669903</x:v>
      </x:c>
      <x:c r="T258" s="15" t="n">
        <x:f>IF(E258=0,"해당 없음",L258/E258)</x:f>
        <x:v>0.3883495145631068</x:v>
      </x:c>
      <x:c r="U258" s="15" t="n">
        <x:f>IF(E258=0,"해당 없음",M258/E258)</x:f>
        <x:v>0.24271844660194175</x:v>
      </x:c>
      <x:c r="V258" s="16" t="n">
        <x:f>E258/5</x:f>
        <x:v>20.6</x:v>
      </x:c>
    </x:row>
    <x:row r="259" ht="22" customHeight="1">
      <x:c r="A259" s="2" t="n">
        <x:v>127</x:v>
      </x:c>
      <x:c r="B259" s="2" t="str">
        <x:v>NAVY</x:v>
      </x:c>
      <x:c r="C259" s="2" t="str">
        <x:v>규칙형</x:v>
      </x:c>
      <x:c r="D259" s="2" t="str">
        <x:v>120만</x:v>
      </x:c>
      <x:c r="E259" s="14" t="n">
        <x:f>SUM(F259:M259)</x:f>
        <x:v>103</x:v>
      </x:c>
      <x:c r="F259" s="14" t="n">
        <x:v>41</x:v>
      </x:c>
      <x:c r="G259" s="14" t="n">
        <x:v>5</x:v>
      </x:c>
      <x:c r="H259" s="14" t="n">
        <x:v>5</x:v>
      </x:c>
      <x:c r="I259" s="14" t="n">
        <x:v>14</x:v>
      </x:c>
      <x:c r="J259" s="14" t="n">
        <x:v>15</x:v>
      </x:c>
      <x:c r="K259" s="14" t="n">
        <x:v>1</x:v>
      </x:c>
      <x:c r="L259" s="14" t="n">
        <x:v>17</x:v>
      </x:c>
      <x:c r="M259" s="14" t="n">
        <x:v>5</x:v>
      </x:c>
      <x:c r="N259" s="15" t="n">
        <x:f>IF(E259=0,"해당 없음",F259/E259)</x:f>
        <x:v>0.39805825242718446</x:v>
      </x:c>
      <x:c r="O259" s="15" t="n">
        <x:f>IF(E259=0,"해당 없음",G259/E259)</x:f>
        <x:v>0.04854368932038835</x:v>
      </x:c>
      <x:c r="P259" s="15" t="n">
        <x:f>IF(E259=0,"해당 없음",H259/E259)</x:f>
        <x:v>0.04854368932038835</x:v>
      </x:c>
      <x:c r="Q259" s="15" t="n">
        <x:f>IF(E259=0,"해당 없음",I259/E259)</x:f>
        <x:v>0.13592233009708737</x:v>
      </x:c>
      <x:c r="R259" s="15" t="n">
        <x:f>IF(E259=0,"해당 없음",J259/E259)</x:f>
        <x:v>0.14563106796116504</x:v>
      </x:c>
      <x:c r="S259" s="15" t="n">
        <x:f>IF(E259=0,"해당 없음",K259/E259)</x:f>
        <x:v>0.009708737864077669</x:v>
      </x:c>
      <x:c r="T259" s="15" t="n">
        <x:f>IF(E259=0,"해당 없음",L259/E259)</x:f>
        <x:v>0.1650485436893204</x:v>
      </x:c>
      <x:c r="U259" s="15" t="n">
        <x:f>IF(E259=0,"해당 없음",M259/E259)</x:f>
        <x:v>0.04854368932038835</x:v>
      </x:c>
      <x:c r="V259" s="16" t="n">
        <x:f>E259/5</x:f>
        <x:v>20.6</x:v>
      </x:c>
    </x:row>
    <x:row r="260" ht="22" customHeight="1">
      <x:c r="A260" s="2" t="n">
        <x:v>128</x:v>
      </x:c>
      <x:c r="B260" s="2" t="str">
        <x:v>RED</x:v>
      </x:c>
      <x:c r="C260" s="2" t="str">
        <x:v>규칙형</x:v>
      </x:c>
      <x:c r="D260" s="2" t="str">
        <x:v>120만</x:v>
      </x:c>
      <x:c r="E260" s="14" t="n">
        <x:f>SUM(F260:M260)</x:f>
        <x:v>103</x:v>
      </x:c>
      <x:c r="F260" s="14" t="n">
        <x:v>39</x:v>
      </x:c>
      <x:c r="G260" s="14" t="n">
        <x:v>5</x:v>
      </x:c>
      <x:c r="H260" s="14" t="n">
        <x:v>7</x:v>
      </x:c>
      <x:c r="I260" s="14" t="n">
        <x:v>17</x:v>
      </x:c>
      <x:c r="J260" s="14" t="n">
        <x:v>5</x:v>
      </x:c>
      <x:c r="K260" s="14" t="n">
        <x:v>5</x:v>
      </x:c>
      <x:c r="L260" s="14" t="n">
        <x:v>20</x:v>
      </x:c>
      <x:c r="M260" s="14" t="n">
        <x:v>5</x:v>
      </x:c>
      <x:c r="N260" s="15" t="n">
        <x:f>IF(E260=0,"해당 없음",F260/E260)</x:f>
        <x:v>0.3786407766990291</x:v>
      </x:c>
      <x:c r="O260" s="15" t="n">
        <x:f>IF(E260=0,"해당 없음",G260/E260)</x:f>
        <x:v>0.04854368932038835</x:v>
      </x:c>
      <x:c r="P260" s="15" t="n">
        <x:f>IF(E260=0,"해당 없음",H260/E260)</x:f>
        <x:v>0.06796116504854369</x:v>
      </x:c>
      <x:c r="Q260" s="15" t="n">
        <x:f>IF(E260=0,"해당 없음",I260/E260)</x:f>
        <x:v>0.1650485436893204</x:v>
      </x:c>
      <x:c r="R260" s="15" t="n">
        <x:f>IF(E260=0,"해당 없음",J260/E260)</x:f>
        <x:v>0.04854368932038835</x:v>
      </x:c>
      <x:c r="S260" s="15" t="n">
        <x:f>IF(E260=0,"해당 없음",K260/E260)</x:f>
        <x:v>0.04854368932038835</x:v>
      </x:c>
      <x:c r="T260" s="15" t="n">
        <x:f>IF(E260=0,"해당 없음",L260/E260)</x:f>
        <x:v>0.1941747572815534</x:v>
      </x:c>
      <x:c r="U260" s="15" t="n">
        <x:f>IF(E260=0,"해당 없음",M260/E260)</x:f>
        <x:v>0.04854368932038835</x:v>
      </x:c>
      <x:c r="V260" s="16" t="n">
        <x:f>E260/5</x:f>
        <x:v>20.6</x:v>
      </x:c>
    </x:row>
    <x:row r="261" ht="22" customHeight="1">
      <x:c r="A261" s="2" t="n">
        <x:v>128</x:v>
      </x:c>
      <x:c r="B261" s="2" t="str">
        <x:v>NAVY</x:v>
      </x:c>
      <x:c r="C261" s="2" t="str">
        <x:v>120만</x:v>
      </x:c>
      <x:c r="D261" s="2" t="str">
        <x:v>규칙형</x:v>
      </x:c>
      <x:c r="E261" s="14" t="n">
        <x:f>SUM(F261:M261)</x:f>
        <x:v>103</x:v>
      </x:c>
      <x:c r="F261" s="14" t="n">
        <x:v>2</x:v>
      </x:c>
      <x:c r="G261" s="14" t="n">
        <x:v>18</x:v>
      </x:c>
      <x:c r="H261" s="14" t="n">
        <x:v>7</x:v>
      </x:c>
      <x:c r="I261" s="14" t="n">
        <x:v>9</x:v>
      </x:c>
      <x:c r="J261" s="14" t="n">
        <x:v>4</x:v>
      </x:c>
      <x:c r="K261" s="14" t="n">
        <x:v>9</x:v>
      </x:c>
      <x:c r="L261" s="14" t="n">
        <x:v>42</x:v>
      </x:c>
      <x:c r="M261" s="14" t="n">
        <x:v>12</x:v>
      </x:c>
      <x:c r="N261" s="15" t="n">
        <x:f>IF(E261=0,"해당 없음",F261/E261)</x:f>
        <x:v>0.019417475728155338</x:v>
      </x:c>
      <x:c r="O261" s="15" t="n">
        <x:f>IF(E261=0,"해당 없음",G261/E261)</x:f>
        <x:v>0.17475728155339806</x:v>
      </x:c>
      <x:c r="P261" s="15" t="n">
        <x:f>IF(E261=0,"해당 없음",H261/E261)</x:f>
        <x:v>0.06796116504854369</x:v>
      </x:c>
      <x:c r="Q261" s="15" t="n">
        <x:f>IF(E261=0,"해당 없음",I261/E261)</x:f>
        <x:v>0.08737864077669903</x:v>
      </x:c>
      <x:c r="R261" s="15" t="n">
        <x:f>IF(E261=0,"해당 없음",J261/E261)</x:f>
        <x:v>0.038834951456310676</x:v>
      </x:c>
      <x:c r="S261" s="15" t="n">
        <x:f>IF(E261=0,"해당 없음",K261/E261)</x:f>
        <x:v>0.08737864077669903</x:v>
      </x:c>
      <x:c r="T261" s="15" t="n">
        <x:f>IF(E261=0,"해당 없음",L261/E261)</x:f>
        <x:v>0.4077669902912621</x:v>
      </x:c>
      <x:c r="U261" s="15" t="n">
        <x:f>IF(E261=0,"해당 없음",M261/E261)</x:f>
        <x:v>0.11650485436893204</x:v>
      </x:c>
      <x:c r="V261" s="16" t="n">
        <x:f>E261/5</x:f>
        <x:v>20.6</x:v>
      </x:c>
    </x:row>
    <x:row r="262" ht="22" customHeight="1">
      <x:c r="A262" s="2" t="n">
        <x:v>129</x:v>
      </x:c>
      <x:c r="B262" s="2" t="str">
        <x:v>RED</x:v>
      </x:c>
      <x:c r="C262" s="2" t="str">
        <x:v>120만</x:v>
      </x:c>
      <x:c r="D262" s="2" t="str">
        <x:v>규칙형</x:v>
      </x:c>
      <x:c r="E262" s="14" t="n">
        <x:f>SUM(F262:M262)</x:f>
        <x:v>103</x:v>
      </x:c>
      <x:c r="F262" s="14" t="n">
        <x:v>0</x:v>
      </x:c>
      <x:c r="G262" s="14" t="n">
        <x:v>17</x:v>
      </x:c>
      <x:c r="H262" s="14" t="n">
        <x:v>9</x:v>
      </x:c>
      <x:c r="I262" s="14" t="n">
        <x:v>11</x:v>
      </x:c>
      <x:c r="J262" s="14" t="n">
        <x:v>2</x:v>
      </x:c>
      <x:c r="K262" s="14" t="n">
        <x:v>3</x:v>
      </x:c>
      <x:c r="L262" s="14" t="n">
        <x:v>40</x:v>
      </x:c>
      <x:c r="M262" s="14" t="n">
        <x:v>21</x:v>
      </x:c>
      <x:c r="N262" s="15" t="n">
        <x:f>IF(E262=0,"해당 없음",F262/E262)</x:f>
        <x:v>0</x:v>
      </x:c>
      <x:c r="O262" s="15" t="n">
        <x:f>IF(E262=0,"해당 없음",G262/E262)</x:f>
        <x:v>0.1650485436893204</x:v>
      </x:c>
      <x:c r="P262" s="15" t="n">
        <x:f>IF(E262=0,"해당 없음",H262/E262)</x:f>
        <x:v>0.08737864077669903</x:v>
      </x:c>
      <x:c r="Q262" s="15" t="n">
        <x:f>IF(E262=0,"해당 없음",I262/E262)</x:f>
        <x:v>0.10679611650485436</x:v>
      </x:c>
      <x:c r="R262" s="15" t="n">
        <x:f>IF(E262=0,"해당 없음",J262/E262)</x:f>
        <x:v>0.019417475728155338</x:v>
      </x:c>
      <x:c r="S262" s="15" t="n">
        <x:f>IF(E262=0,"해당 없음",K262/E262)</x:f>
        <x:v>0.02912621359223301</x:v>
      </x:c>
      <x:c r="T262" s="15" t="n">
        <x:f>IF(E262=0,"해당 없음",L262/E262)</x:f>
        <x:v>0.3883495145631068</x:v>
      </x:c>
      <x:c r="U262" s="15" t="n">
        <x:f>IF(E262=0,"해당 없음",M262/E262)</x:f>
        <x:v>0.20388349514563106</x:v>
      </x:c>
      <x:c r="V262" s="16" t="n">
        <x:f>E262/5</x:f>
        <x:v>20.6</x:v>
      </x:c>
    </x:row>
    <x:row r="263" ht="22" customHeight="1">
      <x:c r="A263" s="2" t="n">
        <x:v>129</x:v>
      </x:c>
      <x:c r="B263" s="2" t="str">
        <x:v>NAVY</x:v>
      </x:c>
      <x:c r="C263" s="2" t="str">
        <x:v>규칙형</x:v>
      </x:c>
      <x:c r="D263" s="2" t="str">
        <x:v>120만</x:v>
      </x:c>
      <x:c r="E263" s="14" t="n">
        <x:f>SUM(F263:M263)</x:f>
        <x:v>103</x:v>
      </x:c>
      <x:c r="F263" s="14" t="n">
        <x:v>37</x:v>
      </x:c>
      <x:c r="G263" s="14" t="n">
        <x:v>5</x:v>
      </x:c>
      <x:c r="H263" s="14" t="n">
        <x:v>17</x:v>
      </x:c>
      <x:c r="I263" s="14" t="n">
        <x:v>21</x:v>
      </x:c>
      <x:c r="J263" s="14" t="n">
        <x:v>4</x:v>
      </x:c>
      <x:c r="K263" s="14" t="n">
        <x:v>3</x:v>
      </x:c>
      <x:c r="L263" s="14" t="n">
        <x:v>14</x:v>
      </x:c>
      <x:c r="M263" s="14" t="n">
        <x:v>2</x:v>
      </x:c>
      <x:c r="N263" s="15" t="n">
        <x:f>IF(E263=0,"해당 없음",F263/E263)</x:f>
        <x:v>0.3592233009708738</x:v>
      </x:c>
      <x:c r="O263" s="15" t="n">
        <x:f>IF(E263=0,"해당 없음",G263/E263)</x:f>
        <x:v>0.04854368932038835</x:v>
      </x:c>
      <x:c r="P263" s="15" t="n">
        <x:f>IF(E263=0,"해당 없음",H263/E263)</x:f>
        <x:v>0.1650485436893204</x:v>
      </x:c>
      <x:c r="Q263" s="15" t="n">
        <x:f>IF(E263=0,"해당 없음",I263/E263)</x:f>
        <x:v>0.20388349514563106</x:v>
      </x:c>
      <x:c r="R263" s="15" t="n">
        <x:f>IF(E263=0,"해당 없음",J263/E263)</x:f>
        <x:v>0.038834951456310676</x:v>
      </x:c>
      <x:c r="S263" s="15" t="n">
        <x:f>IF(E263=0,"해당 없음",K263/E263)</x:f>
        <x:v>0.02912621359223301</x:v>
      </x:c>
      <x:c r="T263" s="15" t="n">
        <x:f>IF(E263=0,"해당 없음",L263/E263)</x:f>
        <x:v>0.13592233009708737</x:v>
      </x:c>
      <x:c r="U263" s="15" t="n">
        <x:f>IF(E263=0,"해당 없음",M263/E263)</x:f>
        <x:v>0.019417475728155338</x:v>
      </x:c>
      <x:c r="V263" s="16" t="n">
        <x:f>E263/5</x:f>
        <x:v>20.6</x:v>
      </x:c>
    </x:row>
    <x:row r="264" ht="22" customHeight="1">
      <x:c r="A264" s="2" t="n">
        <x:v>130</x:v>
      </x:c>
      <x:c r="B264" s="2" t="str">
        <x:v>RED</x:v>
      </x:c>
      <x:c r="C264" s="2" t="str">
        <x:v>규칙형</x:v>
      </x:c>
      <x:c r="D264" s="2" t="str">
        <x:v>120만</x:v>
      </x:c>
      <x:c r="E264" s="14" t="n">
        <x:f>SUM(F264:M264)</x:f>
        <x:v>104</x:v>
      </x:c>
      <x:c r="F264" s="14" t="n">
        <x:v>35</x:v>
      </x:c>
      <x:c r="G264" s="14" t="n">
        <x:v>0</x:v>
      </x:c>
      <x:c r="H264" s="14" t="n">
        <x:v>9</x:v>
      </x:c>
      <x:c r="I264" s="14" t="n">
        <x:v>16</x:v>
      </x:c>
      <x:c r="J264" s="14" t="n">
        <x:v>13</x:v>
      </x:c>
      <x:c r="K264" s="14" t="n">
        <x:v>5</x:v>
      </x:c>
      <x:c r="L264" s="14" t="n">
        <x:v>19</x:v>
      </x:c>
      <x:c r="M264" s="14" t="n">
        <x:v>7</x:v>
      </x:c>
      <x:c r="N264" s="15" t="n">
        <x:f>IF(E264=0,"해당 없음",F264/E264)</x:f>
        <x:v>0.33653846153846156</x:v>
      </x:c>
      <x:c r="O264" s="15" t="n">
        <x:f>IF(E264=0,"해당 없음",G264/E264)</x:f>
        <x:v>0</x:v>
      </x:c>
      <x:c r="P264" s="15" t="n">
        <x:f>IF(E264=0,"해당 없음",H264/E264)</x:f>
        <x:v>0.08653846153846154</x:v>
      </x:c>
      <x:c r="Q264" s="15" t="n">
        <x:f>IF(E264=0,"해당 없음",I264/E264)</x:f>
        <x:v>0.15384615384615385</x:v>
      </x:c>
      <x:c r="R264" s="15" t="n">
        <x:f>IF(E264=0,"해당 없음",J264/E264)</x:f>
        <x:v>0.125</x:v>
      </x:c>
      <x:c r="S264" s="15" t="n">
        <x:f>IF(E264=0,"해당 없음",K264/E264)</x:f>
        <x:v>0.04807692307692308</x:v>
      </x:c>
      <x:c r="T264" s="15" t="n">
        <x:f>IF(E264=0,"해당 없음",L264/E264)</x:f>
        <x:v>0.18269230769230768</x:v>
      </x:c>
      <x:c r="U264" s="15" t="n">
        <x:f>IF(E264=0,"해당 없음",M264/E264)</x:f>
        <x:v>0.0673076923076923</x:v>
      </x:c>
      <x:c r="V264" s="16" t="n">
        <x:f>E264/5</x:f>
        <x:v>20.8</x:v>
      </x:c>
    </x:row>
    <x:row r="265" ht="22" customHeight="1">
      <x:c r="A265" s="2" t="n">
        <x:v>130</x:v>
      </x:c>
      <x:c r="B265" s="2" t="str">
        <x:v>NAVY</x:v>
      </x:c>
      <x:c r="C265" s="2" t="str">
        <x:v>120만</x:v>
      </x:c>
      <x:c r="D265" s="2" t="str">
        <x:v>규칙형</x:v>
      </x:c>
      <x:c r="E265" s="14" t="n">
        <x:f>SUM(F265:M265)</x:f>
        <x:v>104</x:v>
      </x:c>
      <x:c r="F265" s="14" t="n">
        <x:v>1</x:v>
      </x:c>
      <x:c r="G265" s="14" t="n">
        <x:v>16</x:v>
      </x:c>
      <x:c r="H265" s="14" t="n">
        <x:v>4</x:v>
      </x:c>
      <x:c r="I265" s="14" t="n">
        <x:v>9</x:v>
      </x:c>
      <x:c r="J265" s="14" t="n">
        <x:v>3</x:v>
      </x:c>
      <x:c r="K265" s="14" t="n">
        <x:v>6</x:v>
      </x:c>
      <x:c r="L265" s="14" t="n">
        <x:v>38</x:v>
      </x:c>
      <x:c r="M265" s="14" t="n">
        <x:v>27</x:v>
      </x:c>
      <x:c r="N265" s="15" t="n">
        <x:f>IF(E265=0,"해당 없음",F265/E265)</x:f>
        <x:v>0.009615384615384616</x:v>
      </x:c>
      <x:c r="O265" s="15" t="n">
        <x:f>IF(E265=0,"해당 없음",G265/E265)</x:f>
        <x:v>0.15384615384615385</x:v>
      </x:c>
      <x:c r="P265" s="15" t="n">
        <x:f>IF(E265=0,"해당 없음",H265/E265)</x:f>
        <x:v>0.038461538461538464</x:v>
      </x:c>
      <x:c r="Q265" s="15" t="n">
        <x:f>IF(E265=0,"해당 없음",I265/E265)</x:f>
        <x:v>0.08653846153846154</x:v>
      </x:c>
      <x:c r="R265" s="15" t="n">
        <x:f>IF(E265=0,"해당 없음",J265/E265)</x:f>
        <x:v>0.028846153846153848</x:v>
      </x:c>
      <x:c r="S265" s="15" t="n">
        <x:f>IF(E265=0,"해당 없음",K265/E265)</x:f>
        <x:v>0.057692307692307696</x:v>
      </x:c>
      <x:c r="T265" s="15" t="n">
        <x:f>IF(E265=0,"해당 없음",L265/E265)</x:f>
        <x:v>0.36538461538461536</x:v>
      </x:c>
      <x:c r="U265" s="15" t="n">
        <x:f>IF(E265=0,"해당 없음",M265/E265)</x:f>
        <x:v>0.25961538461538464</x:v>
      </x:c>
      <x:c r="V265" s="16" t="n">
        <x:f>E265/5</x:f>
        <x:v>20.8</x:v>
      </x:c>
    </x:row>
    <x:row r="266" ht="22" customHeight="1">
      <x:c r="A266" s="2" t="n">
        <x:v>131</x:v>
      </x:c>
      <x:c r="B266" s="2" t="str">
        <x:v>RED</x:v>
      </x:c>
      <x:c r="C266" s="2" t="str">
        <x:v>120만</x:v>
      </x:c>
      <x:c r="D266" s="2" t="str">
        <x:v>규칙형</x:v>
      </x:c>
      <x:c r="E266" s="14" t="n">
        <x:f>SUM(F266:M266)</x:f>
        <x:v>104</x:v>
      </x:c>
      <x:c r="F266" s="14" t="n">
        <x:v>1</x:v>
      </x:c>
      <x:c r="G266" s="14" t="n">
        <x:v>12</x:v>
      </x:c>
      <x:c r="H266" s="14" t="n">
        <x:v>4</x:v>
      </x:c>
      <x:c r="I266" s="14" t="n">
        <x:v>3</x:v>
      </x:c>
      <x:c r="J266" s="14" t="n">
        <x:v>4</x:v>
      </x:c>
      <x:c r="K266" s="14" t="n">
        <x:v>9</x:v>
      </x:c>
      <x:c r="L266" s="14" t="n">
        <x:v>40</x:v>
      </x:c>
      <x:c r="M266" s="14" t="n">
        <x:v>31</x:v>
      </x:c>
      <x:c r="N266" s="15" t="n">
        <x:f>IF(E266=0,"해당 없음",F266/E266)</x:f>
        <x:v>0.009615384615384616</x:v>
      </x:c>
      <x:c r="O266" s="15" t="n">
        <x:f>IF(E266=0,"해당 없음",G266/E266)</x:f>
        <x:v>0.11538461538461539</x:v>
      </x:c>
      <x:c r="P266" s="15" t="n">
        <x:f>IF(E266=0,"해당 없음",H266/E266)</x:f>
        <x:v>0.038461538461538464</x:v>
      </x:c>
      <x:c r="Q266" s="15" t="n">
        <x:f>IF(E266=0,"해당 없음",I266/E266)</x:f>
        <x:v>0.028846153846153848</x:v>
      </x:c>
      <x:c r="R266" s="15" t="n">
        <x:f>IF(E266=0,"해당 없음",J266/E266)</x:f>
        <x:v>0.038461538461538464</x:v>
      </x:c>
      <x:c r="S266" s="15" t="n">
        <x:f>IF(E266=0,"해당 없음",K266/E266)</x:f>
        <x:v>0.08653846153846154</x:v>
      </x:c>
      <x:c r="T266" s="15" t="n">
        <x:f>IF(E266=0,"해당 없음",L266/E266)</x:f>
        <x:v>0.38461538461538464</x:v>
      </x:c>
      <x:c r="U266" s="15" t="n">
        <x:f>IF(E266=0,"해당 없음",M266/E266)</x:f>
        <x:v>0.2980769230769231</x:v>
      </x:c>
      <x:c r="V266" s="16" t="n">
        <x:f>E266/5</x:f>
        <x:v>20.8</x:v>
      </x:c>
    </x:row>
    <x:row r="267" ht="22" customHeight="1">
      <x:c r="A267" s="2" t="n">
        <x:v>131</x:v>
      </x:c>
      <x:c r="B267" s="2" t="str">
        <x:v>NAVY</x:v>
      </x:c>
      <x:c r="C267" s="2" t="str">
        <x:v>규칙형</x:v>
      </x:c>
      <x:c r="D267" s="2" t="str">
        <x:v>120만</x:v>
      </x:c>
      <x:c r="E267" s="14" t="n">
        <x:f>SUM(F267:M267)</x:f>
        <x:v>103</x:v>
      </x:c>
      <x:c r="F267" s="14" t="n">
        <x:v>42</x:v>
      </x:c>
      <x:c r="G267" s="14" t="n">
        <x:v>7</x:v>
      </x:c>
      <x:c r="H267" s="14" t="n">
        <x:v>9</x:v>
      </x:c>
      <x:c r="I267" s="14" t="n">
        <x:v>12</x:v>
      </x:c>
      <x:c r="J267" s="14" t="n">
        <x:v>3</x:v>
      </x:c>
      <x:c r="K267" s="14" t="n">
        <x:v>4</x:v>
      </x:c>
      <x:c r="L267" s="14" t="n">
        <x:v>17</x:v>
      </x:c>
      <x:c r="M267" s="14" t="n">
        <x:v>9</x:v>
      </x:c>
      <x:c r="N267" s="15" t="n">
        <x:f>IF(E267=0,"해당 없음",F267/E267)</x:f>
        <x:v>0.4077669902912621</x:v>
      </x:c>
      <x:c r="O267" s="15" t="n">
        <x:f>IF(E267=0,"해당 없음",G267/E267)</x:f>
        <x:v>0.06796116504854369</x:v>
      </x:c>
      <x:c r="P267" s="15" t="n">
        <x:f>IF(E267=0,"해당 없음",H267/E267)</x:f>
        <x:v>0.08737864077669903</x:v>
      </x:c>
      <x:c r="Q267" s="15" t="n">
        <x:f>IF(E267=0,"해당 없음",I267/E267)</x:f>
        <x:v>0.11650485436893204</x:v>
      </x:c>
      <x:c r="R267" s="15" t="n">
        <x:f>IF(E267=0,"해당 없음",J267/E267)</x:f>
        <x:v>0.02912621359223301</x:v>
      </x:c>
      <x:c r="S267" s="15" t="n">
        <x:f>IF(E267=0,"해당 없음",K267/E267)</x:f>
        <x:v>0.038834951456310676</x:v>
      </x:c>
      <x:c r="T267" s="15" t="n">
        <x:f>IF(E267=0,"해당 없음",L267/E267)</x:f>
        <x:v>0.1650485436893204</x:v>
      </x:c>
      <x:c r="U267" s="15" t="n">
        <x:f>IF(E267=0,"해당 없음",M267/E267)</x:f>
        <x:v>0.08737864077669903</x:v>
      </x:c>
      <x:c r="V267" s="16" t="n">
        <x:f>E267/5</x:f>
        <x:v>20.6</x:v>
      </x:c>
    </x:row>
    <x:row r="268" ht="22" customHeight="1">
      <x:c r="A268" s="2" t="n">
        <x:v>132</x:v>
      </x:c>
      <x:c r="B268" s="2" t="str">
        <x:v>RED</x:v>
      </x:c>
      <x:c r="C268" s="2" t="str">
        <x:v>규칙형</x:v>
      </x:c>
      <x:c r="D268" s="2" t="str">
        <x:v>120만</x:v>
      </x:c>
      <x:c r="E268" s="14" t="n">
        <x:f>SUM(F268:M268)</x:f>
        <x:v>103</x:v>
      </x:c>
      <x:c r="F268" s="14" t="n">
        <x:v>45</x:v>
      </x:c>
      <x:c r="G268" s="14" t="n">
        <x:v>9</x:v>
      </x:c>
      <x:c r="H268" s="14" t="n">
        <x:v>12</x:v>
      </x:c>
      <x:c r="I268" s="14" t="n">
        <x:v>8</x:v>
      </x:c>
      <x:c r="J268" s="14" t="n">
        <x:v>6</x:v>
      </x:c>
      <x:c r="K268" s="14" t="n">
        <x:v>3</x:v>
      </x:c>
      <x:c r="L268" s="14" t="n">
        <x:v>16</x:v>
      </x:c>
      <x:c r="M268" s="14" t="n">
        <x:v>4</x:v>
      </x:c>
      <x:c r="N268" s="15" t="n">
        <x:f>IF(E268=0,"해당 없음",F268/E268)</x:f>
        <x:v>0.4368932038834951</x:v>
      </x:c>
      <x:c r="O268" s="15" t="n">
        <x:f>IF(E268=0,"해당 없음",G268/E268)</x:f>
        <x:v>0.08737864077669903</x:v>
      </x:c>
      <x:c r="P268" s="15" t="n">
        <x:f>IF(E268=0,"해당 없음",H268/E268)</x:f>
        <x:v>0.11650485436893204</x:v>
      </x:c>
      <x:c r="Q268" s="15" t="n">
        <x:f>IF(E268=0,"해당 없음",I268/E268)</x:f>
        <x:v>0.07766990291262135</x:v>
      </x:c>
      <x:c r="R268" s="15" t="n">
        <x:f>IF(E268=0,"해당 없음",J268/E268)</x:f>
        <x:v>0.05825242718446602</x:v>
      </x:c>
      <x:c r="S268" s="15" t="n">
        <x:f>IF(E268=0,"해당 없음",K268/E268)</x:f>
        <x:v>0.02912621359223301</x:v>
      </x:c>
      <x:c r="T268" s="15" t="n">
        <x:f>IF(E268=0,"해당 없음",L268/E268)</x:f>
        <x:v>0.1553398058252427</x:v>
      </x:c>
      <x:c r="U268" s="15" t="n">
        <x:f>IF(E268=0,"해당 없음",M268/E268)</x:f>
        <x:v>0.038834951456310676</x:v>
      </x:c>
      <x:c r="V268" s="16" t="n">
        <x:f>E268/5</x:f>
        <x:v>20.6</x:v>
      </x:c>
    </x:row>
    <x:row r="269" ht="22" customHeight="1">
      <x:c r="A269" s="2" t="n">
        <x:v>132</x:v>
      </x:c>
      <x:c r="B269" s="2" t="str">
        <x:v>NAVY</x:v>
      </x:c>
      <x:c r="C269" s="2" t="str">
        <x:v>120만</x:v>
      </x:c>
      <x:c r="D269" s="2" t="str">
        <x:v>규칙형</x:v>
      </x:c>
      <x:c r="E269" s="14" t="n">
        <x:f>SUM(F269:M269)</x:f>
        <x:v>103</x:v>
      </x:c>
      <x:c r="F269" s="14" t="n">
        <x:v>2</x:v>
      </x:c>
      <x:c r="G269" s="14" t="n">
        <x:v>19</x:v>
      </x:c>
      <x:c r="H269" s="14" t="n">
        <x:v>5</x:v>
      </x:c>
      <x:c r="I269" s="14" t="n">
        <x:v>5</x:v>
      </x:c>
      <x:c r="J269" s="14" t="n">
        <x:v>5</x:v>
      </x:c>
      <x:c r="K269" s="14" t="n">
        <x:v>11</x:v>
      </x:c>
      <x:c r="L269" s="14" t="n">
        <x:v>39</x:v>
      </x:c>
      <x:c r="M269" s="14" t="n">
        <x:v>17</x:v>
      </x:c>
      <x:c r="N269" s="15" t="n">
        <x:f>IF(E269=0,"해당 없음",F269/E269)</x:f>
        <x:v>0.019417475728155338</x:v>
      </x:c>
      <x:c r="O269" s="15" t="n">
        <x:f>IF(E269=0,"해당 없음",G269/E269)</x:f>
        <x:v>0.18446601941747573</x:v>
      </x:c>
      <x:c r="P269" s="15" t="n">
        <x:f>IF(E269=0,"해당 없음",H269/E269)</x:f>
        <x:v>0.04854368932038835</x:v>
      </x:c>
      <x:c r="Q269" s="15" t="n">
        <x:f>IF(E269=0,"해당 없음",I269/E269)</x:f>
        <x:v>0.04854368932038835</x:v>
      </x:c>
      <x:c r="R269" s="15" t="n">
        <x:f>IF(E269=0,"해당 없음",J269/E269)</x:f>
        <x:v>0.04854368932038835</x:v>
      </x:c>
      <x:c r="S269" s="15" t="n">
        <x:f>IF(E269=0,"해당 없음",K269/E269)</x:f>
        <x:v>0.10679611650485436</x:v>
      </x:c>
      <x:c r="T269" s="15" t="n">
        <x:f>IF(E269=0,"해당 없음",L269/E269)</x:f>
        <x:v>0.3786407766990291</x:v>
      </x:c>
      <x:c r="U269" s="15" t="n">
        <x:f>IF(E269=0,"해당 없음",M269/E269)</x:f>
        <x:v>0.1650485436893204</x:v>
      </x:c>
      <x:c r="V269" s="16" t="n">
        <x:f>E269/5</x:f>
        <x:v>20.6</x:v>
      </x:c>
    </x:row>
    <x:row r="270" ht="22" customHeight="1">
      <x:c r="A270" s="2" t="n">
        <x:v>133</x:v>
      </x:c>
      <x:c r="B270" s="2" t="str">
        <x:v>RED</x:v>
      </x:c>
      <x:c r="C270" s="2" t="str">
        <x:v>120만</x:v>
      </x:c>
      <x:c r="D270" s="2" t="str">
        <x:v>규칙형</x:v>
      </x:c>
      <x:c r="E270" s="14" t="n">
        <x:f>SUM(F270:M270)</x:f>
        <x:v>103</x:v>
      </x:c>
      <x:c r="F270" s="14" t="n">
        <x:v>1</x:v>
      </x:c>
      <x:c r="G270" s="14" t="n">
        <x:v>18</x:v>
      </x:c>
      <x:c r="H270" s="14" t="n">
        <x:v>9</x:v>
      </x:c>
      <x:c r="I270" s="14" t="n">
        <x:v>8</x:v>
      </x:c>
      <x:c r="J270" s="14" t="n">
        <x:v>1</x:v>
      </x:c>
      <x:c r="K270" s="14" t="n">
        <x:v>12</x:v>
      </x:c>
      <x:c r="L270" s="14" t="n">
        <x:v>35</x:v>
      </x:c>
      <x:c r="M270" s="14" t="n">
        <x:v>19</x:v>
      </x:c>
      <x:c r="N270" s="15" t="n">
        <x:f>IF(E270=0,"해당 없음",F270/E270)</x:f>
        <x:v>0.009708737864077669</x:v>
      </x:c>
      <x:c r="O270" s="15" t="n">
        <x:f>IF(E270=0,"해당 없음",G270/E270)</x:f>
        <x:v>0.17475728155339806</x:v>
      </x:c>
      <x:c r="P270" s="15" t="n">
        <x:f>IF(E270=0,"해당 없음",H270/E270)</x:f>
        <x:v>0.08737864077669903</x:v>
      </x:c>
      <x:c r="Q270" s="15" t="n">
        <x:f>IF(E270=0,"해당 없음",I270/E270)</x:f>
        <x:v>0.07766990291262135</x:v>
      </x:c>
      <x:c r="R270" s="15" t="n">
        <x:f>IF(E270=0,"해당 없음",J270/E270)</x:f>
        <x:v>0.009708737864077669</x:v>
      </x:c>
      <x:c r="S270" s="15" t="n">
        <x:f>IF(E270=0,"해당 없음",K270/E270)</x:f>
        <x:v>0.11650485436893204</x:v>
      </x:c>
      <x:c r="T270" s="15" t="n">
        <x:f>IF(E270=0,"해당 없음",L270/E270)</x:f>
        <x:v>0.33980582524271846</x:v>
      </x:c>
      <x:c r="U270" s="15" t="n">
        <x:f>IF(E270=0,"해당 없음",M270/E270)</x:f>
        <x:v>0.18446601941747573</x:v>
      </x:c>
      <x:c r="V270" s="16" t="n">
        <x:f>E270/5</x:f>
        <x:v>20.6</x:v>
      </x:c>
    </x:row>
    <x:row r="271" ht="22" customHeight="1">
      <x:c r="A271" s="2" t="n">
        <x:v>133</x:v>
      </x:c>
      <x:c r="B271" s="2" t="str">
        <x:v>NAVY</x:v>
      </x:c>
      <x:c r="C271" s="2" t="str">
        <x:v>규칙형</x:v>
      </x:c>
      <x:c r="D271" s="2" t="str">
        <x:v>120만</x:v>
      </x:c>
      <x:c r="E271" s="14" t="n">
        <x:f>SUM(F271:M271)</x:f>
        <x:v>103</x:v>
      </x:c>
      <x:c r="F271" s="14" t="n">
        <x:v>51</x:v>
      </x:c>
      <x:c r="G271" s="14" t="n">
        <x:v>5</x:v>
      </x:c>
      <x:c r="H271" s="14" t="n">
        <x:v>8</x:v>
      </x:c>
      <x:c r="I271" s="14" t="n">
        <x:v>12</x:v>
      </x:c>
      <x:c r="J271" s="14" t="n">
        <x:v>4</x:v>
      </x:c>
      <x:c r="K271" s="14" t="n">
        <x:v>1</x:v>
      </x:c>
      <x:c r="L271" s="14" t="n">
        <x:v>16</x:v>
      </x:c>
      <x:c r="M271" s="14" t="n">
        <x:v>6</x:v>
      </x:c>
      <x:c r="N271" s="15" t="n">
        <x:f>IF(E271=0,"해당 없음",F271/E271)</x:f>
        <x:v>0.49514563106796117</x:v>
      </x:c>
      <x:c r="O271" s="15" t="n">
        <x:f>IF(E271=0,"해당 없음",G271/E271)</x:f>
        <x:v>0.04854368932038835</x:v>
      </x:c>
      <x:c r="P271" s="15" t="n">
        <x:f>IF(E271=0,"해당 없음",H271/E271)</x:f>
        <x:v>0.07766990291262135</x:v>
      </x:c>
      <x:c r="Q271" s="15" t="n">
        <x:f>IF(E271=0,"해당 없음",I271/E271)</x:f>
        <x:v>0.11650485436893204</x:v>
      </x:c>
      <x:c r="R271" s="15" t="n">
        <x:f>IF(E271=0,"해당 없음",J271/E271)</x:f>
        <x:v>0.038834951456310676</x:v>
      </x:c>
      <x:c r="S271" s="15" t="n">
        <x:f>IF(E271=0,"해당 없음",K271/E271)</x:f>
        <x:v>0.009708737864077669</x:v>
      </x:c>
      <x:c r="T271" s="15" t="n">
        <x:f>IF(E271=0,"해당 없음",L271/E271)</x:f>
        <x:v>0.1553398058252427</x:v>
      </x:c>
      <x:c r="U271" s="15" t="n">
        <x:f>IF(E271=0,"해당 없음",M271/E271)</x:f>
        <x:v>0.05825242718446602</x:v>
      </x:c>
      <x:c r="V271" s="16" t="n">
        <x:f>E271/5</x:f>
        <x:v>20.6</x:v>
      </x:c>
    </x:row>
    <x:row r="272" ht="22" customHeight="1">
      <x:c r="A272" s="2" t="n">
        <x:v>134</x:v>
      </x:c>
      <x:c r="B272" s="2" t="str">
        <x:v>RED</x:v>
      </x:c>
      <x:c r="C272" s="2" t="str">
        <x:v>규칙형</x:v>
      </x:c>
      <x:c r="D272" s="2" t="str">
        <x:v>120만</x:v>
      </x:c>
      <x:c r="E272" s="14" t="n">
        <x:f>SUM(F272:M272)</x:f>
        <x:v>107</x:v>
      </x:c>
      <x:c r="F272" s="14" t="n">
        <x:v>42</x:v>
      </x:c>
      <x:c r="G272" s="14" t="n">
        <x:v>4</x:v>
      </x:c>
      <x:c r="H272" s="14" t="n">
        <x:v>13</x:v>
      </x:c>
      <x:c r="I272" s="14" t="n">
        <x:v>13</x:v>
      </x:c>
      <x:c r="J272" s="14" t="n">
        <x:v>7</x:v>
      </x:c>
      <x:c r="K272" s="14" t="n">
        <x:v>6</x:v>
      </x:c>
      <x:c r="L272" s="14" t="n">
        <x:v>16</x:v>
      </x:c>
      <x:c r="M272" s="14" t="n">
        <x:v>6</x:v>
      </x:c>
      <x:c r="N272" s="15" t="n">
        <x:f>IF(E272=0,"해당 없음",F272/E272)</x:f>
        <x:v>0.3925233644859813</x:v>
      </x:c>
      <x:c r="O272" s="15" t="n">
        <x:f>IF(E272=0,"해당 없음",G272/E272)</x:f>
        <x:v>0.037383177570093455</x:v>
      </x:c>
      <x:c r="P272" s="15" t="n">
        <x:f>IF(E272=0,"해당 없음",H272/E272)</x:f>
        <x:v>0.12149532710280374</x:v>
      </x:c>
      <x:c r="Q272" s="15" t="n">
        <x:f>IF(E272=0,"해당 없음",I272/E272)</x:f>
        <x:v>0.12149532710280374</x:v>
      </x:c>
      <x:c r="R272" s="15" t="n">
        <x:f>IF(E272=0,"해당 없음",J272/E272)</x:f>
        <x:v>0.06542056074766354</x:v>
      </x:c>
      <x:c r="S272" s="15" t="n">
        <x:f>IF(E272=0,"해당 없음",K272/E272)</x:f>
        <x:v>0.056074766355140186</x:v>
      </x:c>
      <x:c r="T272" s="15" t="n">
        <x:f>IF(E272=0,"해당 없음",L272/E272)</x:f>
        <x:v>0.14953271028037382</x:v>
      </x:c>
      <x:c r="U272" s="15" t="n">
        <x:f>IF(E272=0,"해당 없음",M272/E272)</x:f>
        <x:v>0.056074766355140186</x:v>
      </x:c>
      <x:c r="V272" s="16" t="n">
        <x:f>E272/5</x:f>
        <x:v>21.4</x:v>
      </x:c>
    </x:row>
    <x:row r="273" ht="22" customHeight="1">
      <x:c r="A273" s="2" t="n">
        <x:v>134</x:v>
      </x:c>
      <x:c r="B273" s="2" t="str">
        <x:v>NAVY</x:v>
      </x:c>
      <x:c r="C273" s="2" t="str">
        <x:v>120만</x:v>
      </x:c>
      <x:c r="D273" s="2" t="str">
        <x:v>규칙형</x:v>
      </x:c>
      <x:c r="E273" s="14" t="n">
        <x:f>SUM(F273:M273)</x:f>
        <x:v>107</x:v>
      </x:c>
      <x:c r="F273" s="14" t="n">
        <x:v>0</x:v>
      </x:c>
      <x:c r="G273" s="14" t="n">
        <x:v>15</x:v>
      </x:c>
      <x:c r="H273" s="14" t="n">
        <x:v>6</x:v>
      </x:c>
      <x:c r="I273" s="14" t="n">
        <x:v>14</x:v>
      </x:c>
      <x:c r="J273" s="14" t="n">
        <x:v>3</x:v>
      </x:c>
      <x:c r="K273" s="14" t="n">
        <x:v>4</x:v>
      </x:c>
      <x:c r="L273" s="14" t="n">
        <x:v>46</x:v>
      </x:c>
      <x:c r="M273" s="14" t="n">
        <x:v>19</x:v>
      </x:c>
      <x:c r="N273" s="15" t="n">
        <x:f>IF(E273=0,"해당 없음",F273/E273)</x:f>
        <x:v>0</x:v>
      </x:c>
      <x:c r="O273" s="15" t="n">
        <x:f>IF(E273=0,"해당 없음",G273/E273)</x:f>
        <x:v>0.14018691588785046</x:v>
      </x:c>
      <x:c r="P273" s="15" t="n">
        <x:f>IF(E273=0,"해당 없음",H273/E273)</x:f>
        <x:v>0.056074766355140186</x:v>
      </x:c>
      <x:c r="Q273" s="15" t="n">
        <x:f>IF(E273=0,"해당 없음",I273/E273)</x:f>
        <x:v>0.1308411214953271</x:v>
      </x:c>
      <x:c r="R273" s="15" t="n">
        <x:f>IF(E273=0,"해당 없음",J273/E273)</x:f>
        <x:v>0.028037383177570093</x:v>
      </x:c>
      <x:c r="S273" s="15" t="n">
        <x:f>IF(E273=0,"해당 없음",K273/E273)</x:f>
        <x:v>0.037383177570093455</x:v>
      </x:c>
      <x:c r="T273" s="15" t="n">
        <x:f>IF(E273=0,"해당 없음",L273/E273)</x:f>
        <x:v>0.42990654205607476</x:v>
      </x:c>
      <x:c r="U273" s="15" t="n">
        <x:f>IF(E273=0,"해당 없음",M273/E273)</x:f>
        <x:v>0.17757009345794392</x:v>
      </x:c>
      <x:c r="V273" s="16" t="n">
        <x:f>E273/5</x:f>
        <x:v>21.4</x:v>
      </x:c>
    </x:row>
    <x:row r="274" ht="22" customHeight="1">
      <x:c r="A274" s="2" t="n">
        <x:v>135</x:v>
      </x:c>
      <x:c r="B274" s="2" t="str">
        <x:v>RED</x:v>
      </x:c>
      <x:c r="C274" s="2" t="str">
        <x:v>120만</x:v>
      </x:c>
      <x:c r="D274" s="2" t="str">
        <x:v>규칙형</x:v>
      </x:c>
      <x:c r="E274" s="14" t="n">
        <x:f>SUM(F274:M274)</x:f>
        <x:v>103</x:v>
      </x:c>
      <x:c r="F274" s="14" t="n">
        <x:v>1</x:v>
      </x:c>
      <x:c r="G274" s="14" t="n">
        <x:v>17</x:v>
      </x:c>
      <x:c r="H274" s="14" t="n">
        <x:v>8</x:v>
      </x:c>
      <x:c r="I274" s="14" t="n">
        <x:v>9</x:v>
      </x:c>
      <x:c r="J274" s="14" t="n">
        <x:v>3</x:v>
      </x:c>
      <x:c r="K274" s="14" t="n">
        <x:v>6</x:v>
      </x:c>
      <x:c r="L274" s="14" t="n">
        <x:v>44</x:v>
      </x:c>
      <x:c r="M274" s="14" t="n">
        <x:v>15</x:v>
      </x:c>
      <x:c r="N274" s="15" t="n">
        <x:f>IF(E274=0,"해당 없음",F274/E274)</x:f>
        <x:v>0.009708737864077669</x:v>
      </x:c>
      <x:c r="O274" s="15" t="n">
        <x:f>IF(E274=0,"해당 없음",G274/E274)</x:f>
        <x:v>0.1650485436893204</x:v>
      </x:c>
      <x:c r="P274" s="15" t="n">
        <x:f>IF(E274=0,"해당 없음",H274/E274)</x:f>
        <x:v>0.07766990291262135</x:v>
      </x:c>
      <x:c r="Q274" s="15" t="n">
        <x:f>IF(E274=0,"해당 없음",I274/E274)</x:f>
        <x:v>0.08737864077669903</x:v>
      </x:c>
      <x:c r="R274" s="15" t="n">
        <x:f>IF(E274=0,"해당 없음",J274/E274)</x:f>
        <x:v>0.02912621359223301</x:v>
      </x:c>
      <x:c r="S274" s="15" t="n">
        <x:f>IF(E274=0,"해당 없음",K274/E274)</x:f>
        <x:v>0.05825242718446602</x:v>
      </x:c>
      <x:c r="T274" s="15" t="n">
        <x:f>IF(E274=0,"해당 없음",L274/E274)</x:f>
        <x:v>0.42718446601941745</x:v>
      </x:c>
      <x:c r="U274" s="15" t="n">
        <x:f>IF(E274=0,"해당 없음",M274/E274)</x:f>
        <x:v>0.14563106796116504</x:v>
      </x:c>
      <x:c r="V274" s="16" t="n">
        <x:f>E274/5</x:f>
        <x:v>20.6</x:v>
      </x:c>
    </x:row>
    <x:row r="275" ht="22" customHeight="1">
      <x:c r="A275" s="2" t="n">
        <x:v>135</x:v>
      </x:c>
      <x:c r="B275" s="2" t="str">
        <x:v>NAVY</x:v>
      </x:c>
      <x:c r="C275" s="2" t="str">
        <x:v>규칙형</x:v>
      </x:c>
      <x:c r="D275" s="2" t="str">
        <x:v>120만</x:v>
      </x:c>
      <x:c r="E275" s="14" t="n">
        <x:f>SUM(F275:M275)</x:f>
        <x:v>104</x:v>
      </x:c>
      <x:c r="F275" s="14" t="n">
        <x:v>42</x:v>
      </x:c>
      <x:c r="G275" s="14" t="n">
        <x:v>4</x:v>
      </x:c>
      <x:c r="H275" s="14" t="n">
        <x:v>17</x:v>
      </x:c>
      <x:c r="I275" s="14" t="n">
        <x:v>17</x:v>
      </x:c>
      <x:c r="J275" s="14" t="n">
        <x:v>3</x:v>
      </x:c>
      <x:c r="K275" s="14" t="n">
        <x:v>3</x:v>
      </x:c>
      <x:c r="L275" s="14" t="n">
        <x:v>16</x:v>
      </x:c>
      <x:c r="M275" s="14" t="n">
        <x:v>2</x:v>
      </x:c>
      <x:c r="N275" s="15" t="n">
        <x:f>IF(E275=0,"해당 없음",F275/E275)</x:f>
        <x:v>0.40384615384615385</x:v>
      </x:c>
      <x:c r="O275" s="15" t="n">
        <x:f>IF(E275=0,"해당 없음",G275/E275)</x:f>
        <x:v>0.038461538461538464</x:v>
      </x:c>
      <x:c r="P275" s="15" t="n">
        <x:f>IF(E275=0,"해당 없음",H275/E275)</x:f>
        <x:v>0.16346153846153846</x:v>
      </x:c>
      <x:c r="Q275" s="15" t="n">
        <x:f>IF(E275=0,"해당 없음",I275/E275)</x:f>
        <x:v>0.16346153846153846</x:v>
      </x:c>
      <x:c r="R275" s="15" t="n">
        <x:f>IF(E275=0,"해당 없음",J275/E275)</x:f>
        <x:v>0.028846153846153848</x:v>
      </x:c>
      <x:c r="S275" s="15" t="n">
        <x:f>IF(E275=0,"해당 없음",K275/E275)</x:f>
        <x:v>0.028846153846153848</x:v>
      </x:c>
      <x:c r="T275" s="15" t="n">
        <x:f>IF(E275=0,"해당 없음",L275/E275)</x:f>
        <x:v>0.15384615384615385</x:v>
      </x:c>
      <x:c r="U275" s="15" t="n">
        <x:f>IF(E275=0,"해당 없음",M275/E275)</x:f>
        <x:v>0.019230769230769232</x:v>
      </x:c>
      <x:c r="V275" s="16" t="n">
        <x:f>E275/5</x:f>
        <x:v>20.8</x:v>
      </x:c>
    </x:row>
    <x:row r="276" ht="22" customHeight="1">
      <x:c r="A276" s="2" t="n">
        <x:v>136</x:v>
      </x:c>
      <x:c r="B276" s="2" t="str">
        <x:v>RED</x:v>
      </x:c>
      <x:c r="C276" s="2" t="str">
        <x:v>규칙형</x:v>
      </x:c>
      <x:c r="D276" s="2" t="str">
        <x:v>120만</x:v>
      </x:c>
      <x:c r="E276" s="14" t="n">
        <x:f>SUM(F276:M276)</x:f>
        <x:v>104</x:v>
      </x:c>
      <x:c r="F276" s="14" t="n">
        <x:v>38</x:v>
      </x:c>
      <x:c r="G276" s="14" t="n">
        <x:v>5</x:v>
      </x:c>
      <x:c r="H276" s="14" t="n">
        <x:v>8</x:v>
      </x:c>
      <x:c r="I276" s="14" t="n">
        <x:v>19</x:v>
      </x:c>
      <x:c r="J276" s="14" t="n">
        <x:v>3</x:v>
      </x:c>
      <x:c r="K276" s="14" t="n">
        <x:v>4</x:v>
      </x:c>
      <x:c r="L276" s="14" t="n">
        <x:v>19</x:v>
      </x:c>
      <x:c r="M276" s="14" t="n">
        <x:v>8</x:v>
      </x:c>
      <x:c r="N276" s="15" t="n">
        <x:f>IF(E276=0,"해당 없음",F276/E276)</x:f>
        <x:v>0.36538461538461536</x:v>
      </x:c>
      <x:c r="O276" s="15" t="n">
        <x:f>IF(E276=0,"해당 없음",G276/E276)</x:f>
        <x:v>0.04807692307692308</x:v>
      </x:c>
      <x:c r="P276" s="15" t="n">
        <x:f>IF(E276=0,"해당 없음",H276/E276)</x:f>
        <x:v>0.07692307692307693</x:v>
      </x:c>
      <x:c r="Q276" s="15" t="n">
        <x:f>IF(E276=0,"해당 없음",I276/E276)</x:f>
        <x:v>0.18269230769230768</x:v>
      </x:c>
      <x:c r="R276" s="15" t="n">
        <x:f>IF(E276=0,"해당 없음",J276/E276)</x:f>
        <x:v>0.028846153846153848</x:v>
      </x:c>
      <x:c r="S276" s="15" t="n">
        <x:f>IF(E276=0,"해당 없음",K276/E276)</x:f>
        <x:v>0.038461538461538464</x:v>
      </x:c>
      <x:c r="T276" s="15" t="n">
        <x:f>IF(E276=0,"해당 없음",L276/E276)</x:f>
        <x:v>0.18269230769230768</x:v>
      </x:c>
      <x:c r="U276" s="15" t="n">
        <x:f>IF(E276=0,"해당 없음",M276/E276)</x:f>
        <x:v>0.07692307692307693</x:v>
      </x:c>
      <x:c r="V276" s="16" t="n">
        <x:f>E276/5</x:f>
        <x:v>20.8</x:v>
      </x:c>
    </x:row>
    <x:row r="277" ht="22" customHeight="1">
      <x:c r="A277" s="2" t="n">
        <x:v>136</x:v>
      </x:c>
      <x:c r="B277" s="2" t="str">
        <x:v>NAVY</x:v>
      </x:c>
      <x:c r="C277" s="2" t="str">
        <x:v>120만</x:v>
      </x:c>
      <x:c r="D277" s="2" t="str">
        <x:v>규칙형</x:v>
      </x:c>
      <x:c r="E277" s="14" t="n">
        <x:f>SUM(F277:M277)</x:f>
        <x:v>101</x:v>
      </x:c>
      <x:c r="F277" s="14" t="n">
        <x:v>1</x:v>
      </x:c>
      <x:c r="G277" s="14" t="n">
        <x:v>16</x:v>
      </x:c>
      <x:c r="H277" s="14" t="n">
        <x:v>6</x:v>
      </x:c>
      <x:c r="I277" s="14" t="n">
        <x:v>9</x:v>
      </x:c>
      <x:c r="J277" s="14" t="n">
        <x:v>1</x:v>
      </x:c>
      <x:c r="K277" s="14" t="n">
        <x:v>6</x:v>
      </x:c>
      <x:c r="L277" s="14" t="n">
        <x:v>40</x:v>
      </x:c>
      <x:c r="M277" s="14" t="n">
        <x:v>22</x:v>
      </x:c>
      <x:c r="N277" s="15" t="n">
        <x:f>IF(E277=0,"해당 없음",F277/E277)</x:f>
        <x:v>0.009900990099009901</x:v>
      </x:c>
      <x:c r="O277" s="15" t="n">
        <x:f>IF(E277=0,"해당 없음",G277/E277)</x:f>
        <x:v>0.15841584158415842</x:v>
      </x:c>
      <x:c r="P277" s="15" t="n">
        <x:f>IF(E277=0,"해당 없음",H277/E277)</x:f>
        <x:v>0.0594059405940594</x:v>
      </x:c>
      <x:c r="Q277" s="15" t="n">
        <x:f>IF(E277=0,"해당 없음",I277/E277)</x:f>
        <x:v>0.0891089108910891</x:v>
      </x:c>
      <x:c r="R277" s="15" t="n">
        <x:f>IF(E277=0,"해당 없음",J277/E277)</x:f>
        <x:v>0.009900990099009901</x:v>
      </x:c>
      <x:c r="S277" s="15" t="n">
        <x:f>IF(E277=0,"해당 없음",K277/E277)</x:f>
        <x:v>0.0594059405940594</x:v>
      </x:c>
      <x:c r="T277" s="15" t="n">
        <x:f>IF(E277=0,"해당 없음",L277/E277)</x:f>
        <x:v>0.39603960396039606</x:v>
      </x:c>
      <x:c r="U277" s="15" t="n">
        <x:f>IF(E277=0,"해당 없음",M277/E277)</x:f>
        <x:v>0.21782178217821782</x:v>
      </x:c>
      <x:c r="V277" s="16" t="n">
        <x:f>E277/5</x:f>
        <x:v>20.2</x:v>
      </x:c>
    </x:row>
    <x:row r="278" ht="22" customHeight="1">
      <x:c r="A278" s="2" t="n">
        <x:v>137</x:v>
      </x:c>
      <x:c r="B278" s="2" t="str">
        <x:v>RED</x:v>
      </x:c>
      <x:c r="C278" s="2" t="str">
        <x:v>120만</x:v>
      </x:c>
      <x:c r="D278" s="2" t="str">
        <x:v>규칙형</x:v>
      </x:c>
      <x:c r="E278" s="14" t="n">
        <x:f>SUM(F278:M278)</x:f>
        <x:v>103</x:v>
      </x:c>
      <x:c r="F278" s="14" t="n">
        <x:v>0</x:v>
      </x:c>
      <x:c r="G278" s="14" t="n">
        <x:v>20</x:v>
      </x:c>
      <x:c r="H278" s="14" t="n">
        <x:v>9</x:v>
      </x:c>
      <x:c r="I278" s="14" t="n">
        <x:v>7</x:v>
      </x:c>
      <x:c r="J278" s="14" t="n">
        <x:v>2</x:v>
      </x:c>
      <x:c r="K278" s="14" t="n">
        <x:v>6</x:v>
      </x:c>
      <x:c r="L278" s="14" t="n">
        <x:v>36</x:v>
      </x:c>
      <x:c r="M278" s="14" t="n">
        <x:v>23</x:v>
      </x:c>
      <x:c r="N278" s="15" t="n">
        <x:f>IF(E278=0,"해당 없음",F278/E278)</x:f>
        <x:v>0</x:v>
      </x:c>
      <x:c r="O278" s="15" t="n">
        <x:f>IF(E278=0,"해당 없음",G278/E278)</x:f>
        <x:v>0.1941747572815534</x:v>
      </x:c>
      <x:c r="P278" s="15" t="n">
        <x:f>IF(E278=0,"해당 없음",H278/E278)</x:f>
        <x:v>0.08737864077669903</x:v>
      </x:c>
      <x:c r="Q278" s="15" t="n">
        <x:f>IF(E278=0,"해당 없음",I278/E278)</x:f>
        <x:v>0.06796116504854369</x:v>
      </x:c>
      <x:c r="R278" s="15" t="n">
        <x:f>IF(E278=0,"해당 없음",J278/E278)</x:f>
        <x:v>0.019417475728155338</x:v>
      </x:c>
      <x:c r="S278" s="15" t="n">
        <x:f>IF(E278=0,"해당 없음",K278/E278)</x:f>
        <x:v>0.05825242718446602</x:v>
      </x:c>
      <x:c r="T278" s="15" t="n">
        <x:f>IF(E278=0,"해당 없음",L278/E278)</x:f>
        <x:v>0.34951456310679613</x:v>
      </x:c>
      <x:c r="U278" s="15" t="n">
        <x:f>IF(E278=0,"해당 없음",M278/E278)</x:f>
        <x:v>0.22330097087378642</x:v>
      </x:c>
      <x:c r="V278" s="16" t="n">
        <x:f>E278/5</x:f>
        <x:v>20.6</x:v>
      </x:c>
    </x:row>
    <x:row r="279" ht="22" customHeight="1">
      <x:c r="A279" s="2" t="n">
        <x:v>137</x:v>
      </x:c>
      <x:c r="B279" s="2" t="str">
        <x:v>NAVY</x:v>
      </x:c>
      <x:c r="C279" s="2" t="str">
        <x:v>규칙형</x:v>
      </x:c>
      <x:c r="D279" s="2" t="str">
        <x:v>120만</x:v>
      </x:c>
      <x:c r="E279" s="14" t="n">
        <x:f>SUM(F279:M279)</x:f>
        <x:v>102</x:v>
      </x:c>
      <x:c r="F279" s="14" t="n">
        <x:v>38</x:v>
      </x:c>
      <x:c r="G279" s="14" t="n">
        <x:v>5</x:v>
      </x:c>
      <x:c r="H279" s="14" t="n">
        <x:v>4</x:v>
      </x:c>
      <x:c r="I279" s="14" t="n">
        <x:v>10</x:v>
      </x:c>
      <x:c r="J279" s="14" t="n">
        <x:v>7</x:v>
      </x:c>
      <x:c r="K279" s="14" t="n">
        <x:v>5</x:v>
      </x:c>
      <x:c r="L279" s="14" t="n">
        <x:v>25</x:v>
      </x:c>
      <x:c r="M279" s="14" t="n">
        <x:v>8</x:v>
      </x:c>
      <x:c r="N279" s="15" t="n">
        <x:f>IF(E279=0,"해당 없음",F279/E279)</x:f>
        <x:v>0.37254901960784315</x:v>
      </x:c>
      <x:c r="O279" s="15" t="n">
        <x:f>IF(E279=0,"해당 없음",G279/E279)</x:f>
        <x:v>0.049019607843137254</x:v>
      </x:c>
      <x:c r="P279" s="15" t="n">
        <x:f>IF(E279=0,"해당 없음",H279/E279)</x:f>
        <x:v>0.0392156862745098</x:v>
      </x:c>
      <x:c r="Q279" s="15" t="n">
        <x:f>IF(E279=0,"해당 없음",I279/E279)</x:f>
        <x:v>0.09803921568627451</x:v>
      </x:c>
      <x:c r="R279" s="15" t="n">
        <x:f>IF(E279=0,"해당 없음",J279/E279)</x:f>
        <x:v>0.06862745098039216</x:v>
      </x:c>
      <x:c r="S279" s="15" t="n">
        <x:f>IF(E279=0,"해당 없음",K279/E279)</x:f>
        <x:v>0.049019607843137254</x:v>
      </x:c>
      <x:c r="T279" s="15" t="n">
        <x:f>IF(E279=0,"해당 없음",L279/E279)</x:f>
        <x:v>0.24509803921568626</x:v>
      </x:c>
      <x:c r="U279" s="15" t="n">
        <x:f>IF(E279=0,"해당 없음",M279/E279)</x:f>
        <x:v>0.0784313725490196</x:v>
      </x:c>
      <x:c r="V279" s="16" t="n">
        <x:f>E279/5</x:f>
        <x:v>20.4</x:v>
      </x:c>
    </x:row>
    <x:row r="280" ht="22" customHeight="1">
      <x:c r="A280" s="2" t="n">
        <x:v>138</x:v>
      </x:c>
      <x:c r="B280" s="2" t="str">
        <x:v>RED</x:v>
      </x:c>
      <x:c r="C280" s="2" t="str">
        <x:v>규칙형</x:v>
      </x:c>
      <x:c r="D280" s="2" t="str">
        <x:v>120만</x:v>
      </x:c>
      <x:c r="E280" s="14" t="n">
        <x:f>SUM(F280:M280)</x:f>
        <x:v>103</x:v>
      </x:c>
      <x:c r="F280" s="14" t="n">
        <x:v>33</x:v>
      </x:c>
      <x:c r="G280" s="14" t="n">
        <x:v>3</x:v>
      </x:c>
      <x:c r="H280" s="14" t="n">
        <x:v>11</x:v>
      </x:c>
      <x:c r="I280" s="14" t="n">
        <x:v>16</x:v>
      </x:c>
      <x:c r="J280" s="14" t="n">
        <x:v>6</x:v>
      </x:c>
      <x:c r="K280" s="14" t="n">
        <x:v>7</x:v>
      </x:c>
      <x:c r="L280" s="14" t="n">
        <x:v>23</x:v>
      </x:c>
      <x:c r="M280" s="14" t="n">
        <x:v>4</x:v>
      </x:c>
      <x:c r="N280" s="15" t="n">
        <x:f>IF(E280=0,"해당 없음",F280/E280)</x:f>
        <x:v>0.32038834951456313</x:v>
      </x:c>
      <x:c r="O280" s="15" t="n">
        <x:f>IF(E280=0,"해당 없음",G280/E280)</x:f>
        <x:v>0.02912621359223301</x:v>
      </x:c>
      <x:c r="P280" s="15" t="n">
        <x:f>IF(E280=0,"해당 없음",H280/E280)</x:f>
        <x:v>0.10679611650485436</x:v>
      </x:c>
      <x:c r="Q280" s="15" t="n">
        <x:f>IF(E280=0,"해당 없음",I280/E280)</x:f>
        <x:v>0.1553398058252427</x:v>
      </x:c>
      <x:c r="R280" s="15" t="n">
        <x:f>IF(E280=0,"해당 없음",J280/E280)</x:f>
        <x:v>0.05825242718446602</x:v>
      </x:c>
      <x:c r="S280" s="15" t="n">
        <x:f>IF(E280=0,"해당 없음",K280/E280)</x:f>
        <x:v>0.06796116504854369</x:v>
      </x:c>
      <x:c r="T280" s="15" t="n">
        <x:f>IF(E280=0,"해당 없음",L280/E280)</x:f>
        <x:v>0.22330097087378642</x:v>
      </x:c>
      <x:c r="U280" s="15" t="n">
        <x:f>IF(E280=0,"해당 없음",M280/E280)</x:f>
        <x:v>0.038834951456310676</x:v>
      </x:c>
      <x:c r="V280" s="16" t="n">
        <x:f>E280/5</x:f>
        <x:v>20.6</x:v>
      </x:c>
    </x:row>
    <x:row r="281" ht="22" customHeight="1">
      <x:c r="A281" s="2" t="n">
        <x:v>138</x:v>
      </x:c>
      <x:c r="B281" s="2" t="str">
        <x:v>NAVY</x:v>
      </x:c>
      <x:c r="C281" s="2" t="str">
        <x:v>120만</x:v>
      </x:c>
      <x:c r="D281" s="2" t="str">
        <x:v>규칙형</x:v>
      </x:c>
      <x:c r="E281" s="14" t="n">
        <x:f>SUM(F281:M281)</x:f>
        <x:v>104</x:v>
      </x:c>
      <x:c r="F281" s="14" t="n">
        <x:v>0</x:v>
      </x:c>
      <x:c r="G281" s="14" t="n">
        <x:v>10</x:v>
      </x:c>
      <x:c r="H281" s="14" t="n">
        <x:v>7</x:v>
      </x:c>
      <x:c r="I281" s="14" t="n">
        <x:v>6</x:v>
      </x:c>
      <x:c r="J281" s="14" t="n">
        <x:v>2</x:v>
      </x:c>
      <x:c r="K281" s="14" t="n">
        <x:v>3</x:v>
      </x:c>
      <x:c r="L281" s="14" t="n">
        <x:v>40</x:v>
      </x:c>
      <x:c r="M281" s="14" t="n">
        <x:v>36</x:v>
      </x:c>
      <x:c r="N281" s="15" t="n">
        <x:f>IF(E281=0,"해당 없음",F281/E281)</x:f>
        <x:v>0</x:v>
      </x:c>
      <x:c r="O281" s="15" t="n">
        <x:f>IF(E281=0,"해당 없음",G281/E281)</x:f>
        <x:v>0.09615384615384616</x:v>
      </x:c>
      <x:c r="P281" s="15" t="n">
        <x:f>IF(E281=0,"해당 없음",H281/E281)</x:f>
        <x:v>0.0673076923076923</x:v>
      </x:c>
      <x:c r="Q281" s="15" t="n">
        <x:f>IF(E281=0,"해당 없음",I281/E281)</x:f>
        <x:v>0.057692307692307696</x:v>
      </x:c>
      <x:c r="R281" s="15" t="n">
        <x:f>IF(E281=0,"해당 없음",J281/E281)</x:f>
        <x:v>0.019230769230769232</x:v>
      </x:c>
      <x:c r="S281" s="15" t="n">
        <x:f>IF(E281=0,"해당 없음",K281/E281)</x:f>
        <x:v>0.028846153846153848</x:v>
      </x:c>
      <x:c r="T281" s="15" t="n">
        <x:f>IF(E281=0,"해당 없음",L281/E281)</x:f>
        <x:v>0.38461538461538464</x:v>
      </x:c>
      <x:c r="U281" s="15" t="n">
        <x:f>IF(E281=0,"해당 없음",M281/E281)</x:f>
        <x:v>0.34615384615384615</x:v>
      </x:c>
      <x:c r="V281" s="16" t="n">
        <x:f>E281/5</x:f>
        <x:v>20.8</x:v>
      </x:c>
    </x:row>
    <x:row r="282" ht="22" customHeight="1">
      <x:c r="A282" s="2" t="n">
        <x:v>139</x:v>
      </x:c>
      <x:c r="B282" s="2" t="str">
        <x:v>RED</x:v>
      </x:c>
      <x:c r="C282" s="2" t="str">
        <x:v>120만</x:v>
      </x:c>
      <x:c r="D282" s="2" t="str">
        <x:v>규칙형</x:v>
      </x:c>
      <x:c r="E282" s="14" t="n">
        <x:f>SUM(F282:M282)</x:f>
        <x:v>107</x:v>
      </x:c>
      <x:c r="F282" s="14" t="n">
        <x:v>1</x:v>
      </x:c>
      <x:c r="G282" s="14" t="n">
        <x:v>17</x:v>
      </x:c>
      <x:c r="H282" s="14" t="n">
        <x:v>10</x:v>
      </x:c>
      <x:c r="I282" s="14" t="n">
        <x:v>9</x:v>
      </x:c>
      <x:c r="J282" s="14" t="n">
        <x:v>3</x:v>
      </x:c>
      <x:c r="K282" s="14" t="n">
        <x:v>5</x:v>
      </x:c>
      <x:c r="L282" s="14" t="n">
        <x:v>42</x:v>
      </x:c>
      <x:c r="M282" s="14" t="n">
        <x:v>20</x:v>
      </x:c>
      <x:c r="N282" s="15" t="n">
        <x:f>IF(E282=0,"해당 없음",F282/E282)</x:f>
        <x:v>0.009345794392523364</x:v>
      </x:c>
      <x:c r="O282" s="15" t="n">
        <x:f>IF(E282=0,"해당 없음",G282/E282)</x:f>
        <x:v>0.1588785046728972</x:v>
      </x:c>
      <x:c r="P282" s="15" t="n">
        <x:f>IF(E282=0,"해당 없음",H282/E282)</x:f>
        <x:v>0.09345794392523364</x:v>
      </x:c>
      <x:c r="Q282" s="15" t="n">
        <x:f>IF(E282=0,"해당 없음",I282/E282)</x:f>
        <x:v>0.08411214953271028</x:v>
      </x:c>
      <x:c r="R282" s="15" t="n">
        <x:f>IF(E282=0,"해당 없음",J282/E282)</x:f>
        <x:v>0.028037383177570093</x:v>
      </x:c>
      <x:c r="S282" s="15" t="n">
        <x:f>IF(E282=0,"해당 없음",K282/E282)</x:f>
        <x:v>0.04672897196261682</x:v>
      </x:c>
      <x:c r="T282" s="15" t="n">
        <x:f>IF(E282=0,"해당 없음",L282/E282)</x:f>
        <x:v>0.3925233644859813</x:v>
      </x:c>
      <x:c r="U282" s="15" t="n">
        <x:f>IF(E282=0,"해당 없음",M282/E282)</x:f>
        <x:v>0.18691588785046728</x:v>
      </x:c>
      <x:c r="V282" s="16" t="n">
        <x:f>E282/5</x:f>
        <x:v>21.4</x:v>
      </x:c>
    </x:row>
    <x:row r="283" ht="22" customHeight="1">
      <x:c r="A283" s="2" t="n">
        <x:v>139</x:v>
      </x:c>
      <x:c r="B283" s="2" t="str">
        <x:v>NAVY</x:v>
      </x:c>
      <x:c r="C283" s="2" t="str">
        <x:v>규칙형</x:v>
      </x:c>
      <x:c r="D283" s="2" t="str">
        <x:v>120만</x:v>
      </x:c>
      <x:c r="E283" s="14" t="n">
        <x:f>SUM(F283:M283)</x:f>
        <x:v>104</x:v>
      </x:c>
      <x:c r="F283" s="14" t="n">
        <x:v>39</x:v>
      </x:c>
      <x:c r="G283" s="14" t="n">
        <x:v>3</x:v>
      </x:c>
      <x:c r="H283" s="14" t="n">
        <x:v>10</x:v>
      </x:c>
      <x:c r="I283" s="14" t="n">
        <x:v>6</x:v>
      </x:c>
      <x:c r="J283" s="14" t="n">
        <x:v>7</x:v>
      </x:c>
      <x:c r="K283" s="14" t="n">
        <x:v>5</x:v>
      </x:c>
      <x:c r="L283" s="14" t="n">
        <x:v>24</x:v>
      </x:c>
      <x:c r="M283" s="14" t="n">
        <x:v>10</x:v>
      </x:c>
      <x:c r="N283" s="15" t="n">
        <x:f>IF(E283=0,"해당 없음",F283/E283)</x:f>
        <x:v>0.375</x:v>
      </x:c>
      <x:c r="O283" s="15" t="n">
        <x:f>IF(E283=0,"해당 없음",G283/E283)</x:f>
        <x:v>0.028846153846153848</x:v>
      </x:c>
      <x:c r="P283" s="15" t="n">
        <x:f>IF(E283=0,"해당 없음",H283/E283)</x:f>
        <x:v>0.09615384615384616</x:v>
      </x:c>
      <x:c r="Q283" s="15" t="n">
        <x:f>IF(E283=0,"해당 없음",I283/E283)</x:f>
        <x:v>0.057692307692307696</x:v>
      </x:c>
      <x:c r="R283" s="15" t="n">
        <x:f>IF(E283=0,"해당 없음",J283/E283)</x:f>
        <x:v>0.0673076923076923</x:v>
      </x:c>
      <x:c r="S283" s="15" t="n">
        <x:f>IF(E283=0,"해당 없음",K283/E283)</x:f>
        <x:v>0.04807692307692308</x:v>
      </x:c>
      <x:c r="T283" s="15" t="n">
        <x:f>IF(E283=0,"해당 없음",L283/E283)</x:f>
        <x:v>0.23076923076923078</x:v>
      </x:c>
      <x:c r="U283" s="15" t="n">
        <x:f>IF(E283=0,"해당 없음",M283/E283)</x:f>
        <x:v>0.09615384615384616</x:v>
      </x:c>
      <x:c r="V283" s="16" t="n">
        <x:f>E283/5</x:f>
        <x:v>20.8</x:v>
      </x:c>
    </x:row>
    <x:row r="284" ht="22" customHeight="1">
      <x:c r="A284" s="2" t="n">
        <x:v>140</x:v>
      </x:c>
      <x:c r="B284" s="2" t="str">
        <x:v>RED</x:v>
      </x:c>
      <x:c r="C284" s="2" t="str">
        <x:v>규칙형</x:v>
      </x:c>
      <x:c r="D284" s="2" t="str">
        <x:v>120만</x:v>
      </x:c>
      <x:c r="E284" s="14" t="n">
        <x:f>SUM(F284:M284)</x:f>
        <x:v>104</x:v>
      </x:c>
      <x:c r="F284" s="14" t="n">
        <x:v>35</x:v>
      </x:c>
      <x:c r="G284" s="14" t="n">
        <x:v>5</x:v>
      </x:c>
      <x:c r="H284" s="14" t="n">
        <x:v>3</x:v>
      </x:c>
      <x:c r="I284" s="14" t="n">
        <x:v>13</x:v>
      </x:c>
      <x:c r="J284" s="14" t="n">
        <x:v>6</x:v>
      </x:c>
      <x:c r="K284" s="14" t="n">
        <x:v>7</x:v>
      </x:c>
      <x:c r="L284" s="14" t="n">
        <x:v>23</x:v>
      </x:c>
      <x:c r="M284" s="14" t="n">
        <x:v>12</x:v>
      </x:c>
      <x:c r="N284" s="15" t="n">
        <x:f>IF(E284=0,"해당 없음",F284/E284)</x:f>
        <x:v>0.33653846153846156</x:v>
      </x:c>
      <x:c r="O284" s="15" t="n">
        <x:f>IF(E284=0,"해당 없음",G284/E284)</x:f>
        <x:v>0.04807692307692308</x:v>
      </x:c>
      <x:c r="P284" s="15" t="n">
        <x:f>IF(E284=0,"해당 없음",H284/E284)</x:f>
        <x:v>0.028846153846153848</x:v>
      </x:c>
      <x:c r="Q284" s="15" t="n">
        <x:f>IF(E284=0,"해당 없음",I284/E284)</x:f>
        <x:v>0.125</x:v>
      </x:c>
      <x:c r="R284" s="15" t="n">
        <x:f>IF(E284=0,"해당 없음",J284/E284)</x:f>
        <x:v>0.057692307692307696</x:v>
      </x:c>
      <x:c r="S284" s="15" t="n">
        <x:f>IF(E284=0,"해당 없음",K284/E284)</x:f>
        <x:v>0.0673076923076923</x:v>
      </x:c>
      <x:c r="T284" s="15" t="n">
        <x:f>IF(E284=0,"해당 없음",L284/E284)</x:f>
        <x:v>0.22115384615384615</x:v>
      </x:c>
      <x:c r="U284" s="15" t="n">
        <x:f>IF(E284=0,"해당 없음",M284/E284)</x:f>
        <x:v>0.11538461538461539</x:v>
      </x:c>
      <x:c r="V284" s="16" t="n">
        <x:f>E284/5</x:f>
        <x:v>20.8</x:v>
      </x:c>
    </x:row>
    <x:row r="285" ht="22" customHeight="1">
      <x:c r="A285" s="2" t="n">
        <x:v>140</x:v>
      </x:c>
      <x:c r="B285" s="2" t="str">
        <x:v>NAVY</x:v>
      </x:c>
      <x:c r="C285" s="2" t="str">
        <x:v>120만</x:v>
      </x:c>
      <x:c r="D285" s="2" t="str">
        <x:v>규칙형</x:v>
      </x:c>
      <x:c r="E285" s="14" t="n">
        <x:f>SUM(F285:M285)</x:f>
        <x:v>104</x:v>
      </x:c>
      <x:c r="F285" s="14" t="n">
        <x:v>0</x:v>
      </x:c>
      <x:c r="G285" s="14" t="n">
        <x:v>6</x:v>
      </x:c>
      <x:c r="H285" s="14" t="n">
        <x:v>8</x:v>
      </x:c>
      <x:c r="I285" s="14" t="n">
        <x:v>7</x:v>
      </x:c>
      <x:c r="J285" s="14" t="n">
        <x:v>1</x:v>
      </x:c>
      <x:c r="K285" s="14" t="n">
        <x:v>8</x:v>
      </x:c>
      <x:c r="L285" s="14" t="n">
        <x:v>38</x:v>
      </x:c>
      <x:c r="M285" s="14" t="n">
        <x:v>36</x:v>
      </x:c>
      <x:c r="N285" s="15" t="n">
        <x:f>IF(E285=0,"해당 없음",F285/E285)</x:f>
        <x:v>0</x:v>
      </x:c>
      <x:c r="O285" s="15" t="n">
        <x:f>IF(E285=0,"해당 없음",G285/E285)</x:f>
        <x:v>0.057692307692307696</x:v>
      </x:c>
      <x:c r="P285" s="15" t="n">
        <x:f>IF(E285=0,"해당 없음",H285/E285)</x:f>
        <x:v>0.07692307692307693</x:v>
      </x:c>
      <x:c r="Q285" s="15" t="n">
        <x:f>IF(E285=0,"해당 없음",I285/E285)</x:f>
        <x:v>0.0673076923076923</x:v>
      </x:c>
      <x:c r="R285" s="15" t="n">
        <x:f>IF(E285=0,"해당 없음",J285/E285)</x:f>
        <x:v>0.009615384615384616</x:v>
      </x:c>
      <x:c r="S285" s="15" t="n">
        <x:f>IF(E285=0,"해당 없음",K285/E285)</x:f>
        <x:v>0.07692307692307693</x:v>
      </x:c>
      <x:c r="T285" s="15" t="n">
        <x:f>IF(E285=0,"해당 없음",L285/E285)</x:f>
        <x:v>0.36538461538461536</x:v>
      </x:c>
      <x:c r="U285" s="15" t="n">
        <x:f>IF(E285=0,"해당 없음",M285/E285)</x:f>
        <x:v>0.34615384615384615</x:v>
      </x:c>
      <x:c r="V285" s="16" t="n">
        <x:f>E285/5</x:f>
        <x:v>20.8</x:v>
      </x:c>
    </x:row>
    <x:row r="286" ht="22" customHeight="1">
      <x:c r="A286" s="2" t="n">
        <x:v>141</x:v>
      </x:c>
      <x:c r="B286" s="2" t="str">
        <x:v>RED</x:v>
      </x:c>
      <x:c r="C286" s="2" t="str">
        <x:v>120만</x:v>
      </x:c>
      <x:c r="D286" s="2" t="str">
        <x:v>규칙형</x:v>
      </x:c>
      <x:c r="E286" s="14" t="n">
        <x:f>SUM(F286:M286)</x:f>
        <x:v>104</x:v>
      </x:c>
      <x:c r="F286" s="14" t="n">
        <x:v>3</x:v>
      </x:c>
      <x:c r="G286" s="14" t="n">
        <x:v>14</x:v>
      </x:c>
      <x:c r="H286" s="14" t="n">
        <x:v>11</x:v>
      </x:c>
      <x:c r="I286" s="14" t="n">
        <x:v>9</x:v>
      </x:c>
      <x:c r="J286" s="14" t="n">
        <x:v>2</x:v>
      </x:c>
      <x:c r="K286" s="14" t="n">
        <x:v>6</x:v>
      </x:c>
      <x:c r="L286" s="14" t="n">
        <x:v>43</x:v>
      </x:c>
      <x:c r="M286" s="14" t="n">
        <x:v>16</x:v>
      </x:c>
      <x:c r="N286" s="15" t="n">
        <x:f>IF(E286=0,"해당 없음",F286/E286)</x:f>
        <x:v>0.028846153846153848</x:v>
      </x:c>
      <x:c r="O286" s="15" t="n">
        <x:f>IF(E286=0,"해당 없음",G286/E286)</x:f>
        <x:v>0.1346153846153846</x:v>
      </x:c>
      <x:c r="P286" s="15" t="n">
        <x:f>IF(E286=0,"해당 없음",H286/E286)</x:f>
        <x:v>0.10576923076923077</x:v>
      </x:c>
      <x:c r="Q286" s="15" t="n">
        <x:f>IF(E286=0,"해당 없음",I286/E286)</x:f>
        <x:v>0.08653846153846154</x:v>
      </x:c>
      <x:c r="R286" s="15" t="n">
        <x:f>IF(E286=0,"해당 없음",J286/E286)</x:f>
        <x:v>0.019230769230769232</x:v>
      </x:c>
      <x:c r="S286" s="15" t="n">
        <x:f>IF(E286=0,"해당 없음",K286/E286)</x:f>
        <x:v>0.057692307692307696</x:v>
      </x:c>
      <x:c r="T286" s="15" t="n">
        <x:f>IF(E286=0,"해당 없음",L286/E286)</x:f>
        <x:v>0.41346153846153844</x:v>
      </x:c>
      <x:c r="U286" s="15" t="n">
        <x:f>IF(E286=0,"해당 없음",M286/E286)</x:f>
        <x:v>0.15384615384615385</x:v>
      </x:c>
      <x:c r="V286" s="16" t="n">
        <x:f>E286/5</x:f>
        <x:v>20.8</x:v>
      </x:c>
    </x:row>
    <x:row r="287" ht="22" customHeight="1">
      <x:c r="A287" s="2" t="n">
        <x:v>141</x:v>
      </x:c>
      <x:c r="B287" s="2" t="str">
        <x:v>NAVY</x:v>
      </x:c>
      <x:c r="C287" s="2" t="str">
        <x:v>규칙형</x:v>
      </x:c>
      <x:c r="D287" s="2" t="str">
        <x:v>120만</x:v>
      </x:c>
      <x:c r="E287" s="14" t="n">
        <x:f>SUM(F287:M287)</x:f>
        <x:v>102</x:v>
      </x:c>
      <x:c r="F287" s="14" t="n">
        <x:v>35</x:v>
      </x:c>
      <x:c r="G287" s="14" t="n">
        <x:v>7</x:v>
      </x:c>
      <x:c r="H287" s="14" t="n">
        <x:v>14</x:v>
      </x:c>
      <x:c r="I287" s="14" t="n">
        <x:v>8</x:v>
      </x:c>
      <x:c r="J287" s="14" t="n">
        <x:v>8</x:v>
      </x:c>
      <x:c r="K287" s="14" t="n">
        <x:v>1</x:v>
      </x:c>
      <x:c r="L287" s="14" t="n">
        <x:v>20</x:v>
      </x:c>
      <x:c r="M287" s="14" t="n">
        <x:v>9</x:v>
      </x:c>
      <x:c r="N287" s="15" t="n">
        <x:f>IF(E287=0,"해당 없음",F287/E287)</x:f>
        <x:v>0.3431372549019608</x:v>
      </x:c>
      <x:c r="O287" s="15" t="n">
        <x:f>IF(E287=0,"해당 없음",G287/E287)</x:f>
        <x:v>0.06862745098039216</x:v>
      </x:c>
      <x:c r="P287" s="15" t="n">
        <x:f>IF(E287=0,"해당 없음",H287/E287)</x:f>
        <x:v>0.13725490196078433</x:v>
      </x:c>
      <x:c r="Q287" s="15" t="n">
        <x:f>IF(E287=0,"해당 없음",I287/E287)</x:f>
        <x:v>0.0784313725490196</x:v>
      </x:c>
      <x:c r="R287" s="15" t="n">
        <x:f>IF(E287=0,"해당 없음",J287/E287)</x:f>
        <x:v>0.0784313725490196</x:v>
      </x:c>
      <x:c r="S287" s="15" t="n">
        <x:f>IF(E287=0,"해당 없음",K287/E287)</x:f>
        <x:v>0.00980392156862745</x:v>
      </x:c>
      <x:c r="T287" s="15" t="n">
        <x:f>IF(E287=0,"해당 없음",L287/E287)</x:f>
        <x:v>0.19607843137254902</x:v>
      </x:c>
      <x:c r="U287" s="15" t="n">
        <x:f>IF(E287=0,"해당 없음",M287/E287)</x:f>
        <x:v>0.08823529411764706</x:v>
      </x:c>
      <x:c r="V287" s="16" t="n">
        <x:f>E287/5</x:f>
        <x:v>20.4</x:v>
      </x:c>
    </x:row>
    <x:row r="288" ht="22" customHeight="1">
      <x:c r="A288" s="2" t="n">
        <x:v>142</x:v>
      </x:c>
      <x:c r="B288" s="2" t="str">
        <x:v>RED</x:v>
      </x:c>
      <x:c r="C288" s="2" t="str">
        <x:v>규칙형</x:v>
      </x:c>
      <x:c r="D288" s="2" t="str">
        <x:v>120만</x:v>
      </x:c>
      <x:c r="E288" s="14" t="n">
        <x:f>SUM(F288:M288)</x:f>
        <x:v>103</x:v>
      </x:c>
      <x:c r="F288" s="14" t="n">
        <x:v>41</x:v>
      </x:c>
      <x:c r="G288" s="14" t="n">
        <x:v>4</x:v>
      </x:c>
      <x:c r="H288" s="14" t="n">
        <x:v>4</x:v>
      </x:c>
      <x:c r="I288" s="14" t="n">
        <x:v>18</x:v>
      </x:c>
      <x:c r="J288" s="14" t="n">
        <x:v>3</x:v>
      </x:c>
      <x:c r="K288" s="14" t="n">
        <x:v>4</x:v>
      </x:c>
      <x:c r="L288" s="14" t="n">
        <x:v>22</x:v>
      </x:c>
      <x:c r="M288" s="14" t="n">
        <x:v>7</x:v>
      </x:c>
      <x:c r="N288" s="15" t="n">
        <x:f>IF(E288=0,"해당 없음",F288/E288)</x:f>
        <x:v>0.39805825242718446</x:v>
      </x:c>
      <x:c r="O288" s="15" t="n">
        <x:f>IF(E288=0,"해당 없음",G288/E288)</x:f>
        <x:v>0.038834951456310676</x:v>
      </x:c>
      <x:c r="P288" s="15" t="n">
        <x:f>IF(E288=0,"해당 없음",H288/E288)</x:f>
        <x:v>0.038834951456310676</x:v>
      </x:c>
      <x:c r="Q288" s="15" t="n">
        <x:f>IF(E288=0,"해당 없음",I288/E288)</x:f>
        <x:v>0.17475728155339806</x:v>
      </x:c>
      <x:c r="R288" s="15" t="n">
        <x:f>IF(E288=0,"해당 없음",J288/E288)</x:f>
        <x:v>0.02912621359223301</x:v>
      </x:c>
      <x:c r="S288" s="15" t="n">
        <x:f>IF(E288=0,"해당 없음",K288/E288)</x:f>
        <x:v>0.038834951456310676</x:v>
      </x:c>
      <x:c r="T288" s="15" t="n">
        <x:f>IF(E288=0,"해당 없음",L288/E288)</x:f>
        <x:v>0.21359223300970873</x:v>
      </x:c>
      <x:c r="U288" s="15" t="n">
        <x:f>IF(E288=0,"해당 없음",M288/E288)</x:f>
        <x:v>0.06796116504854369</x:v>
      </x:c>
      <x:c r="V288" s="16" t="n">
        <x:f>E288/5</x:f>
        <x:v>20.6</x:v>
      </x:c>
    </x:row>
    <x:row r="289" ht="22" customHeight="1">
      <x:c r="A289" s="2" t="n">
        <x:v>142</x:v>
      </x:c>
      <x:c r="B289" s="2" t="str">
        <x:v>NAVY</x:v>
      </x:c>
      <x:c r="C289" s="2" t="str">
        <x:v>120만</x:v>
      </x:c>
      <x:c r="D289" s="2" t="str">
        <x:v>규칙형</x:v>
      </x:c>
      <x:c r="E289" s="14" t="n">
        <x:f>SUM(F289:M289)</x:f>
        <x:v>104</x:v>
      </x:c>
      <x:c r="F289" s="14" t="n">
        <x:v>3</x:v>
      </x:c>
      <x:c r="G289" s="14" t="n">
        <x:v>14</x:v>
      </x:c>
      <x:c r="H289" s="14" t="n">
        <x:v>8</x:v>
      </x:c>
      <x:c r="I289" s="14" t="n">
        <x:v>6</x:v>
      </x:c>
      <x:c r="J289" s="14" t="n">
        <x:v>4</x:v>
      </x:c>
      <x:c r="K289" s="14" t="n">
        <x:v>9</x:v>
      </x:c>
      <x:c r="L289" s="14" t="n">
        <x:v>38</x:v>
      </x:c>
      <x:c r="M289" s="14" t="n">
        <x:v>22</x:v>
      </x:c>
      <x:c r="N289" s="15" t="n">
        <x:f>IF(E289=0,"해당 없음",F289/E289)</x:f>
        <x:v>0.028846153846153848</x:v>
      </x:c>
      <x:c r="O289" s="15" t="n">
        <x:f>IF(E289=0,"해당 없음",G289/E289)</x:f>
        <x:v>0.1346153846153846</x:v>
      </x:c>
      <x:c r="P289" s="15" t="n">
        <x:f>IF(E289=0,"해당 없음",H289/E289)</x:f>
        <x:v>0.07692307692307693</x:v>
      </x:c>
      <x:c r="Q289" s="15" t="n">
        <x:f>IF(E289=0,"해당 없음",I289/E289)</x:f>
        <x:v>0.057692307692307696</x:v>
      </x:c>
      <x:c r="R289" s="15" t="n">
        <x:f>IF(E289=0,"해당 없음",J289/E289)</x:f>
        <x:v>0.038461538461538464</x:v>
      </x:c>
      <x:c r="S289" s="15" t="n">
        <x:f>IF(E289=0,"해당 없음",K289/E289)</x:f>
        <x:v>0.08653846153846154</x:v>
      </x:c>
      <x:c r="T289" s="15" t="n">
        <x:f>IF(E289=0,"해당 없음",L289/E289)</x:f>
        <x:v>0.36538461538461536</x:v>
      </x:c>
      <x:c r="U289" s="15" t="n">
        <x:f>IF(E289=0,"해당 없음",M289/E289)</x:f>
        <x:v>0.21153846153846154</x:v>
      </x:c>
      <x:c r="V289" s="16" t="n">
        <x:f>E289/5</x:f>
        <x:v>20.8</x:v>
      </x:c>
    </x:row>
    <x:row r="290" ht="22" customHeight="1">
      <x:c r="A290" s="2" t="n">
        <x:v>143</x:v>
      </x:c>
      <x:c r="B290" s="2" t="str">
        <x:v>RED</x:v>
      </x:c>
      <x:c r="C290" s="2" t="str">
        <x:v>120만</x:v>
      </x:c>
      <x:c r="D290" s="2" t="str">
        <x:v>규칙형</x:v>
      </x:c>
      <x:c r="E290" s="14" t="n">
        <x:f>SUM(F290:M290)</x:f>
        <x:v>103</x:v>
      </x:c>
      <x:c r="F290" s="14" t="n">
        <x:v>4</x:v>
      </x:c>
      <x:c r="G290" s="14" t="n">
        <x:v>12</x:v>
      </x:c>
      <x:c r="H290" s="14" t="n">
        <x:v>12</x:v>
      </x:c>
      <x:c r="I290" s="14" t="n">
        <x:v>9</x:v>
      </x:c>
      <x:c r="J290" s="14" t="n">
        <x:v>4</x:v>
      </x:c>
      <x:c r="K290" s="14" t="n">
        <x:v>11</x:v>
      </x:c>
      <x:c r="L290" s="14" t="n">
        <x:v>35</x:v>
      </x:c>
      <x:c r="M290" s="14" t="n">
        <x:v>16</x:v>
      </x:c>
      <x:c r="N290" s="15" t="n">
        <x:f>IF(E290=0,"해당 없음",F290/E290)</x:f>
        <x:v>0.038834951456310676</x:v>
      </x:c>
      <x:c r="O290" s="15" t="n">
        <x:f>IF(E290=0,"해당 없음",G290/E290)</x:f>
        <x:v>0.11650485436893204</x:v>
      </x:c>
      <x:c r="P290" s="15" t="n">
        <x:f>IF(E290=0,"해당 없음",H290/E290)</x:f>
        <x:v>0.11650485436893204</x:v>
      </x:c>
      <x:c r="Q290" s="15" t="n">
        <x:f>IF(E290=0,"해당 없음",I290/E290)</x:f>
        <x:v>0.08737864077669903</x:v>
      </x:c>
      <x:c r="R290" s="15" t="n">
        <x:f>IF(E290=0,"해당 없음",J290/E290)</x:f>
        <x:v>0.038834951456310676</x:v>
      </x:c>
      <x:c r="S290" s="15" t="n">
        <x:f>IF(E290=0,"해당 없음",K290/E290)</x:f>
        <x:v>0.10679611650485436</x:v>
      </x:c>
      <x:c r="T290" s="15" t="n">
        <x:f>IF(E290=0,"해당 없음",L290/E290)</x:f>
        <x:v>0.33980582524271846</x:v>
      </x:c>
      <x:c r="U290" s="15" t="n">
        <x:f>IF(E290=0,"해당 없음",M290/E290)</x:f>
        <x:v>0.1553398058252427</x:v>
      </x:c>
      <x:c r="V290" s="16" t="n">
        <x:f>E290/5</x:f>
        <x:v>20.6</x:v>
      </x:c>
    </x:row>
    <x:row r="291" ht="22" customHeight="1">
      <x:c r="A291" s="2" t="n">
        <x:v>143</x:v>
      </x:c>
      <x:c r="B291" s="2" t="str">
        <x:v>NAVY</x:v>
      </x:c>
      <x:c r="C291" s="2" t="str">
        <x:v>규칙형</x:v>
      </x:c>
      <x:c r="D291" s="2" t="str">
        <x:v>120만</x:v>
      </x:c>
      <x:c r="E291" s="14" t="n">
        <x:f>SUM(F291:M291)</x:f>
        <x:v>103</x:v>
      </x:c>
      <x:c r="F291" s="14" t="n">
        <x:v>43</x:v>
      </x:c>
      <x:c r="G291" s="14" t="n">
        <x:v>10</x:v>
      </x:c>
      <x:c r="H291" s="14" t="n">
        <x:v>11</x:v>
      </x:c>
      <x:c r="I291" s="14" t="n">
        <x:v>15</x:v>
      </x:c>
      <x:c r="J291" s="14" t="n">
        <x:v>5</x:v>
      </x:c>
      <x:c r="K291" s="14" t="n">
        <x:v>2</x:v>
      </x:c>
      <x:c r="L291" s="14" t="n">
        <x:v>14</x:v>
      </x:c>
      <x:c r="M291" s="14" t="n">
        <x:v>3</x:v>
      </x:c>
      <x:c r="N291" s="15" t="n">
        <x:f>IF(E291=0,"해당 없음",F291/E291)</x:f>
        <x:v>0.4174757281553398</x:v>
      </x:c>
      <x:c r="O291" s="15" t="n">
        <x:f>IF(E291=0,"해당 없음",G291/E291)</x:f>
        <x:v>0.0970873786407767</x:v>
      </x:c>
      <x:c r="P291" s="15" t="n">
        <x:f>IF(E291=0,"해당 없음",H291/E291)</x:f>
        <x:v>0.10679611650485436</x:v>
      </x:c>
      <x:c r="Q291" s="15" t="n">
        <x:f>IF(E291=0,"해당 없음",I291/E291)</x:f>
        <x:v>0.14563106796116504</x:v>
      </x:c>
      <x:c r="R291" s="15" t="n">
        <x:f>IF(E291=0,"해당 없음",J291/E291)</x:f>
        <x:v>0.04854368932038835</x:v>
      </x:c>
      <x:c r="S291" s="15" t="n">
        <x:f>IF(E291=0,"해당 없음",K291/E291)</x:f>
        <x:v>0.019417475728155338</x:v>
      </x:c>
      <x:c r="T291" s="15" t="n">
        <x:f>IF(E291=0,"해당 없음",L291/E291)</x:f>
        <x:v>0.13592233009708737</x:v>
      </x:c>
      <x:c r="U291" s="15" t="n">
        <x:f>IF(E291=0,"해당 없음",M291/E291)</x:f>
        <x:v>0.02912621359223301</x:v>
      </x:c>
      <x:c r="V291" s="16" t="n">
        <x:f>E291/5</x:f>
        <x:v>20.6</x:v>
      </x:c>
    </x:row>
    <x:row r="292" ht="22" customHeight="1">
      <x:c r="A292" s="2" t="n">
        <x:v>144</x:v>
      </x:c>
      <x:c r="B292" s="2" t="str">
        <x:v>RED</x:v>
      </x:c>
      <x:c r="C292" s="2" t="str">
        <x:v>규칙형</x:v>
      </x:c>
      <x:c r="D292" s="2" t="str">
        <x:v>120만</x:v>
      </x:c>
      <x:c r="E292" s="14" t="n">
        <x:f>SUM(F292:M292)</x:f>
        <x:v>105</x:v>
      </x:c>
      <x:c r="F292" s="14" t="n">
        <x:v>30</x:v>
      </x:c>
      <x:c r="G292" s="14" t="n">
        <x:v>3</x:v>
      </x:c>
      <x:c r="H292" s="14" t="n">
        <x:v>6</x:v>
      </x:c>
      <x:c r="I292" s="14" t="n">
        <x:v>9</x:v>
      </x:c>
      <x:c r="J292" s="14" t="n">
        <x:v>13</x:v>
      </x:c>
      <x:c r="K292" s="14" t="n">
        <x:v>8</x:v>
      </x:c>
      <x:c r="L292" s="14" t="n">
        <x:v>22</x:v>
      </x:c>
      <x:c r="M292" s="14" t="n">
        <x:v>14</x:v>
      </x:c>
      <x:c r="N292" s="15" t="n">
        <x:f>IF(E292=0,"해당 없음",F292/E292)</x:f>
        <x:v>0.2857142857142857</x:v>
      </x:c>
      <x:c r="O292" s="15" t="n">
        <x:f>IF(E292=0,"해당 없음",G292/E292)</x:f>
        <x:v>0.02857142857142857</x:v>
      </x:c>
      <x:c r="P292" s="15" t="n">
        <x:f>IF(E292=0,"해당 없음",H292/E292)</x:f>
        <x:v>0.05714285714285714</x:v>
      </x:c>
      <x:c r="Q292" s="15" t="n">
        <x:f>IF(E292=0,"해당 없음",I292/E292)</x:f>
        <x:v>0.08571428571428572</x:v>
      </x:c>
      <x:c r="R292" s="15" t="n">
        <x:f>IF(E292=0,"해당 없음",J292/E292)</x:f>
        <x:v>0.12380952380952381</x:v>
      </x:c>
      <x:c r="S292" s="15" t="n">
        <x:f>IF(E292=0,"해당 없음",K292/E292)</x:f>
        <x:v>0.0761904761904762</x:v>
      </x:c>
      <x:c r="T292" s="15" t="n">
        <x:f>IF(E292=0,"해당 없음",L292/E292)</x:f>
        <x:v>0.20952380952380953</x:v>
      </x:c>
      <x:c r="U292" s="15" t="n">
        <x:f>IF(E292=0,"해당 없음",M292/E292)</x:f>
        <x:v>0.13333333333333333</x:v>
      </x:c>
      <x:c r="V292" s="16" t="n">
        <x:f>E292/5</x:f>
        <x:v>21</x:v>
      </x:c>
    </x:row>
    <x:row r="293" ht="22" customHeight="1">
      <x:c r="A293" s="2" t="n">
        <x:v>144</x:v>
      </x:c>
      <x:c r="B293" s="2" t="str">
        <x:v>NAVY</x:v>
      </x:c>
      <x:c r="C293" s="2" t="str">
        <x:v>120만</x:v>
      </x:c>
      <x:c r="D293" s="2" t="str">
        <x:v>규칙형</x:v>
      </x:c>
      <x:c r="E293" s="14" t="n">
        <x:f>SUM(F293:M293)</x:f>
        <x:v>105</x:v>
      </x:c>
      <x:c r="F293" s="14" t="n">
        <x:v>0</x:v>
      </x:c>
      <x:c r="G293" s="14" t="n">
        <x:v>14</x:v>
      </x:c>
      <x:c r="H293" s="14" t="n">
        <x:v>14</x:v>
      </x:c>
      <x:c r="I293" s="14" t="n">
        <x:v>9</x:v>
      </x:c>
      <x:c r="J293" s="14" t="n">
        <x:v>1</x:v>
      </x:c>
      <x:c r="K293" s="14" t="n">
        <x:v>4</x:v>
      </x:c>
      <x:c r="L293" s="14" t="n">
        <x:v>44</x:v>
      </x:c>
      <x:c r="M293" s="14" t="n">
        <x:v>19</x:v>
      </x:c>
      <x:c r="N293" s="15" t="n">
        <x:f>IF(E293=0,"해당 없음",F293/E293)</x:f>
        <x:v>0</x:v>
      </x:c>
      <x:c r="O293" s="15" t="n">
        <x:f>IF(E293=0,"해당 없음",G293/E293)</x:f>
        <x:v>0.13333333333333333</x:v>
      </x:c>
      <x:c r="P293" s="15" t="n">
        <x:f>IF(E293=0,"해당 없음",H293/E293)</x:f>
        <x:v>0.13333333333333333</x:v>
      </x:c>
      <x:c r="Q293" s="15" t="n">
        <x:f>IF(E293=0,"해당 없음",I293/E293)</x:f>
        <x:v>0.08571428571428572</x:v>
      </x:c>
      <x:c r="R293" s="15" t="n">
        <x:f>IF(E293=0,"해당 없음",J293/E293)</x:f>
        <x:v>0.009523809523809525</x:v>
      </x:c>
      <x:c r="S293" s="15" t="n">
        <x:f>IF(E293=0,"해당 없음",K293/E293)</x:f>
        <x:v>0.0380952380952381</x:v>
      </x:c>
      <x:c r="T293" s="15" t="n">
        <x:f>IF(E293=0,"해당 없음",L293/E293)</x:f>
        <x:v>0.41904761904761906</x:v>
      </x:c>
      <x:c r="U293" s="15" t="n">
        <x:f>IF(E293=0,"해당 없음",M293/E293)</x:f>
        <x:v>0.18095238095238095</x:v>
      </x:c>
      <x:c r="V293" s="16" t="n">
        <x:f>E293/5</x:f>
        <x:v>21</x:v>
      </x:c>
    </x:row>
    <x:row r="294" ht="22" customHeight="1">
      <x:c r="A294" s="2" t="n">
        <x:v>145</x:v>
      </x:c>
      <x:c r="B294" s="2" t="str">
        <x:v>RED</x:v>
      </x:c>
      <x:c r="C294" s="2" t="str">
        <x:v>120만</x:v>
      </x:c>
      <x:c r="D294" s="2" t="str">
        <x:v>규칙형</x:v>
      </x:c>
      <x:c r="E294" s="14" t="n">
        <x:f>SUM(F294:M294)</x:f>
        <x:v>106</x:v>
      </x:c>
      <x:c r="F294" s="14" t="n">
        <x:v>1</x:v>
      </x:c>
      <x:c r="G294" s="14" t="n">
        <x:v>6</x:v>
      </x:c>
      <x:c r="H294" s="14" t="n">
        <x:v>10</x:v>
      </x:c>
      <x:c r="I294" s="14" t="n">
        <x:v>8</x:v>
      </x:c>
      <x:c r="J294" s="14" t="n">
        <x:v>3</x:v>
      </x:c>
      <x:c r="K294" s="14" t="n">
        <x:v>10</x:v>
      </x:c>
      <x:c r="L294" s="14" t="n">
        <x:v>42</x:v>
      </x:c>
      <x:c r="M294" s="14" t="n">
        <x:v>26</x:v>
      </x:c>
      <x:c r="N294" s="15" t="n">
        <x:f>IF(E294=0,"해당 없음",F294/E294)</x:f>
        <x:v>0.009433962264150943</x:v>
      </x:c>
      <x:c r="O294" s="15" t="n">
        <x:f>IF(E294=0,"해당 없음",G294/E294)</x:f>
        <x:v>0.05660377358490566</x:v>
      </x:c>
      <x:c r="P294" s="15" t="n">
        <x:f>IF(E294=0,"해당 없음",H294/E294)</x:f>
        <x:v>0.09433962264150944</x:v>
      </x:c>
      <x:c r="Q294" s="15" t="n">
        <x:f>IF(E294=0,"해당 없음",I294/E294)</x:f>
        <x:v>0.07547169811320754</x:v>
      </x:c>
      <x:c r="R294" s="15" t="n">
        <x:f>IF(E294=0,"해당 없음",J294/E294)</x:f>
        <x:v>0.02830188679245283</x:v>
      </x:c>
      <x:c r="S294" s="15" t="n">
        <x:f>IF(E294=0,"해당 없음",K294/E294)</x:f>
        <x:v>0.09433962264150944</x:v>
      </x:c>
      <x:c r="T294" s="15" t="n">
        <x:f>IF(E294=0,"해당 없음",L294/E294)</x:f>
        <x:v>0.39622641509433965</x:v>
      </x:c>
      <x:c r="U294" s="15" t="n">
        <x:f>IF(E294=0,"해당 없음",M294/E294)</x:f>
        <x:v>0.24528301886792453</x:v>
      </x:c>
      <x:c r="V294" s="16" t="n">
        <x:f>E294/5</x:f>
        <x:v>21.2</x:v>
      </x:c>
    </x:row>
    <x:row r="295" ht="22" customHeight="1">
      <x:c r="A295" s="2" t="n">
        <x:v>145</x:v>
      </x:c>
      <x:c r="B295" s="2" t="str">
        <x:v>NAVY</x:v>
      </x:c>
      <x:c r="C295" s="2" t="str">
        <x:v>규칙형</x:v>
      </x:c>
      <x:c r="D295" s="2" t="str">
        <x:v>120만</x:v>
      </x:c>
      <x:c r="E295" s="14" t="n">
        <x:f>SUM(F295:M295)</x:f>
        <x:v>107</x:v>
      </x:c>
      <x:c r="F295" s="14" t="n">
        <x:v>37</x:v>
      </x:c>
      <x:c r="G295" s="14" t="n">
        <x:v>5</x:v>
      </x:c>
      <x:c r="H295" s="14" t="n">
        <x:v>4</x:v>
      </x:c>
      <x:c r="I295" s="14" t="n">
        <x:v>19</x:v>
      </x:c>
      <x:c r="J295" s="14" t="n">
        <x:v>4</x:v>
      </x:c>
      <x:c r="K295" s="14" t="n">
        <x:v>4</x:v>
      </x:c>
      <x:c r="L295" s="14" t="n">
        <x:v>26</x:v>
      </x:c>
      <x:c r="M295" s="14" t="n">
        <x:v>8</x:v>
      </x:c>
      <x:c r="N295" s="15" t="n">
        <x:f>IF(E295=0,"해당 없음",F295/E295)</x:f>
        <x:v>0.34579439252336447</x:v>
      </x:c>
      <x:c r="O295" s="15" t="n">
        <x:f>IF(E295=0,"해당 없음",G295/E295)</x:f>
        <x:v>0.04672897196261682</x:v>
      </x:c>
      <x:c r="P295" s="15" t="n">
        <x:f>IF(E295=0,"해당 없음",H295/E295)</x:f>
        <x:v>0.037383177570093455</x:v>
      </x:c>
      <x:c r="Q295" s="15" t="n">
        <x:f>IF(E295=0,"해당 없음",I295/E295)</x:f>
        <x:v>0.17757009345794392</x:v>
      </x:c>
      <x:c r="R295" s="15" t="n">
        <x:f>IF(E295=0,"해당 없음",J295/E295)</x:f>
        <x:v>0.037383177570093455</x:v>
      </x:c>
      <x:c r="S295" s="15" t="n">
        <x:f>IF(E295=0,"해당 없음",K295/E295)</x:f>
        <x:v>0.037383177570093455</x:v>
      </x:c>
      <x:c r="T295" s="15" t="n">
        <x:f>IF(E295=0,"해당 없음",L295/E295)</x:f>
        <x:v>0.24299065420560748</x:v>
      </x:c>
      <x:c r="U295" s="15" t="n">
        <x:f>IF(E295=0,"해당 없음",M295/E295)</x:f>
        <x:v>0.07476635514018691</x:v>
      </x:c>
      <x:c r="V295" s="16" t="n">
        <x:f>E295/5</x:f>
        <x:v>21.4</x:v>
      </x:c>
    </x:row>
    <x:row r="296" ht="22" customHeight="1">
      <x:c r="A296" s="2" t="n">
        <x:v>146</x:v>
      </x:c>
      <x:c r="B296" s="2" t="str">
        <x:v>RED</x:v>
      </x:c>
      <x:c r="C296" s="2" t="str">
        <x:v>규칙형</x:v>
      </x:c>
      <x:c r="D296" s="2" t="str">
        <x:v>120만</x:v>
      </x:c>
      <x:c r="E296" s="14" t="n">
        <x:f>SUM(F296:M296)</x:f>
        <x:v>106</x:v>
      </x:c>
      <x:c r="F296" s="14" t="n">
        <x:v>39</x:v>
      </x:c>
      <x:c r="G296" s="14" t="n">
        <x:v>8</x:v>
      </x:c>
      <x:c r="H296" s="14" t="n">
        <x:v>2</x:v>
      </x:c>
      <x:c r="I296" s="14" t="n">
        <x:v>22</x:v>
      </x:c>
      <x:c r="J296" s="14" t="n">
        <x:v>7</x:v>
      </x:c>
      <x:c r="K296" s="14" t="n">
        <x:v>4</x:v>
      </x:c>
      <x:c r="L296" s="14" t="n">
        <x:v>17</x:v>
      </x:c>
      <x:c r="M296" s="14" t="n">
        <x:v>7</x:v>
      </x:c>
      <x:c r="N296" s="15" t="n">
        <x:f>IF(E296=0,"해당 없음",F296/E296)</x:f>
        <x:v>0.36792452830188677</x:v>
      </x:c>
      <x:c r="O296" s="15" t="n">
        <x:f>IF(E296=0,"해당 없음",G296/E296)</x:f>
        <x:v>0.07547169811320754</x:v>
      </x:c>
      <x:c r="P296" s="15" t="n">
        <x:f>IF(E296=0,"해당 없음",H296/E296)</x:f>
        <x:v>0.018867924528301886</x:v>
      </x:c>
      <x:c r="Q296" s="15" t="n">
        <x:f>IF(E296=0,"해당 없음",I296/E296)</x:f>
        <x:v>0.20754716981132076</x:v>
      </x:c>
      <x:c r="R296" s="15" t="n">
        <x:f>IF(E296=0,"해당 없음",J296/E296)</x:f>
        <x:v>0.0660377358490566</x:v>
      </x:c>
      <x:c r="S296" s="15" t="n">
        <x:f>IF(E296=0,"해당 없음",K296/E296)</x:f>
        <x:v>0.03773584905660377</x:v>
      </x:c>
      <x:c r="T296" s="15" t="n">
        <x:f>IF(E296=0,"해당 없음",L296/E296)</x:f>
        <x:v>0.16037735849056603</x:v>
      </x:c>
      <x:c r="U296" s="15" t="n">
        <x:f>IF(E296=0,"해당 없음",M296/E296)</x:f>
        <x:v>0.0660377358490566</x:v>
      </x:c>
      <x:c r="V296" s="16" t="n">
        <x:f>E296/5</x:f>
        <x:v>21.2</x:v>
      </x:c>
    </x:row>
    <x:row r="297" ht="22" customHeight="1">
      <x:c r="A297" s="2" t="n">
        <x:v>146</x:v>
      </x:c>
      <x:c r="B297" s="2" t="str">
        <x:v>NAVY</x:v>
      </x:c>
      <x:c r="C297" s="2" t="str">
        <x:v>120만</x:v>
      </x:c>
      <x:c r="D297" s="2" t="str">
        <x:v>규칙형</x:v>
      </x:c>
      <x:c r="E297" s="14" t="n">
        <x:f>SUM(F297:M297)</x:f>
        <x:v>103</x:v>
      </x:c>
      <x:c r="F297" s="14" t="n">
        <x:v>3</x:v>
      </x:c>
      <x:c r="G297" s="14" t="n">
        <x:v>13</x:v>
      </x:c>
      <x:c r="H297" s="14" t="n">
        <x:v>5</x:v>
      </x:c>
      <x:c r="I297" s="14" t="n">
        <x:v>4</x:v>
      </x:c>
      <x:c r="J297" s="14" t="n">
        <x:v>6</x:v>
      </x:c>
      <x:c r="K297" s="14" t="n">
        <x:v>6</x:v>
      </x:c>
      <x:c r="L297" s="14" t="n">
        <x:v>36</x:v>
      </x:c>
      <x:c r="M297" s="14" t="n">
        <x:v>30</x:v>
      </x:c>
      <x:c r="N297" s="15" t="n">
        <x:f>IF(E297=0,"해당 없음",F297/E297)</x:f>
        <x:v>0.02912621359223301</x:v>
      </x:c>
      <x:c r="O297" s="15" t="n">
        <x:f>IF(E297=0,"해당 없음",G297/E297)</x:f>
        <x:v>0.1262135922330097</x:v>
      </x:c>
      <x:c r="P297" s="15" t="n">
        <x:f>IF(E297=0,"해당 없음",H297/E297)</x:f>
        <x:v>0.04854368932038835</x:v>
      </x:c>
      <x:c r="Q297" s="15" t="n">
        <x:f>IF(E297=0,"해당 없음",I297/E297)</x:f>
        <x:v>0.038834951456310676</x:v>
      </x:c>
      <x:c r="R297" s="15" t="n">
        <x:f>IF(E297=0,"해당 없음",J297/E297)</x:f>
        <x:v>0.05825242718446602</x:v>
      </x:c>
      <x:c r="S297" s="15" t="n">
        <x:f>IF(E297=0,"해당 없음",K297/E297)</x:f>
        <x:v>0.05825242718446602</x:v>
      </x:c>
      <x:c r="T297" s="15" t="n">
        <x:f>IF(E297=0,"해당 없음",L297/E297)</x:f>
        <x:v>0.34951456310679613</x:v>
      </x:c>
      <x:c r="U297" s="15" t="n">
        <x:f>IF(E297=0,"해당 없음",M297/E297)</x:f>
        <x:v>0.2912621359223301</x:v>
      </x:c>
      <x:c r="V297" s="16" t="n">
        <x:f>E297/5</x:f>
        <x:v>20.6</x:v>
      </x:c>
    </x:row>
    <x:row r="298" ht="22" customHeight="1">
      <x:c r="A298" s="2" t="n">
        <x:v>147</x:v>
      </x:c>
      <x:c r="B298" s="2" t="str">
        <x:v>RED</x:v>
      </x:c>
      <x:c r="C298" s="2" t="str">
        <x:v>120만</x:v>
      </x:c>
      <x:c r="D298" s="2" t="str">
        <x:v>규칙형</x:v>
      </x:c>
      <x:c r="E298" s="14" t="n">
        <x:f>SUM(F298:M298)</x:f>
        <x:v>106</x:v>
      </x:c>
      <x:c r="F298" s="14" t="n">
        <x:v>0</x:v>
      </x:c>
      <x:c r="G298" s="14" t="n">
        <x:v>4</x:v>
      </x:c>
      <x:c r="H298" s="14" t="n">
        <x:v>9</x:v>
      </x:c>
      <x:c r="I298" s="14" t="n">
        <x:v>10</x:v>
      </x:c>
      <x:c r="J298" s="14" t="n">
        <x:v>0</x:v>
      </x:c>
      <x:c r="K298" s="14" t="n">
        <x:v>6</x:v>
      </x:c>
      <x:c r="L298" s="14" t="n">
        <x:v>44</x:v>
      </x:c>
      <x:c r="M298" s="14" t="n">
        <x:v>33</x:v>
      </x:c>
      <x:c r="N298" s="15" t="n">
        <x:f>IF(E298=0,"해당 없음",F298/E298)</x:f>
        <x:v>0</x:v>
      </x:c>
      <x:c r="O298" s="15" t="n">
        <x:f>IF(E298=0,"해당 없음",G298/E298)</x:f>
        <x:v>0.03773584905660377</x:v>
      </x:c>
      <x:c r="P298" s="15" t="n">
        <x:f>IF(E298=0,"해당 없음",H298/E298)</x:f>
        <x:v>0.08490566037735849</x:v>
      </x:c>
      <x:c r="Q298" s="15" t="n">
        <x:f>IF(E298=0,"해당 없음",I298/E298)</x:f>
        <x:v>0.09433962264150944</x:v>
      </x:c>
      <x:c r="R298" s="15" t="n">
        <x:f>IF(E298=0,"해당 없음",J298/E298)</x:f>
        <x:v>0</x:v>
      </x:c>
      <x:c r="S298" s="15" t="n">
        <x:f>IF(E298=0,"해당 없음",K298/E298)</x:f>
        <x:v>0.05660377358490566</x:v>
      </x:c>
      <x:c r="T298" s="15" t="n">
        <x:f>IF(E298=0,"해당 없음",L298/E298)</x:f>
        <x:v>0.41509433962264153</x:v>
      </x:c>
      <x:c r="U298" s="15" t="n">
        <x:f>IF(E298=0,"해당 없음",M298/E298)</x:f>
        <x:v>0.3113207547169811</x:v>
      </x:c>
      <x:c r="V298" s="16" t="n">
        <x:f>E298/5</x:f>
        <x:v>21.2</x:v>
      </x:c>
    </x:row>
    <x:row r="299" ht="22" customHeight="1">
      <x:c r="A299" s="2" t="n">
        <x:v>147</x:v>
      </x:c>
      <x:c r="B299" s="2" t="str">
        <x:v>NAVY</x:v>
      </x:c>
      <x:c r="C299" s="2" t="str">
        <x:v>규칙형</x:v>
      </x:c>
      <x:c r="D299" s="2" t="str">
        <x:v>120만</x:v>
      </x:c>
      <x:c r="E299" s="14" t="n">
        <x:f>SUM(F299:M299)</x:f>
        <x:v>106</x:v>
      </x:c>
      <x:c r="F299" s="14" t="n">
        <x:v>34</x:v>
      </x:c>
      <x:c r="G299" s="14" t="n">
        <x:v>1</x:v>
      </x:c>
      <x:c r="H299" s="14" t="n">
        <x:v>3</x:v>
      </x:c>
      <x:c r="I299" s="14" t="n">
        <x:v>16</x:v>
      </x:c>
      <x:c r="J299" s="14" t="n">
        <x:v>4</x:v>
      </x:c>
      <x:c r="K299" s="14" t="n">
        <x:v>6</x:v>
      </x:c>
      <x:c r="L299" s="14" t="n">
        <x:v>33</x:v>
      </x:c>
      <x:c r="M299" s="14" t="n">
        <x:v>9</x:v>
      </x:c>
      <x:c r="N299" s="15" t="n">
        <x:f>IF(E299=0,"해당 없음",F299/E299)</x:f>
        <x:v>0.32075471698113206</x:v>
      </x:c>
      <x:c r="O299" s="15" t="n">
        <x:f>IF(E299=0,"해당 없음",G299/E299)</x:f>
        <x:v>0.009433962264150943</x:v>
      </x:c>
      <x:c r="P299" s="15" t="n">
        <x:f>IF(E299=0,"해당 없음",H299/E299)</x:f>
        <x:v>0.02830188679245283</x:v>
      </x:c>
      <x:c r="Q299" s="15" t="n">
        <x:f>IF(E299=0,"해당 없음",I299/E299)</x:f>
        <x:v>0.1509433962264151</x:v>
      </x:c>
      <x:c r="R299" s="15" t="n">
        <x:f>IF(E299=0,"해당 없음",J299/E299)</x:f>
        <x:v>0.03773584905660377</x:v>
      </x:c>
      <x:c r="S299" s="15" t="n">
        <x:f>IF(E299=0,"해당 없음",K299/E299)</x:f>
        <x:v>0.05660377358490566</x:v>
      </x:c>
      <x:c r="T299" s="15" t="n">
        <x:f>IF(E299=0,"해당 없음",L299/E299)</x:f>
        <x:v>0.3113207547169811</x:v>
      </x:c>
      <x:c r="U299" s="15" t="n">
        <x:f>IF(E299=0,"해당 없음",M299/E299)</x:f>
        <x:v>0.08490566037735849</x:v>
      </x:c>
      <x:c r="V299" s="16" t="n">
        <x:f>E299/5</x:f>
        <x:v>21.2</x:v>
      </x:c>
    </x:row>
    <x:row r="300" ht="22" customHeight="1">
      <x:c r="A300" s="2" t="n">
        <x:v>148</x:v>
      </x:c>
      <x:c r="B300" s="2" t="str">
        <x:v>RED</x:v>
      </x:c>
      <x:c r="C300" s="2" t="str">
        <x:v>규칙형</x:v>
      </x:c>
      <x:c r="D300" s="2" t="str">
        <x:v>120만</x:v>
      </x:c>
      <x:c r="E300" s="14" t="n">
        <x:f>SUM(F300:M300)</x:f>
        <x:v>104</x:v>
      </x:c>
      <x:c r="F300" s="14" t="n">
        <x:v>42</x:v>
      </x:c>
      <x:c r="G300" s="14" t="n">
        <x:v>2</x:v>
      </x:c>
      <x:c r="H300" s="14" t="n">
        <x:v>10</x:v>
      </x:c>
      <x:c r="I300" s="14" t="n">
        <x:v>15</x:v>
      </x:c>
      <x:c r="J300" s="14" t="n">
        <x:v>6</x:v>
      </x:c>
      <x:c r="K300" s="14" t="n">
        <x:v>3</x:v>
      </x:c>
      <x:c r="L300" s="14" t="n">
        <x:v>19</x:v>
      </x:c>
      <x:c r="M300" s="14" t="n">
        <x:v>7</x:v>
      </x:c>
      <x:c r="N300" s="15" t="n">
        <x:f>IF(E300=0,"해당 없음",F300/E300)</x:f>
        <x:v>0.40384615384615385</x:v>
      </x:c>
      <x:c r="O300" s="15" t="n">
        <x:f>IF(E300=0,"해당 없음",G300/E300)</x:f>
        <x:v>0.019230769230769232</x:v>
      </x:c>
      <x:c r="P300" s="15" t="n">
        <x:f>IF(E300=0,"해당 없음",H300/E300)</x:f>
        <x:v>0.09615384615384616</x:v>
      </x:c>
      <x:c r="Q300" s="15" t="n">
        <x:f>IF(E300=0,"해당 없음",I300/E300)</x:f>
        <x:v>0.14423076923076922</x:v>
      </x:c>
      <x:c r="R300" s="15" t="n">
        <x:f>IF(E300=0,"해당 없음",J300/E300)</x:f>
        <x:v>0.057692307692307696</x:v>
      </x:c>
      <x:c r="S300" s="15" t="n">
        <x:f>IF(E300=0,"해당 없음",K300/E300)</x:f>
        <x:v>0.028846153846153848</x:v>
      </x:c>
      <x:c r="T300" s="15" t="n">
        <x:f>IF(E300=0,"해당 없음",L300/E300)</x:f>
        <x:v>0.18269230769230768</x:v>
      </x:c>
      <x:c r="U300" s="15" t="n">
        <x:f>IF(E300=0,"해당 없음",M300/E300)</x:f>
        <x:v>0.0673076923076923</x:v>
      </x:c>
      <x:c r="V300" s="16" t="n">
        <x:f>E300/5</x:f>
        <x:v>20.8</x:v>
      </x:c>
    </x:row>
    <x:row r="301" ht="22" customHeight="1">
      <x:c r="A301" s="2" t="n">
        <x:v>148</x:v>
      </x:c>
      <x:c r="B301" s="2" t="str">
        <x:v>NAVY</x:v>
      </x:c>
      <x:c r="C301" s="2" t="str">
        <x:v>120만</x:v>
      </x:c>
      <x:c r="D301" s="2" t="str">
        <x:v>규칙형</x:v>
      </x:c>
      <x:c r="E301" s="14" t="n">
        <x:f>SUM(F301:M301)</x:f>
        <x:v>103</x:v>
      </x:c>
      <x:c r="F301" s="14" t="n">
        <x:v>3</x:v>
      </x:c>
      <x:c r="G301" s="14" t="n">
        <x:v>14</x:v>
      </x:c>
      <x:c r="H301" s="14" t="n">
        <x:v>7</x:v>
      </x:c>
      <x:c r="I301" s="14" t="n">
        <x:v>4</x:v>
      </x:c>
      <x:c r="J301" s="14" t="n">
        <x:v>4</x:v>
      </x:c>
      <x:c r="K301" s="14" t="n">
        <x:v>1</x:v>
      </x:c>
      <x:c r="L301" s="14" t="n">
        <x:v>35</x:v>
      </x:c>
      <x:c r="M301" s="14" t="n">
        <x:v>35</x:v>
      </x:c>
      <x:c r="N301" s="15" t="n">
        <x:f>IF(E301=0,"해당 없음",F301/E301)</x:f>
        <x:v>0.02912621359223301</x:v>
      </x:c>
      <x:c r="O301" s="15" t="n">
        <x:f>IF(E301=0,"해당 없음",G301/E301)</x:f>
        <x:v>0.13592233009708737</x:v>
      </x:c>
      <x:c r="P301" s="15" t="n">
        <x:f>IF(E301=0,"해당 없음",H301/E301)</x:f>
        <x:v>0.06796116504854369</x:v>
      </x:c>
      <x:c r="Q301" s="15" t="n">
        <x:f>IF(E301=0,"해당 없음",I301/E301)</x:f>
        <x:v>0.038834951456310676</x:v>
      </x:c>
      <x:c r="R301" s="15" t="n">
        <x:f>IF(E301=0,"해당 없음",J301/E301)</x:f>
        <x:v>0.038834951456310676</x:v>
      </x:c>
      <x:c r="S301" s="15" t="n">
        <x:f>IF(E301=0,"해당 없음",K301/E301)</x:f>
        <x:v>0.009708737864077669</x:v>
      </x:c>
      <x:c r="T301" s="15" t="n">
        <x:f>IF(E301=0,"해당 없음",L301/E301)</x:f>
        <x:v>0.33980582524271846</x:v>
      </x:c>
      <x:c r="U301" s="15" t="n">
        <x:f>IF(E301=0,"해당 없음",M301/E301)</x:f>
        <x:v>0.33980582524271846</x:v>
      </x:c>
      <x:c r="V301" s="16" t="n">
        <x:f>E301/5</x:f>
        <x:v>20.6</x:v>
      </x:c>
    </x:row>
    <x:row r="302" ht="22" customHeight="1">
      <x:c r="A302" s="2" t="n">
        <x:v>149</x:v>
      </x:c>
      <x:c r="B302" s="2" t="str">
        <x:v>RED</x:v>
      </x:c>
      <x:c r="C302" s="2" t="str">
        <x:v>120만</x:v>
      </x:c>
      <x:c r="D302" s="2" t="str">
        <x:v>규칙형</x:v>
      </x:c>
      <x:c r="E302" s="14" t="n">
        <x:f>SUM(F302:M302)</x:f>
        <x:v>103</x:v>
      </x:c>
      <x:c r="F302" s="14" t="n">
        <x:v>0</x:v>
      </x:c>
      <x:c r="G302" s="14" t="n">
        <x:v>14</x:v>
      </x:c>
      <x:c r="H302" s="14" t="n">
        <x:v>4</x:v>
      </x:c>
      <x:c r="I302" s="14" t="n">
        <x:v>8</x:v>
      </x:c>
      <x:c r="J302" s="14" t="n">
        <x:v>2</x:v>
      </x:c>
      <x:c r="K302" s="14" t="n">
        <x:v>8</x:v>
      </x:c>
      <x:c r="L302" s="14" t="n">
        <x:v>39</x:v>
      </x:c>
      <x:c r="M302" s="14" t="n">
        <x:v>28</x:v>
      </x:c>
      <x:c r="N302" s="15" t="n">
        <x:f>IF(E302=0,"해당 없음",F302/E302)</x:f>
        <x:v>0</x:v>
      </x:c>
      <x:c r="O302" s="15" t="n">
        <x:f>IF(E302=0,"해당 없음",G302/E302)</x:f>
        <x:v>0.13592233009708737</x:v>
      </x:c>
      <x:c r="P302" s="15" t="n">
        <x:f>IF(E302=0,"해당 없음",H302/E302)</x:f>
        <x:v>0.038834951456310676</x:v>
      </x:c>
      <x:c r="Q302" s="15" t="n">
        <x:f>IF(E302=0,"해당 없음",I302/E302)</x:f>
        <x:v>0.07766990291262135</x:v>
      </x:c>
      <x:c r="R302" s="15" t="n">
        <x:f>IF(E302=0,"해당 없음",J302/E302)</x:f>
        <x:v>0.019417475728155338</x:v>
      </x:c>
      <x:c r="S302" s="15" t="n">
        <x:f>IF(E302=0,"해당 없음",K302/E302)</x:f>
        <x:v>0.07766990291262135</x:v>
      </x:c>
      <x:c r="T302" s="15" t="n">
        <x:f>IF(E302=0,"해당 없음",L302/E302)</x:f>
        <x:v>0.3786407766990291</x:v>
      </x:c>
      <x:c r="U302" s="15" t="n">
        <x:f>IF(E302=0,"해당 없음",M302/E302)</x:f>
        <x:v>0.27184466019417475</x:v>
      </x:c>
      <x:c r="V302" s="16" t="n">
        <x:f>E302/5</x:f>
        <x:v>20.6</x:v>
      </x:c>
    </x:row>
    <x:row r="303" ht="22" customHeight="1">
      <x:c r="A303" s="2" t="n">
        <x:v>149</x:v>
      </x:c>
      <x:c r="B303" s="2" t="str">
        <x:v>NAVY</x:v>
      </x:c>
      <x:c r="C303" s="2" t="str">
        <x:v>규칙형</x:v>
      </x:c>
      <x:c r="D303" s="2" t="str">
        <x:v>120만</x:v>
      </x:c>
      <x:c r="E303" s="14" t="n">
        <x:f>SUM(F303:M303)</x:f>
        <x:v>103</x:v>
      </x:c>
      <x:c r="F303" s="14" t="n">
        <x:v>38</x:v>
      </x:c>
      <x:c r="G303" s="14" t="n">
        <x:v>3</x:v>
      </x:c>
      <x:c r="H303" s="14" t="n">
        <x:v>18</x:v>
      </x:c>
      <x:c r="I303" s="14" t="n">
        <x:v>16</x:v>
      </x:c>
      <x:c r="J303" s="14" t="n">
        <x:v>6</x:v>
      </x:c>
      <x:c r="K303" s="14" t="n">
        <x:v>1</x:v>
      </x:c>
      <x:c r="L303" s="14" t="n">
        <x:v>16</x:v>
      </x:c>
      <x:c r="M303" s="14" t="n">
        <x:v>5</x:v>
      </x:c>
      <x:c r="N303" s="15" t="n">
        <x:f>IF(E303=0,"해당 없음",F303/E303)</x:f>
        <x:v>0.36893203883495146</x:v>
      </x:c>
      <x:c r="O303" s="15" t="n">
        <x:f>IF(E303=0,"해당 없음",G303/E303)</x:f>
        <x:v>0.02912621359223301</x:v>
      </x:c>
      <x:c r="P303" s="15" t="n">
        <x:f>IF(E303=0,"해당 없음",H303/E303)</x:f>
        <x:v>0.17475728155339806</x:v>
      </x:c>
      <x:c r="Q303" s="15" t="n">
        <x:f>IF(E303=0,"해당 없음",I303/E303)</x:f>
        <x:v>0.1553398058252427</x:v>
      </x:c>
      <x:c r="R303" s="15" t="n">
        <x:f>IF(E303=0,"해당 없음",J303/E303)</x:f>
        <x:v>0.05825242718446602</x:v>
      </x:c>
      <x:c r="S303" s="15" t="n">
        <x:f>IF(E303=0,"해당 없음",K303/E303)</x:f>
        <x:v>0.009708737864077669</x:v>
      </x:c>
      <x:c r="T303" s="15" t="n">
        <x:f>IF(E303=0,"해당 없음",L303/E303)</x:f>
        <x:v>0.1553398058252427</x:v>
      </x:c>
      <x:c r="U303" s="15" t="n">
        <x:f>IF(E303=0,"해당 없음",M303/E303)</x:f>
        <x:v>0.04854368932038835</x:v>
      </x:c>
      <x:c r="V303" s="16" t="n">
        <x:f>E303/5</x:f>
        <x:v>20.6</x:v>
      </x:c>
    </x:row>
    <x:row r="304" ht="22" customHeight="1">
      <x:c r="A304" s="2" t="n">
        <x:v>150</x:v>
      </x:c>
      <x:c r="B304" s="2" t="str">
        <x:v>RED</x:v>
      </x:c>
      <x:c r="C304" s="2" t="str">
        <x:v>규칙형</x:v>
      </x:c>
      <x:c r="D304" s="2" t="str">
        <x:v>120만</x:v>
      </x:c>
      <x:c r="E304" s="14" t="n">
        <x:f>SUM(F304:M304)</x:f>
        <x:v>104</x:v>
      </x:c>
      <x:c r="F304" s="14" t="n">
        <x:v>35</x:v>
      </x:c>
      <x:c r="G304" s="14" t="n">
        <x:v>6</x:v>
      </x:c>
      <x:c r="H304" s="14" t="n">
        <x:v>5</x:v>
      </x:c>
      <x:c r="I304" s="14" t="n">
        <x:v>22</x:v>
      </x:c>
      <x:c r="J304" s="14" t="n">
        <x:v>8</x:v>
      </x:c>
      <x:c r="K304" s="14" t="n">
        <x:v>3</x:v>
      </x:c>
      <x:c r="L304" s="14" t="n">
        <x:v>20</x:v>
      </x:c>
      <x:c r="M304" s="14" t="n">
        <x:v>5</x:v>
      </x:c>
      <x:c r="N304" s="15" t="n">
        <x:f>IF(E304=0,"해당 없음",F304/E304)</x:f>
        <x:v>0.33653846153846156</x:v>
      </x:c>
      <x:c r="O304" s="15" t="n">
        <x:f>IF(E304=0,"해당 없음",G304/E304)</x:f>
        <x:v>0.057692307692307696</x:v>
      </x:c>
      <x:c r="P304" s="15" t="n">
        <x:f>IF(E304=0,"해당 없음",H304/E304)</x:f>
        <x:v>0.04807692307692308</x:v>
      </x:c>
      <x:c r="Q304" s="15" t="n">
        <x:f>IF(E304=0,"해당 없음",I304/E304)</x:f>
        <x:v>0.21153846153846154</x:v>
      </x:c>
      <x:c r="R304" s="15" t="n">
        <x:f>IF(E304=0,"해당 없음",J304/E304)</x:f>
        <x:v>0.07692307692307693</x:v>
      </x:c>
      <x:c r="S304" s="15" t="n">
        <x:f>IF(E304=0,"해당 없음",K304/E304)</x:f>
        <x:v>0.028846153846153848</x:v>
      </x:c>
      <x:c r="T304" s="15" t="n">
        <x:f>IF(E304=0,"해당 없음",L304/E304)</x:f>
        <x:v>0.19230769230769232</x:v>
      </x:c>
      <x:c r="U304" s="15" t="n">
        <x:f>IF(E304=0,"해당 없음",M304/E304)</x:f>
        <x:v>0.04807692307692308</x:v>
      </x:c>
      <x:c r="V304" s="16" t="n">
        <x:f>E304/5</x:f>
        <x:v>20.8</x:v>
      </x:c>
    </x:row>
    <x:row r="305" ht="22" customHeight="1">
      <x:c r="A305" s="2" t="n">
        <x:v>150</x:v>
      </x:c>
      <x:c r="B305" s="2" t="str">
        <x:v>NAVY</x:v>
      </x:c>
      <x:c r="C305" s="2" t="str">
        <x:v>120만</x:v>
      </x:c>
      <x:c r="D305" s="2" t="str">
        <x:v>규칙형</x:v>
      </x:c>
      <x:c r="E305" s="14" t="n">
        <x:f>SUM(F305:M305)</x:f>
        <x:v>102</x:v>
      </x:c>
      <x:c r="F305" s="14" t="n">
        <x:v>1</x:v>
      </x:c>
      <x:c r="G305" s="14" t="n">
        <x:v>7</x:v>
      </x:c>
      <x:c r="H305" s="14" t="n">
        <x:v>9</x:v>
      </x:c>
      <x:c r="I305" s="14" t="n">
        <x:v>4</x:v>
      </x:c>
      <x:c r="J305" s="14" t="n">
        <x:v>3</x:v>
      </x:c>
      <x:c r="K305" s="14" t="n">
        <x:v>9</x:v>
      </x:c>
      <x:c r="L305" s="14" t="n">
        <x:v>33</x:v>
      </x:c>
      <x:c r="M305" s="14" t="n">
        <x:v>36</x:v>
      </x:c>
      <x:c r="N305" s="15" t="n">
        <x:f>IF(E305=0,"해당 없음",F305/E305)</x:f>
        <x:v>0.00980392156862745</x:v>
      </x:c>
      <x:c r="O305" s="15" t="n">
        <x:f>IF(E305=0,"해당 없음",G305/E305)</x:f>
        <x:v>0.06862745098039216</x:v>
      </x:c>
      <x:c r="P305" s="15" t="n">
        <x:f>IF(E305=0,"해당 없음",H305/E305)</x:f>
        <x:v>0.08823529411764706</x:v>
      </x:c>
      <x:c r="Q305" s="15" t="n">
        <x:f>IF(E305=0,"해당 없음",I305/E305)</x:f>
        <x:v>0.0392156862745098</x:v>
      </x:c>
      <x:c r="R305" s="15" t="n">
        <x:f>IF(E305=0,"해당 없음",J305/E305)</x:f>
        <x:v>0.029411764705882353</x:v>
      </x:c>
      <x:c r="S305" s="15" t="n">
        <x:f>IF(E305=0,"해당 없음",K305/E305)</x:f>
        <x:v>0.08823529411764706</x:v>
      </x:c>
      <x:c r="T305" s="15" t="n">
        <x:f>IF(E305=0,"해당 없음",L305/E305)</x:f>
        <x:v>0.3235294117647059</x:v>
      </x:c>
      <x:c r="U305" s="15" t="n">
        <x:f>IF(E305=0,"해당 없음",M305/E305)</x:f>
        <x:v>0.35294117647058826</x:v>
      </x:c>
      <x:c r="V305" s="16" t="n">
        <x:f>E305/5</x:f>
        <x:v>20.4</x:v>
      </x:c>
    </x:row>
    <x:row r="306" ht="22" customHeight="1">
      <x:c r="A306" s="2" t="n">
        <x:v>151</x:v>
      </x:c>
      <x:c r="B306" s="2" t="str">
        <x:v>RED</x:v>
      </x:c>
      <x:c r="C306" s="2" t="str">
        <x:v>120만</x:v>
      </x:c>
      <x:c r="D306" s="2" t="str">
        <x:v>규칙형</x:v>
      </x:c>
      <x:c r="E306" s="14" t="n">
        <x:f>SUM(F306:M306)</x:f>
        <x:v>103</x:v>
      </x:c>
      <x:c r="F306" s="14" t="n">
        <x:v>0</x:v>
      </x:c>
      <x:c r="G306" s="14" t="n">
        <x:v>18</x:v>
      </x:c>
      <x:c r="H306" s="14" t="n">
        <x:v>8</x:v>
      </x:c>
      <x:c r="I306" s="14" t="n">
        <x:v>7</x:v>
      </x:c>
      <x:c r="J306" s="14" t="n">
        <x:v>4</x:v>
      </x:c>
      <x:c r="K306" s="14" t="n">
        <x:v>8</x:v>
      </x:c>
      <x:c r="L306" s="14" t="n">
        <x:v>40</x:v>
      </x:c>
      <x:c r="M306" s="14" t="n">
        <x:v>18</x:v>
      </x:c>
      <x:c r="N306" s="15" t="n">
        <x:f>IF(E306=0,"해당 없음",F306/E306)</x:f>
        <x:v>0</x:v>
      </x:c>
      <x:c r="O306" s="15" t="n">
        <x:f>IF(E306=0,"해당 없음",G306/E306)</x:f>
        <x:v>0.17475728155339806</x:v>
      </x:c>
      <x:c r="P306" s="15" t="n">
        <x:f>IF(E306=0,"해당 없음",H306/E306)</x:f>
        <x:v>0.07766990291262135</x:v>
      </x:c>
      <x:c r="Q306" s="15" t="n">
        <x:f>IF(E306=0,"해당 없음",I306/E306)</x:f>
        <x:v>0.06796116504854369</x:v>
      </x:c>
      <x:c r="R306" s="15" t="n">
        <x:f>IF(E306=0,"해당 없음",J306/E306)</x:f>
        <x:v>0.038834951456310676</x:v>
      </x:c>
      <x:c r="S306" s="15" t="n">
        <x:f>IF(E306=0,"해당 없음",K306/E306)</x:f>
        <x:v>0.07766990291262135</x:v>
      </x:c>
      <x:c r="T306" s="15" t="n">
        <x:f>IF(E306=0,"해당 없음",L306/E306)</x:f>
        <x:v>0.3883495145631068</x:v>
      </x:c>
      <x:c r="U306" s="15" t="n">
        <x:f>IF(E306=0,"해당 없음",M306/E306)</x:f>
        <x:v>0.17475728155339806</x:v>
      </x:c>
      <x:c r="V306" s="16" t="n">
        <x:f>E306/5</x:f>
        <x:v>20.6</x:v>
      </x:c>
    </x:row>
    <x:row r="307" ht="22" customHeight="1">
      <x:c r="A307" s="2" t="n">
        <x:v>151</x:v>
      </x:c>
      <x:c r="B307" s="2" t="str">
        <x:v>NAVY</x:v>
      </x:c>
      <x:c r="C307" s="2" t="str">
        <x:v>규칙형</x:v>
      </x:c>
      <x:c r="D307" s="2" t="str">
        <x:v>120만</x:v>
      </x:c>
      <x:c r="E307" s="14" t="n">
        <x:f>SUM(F307:M307)</x:f>
        <x:v>103</x:v>
      </x:c>
      <x:c r="F307" s="14" t="n">
        <x:v>44</x:v>
      </x:c>
      <x:c r="G307" s="14" t="n">
        <x:v>2</x:v>
      </x:c>
      <x:c r="H307" s="14" t="n">
        <x:v>12</x:v>
      </x:c>
      <x:c r="I307" s="14" t="n">
        <x:v>16</x:v>
      </x:c>
      <x:c r="J307" s="14" t="n">
        <x:v>5</x:v>
      </x:c>
      <x:c r="K307" s="14" t="n">
        <x:v>2</x:v>
      </x:c>
      <x:c r="L307" s="14" t="n">
        <x:v>15</x:v>
      </x:c>
      <x:c r="M307" s="14" t="n">
        <x:v>7</x:v>
      </x:c>
      <x:c r="N307" s="15" t="n">
        <x:f>IF(E307=0,"해당 없음",F307/E307)</x:f>
        <x:v>0.42718446601941745</x:v>
      </x:c>
      <x:c r="O307" s="15" t="n">
        <x:f>IF(E307=0,"해당 없음",G307/E307)</x:f>
        <x:v>0.019417475728155338</x:v>
      </x:c>
      <x:c r="P307" s="15" t="n">
        <x:f>IF(E307=0,"해당 없음",H307/E307)</x:f>
        <x:v>0.11650485436893204</x:v>
      </x:c>
      <x:c r="Q307" s="15" t="n">
        <x:f>IF(E307=0,"해당 없음",I307/E307)</x:f>
        <x:v>0.1553398058252427</x:v>
      </x:c>
      <x:c r="R307" s="15" t="n">
        <x:f>IF(E307=0,"해당 없음",J307/E307)</x:f>
        <x:v>0.04854368932038835</x:v>
      </x:c>
      <x:c r="S307" s="15" t="n">
        <x:f>IF(E307=0,"해당 없음",K307/E307)</x:f>
        <x:v>0.019417475728155338</x:v>
      </x:c>
      <x:c r="T307" s="15" t="n">
        <x:f>IF(E307=0,"해당 없음",L307/E307)</x:f>
        <x:v>0.14563106796116504</x:v>
      </x:c>
      <x:c r="U307" s="15" t="n">
        <x:f>IF(E307=0,"해당 없음",M307/E307)</x:f>
        <x:v>0.06796116504854369</x:v>
      </x:c>
      <x:c r="V307" s="16" t="n">
        <x:f>E307/5</x:f>
        <x:v>20.6</x:v>
      </x:c>
    </x:row>
    <x:row r="308" ht="22" customHeight="1">
      <x:c r="A308" s="2" t="n">
        <x:v>152</x:v>
      </x:c>
      <x:c r="B308" s="2" t="str">
        <x:v>RED</x:v>
      </x:c>
      <x:c r="C308" s="2" t="str">
        <x:v>규칙형</x:v>
      </x:c>
      <x:c r="D308" s="2" t="str">
        <x:v>120만</x:v>
      </x:c>
      <x:c r="E308" s="14" t="n">
        <x:f>SUM(F308:M308)</x:f>
        <x:v>103</x:v>
      </x:c>
      <x:c r="F308" s="14" t="n">
        <x:v>42</x:v>
      </x:c>
      <x:c r="G308" s="14" t="n">
        <x:v>3</x:v>
      </x:c>
      <x:c r="H308" s="14" t="n">
        <x:v>9</x:v>
      </x:c>
      <x:c r="I308" s="14" t="n">
        <x:v>25</x:v>
      </x:c>
      <x:c r="J308" s="14" t="n">
        <x:v>3</x:v>
      </x:c>
      <x:c r="K308" s="14" t="n">
        <x:v>2</x:v>
      </x:c>
      <x:c r="L308" s="14" t="n">
        <x:v>15</x:v>
      </x:c>
      <x:c r="M308" s="14" t="n">
        <x:v>4</x:v>
      </x:c>
      <x:c r="N308" s="15" t="n">
        <x:f>IF(E308=0,"해당 없음",F308/E308)</x:f>
        <x:v>0.4077669902912621</x:v>
      </x:c>
      <x:c r="O308" s="15" t="n">
        <x:f>IF(E308=0,"해당 없음",G308/E308)</x:f>
        <x:v>0.02912621359223301</x:v>
      </x:c>
      <x:c r="P308" s="15" t="n">
        <x:f>IF(E308=0,"해당 없음",H308/E308)</x:f>
        <x:v>0.08737864077669903</x:v>
      </x:c>
      <x:c r="Q308" s="15" t="n">
        <x:f>IF(E308=0,"해당 없음",I308/E308)</x:f>
        <x:v>0.24271844660194175</x:v>
      </x:c>
      <x:c r="R308" s="15" t="n">
        <x:f>IF(E308=0,"해당 없음",J308/E308)</x:f>
        <x:v>0.02912621359223301</x:v>
      </x:c>
      <x:c r="S308" s="15" t="n">
        <x:f>IF(E308=0,"해당 없음",K308/E308)</x:f>
        <x:v>0.019417475728155338</x:v>
      </x:c>
      <x:c r="T308" s="15" t="n">
        <x:f>IF(E308=0,"해당 없음",L308/E308)</x:f>
        <x:v>0.14563106796116504</x:v>
      </x:c>
      <x:c r="U308" s="15" t="n">
        <x:f>IF(E308=0,"해당 없음",M308/E308)</x:f>
        <x:v>0.038834951456310676</x:v>
      </x:c>
      <x:c r="V308" s="16" t="n">
        <x:f>E308/5</x:f>
        <x:v>20.6</x:v>
      </x:c>
    </x:row>
    <x:row r="309" ht="22" customHeight="1">
      <x:c r="A309" s="2" t="n">
        <x:v>152</x:v>
      </x:c>
      <x:c r="B309" s="2" t="str">
        <x:v>NAVY</x:v>
      </x:c>
      <x:c r="C309" s="2" t="str">
        <x:v>120만</x:v>
      </x:c>
      <x:c r="D309" s="2" t="str">
        <x:v>규칙형</x:v>
      </x:c>
      <x:c r="E309" s="14" t="n">
        <x:f>SUM(F309:M309)</x:f>
        <x:v>103</x:v>
      </x:c>
      <x:c r="F309" s="14" t="n">
        <x:v>0</x:v>
      </x:c>
      <x:c r="G309" s="14" t="n">
        <x:v>18</x:v>
      </x:c>
      <x:c r="H309" s="14" t="n">
        <x:v>8</x:v>
      </x:c>
      <x:c r="I309" s="14" t="n">
        <x:v>1</x:v>
      </x:c>
      <x:c r="J309" s="14" t="n">
        <x:v>4</x:v>
      </x:c>
      <x:c r="K309" s="14" t="n">
        <x:v>6</x:v>
      </x:c>
      <x:c r="L309" s="14" t="n">
        <x:v>39</x:v>
      </x:c>
      <x:c r="M309" s="14" t="n">
        <x:v>27</x:v>
      </x:c>
      <x:c r="N309" s="15" t="n">
        <x:f>IF(E309=0,"해당 없음",F309/E309)</x:f>
        <x:v>0</x:v>
      </x:c>
      <x:c r="O309" s="15" t="n">
        <x:f>IF(E309=0,"해당 없음",G309/E309)</x:f>
        <x:v>0.17475728155339806</x:v>
      </x:c>
      <x:c r="P309" s="15" t="n">
        <x:f>IF(E309=0,"해당 없음",H309/E309)</x:f>
        <x:v>0.07766990291262135</x:v>
      </x:c>
      <x:c r="Q309" s="15" t="n">
        <x:f>IF(E309=0,"해당 없음",I309/E309)</x:f>
        <x:v>0.009708737864077669</x:v>
      </x:c>
      <x:c r="R309" s="15" t="n">
        <x:f>IF(E309=0,"해당 없음",J309/E309)</x:f>
        <x:v>0.038834951456310676</x:v>
      </x:c>
      <x:c r="S309" s="15" t="n">
        <x:f>IF(E309=0,"해당 없음",K309/E309)</x:f>
        <x:v>0.05825242718446602</x:v>
      </x:c>
      <x:c r="T309" s="15" t="n">
        <x:f>IF(E309=0,"해당 없음",L309/E309)</x:f>
        <x:v>0.3786407766990291</x:v>
      </x:c>
      <x:c r="U309" s="15" t="n">
        <x:f>IF(E309=0,"해당 없음",M309/E309)</x:f>
        <x:v>0.2621359223300971</x:v>
      </x:c>
      <x:c r="V309" s="16" t="n">
        <x:f>E309/5</x:f>
        <x:v>20.6</x:v>
      </x:c>
    </x:row>
    <x:row r="310" ht="22" customHeight="1">
      <x:c r="A310" s="2" t="n">
        <x:v>153</x:v>
      </x:c>
      <x:c r="B310" s="2" t="str">
        <x:v>RED</x:v>
      </x:c>
      <x:c r="C310" s="2" t="str">
        <x:v>120만</x:v>
      </x:c>
      <x:c r="D310" s="2" t="str">
        <x:v>규칙형</x:v>
      </x:c>
      <x:c r="E310" s="14" t="n">
        <x:f>SUM(F310:M310)</x:f>
        <x:v>103</x:v>
      </x:c>
      <x:c r="F310" s="14" t="n">
        <x:v>1</x:v>
      </x:c>
      <x:c r="G310" s="14" t="n">
        <x:v>12</x:v>
      </x:c>
      <x:c r="H310" s="14" t="n">
        <x:v>9</x:v>
      </x:c>
      <x:c r="I310" s="14" t="n">
        <x:v>10</x:v>
      </x:c>
      <x:c r="J310" s="14" t="n">
        <x:v>3</x:v>
      </x:c>
      <x:c r="K310" s="14" t="n">
        <x:v>7</x:v>
      </x:c>
      <x:c r="L310" s="14" t="n">
        <x:v>39</x:v>
      </x:c>
      <x:c r="M310" s="14" t="n">
        <x:v>22</x:v>
      </x:c>
      <x:c r="N310" s="15" t="n">
        <x:f>IF(E310=0,"해당 없음",F310/E310)</x:f>
        <x:v>0.009708737864077669</x:v>
      </x:c>
      <x:c r="O310" s="15" t="n">
        <x:f>IF(E310=0,"해당 없음",G310/E310)</x:f>
        <x:v>0.11650485436893204</x:v>
      </x:c>
      <x:c r="P310" s="15" t="n">
        <x:f>IF(E310=0,"해당 없음",H310/E310)</x:f>
        <x:v>0.08737864077669903</x:v>
      </x:c>
      <x:c r="Q310" s="15" t="n">
        <x:f>IF(E310=0,"해당 없음",I310/E310)</x:f>
        <x:v>0.0970873786407767</x:v>
      </x:c>
      <x:c r="R310" s="15" t="n">
        <x:f>IF(E310=0,"해당 없음",J310/E310)</x:f>
        <x:v>0.02912621359223301</x:v>
      </x:c>
      <x:c r="S310" s="15" t="n">
        <x:f>IF(E310=0,"해당 없음",K310/E310)</x:f>
        <x:v>0.06796116504854369</x:v>
      </x:c>
      <x:c r="T310" s="15" t="n">
        <x:f>IF(E310=0,"해당 없음",L310/E310)</x:f>
        <x:v>0.3786407766990291</x:v>
      </x:c>
      <x:c r="U310" s="15" t="n">
        <x:f>IF(E310=0,"해당 없음",M310/E310)</x:f>
        <x:v>0.21359223300970873</x:v>
      </x:c>
      <x:c r="V310" s="16" t="n">
        <x:f>E310/5</x:f>
        <x:v>20.6</x:v>
      </x:c>
    </x:row>
    <x:row r="311" ht="22" customHeight="1">
      <x:c r="A311" s="2" t="n">
        <x:v>153</x:v>
      </x:c>
      <x:c r="B311" s="2" t="str">
        <x:v>NAVY</x:v>
      </x:c>
      <x:c r="C311" s="2" t="str">
        <x:v>규칙형</x:v>
      </x:c>
      <x:c r="D311" s="2" t="str">
        <x:v>120만</x:v>
      </x:c>
      <x:c r="E311" s="14" t="n">
        <x:f>SUM(F311:M311)</x:f>
        <x:v>102</x:v>
      </x:c>
      <x:c r="F311" s="14" t="n">
        <x:v>40</x:v>
      </x:c>
      <x:c r="G311" s="14" t="n">
        <x:v>8</x:v>
      </x:c>
      <x:c r="H311" s="14" t="n">
        <x:v>9</x:v>
      </x:c>
      <x:c r="I311" s="14" t="n">
        <x:v>9</x:v>
      </x:c>
      <x:c r="J311" s="14" t="n">
        <x:v>10</x:v>
      </x:c>
      <x:c r="K311" s="14" t="n">
        <x:v>2</x:v>
      </x:c>
      <x:c r="L311" s="14" t="n">
        <x:v>21</x:v>
      </x:c>
      <x:c r="M311" s="14" t="n">
        <x:v>3</x:v>
      </x:c>
      <x:c r="N311" s="15" t="n">
        <x:f>IF(E311=0,"해당 없음",F311/E311)</x:f>
        <x:v>0.39215686274509803</x:v>
      </x:c>
      <x:c r="O311" s="15" t="n">
        <x:f>IF(E311=0,"해당 없음",G311/E311)</x:f>
        <x:v>0.0784313725490196</x:v>
      </x:c>
      <x:c r="P311" s="15" t="n">
        <x:f>IF(E311=0,"해당 없음",H311/E311)</x:f>
        <x:v>0.08823529411764706</x:v>
      </x:c>
      <x:c r="Q311" s="15" t="n">
        <x:f>IF(E311=0,"해당 없음",I311/E311)</x:f>
        <x:v>0.08823529411764706</x:v>
      </x:c>
      <x:c r="R311" s="15" t="n">
        <x:f>IF(E311=0,"해당 없음",J311/E311)</x:f>
        <x:v>0.09803921568627451</x:v>
      </x:c>
      <x:c r="S311" s="15" t="n">
        <x:f>IF(E311=0,"해당 없음",K311/E311)</x:f>
        <x:v>0.0196078431372549</x:v>
      </x:c>
      <x:c r="T311" s="15" t="n">
        <x:f>IF(E311=0,"해당 없음",L311/E311)</x:f>
        <x:v>0.20588235294117646</x:v>
      </x:c>
      <x:c r="U311" s="15" t="n">
        <x:f>IF(E311=0,"해당 없음",M311/E311)</x:f>
        <x:v>0.029411764705882353</x:v>
      </x:c>
      <x:c r="V311" s="16" t="n">
        <x:f>E311/5</x:f>
        <x:v>20.4</x:v>
      </x:c>
    </x:row>
    <x:row r="312" ht="22" customHeight="1">
      <x:c r="A312" s="2" t="n">
        <x:v>154</x:v>
      </x:c>
      <x:c r="B312" s="2" t="str">
        <x:v>RED</x:v>
      </x:c>
      <x:c r="C312" s="2" t="str">
        <x:v>규칙형</x:v>
      </x:c>
      <x:c r="D312" s="2" t="str">
        <x:v>120만</x:v>
      </x:c>
      <x:c r="E312" s="14" t="n">
        <x:f>SUM(F312:M312)</x:f>
        <x:v>104</x:v>
      </x:c>
      <x:c r="F312" s="14" t="n">
        <x:v>52</x:v>
      </x:c>
      <x:c r="G312" s="14" t="n">
        <x:v>2</x:v>
      </x:c>
      <x:c r="H312" s="14" t="n">
        <x:v>2</x:v>
      </x:c>
      <x:c r="I312" s="14" t="n">
        <x:v>17</x:v>
      </x:c>
      <x:c r="J312" s="14" t="n">
        <x:v>6</x:v>
      </x:c>
      <x:c r="K312" s="14" t="n">
        <x:v>1</x:v>
      </x:c>
      <x:c r="L312" s="14" t="n">
        <x:v>18</x:v>
      </x:c>
      <x:c r="M312" s="14" t="n">
        <x:v>6</x:v>
      </x:c>
      <x:c r="N312" s="15" t="n">
        <x:f>IF(E312=0,"해당 없음",F312/E312)</x:f>
        <x:v>0.5</x:v>
      </x:c>
      <x:c r="O312" s="15" t="n">
        <x:f>IF(E312=0,"해당 없음",G312/E312)</x:f>
        <x:v>0.019230769230769232</x:v>
      </x:c>
      <x:c r="P312" s="15" t="n">
        <x:f>IF(E312=0,"해당 없음",H312/E312)</x:f>
        <x:v>0.019230769230769232</x:v>
      </x:c>
      <x:c r="Q312" s="15" t="n">
        <x:f>IF(E312=0,"해당 없음",I312/E312)</x:f>
        <x:v>0.16346153846153846</x:v>
      </x:c>
      <x:c r="R312" s="15" t="n">
        <x:f>IF(E312=0,"해당 없음",J312/E312)</x:f>
        <x:v>0.057692307692307696</x:v>
      </x:c>
      <x:c r="S312" s="15" t="n">
        <x:f>IF(E312=0,"해당 없음",K312/E312)</x:f>
        <x:v>0.009615384615384616</x:v>
      </x:c>
      <x:c r="T312" s="15" t="n">
        <x:f>IF(E312=0,"해당 없음",L312/E312)</x:f>
        <x:v>0.17307692307692307</x:v>
      </x:c>
      <x:c r="U312" s="15" t="n">
        <x:f>IF(E312=0,"해당 없음",M312/E312)</x:f>
        <x:v>0.057692307692307696</x:v>
      </x:c>
      <x:c r="V312" s="16" t="n">
        <x:f>E312/5</x:f>
        <x:v>20.8</x:v>
      </x:c>
    </x:row>
    <x:row r="313" ht="22" customHeight="1">
      <x:c r="A313" s="2" t="n">
        <x:v>154</x:v>
      </x:c>
      <x:c r="B313" s="2" t="str">
        <x:v>NAVY</x:v>
      </x:c>
      <x:c r="C313" s="2" t="str">
        <x:v>120만</x:v>
      </x:c>
      <x:c r="D313" s="2" t="str">
        <x:v>규칙형</x:v>
      </x:c>
      <x:c r="E313" s="14" t="n">
        <x:f>SUM(F313:M313)</x:f>
        <x:v>103</x:v>
      </x:c>
      <x:c r="F313" s="14" t="n">
        <x:v>2</x:v>
      </x:c>
      <x:c r="G313" s="14" t="n">
        <x:v>19</x:v>
      </x:c>
      <x:c r="H313" s="14" t="n">
        <x:v>6</x:v>
      </x:c>
      <x:c r="I313" s="14" t="n">
        <x:v>9</x:v>
      </x:c>
      <x:c r="J313" s="14" t="n">
        <x:v>1</x:v>
      </x:c>
      <x:c r="K313" s="14" t="n">
        <x:v>1</x:v>
      </x:c>
      <x:c r="L313" s="14" t="n">
        <x:v>35</x:v>
      </x:c>
      <x:c r="M313" s="14" t="n">
        <x:v>30</x:v>
      </x:c>
      <x:c r="N313" s="15" t="n">
        <x:f>IF(E313=0,"해당 없음",F313/E313)</x:f>
        <x:v>0.019417475728155338</x:v>
      </x:c>
      <x:c r="O313" s="15" t="n">
        <x:f>IF(E313=0,"해당 없음",G313/E313)</x:f>
        <x:v>0.18446601941747573</x:v>
      </x:c>
      <x:c r="P313" s="15" t="n">
        <x:f>IF(E313=0,"해당 없음",H313/E313)</x:f>
        <x:v>0.05825242718446602</x:v>
      </x:c>
      <x:c r="Q313" s="15" t="n">
        <x:f>IF(E313=0,"해당 없음",I313/E313)</x:f>
        <x:v>0.08737864077669903</x:v>
      </x:c>
      <x:c r="R313" s="15" t="n">
        <x:f>IF(E313=0,"해당 없음",J313/E313)</x:f>
        <x:v>0.009708737864077669</x:v>
      </x:c>
      <x:c r="S313" s="15" t="n">
        <x:f>IF(E313=0,"해당 없음",K313/E313)</x:f>
        <x:v>0.009708737864077669</x:v>
      </x:c>
      <x:c r="T313" s="15" t="n">
        <x:f>IF(E313=0,"해당 없음",L313/E313)</x:f>
        <x:v>0.33980582524271846</x:v>
      </x:c>
      <x:c r="U313" s="15" t="n">
        <x:f>IF(E313=0,"해당 없음",M313/E313)</x:f>
        <x:v>0.2912621359223301</x:v>
      </x:c>
      <x:c r="V313" s="16" t="n">
        <x:f>E313/5</x:f>
        <x:v>20.6</x:v>
      </x:c>
    </x:row>
    <x:row r="314" ht="22" customHeight="1">
      <x:c r="A314" s="2" t="n">
        <x:v>155</x:v>
      </x:c>
      <x:c r="B314" s="2" t="str">
        <x:v>RED</x:v>
      </x:c>
      <x:c r="C314" s="2" t="str">
        <x:v>120만</x:v>
      </x:c>
      <x:c r="D314" s="2" t="str">
        <x:v>규칙형</x:v>
      </x:c>
      <x:c r="E314" s="14" t="n">
        <x:f>SUM(F314:M314)</x:f>
        <x:v>102</x:v>
      </x:c>
      <x:c r="F314" s="14" t="n">
        <x:v>1</x:v>
      </x:c>
      <x:c r="G314" s="14" t="n">
        <x:v>15</x:v>
      </x:c>
      <x:c r="H314" s="14" t="n">
        <x:v>8</x:v>
      </x:c>
      <x:c r="I314" s="14" t="n">
        <x:v>5</x:v>
      </x:c>
      <x:c r="J314" s="14" t="n">
        <x:v>3</x:v>
      </x:c>
      <x:c r="K314" s="14" t="n">
        <x:v>4</x:v>
      </x:c>
      <x:c r="L314" s="14" t="n">
        <x:v>34</x:v>
      </x:c>
      <x:c r="M314" s="14" t="n">
        <x:v>32</x:v>
      </x:c>
      <x:c r="N314" s="15" t="n">
        <x:f>IF(E314=0,"해당 없음",F314/E314)</x:f>
        <x:v>0.00980392156862745</x:v>
      </x:c>
      <x:c r="O314" s="15" t="n">
        <x:f>IF(E314=0,"해당 없음",G314/E314)</x:f>
        <x:v>0.14705882352941177</x:v>
      </x:c>
      <x:c r="P314" s="15" t="n">
        <x:f>IF(E314=0,"해당 없음",H314/E314)</x:f>
        <x:v>0.0784313725490196</x:v>
      </x:c>
      <x:c r="Q314" s="15" t="n">
        <x:f>IF(E314=0,"해당 없음",I314/E314)</x:f>
        <x:v>0.049019607843137254</x:v>
      </x:c>
      <x:c r="R314" s="15" t="n">
        <x:f>IF(E314=0,"해당 없음",J314/E314)</x:f>
        <x:v>0.029411764705882353</x:v>
      </x:c>
      <x:c r="S314" s="15" t="n">
        <x:f>IF(E314=0,"해당 없음",K314/E314)</x:f>
        <x:v>0.0392156862745098</x:v>
      </x:c>
      <x:c r="T314" s="15" t="n">
        <x:f>IF(E314=0,"해당 없음",L314/E314)</x:f>
        <x:v>0.3333333333333333</x:v>
      </x:c>
      <x:c r="U314" s="15" t="n">
        <x:f>IF(E314=0,"해당 없음",M314/E314)</x:f>
        <x:v>0.3137254901960784</x:v>
      </x:c>
      <x:c r="V314" s="16" t="n">
        <x:f>E314/5</x:f>
        <x:v>20.4</x:v>
      </x:c>
    </x:row>
    <x:row r="315" ht="22" customHeight="1">
      <x:c r="A315" s="2" t="n">
        <x:v>155</x:v>
      </x:c>
      <x:c r="B315" s="2" t="str">
        <x:v>NAVY</x:v>
      </x:c>
      <x:c r="C315" s="2" t="str">
        <x:v>규칙형</x:v>
      </x:c>
      <x:c r="D315" s="2" t="str">
        <x:v>120만</x:v>
      </x:c>
      <x:c r="E315" s="14" t="n">
        <x:f>SUM(F315:M315)</x:f>
        <x:v>102</x:v>
      </x:c>
      <x:c r="F315" s="14" t="n">
        <x:v>35</x:v>
      </x:c>
      <x:c r="G315" s="14" t="n">
        <x:v>6</x:v>
      </x:c>
      <x:c r="H315" s="14" t="n">
        <x:v>7</x:v>
      </x:c>
      <x:c r="I315" s="14" t="n">
        <x:v>27</x:v>
      </x:c>
      <x:c r="J315" s="14" t="n">
        <x:v>5</x:v>
      </x:c>
      <x:c r="K315" s="14" t="n">
        <x:v>3</x:v>
      </x:c>
      <x:c r="L315" s="14" t="n">
        <x:v>18</x:v>
      </x:c>
      <x:c r="M315" s="14" t="n">
        <x:v>1</x:v>
      </x:c>
      <x:c r="N315" s="15" t="n">
        <x:f>IF(E315=0,"해당 없음",F315/E315)</x:f>
        <x:v>0.3431372549019608</x:v>
      </x:c>
      <x:c r="O315" s="15" t="n">
        <x:f>IF(E315=0,"해당 없음",G315/E315)</x:f>
        <x:v>0.058823529411764705</x:v>
      </x:c>
      <x:c r="P315" s="15" t="n">
        <x:f>IF(E315=0,"해당 없음",H315/E315)</x:f>
        <x:v>0.06862745098039216</x:v>
      </x:c>
      <x:c r="Q315" s="15" t="n">
        <x:f>IF(E315=0,"해당 없음",I315/E315)</x:f>
        <x:v>0.2647058823529412</x:v>
      </x:c>
      <x:c r="R315" s="15" t="n">
        <x:f>IF(E315=0,"해당 없음",J315/E315)</x:f>
        <x:v>0.049019607843137254</x:v>
      </x:c>
      <x:c r="S315" s="15" t="n">
        <x:f>IF(E315=0,"해당 없음",K315/E315)</x:f>
        <x:v>0.029411764705882353</x:v>
      </x:c>
      <x:c r="T315" s="15" t="n">
        <x:f>IF(E315=0,"해당 없음",L315/E315)</x:f>
        <x:v>0.17647058823529413</x:v>
      </x:c>
      <x:c r="U315" s="15" t="n">
        <x:f>IF(E315=0,"해당 없음",M315/E315)</x:f>
        <x:v>0.00980392156862745</x:v>
      </x:c>
      <x:c r="V315" s="16" t="n">
        <x:f>E315/5</x:f>
        <x:v>20.4</x:v>
      </x:c>
    </x:row>
    <x:row r="316" ht="22" customHeight="1">
      <x:c r="A316" s="2" t="n">
        <x:v>156</x:v>
      </x:c>
      <x:c r="B316" s="2" t="str">
        <x:v>RED</x:v>
      </x:c>
      <x:c r="C316" s="2" t="str">
        <x:v>규칙형</x:v>
      </x:c>
      <x:c r="D316" s="2" t="str">
        <x:v>120만</x:v>
      </x:c>
      <x:c r="E316" s="14" t="n">
        <x:f>SUM(F316:M316)</x:f>
        <x:v>105</x:v>
      </x:c>
      <x:c r="F316" s="14" t="n">
        <x:v>41</x:v>
      </x:c>
      <x:c r="G316" s="14" t="n">
        <x:v>2</x:v>
      </x:c>
      <x:c r="H316" s="14" t="n">
        <x:v>3</x:v>
      </x:c>
      <x:c r="I316" s="14" t="n">
        <x:v>16</x:v>
      </x:c>
      <x:c r="J316" s="14" t="n">
        <x:v>8</x:v>
      </x:c>
      <x:c r="K316" s="14" t="n">
        <x:v>5</x:v>
      </x:c>
      <x:c r="L316" s="14" t="n">
        <x:v>25</x:v>
      </x:c>
      <x:c r="M316" s="14" t="n">
        <x:v>5</x:v>
      </x:c>
      <x:c r="N316" s="15" t="n">
        <x:f>IF(E316=0,"해당 없음",F316/E316)</x:f>
        <x:v>0.3904761904761905</x:v>
      </x:c>
      <x:c r="O316" s="15" t="n">
        <x:f>IF(E316=0,"해당 없음",G316/E316)</x:f>
        <x:v>0.01904761904761905</x:v>
      </x:c>
      <x:c r="P316" s="15" t="n">
        <x:f>IF(E316=0,"해당 없음",H316/E316)</x:f>
        <x:v>0.02857142857142857</x:v>
      </x:c>
      <x:c r="Q316" s="15" t="n">
        <x:f>IF(E316=0,"해당 없음",I316/E316)</x:f>
        <x:v>0.1523809523809524</x:v>
      </x:c>
      <x:c r="R316" s="15" t="n">
        <x:f>IF(E316=0,"해당 없음",J316/E316)</x:f>
        <x:v>0.0761904761904762</x:v>
      </x:c>
      <x:c r="S316" s="15" t="n">
        <x:f>IF(E316=0,"해당 없음",K316/E316)</x:f>
        <x:v>0.047619047619047616</x:v>
      </x:c>
      <x:c r="T316" s="15" t="n">
        <x:f>IF(E316=0,"해당 없음",L316/E316)</x:f>
        <x:v>0.23809523809523808</x:v>
      </x:c>
      <x:c r="U316" s="15" t="n">
        <x:f>IF(E316=0,"해당 없음",M316/E316)</x:f>
        <x:v>0.047619047619047616</x:v>
      </x:c>
      <x:c r="V316" s="16" t="n">
        <x:f>E316/5</x:f>
        <x:v>21</x:v>
      </x:c>
    </x:row>
    <x:row r="317" ht="22" customHeight="1">
      <x:c r="A317" s="2" t="n">
        <x:v>156</x:v>
      </x:c>
      <x:c r="B317" s="2" t="str">
        <x:v>NAVY</x:v>
      </x:c>
      <x:c r="C317" s="2" t="str">
        <x:v>120만</x:v>
      </x:c>
      <x:c r="D317" s="2" t="str">
        <x:v>규칙형</x:v>
      </x:c>
      <x:c r="E317" s="14" t="n">
        <x:f>SUM(F317:M317)</x:f>
        <x:v>106</x:v>
      </x:c>
      <x:c r="F317" s="14" t="n">
        <x:v>0</x:v>
      </x:c>
      <x:c r="G317" s="14" t="n">
        <x:v>15</x:v>
      </x:c>
      <x:c r="H317" s="14" t="n">
        <x:v>10</x:v>
      </x:c>
      <x:c r="I317" s="14" t="n">
        <x:v>10</x:v>
      </x:c>
      <x:c r="J317" s="14" t="n">
        <x:v>2</x:v>
      </x:c>
      <x:c r="K317" s="14" t="n">
        <x:v>5</x:v>
      </x:c>
      <x:c r="L317" s="14" t="n">
        <x:v>43</x:v>
      </x:c>
      <x:c r="M317" s="14" t="n">
        <x:v>21</x:v>
      </x:c>
      <x:c r="N317" s="15" t="n">
        <x:f>IF(E317=0,"해당 없음",F317/E317)</x:f>
        <x:v>0</x:v>
      </x:c>
      <x:c r="O317" s="15" t="n">
        <x:f>IF(E317=0,"해당 없음",G317/E317)</x:f>
        <x:v>0.14150943396226415</x:v>
      </x:c>
      <x:c r="P317" s="15" t="n">
        <x:f>IF(E317=0,"해당 없음",H317/E317)</x:f>
        <x:v>0.09433962264150944</x:v>
      </x:c>
      <x:c r="Q317" s="15" t="n">
        <x:f>IF(E317=0,"해당 없음",I317/E317)</x:f>
        <x:v>0.09433962264150944</x:v>
      </x:c>
      <x:c r="R317" s="15" t="n">
        <x:f>IF(E317=0,"해당 없음",J317/E317)</x:f>
        <x:v>0.018867924528301886</x:v>
      </x:c>
      <x:c r="S317" s="15" t="n">
        <x:f>IF(E317=0,"해당 없음",K317/E317)</x:f>
        <x:v>0.04716981132075472</x:v>
      </x:c>
      <x:c r="T317" s="15" t="n">
        <x:f>IF(E317=0,"해당 없음",L317/E317)</x:f>
        <x:v>0.4056603773584906</x:v>
      </x:c>
      <x:c r="U317" s="15" t="n">
        <x:f>IF(E317=0,"해당 없음",M317/E317)</x:f>
        <x:v>0.19811320754716982</x:v>
      </x:c>
      <x:c r="V317" s="16" t="n">
        <x:f>E317/5</x:f>
        <x:v>21.2</x:v>
      </x:c>
    </x:row>
    <x:row r="318" ht="22" customHeight="1">
      <x:c r="A318" s="2" t="n">
        <x:v>157</x:v>
      </x:c>
      <x:c r="B318" s="2" t="str">
        <x:v>RED</x:v>
      </x:c>
      <x:c r="C318" s="2" t="str">
        <x:v>120만</x:v>
      </x:c>
      <x:c r="D318" s="2" t="str">
        <x:v>규칙형</x:v>
      </x:c>
      <x:c r="E318" s="14" t="n">
        <x:f>SUM(F318:M318)</x:f>
        <x:v>104</x:v>
      </x:c>
      <x:c r="F318" s="14" t="n">
        <x:v>1</x:v>
      </x:c>
      <x:c r="G318" s="14" t="n">
        <x:v>26</x:v>
      </x:c>
      <x:c r="H318" s="14" t="n">
        <x:v>5</x:v>
      </x:c>
      <x:c r="I318" s="14" t="n">
        <x:v>4</x:v>
      </x:c>
      <x:c r="J318" s="14" t="n">
        <x:v>3</x:v>
      </x:c>
      <x:c r="K318" s="14" t="n">
        <x:v>11</x:v>
      </x:c>
      <x:c r="L318" s="14" t="n">
        <x:v>37</x:v>
      </x:c>
      <x:c r="M318" s="14" t="n">
        <x:v>17</x:v>
      </x:c>
      <x:c r="N318" s="15" t="n">
        <x:f>IF(E318=0,"해당 없음",F318/E318)</x:f>
        <x:v>0.009615384615384616</x:v>
      </x:c>
      <x:c r="O318" s="15" t="n">
        <x:f>IF(E318=0,"해당 없음",G318/E318)</x:f>
        <x:v>0.25</x:v>
      </x:c>
      <x:c r="P318" s="15" t="n">
        <x:f>IF(E318=0,"해당 없음",H318/E318)</x:f>
        <x:v>0.04807692307692308</x:v>
      </x:c>
      <x:c r="Q318" s="15" t="n">
        <x:f>IF(E318=0,"해당 없음",I318/E318)</x:f>
        <x:v>0.038461538461538464</x:v>
      </x:c>
      <x:c r="R318" s="15" t="n">
        <x:f>IF(E318=0,"해당 없음",J318/E318)</x:f>
        <x:v>0.028846153846153848</x:v>
      </x:c>
      <x:c r="S318" s="15" t="n">
        <x:f>IF(E318=0,"해당 없음",K318/E318)</x:f>
        <x:v>0.10576923076923077</x:v>
      </x:c>
      <x:c r="T318" s="15" t="n">
        <x:f>IF(E318=0,"해당 없음",L318/E318)</x:f>
        <x:v>0.3557692307692308</x:v>
      </x:c>
      <x:c r="U318" s="15" t="n">
        <x:f>IF(E318=0,"해당 없음",M318/E318)</x:f>
        <x:v>0.16346153846153846</x:v>
      </x:c>
      <x:c r="V318" s="16" t="n">
        <x:f>E318/5</x:f>
        <x:v>20.8</x:v>
      </x:c>
    </x:row>
    <x:row r="319" ht="22" customHeight="1">
      <x:c r="A319" s="2" t="n">
        <x:v>157</x:v>
      </x:c>
      <x:c r="B319" s="2" t="str">
        <x:v>NAVY</x:v>
      </x:c>
      <x:c r="C319" s="2" t="str">
        <x:v>규칙형</x:v>
      </x:c>
      <x:c r="D319" s="2" t="str">
        <x:v>120만</x:v>
      </x:c>
      <x:c r="E319" s="14" t="n">
        <x:f>SUM(F319:M319)</x:f>
        <x:v>103</x:v>
      </x:c>
      <x:c r="F319" s="14" t="n">
        <x:v>42</x:v>
      </x:c>
      <x:c r="G319" s="14" t="n">
        <x:v>3</x:v>
      </x:c>
      <x:c r="H319" s="14" t="n">
        <x:v>11</x:v>
      </x:c>
      <x:c r="I319" s="14" t="n">
        <x:v>9</x:v>
      </x:c>
      <x:c r="J319" s="14" t="n">
        <x:v>4</x:v>
      </x:c>
      <x:c r="K319" s="14" t="n">
        <x:v>3</x:v>
      </x:c>
      <x:c r="L319" s="14" t="n">
        <x:v>24</x:v>
      </x:c>
      <x:c r="M319" s="14" t="n">
        <x:v>7</x:v>
      </x:c>
      <x:c r="N319" s="15" t="n">
        <x:f>IF(E319=0,"해당 없음",F319/E319)</x:f>
        <x:v>0.4077669902912621</x:v>
      </x:c>
      <x:c r="O319" s="15" t="n">
        <x:f>IF(E319=0,"해당 없음",G319/E319)</x:f>
        <x:v>0.02912621359223301</x:v>
      </x:c>
      <x:c r="P319" s="15" t="n">
        <x:f>IF(E319=0,"해당 없음",H319/E319)</x:f>
        <x:v>0.10679611650485436</x:v>
      </x:c>
      <x:c r="Q319" s="15" t="n">
        <x:f>IF(E319=0,"해당 없음",I319/E319)</x:f>
        <x:v>0.08737864077669903</x:v>
      </x:c>
      <x:c r="R319" s="15" t="n">
        <x:f>IF(E319=0,"해당 없음",J319/E319)</x:f>
        <x:v>0.038834951456310676</x:v>
      </x:c>
      <x:c r="S319" s="15" t="n">
        <x:f>IF(E319=0,"해당 없음",K319/E319)</x:f>
        <x:v>0.02912621359223301</x:v>
      </x:c>
      <x:c r="T319" s="15" t="n">
        <x:f>IF(E319=0,"해당 없음",L319/E319)</x:f>
        <x:v>0.23300970873786409</x:v>
      </x:c>
      <x:c r="U319" s="15" t="n">
        <x:f>IF(E319=0,"해당 없음",M319/E319)</x:f>
        <x:v>0.06796116504854369</x:v>
      </x:c>
      <x:c r="V319" s="16" t="n">
        <x:f>E319/5</x:f>
        <x:v>20.6</x:v>
      </x:c>
    </x:row>
    <x:row r="320" ht="22" customHeight="1">
      <x:c r="A320" s="2" t="n">
        <x:v>158</x:v>
      </x:c>
      <x:c r="B320" s="2" t="str">
        <x:v>RED</x:v>
      </x:c>
      <x:c r="C320" s="2" t="str">
        <x:v>규칙형</x:v>
      </x:c>
      <x:c r="D320" s="2" t="str">
        <x:v>120만</x:v>
      </x:c>
      <x:c r="E320" s="14" t="n">
        <x:f>SUM(F320:M320)</x:f>
        <x:v>103</x:v>
      </x:c>
      <x:c r="F320" s="14" t="n">
        <x:v>32</x:v>
      </x:c>
      <x:c r="G320" s="14" t="n">
        <x:v>1</x:v>
      </x:c>
      <x:c r="H320" s="14" t="n">
        <x:v>9</x:v>
      </x:c>
      <x:c r="I320" s="14" t="n">
        <x:v>21</x:v>
      </x:c>
      <x:c r="J320" s="14" t="n">
        <x:v>7</x:v>
      </x:c>
      <x:c r="K320" s="14" t="n">
        <x:v>5</x:v>
      </x:c>
      <x:c r="L320" s="14" t="n">
        <x:v>24</x:v>
      </x:c>
      <x:c r="M320" s="14" t="n">
        <x:v>4</x:v>
      </x:c>
      <x:c r="N320" s="15" t="n">
        <x:f>IF(E320=0,"해당 없음",F320/E320)</x:f>
        <x:v>0.3106796116504854</x:v>
      </x:c>
      <x:c r="O320" s="15" t="n">
        <x:f>IF(E320=0,"해당 없음",G320/E320)</x:f>
        <x:v>0.009708737864077669</x:v>
      </x:c>
      <x:c r="P320" s="15" t="n">
        <x:f>IF(E320=0,"해당 없음",H320/E320)</x:f>
        <x:v>0.08737864077669903</x:v>
      </x:c>
      <x:c r="Q320" s="15" t="n">
        <x:f>IF(E320=0,"해당 없음",I320/E320)</x:f>
        <x:v>0.20388349514563106</x:v>
      </x:c>
      <x:c r="R320" s="15" t="n">
        <x:f>IF(E320=0,"해당 없음",J320/E320)</x:f>
        <x:v>0.06796116504854369</x:v>
      </x:c>
      <x:c r="S320" s="15" t="n">
        <x:f>IF(E320=0,"해당 없음",K320/E320)</x:f>
        <x:v>0.04854368932038835</x:v>
      </x:c>
      <x:c r="T320" s="15" t="n">
        <x:f>IF(E320=0,"해당 없음",L320/E320)</x:f>
        <x:v>0.23300970873786409</x:v>
      </x:c>
      <x:c r="U320" s="15" t="n">
        <x:f>IF(E320=0,"해당 없음",M320/E320)</x:f>
        <x:v>0.038834951456310676</x:v>
      </x:c>
      <x:c r="V320" s="16" t="n">
        <x:f>E320/5</x:f>
        <x:v>20.6</x:v>
      </x:c>
    </x:row>
    <x:row r="321" ht="22" customHeight="1">
      <x:c r="A321" s="2" t="n">
        <x:v>158</x:v>
      </x:c>
      <x:c r="B321" s="2" t="str">
        <x:v>NAVY</x:v>
      </x:c>
      <x:c r="C321" s="2" t="str">
        <x:v>120만</x:v>
      </x:c>
      <x:c r="D321" s="2" t="str">
        <x:v>규칙형</x:v>
      </x:c>
      <x:c r="E321" s="14" t="n">
        <x:f>SUM(F321:M321)</x:f>
        <x:v>105</x:v>
      </x:c>
      <x:c r="F321" s="14" t="n">
        <x:v>0</x:v>
      </x:c>
      <x:c r="G321" s="14" t="n">
        <x:v>16</x:v>
      </x:c>
      <x:c r="H321" s="14" t="n">
        <x:v>8</x:v>
      </x:c>
      <x:c r="I321" s="14" t="n">
        <x:v>8</x:v>
      </x:c>
      <x:c r="J321" s="14" t="n">
        <x:v>0</x:v>
      </x:c>
      <x:c r="K321" s="14" t="n">
        <x:v>1</x:v>
      </x:c>
      <x:c r="L321" s="14" t="n">
        <x:v>42</x:v>
      </x:c>
      <x:c r="M321" s="14" t="n">
        <x:v>30</x:v>
      </x:c>
      <x:c r="N321" s="15" t="n">
        <x:f>IF(E321=0,"해당 없음",F321/E321)</x:f>
        <x:v>0</x:v>
      </x:c>
      <x:c r="O321" s="15" t="n">
        <x:f>IF(E321=0,"해당 없음",G321/E321)</x:f>
        <x:v>0.1523809523809524</x:v>
      </x:c>
      <x:c r="P321" s="15" t="n">
        <x:f>IF(E321=0,"해당 없음",H321/E321)</x:f>
        <x:v>0.0761904761904762</x:v>
      </x:c>
      <x:c r="Q321" s="15" t="n">
        <x:f>IF(E321=0,"해당 없음",I321/E321)</x:f>
        <x:v>0.0761904761904762</x:v>
      </x:c>
      <x:c r="R321" s="15" t="n">
        <x:f>IF(E321=0,"해당 없음",J321/E321)</x:f>
        <x:v>0</x:v>
      </x:c>
      <x:c r="S321" s="15" t="n">
        <x:f>IF(E321=0,"해당 없음",K321/E321)</x:f>
        <x:v>0.009523809523809525</x:v>
      </x:c>
      <x:c r="T321" s="15" t="n">
        <x:f>IF(E321=0,"해당 없음",L321/E321)</x:f>
        <x:v>0.4</x:v>
      </x:c>
      <x:c r="U321" s="15" t="n">
        <x:f>IF(E321=0,"해당 없음",M321/E321)</x:f>
        <x:v>0.2857142857142857</x:v>
      </x:c>
      <x:c r="V321" s="16" t="n">
        <x:f>E321/5</x:f>
        <x:v>21</x:v>
      </x:c>
    </x:row>
    <x:row r="322" ht="22" customHeight="1">
      <x:c r="A322" s="2" t="n">
        <x:v>159</x:v>
      </x:c>
      <x:c r="B322" s="2" t="str">
        <x:v>RED</x:v>
      </x:c>
      <x:c r="C322" s="2" t="str">
        <x:v>120만</x:v>
      </x:c>
      <x:c r="D322" s="2" t="str">
        <x:v>규칙형</x:v>
      </x:c>
      <x:c r="E322" s="14" t="n">
        <x:f>SUM(F322:M322)</x:f>
        <x:v>104</x:v>
      </x:c>
      <x:c r="F322" s="14" t="n">
        <x:v>1</x:v>
      </x:c>
      <x:c r="G322" s="14" t="n">
        <x:v>10</x:v>
      </x:c>
      <x:c r="H322" s="14" t="n">
        <x:v>7</x:v>
      </x:c>
      <x:c r="I322" s="14" t="n">
        <x:v>2</x:v>
      </x:c>
      <x:c r="J322" s="14" t="n">
        <x:v>5</x:v>
      </x:c>
      <x:c r="K322" s="14" t="n">
        <x:v>5</x:v>
      </x:c>
      <x:c r="L322" s="14" t="n">
        <x:v>42</x:v>
      </x:c>
      <x:c r="M322" s="14" t="n">
        <x:v>32</x:v>
      </x:c>
      <x:c r="N322" s="15" t="n">
        <x:f>IF(E322=0,"해당 없음",F322/E322)</x:f>
        <x:v>0.009615384615384616</x:v>
      </x:c>
      <x:c r="O322" s="15" t="n">
        <x:f>IF(E322=0,"해당 없음",G322/E322)</x:f>
        <x:v>0.09615384615384616</x:v>
      </x:c>
      <x:c r="P322" s="15" t="n">
        <x:f>IF(E322=0,"해당 없음",H322/E322)</x:f>
        <x:v>0.0673076923076923</x:v>
      </x:c>
      <x:c r="Q322" s="15" t="n">
        <x:f>IF(E322=0,"해당 없음",I322/E322)</x:f>
        <x:v>0.019230769230769232</x:v>
      </x:c>
      <x:c r="R322" s="15" t="n">
        <x:f>IF(E322=0,"해당 없음",J322/E322)</x:f>
        <x:v>0.04807692307692308</x:v>
      </x:c>
      <x:c r="S322" s="15" t="n">
        <x:f>IF(E322=0,"해당 없음",K322/E322)</x:f>
        <x:v>0.04807692307692308</x:v>
      </x:c>
      <x:c r="T322" s="15" t="n">
        <x:f>IF(E322=0,"해당 없음",L322/E322)</x:f>
        <x:v>0.40384615384615385</x:v>
      </x:c>
      <x:c r="U322" s="15" t="n">
        <x:f>IF(E322=0,"해당 없음",M322/E322)</x:f>
        <x:v>0.3076923076923077</x:v>
      </x:c>
      <x:c r="V322" s="16" t="n">
        <x:f>E322/5</x:f>
        <x:v>20.8</x:v>
      </x:c>
    </x:row>
    <x:row r="323" ht="22" customHeight="1">
      <x:c r="A323" s="2" t="n">
        <x:v>159</x:v>
      </x:c>
      <x:c r="B323" s="2" t="str">
        <x:v>NAVY</x:v>
      </x:c>
      <x:c r="C323" s="2" t="str">
        <x:v>규칙형</x:v>
      </x:c>
      <x:c r="D323" s="2" t="str">
        <x:v>120만</x:v>
      </x:c>
      <x:c r="E323" s="14" t="n">
        <x:f>SUM(F323:M323)</x:f>
        <x:v>104</x:v>
      </x:c>
      <x:c r="F323" s="14" t="n">
        <x:v>42</x:v>
      </x:c>
      <x:c r="G323" s="14" t="n">
        <x:v>2</x:v>
      </x:c>
      <x:c r="H323" s="14" t="n">
        <x:v>12</x:v>
      </x:c>
      <x:c r="I323" s="14" t="n">
        <x:v>13</x:v>
      </x:c>
      <x:c r="J323" s="14" t="n">
        <x:v>8</x:v>
      </x:c>
      <x:c r="K323" s="14" t="n">
        <x:v>3</x:v>
      </x:c>
      <x:c r="L323" s="14" t="n">
        <x:v>20</x:v>
      </x:c>
      <x:c r="M323" s="14" t="n">
        <x:v>4</x:v>
      </x:c>
      <x:c r="N323" s="15" t="n">
        <x:f>IF(E323=0,"해당 없음",F323/E323)</x:f>
        <x:v>0.40384615384615385</x:v>
      </x:c>
      <x:c r="O323" s="15" t="n">
        <x:f>IF(E323=0,"해당 없음",G323/E323)</x:f>
        <x:v>0.019230769230769232</x:v>
      </x:c>
      <x:c r="P323" s="15" t="n">
        <x:f>IF(E323=0,"해당 없음",H323/E323)</x:f>
        <x:v>0.11538461538461539</x:v>
      </x:c>
      <x:c r="Q323" s="15" t="n">
        <x:f>IF(E323=0,"해당 없음",I323/E323)</x:f>
        <x:v>0.125</x:v>
      </x:c>
      <x:c r="R323" s="15" t="n">
        <x:f>IF(E323=0,"해당 없음",J323/E323)</x:f>
        <x:v>0.07692307692307693</x:v>
      </x:c>
      <x:c r="S323" s="15" t="n">
        <x:f>IF(E323=0,"해당 없음",K323/E323)</x:f>
        <x:v>0.028846153846153848</x:v>
      </x:c>
      <x:c r="T323" s="15" t="n">
        <x:f>IF(E323=0,"해당 없음",L323/E323)</x:f>
        <x:v>0.19230769230769232</x:v>
      </x:c>
      <x:c r="U323" s="15" t="n">
        <x:f>IF(E323=0,"해당 없음",M323/E323)</x:f>
        <x:v>0.038461538461538464</x:v>
      </x:c>
      <x:c r="V323" s="16" t="n">
        <x:f>E323/5</x:f>
        <x:v>20.8</x:v>
      </x:c>
    </x:row>
    <x:row r="324" ht="22" customHeight="1">
      <x:c r="A324" s="2" t="n">
        <x:v>160</x:v>
      </x:c>
      <x:c r="B324" s="2" t="str">
        <x:v>RED</x:v>
      </x:c>
      <x:c r="C324" s="2" t="str">
        <x:v>규칙형</x:v>
      </x:c>
      <x:c r="D324" s="2" t="str">
        <x:v>120만</x:v>
      </x:c>
      <x:c r="E324" s="14" t="n">
        <x:f>SUM(F324:M324)</x:f>
        <x:v>102</x:v>
      </x:c>
      <x:c r="F324" s="14" t="n">
        <x:v>31</x:v>
      </x:c>
      <x:c r="G324" s="14" t="n">
        <x:v>5</x:v>
      </x:c>
      <x:c r="H324" s="14" t="n">
        <x:v>3</x:v>
      </x:c>
      <x:c r="I324" s="14" t="n">
        <x:v>16</x:v>
      </x:c>
      <x:c r="J324" s="14" t="n">
        <x:v>11</x:v>
      </x:c>
      <x:c r="K324" s="14" t="n">
        <x:v>6</x:v>
      </x:c>
      <x:c r="L324" s="14" t="n">
        <x:v>18</x:v>
      </x:c>
      <x:c r="M324" s="14" t="n">
        <x:v>12</x:v>
      </x:c>
      <x:c r="N324" s="15" t="n">
        <x:f>IF(E324=0,"해당 없음",F324/E324)</x:f>
        <x:v>0.30392156862745096</x:v>
      </x:c>
      <x:c r="O324" s="15" t="n">
        <x:f>IF(E324=0,"해당 없음",G324/E324)</x:f>
        <x:v>0.049019607843137254</x:v>
      </x:c>
      <x:c r="P324" s="15" t="n">
        <x:f>IF(E324=0,"해당 없음",H324/E324)</x:f>
        <x:v>0.029411764705882353</x:v>
      </x:c>
      <x:c r="Q324" s="15" t="n">
        <x:f>IF(E324=0,"해당 없음",I324/E324)</x:f>
        <x:v>0.1568627450980392</x:v>
      </x:c>
      <x:c r="R324" s="15" t="n">
        <x:f>IF(E324=0,"해당 없음",J324/E324)</x:f>
        <x:v>0.10784313725490197</x:v>
      </x:c>
      <x:c r="S324" s="15" t="n">
        <x:f>IF(E324=0,"해당 없음",K324/E324)</x:f>
        <x:v>0.058823529411764705</x:v>
      </x:c>
      <x:c r="T324" s="15" t="n">
        <x:f>IF(E324=0,"해당 없음",L324/E324)</x:f>
        <x:v>0.17647058823529413</x:v>
      </x:c>
      <x:c r="U324" s="15" t="n">
        <x:f>IF(E324=0,"해당 없음",M324/E324)</x:f>
        <x:v>0.11764705882352941</x:v>
      </x:c>
      <x:c r="V324" s="16" t="n">
        <x:f>E324/5</x:f>
        <x:v>20.4</x:v>
      </x:c>
    </x:row>
    <x:row r="325" ht="22" customHeight="1">
      <x:c r="A325" s="2" t="n">
        <x:v>160</x:v>
      </x:c>
      <x:c r="B325" s="2" t="str">
        <x:v>NAVY</x:v>
      </x:c>
      <x:c r="C325" s="2" t="str">
        <x:v>120만</x:v>
      </x:c>
      <x:c r="D325" s="2" t="str">
        <x:v>규칙형</x:v>
      </x:c>
      <x:c r="E325" s="14" t="n">
        <x:f>SUM(F325:M325)</x:f>
        <x:v>104</x:v>
      </x:c>
      <x:c r="F325" s="14" t="n">
        <x:v>0</x:v>
      </x:c>
      <x:c r="G325" s="14" t="n">
        <x:v>10</x:v>
      </x:c>
      <x:c r="H325" s="14" t="n">
        <x:v>13</x:v>
      </x:c>
      <x:c r="I325" s="14" t="n">
        <x:v>7</x:v>
      </x:c>
      <x:c r="J325" s="14" t="n">
        <x:v>2</x:v>
      </x:c>
      <x:c r="K325" s="14" t="n">
        <x:v>5</x:v>
      </x:c>
      <x:c r="L325" s="14" t="n">
        <x:v>42</x:v>
      </x:c>
      <x:c r="M325" s="14" t="n">
        <x:v>25</x:v>
      </x:c>
      <x:c r="N325" s="15" t="n">
        <x:f>IF(E325=0,"해당 없음",F325/E325)</x:f>
        <x:v>0</x:v>
      </x:c>
      <x:c r="O325" s="15" t="n">
        <x:f>IF(E325=0,"해당 없음",G325/E325)</x:f>
        <x:v>0.09615384615384616</x:v>
      </x:c>
      <x:c r="P325" s="15" t="n">
        <x:f>IF(E325=0,"해당 없음",H325/E325)</x:f>
        <x:v>0.125</x:v>
      </x:c>
      <x:c r="Q325" s="15" t="n">
        <x:f>IF(E325=0,"해당 없음",I325/E325)</x:f>
        <x:v>0.0673076923076923</x:v>
      </x:c>
      <x:c r="R325" s="15" t="n">
        <x:f>IF(E325=0,"해당 없음",J325/E325)</x:f>
        <x:v>0.019230769230769232</x:v>
      </x:c>
      <x:c r="S325" s="15" t="n">
        <x:f>IF(E325=0,"해당 없음",K325/E325)</x:f>
        <x:v>0.04807692307692308</x:v>
      </x:c>
      <x:c r="T325" s="15" t="n">
        <x:f>IF(E325=0,"해당 없음",L325/E325)</x:f>
        <x:v>0.40384615384615385</x:v>
      </x:c>
      <x:c r="U325" s="15" t="n">
        <x:f>IF(E325=0,"해당 없음",M325/E325)</x:f>
        <x:v>0.2403846153846154</x:v>
      </x:c>
      <x:c r="V325" s="16" t="n">
        <x:f>E325/5</x:f>
        <x:v>20.8</x:v>
      </x:c>
    </x:row>
    <x:row r="326" ht="22" customHeight="1">
      <x:c r="A326" s="2" t="n">
        <x:v>161</x:v>
      </x:c>
      <x:c r="B326" s="2" t="str">
        <x:v>RED</x:v>
      </x:c>
      <x:c r="C326" s="2" t="str">
        <x:v>160만</x:v>
      </x:c>
      <x:c r="D326" s="2" t="str">
        <x:v>규칙형</x:v>
      </x:c>
      <x:c r="E326" s="14" t="n">
        <x:f>SUM(F326:M326)</x:f>
        <x:v>104</x:v>
      </x:c>
      <x:c r="F326" s="14" t="n">
        <x:v>2</x:v>
      </x:c>
      <x:c r="G326" s="14" t="n">
        <x:v>12</x:v>
      </x:c>
      <x:c r="H326" s="14" t="n">
        <x:v>9</x:v>
      </x:c>
      <x:c r="I326" s="14" t="n">
        <x:v>3</x:v>
      </x:c>
      <x:c r="J326" s="14" t="n">
        <x:v>1</x:v>
      </x:c>
      <x:c r="K326" s="14" t="n">
        <x:v>5</x:v>
      </x:c>
      <x:c r="L326" s="14" t="n">
        <x:v>29</x:v>
      </x:c>
      <x:c r="M326" s="14" t="n">
        <x:v>43</x:v>
      </x:c>
      <x:c r="N326" s="15" t="n">
        <x:f>IF(E326=0,"해당 없음",F326/E326)</x:f>
        <x:v>0.019230769230769232</x:v>
      </x:c>
      <x:c r="O326" s="15" t="n">
        <x:f>IF(E326=0,"해당 없음",G326/E326)</x:f>
        <x:v>0.11538461538461539</x:v>
      </x:c>
      <x:c r="P326" s="15" t="n">
        <x:f>IF(E326=0,"해당 없음",H326/E326)</x:f>
        <x:v>0.08653846153846154</x:v>
      </x:c>
      <x:c r="Q326" s="15" t="n">
        <x:f>IF(E326=0,"해당 없음",I326/E326)</x:f>
        <x:v>0.028846153846153848</x:v>
      </x:c>
      <x:c r="R326" s="15" t="n">
        <x:f>IF(E326=0,"해당 없음",J326/E326)</x:f>
        <x:v>0.009615384615384616</x:v>
      </x:c>
      <x:c r="S326" s="15" t="n">
        <x:f>IF(E326=0,"해당 없음",K326/E326)</x:f>
        <x:v>0.04807692307692308</x:v>
      </x:c>
      <x:c r="T326" s="15" t="n">
        <x:f>IF(E326=0,"해당 없음",L326/E326)</x:f>
        <x:v>0.27884615384615385</x:v>
      </x:c>
      <x:c r="U326" s="15" t="n">
        <x:f>IF(E326=0,"해당 없음",M326/E326)</x:f>
        <x:v>0.41346153846153844</x:v>
      </x:c>
      <x:c r="V326" s="16" t="n">
        <x:f>E326/5</x:f>
        <x:v>20.8</x:v>
      </x:c>
    </x:row>
    <x:row r="327" ht="22" customHeight="1">
      <x:c r="A327" s="2" t="n">
        <x:v>161</x:v>
      </x:c>
      <x:c r="B327" s="2" t="str">
        <x:v>NAVY</x:v>
      </x:c>
      <x:c r="C327" s="2" t="str">
        <x:v>규칙형</x:v>
      </x:c>
      <x:c r="D327" s="2" t="str">
        <x:v>160만</x:v>
      </x:c>
      <x:c r="E327" s="14" t="n">
        <x:f>SUM(F327:M327)</x:f>
        <x:v>102</x:v>
      </x:c>
      <x:c r="F327" s="14" t="n">
        <x:v>38</x:v>
      </x:c>
      <x:c r="G327" s="14" t="n">
        <x:v>1</x:v>
      </x:c>
      <x:c r="H327" s="14" t="n">
        <x:v>11</x:v>
      </x:c>
      <x:c r="I327" s="14" t="n">
        <x:v>17</x:v>
      </x:c>
      <x:c r="J327" s="14" t="n">
        <x:v>5</x:v>
      </x:c>
      <x:c r="K327" s="14" t="n">
        <x:v>3</x:v>
      </x:c>
      <x:c r="L327" s="14" t="n">
        <x:v>21</x:v>
      </x:c>
      <x:c r="M327" s="14" t="n">
        <x:v>6</x:v>
      </x:c>
      <x:c r="N327" s="15" t="n">
        <x:f>IF(E327=0,"해당 없음",F327/E327)</x:f>
        <x:v>0.37254901960784315</x:v>
      </x:c>
      <x:c r="O327" s="15" t="n">
        <x:f>IF(E327=0,"해당 없음",G327/E327)</x:f>
        <x:v>0.00980392156862745</x:v>
      </x:c>
      <x:c r="P327" s="15" t="n">
        <x:f>IF(E327=0,"해당 없음",H327/E327)</x:f>
        <x:v>0.10784313725490197</x:v>
      </x:c>
      <x:c r="Q327" s="15" t="n">
        <x:f>IF(E327=0,"해당 없음",I327/E327)</x:f>
        <x:v>0.16666666666666666</x:v>
      </x:c>
      <x:c r="R327" s="15" t="n">
        <x:f>IF(E327=0,"해당 없음",J327/E327)</x:f>
        <x:v>0.049019607843137254</x:v>
      </x:c>
      <x:c r="S327" s="15" t="n">
        <x:f>IF(E327=0,"해당 없음",K327/E327)</x:f>
        <x:v>0.029411764705882353</x:v>
      </x:c>
      <x:c r="T327" s="15" t="n">
        <x:f>IF(E327=0,"해당 없음",L327/E327)</x:f>
        <x:v>0.20588235294117646</x:v>
      </x:c>
      <x:c r="U327" s="15" t="n">
        <x:f>IF(E327=0,"해당 없음",M327/E327)</x:f>
        <x:v>0.058823529411764705</x:v>
      </x:c>
      <x:c r="V327" s="16" t="n">
        <x:f>E327/5</x:f>
        <x:v>20.4</x:v>
      </x:c>
    </x:row>
    <x:row r="328" ht="22" customHeight="1">
      <x:c r="A328" s="2" t="n">
        <x:v>162</x:v>
      </x:c>
      <x:c r="B328" s="2" t="str">
        <x:v>RED</x:v>
      </x:c>
      <x:c r="C328" s="2" t="str">
        <x:v>규칙형</x:v>
      </x:c>
      <x:c r="D328" s="2" t="str">
        <x:v>160만</x:v>
      </x:c>
      <x:c r="E328" s="14" t="n">
        <x:f>SUM(F328:M328)</x:f>
        <x:v>104</x:v>
      </x:c>
      <x:c r="F328" s="14" t="n">
        <x:v>48</x:v>
      </x:c>
      <x:c r="G328" s="14" t="n">
        <x:v>4</x:v>
      </x:c>
      <x:c r="H328" s="14" t="n">
        <x:v>2</x:v>
      </x:c>
      <x:c r="I328" s="14" t="n">
        <x:v>24</x:v>
      </x:c>
      <x:c r="J328" s="14" t="n">
        <x:v>2</x:v>
      </x:c>
      <x:c r="K328" s="14" t="n">
        <x:v>5</x:v>
      </x:c>
      <x:c r="L328" s="14" t="n">
        <x:v>16</x:v>
      </x:c>
      <x:c r="M328" s="14" t="n">
        <x:v>3</x:v>
      </x:c>
      <x:c r="N328" s="15" t="n">
        <x:f>IF(E328=0,"해당 없음",F328/E328)</x:f>
        <x:v>0.46153846153846156</x:v>
      </x:c>
      <x:c r="O328" s="15" t="n">
        <x:f>IF(E328=0,"해당 없음",G328/E328)</x:f>
        <x:v>0.038461538461538464</x:v>
      </x:c>
      <x:c r="P328" s="15" t="n">
        <x:f>IF(E328=0,"해당 없음",H328/E328)</x:f>
        <x:v>0.019230769230769232</x:v>
      </x:c>
      <x:c r="Q328" s="15" t="n">
        <x:f>IF(E328=0,"해당 없음",I328/E328)</x:f>
        <x:v>0.23076923076923078</x:v>
      </x:c>
      <x:c r="R328" s="15" t="n">
        <x:f>IF(E328=0,"해당 없음",J328/E328)</x:f>
        <x:v>0.019230769230769232</x:v>
      </x:c>
      <x:c r="S328" s="15" t="n">
        <x:f>IF(E328=0,"해당 없음",K328/E328)</x:f>
        <x:v>0.04807692307692308</x:v>
      </x:c>
      <x:c r="T328" s="15" t="n">
        <x:f>IF(E328=0,"해당 없음",L328/E328)</x:f>
        <x:v>0.15384615384615385</x:v>
      </x:c>
      <x:c r="U328" s="15" t="n">
        <x:f>IF(E328=0,"해당 없음",M328/E328)</x:f>
        <x:v>0.028846153846153848</x:v>
      </x:c>
      <x:c r="V328" s="16" t="n">
        <x:f>E328/5</x:f>
        <x:v>20.8</x:v>
      </x:c>
    </x:row>
    <x:row r="329" ht="22" customHeight="1">
      <x:c r="A329" s="2" t="n">
        <x:v>162</x:v>
      </x:c>
      <x:c r="B329" s="2" t="str">
        <x:v>NAVY</x:v>
      </x:c>
      <x:c r="C329" s="2" t="str">
        <x:v>160만</x:v>
      </x:c>
      <x:c r="D329" s="2" t="str">
        <x:v>규칙형</x:v>
      </x:c>
      <x:c r="E329" s="14" t="n">
        <x:f>SUM(F329:M329)</x:f>
        <x:v>103</x:v>
      </x:c>
      <x:c r="F329" s="14" t="n">
        <x:v>6</x:v>
      </x:c>
      <x:c r="G329" s="14" t="n">
        <x:v>16</x:v>
      </x:c>
      <x:c r="H329" s="14" t="n">
        <x:v>4</x:v>
      </x:c>
      <x:c r="I329" s="14" t="n">
        <x:v>1</x:v>
      </x:c>
      <x:c r="J329" s="14" t="n">
        <x:v>0</x:v>
      </x:c>
      <x:c r="K329" s="14" t="n">
        <x:v>2</x:v>
      </x:c>
      <x:c r="L329" s="14" t="n">
        <x:v>28</x:v>
      </x:c>
      <x:c r="M329" s="14" t="n">
        <x:v>46</x:v>
      </x:c>
      <x:c r="N329" s="15" t="n">
        <x:f>IF(E329=0,"해당 없음",F329/E329)</x:f>
        <x:v>0.05825242718446602</x:v>
      </x:c>
      <x:c r="O329" s="15" t="n">
        <x:f>IF(E329=0,"해당 없음",G329/E329)</x:f>
        <x:v>0.1553398058252427</x:v>
      </x:c>
      <x:c r="P329" s="15" t="n">
        <x:f>IF(E329=0,"해당 없음",H329/E329)</x:f>
        <x:v>0.038834951456310676</x:v>
      </x:c>
      <x:c r="Q329" s="15" t="n">
        <x:f>IF(E329=0,"해당 없음",I329/E329)</x:f>
        <x:v>0.009708737864077669</x:v>
      </x:c>
      <x:c r="R329" s="15" t="n">
        <x:f>IF(E329=0,"해당 없음",J329/E329)</x:f>
        <x:v>0</x:v>
      </x:c>
      <x:c r="S329" s="15" t="n">
        <x:f>IF(E329=0,"해당 없음",K329/E329)</x:f>
        <x:v>0.019417475728155338</x:v>
      </x:c>
      <x:c r="T329" s="15" t="n">
        <x:f>IF(E329=0,"해당 없음",L329/E329)</x:f>
        <x:v>0.27184466019417475</x:v>
      </x:c>
      <x:c r="U329" s="15" t="n">
        <x:f>IF(E329=0,"해당 없음",M329/E329)</x:f>
        <x:v>0.44660194174757284</x:v>
      </x:c>
      <x:c r="V329" s="16" t="n">
        <x:f>E329/5</x:f>
        <x:v>20.6</x:v>
      </x:c>
    </x:row>
    <x:row r="330" ht="22" customHeight="1">
      <x:c r="A330" s="2" t="n">
        <x:v>163</x:v>
      </x:c>
      <x:c r="B330" s="2" t="str">
        <x:v>RED</x:v>
      </x:c>
      <x:c r="C330" s="2" t="str">
        <x:v>160만</x:v>
      </x:c>
      <x:c r="D330" s="2" t="str">
        <x:v>규칙형</x:v>
      </x:c>
      <x:c r="E330" s="14" t="n">
        <x:f>SUM(F330:M330)</x:f>
        <x:v>103</x:v>
      </x:c>
      <x:c r="F330" s="14" t="n">
        <x:v>1</x:v>
      </x:c>
      <x:c r="G330" s="14" t="n">
        <x:v>15</x:v>
      </x:c>
      <x:c r="H330" s="14" t="n">
        <x:v>11</x:v>
      </x:c>
      <x:c r="I330" s="14" t="n">
        <x:v>7</x:v>
      </x:c>
      <x:c r="J330" s="14" t="n">
        <x:v>2</x:v>
      </x:c>
      <x:c r="K330" s="14" t="n">
        <x:v>7</x:v>
      </x:c>
      <x:c r="L330" s="14" t="n">
        <x:v>29</x:v>
      </x:c>
      <x:c r="M330" s="14" t="n">
        <x:v>31</x:v>
      </x:c>
      <x:c r="N330" s="15" t="n">
        <x:f>IF(E330=0,"해당 없음",F330/E330)</x:f>
        <x:v>0.009708737864077669</x:v>
      </x:c>
      <x:c r="O330" s="15" t="n">
        <x:f>IF(E330=0,"해당 없음",G330/E330)</x:f>
        <x:v>0.14563106796116504</x:v>
      </x:c>
      <x:c r="P330" s="15" t="n">
        <x:f>IF(E330=0,"해당 없음",H330/E330)</x:f>
        <x:v>0.10679611650485436</x:v>
      </x:c>
      <x:c r="Q330" s="15" t="n">
        <x:f>IF(E330=0,"해당 없음",I330/E330)</x:f>
        <x:v>0.06796116504854369</x:v>
      </x:c>
      <x:c r="R330" s="15" t="n">
        <x:f>IF(E330=0,"해당 없음",J330/E330)</x:f>
        <x:v>0.019417475728155338</x:v>
      </x:c>
      <x:c r="S330" s="15" t="n">
        <x:f>IF(E330=0,"해당 없음",K330/E330)</x:f>
        <x:v>0.06796116504854369</x:v>
      </x:c>
      <x:c r="T330" s="15" t="n">
        <x:f>IF(E330=0,"해당 없음",L330/E330)</x:f>
        <x:v>0.2815533980582524</x:v>
      </x:c>
      <x:c r="U330" s="15" t="n">
        <x:f>IF(E330=0,"해당 없음",M330/E330)</x:f>
        <x:v>0.30097087378640774</x:v>
      </x:c>
      <x:c r="V330" s="16" t="n">
        <x:f>E330/5</x:f>
        <x:v>20.6</x:v>
      </x:c>
    </x:row>
    <x:row r="331" ht="22" customHeight="1">
      <x:c r="A331" s="2" t="n">
        <x:v>163</x:v>
      </x:c>
      <x:c r="B331" s="2" t="str">
        <x:v>NAVY</x:v>
      </x:c>
      <x:c r="C331" s="2" t="str">
        <x:v>규칙형</x:v>
      </x:c>
      <x:c r="D331" s="2" t="str">
        <x:v>160만</x:v>
      </x:c>
      <x:c r="E331" s="14" t="n">
        <x:f>SUM(F331:M331)</x:f>
        <x:v>103</x:v>
      </x:c>
      <x:c r="F331" s="14" t="n">
        <x:v>41</x:v>
      </x:c>
      <x:c r="G331" s="14" t="n">
        <x:v>3</x:v>
      </x:c>
      <x:c r="H331" s="14" t="n">
        <x:v>7</x:v>
      </x:c>
      <x:c r="I331" s="14" t="n">
        <x:v>14</x:v>
      </x:c>
      <x:c r="J331" s="14" t="n">
        <x:v>11</x:v>
      </x:c>
      <x:c r="K331" s="14" t="n">
        <x:v>4</x:v>
      </x:c>
      <x:c r="L331" s="14" t="n">
        <x:v>14</x:v>
      </x:c>
      <x:c r="M331" s="14" t="n">
        <x:v>9</x:v>
      </x:c>
      <x:c r="N331" s="15" t="n">
        <x:f>IF(E331=0,"해당 없음",F331/E331)</x:f>
        <x:v>0.39805825242718446</x:v>
      </x:c>
      <x:c r="O331" s="15" t="n">
        <x:f>IF(E331=0,"해당 없음",G331/E331)</x:f>
        <x:v>0.02912621359223301</x:v>
      </x:c>
      <x:c r="P331" s="15" t="n">
        <x:f>IF(E331=0,"해당 없음",H331/E331)</x:f>
        <x:v>0.06796116504854369</x:v>
      </x:c>
      <x:c r="Q331" s="15" t="n">
        <x:f>IF(E331=0,"해당 없음",I331/E331)</x:f>
        <x:v>0.13592233009708737</x:v>
      </x:c>
      <x:c r="R331" s="15" t="n">
        <x:f>IF(E331=0,"해당 없음",J331/E331)</x:f>
        <x:v>0.10679611650485436</x:v>
      </x:c>
      <x:c r="S331" s="15" t="n">
        <x:f>IF(E331=0,"해당 없음",K331/E331)</x:f>
        <x:v>0.038834951456310676</x:v>
      </x:c>
      <x:c r="T331" s="15" t="n">
        <x:f>IF(E331=0,"해당 없음",L331/E331)</x:f>
        <x:v>0.13592233009708737</x:v>
      </x:c>
      <x:c r="U331" s="15" t="n">
        <x:f>IF(E331=0,"해당 없음",M331/E331)</x:f>
        <x:v>0.08737864077669903</x:v>
      </x:c>
      <x:c r="V331" s="16" t="n">
        <x:f>E331/5</x:f>
        <x:v>20.6</x:v>
      </x:c>
    </x:row>
    <x:row r="332" ht="22" customHeight="1">
      <x:c r="A332" s="2" t="n">
        <x:v>164</x:v>
      </x:c>
      <x:c r="B332" s="2" t="str">
        <x:v>RED</x:v>
      </x:c>
      <x:c r="C332" s="2" t="str">
        <x:v>규칙형</x:v>
      </x:c>
      <x:c r="D332" s="2" t="str">
        <x:v>160만</x:v>
      </x:c>
      <x:c r="E332" s="14" t="n">
        <x:f>SUM(F332:M332)</x:f>
        <x:v>102</x:v>
      </x:c>
      <x:c r="F332" s="14" t="n">
        <x:v>41</x:v>
      </x:c>
      <x:c r="G332" s="14" t="n">
        <x:v>1</x:v>
      </x:c>
      <x:c r="H332" s="14" t="n">
        <x:v>8</x:v>
      </x:c>
      <x:c r="I332" s="14" t="n">
        <x:v>16</x:v>
      </x:c>
      <x:c r="J332" s="14" t="n">
        <x:v>6</x:v>
      </x:c>
      <x:c r="K332" s="14" t="n">
        <x:v>4</x:v>
      </x:c>
      <x:c r="L332" s="14" t="n">
        <x:v>20</x:v>
      </x:c>
      <x:c r="M332" s="14" t="n">
        <x:v>6</x:v>
      </x:c>
      <x:c r="N332" s="15" t="n">
        <x:f>IF(E332=0,"해당 없음",F332/E332)</x:f>
        <x:v>0.4019607843137255</x:v>
      </x:c>
      <x:c r="O332" s="15" t="n">
        <x:f>IF(E332=0,"해당 없음",G332/E332)</x:f>
        <x:v>0.00980392156862745</x:v>
      </x:c>
      <x:c r="P332" s="15" t="n">
        <x:f>IF(E332=0,"해당 없음",H332/E332)</x:f>
        <x:v>0.0784313725490196</x:v>
      </x:c>
      <x:c r="Q332" s="15" t="n">
        <x:f>IF(E332=0,"해당 없음",I332/E332)</x:f>
        <x:v>0.1568627450980392</x:v>
      </x:c>
      <x:c r="R332" s="15" t="n">
        <x:f>IF(E332=0,"해당 없음",J332/E332)</x:f>
        <x:v>0.058823529411764705</x:v>
      </x:c>
      <x:c r="S332" s="15" t="n">
        <x:f>IF(E332=0,"해당 없음",K332/E332)</x:f>
        <x:v>0.0392156862745098</x:v>
      </x:c>
      <x:c r="T332" s="15" t="n">
        <x:f>IF(E332=0,"해당 없음",L332/E332)</x:f>
        <x:v>0.19607843137254902</x:v>
      </x:c>
      <x:c r="U332" s="15" t="n">
        <x:f>IF(E332=0,"해당 없음",M332/E332)</x:f>
        <x:v>0.058823529411764705</x:v>
      </x:c>
      <x:c r="V332" s="16" t="n">
        <x:f>E332/5</x:f>
        <x:v>20.4</x:v>
      </x:c>
    </x:row>
    <x:row r="333" ht="22" customHeight="1">
      <x:c r="A333" s="2" t="n">
        <x:v>164</x:v>
      </x:c>
      <x:c r="B333" s="2" t="str">
        <x:v>NAVY</x:v>
      </x:c>
      <x:c r="C333" s="2" t="str">
        <x:v>160만</x:v>
      </x:c>
      <x:c r="D333" s="2" t="str">
        <x:v>규칙형</x:v>
      </x:c>
      <x:c r="E333" s="14" t="n">
        <x:f>SUM(F333:M333)</x:f>
        <x:v>102</x:v>
      </x:c>
      <x:c r="F333" s="14" t="n">
        <x:v>1</x:v>
      </x:c>
      <x:c r="G333" s="14" t="n">
        <x:v>17</x:v>
      </x:c>
      <x:c r="H333" s="14" t="n">
        <x:v>5</x:v>
      </x:c>
      <x:c r="I333" s="14" t="n">
        <x:v>7</x:v>
      </x:c>
      <x:c r="J333" s="14" t="n">
        <x:v>2</x:v>
      </x:c>
      <x:c r="K333" s="14" t="n">
        <x:v>10</x:v>
      </x:c>
      <x:c r="L333" s="14" t="n">
        <x:v>27</x:v>
      </x:c>
      <x:c r="M333" s="14" t="n">
        <x:v>33</x:v>
      </x:c>
      <x:c r="N333" s="15" t="n">
        <x:f>IF(E333=0,"해당 없음",F333/E333)</x:f>
        <x:v>0.00980392156862745</x:v>
      </x:c>
      <x:c r="O333" s="15" t="n">
        <x:f>IF(E333=0,"해당 없음",G333/E333)</x:f>
        <x:v>0.16666666666666666</x:v>
      </x:c>
      <x:c r="P333" s="15" t="n">
        <x:f>IF(E333=0,"해당 없음",H333/E333)</x:f>
        <x:v>0.049019607843137254</x:v>
      </x:c>
      <x:c r="Q333" s="15" t="n">
        <x:f>IF(E333=0,"해당 없음",I333/E333)</x:f>
        <x:v>0.06862745098039216</x:v>
      </x:c>
      <x:c r="R333" s="15" t="n">
        <x:f>IF(E333=0,"해당 없음",J333/E333)</x:f>
        <x:v>0.0196078431372549</x:v>
      </x:c>
      <x:c r="S333" s="15" t="n">
        <x:f>IF(E333=0,"해당 없음",K333/E333)</x:f>
        <x:v>0.09803921568627451</x:v>
      </x:c>
      <x:c r="T333" s="15" t="n">
        <x:f>IF(E333=0,"해당 없음",L333/E333)</x:f>
        <x:v>0.2647058823529412</x:v>
      </x:c>
      <x:c r="U333" s="15" t="n">
        <x:f>IF(E333=0,"해당 없음",M333/E333)</x:f>
        <x:v>0.3235294117647059</x:v>
      </x:c>
      <x:c r="V333" s="16" t="n">
        <x:f>E333/5</x:f>
        <x:v>20.4</x:v>
      </x:c>
    </x:row>
    <x:row r="334" ht="22" customHeight="1">
      <x:c r="A334" s="2" t="n">
        <x:v>165</x:v>
      </x:c>
      <x:c r="B334" s="2" t="str">
        <x:v>RED</x:v>
      </x:c>
      <x:c r="C334" s="2" t="str">
        <x:v>160만</x:v>
      </x:c>
      <x:c r="D334" s="2" t="str">
        <x:v>규칙형</x:v>
      </x:c>
      <x:c r="E334" s="14" t="n">
        <x:f>SUM(F334:M334)</x:f>
        <x:v>102</x:v>
      </x:c>
      <x:c r="F334" s="14" t="n">
        <x:v>3</x:v>
      </x:c>
      <x:c r="G334" s="14" t="n">
        <x:v>24</x:v>
      </x:c>
      <x:c r="H334" s="14" t="n">
        <x:v>8</x:v>
      </x:c>
      <x:c r="I334" s="14" t="n">
        <x:v>5</x:v>
      </x:c>
      <x:c r="J334" s="14" t="n">
        <x:v>4</x:v>
      </x:c>
      <x:c r="K334" s="14" t="n">
        <x:v>9</x:v>
      </x:c>
      <x:c r="L334" s="14" t="n">
        <x:v>26</x:v>
      </x:c>
      <x:c r="M334" s="14" t="n">
        <x:v>23</x:v>
      </x:c>
      <x:c r="N334" s="15" t="n">
        <x:f>IF(E334=0,"해당 없음",F334/E334)</x:f>
        <x:v>0.029411764705882353</x:v>
      </x:c>
      <x:c r="O334" s="15" t="n">
        <x:f>IF(E334=0,"해당 없음",G334/E334)</x:f>
        <x:v>0.23529411764705882</x:v>
      </x:c>
      <x:c r="P334" s="15" t="n">
        <x:f>IF(E334=0,"해당 없음",H334/E334)</x:f>
        <x:v>0.0784313725490196</x:v>
      </x:c>
      <x:c r="Q334" s="15" t="n">
        <x:f>IF(E334=0,"해당 없음",I334/E334)</x:f>
        <x:v>0.049019607843137254</x:v>
      </x:c>
      <x:c r="R334" s="15" t="n">
        <x:f>IF(E334=0,"해당 없음",J334/E334)</x:f>
        <x:v>0.0392156862745098</x:v>
      </x:c>
      <x:c r="S334" s="15" t="n">
        <x:f>IF(E334=0,"해당 없음",K334/E334)</x:f>
        <x:v>0.08823529411764706</x:v>
      </x:c>
      <x:c r="T334" s="15" t="n">
        <x:f>IF(E334=0,"해당 없음",L334/E334)</x:f>
        <x:v>0.2549019607843137</x:v>
      </x:c>
      <x:c r="U334" s="15" t="n">
        <x:f>IF(E334=0,"해당 없음",M334/E334)</x:f>
        <x:v>0.22549019607843138</x:v>
      </x:c>
      <x:c r="V334" s="16" t="n">
        <x:f>E334/5</x:f>
        <x:v>20.4</x:v>
      </x:c>
    </x:row>
    <x:row r="335" ht="22" customHeight="1">
      <x:c r="A335" s="2" t="n">
        <x:v>165</x:v>
      </x:c>
      <x:c r="B335" s="2" t="str">
        <x:v>NAVY</x:v>
      </x:c>
      <x:c r="C335" s="2" t="str">
        <x:v>규칙형</x:v>
      </x:c>
      <x:c r="D335" s="2" t="str">
        <x:v>160만</x:v>
      </x:c>
      <x:c r="E335" s="14" t="n">
        <x:f>SUM(F335:M335)</x:f>
        <x:v>103</x:v>
      </x:c>
      <x:c r="F335" s="14" t="n">
        <x:v>38</x:v>
      </x:c>
      <x:c r="G335" s="14" t="n">
        <x:v>8</x:v>
      </x:c>
      <x:c r="H335" s="14" t="n">
        <x:v>13</x:v>
      </x:c>
      <x:c r="I335" s="14" t="n">
        <x:v>9</x:v>
      </x:c>
      <x:c r="J335" s="14" t="n">
        <x:v>5</x:v>
      </x:c>
      <x:c r="K335" s="14" t="n">
        <x:v>0</x:v>
      </x:c>
      <x:c r="L335" s="14" t="n">
        <x:v>24</x:v>
      </x:c>
      <x:c r="M335" s="14" t="n">
        <x:v>6</x:v>
      </x:c>
      <x:c r="N335" s="15" t="n">
        <x:f>IF(E335=0,"해당 없음",F335/E335)</x:f>
        <x:v>0.36893203883495146</x:v>
      </x:c>
      <x:c r="O335" s="15" t="n">
        <x:f>IF(E335=0,"해당 없음",G335/E335)</x:f>
        <x:v>0.07766990291262135</x:v>
      </x:c>
      <x:c r="P335" s="15" t="n">
        <x:f>IF(E335=0,"해당 없음",H335/E335)</x:f>
        <x:v>0.1262135922330097</x:v>
      </x:c>
      <x:c r="Q335" s="15" t="n">
        <x:f>IF(E335=0,"해당 없음",I335/E335)</x:f>
        <x:v>0.08737864077669903</x:v>
      </x:c>
      <x:c r="R335" s="15" t="n">
        <x:f>IF(E335=0,"해당 없음",J335/E335)</x:f>
        <x:v>0.04854368932038835</x:v>
      </x:c>
      <x:c r="S335" s="15" t="n">
        <x:f>IF(E335=0,"해당 없음",K335/E335)</x:f>
        <x:v>0</x:v>
      </x:c>
      <x:c r="T335" s="15" t="n">
        <x:f>IF(E335=0,"해당 없음",L335/E335)</x:f>
        <x:v>0.23300970873786409</x:v>
      </x:c>
      <x:c r="U335" s="15" t="n">
        <x:f>IF(E335=0,"해당 없음",M335/E335)</x:f>
        <x:v>0.05825242718446602</x:v>
      </x:c>
      <x:c r="V335" s="16" t="n">
        <x:f>E335/5</x:f>
        <x:v>20.6</x:v>
      </x:c>
    </x:row>
    <x:row r="336" ht="22" customHeight="1">
      <x:c r="A336" s="2" t="n">
        <x:v>166</x:v>
      </x:c>
      <x:c r="B336" s="2" t="str">
        <x:v>RED</x:v>
      </x:c>
      <x:c r="C336" s="2" t="str">
        <x:v>규칙형</x:v>
      </x:c>
      <x:c r="D336" s="2" t="str">
        <x:v>160만</x:v>
      </x:c>
      <x:c r="E336" s="14" t="n">
        <x:f>SUM(F336:M336)</x:f>
        <x:v>105</x:v>
      </x:c>
      <x:c r="F336" s="14" t="n">
        <x:v>38</x:v>
      </x:c>
      <x:c r="G336" s="14" t="n">
        <x:v>3</x:v>
      </x:c>
      <x:c r="H336" s="14" t="n">
        <x:v>15</x:v>
      </x:c>
      <x:c r="I336" s="14" t="n">
        <x:v>9</x:v>
      </x:c>
      <x:c r="J336" s="14" t="n">
        <x:v>5</x:v>
      </x:c>
      <x:c r="K336" s="14" t="n">
        <x:v>5</x:v>
      </x:c>
      <x:c r="L336" s="14" t="n">
        <x:v>24</x:v>
      </x:c>
      <x:c r="M336" s="14" t="n">
        <x:v>6</x:v>
      </x:c>
      <x:c r="N336" s="15" t="n">
        <x:f>IF(E336=0,"해당 없음",F336/E336)</x:f>
        <x:v>0.3619047619047619</x:v>
      </x:c>
      <x:c r="O336" s="15" t="n">
        <x:f>IF(E336=0,"해당 없음",G336/E336)</x:f>
        <x:v>0.02857142857142857</x:v>
      </x:c>
      <x:c r="P336" s="15" t="n">
        <x:f>IF(E336=0,"해당 없음",H336/E336)</x:f>
        <x:v>0.14285714285714285</x:v>
      </x:c>
      <x:c r="Q336" s="15" t="n">
        <x:f>IF(E336=0,"해당 없음",I336/E336)</x:f>
        <x:v>0.08571428571428572</x:v>
      </x:c>
      <x:c r="R336" s="15" t="n">
        <x:f>IF(E336=0,"해당 없음",J336/E336)</x:f>
        <x:v>0.047619047619047616</x:v>
      </x:c>
      <x:c r="S336" s="15" t="n">
        <x:f>IF(E336=0,"해당 없음",K336/E336)</x:f>
        <x:v>0.047619047619047616</x:v>
      </x:c>
      <x:c r="T336" s="15" t="n">
        <x:f>IF(E336=0,"해당 없음",L336/E336)</x:f>
        <x:v>0.22857142857142856</x:v>
      </x:c>
      <x:c r="U336" s="15" t="n">
        <x:f>IF(E336=0,"해당 없음",M336/E336)</x:f>
        <x:v>0.05714285714285714</x:v>
      </x:c>
      <x:c r="V336" s="16" t="n">
        <x:f>E336/5</x:f>
        <x:v>21</x:v>
      </x:c>
    </x:row>
    <x:row r="337" ht="22" customHeight="1">
      <x:c r="A337" s="2" t="n">
        <x:v>166</x:v>
      </x:c>
      <x:c r="B337" s="2" t="str">
        <x:v>NAVY</x:v>
      </x:c>
      <x:c r="C337" s="2" t="str">
        <x:v>160만</x:v>
      </x:c>
      <x:c r="D337" s="2" t="str">
        <x:v>규칙형</x:v>
      </x:c>
      <x:c r="E337" s="14" t="n">
        <x:f>SUM(F337:M337)</x:f>
        <x:v>105</x:v>
      </x:c>
      <x:c r="F337" s="14" t="n">
        <x:v>4</x:v>
      </x:c>
      <x:c r="G337" s="14" t="n">
        <x:v>20</x:v>
      </x:c>
      <x:c r="H337" s="14" t="n">
        <x:v>9</x:v>
      </x:c>
      <x:c r="I337" s="14" t="n">
        <x:v>3</x:v>
      </x:c>
      <x:c r="J337" s="14" t="n">
        <x:v>5</x:v>
      </x:c>
      <x:c r="K337" s="14" t="n">
        <x:v>7</x:v>
      </x:c>
      <x:c r="L337" s="14" t="n">
        <x:v>34</x:v>
      </x:c>
      <x:c r="M337" s="14" t="n">
        <x:v>23</x:v>
      </x:c>
      <x:c r="N337" s="15" t="n">
        <x:f>IF(E337=0,"해당 없음",F337/E337)</x:f>
        <x:v>0.0380952380952381</x:v>
      </x:c>
      <x:c r="O337" s="15" t="n">
        <x:f>IF(E337=0,"해당 없음",G337/E337)</x:f>
        <x:v>0.19047619047619047</x:v>
      </x:c>
      <x:c r="P337" s="15" t="n">
        <x:f>IF(E337=0,"해당 없음",H337/E337)</x:f>
        <x:v>0.08571428571428572</x:v>
      </x:c>
      <x:c r="Q337" s="15" t="n">
        <x:f>IF(E337=0,"해당 없음",I337/E337)</x:f>
        <x:v>0.02857142857142857</x:v>
      </x:c>
      <x:c r="R337" s="15" t="n">
        <x:f>IF(E337=0,"해당 없음",J337/E337)</x:f>
        <x:v>0.047619047619047616</x:v>
      </x:c>
      <x:c r="S337" s="15" t="n">
        <x:f>IF(E337=0,"해당 없음",K337/E337)</x:f>
        <x:v>0.06666666666666667</x:v>
      </x:c>
      <x:c r="T337" s="15" t="n">
        <x:f>IF(E337=0,"해당 없음",L337/E337)</x:f>
        <x:v>0.3238095238095238</x:v>
      </x:c>
      <x:c r="U337" s="15" t="n">
        <x:f>IF(E337=0,"해당 없음",M337/E337)</x:f>
        <x:v>0.21904761904761905</x:v>
      </x:c>
      <x:c r="V337" s="16" t="n">
        <x:f>E337/5</x:f>
        <x:v>21</x:v>
      </x:c>
    </x:row>
    <x:row r="338" ht="22" customHeight="1">
      <x:c r="A338" s="2" t="n">
        <x:v>167</x:v>
      </x:c>
      <x:c r="B338" s="2" t="str">
        <x:v>RED</x:v>
      </x:c>
      <x:c r="C338" s="2" t="str">
        <x:v>160만</x:v>
      </x:c>
      <x:c r="D338" s="2" t="str">
        <x:v>규칙형</x:v>
      </x:c>
      <x:c r="E338" s="14" t="n">
        <x:f>SUM(F338:M338)</x:f>
        <x:v>104</x:v>
      </x:c>
      <x:c r="F338" s="14" t="n">
        <x:v>3</x:v>
      </x:c>
      <x:c r="G338" s="14" t="n">
        <x:v>21</x:v>
      </x:c>
      <x:c r="H338" s="14" t="n">
        <x:v>10</x:v>
      </x:c>
      <x:c r="I338" s="14" t="n">
        <x:v>2</x:v>
      </x:c>
      <x:c r="J338" s="14" t="n">
        <x:v>7</x:v>
      </x:c>
      <x:c r="K338" s="14" t="n">
        <x:v>8</x:v>
      </x:c>
      <x:c r="L338" s="14" t="n">
        <x:v>30</x:v>
      </x:c>
      <x:c r="M338" s="14" t="n">
        <x:v>23</x:v>
      </x:c>
      <x:c r="N338" s="15" t="n">
        <x:f>IF(E338=0,"해당 없음",F338/E338)</x:f>
        <x:v>0.028846153846153848</x:v>
      </x:c>
      <x:c r="O338" s="15" t="n">
        <x:f>IF(E338=0,"해당 없음",G338/E338)</x:f>
        <x:v>0.20192307692307693</x:v>
      </x:c>
      <x:c r="P338" s="15" t="n">
        <x:f>IF(E338=0,"해당 없음",H338/E338)</x:f>
        <x:v>0.09615384615384616</x:v>
      </x:c>
      <x:c r="Q338" s="15" t="n">
        <x:f>IF(E338=0,"해당 없음",I338/E338)</x:f>
        <x:v>0.019230769230769232</x:v>
      </x:c>
      <x:c r="R338" s="15" t="n">
        <x:f>IF(E338=0,"해당 없음",J338/E338)</x:f>
        <x:v>0.0673076923076923</x:v>
      </x:c>
      <x:c r="S338" s="15" t="n">
        <x:f>IF(E338=0,"해당 없음",K338/E338)</x:f>
        <x:v>0.07692307692307693</x:v>
      </x:c>
      <x:c r="T338" s="15" t="n">
        <x:f>IF(E338=0,"해당 없음",L338/E338)</x:f>
        <x:v>0.28846153846153844</x:v>
      </x:c>
      <x:c r="U338" s="15" t="n">
        <x:f>IF(E338=0,"해당 없음",M338/E338)</x:f>
        <x:v>0.22115384615384615</x:v>
      </x:c>
      <x:c r="V338" s="16" t="n">
        <x:f>E338/5</x:f>
        <x:v>20.8</x:v>
      </x:c>
    </x:row>
    <x:row r="339" ht="22" customHeight="1">
      <x:c r="A339" s="2" t="n">
        <x:v>167</x:v>
      </x:c>
      <x:c r="B339" s="2" t="str">
        <x:v>NAVY</x:v>
      </x:c>
      <x:c r="C339" s="2" t="str">
        <x:v>규칙형</x:v>
      </x:c>
      <x:c r="D339" s="2" t="str">
        <x:v>160만</x:v>
      </x:c>
      <x:c r="E339" s="14" t="n">
        <x:f>SUM(F339:M339)</x:f>
        <x:v>103</x:v>
      </x:c>
      <x:c r="F339" s="14" t="n">
        <x:v>36</x:v>
      </x:c>
      <x:c r="G339" s="14" t="n">
        <x:v>3</x:v>
      </x:c>
      <x:c r="H339" s="14" t="n">
        <x:v>9</x:v>
      </x:c>
      <x:c r="I339" s="14" t="n">
        <x:v>17</x:v>
      </x:c>
      <x:c r="J339" s="14" t="n">
        <x:v>4</x:v>
      </x:c>
      <x:c r="K339" s="14" t="n">
        <x:v>4</x:v>
      </x:c>
      <x:c r="L339" s="14" t="n">
        <x:v>22</x:v>
      </x:c>
      <x:c r="M339" s="14" t="n">
        <x:v>8</x:v>
      </x:c>
      <x:c r="N339" s="15" t="n">
        <x:f>IF(E339=0,"해당 없음",F339/E339)</x:f>
        <x:v>0.34951456310679613</x:v>
      </x:c>
      <x:c r="O339" s="15" t="n">
        <x:f>IF(E339=0,"해당 없음",G339/E339)</x:f>
        <x:v>0.02912621359223301</x:v>
      </x:c>
      <x:c r="P339" s="15" t="n">
        <x:f>IF(E339=0,"해당 없음",H339/E339)</x:f>
        <x:v>0.08737864077669903</x:v>
      </x:c>
      <x:c r="Q339" s="15" t="n">
        <x:f>IF(E339=0,"해당 없음",I339/E339)</x:f>
        <x:v>0.1650485436893204</x:v>
      </x:c>
      <x:c r="R339" s="15" t="n">
        <x:f>IF(E339=0,"해당 없음",J339/E339)</x:f>
        <x:v>0.038834951456310676</x:v>
      </x:c>
      <x:c r="S339" s="15" t="n">
        <x:f>IF(E339=0,"해당 없음",K339/E339)</x:f>
        <x:v>0.038834951456310676</x:v>
      </x:c>
      <x:c r="T339" s="15" t="n">
        <x:f>IF(E339=0,"해당 없음",L339/E339)</x:f>
        <x:v>0.21359223300970873</x:v>
      </x:c>
      <x:c r="U339" s="15" t="n">
        <x:f>IF(E339=0,"해당 없음",M339/E339)</x:f>
        <x:v>0.07766990291262135</x:v>
      </x:c>
      <x:c r="V339" s="16" t="n">
        <x:f>E339/5</x:f>
        <x:v>20.6</x:v>
      </x:c>
    </x:row>
    <x:row r="340" ht="22" customHeight="1">
      <x:c r="A340" s="2" t="n">
        <x:v>168</x:v>
      </x:c>
      <x:c r="B340" s="2" t="str">
        <x:v>RED</x:v>
      </x:c>
      <x:c r="C340" s="2" t="str">
        <x:v>규칙형</x:v>
      </x:c>
      <x:c r="D340" s="2" t="str">
        <x:v>160만</x:v>
      </x:c>
      <x:c r="E340" s="14" t="n">
        <x:f>SUM(F340:M340)</x:f>
        <x:v>101</x:v>
      </x:c>
      <x:c r="F340" s="14" t="n">
        <x:v>44</x:v>
      </x:c>
      <x:c r="G340" s="14" t="n">
        <x:v>5</x:v>
      </x:c>
      <x:c r="H340" s="14" t="n">
        <x:v>9</x:v>
      </x:c>
      <x:c r="I340" s="14" t="n">
        <x:v>15</x:v>
      </x:c>
      <x:c r="J340" s="14" t="n">
        <x:v>5</x:v>
      </x:c>
      <x:c r="K340" s="14" t="n">
        <x:v>2</x:v>
      </x:c>
      <x:c r="L340" s="14" t="n">
        <x:v>13</x:v>
      </x:c>
      <x:c r="M340" s="14" t="n">
        <x:v>8</x:v>
      </x:c>
      <x:c r="N340" s="15" t="n">
        <x:f>IF(E340=0,"해당 없음",F340/E340)</x:f>
        <x:v>0.43564356435643564</x:v>
      </x:c>
      <x:c r="O340" s="15" t="n">
        <x:f>IF(E340=0,"해당 없음",G340/E340)</x:f>
        <x:v>0.04950495049504951</x:v>
      </x:c>
      <x:c r="P340" s="15" t="n">
        <x:f>IF(E340=0,"해당 없음",H340/E340)</x:f>
        <x:v>0.0891089108910891</x:v>
      </x:c>
      <x:c r="Q340" s="15" t="n">
        <x:f>IF(E340=0,"해당 없음",I340/E340)</x:f>
        <x:v>0.1485148514851485</x:v>
      </x:c>
      <x:c r="R340" s="15" t="n">
        <x:f>IF(E340=0,"해당 없음",J340/E340)</x:f>
        <x:v>0.04950495049504951</x:v>
      </x:c>
      <x:c r="S340" s="15" t="n">
        <x:f>IF(E340=0,"해당 없음",K340/E340)</x:f>
        <x:v>0.019801980198019802</x:v>
      </x:c>
      <x:c r="T340" s="15" t="n">
        <x:f>IF(E340=0,"해당 없음",L340/E340)</x:f>
        <x:v>0.12871287128712872</x:v>
      </x:c>
      <x:c r="U340" s="15" t="n">
        <x:f>IF(E340=0,"해당 없음",M340/E340)</x:f>
        <x:v>0.07920792079207921</x:v>
      </x:c>
      <x:c r="V340" s="16" t="n">
        <x:f>E340/5</x:f>
        <x:v>20.2</x:v>
      </x:c>
    </x:row>
    <x:row r="341" ht="22" customHeight="1">
      <x:c r="A341" s="2" t="n">
        <x:v>168</x:v>
      </x:c>
      <x:c r="B341" s="2" t="str">
        <x:v>NAVY</x:v>
      </x:c>
      <x:c r="C341" s="2" t="str">
        <x:v>160만</x:v>
      </x:c>
      <x:c r="D341" s="2" t="str">
        <x:v>규칙형</x:v>
      </x:c>
      <x:c r="E341" s="14" t="n">
        <x:f>SUM(F341:M341)</x:f>
        <x:v>102</x:v>
      </x:c>
      <x:c r="F341" s="14" t="n">
        <x:v>0</x:v>
      </x:c>
      <x:c r="G341" s="14" t="n">
        <x:v>24</x:v>
      </x:c>
      <x:c r="H341" s="14" t="n">
        <x:v>4</x:v>
      </x:c>
      <x:c r="I341" s="14" t="n">
        <x:v>2</x:v>
      </x:c>
      <x:c r="J341" s="14" t="n">
        <x:v>2</x:v>
      </x:c>
      <x:c r="K341" s="14" t="n">
        <x:v>9</x:v>
      </x:c>
      <x:c r="L341" s="14" t="n">
        <x:v>28</x:v>
      </x:c>
      <x:c r="M341" s="14" t="n">
        <x:v>33</x:v>
      </x:c>
      <x:c r="N341" s="15" t="n">
        <x:f>IF(E341=0,"해당 없음",F341/E341)</x:f>
        <x:v>0</x:v>
      </x:c>
      <x:c r="O341" s="15" t="n">
        <x:f>IF(E341=0,"해당 없음",G341/E341)</x:f>
        <x:v>0.23529411764705882</x:v>
      </x:c>
      <x:c r="P341" s="15" t="n">
        <x:f>IF(E341=0,"해당 없음",H341/E341)</x:f>
        <x:v>0.0392156862745098</x:v>
      </x:c>
      <x:c r="Q341" s="15" t="n">
        <x:f>IF(E341=0,"해당 없음",I341/E341)</x:f>
        <x:v>0.0196078431372549</x:v>
      </x:c>
      <x:c r="R341" s="15" t="n">
        <x:f>IF(E341=0,"해당 없음",J341/E341)</x:f>
        <x:v>0.0196078431372549</x:v>
      </x:c>
      <x:c r="S341" s="15" t="n">
        <x:f>IF(E341=0,"해당 없음",K341/E341)</x:f>
        <x:v>0.08823529411764706</x:v>
      </x:c>
      <x:c r="T341" s="15" t="n">
        <x:f>IF(E341=0,"해당 없음",L341/E341)</x:f>
        <x:v>0.27450980392156865</x:v>
      </x:c>
      <x:c r="U341" s="15" t="n">
        <x:f>IF(E341=0,"해당 없음",M341/E341)</x:f>
        <x:v>0.3235294117647059</x:v>
      </x:c>
      <x:c r="V341" s="16" t="n">
        <x:f>E341/5</x:f>
        <x:v>20.4</x:v>
      </x:c>
    </x:row>
    <x:row r="342" ht="22" customHeight="1">
      <x:c r="A342" s="2" t="n">
        <x:v>169</x:v>
      </x:c>
      <x:c r="B342" s="2" t="str">
        <x:v>RED</x:v>
      </x:c>
      <x:c r="C342" s="2" t="str">
        <x:v>160만</x:v>
      </x:c>
      <x:c r="D342" s="2" t="str">
        <x:v>규칙형</x:v>
      </x:c>
      <x:c r="E342" s="14" t="n">
        <x:f>SUM(F342:M342)</x:f>
        <x:v>102</x:v>
      </x:c>
      <x:c r="F342" s="14" t="n">
        <x:v>2</x:v>
      </x:c>
      <x:c r="G342" s="14" t="n">
        <x:v>16</x:v>
      </x:c>
      <x:c r="H342" s="14" t="n">
        <x:v>5</x:v>
      </x:c>
      <x:c r="I342" s="14" t="n">
        <x:v>6</x:v>
      </x:c>
      <x:c r="J342" s="14" t="n">
        <x:v>2</x:v>
      </x:c>
      <x:c r="K342" s="14" t="n">
        <x:v>5</x:v>
      </x:c>
      <x:c r="L342" s="14" t="n">
        <x:v>25</x:v>
      </x:c>
      <x:c r="M342" s="14" t="n">
        <x:v>41</x:v>
      </x:c>
      <x:c r="N342" s="15" t="n">
        <x:f>IF(E342=0,"해당 없음",F342/E342)</x:f>
        <x:v>0.0196078431372549</x:v>
      </x:c>
      <x:c r="O342" s="15" t="n">
        <x:f>IF(E342=0,"해당 없음",G342/E342)</x:f>
        <x:v>0.1568627450980392</x:v>
      </x:c>
      <x:c r="P342" s="15" t="n">
        <x:f>IF(E342=0,"해당 없음",H342/E342)</x:f>
        <x:v>0.049019607843137254</x:v>
      </x:c>
      <x:c r="Q342" s="15" t="n">
        <x:f>IF(E342=0,"해당 없음",I342/E342)</x:f>
        <x:v>0.058823529411764705</x:v>
      </x:c>
      <x:c r="R342" s="15" t="n">
        <x:f>IF(E342=0,"해당 없음",J342/E342)</x:f>
        <x:v>0.0196078431372549</x:v>
      </x:c>
      <x:c r="S342" s="15" t="n">
        <x:f>IF(E342=0,"해당 없음",K342/E342)</x:f>
        <x:v>0.049019607843137254</x:v>
      </x:c>
      <x:c r="T342" s="15" t="n">
        <x:f>IF(E342=0,"해당 없음",L342/E342)</x:f>
        <x:v>0.24509803921568626</x:v>
      </x:c>
      <x:c r="U342" s="15" t="n">
        <x:f>IF(E342=0,"해당 없음",M342/E342)</x:f>
        <x:v>0.4019607843137255</x:v>
      </x:c>
      <x:c r="V342" s="16" t="n">
        <x:f>E342/5</x:f>
        <x:v>20.4</x:v>
      </x:c>
    </x:row>
    <x:row r="343" ht="22" customHeight="1">
      <x:c r="A343" s="2" t="n">
        <x:v>169</x:v>
      </x:c>
      <x:c r="B343" s="2" t="str">
        <x:v>NAVY</x:v>
      </x:c>
      <x:c r="C343" s="2" t="str">
        <x:v>규칙형</x:v>
      </x:c>
      <x:c r="D343" s="2" t="str">
        <x:v>160만</x:v>
      </x:c>
      <x:c r="E343" s="14" t="n">
        <x:f>SUM(F343:M343)</x:f>
        <x:v>102</x:v>
      </x:c>
      <x:c r="F343" s="14" t="n">
        <x:v>45</x:v>
      </x:c>
      <x:c r="G343" s="14" t="n">
        <x:v>5</x:v>
      </x:c>
      <x:c r="H343" s="14" t="n">
        <x:v>10</x:v>
      </x:c>
      <x:c r="I343" s="14" t="n">
        <x:v>14</x:v>
      </x:c>
      <x:c r="J343" s="14" t="n">
        <x:v>6</x:v>
      </x:c>
      <x:c r="K343" s="14" t="n">
        <x:v>4</x:v>
      </x:c>
      <x:c r="L343" s="14" t="n">
        <x:v>13</x:v>
      </x:c>
      <x:c r="M343" s="14" t="n">
        <x:v>5</x:v>
      </x:c>
      <x:c r="N343" s="15" t="n">
        <x:f>IF(E343=0,"해당 없음",F343/E343)</x:f>
        <x:v>0.4411764705882353</x:v>
      </x:c>
      <x:c r="O343" s="15" t="n">
        <x:f>IF(E343=0,"해당 없음",G343/E343)</x:f>
        <x:v>0.049019607843137254</x:v>
      </x:c>
      <x:c r="P343" s="15" t="n">
        <x:f>IF(E343=0,"해당 없음",H343/E343)</x:f>
        <x:v>0.09803921568627451</x:v>
      </x:c>
      <x:c r="Q343" s="15" t="n">
        <x:f>IF(E343=0,"해당 없음",I343/E343)</x:f>
        <x:v>0.13725490196078433</x:v>
      </x:c>
      <x:c r="R343" s="15" t="n">
        <x:f>IF(E343=0,"해당 없음",J343/E343)</x:f>
        <x:v>0.058823529411764705</x:v>
      </x:c>
      <x:c r="S343" s="15" t="n">
        <x:f>IF(E343=0,"해당 없음",K343/E343)</x:f>
        <x:v>0.0392156862745098</x:v>
      </x:c>
      <x:c r="T343" s="15" t="n">
        <x:f>IF(E343=0,"해당 없음",L343/E343)</x:f>
        <x:v>0.12745098039215685</x:v>
      </x:c>
      <x:c r="U343" s="15" t="n">
        <x:f>IF(E343=0,"해당 없음",M343/E343)</x:f>
        <x:v>0.049019607843137254</x:v>
      </x:c>
      <x:c r="V343" s="16" t="n">
        <x:f>E343/5</x:f>
        <x:v>20.4</x:v>
      </x:c>
    </x:row>
    <x:row r="344" ht="22" customHeight="1">
      <x:c r="A344" s="2" t="n">
        <x:v>170</x:v>
      </x:c>
      <x:c r="B344" s="2" t="str">
        <x:v>RED</x:v>
      </x:c>
      <x:c r="C344" s="2" t="str">
        <x:v>규칙형</x:v>
      </x:c>
      <x:c r="D344" s="2" t="str">
        <x:v>160만</x:v>
      </x:c>
      <x:c r="E344" s="14" t="n">
        <x:f>SUM(F344:M344)</x:f>
        <x:v>105</x:v>
      </x:c>
      <x:c r="F344" s="14" t="n">
        <x:v>36</x:v>
      </x:c>
      <x:c r="G344" s="14" t="n">
        <x:v>11</x:v>
      </x:c>
      <x:c r="H344" s="14" t="n">
        <x:v>9</x:v>
      </x:c>
      <x:c r="I344" s="14" t="n">
        <x:v>16</x:v>
      </x:c>
      <x:c r="J344" s="14" t="n">
        <x:v>9</x:v>
      </x:c>
      <x:c r="K344" s="14" t="n">
        <x:v>5</x:v>
      </x:c>
      <x:c r="L344" s="14" t="n">
        <x:v>12</x:v>
      </x:c>
      <x:c r="M344" s="14" t="n">
        <x:v>7</x:v>
      </x:c>
      <x:c r="N344" s="15" t="n">
        <x:f>IF(E344=0,"해당 없음",F344/E344)</x:f>
        <x:v>0.34285714285714286</x:v>
      </x:c>
      <x:c r="O344" s="15" t="n">
        <x:f>IF(E344=0,"해당 없음",G344/E344)</x:f>
        <x:v>0.10476190476190476</x:v>
      </x:c>
      <x:c r="P344" s="15" t="n">
        <x:f>IF(E344=0,"해당 없음",H344/E344)</x:f>
        <x:v>0.08571428571428572</x:v>
      </x:c>
      <x:c r="Q344" s="15" t="n">
        <x:f>IF(E344=0,"해당 없음",I344/E344)</x:f>
        <x:v>0.1523809523809524</x:v>
      </x:c>
      <x:c r="R344" s="15" t="n">
        <x:f>IF(E344=0,"해당 없음",J344/E344)</x:f>
        <x:v>0.08571428571428572</x:v>
      </x:c>
      <x:c r="S344" s="15" t="n">
        <x:f>IF(E344=0,"해당 없음",K344/E344)</x:f>
        <x:v>0.047619047619047616</x:v>
      </x:c>
      <x:c r="T344" s="15" t="n">
        <x:f>IF(E344=0,"해당 없음",L344/E344)</x:f>
        <x:v>0.11428571428571428</x:v>
      </x:c>
      <x:c r="U344" s="15" t="n">
        <x:f>IF(E344=0,"해당 없음",M344/E344)</x:f>
        <x:v>0.06666666666666667</x:v>
      </x:c>
      <x:c r="V344" s="16" t="n">
        <x:f>E344/5</x:f>
        <x:v>21</x:v>
      </x:c>
    </x:row>
    <x:row r="345" ht="22" customHeight="1">
      <x:c r="A345" s="2" t="n">
        <x:v>170</x:v>
      </x:c>
      <x:c r="B345" s="2" t="str">
        <x:v>NAVY</x:v>
      </x:c>
      <x:c r="C345" s="2" t="str">
        <x:v>160만</x:v>
      </x:c>
      <x:c r="D345" s="2" t="str">
        <x:v>규칙형</x:v>
      </x:c>
      <x:c r="E345" s="14" t="n">
        <x:f>SUM(F345:M345)</x:f>
        <x:v>104</x:v>
      </x:c>
      <x:c r="F345" s="14" t="n">
        <x:v>0</x:v>
      </x:c>
      <x:c r="G345" s="14" t="n">
        <x:v>15</x:v>
      </x:c>
      <x:c r="H345" s="14" t="n">
        <x:v>11</x:v>
      </x:c>
      <x:c r="I345" s="14" t="n">
        <x:v>5</x:v>
      </x:c>
      <x:c r="J345" s="14" t="n">
        <x:v>4</x:v>
      </x:c>
      <x:c r="K345" s="14" t="n">
        <x:v>9</x:v>
      </x:c>
      <x:c r="L345" s="14" t="n">
        <x:v>35</x:v>
      </x:c>
      <x:c r="M345" s="14" t="n">
        <x:v>25</x:v>
      </x:c>
      <x:c r="N345" s="15" t="n">
        <x:f>IF(E345=0,"해당 없음",F345/E345)</x:f>
        <x:v>0</x:v>
      </x:c>
      <x:c r="O345" s="15" t="n">
        <x:f>IF(E345=0,"해당 없음",G345/E345)</x:f>
        <x:v>0.14423076923076922</x:v>
      </x:c>
      <x:c r="P345" s="15" t="n">
        <x:f>IF(E345=0,"해당 없음",H345/E345)</x:f>
        <x:v>0.10576923076923077</x:v>
      </x:c>
      <x:c r="Q345" s="15" t="n">
        <x:f>IF(E345=0,"해당 없음",I345/E345)</x:f>
        <x:v>0.04807692307692308</x:v>
      </x:c>
      <x:c r="R345" s="15" t="n">
        <x:f>IF(E345=0,"해당 없음",J345/E345)</x:f>
        <x:v>0.038461538461538464</x:v>
      </x:c>
      <x:c r="S345" s="15" t="n">
        <x:f>IF(E345=0,"해당 없음",K345/E345)</x:f>
        <x:v>0.08653846153846154</x:v>
      </x:c>
      <x:c r="T345" s="15" t="n">
        <x:f>IF(E345=0,"해당 없음",L345/E345)</x:f>
        <x:v>0.33653846153846156</x:v>
      </x:c>
      <x:c r="U345" s="15" t="n">
        <x:f>IF(E345=0,"해당 없음",M345/E345)</x:f>
        <x:v>0.2403846153846154</x:v>
      </x:c>
      <x:c r="V345" s="16" t="n">
        <x:f>E345/5</x:f>
        <x:v>20.8</x:v>
      </x:c>
    </x:row>
    <x:row r="346" ht="22" customHeight="1">
      <x:c r="A346" s="2" t="n">
        <x:v>171</x:v>
      </x:c>
      <x:c r="B346" s="2" t="str">
        <x:v>RED</x:v>
      </x:c>
      <x:c r="C346" s="2" t="str">
        <x:v>160만</x:v>
      </x:c>
      <x:c r="D346" s="2" t="str">
        <x:v>규칙형</x:v>
      </x:c>
      <x:c r="E346" s="14" t="n">
        <x:f>SUM(F346:M346)</x:f>
        <x:v>103</x:v>
      </x:c>
      <x:c r="F346" s="14" t="n">
        <x:v>0</x:v>
      </x:c>
      <x:c r="G346" s="14" t="n">
        <x:v>18</x:v>
      </x:c>
      <x:c r="H346" s="14" t="n">
        <x:v>4</x:v>
      </x:c>
      <x:c r="I346" s="14" t="n">
        <x:v>1</x:v>
      </x:c>
      <x:c r="J346" s="14" t="n">
        <x:v>3</x:v>
      </x:c>
      <x:c r="K346" s="14" t="n">
        <x:v>5</x:v>
      </x:c>
      <x:c r="L346" s="14" t="n">
        <x:v>30</x:v>
      </x:c>
      <x:c r="M346" s="14" t="n">
        <x:v>42</x:v>
      </x:c>
      <x:c r="N346" s="15" t="n">
        <x:f>IF(E346=0,"해당 없음",F346/E346)</x:f>
        <x:v>0</x:v>
      </x:c>
      <x:c r="O346" s="15" t="n">
        <x:f>IF(E346=0,"해당 없음",G346/E346)</x:f>
        <x:v>0.17475728155339806</x:v>
      </x:c>
      <x:c r="P346" s="15" t="n">
        <x:f>IF(E346=0,"해당 없음",H346/E346)</x:f>
        <x:v>0.038834951456310676</x:v>
      </x:c>
      <x:c r="Q346" s="15" t="n">
        <x:f>IF(E346=0,"해당 없음",I346/E346)</x:f>
        <x:v>0.009708737864077669</x:v>
      </x:c>
      <x:c r="R346" s="15" t="n">
        <x:f>IF(E346=0,"해당 없음",J346/E346)</x:f>
        <x:v>0.02912621359223301</x:v>
      </x:c>
      <x:c r="S346" s="15" t="n">
        <x:f>IF(E346=0,"해당 없음",K346/E346)</x:f>
        <x:v>0.04854368932038835</x:v>
      </x:c>
      <x:c r="T346" s="15" t="n">
        <x:f>IF(E346=0,"해당 없음",L346/E346)</x:f>
        <x:v>0.2912621359223301</x:v>
      </x:c>
      <x:c r="U346" s="15" t="n">
        <x:f>IF(E346=0,"해당 없음",M346/E346)</x:f>
        <x:v>0.4077669902912621</x:v>
      </x:c>
      <x:c r="V346" s="16" t="n">
        <x:f>E346/5</x:f>
        <x:v>20.6</x:v>
      </x:c>
    </x:row>
    <x:row r="347" ht="22" customHeight="1">
      <x:c r="A347" s="2" t="n">
        <x:v>171</x:v>
      </x:c>
      <x:c r="B347" s="2" t="str">
        <x:v>NAVY</x:v>
      </x:c>
      <x:c r="C347" s="2" t="str">
        <x:v>규칙형</x:v>
      </x:c>
      <x:c r="D347" s="2" t="str">
        <x:v>160만</x:v>
      </x:c>
      <x:c r="E347" s="14" t="n">
        <x:f>SUM(F347:M347)</x:f>
        <x:v>102</x:v>
      </x:c>
      <x:c r="F347" s="14" t="n">
        <x:v>39</x:v>
      </x:c>
      <x:c r="G347" s="14" t="n">
        <x:v>6</x:v>
      </x:c>
      <x:c r="H347" s="14" t="n">
        <x:v>10</x:v>
      </x:c>
      <x:c r="I347" s="14" t="n">
        <x:v>14</x:v>
      </x:c>
      <x:c r="J347" s="14" t="n">
        <x:v>5</x:v>
      </x:c>
      <x:c r="K347" s="14" t="n">
        <x:v>6</x:v>
      </x:c>
      <x:c r="L347" s="14" t="n">
        <x:v>22</x:v>
      </x:c>
      <x:c r="M347" s="14" t="n">
        <x:v>0</x:v>
      </x:c>
      <x:c r="N347" s="15" t="n">
        <x:f>IF(E347=0,"해당 없음",F347/E347)</x:f>
        <x:v>0.38235294117647056</x:v>
      </x:c>
      <x:c r="O347" s="15" t="n">
        <x:f>IF(E347=0,"해당 없음",G347/E347)</x:f>
        <x:v>0.058823529411764705</x:v>
      </x:c>
      <x:c r="P347" s="15" t="n">
        <x:f>IF(E347=0,"해당 없음",H347/E347)</x:f>
        <x:v>0.09803921568627451</x:v>
      </x:c>
      <x:c r="Q347" s="15" t="n">
        <x:f>IF(E347=0,"해당 없음",I347/E347)</x:f>
        <x:v>0.13725490196078433</x:v>
      </x:c>
      <x:c r="R347" s="15" t="n">
        <x:f>IF(E347=0,"해당 없음",J347/E347)</x:f>
        <x:v>0.049019607843137254</x:v>
      </x:c>
      <x:c r="S347" s="15" t="n">
        <x:f>IF(E347=0,"해당 없음",K347/E347)</x:f>
        <x:v>0.058823529411764705</x:v>
      </x:c>
      <x:c r="T347" s="15" t="n">
        <x:f>IF(E347=0,"해당 없음",L347/E347)</x:f>
        <x:v>0.21568627450980393</x:v>
      </x:c>
      <x:c r="U347" s="15" t="n">
        <x:f>IF(E347=0,"해당 없음",M347/E347)</x:f>
        <x:v>0</x:v>
      </x:c>
      <x:c r="V347" s="16" t="n">
        <x:f>E347/5</x:f>
        <x:v>20.4</x:v>
      </x:c>
    </x:row>
    <x:row r="348" ht="22" customHeight="1">
      <x:c r="A348" s="2" t="n">
        <x:v>172</x:v>
      </x:c>
      <x:c r="B348" s="2" t="str">
        <x:v>RED</x:v>
      </x:c>
      <x:c r="C348" s="2" t="str">
        <x:v>규칙형</x:v>
      </x:c>
      <x:c r="D348" s="2" t="str">
        <x:v>160만</x:v>
      </x:c>
      <x:c r="E348" s="14" t="n">
        <x:f>SUM(F348:M348)</x:f>
        <x:v>104</x:v>
      </x:c>
      <x:c r="F348" s="14" t="n">
        <x:v>35</x:v>
      </x:c>
      <x:c r="G348" s="14" t="n">
        <x:v>8</x:v>
      </x:c>
      <x:c r="H348" s="14" t="n">
        <x:v>8</x:v>
      </x:c>
      <x:c r="I348" s="14" t="n">
        <x:v>19</x:v>
      </x:c>
      <x:c r="J348" s="14" t="n">
        <x:v>8</x:v>
      </x:c>
      <x:c r="K348" s="14" t="n">
        <x:v>3</x:v>
      </x:c>
      <x:c r="L348" s="14" t="n">
        <x:v>20</x:v>
      </x:c>
      <x:c r="M348" s="14" t="n">
        <x:v>3</x:v>
      </x:c>
      <x:c r="N348" s="15" t="n">
        <x:f>IF(E348=0,"해당 없음",F348/E348)</x:f>
        <x:v>0.33653846153846156</x:v>
      </x:c>
      <x:c r="O348" s="15" t="n">
        <x:f>IF(E348=0,"해당 없음",G348/E348)</x:f>
        <x:v>0.07692307692307693</x:v>
      </x:c>
      <x:c r="P348" s="15" t="n">
        <x:f>IF(E348=0,"해당 없음",H348/E348)</x:f>
        <x:v>0.07692307692307693</x:v>
      </x:c>
      <x:c r="Q348" s="15" t="n">
        <x:f>IF(E348=0,"해당 없음",I348/E348)</x:f>
        <x:v>0.18269230769230768</x:v>
      </x:c>
      <x:c r="R348" s="15" t="n">
        <x:f>IF(E348=0,"해당 없음",J348/E348)</x:f>
        <x:v>0.07692307692307693</x:v>
      </x:c>
      <x:c r="S348" s="15" t="n">
        <x:f>IF(E348=0,"해당 없음",K348/E348)</x:f>
        <x:v>0.028846153846153848</x:v>
      </x:c>
      <x:c r="T348" s="15" t="n">
        <x:f>IF(E348=0,"해당 없음",L348/E348)</x:f>
        <x:v>0.19230769230769232</x:v>
      </x:c>
      <x:c r="U348" s="15" t="n">
        <x:f>IF(E348=0,"해당 없음",M348/E348)</x:f>
        <x:v>0.028846153846153848</x:v>
      </x:c>
      <x:c r="V348" s="16" t="n">
        <x:f>E348/5</x:f>
        <x:v>20.8</x:v>
      </x:c>
    </x:row>
    <x:row r="349" ht="22" customHeight="1">
      <x:c r="A349" s="2" t="n">
        <x:v>172</x:v>
      </x:c>
      <x:c r="B349" s="2" t="str">
        <x:v>NAVY</x:v>
      </x:c>
      <x:c r="C349" s="2" t="str">
        <x:v>160만</x:v>
      </x:c>
      <x:c r="D349" s="2" t="str">
        <x:v>규칙형</x:v>
      </x:c>
      <x:c r="E349" s="14" t="n">
        <x:f>SUM(F349:M349)</x:f>
        <x:v>102</x:v>
      </x:c>
      <x:c r="F349" s="14" t="n">
        <x:v>3</x:v>
      </x:c>
      <x:c r="G349" s="14" t="n">
        <x:v>22</x:v>
      </x:c>
      <x:c r="H349" s="14" t="n">
        <x:v>9</x:v>
      </x:c>
      <x:c r="I349" s="14" t="n">
        <x:v>3</x:v>
      </x:c>
      <x:c r="J349" s="14" t="n">
        <x:v>2</x:v>
      </x:c>
      <x:c r="K349" s="14" t="n">
        <x:v>5</x:v>
      </x:c>
      <x:c r="L349" s="14" t="n">
        <x:v>28</x:v>
      </x:c>
      <x:c r="M349" s="14" t="n">
        <x:v>30</x:v>
      </x:c>
      <x:c r="N349" s="15" t="n">
        <x:f>IF(E349=0,"해당 없음",F349/E349)</x:f>
        <x:v>0.029411764705882353</x:v>
      </x:c>
      <x:c r="O349" s="15" t="n">
        <x:f>IF(E349=0,"해당 없음",G349/E349)</x:f>
        <x:v>0.21568627450980393</x:v>
      </x:c>
      <x:c r="P349" s="15" t="n">
        <x:f>IF(E349=0,"해당 없음",H349/E349)</x:f>
        <x:v>0.08823529411764706</x:v>
      </x:c>
      <x:c r="Q349" s="15" t="n">
        <x:f>IF(E349=0,"해당 없음",I349/E349)</x:f>
        <x:v>0.029411764705882353</x:v>
      </x:c>
      <x:c r="R349" s="15" t="n">
        <x:f>IF(E349=0,"해당 없음",J349/E349)</x:f>
        <x:v>0.0196078431372549</x:v>
      </x:c>
      <x:c r="S349" s="15" t="n">
        <x:f>IF(E349=0,"해당 없음",K349/E349)</x:f>
        <x:v>0.049019607843137254</x:v>
      </x:c>
      <x:c r="T349" s="15" t="n">
        <x:f>IF(E349=0,"해당 없음",L349/E349)</x:f>
        <x:v>0.27450980392156865</x:v>
      </x:c>
      <x:c r="U349" s="15" t="n">
        <x:f>IF(E349=0,"해당 없음",M349/E349)</x:f>
        <x:v>0.29411764705882354</x:v>
      </x:c>
      <x:c r="V349" s="16" t="n">
        <x:f>E349/5</x:f>
        <x:v>20.4</x:v>
      </x:c>
    </x:row>
    <x:row r="350" ht="22" customHeight="1">
      <x:c r="A350" s="2" t="n">
        <x:v>173</x:v>
      </x:c>
      <x:c r="B350" s="2" t="str">
        <x:v>RED</x:v>
      </x:c>
      <x:c r="C350" s="2" t="str">
        <x:v>160만</x:v>
      </x:c>
      <x:c r="D350" s="2" t="str">
        <x:v>규칙형</x:v>
      </x:c>
      <x:c r="E350" s="14" t="n">
        <x:f>SUM(F350:M350)</x:f>
        <x:v>105</x:v>
      </x:c>
      <x:c r="F350" s="14" t="n">
        <x:v>3</x:v>
      </x:c>
      <x:c r="G350" s="14" t="n">
        <x:v>15</x:v>
      </x:c>
      <x:c r="H350" s="14" t="n">
        <x:v>6</x:v>
      </x:c>
      <x:c r="I350" s="14" t="n">
        <x:v>4</x:v>
      </x:c>
      <x:c r="J350" s="14" t="n">
        <x:v>2</x:v>
      </x:c>
      <x:c r="K350" s="14" t="n">
        <x:v>1</x:v>
      </x:c>
      <x:c r="L350" s="14" t="n">
        <x:v>25</x:v>
      </x:c>
      <x:c r="M350" s="14" t="n">
        <x:v>49</x:v>
      </x:c>
      <x:c r="N350" s="15" t="n">
        <x:f>IF(E350=0,"해당 없음",F350/E350)</x:f>
        <x:v>0.02857142857142857</x:v>
      </x:c>
      <x:c r="O350" s="15" t="n">
        <x:f>IF(E350=0,"해당 없음",G350/E350)</x:f>
        <x:v>0.14285714285714285</x:v>
      </x:c>
      <x:c r="P350" s="15" t="n">
        <x:f>IF(E350=0,"해당 없음",H350/E350)</x:f>
        <x:v>0.05714285714285714</x:v>
      </x:c>
      <x:c r="Q350" s="15" t="n">
        <x:f>IF(E350=0,"해당 없음",I350/E350)</x:f>
        <x:v>0.0380952380952381</x:v>
      </x:c>
      <x:c r="R350" s="15" t="n">
        <x:f>IF(E350=0,"해당 없음",J350/E350)</x:f>
        <x:v>0.01904761904761905</x:v>
      </x:c>
      <x:c r="S350" s="15" t="n">
        <x:f>IF(E350=0,"해당 없음",K350/E350)</x:f>
        <x:v>0.009523809523809525</x:v>
      </x:c>
      <x:c r="T350" s="15" t="n">
        <x:f>IF(E350=0,"해당 없음",L350/E350)</x:f>
        <x:v>0.23809523809523808</x:v>
      </x:c>
      <x:c r="U350" s="15" t="n">
        <x:f>IF(E350=0,"해당 없음",M350/E350)</x:f>
        <x:v>0.4666666666666667</x:v>
      </x:c>
      <x:c r="V350" s="16" t="n">
        <x:f>E350/5</x:f>
        <x:v>21</x:v>
      </x:c>
    </x:row>
    <x:row r="351" ht="22" customHeight="1">
      <x:c r="A351" s="2" t="n">
        <x:v>173</x:v>
      </x:c>
      <x:c r="B351" s="2" t="str">
        <x:v>NAVY</x:v>
      </x:c>
      <x:c r="C351" s="2" t="str">
        <x:v>규칙형</x:v>
      </x:c>
      <x:c r="D351" s="2" t="str">
        <x:v>160만</x:v>
      </x:c>
      <x:c r="E351" s="14" t="n">
        <x:f>SUM(F351:M351)</x:f>
        <x:v>106</x:v>
      </x:c>
      <x:c r="F351" s="14" t="n">
        <x:v>37</x:v>
      </x:c>
      <x:c r="G351" s="14" t="n">
        <x:v>6</x:v>
      </x:c>
      <x:c r="H351" s="14" t="n">
        <x:v>11</x:v>
      </x:c>
      <x:c r="I351" s="14" t="n">
        <x:v>19</x:v>
      </x:c>
      <x:c r="J351" s="14" t="n">
        <x:v>6</x:v>
      </x:c>
      <x:c r="K351" s="14" t="n">
        <x:v>3</x:v>
      </x:c>
      <x:c r="L351" s="14" t="n">
        <x:v>21</x:v>
      </x:c>
      <x:c r="M351" s="14" t="n">
        <x:v>3</x:v>
      </x:c>
      <x:c r="N351" s="15" t="n">
        <x:f>IF(E351=0,"해당 없음",F351/E351)</x:f>
        <x:v>0.3490566037735849</x:v>
      </x:c>
      <x:c r="O351" s="15" t="n">
        <x:f>IF(E351=0,"해당 없음",G351/E351)</x:f>
        <x:v>0.05660377358490566</x:v>
      </x:c>
      <x:c r="P351" s="15" t="n">
        <x:f>IF(E351=0,"해당 없음",H351/E351)</x:f>
        <x:v>0.10377358490566038</x:v>
      </x:c>
      <x:c r="Q351" s="15" t="n">
        <x:f>IF(E351=0,"해당 없음",I351/E351)</x:f>
        <x:v>0.1792452830188679</x:v>
      </x:c>
      <x:c r="R351" s="15" t="n">
        <x:f>IF(E351=0,"해당 없음",J351/E351)</x:f>
        <x:v>0.05660377358490566</x:v>
      </x:c>
      <x:c r="S351" s="15" t="n">
        <x:f>IF(E351=0,"해당 없음",K351/E351)</x:f>
        <x:v>0.02830188679245283</x:v>
      </x:c>
      <x:c r="T351" s="15" t="n">
        <x:f>IF(E351=0,"해당 없음",L351/E351)</x:f>
        <x:v>0.19811320754716982</x:v>
      </x:c>
      <x:c r="U351" s="15" t="n">
        <x:f>IF(E351=0,"해당 없음",M351/E351)</x:f>
        <x:v>0.02830188679245283</x:v>
      </x:c>
      <x:c r="V351" s="16" t="n">
        <x:f>E351/5</x:f>
        <x:v>21.2</x:v>
      </x:c>
    </x:row>
    <x:row r="352" ht="22" customHeight="1">
      <x:c r="A352" s="2" t="n">
        <x:v>174</x:v>
      </x:c>
      <x:c r="B352" s="2" t="str">
        <x:v>RED</x:v>
      </x:c>
      <x:c r="C352" s="2" t="str">
        <x:v>규칙형</x:v>
      </x:c>
      <x:c r="D352" s="2" t="str">
        <x:v>160만</x:v>
      </x:c>
      <x:c r="E352" s="14" t="n">
        <x:f>SUM(F352:M352)</x:f>
        <x:v>105</x:v>
      </x:c>
      <x:c r="F352" s="14" t="n">
        <x:v>38</x:v>
      </x:c>
      <x:c r="G352" s="14" t="n">
        <x:v>5</x:v>
      </x:c>
      <x:c r="H352" s="14" t="n">
        <x:v>4</x:v>
      </x:c>
      <x:c r="I352" s="14" t="n">
        <x:v>20</x:v>
      </x:c>
      <x:c r="J352" s="14" t="n">
        <x:v>7</x:v>
      </x:c>
      <x:c r="K352" s="14" t="n">
        <x:v>5</x:v>
      </x:c>
      <x:c r="L352" s="14" t="n">
        <x:v>22</x:v>
      </x:c>
      <x:c r="M352" s="14" t="n">
        <x:v>4</x:v>
      </x:c>
      <x:c r="N352" s="15" t="n">
        <x:f>IF(E352=0,"해당 없음",F352/E352)</x:f>
        <x:v>0.3619047619047619</x:v>
      </x:c>
      <x:c r="O352" s="15" t="n">
        <x:f>IF(E352=0,"해당 없음",G352/E352)</x:f>
        <x:v>0.047619047619047616</x:v>
      </x:c>
      <x:c r="P352" s="15" t="n">
        <x:f>IF(E352=0,"해당 없음",H352/E352)</x:f>
        <x:v>0.0380952380952381</x:v>
      </x:c>
      <x:c r="Q352" s="15" t="n">
        <x:f>IF(E352=0,"해당 없음",I352/E352)</x:f>
        <x:v>0.19047619047619047</x:v>
      </x:c>
      <x:c r="R352" s="15" t="n">
        <x:f>IF(E352=0,"해당 없음",J352/E352)</x:f>
        <x:v>0.06666666666666667</x:v>
      </x:c>
      <x:c r="S352" s="15" t="n">
        <x:f>IF(E352=0,"해당 없음",K352/E352)</x:f>
        <x:v>0.047619047619047616</x:v>
      </x:c>
      <x:c r="T352" s="15" t="n">
        <x:f>IF(E352=0,"해당 없음",L352/E352)</x:f>
        <x:v>0.20952380952380953</x:v>
      </x:c>
      <x:c r="U352" s="15" t="n">
        <x:f>IF(E352=0,"해당 없음",M352/E352)</x:f>
        <x:v>0.0380952380952381</x:v>
      </x:c>
      <x:c r="V352" s="16" t="n">
        <x:f>E352/5</x:f>
        <x:v>21</x:v>
      </x:c>
    </x:row>
    <x:row r="353" ht="22" customHeight="1">
      <x:c r="A353" s="2" t="n">
        <x:v>174</x:v>
      </x:c>
      <x:c r="B353" s="2" t="str">
        <x:v>NAVY</x:v>
      </x:c>
      <x:c r="C353" s="2" t="str">
        <x:v>160만</x:v>
      </x:c>
      <x:c r="D353" s="2" t="str">
        <x:v>규칙형</x:v>
      </x:c>
      <x:c r="E353" s="14" t="n">
        <x:f>SUM(F353:M353)</x:f>
        <x:v>104</x:v>
      </x:c>
      <x:c r="F353" s="14" t="n">
        <x:v>3</x:v>
      </x:c>
      <x:c r="G353" s="14" t="n">
        <x:v>22</x:v>
      </x:c>
      <x:c r="H353" s="14" t="n">
        <x:v>4</x:v>
      </x:c>
      <x:c r="I353" s="14" t="n">
        <x:v>5</x:v>
      </x:c>
      <x:c r="J353" s="14" t="n">
        <x:v>3</x:v>
      </x:c>
      <x:c r="K353" s="14" t="n">
        <x:v>1</x:v>
      </x:c>
      <x:c r="L353" s="14" t="n">
        <x:v>37</x:v>
      </x:c>
      <x:c r="M353" s="14" t="n">
        <x:v>29</x:v>
      </x:c>
      <x:c r="N353" s="15" t="n">
        <x:f>IF(E353=0,"해당 없음",F353/E353)</x:f>
        <x:v>0.028846153846153848</x:v>
      </x:c>
      <x:c r="O353" s="15" t="n">
        <x:f>IF(E353=0,"해당 없음",G353/E353)</x:f>
        <x:v>0.21153846153846154</x:v>
      </x:c>
      <x:c r="P353" s="15" t="n">
        <x:f>IF(E353=0,"해당 없음",H353/E353)</x:f>
        <x:v>0.038461538461538464</x:v>
      </x:c>
      <x:c r="Q353" s="15" t="n">
        <x:f>IF(E353=0,"해당 없음",I353/E353)</x:f>
        <x:v>0.04807692307692308</x:v>
      </x:c>
      <x:c r="R353" s="15" t="n">
        <x:f>IF(E353=0,"해당 없음",J353/E353)</x:f>
        <x:v>0.028846153846153848</x:v>
      </x:c>
      <x:c r="S353" s="15" t="n">
        <x:f>IF(E353=0,"해당 없음",K353/E353)</x:f>
        <x:v>0.009615384615384616</x:v>
      </x:c>
      <x:c r="T353" s="15" t="n">
        <x:f>IF(E353=0,"해당 없음",L353/E353)</x:f>
        <x:v>0.3557692307692308</x:v>
      </x:c>
      <x:c r="U353" s="15" t="n">
        <x:f>IF(E353=0,"해당 없음",M353/E353)</x:f>
        <x:v>0.27884615384615385</x:v>
      </x:c>
      <x:c r="V353" s="16" t="n">
        <x:f>E353/5</x:f>
        <x:v>20.8</x:v>
      </x:c>
    </x:row>
    <x:row r="354" ht="22" customHeight="1">
      <x:c r="A354" s="2" t="n">
        <x:v>175</x:v>
      </x:c>
      <x:c r="B354" s="2" t="str">
        <x:v>RED</x:v>
      </x:c>
      <x:c r="C354" s="2" t="str">
        <x:v>160만</x:v>
      </x:c>
      <x:c r="D354" s="2" t="str">
        <x:v>규칙형</x:v>
      </x:c>
      <x:c r="E354" s="14" t="n">
        <x:f>SUM(F354:M354)</x:f>
        <x:v>101</x:v>
      </x:c>
      <x:c r="F354" s="14" t="n">
        <x:v>2</x:v>
      </x:c>
      <x:c r="G354" s="14" t="n">
        <x:v>12</x:v>
      </x:c>
      <x:c r="H354" s="14" t="n">
        <x:v>7</x:v>
      </x:c>
      <x:c r="I354" s="14" t="n">
        <x:v>2</x:v>
      </x:c>
      <x:c r="J354" s="14" t="n">
        <x:v>4</x:v>
      </x:c>
      <x:c r="K354" s="14" t="n">
        <x:v>8</x:v>
      </x:c>
      <x:c r="L354" s="14" t="n">
        <x:v>31</x:v>
      </x:c>
      <x:c r="M354" s="14" t="n">
        <x:v>35</x:v>
      </x:c>
      <x:c r="N354" s="15" t="n">
        <x:f>IF(E354=0,"해당 없음",F354/E354)</x:f>
        <x:v>0.019801980198019802</x:v>
      </x:c>
      <x:c r="O354" s="15" t="n">
        <x:f>IF(E354=0,"해당 없음",G354/E354)</x:f>
        <x:v>0.1188118811881188</x:v>
      </x:c>
      <x:c r="P354" s="15" t="n">
        <x:f>IF(E354=0,"해당 없음",H354/E354)</x:f>
        <x:v>0.06930693069306931</x:v>
      </x:c>
      <x:c r="Q354" s="15" t="n">
        <x:f>IF(E354=0,"해당 없음",I354/E354)</x:f>
        <x:v>0.019801980198019802</x:v>
      </x:c>
      <x:c r="R354" s="15" t="n">
        <x:f>IF(E354=0,"해당 없음",J354/E354)</x:f>
        <x:v>0.039603960396039604</x:v>
      </x:c>
      <x:c r="S354" s="15" t="n">
        <x:f>IF(E354=0,"해당 없음",K354/E354)</x:f>
        <x:v>0.07920792079207921</x:v>
      </x:c>
      <x:c r="T354" s="15" t="n">
        <x:f>IF(E354=0,"해당 없음",L354/E354)</x:f>
        <x:v>0.3069306930693069</x:v>
      </x:c>
      <x:c r="U354" s="15" t="n">
        <x:f>IF(E354=0,"해당 없음",M354/E354)</x:f>
        <x:v>0.3465346534653465</x:v>
      </x:c>
      <x:c r="V354" s="16" t="n">
        <x:f>E354/5</x:f>
        <x:v>20.2</x:v>
      </x:c>
    </x:row>
    <x:row r="355" ht="22" customHeight="1">
      <x:c r="A355" s="2" t="n">
        <x:v>175</x:v>
      </x:c>
      <x:c r="B355" s="2" t="str">
        <x:v>NAVY</x:v>
      </x:c>
      <x:c r="C355" s="2" t="str">
        <x:v>규칙형</x:v>
      </x:c>
      <x:c r="D355" s="2" t="str">
        <x:v>160만</x:v>
      </x:c>
      <x:c r="E355" s="14" t="n">
        <x:f>SUM(F355:M355)</x:f>
        <x:v>102</x:v>
      </x:c>
      <x:c r="F355" s="14" t="n">
        <x:v>37</x:v>
      </x:c>
      <x:c r="G355" s="14" t="n">
        <x:v>5</x:v>
      </x:c>
      <x:c r="H355" s="14" t="n">
        <x:v>10</x:v>
      </x:c>
      <x:c r="I355" s="14" t="n">
        <x:v>19</x:v>
      </x:c>
      <x:c r="J355" s="14" t="n">
        <x:v>7</x:v>
      </x:c>
      <x:c r="K355" s="14" t="n">
        <x:v>1</x:v>
      </x:c>
      <x:c r="L355" s="14" t="n">
        <x:v>22</x:v>
      </x:c>
      <x:c r="M355" s="14" t="n">
        <x:v>1</x:v>
      </x:c>
      <x:c r="N355" s="15" t="n">
        <x:f>IF(E355=0,"해당 없음",F355/E355)</x:f>
        <x:v>0.3627450980392157</x:v>
      </x:c>
      <x:c r="O355" s="15" t="n">
        <x:f>IF(E355=0,"해당 없음",G355/E355)</x:f>
        <x:v>0.049019607843137254</x:v>
      </x:c>
      <x:c r="P355" s="15" t="n">
        <x:f>IF(E355=0,"해당 없음",H355/E355)</x:f>
        <x:v>0.09803921568627451</x:v>
      </x:c>
      <x:c r="Q355" s="15" t="n">
        <x:f>IF(E355=0,"해당 없음",I355/E355)</x:f>
        <x:v>0.18627450980392157</x:v>
      </x:c>
      <x:c r="R355" s="15" t="n">
        <x:f>IF(E355=0,"해당 없음",J355/E355)</x:f>
        <x:v>0.06862745098039216</x:v>
      </x:c>
      <x:c r="S355" s="15" t="n">
        <x:f>IF(E355=0,"해당 없음",K355/E355)</x:f>
        <x:v>0.00980392156862745</x:v>
      </x:c>
      <x:c r="T355" s="15" t="n">
        <x:f>IF(E355=0,"해당 없음",L355/E355)</x:f>
        <x:v>0.21568627450980393</x:v>
      </x:c>
      <x:c r="U355" s="15" t="n">
        <x:f>IF(E355=0,"해당 없음",M355/E355)</x:f>
        <x:v>0.00980392156862745</x:v>
      </x:c>
      <x:c r="V355" s="16" t="n">
        <x:f>E355/5</x:f>
        <x:v>20.4</x:v>
      </x:c>
    </x:row>
    <x:row r="356" ht="22" customHeight="1">
      <x:c r="A356" s="2" t="n">
        <x:v>176</x:v>
      </x:c>
      <x:c r="B356" s="2" t="str">
        <x:v>RED</x:v>
      </x:c>
      <x:c r="C356" s="2" t="str">
        <x:v>규칙형</x:v>
      </x:c>
      <x:c r="D356" s="2" t="str">
        <x:v>160만</x:v>
      </x:c>
      <x:c r="E356" s="14" t="n">
        <x:f>SUM(F356:M356)</x:f>
        <x:v>105</x:v>
      </x:c>
      <x:c r="F356" s="14" t="n">
        <x:v>34</x:v>
      </x:c>
      <x:c r="G356" s="14" t="n">
        <x:v>4</x:v>
      </x:c>
      <x:c r="H356" s="14" t="n">
        <x:v>4</x:v>
      </x:c>
      <x:c r="I356" s="14" t="n">
        <x:v>11</x:v>
      </x:c>
      <x:c r="J356" s="14" t="n">
        <x:v>13</x:v>
      </x:c>
      <x:c r="K356" s="14" t="n">
        <x:v>5</x:v>
      </x:c>
      <x:c r="L356" s="14" t="n">
        <x:v>26</x:v>
      </x:c>
      <x:c r="M356" s="14" t="n">
        <x:v>8</x:v>
      </x:c>
      <x:c r="N356" s="15" t="n">
        <x:f>IF(E356=0,"해당 없음",F356/E356)</x:f>
        <x:v>0.3238095238095238</x:v>
      </x:c>
      <x:c r="O356" s="15" t="n">
        <x:f>IF(E356=0,"해당 없음",G356/E356)</x:f>
        <x:v>0.0380952380952381</x:v>
      </x:c>
      <x:c r="P356" s="15" t="n">
        <x:f>IF(E356=0,"해당 없음",H356/E356)</x:f>
        <x:v>0.0380952380952381</x:v>
      </x:c>
      <x:c r="Q356" s="15" t="n">
        <x:f>IF(E356=0,"해당 없음",I356/E356)</x:f>
        <x:v>0.10476190476190476</x:v>
      </x:c>
      <x:c r="R356" s="15" t="n">
        <x:f>IF(E356=0,"해당 없음",J356/E356)</x:f>
        <x:v>0.12380952380952381</x:v>
      </x:c>
      <x:c r="S356" s="15" t="n">
        <x:f>IF(E356=0,"해당 없음",K356/E356)</x:f>
        <x:v>0.047619047619047616</x:v>
      </x:c>
      <x:c r="T356" s="15" t="n">
        <x:f>IF(E356=0,"해당 없음",L356/E356)</x:f>
        <x:v>0.24761904761904763</x:v>
      </x:c>
      <x:c r="U356" s="15" t="n">
        <x:f>IF(E356=0,"해당 없음",M356/E356)</x:f>
        <x:v>0.0761904761904762</x:v>
      </x:c>
      <x:c r="V356" s="16" t="n">
        <x:f>E356/5</x:f>
        <x:v>21</x:v>
      </x:c>
    </x:row>
    <x:row r="357" ht="22" customHeight="1">
      <x:c r="A357" s="2" t="n">
        <x:v>176</x:v>
      </x:c>
      <x:c r="B357" s="2" t="str">
        <x:v>NAVY</x:v>
      </x:c>
      <x:c r="C357" s="2" t="str">
        <x:v>160만</x:v>
      </x:c>
      <x:c r="D357" s="2" t="str">
        <x:v>규칙형</x:v>
      </x:c>
      <x:c r="E357" s="14" t="n">
        <x:f>SUM(F357:M357)</x:f>
        <x:v>104</x:v>
      </x:c>
      <x:c r="F357" s="14" t="n">
        <x:v>1</x:v>
      </x:c>
      <x:c r="G357" s="14" t="n">
        <x:v>13</x:v>
      </x:c>
      <x:c r="H357" s="14" t="n">
        <x:v>6</x:v>
      </x:c>
      <x:c r="I357" s="14" t="n">
        <x:v>5</x:v>
      </x:c>
      <x:c r="J357" s="14" t="n">
        <x:v>1</x:v>
      </x:c>
      <x:c r="K357" s="14" t="n">
        <x:v>3</x:v>
      </x:c>
      <x:c r="L357" s="14" t="n">
        <x:v>34</x:v>
      </x:c>
      <x:c r="M357" s="14" t="n">
        <x:v>41</x:v>
      </x:c>
      <x:c r="N357" s="15" t="n">
        <x:f>IF(E357=0,"해당 없음",F357/E357)</x:f>
        <x:v>0.009615384615384616</x:v>
      </x:c>
      <x:c r="O357" s="15" t="n">
        <x:f>IF(E357=0,"해당 없음",G357/E357)</x:f>
        <x:v>0.125</x:v>
      </x:c>
      <x:c r="P357" s="15" t="n">
        <x:f>IF(E357=0,"해당 없음",H357/E357)</x:f>
        <x:v>0.057692307692307696</x:v>
      </x:c>
      <x:c r="Q357" s="15" t="n">
        <x:f>IF(E357=0,"해당 없음",I357/E357)</x:f>
        <x:v>0.04807692307692308</x:v>
      </x:c>
      <x:c r="R357" s="15" t="n">
        <x:f>IF(E357=0,"해당 없음",J357/E357)</x:f>
        <x:v>0.009615384615384616</x:v>
      </x:c>
      <x:c r="S357" s="15" t="n">
        <x:f>IF(E357=0,"해당 없음",K357/E357)</x:f>
        <x:v>0.028846153846153848</x:v>
      </x:c>
      <x:c r="T357" s="15" t="n">
        <x:f>IF(E357=0,"해당 없음",L357/E357)</x:f>
        <x:v>0.3269230769230769</x:v>
      </x:c>
      <x:c r="U357" s="15" t="n">
        <x:f>IF(E357=0,"해당 없음",M357/E357)</x:f>
        <x:v>0.3942307692307692</x:v>
      </x:c>
      <x:c r="V357" s="16" t="n">
        <x:f>E357/5</x:f>
        <x:v>20.8</x:v>
      </x:c>
    </x:row>
    <x:row r="358" ht="22" customHeight="1">
      <x:c r="A358" s="2" t="n">
        <x:v>177</x:v>
      </x:c>
      <x:c r="B358" s="2" t="str">
        <x:v>RED</x:v>
      </x:c>
      <x:c r="C358" s="2" t="str">
        <x:v>160만</x:v>
      </x:c>
      <x:c r="D358" s="2" t="str">
        <x:v>규칙형</x:v>
      </x:c>
      <x:c r="E358" s="14" t="n">
        <x:f>SUM(F358:M358)</x:f>
        <x:v>103</x:v>
      </x:c>
      <x:c r="F358" s="14" t="n">
        <x:v>3</x:v>
      </x:c>
      <x:c r="G358" s="14" t="n">
        <x:v>12</x:v>
      </x:c>
      <x:c r="H358" s="14" t="n">
        <x:v>6</x:v>
      </x:c>
      <x:c r="I358" s="14" t="n">
        <x:v>4</x:v>
      </x:c>
      <x:c r="J358" s="14" t="n">
        <x:v>0</x:v>
      </x:c>
      <x:c r="K358" s="14" t="n">
        <x:v>1</x:v>
      </x:c>
      <x:c r="L358" s="14" t="n">
        <x:v>33</x:v>
      </x:c>
      <x:c r="M358" s="14" t="n">
        <x:v>44</x:v>
      </x:c>
      <x:c r="N358" s="15" t="n">
        <x:f>IF(E358=0,"해당 없음",F358/E358)</x:f>
        <x:v>0.02912621359223301</x:v>
      </x:c>
      <x:c r="O358" s="15" t="n">
        <x:f>IF(E358=0,"해당 없음",G358/E358)</x:f>
        <x:v>0.11650485436893204</x:v>
      </x:c>
      <x:c r="P358" s="15" t="n">
        <x:f>IF(E358=0,"해당 없음",H358/E358)</x:f>
        <x:v>0.05825242718446602</x:v>
      </x:c>
      <x:c r="Q358" s="15" t="n">
        <x:f>IF(E358=0,"해당 없음",I358/E358)</x:f>
        <x:v>0.038834951456310676</x:v>
      </x:c>
      <x:c r="R358" s="15" t="n">
        <x:f>IF(E358=0,"해당 없음",J358/E358)</x:f>
        <x:v>0</x:v>
      </x:c>
      <x:c r="S358" s="15" t="n">
        <x:f>IF(E358=0,"해당 없음",K358/E358)</x:f>
        <x:v>0.009708737864077669</x:v>
      </x:c>
      <x:c r="T358" s="15" t="n">
        <x:f>IF(E358=0,"해당 없음",L358/E358)</x:f>
        <x:v>0.32038834951456313</x:v>
      </x:c>
      <x:c r="U358" s="15" t="n">
        <x:f>IF(E358=0,"해당 없음",M358/E358)</x:f>
        <x:v>0.42718446601941745</x:v>
      </x:c>
      <x:c r="V358" s="16" t="n">
        <x:f>E358/5</x:f>
        <x:v>20.6</x:v>
      </x:c>
    </x:row>
    <x:row r="359" ht="22" customHeight="1">
      <x:c r="A359" s="2" t="n">
        <x:v>177</x:v>
      </x:c>
      <x:c r="B359" s="2" t="str">
        <x:v>NAVY</x:v>
      </x:c>
      <x:c r="C359" s="2" t="str">
        <x:v>규칙형</x:v>
      </x:c>
      <x:c r="D359" s="2" t="str">
        <x:v>160만</x:v>
      </x:c>
      <x:c r="E359" s="14" t="n">
        <x:f>SUM(F359:M359)</x:f>
        <x:v>104</x:v>
      </x:c>
      <x:c r="F359" s="14" t="n">
        <x:v>40</x:v>
      </x:c>
      <x:c r="G359" s="14" t="n">
        <x:v>2</x:v>
      </x:c>
      <x:c r="H359" s="14" t="n">
        <x:v>0</x:v>
      </x:c>
      <x:c r="I359" s="14" t="n">
        <x:v>21</x:v>
      </x:c>
      <x:c r="J359" s="14" t="n">
        <x:v>7</x:v>
      </x:c>
      <x:c r="K359" s="14" t="n">
        <x:v>3</x:v>
      </x:c>
      <x:c r="L359" s="14" t="n">
        <x:v>28</x:v>
      </x:c>
      <x:c r="M359" s="14" t="n">
        <x:v>3</x:v>
      </x:c>
      <x:c r="N359" s="15" t="n">
        <x:f>IF(E359=0,"해당 없음",F359/E359)</x:f>
        <x:v>0.38461538461538464</x:v>
      </x:c>
      <x:c r="O359" s="15" t="n">
        <x:f>IF(E359=0,"해당 없음",G359/E359)</x:f>
        <x:v>0.019230769230769232</x:v>
      </x:c>
      <x:c r="P359" s="15" t="n">
        <x:f>IF(E359=0,"해당 없음",H359/E359)</x:f>
        <x:v>0</x:v>
      </x:c>
      <x:c r="Q359" s="15" t="n">
        <x:f>IF(E359=0,"해당 없음",I359/E359)</x:f>
        <x:v>0.20192307692307693</x:v>
      </x:c>
      <x:c r="R359" s="15" t="n">
        <x:f>IF(E359=0,"해당 없음",J359/E359)</x:f>
        <x:v>0.0673076923076923</x:v>
      </x:c>
      <x:c r="S359" s="15" t="n">
        <x:f>IF(E359=0,"해당 없음",K359/E359)</x:f>
        <x:v>0.028846153846153848</x:v>
      </x:c>
      <x:c r="T359" s="15" t="n">
        <x:f>IF(E359=0,"해당 없음",L359/E359)</x:f>
        <x:v>0.2692307692307692</x:v>
      </x:c>
      <x:c r="U359" s="15" t="n">
        <x:f>IF(E359=0,"해당 없음",M359/E359)</x:f>
        <x:v>0.028846153846153848</x:v>
      </x:c>
      <x:c r="V359" s="16" t="n">
        <x:f>E359/5</x:f>
        <x:v>20.8</x:v>
      </x:c>
    </x:row>
    <x:row r="360" ht="22" customHeight="1">
      <x:c r="A360" s="2" t="n">
        <x:v>178</x:v>
      </x:c>
      <x:c r="B360" s="2" t="str">
        <x:v>RED</x:v>
      </x:c>
      <x:c r="C360" s="2" t="str">
        <x:v>규칙형</x:v>
      </x:c>
      <x:c r="D360" s="2" t="str">
        <x:v>160만</x:v>
      </x:c>
      <x:c r="E360" s="14" t="n">
        <x:f>SUM(F360:M360)</x:f>
        <x:v>102</x:v>
      </x:c>
      <x:c r="F360" s="14" t="n">
        <x:v>36</x:v>
      </x:c>
      <x:c r="G360" s="14" t="n">
        <x:v>2</x:v>
      </x:c>
      <x:c r="H360" s="14" t="n">
        <x:v>10</x:v>
      </x:c>
      <x:c r="I360" s="14" t="n">
        <x:v>11</x:v>
      </x:c>
      <x:c r="J360" s="14" t="n">
        <x:v>13</x:v>
      </x:c>
      <x:c r="K360" s="14" t="n">
        <x:v>5</x:v>
      </x:c>
      <x:c r="L360" s="14" t="n">
        <x:v>24</x:v>
      </x:c>
      <x:c r="M360" s="14" t="n">
        <x:v>1</x:v>
      </x:c>
      <x:c r="N360" s="15" t="n">
        <x:f>IF(E360=0,"해당 없음",F360/E360)</x:f>
        <x:v>0.35294117647058826</x:v>
      </x:c>
      <x:c r="O360" s="15" t="n">
        <x:f>IF(E360=0,"해당 없음",G360/E360)</x:f>
        <x:v>0.0196078431372549</x:v>
      </x:c>
      <x:c r="P360" s="15" t="n">
        <x:f>IF(E360=0,"해당 없음",H360/E360)</x:f>
        <x:v>0.09803921568627451</x:v>
      </x:c>
      <x:c r="Q360" s="15" t="n">
        <x:f>IF(E360=0,"해당 없음",I360/E360)</x:f>
        <x:v>0.10784313725490197</x:v>
      </x:c>
      <x:c r="R360" s="15" t="n">
        <x:f>IF(E360=0,"해당 없음",J360/E360)</x:f>
        <x:v>0.12745098039215685</x:v>
      </x:c>
      <x:c r="S360" s="15" t="n">
        <x:f>IF(E360=0,"해당 없음",K360/E360)</x:f>
        <x:v>0.049019607843137254</x:v>
      </x:c>
      <x:c r="T360" s="15" t="n">
        <x:f>IF(E360=0,"해당 없음",L360/E360)</x:f>
        <x:v>0.23529411764705882</x:v>
      </x:c>
      <x:c r="U360" s="15" t="n">
        <x:f>IF(E360=0,"해당 없음",M360/E360)</x:f>
        <x:v>0.00980392156862745</x:v>
      </x:c>
      <x:c r="V360" s="16" t="n">
        <x:f>E360/5</x:f>
        <x:v>20.4</x:v>
      </x:c>
    </x:row>
    <x:row r="361" ht="22" customHeight="1">
      <x:c r="A361" s="2" t="n">
        <x:v>178</x:v>
      </x:c>
      <x:c r="B361" s="2" t="str">
        <x:v>NAVY</x:v>
      </x:c>
      <x:c r="C361" s="2" t="str">
        <x:v>160만</x:v>
      </x:c>
      <x:c r="D361" s="2" t="str">
        <x:v>규칙형</x:v>
      </x:c>
      <x:c r="E361" s="14" t="n">
        <x:f>SUM(F361:M361)</x:f>
        <x:v>102</x:v>
      </x:c>
      <x:c r="F361" s="14" t="n">
        <x:v>1</x:v>
      </x:c>
      <x:c r="G361" s="14" t="n">
        <x:v>15</x:v>
      </x:c>
      <x:c r="H361" s="14" t="n">
        <x:v>11</x:v>
      </x:c>
      <x:c r="I361" s="14" t="n">
        <x:v>4</x:v>
      </x:c>
      <x:c r="J361" s="14" t="n">
        <x:v>4</x:v>
      </x:c>
      <x:c r="K361" s="14" t="n">
        <x:v>8</x:v>
      </x:c>
      <x:c r="L361" s="14" t="n">
        <x:v>25</x:v>
      </x:c>
      <x:c r="M361" s="14" t="n">
        <x:v>34</x:v>
      </x:c>
      <x:c r="N361" s="15" t="n">
        <x:f>IF(E361=0,"해당 없음",F361/E361)</x:f>
        <x:v>0.00980392156862745</x:v>
      </x:c>
      <x:c r="O361" s="15" t="n">
        <x:f>IF(E361=0,"해당 없음",G361/E361)</x:f>
        <x:v>0.14705882352941177</x:v>
      </x:c>
      <x:c r="P361" s="15" t="n">
        <x:f>IF(E361=0,"해당 없음",H361/E361)</x:f>
        <x:v>0.10784313725490197</x:v>
      </x:c>
      <x:c r="Q361" s="15" t="n">
        <x:f>IF(E361=0,"해당 없음",I361/E361)</x:f>
        <x:v>0.0392156862745098</x:v>
      </x:c>
      <x:c r="R361" s="15" t="n">
        <x:f>IF(E361=0,"해당 없음",J361/E361)</x:f>
        <x:v>0.0392156862745098</x:v>
      </x:c>
      <x:c r="S361" s="15" t="n">
        <x:f>IF(E361=0,"해당 없음",K361/E361)</x:f>
        <x:v>0.0784313725490196</x:v>
      </x:c>
      <x:c r="T361" s="15" t="n">
        <x:f>IF(E361=0,"해당 없음",L361/E361)</x:f>
        <x:v>0.24509803921568626</x:v>
      </x:c>
      <x:c r="U361" s="15" t="n">
        <x:f>IF(E361=0,"해당 없음",M361/E361)</x:f>
        <x:v>0.3333333333333333</x:v>
      </x:c>
      <x:c r="V361" s="16" t="n">
        <x:f>E361/5</x:f>
        <x:v>20.4</x:v>
      </x:c>
    </x:row>
    <x:row r="362" ht="22" customHeight="1">
      <x:c r="A362" s="2" t="n">
        <x:v>179</x:v>
      </x:c>
      <x:c r="B362" s="2" t="str">
        <x:v>RED</x:v>
      </x:c>
      <x:c r="C362" s="2" t="str">
        <x:v>160만</x:v>
      </x:c>
      <x:c r="D362" s="2" t="str">
        <x:v>규칙형</x:v>
      </x:c>
      <x:c r="E362" s="14" t="n">
        <x:f>SUM(F362:M362)</x:f>
        <x:v>103</x:v>
      </x:c>
      <x:c r="F362" s="14" t="n">
        <x:v>1</x:v>
      </x:c>
      <x:c r="G362" s="14" t="n">
        <x:v>20</x:v>
      </x:c>
      <x:c r="H362" s="14" t="n">
        <x:v>9</x:v>
      </x:c>
      <x:c r="I362" s="14" t="n">
        <x:v>5</x:v>
      </x:c>
      <x:c r="J362" s="14" t="n">
        <x:v>0</x:v>
      </x:c>
      <x:c r="K362" s="14" t="n">
        <x:v>6</x:v>
      </x:c>
      <x:c r="L362" s="14" t="n">
        <x:v>32</x:v>
      </x:c>
      <x:c r="M362" s="14" t="n">
        <x:v>30</x:v>
      </x:c>
      <x:c r="N362" s="15" t="n">
        <x:f>IF(E362=0,"해당 없음",F362/E362)</x:f>
        <x:v>0.009708737864077669</x:v>
      </x:c>
      <x:c r="O362" s="15" t="n">
        <x:f>IF(E362=0,"해당 없음",G362/E362)</x:f>
        <x:v>0.1941747572815534</x:v>
      </x:c>
      <x:c r="P362" s="15" t="n">
        <x:f>IF(E362=0,"해당 없음",H362/E362)</x:f>
        <x:v>0.08737864077669903</x:v>
      </x:c>
      <x:c r="Q362" s="15" t="n">
        <x:f>IF(E362=0,"해당 없음",I362/E362)</x:f>
        <x:v>0.04854368932038835</x:v>
      </x:c>
      <x:c r="R362" s="15" t="n">
        <x:f>IF(E362=0,"해당 없음",J362/E362)</x:f>
        <x:v>0</x:v>
      </x:c>
      <x:c r="S362" s="15" t="n">
        <x:f>IF(E362=0,"해당 없음",K362/E362)</x:f>
        <x:v>0.05825242718446602</x:v>
      </x:c>
      <x:c r="T362" s="15" t="n">
        <x:f>IF(E362=0,"해당 없음",L362/E362)</x:f>
        <x:v>0.3106796116504854</x:v>
      </x:c>
      <x:c r="U362" s="15" t="n">
        <x:f>IF(E362=0,"해당 없음",M362/E362)</x:f>
        <x:v>0.2912621359223301</x:v>
      </x:c>
      <x:c r="V362" s="16" t="n">
        <x:f>E362/5</x:f>
        <x:v>20.6</x:v>
      </x:c>
    </x:row>
    <x:row r="363" ht="22" customHeight="1">
      <x:c r="A363" s="2" t="n">
        <x:v>179</x:v>
      </x:c>
      <x:c r="B363" s="2" t="str">
        <x:v>NAVY</x:v>
      </x:c>
      <x:c r="C363" s="2" t="str">
        <x:v>규칙형</x:v>
      </x:c>
      <x:c r="D363" s="2" t="str">
        <x:v>160만</x:v>
      </x:c>
      <x:c r="E363" s="14" t="n">
        <x:f>SUM(F363:M363)</x:f>
        <x:v>104</x:v>
      </x:c>
      <x:c r="F363" s="14" t="n">
        <x:v>36</x:v>
      </x:c>
      <x:c r="G363" s="14" t="n">
        <x:v>5</x:v>
      </x:c>
      <x:c r="H363" s="14" t="n">
        <x:v>4</x:v>
      </x:c>
      <x:c r="I363" s="14" t="n">
        <x:v>20</x:v>
      </x:c>
      <x:c r="J363" s="14" t="n">
        <x:v>9</x:v>
      </x:c>
      <x:c r="K363" s="14" t="n">
        <x:v>3</x:v>
      </x:c>
      <x:c r="L363" s="14" t="n">
        <x:v>19</x:v>
      </x:c>
      <x:c r="M363" s="14" t="n">
        <x:v>8</x:v>
      </x:c>
      <x:c r="N363" s="15" t="n">
        <x:f>IF(E363=0,"해당 없음",F363/E363)</x:f>
        <x:v>0.34615384615384615</x:v>
      </x:c>
      <x:c r="O363" s="15" t="n">
        <x:f>IF(E363=0,"해당 없음",G363/E363)</x:f>
        <x:v>0.04807692307692308</x:v>
      </x:c>
      <x:c r="P363" s="15" t="n">
        <x:f>IF(E363=0,"해당 없음",H363/E363)</x:f>
        <x:v>0.038461538461538464</x:v>
      </x:c>
      <x:c r="Q363" s="15" t="n">
        <x:f>IF(E363=0,"해당 없음",I363/E363)</x:f>
        <x:v>0.19230769230769232</x:v>
      </x:c>
      <x:c r="R363" s="15" t="n">
        <x:f>IF(E363=0,"해당 없음",J363/E363)</x:f>
        <x:v>0.08653846153846154</x:v>
      </x:c>
      <x:c r="S363" s="15" t="n">
        <x:f>IF(E363=0,"해당 없음",K363/E363)</x:f>
        <x:v>0.028846153846153848</x:v>
      </x:c>
      <x:c r="T363" s="15" t="n">
        <x:f>IF(E363=0,"해당 없음",L363/E363)</x:f>
        <x:v>0.18269230769230768</x:v>
      </x:c>
      <x:c r="U363" s="15" t="n">
        <x:f>IF(E363=0,"해당 없음",M363/E363)</x:f>
        <x:v>0.07692307692307693</x:v>
      </x:c>
      <x:c r="V363" s="16" t="n">
        <x:f>E363/5</x:f>
        <x:v>20.8</x:v>
      </x:c>
    </x:row>
    <x:row r="364" ht="22" customHeight="1">
      <x:c r="A364" s="2" t="n">
        <x:v>180</x:v>
      </x:c>
      <x:c r="B364" s="2" t="str">
        <x:v>RED</x:v>
      </x:c>
      <x:c r="C364" s="2" t="str">
        <x:v>규칙형</x:v>
      </x:c>
      <x:c r="D364" s="2" t="str">
        <x:v>160만</x:v>
      </x:c>
      <x:c r="E364" s="14" t="n">
        <x:f>SUM(F364:M364)</x:f>
        <x:v>104</x:v>
      </x:c>
      <x:c r="F364" s="14" t="n">
        <x:v>37</x:v>
      </x:c>
      <x:c r="G364" s="14" t="n">
        <x:v>1</x:v>
      </x:c>
      <x:c r="H364" s="14" t="n">
        <x:v>5</x:v>
      </x:c>
      <x:c r="I364" s="14" t="n">
        <x:v>14</x:v>
      </x:c>
      <x:c r="J364" s="14" t="n">
        <x:v>5</x:v>
      </x:c>
      <x:c r="K364" s="14" t="n">
        <x:v>5</x:v>
      </x:c>
      <x:c r="L364" s="14" t="n">
        <x:v>23</x:v>
      </x:c>
      <x:c r="M364" s="14" t="n">
        <x:v>14</x:v>
      </x:c>
      <x:c r="N364" s="15" t="n">
        <x:f>IF(E364=0,"해당 없음",F364/E364)</x:f>
        <x:v>0.3557692307692308</x:v>
      </x:c>
      <x:c r="O364" s="15" t="n">
        <x:f>IF(E364=0,"해당 없음",G364/E364)</x:f>
        <x:v>0.009615384615384616</x:v>
      </x:c>
      <x:c r="P364" s="15" t="n">
        <x:f>IF(E364=0,"해당 없음",H364/E364)</x:f>
        <x:v>0.04807692307692308</x:v>
      </x:c>
      <x:c r="Q364" s="15" t="n">
        <x:f>IF(E364=0,"해당 없음",I364/E364)</x:f>
        <x:v>0.1346153846153846</x:v>
      </x:c>
      <x:c r="R364" s="15" t="n">
        <x:f>IF(E364=0,"해당 없음",J364/E364)</x:f>
        <x:v>0.04807692307692308</x:v>
      </x:c>
      <x:c r="S364" s="15" t="n">
        <x:f>IF(E364=0,"해당 없음",K364/E364)</x:f>
        <x:v>0.04807692307692308</x:v>
      </x:c>
      <x:c r="T364" s="15" t="n">
        <x:f>IF(E364=0,"해당 없음",L364/E364)</x:f>
        <x:v>0.22115384615384615</x:v>
      </x:c>
      <x:c r="U364" s="15" t="n">
        <x:f>IF(E364=0,"해당 없음",M364/E364)</x:f>
        <x:v>0.1346153846153846</x:v>
      </x:c>
      <x:c r="V364" s="16" t="n">
        <x:f>E364/5</x:f>
        <x:v>20.8</x:v>
      </x:c>
    </x:row>
    <x:row r="365" ht="22" customHeight="1">
      <x:c r="A365" s="2" t="n">
        <x:v>180</x:v>
      </x:c>
      <x:c r="B365" s="2" t="str">
        <x:v>NAVY</x:v>
      </x:c>
      <x:c r="C365" s="2" t="str">
        <x:v>160만</x:v>
      </x:c>
      <x:c r="D365" s="2" t="str">
        <x:v>규칙형</x:v>
      </x:c>
      <x:c r="E365" s="14" t="n">
        <x:f>SUM(F365:M365)</x:f>
        <x:v>103</x:v>
      </x:c>
      <x:c r="F365" s="14" t="n">
        <x:v>1</x:v>
      </x:c>
      <x:c r="G365" s="14" t="n">
        <x:v>13</x:v>
      </x:c>
      <x:c r="H365" s="14" t="n">
        <x:v>13</x:v>
      </x:c>
      <x:c r="I365" s="14" t="n">
        <x:v>5</x:v>
      </x:c>
      <x:c r="J365" s="14" t="n">
        <x:v>2</x:v>
      </x:c>
      <x:c r="K365" s="14" t="n">
        <x:v>3</x:v>
      </x:c>
      <x:c r="L365" s="14" t="n">
        <x:v>33</x:v>
      </x:c>
      <x:c r="M365" s="14" t="n">
        <x:v>33</x:v>
      </x:c>
      <x:c r="N365" s="15" t="n">
        <x:f>IF(E365=0,"해당 없음",F365/E365)</x:f>
        <x:v>0.009708737864077669</x:v>
      </x:c>
      <x:c r="O365" s="15" t="n">
        <x:f>IF(E365=0,"해당 없음",G365/E365)</x:f>
        <x:v>0.1262135922330097</x:v>
      </x:c>
      <x:c r="P365" s="15" t="n">
        <x:f>IF(E365=0,"해당 없음",H365/E365)</x:f>
        <x:v>0.1262135922330097</x:v>
      </x:c>
      <x:c r="Q365" s="15" t="n">
        <x:f>IF(E365=0,"해당 없음",I365/E365)</x:f>
        <x:v>0.04854368932038835</x:v>
      </x:c>
      <x:c r="R365" s="15" t="n">
        <x:f>IF(E365=0,"해당 없음",J365/E365)</x:f>
        <x:v>0.019417475728155338</x:v>
      </x:c>
      <x:c r="S365" s="15" t="n">
        <x:f>IF(E365=0,"해당 없음",K365/E365)</x:f>
        <x:v>0.02912621359223301</x:v>
      </x:c>
      <x:c r="T365" s="15" t="n">
        <x:f>IF(E365=0,"해당 없음",L365/E365)</x:f>
        <x:v>0.32038834951456313</x:v>
      </x:c>
      <x:c r="U365" s="15" t="n">
        <x:f>IF(E365=0,"해당 없음",M365/E365)</x:f>
        <x:v>0.32038834951456313</x:v>
      </x:c>
      <x:c r="V365" s="16" t="n">
        <x:f>E365/5</x:f>
        <x:v>20.6</x:v>
      </x:c>
    </x:row>
    <x:row r="366" ht="22" customHeight="1">
      <x:c r="A366" s="2" t="n">
        <x:v>181</x:v>
      </x:c>
      <x:c r="B366" s="2" t="str">
        <x:v>RED</x:v>
      </x:c>
      <x:c r="C366" s="2" t="str">
        <x:v>160만</x:v>
      </x:c>
      <x:c r="D366" s="2" t="str">
        <x:v>규칙형</x:v>
      </x:c>
      <x:c r="E366" s="14" t="n">
        <x:f>SUM(F366:M366)</x:f>
        <x:v>106</x:v>
      </x:c>
      <x:c r="F366" s="14" t="n">
        <x:v>3</x:v>
      </x:c>
      <x:c r="G366" s="14" t="n">
        <x:v>18</x:v>
      </x:c>
      <x:c r="H366" s="14" t="n">
        <x:v>12</x:v>
      </x:c>
      <x:c r="I366" s="14" t="n">
        <x:v>3</x:v>
      </x:c>
      <x:c r="J366" s="14" t="n">
        <x:v>1</x:v>
      </x:c>
      <x:c r="K366" s="14" t="n">
        <x:v>5</x:v>
      </x:c>
      <x:c r="L366" s="14" t="n">
        <x:v>35</x:v>
      </x:c>
      <x:c r="M366" s="14" t="n">
        <x:v>29</x:v>
      </x:c>
      <x:c r="N366" s="15" t="n">
        <x:f>IF(E366=0,"해당 없음",F366/E366)</x:f>
        <x:v>0.02830188679245283</x:v>
      </x:c>
      <x:c r="O366" s="15" t="n">
        <x:f>IF(E366=0,"해당 없음",G366/E366)</x:f>
        <x:v>0.16981132075471697</x:v>
      </x:c>
      <x:c r="P366" s="15" t="n">
        <x:f>IF(E366=0,"해당 없음",H366/E366)</x:f>
        <x:v>0.11320754716981132</x:v>
      </x:c>
      <x:c r="Q366" s="15" t="n">
        <x:f>IF(E366=0,"해당 없음",I366/E366)</x:f>
        <x:v>0.02830188679245283</x:v>
      </x:c>
      <x:c r="R366" s="15" t="n">
        <x:f>IF(E366=0,"해당 없음",J366/E366)</x:f>
        <x:v>0.009433962264150943</x:v>
      </x:c>
      <x:c r="S366" s="15" t="n">
        <x:f>IF(E366=0,"해당 없음",K366/E366)</x:f>
        <x:v>0.04716981132075472</x:v>
      </x:c>
      <x:c r="T366" s="15" t="n">
        <x:f>IF(E366=0,"해당 없음",L366/E366)</x:f>
        <x:v>0.330188679245283</x:v>
      </x:c>
      <x:c r="U366" s="15" t="n">
        <x:f>IF(E366=0,"해당 없음",M366/E366)</x:f>
        <x:v>0.27358490566037735</x:v>
      </x:c>
      <x:c r="V366" s="16" t="n">
        <x:f>E366/5</x:f>
        <x:v>21.2</x:v>
      </x:c>
    </x:row>
    <x:row r="367" ht="22" customHeight="1">
      <x:c r="A367" s="2" t="n">
        <x:v>181</x:v>
      </x:c>
      <x:c r="B367" s="2" t="str">
        <x:v>NAVY</x:v>
      </x:c>
      <x:c r="C367" s="2" t="str">
        <x:v>규칙형</x:v>
      </x:c>
      <x:c r="D367" s="2" t="str">
        <x:v>160만</x:v>
      </x:c>
      <x:c r="E367" s="14" t="n">
        <x:f>SUM(F367:M367)</x:f>
        <x:v>105</x:v>
      </x:c>
      <x:c r="F367" s="14" t="n">
        <x:v>39</x:v>
      </x:c>
      <x:c r="G367" s="14" t="n">
        <x:v>5</x:v>
      </x:c>
      <x:c r="H367" s="14" t="n">
        <x:v>5</x:v>
      </x:c>
      <x:c r="I367" s="14" t="n">
        <x:v>14</x:v>
      </x:c>
      <x:c r="J367" s="14" t="n">
        <x:v>6</x:v>
      </x:c>
      <x:c r="K367" s="14" t="n">
        <x:v>6</x:v>
      </x:c>
      <x:c r="L367" s="14" t="n">
        <x:v>23</x:v>
      </x:c>
      <x:c r="M367" s="14" t="n">
        <x:v>7</x:v>
      </x:c>
      <x:c r="N367" s="15" t="n">
        <x:f>IF(E367=0,"해당 없음",F367/E367)</x:f>
        <x:v>0.37142857142857144</x:v>
      </x:c>
      <x:c r="O367" s="15" t="n">
        <x:f>IF(E367=0,"해당 없음",G367/E367)</x:f>
        <x:v>0.047619047619047616</x:v>
      </x:c>
      <x:c r="P367" s="15" t="n">
        <x:f>IF(E367=0,"해당 없음",H367/E367)</x:f>
        <x:v>0.047619047619047616</x:v>
      </x:c>
      <x:c r="Q367" s="15" t="n">
        <x:f>IF(E367=0,"해당 없음",I367/E367)</x:f>
        <x:v>0.13333333333333333</x:v>
      </x:c>
      <x:c r="R367" s="15" t="n">
        <x:f>IF(E367=0,"해당 없음",J367/E367)</x:f>
        <x:v>0.05714285714285714</x:v>
      </x:c>
      <x:c r="S367" s="15" t="n">
        <x:f>IF(E367=0,"해당 없음",K367/E367)</x:f>
        <x:v>0.05714285714285714</x:v>
      </x:c>
      <x:c r="T367" s="15" t="n">
        <x:f>IF(E367=0,"해당 없음",L367/E367)</x:f>
        <x:v>0.21904761904761905</x:v>
      </x:c>
      <x:c r="U367" s="15" t="n">
        <x:f>IF(E367=0,"해당 없음",M367/E367)</x:f>
        <x:v>0.06666666666666667</x:v>
      </x:c>
      <x:c r="V367" s="16" t="n">
        <x:f>E367/5</x:f>
        <x:v>21</x:v>
      </x:c>
    </x:row>
    <x:row r="368" ht="22" customHeight="1">
      <x:c r="A368" s="2" t="n">
        <x:v>182</x:v>
      </x:c>
      <x:c r="B368" s="2" t="str">
        <x:v>RED</x:v>
      </x:c>
      <x:c r="C368" s="2" t="str">
        <x:v>규칙형</x:v>
      </x:c>
      <x:c r="D368" s="2" t="str">
        <x:v>160만</x:v>
      </x:c>
      <x:c r="E368" s="14" t="n">
        <x:f>SUM(F368:M368)</x:f>
        <x:v>103</x:v>
      </x:c>
      <x:c r="F368" s="14" t="n">
        <x:v>29</x:v>
      </x:c>
      <x:c r="G368" s="14" t="n">
        <x:v>4</x:v>
      </x:c>
      <x:c r="H368" s="14" t="n">
        <x:v>1</x:v>
      </x:c>
      <x:c r="I368" s="14" t="n">
        <x:v>18</x:v>
      </x:c>
      <x:c r="J368" s="14" t="n">
        <x:v>11</x:v>
      </x:c>
      <x:c r="K368" s="14" t="n">
        <x:v>3</x:v>
      </x:c>
      <x:c r="L368" s="14" t="n">
        <x:v>26</x:v>
      </x:c>
      <x:c r="M368" s="14" t="n">
        <x:v>11</x:v>
      </x:c>
      <x:c r="N368" s="15" t="n">
        <x:f>IF(E368=0,"해당 없음",F368/E368)</x:f>
        <x:v>0.2815533980582524</x:v>
      </x:c>
      <x:c r="O368" s="15" t="n">
        <x:f>IF(E368=0,"해당 없음",G368/E368)</x:f>
        <x:v>0.038834951456310676</x:v>
      </x:c>
      <x:c r="P368" s="15" t="n">
        <x:f>IF(E368=0,"해당 없음",H368/E368)</x:f>
        <x:v>0.009708737864077669</x:v>
      </x:c>
      <x:c r="Q368" s="15" t="n">
        <x:f>IF(E368=0,"해당 없음",I368/E368)</x:f>
        <x:v>0.17475728155339806</x:v>
      </x:c>
      <x:c r="R368" s="15" t="n">
        <x:f>IF(E368=0,"해당 없음",J368/E368)</x:f>
        <x:v>0.10679611650485436</x:v>
      </x:c>
      <x:c r="S368" s="15" t="n">
        <x:f>IF(E368=0,"해당 없음",K368/E368)</x:f>
        <x:v>0.02912621359223301</x:v>
      </x:c>
      <x:c r="T368" s="15" t="n">
        <x:f>IF(E368=0,"해당 없음",L368/E368)</x:f>
        <x:v>0.2524271844660194</x:v>
      </x:c>
      <x:c r="U368" s="15" t="n">
        <x:f>IF(E368=0,"해당 없음",M368/E368)</x:f>
        <x:v>0.10679611650485436</x:v>
      </x:c>
      <x:c r="V368" s="16" t="n">
        <x:f>E368/5</x:f>
        <x:v>20.6</x:v>
      </x:c>
    </x:row>
    <x:row r="369" ht="22" customHeight="1">
      <x:c r="A369" s="2" t="n">
        <x:v>182</x:v>
      </x:c>
      <x:c r="B369" s="2" t="str">
        <x:v>NAVY</x:v>
      </x:c>
      <x:c r="C369" s="2" t="str">
        <x:v>160만</x:v>
      </x:c>
      <x:c r="D369" s="2" t="str">
        <x:v>규칙형</x:v>
      </x:c>
      <x:c r="E369" s="14" t="n">
        <x:f>SUM(F369:M369)</x:f>
        <x:v>103</x:v>
      </x:c>
      <x:c r="F369" s="14" t="n">
        <x:v>2</x:v>
      </x:c>
      <x:c r="G369" s="14" t="n">
        <x:v>17</x:v>
      </x:c>
      <x:c r="H369" s="14" t="n">
        <x:v>7</x:v>
      </x:c>
      <x:c r="I369" s="14" t="n">
        <x:v>4</x:v>
      </x:c>
      <x:c r="J369" s="14" t="n">
        <x:v>1</x:v>
      </x:c>
      <x:c r="K369" s="14" t="n">
        <x:v>5</x:v>
      </x:c>
      <x:c r="L369" s="14" t="n">
        <x:v>27</x:v>
      </x:c>
      <x:c r="M369" s="14" t="n">
        <x:v>40</x:v>
      </x:c>
      <x:c r="N369" s="15" t="n">
        <x:f>IF(E369=0,"해당 없음",F369/E369)</x:f>
        <x:v>0.019417475728155338</x:v>
      </x:c>
      <x:c r="O369" s="15" t="n">
        <x:f>IF(E369=0,"해당 없음",G369/E369)</x:f>
        <x:v>0.1650485436893204</x:v>
      </x:c>
      <x:c r="P369" s="15" t="n">
        <x:f>IF(E369=0,"해당 없음",H369/E369)</x:f>
        <x:v>0.06796116504854369</x:v>
      </x:c>
      <x:c r="Q369" s="15" t="n">
        <x:f>IF(E369=0,"해당 없음",I369/E369)</x:f>
        <x:v>0.038834951456310676</x:v>
      </x:c>
      <x:c r="R369" s="15" t="n">
        <x:f>IF(E369=0,"해당 없음",J369/E369)</x:f>
        <x:v>0.009708737864077669</x:v>
      </x:c>
      <x:c r="S369" s="15" t="n">
        <x:f>IF(E369=0,"해당 없음",K369/E369)</x:f>
        <x:v>0.04854368932038835</x:v>
      </x:c>
      <x:c r="T369" s="15" t="n">
        <x:f>IF(E369=0,"해당 없음",L369/E369)</x:f>
        <x:v>0.2621359223300971</x:v>
      </x:c>
      <x:c r="U369" s="15" t="n">
        <x:f>IF(E369=0,"해당 없음",M369/E369)</x:f>
        <x:v>0.3883495145631068</x:v>
      </x:c>
      <x:c r="V369" s="16" t="n">
        <x:f>E369/5</x:f>
        <x:v>20.6</x:v>
      </x:c>
    </x:row>
    <x:row r="370" ht="22" customHeight="1">
      <x:c r="A370" s="2" t="n">
        <x:v>183</x:v>
      </x:c>
      <x:c r="B370" s="2" t="str">
        <x:v>RED</x:v>
      </x:c>
      <x:c r="C370" s="2" t="str">
        <x:v>160만</x:v>
      </x:c>
      <x:c r="D370" s="2" t="str">
        <x:v>규칙형</x:v>
      </x:c>
      <x:c r="E370" s="14" t="n">
        <x:f>SUM(F370:M370)</x:f>
        <x:v>105</x:v>
      </x:c>
      <x:c r="F370" s="14" t="n">
        <x:v>5</x:v>
      </x:c>
      <x:c r="G370" s="14" t="n">
        <x:v>22</x:v>
      </x:c>
      <x:c r="H370" s="14" t="n">
        <x:v>8</x:v>
      </x:c>
      <x:c r="I370" s="14" t="n">
        <x:v>5</x:v>
      </x:c>
      <x:c r="J370" s="14" t="n">
        <x:v>3</x:v>
      </x:c>
      <x:c r="K370" s="14" t="n">
        <x:v>3</x:v>
      </x:c>
      <x:c r="L370" s="14" t="n">
        <x:v>31</x:v>
      </x:c>
      <x:c r="M370" s="14" t="n">
        <x:v>28</x:v>
      </x:c>
      <x:c r="N370" s="15" t="n">
        <x:f>IF(E370=0,"해당 없음",F370/E370)</x:f>
        <x:v>0.047619047619047616</x:v>
      </x:c>
      <x:c r="O370" s="15" t="n">
        <x:f>IF(E370=0,"해당 없음",G370/E370)</x:f>
        <x:v>0.20952380952380953</x:v>
      </x:c>
      <x:c r="P370" s="15" t="n">
        <x:f>IF(E370=0,"해당 없음",H370/E370)</x:f>
        <x:v>0.0761904761904762</x:v>
      </x:c>
      <x:c r="Q370" s="15" t="n">
        <x:f>IF(E370=0,"해당 없음",I370/E370)</x:f>
        <x:v>0.047619047619047616</x:v>
      </x:c>
      <x:c r="R370" s="15" t="n">
        <x:f>IF(E370=0,"해당 없음",J370/E370)</x:f>
        <x:v>0.02857142857142857</x:v>
      </x:c>
      <x:c r="S370" s="15" t="n">
        <x:f>IF(E370=0,"해당 없음",K370/E370)</x:f>
        <x:v>0.02857142857142857</x:v>
      </x:c>
      <x:c r="T370" s="15" t="n">
        <x:f>IF(E370=0,"해당 없음",L370/E370)</x:f>
        <x:v>0.29523809523809524</x:v>
      </x:c>
      <x:c r="U370" s="15" t="n">
        <x:f>IF(E370=0,"해당 없음",M370/E370)</x:f>
        <x:v>0.26666666666666666</x:v>
      </x:c>
      <x:c r="V370" s="16" t="n">
        <x:f>E370/5</x:f>
        <x:v>21</x:v>
      </x:c>
    </x:row>
    <x:row r="371" ht="22" customHeight="1">
      <x:c r="A371" s="2" t="n">
        <x:v>183</x:v>
      </x:c>
      <x:c r="B371" s="2" t="str">
        <x:v>NAVY</x:v>
      </x:c>
      <x:c r="C371" s="2" t="str">
        <x:v>규칙형</x:v>
      </x:c>
      <x:c r="D371" s="2" t="str">
        <x:v>160만</x:v>
      </x:c>
      <x:c r="E371" s="14" t="n">
        <x:f>SUM(F371:M371)</x:f>
        <x:v>106</x:v>
      </x:c>
      <x:c r="F371" s="14" t="n">
        <x:v>45</x:v>
      </x:c>
      <x:c r="G371" s="14" t="n">
        <x:v>2</x:v>
      </x:c>
      <x:c r="H371" s="14" t="n">
        <x:v>11</x:v>
      </x:c>
      <x:c r="I371" s="14" t="n">
        <x:v>10</x:v>
      </x:c>
      <x:c r="J371" s="14" t="n">
        <x:v>6</x:v>
      </x:c>
      <x:c r="K371" s="14" t="n">
        <x:v>4</x:v>
      </x:c>
      <x:c r="L371" s="14" t="n">
        <x:v>24</x:v>
      </x:c>
      <x:c r="M371" s="14" t="n">
        <x:v>4</x:v>
      </x:c>
      <x:c r="N371" s="15" t="n">
        <x:f>IF(E371=0,"해당 없음",F371/E371)</x:f>
        <x:v>0.42452830188679247</x:v>
      </x:c>
      <x:c r="O371" s="15" t="n">
        <x:f>IF(E371=0,"해당 없음",G371/E371)</x:f>
        <x:v>0.018867924528301886</x:v>
      </x:c>
      <x:c r="P371" s="15" t="n">
        <x:f>IF(E371=0,"해당 없음",H371/E371)</x:f>
        <x:v>0.10377358490566038</x:v>
      </x:c>
      <x:c r="Q371" s="15" t="n">
        <x:f>IF(E371=0,"해당 없음",I371/E371)</x:f>
        <x:v>0.09433962264150944</x:v>
      </x:c>
      <x:c r="R371" s="15" t="n">
        <x:f>IF(E371=0,"해당 없음",J371/E371)</x:f>
        <x:v>0.05660377358490566</x:v>
      </x:c>
      <x:c r="S371" s="15" t="n">
        <x:f>IF(E371=0,"해당 없음",K371/E371)</x:f>
        <x:v>0.03773584905660377</x:v>
      </x:c>
      <x:c r="T371" s="15" t="n">
        <x:f>IF(E371=0,"해당 없음",L371/E371)</x:f>
        <x:v>0.22641509433962265</x:v>
      </x:c>
      <x:c r="U371" s="15" t="n">
        <x:f>IF(E371=0,"해당 없음",M371/E371)</x:f>
        <x:v>0.03773584905660377</x:v>
      </x:c>
      <x:c r="V371" s="16" t="n">
        <x:f>E371/5</x:f>
        <x:v>21.2</x:v>
      </x:c>
    </x:row>
    <x:row r="372" ht="22" customHeight="1">
      <x:c r="A372" s="2" t="n">
        <x:v>184</x:v>
      </x:c>
      <x:c r="B372" s="2" t="str">
        <x:v>RED</x:v>
      </x:c>
      <x:c r="C372" s="2" t="str">
        <x:v>규칙형</x:v>
      </x:c>
      <x:c r="D372" s="2" t="str">
        <x:v>160만</x:v>
      </x:c>
      <x:c r="E372" s="14" t="n">
        <x:f>SUM(F372:M372)</x:f>
        <x:v>104</x:v>
      </x:c>
      <x:c r="F372" s="14" t="n">
        <x:v>35</x:v>
      </x:c>
      <x:c r="G372" s="14" t="n">
        <x:v>5</x:v>
      </x:c>
      <x:c r="H372" s="14" t="n">
        <x:v>9</x:v>
      </x:c>
      <x:c r="I372" s="14" t="n">
        <x:v>10</x:v>
      </x:c>
      <x:c r="J372" s="14" t="n">
        <x:v>6</x:v>
      </x:c>
      <x:c r="K372" s="14" t="n">
        <x:v>5</x:v>
      </x:c>
      <x:c r="L372" s="14" t="n">
        <x:v>22</x:v>
      </x:c>
      <x:c r="M372" s="14" t="n">
        <x:v>12</x:v>
      </x:c>
      <x:c r="N372" s="15" t="n">
        <x:f>IF(E372=0,"해당 없음",F372/E372)</x:f>
        <x:v>0.33653846153846156</x:v>
      </x:c>
      <x:c r="O372" s="15" t="n">
        <x:f>IF(E372=0,"해당 없음",G372/E372)</x:f>
        <x:v>0.04807692307692308</x:v>
      </x:c>
      <x:c r="P372" s="15" t="n">
        <x:f>IF(E372=0,"해당 없음",H372/E372)</x:f>
        <x:v>0.08653846153846154</x:v>
      </x:c>
      <x:c r="Q372" s="15" t="n">
        <x:f>IF(E372=0,"해당 없음",I372/E372)</x:f>
        <x:v>0.09615384615384616</x:v>
      </x:c>
      <x:c r="R372" s="15" t="n">
        <x:f>IF(E372=0,"해당 없음",J372/E372)</x:f>
        <x:v>0.057692307692307696</x:v>
      </x:c>
      <x:c r="S372" s="15" t="n">
        <x:f>IF(E372=0,"해당 없음",K372/E372)</x:f>
        <x:v>0.04807692307692308</x:v>
      </x:c>
      <x:c r="T372" s="15" t="n">
        <x:f>IF(E372=0,"해당 없음",L372/E372)</x:f>
        <x:v>0.21153846153846154</x:v>
      </x:c>
      <x:c r="U372" s="15" t="n">
        <x:f>IF(E372=0,"해당 없음",M372/E372)</x:f>
        <x:v>0.11538461538461539</x:v>
      </x:c>
      <x:c r="V372" s="16" t="n">
        <x:f>E372/5</x:f>
        <x:v>20.8</x:v>
      </x:c>
    </x:row>
    <x:row r="373" ht="22" customHeight="1">
      <x:c r="A373" s="2" t="n">
        <x:v>184</x:v>
      </x:c>
      <x:c r="B373" s="2" t="str">
        <x:v>NAVY</x:v>
      </x:c>
      <x:c r="C373" s="2" t="str">
        <x:v>160만</x:v>
      </x:c>
      <x:c r="D373" s="2" t="str">
        <x:v>규칙형</x:v>
      </x:c>
      <x:c r="E373" s="14" t="n">
        <x:f>SUM(F373:M373)</x:f>
        <x:v>104</x:v>
      </x:c>
      <x:c r="F373" s="14" t="n">
        <x:v>3</x:v>
      </x:c>
      <x:c r="G373" s="14" t="n">
        <x:v>21</x:v>
      </x:c>
      <x:c r="H373" s="14" t="n">
        <x:v>5</x:v>
      </x:c>
      <x:c r="I373" s="14" t="n">
        <x:v>10</x:v>
      </x:c>
      <x:c r="J373" s="14" t="n">
        <x:v>5</x:v>
      </x:c>
      <x:c r="K373" s="14" t="n">
        <x:v>4</x:v>
      </x:c>
      <x:c r="L373" s="14" t="n">
        <x:v>34</x:v>
      </x:c>
      <x:c r="M373" s="14" t="n">
        <x:v>22</x:v>
      </x:c>
      <x:c r="N373" s="15" t="n">
        <x:f>IF(E373=0,"해당 없음",F373/E373)</x:f>
        <x:v>0.028846153846153848</x:v>
      </x:c>
      <x:c r="O373" s="15" t="n">
        <x:f>IF(E373=0,"해당 없음",G373/E373)</x:f>
        <x:v>0.20192307692307693</x:v>
      </x:c>
      <x:c r="P373" s="15" t="n">
        <x:f>IF(E373=0,"해당 없음",H373/E373)</x:f>
        <x:v>0.04807692307692308</x:v>
      </x:c>
      <x:c r="Q373" s="15" t="n">
        <x:f>IF(E373=0,"해당 없음",I373/E373)</x:f>
        <x:v>0.09615384615384616</x:v>
      </x:c>
      <x:c r="R373" s="15" t="n">
        <x:f>IF(E373=0,"해당 없음",J373/E373)</x:f>
        <x:v>0.04807692307692308</x:v>
      </x:c>
      <x:c r="S373" s="15" t="n">
        <x:f>IF(E373=0,"해당 없음",K373/E373)</x:f>
        <x:v>0.038461538461538464</x:v>
      </x:c>
      <x:c r="T373" s="15" t="n">
        <x:f>IF(E373=0,"해당 없음",L373/E373)</x:f>
        <x:v>0.3269230769230769</x:v>
      </x:c>
      <x:c r="U373" s="15" t="n">
        <x:f>IF(E373=0,"해당 없음",M373/E373)</x:f>
        <x:v>0.21153846153846154</x:v>
      </x:c>
      <x:c r="V373" s="16" t="n">
        <x:f>E373/5</x:f>
        <x:v>20.8</x:v>
      </x:c>
    </x:row>
    <x:row r="374" ht="22" customHeight="1">
      <x:c r="A374" s="2" t="n">
        <x:v>185</x:v>
      </x:c>
      <x:c r="B374" s="2" t="str">
        <x:v>RED</x:v>
      </x:c>
      <x:c r="C374" s="2" t="str">
        <x:v>160만</x:v>
      </x:c>
      <x:c r="D374" s="2" t="str">
        <x:v>규칙형</x:v>
      </x:c>
      <x:c r="E374" s="14" t="n">
        <x:f>SUM(F374:M374)</x:f>
        <x:v>102</x:v>
      </x:c>
      <x:c r="F374" s="14" t="n">
        <x:v>2</x:v>
      </x:c>
      <x:c r="G374" s="14" t="n">
        <x:v>10</x:v>
      </x:c>
      <x:c r="H374" s="14" t="n">
        <x:v>7</x:v>
      </x:c>
      <x:c r="I374" s="14" t="n">
        <x:v>0</x:v>
      </x:c>
      <x:c r="J374" s="14" t="n">
        <x:v>0</x:v>
      </x:c>
      <x:c r="K374" s="14" t="n">
        <x:v>5</x:v>
      </x:c>
      <x:c r="L374" s="14" t="n">
        <x:v>28</x:v>
      </x:c>
      <x:c r="M374" s="14" t="n">
        <x:v>50</x:v>
      </x:c>
      <x:c r="N374" s="15" t="n">
        <x:f>IF(E374=0,"해당 없음",F374/E374)</x:f>
        <x:v>0.0196078431372549</x:v>
      </x:c>
      <x:c r="O374" s="15" t="n">
        <x:f>IF(E374=0,"해당 없음",G374/E374)</x:f>
        <x:v>0.09803921568627451</x:v>
      </x:c>
      <x:c r="P374" s="15" t="n">
        <x:f>IF(E374=0,"해당 없음",H374/E374)</x:f>
        <x:v>0.06862745098039216</x:v>
      </x:c>
      <x:c r="Q374" s="15" t="n">
        <x:f>IF(E374=0,"해당 없음",I374/E374)</x:f>
        <x:v>0</x:v>
      </x:c>
      <x:c r="R374" s="15" t="n">
        <x:f>IF(E374=0,"해당 없음",J374/E374)</x:f>
        <x:v>0</x:v>
      </x:c>
      <x:c r="S374" s="15" t="n">
        <x:f>IF(E374=0,"해당 없음",K374/E374)</x:f>
        <x:v>0.049019607843137254</x:v>
      </x:c>
      <x:c r="T374" s="15" t="n">
        <x:f>IF(E374=0,"해당 없음",L374/E374)</x:f>
        <x:v>0.27450980392156865</x:v>
      </x:c>
      <x:c r="U374" s="15" t="n">
        <x:f>IF(E374=0,"해당 없음",M374/E374)</x:f>
        <x:v>0.49019607843137253</x:v>
      </x:c>
      <x:c r="V374" s="16" t="n">
        <x:f>E374/5</x:f>
        <x:v>20.4</x:v>
      </x:c>
    </x:row>
    <x:row r="375" ht="22" customHeight="1">
      <x:c r="A375" s="2" t="n">
        <x:v>185</x:v>
      </x:c>
      <x:c r="B375" s="2" t="str">
        <x:v>NAVY</x:v>
      </x:c>
      <x:c r="C375" s="2" t="str">
        <x:v>규칙형</x:v>
      </x:c>
      <x:c r="D375" s="2" t="str">
        <x:v>160만</x:v>
      </x:c>
      <x:c r="E375" s="14" t="n">
        <x:f>SUM(F375:M375)</x:f>
        <x:v>102</x:v>
      </x:c>
      <x:c r="F375" s="14" t="n">
        <x:v>37</x:v>
      </x:c>
      <x:c r="G375" s="14" t="n">
        <x:v>2</x:v>
      </x:c>
      <x:c r="H375" s="14" t="n">
        <x:v>10</x:v>
      </x:c>
      <x:c r="I375" s="14" t="n">
        <x:v>19</x:v>
      </x:c>
      <x:c r="J375" s="14" t="n">
        <x:v>6</x:v>
      </x:c>
      <x:c r="K375" s="14" t="n">
        <x:v>3</x:v>
      </x:c>
      <x:c r="L375" s="14" t="n">
        <x:v>22</x:v>
      </x:c>
      <x:c r="M375" s="14" t="n">
        <x:v>3</x:v>
      </x:c>
      <x:c r="N375" s="15" t="n">
        <x:f>IF(E375=0,"해당 없음",F375/E375)</x:f>
        <x:v>0.3627450980392157</x:v>
      </x:c>
      <x:c r="O375" s="15" t="n">
        <x:f>IF(E375=0,"해당 없음",G375/E375)</x:f>
        <x:v>0.0196078431372549</x:v>
      </x:c>
      <x:c r="P375" s="15" t="n">
        <x:f>IF(E375=0,"해당 없음",H375/E375)</x:f>
        <x:v>0.09803921568627451</x:v>
      </x:c>
      <x:c r="Q375" s="15" t="n">
        <x:f>IF(E375=0,"해당 없음",I375/E375)</x:f>
        <x:v>0.18627450980392157</x:v>
      </x:c>
      <x:c r="R375" s="15" t="n">
        <x:f>IF(E375=0,"해당 없음",J375/E375)</x:f>
        <x:v>0.058823529411764705</x:v>
      </x:c>
      <x:c r="S375" s="15" t="n">
        <x:f>IF(E375=0,"해당 없음",K375/E375)</x:f>
        <x:v>0.029411764705882353</x:v>
      </x:c>
      <x:c r="T375" s="15" t="n">
        <x:f>IF(E375=0,"해당 없음",L375/E375)</x:f>
        <x:v>0.21568627450980393</x:v>
      </x:c>
      <x:c r="U375" s="15" t="n">
        <x:f>IF(E375=0,"해당 없음",M375/E375)</x:f>
        <x:v>0.029411764705882353</x:v>
      </x:c>
      <x:c r="V375" s="16" t="n">
        <x:f>E375/5</x:f>
        <x:v>20.4</x:v>
      </x:c>
    </x:row>
    <x:row r="376" ht="22" customHeight="1">
      <x:c r="A376" s="2" t="n">
        <x:v>186</x:v>
      </x:c>
      <x:c r="B376" s="2" t="str">
        <x:v>RED</x:v>
      </x:c>
      <x:c r="C376" s="2" t="str">
        <x:v>규칙형</x:v>
      </x:c>
      <x:c r="D376" s="2" t="str">
        <x:v>160만</x:v>
      </x:c>
      <x:c r="E376" s="14" t="n">
        <x:f>SUM(F376:M376)</x:f>
        <x:v>104</x:v>
      </x:c>
      <x:c r="F376" s="14" t="n">
        <x:v>37</x:v>
      </x:c>
      <x:c r="G376" s="14" t="n">
        <x:v>3</x:v>
      </x:c>
      <x:c r="H376" s="14" t="n">
        <x:v>16</x:v>
      </x:c>
      <x:c r="I376" s="14" t="n">
        <x:v>19</x:v>
      </x:c>
      <x:c r="J376" s="14" t="n">
        <x:v>7</x:v>
      </x:c>
      <x:c r="K376" s="14" t="n">
        <x:v>4</x:v>
      </x:c>
      <x:c r="L376" s="14" t="n">
        <x:v>15</x:v>
      </x:c>
      <x:c r="M376" s="14" t="n">
        <x:v>3</x:v>
      </x:c>
      <x:c r="N376" s="15" t="n">
        <x:f>IF(E376=0,"해당 없음",F376/E376)</x:f>
        <x:v>0.3557692307692308</x:v>
      </x:c>
      <x:c r="O376" s="15" t="n">
        <x:f>IF(E376=0,"해당 없음",G376/E376)</x:f>
        <x:v>0.028846153846153848</x:v>
      </x:c>
      <x:c r="P376" s="15" t="n">
        <x:f>IF(E376=0,"해당 없음",H376/E376)</x:f>
        <x:v>0.15384615384615385</x:v>
      </x:c>
      <x:c r="Q376" s="15" t="n">
        <x:f>IF(E376=0,"해당 없음",I376/E376)</x:f>
        <x:v>0.18269230769230768</x:v>
      </x:c>
      <x:c r="R376" s="15" t="n">
        <x:f>IF(E376=0,"해당 없음",J376/E376)</x:f>
        <x:v>0.0673076923076923</x:v>
      </x:c>
      <x:c r="S376" s="15" t="n">
        <x:f>IF(E376=0,"해당 없음",K376/E376)</x:f>
        <x:v>0.038461538461538464</x:v>
      </x:c>
      <x:c r="T376" s="15" t="n">
        <x:f>IF(E376=0,"해당 없음",L376/E376)</x:f>
        <x:v>0.14423076923076922</x:v>
      </x:c>
      <x:c r="U376" s="15" t="n">
        <x:f>IF(E376=0,"해당 없음",M376/E376)</x:f>
        <x:v>0.028846153846153848</x:v>
      </x:c>
      <x:c r="V376" s="16" t="n">
        <x:f>E376/5</x:f>
        <x:v>20.8</x:v>
      </x:c>
    </x:row>
    <x:row r="377" ht="22" customHeight="1">
      <x:c r="A377" s="2" t="n">
        <x:v>186</x:v>
      </x:c>
      <x:c r="B377" s="2" t="str">
        <x:v>NAVY</x:v>
      </x:c>
      <x:c r="C377" s="2" t="str">
        <x:v>160만</x:v>
      </x:c>
      <x:c r="D377" s="2" t="str">
        <x:v>규칙형</x:v>
      </x:c>
      <x:c r="E377" s="14" t="n">
        <x:f>SUM(F377:M377)</x:f>
        <x:v>103</x:v>
      </x:c>
      <x:c r="F377" s="14" t="n">
        <x:v>1</x:v>
      </x:c>
      <x:c r="G377" s="14" t="n">
        <x:v>22</x:v>
      </x:c>
      <x:c r="H377" s="14" t="n">
        <x:v>9</x:v>
      </x:c>
      <x:c r="I377" s="14" t="n">
        <x:v>1</x:v>
      </x:c>
      <x:c r="J377" s="14" t="n">
        <x:v>5</x:v>
      </x:c>
      <x:c r="K377" s="14" t="n">
        <x:v>4</x:v>
      </x:c>
      <x:c r="L377" s="14" t="n">
        <x:v>30</x:v>
      </x:c>
      <x:c r="M377" s="14" t="n">
        <x:v>31</x:v>
      </x:c>
      <x:c r="N377" s="15" t="n">
        <x:f>IF(E377=0,"해당 없음",F377/E377)</x:f>
        <x:v>0.009708737864077669</x:v>
      </x:c>
      <x:c r="O377" s="15" t="n">
        <x:f>IF(E377=0,"해당 없음",G377/E377)</x:f>
        <x:v>0.21359223300970873</x:v>
      </x:c>
      <x:c r="P377" s="15" t="n">
        <x:f>IF(E377=0,"해당 없음",H377/E377)</x:f>
        <x:v>0.08737864077669903</x:v>
      </x:c>
      <x:c r="Q377" s="15" t="n">
        <x:f>IF(E377=0,"해당 없음",I377/E377)</x:f>
        <x:v>0.009708737864077669</x:v>
      </x:c>
      <x:c r="R377" s="15" t="n">
        <x:f>IF(E377=0,"해당 없음",J377/E377)</x:f>
        <x:v>0.04854368932038835</x:v>
      </x:c>
      <x:c r="S377" s="15" t="n">
        <x:f>IF(E377=0,"해당 없음",K377/E377)</x:f>
        <x:v>0.038834951456310676</x:v>
      </x:c>
      <x:c r="T377" s="15" t="n">
        <x:f>IF(E377=0,"해당 없음",L377/E377)</x:f>
        <x:v>0.2912621359223301</x:v>
      </x:c>
      <x:c r="U377" s="15" t="n">
        <x:f>IF(E377=0,"해당 없음",M377/E377)</x:f>
        <x:v>0.30097087378640774</x:v>
      </x:c>
      <x:c r="V377" s="16" t="n">
        <x:f>E377/5</x:f>
        <x:v>20.6</x:v>
      </x:c>
    </x:row>
    <x:row r="378" ht="22" customHeight="1">
      <x:c r="A378" s="2" t="n">
        <x:v>187</x:v>
      </x:c>
      <x:c r="B378" s="2" t="str">
        <x:v>RED</x:v>
      </x:c>
      <x:c r="C378" s="2" t="str">
        <x:v>160만</x:v>
      </x:c>
      <x:c r="D378" s="2" t="str">
        <x:v>규칙형</x:v>
      </x:c>
      <x:c r="E378" s="14" t="n">
        <x:f>SUM(F378:M378)</x:f>
        <x:v>105</x:v>
      </x:c>
      <x:c r="F378" s="14" t="n">
        <x:v>1</x:v>
      </x:c>
      <x:c r="G378" s="14" t="n">
        <x:v>16</x:v>
      </x:c>
      <x:c r="H378" s="14" t="n">
        <x:v>4</x:v>
      </x:c>
      <x:c r="I378" s="14" t="n">
        <x:v>6</x:v>
      </x:c>
      <x:c r="J378" s="14" t="n">
        <x:v>2</x:v>
      </x:c>
      <x:c r="K378" s="14" t="n">
        <x:v>9</x:v>
      </x:c>
      <x:c r="L378" s="14" t="n">
        <x:v>38</x:v>
      </x:c>
      <x:c r="M378" s="14" t="n">
        <x:v>29</x:v>
      </x:c>
      <x:c r="N378" s="15" t="n">
        <x:f>IF(E378=0,"해당 없음",F378/E378)</x:f>
        <x:v>0.009523809523809525</x:v>
      </x:c>
      <x:c r="O378" s="15" t="n">
        <x:f>IF(E378=0,"해당 없음",G378/E378)</x:f>
        <x:v>0.1523809523809524</x:v>
      </x:c>
      <x:c r="P378" s="15" t="n">
        <x:f>IF(E378=0,"해당 없음",H378/E378)</x:f>
        <x:v>0.0380952380952381</x:v>
      </x:c>
      <x:c r="Q378" s="15" t="n">
        <x:f>IF(E378=0,"해당 없음",I378/E378)</x:f>
        <x:v>0.05714285714285714</x:v>
      </x:c>
      <x:c r="R378" s="15" t="n">
        <x:f>IF(E378=0,"해당 없음",J378/E378)</x:f>
        <x:v>0.01904761904761905</x:v>
      </x:c>
      <x:c r="S378" s="15" t="n">
        <x:f>IF(E378=0,"해당 없음",K378/E378)</x:f>
        <x:v>0.08571428571428572</x:v>
      </x:c>
      <x:c r="T378" s="15" t="n">
        <x:f>IF(E378=0,"해당 없음",L378/E378)</x:f>
        <x:v>0.3619047619047619</x:v>
      </x:c>
      <x:c r="U378" s="15" t="n">
        <x:f>IF(E378=0,"해당 없음",M378/E378)</x:f>
        <x:v>0.2761904761904762</x:v>
      </x:c>
      <x:c r="V378" s="16" t="n">
        <x:f>E378/5</x:f>
        <x:v>21</x:v>
      </x:c>
    </x:row>
    <x:row r="379" ht="22" customHeight="1">
      <x:c r="A379" s="2" t="n">
        <x:v>187</x:v>
      </x:c>
      <x:c r="B379" s="2" t="str">
        <x:v>NAVY</x:v>
      </x:c>
      <x:c r="C379" s="2" t="str">
        <x:v>규칙형</x:v>
      </x:c>
      <x:c r="D379" s="2" t="str">
        <x:v>160만</x:v>
      </x:c>
      <x:c r="E379" s="14" t="n">
        <x:f>SUM(F379:M379)</x:f>
        <x:v>106</x:v>
      </x:c>
      <x:c r="F379" s="14" t="n">
        <x:v>37</x:v>
      </x:c>
      <x:c r="G379" s="14" t="n">
        <x:v>3</x:v>
      </x:c>
      <x:c r="H379" s="14" t="n">
        <x:v>5</x:v>
      </x:c>
      <x:c r="I379" s="14" t="n">
        <x:v>18</x:v>
      </x:c>
      <x:c r="J379" s="14" t="n">
        <x:v>4</x:v>
      </x:c>
      <x:c r="K379" s="14" t="n">
        <x:v>4</x:v>
      </x:c>
      <x:c r="L379" s="14" t="n">
        <x:v>22</x:v>
      </x:c>
      <x:c r="M379" s="14" t="n">
        <x:v>13</x:v>
      </x:c>
      <x:c r="N379" s="15" t="n">
        <x:f>IF(E379=0,"해당 없음",F379/E379)</x:f>
        <x:v>0.3490566037735849</x:v>
      </x:c>
      <x:c r="O379" s="15" t="n">
        <x:f>IF(E379=0,"해당 없음",G379/E379)</x:f>
        <x:v>0.02830188679245283</x:v>
      </x:c>
      <x:c r="P379" s="15" t="n">
        <x:f>IF(E379=0,"해당 없음",H379/E379)</x:f>
        <x:v>0.04716981132075472</x:v>
      </x:c>
      <x:c r="Q379" s="15" t="n">
        <x:f>IF(E379=0,"해당 없음",I379/E379)</x:f>
        <x:v>0.16981132075471697</x:v>
      </x:c>
      <x:c r="R379" s="15" t="n">
        <x:f>IF(E379=0,"해당 없음",J379/E379)</x:f>
        <x:v>0.03773584905660377</x:v>
      </x:c>
      <x:c r="S379" s="15" t="n">
        <x:f>IF(E379=0,"해당 없음",K379/E379)</x:f>
        <x:v>0.03773584905660377</x:v>
      </x:c>
      <x:c r="T379" s="15" t="n">
        <x:f>IF(E379=0,"해당 없음",L379/E379)</x:f>
        <x:v>0.20754716981132076</x:v>
      </x:c>
      <x:c r="U379" s="15" t="n">
        <x:f>IF(E379=0,"해당 없음",M379/E379)</x:f>
        <x:v>0.12264150943396226</x:v>
      </x:c>
      <x:c r="V379" s="16" t="n">
        <x:f>E379/5</x:f>
        <x:v>21.2</x:v>
      </x:c>
    </x:row>
    <x:row r="380" ht="22" customHeight="1">
      <x:c r="A380" s="2" t="n">
        <x:v>188</x:v>
      </x:c>
      <x:c r="B380" s="2" t="str">
        <x:v>RED</x:v>
      </x:c>
      <x:c r="C380" s="2" t="str">
        <x:v>규칙형</x:v>
      </x:c>
      <x:c r="D380" s="2" t="str">
        <x:v>160만</x:v>
      </x:c>
      <x:c r="E380" s="14" t="n">
        <x:f>SUM(F380:M380)</x:f>
        <x:v>104</x:v>
      </x:c>
      <x:c r="F380" s="14" t="n">
        <x:v>40</x:v>
      </x:c>
      <x:c r="G380" s="14" t="n">
        <x:v>6</x:v>
      </x:c>
      <x:c r="H380" s="14" t="n">
        <x:v>5</x:v>
      </x:c>
      <x:c r="I380" s="14" t="n">
        <x:v>12</x:v>
      </x:c>
      <x:c r="J380" s="14" t="n">
        <x:v>6</x:v>
      </x:c>
      <x:c r="K380" s="14" t="n">
        <x:v>4</x:v>
      </x:c>
      <x:c r="L380" s="14" t="n">
        <x:v>25</x:v>
      </x:c>
      <x:c r="M380" s="14" t="n">
        <x:v>6</x:v>
      </x:c>
      <x:c r="N380" s="15" t="n">
        <x:f>IF(E380=0,"해당 없음",F380/E380)</x:f>
        <x:v>0.38461538461538464</x:v>
      </x:c>
      <x:c r="O380" s="15" t="n">
        <x:f>IF(E380=0,"해당 없음",G380/E380)</x:f>
        <x:v>0.057692307692307696</x:v>
      </x:c>
      <x:c r="P380" s="15" t="n">
        <x:f>IF(E380=0,"해당 없음",H380/E380)</x:f>
        <x:v>0.04807692307692308</x:v>
      </x:c>
      <x:c r="Q380" s="15" t="n">
        <x:f>IF(E380=0,"해당 없음",I380/E380)</x:f>
        <x:v>0.11538461538461539</x:v>
      </x:c>
      <x:c r="R380" s="15" t="n">
        <x:f>IF(E380=0,"해당 없음",J380/E380)</x:f>
        <x:v>0.057692307692307696</x:v>
      </x:c>
      <x:c r="S380" s="15" t="n">
        <x:f>IF(E380=0,"해당 없음",K380/E380)</x:f>
        <x:v>0.038461538461538464</x:v>
      </x:c>
      <x:c r="T380" s="15" t="n">
        <x:f>IF(E380=0,"해당 없음",L380/E380)</x:f>
        <x:v>0.2403846153846154</x:v>
      </x:c>
      <x:c r="U380" s="15" t="n">
        <x:f>IF(E380=0,"해당 없음",M380/E380)</x:f>
        <x:v>0.057692307692307696</x:v>
      </x:c>
      <x:c r="V380" s="16" t="n">
        <x:f>E380/5</x:f>
        <x:v>20.8</x:v>
      </x:c>
    </x:row>
    <x:row r="381" ht="22" customHeight="1">
      <x:c r="A381" s="2" t="n">
        <x:v>188</x:v>
      </x:c>
      <x:c r="B381" s="2" t="str">
        <x:v>NAVY</x:v>
      </x:c>
      <x:c r="C381" s="2" t="str">
        <x:v>160만</x:v>
      </x:c>
      <x:c r="D381" s="2" t="str">
        <x:v>규칙형</x:v>
      </x:c>
      <x:c r="E381" s="14" t="n">
        <x:f>SUM(F381:M381)</x:f>
        <x:v>104</x:v>
      </x:c>
      <x:c r="F381" s="14" t="n">
        <x:v>1</x:v>
      </x:c>
      <x:c r="G381" s="14" t="n">
        <x:v>20</x:v>
      </x:c>
      <x:c r="H381" s="14" t="n">
        <x:v>9</x:v>
      </x:c>
      <x:c r="I381" s="14" t="n">
        <x:v>7</x:v>
      </x:c>
      <x:c r="J381" s="14" t="n">
        <x:v>3</x:v>
      </x:c>
      <x:c r="K381" s="14" t="n">
        <x:v>5</x:v>
      </x:c>
      <x:c r="L381" s="14" t="n">
        <x:v>31</x:v>
      </x:c>
      <x:c r="M381" s="14" t="n">
        <x:v>28</x:v>
      </x:c>
      <x:c r="N381" s="15" t="n">
        <x:f>IF(E381=0,"해당 없음",F381/E381)</x:f>
        <x:v>0.009615384615384616</x:v>
      </x:c>
      <x:c r="O381" s="15" t="n">
        <x:f>IF(E381=0,"해당 없음",G381/E381)</x:f>
        <x:v>0.19230769230769232</x:v>
      </x:c>
      <x:c r="P381" s="15" t="n">
        <x:f>IF(E381=0,"해당 없음",H381/E381)</x:f>
        <x:v>0.08653846153846154</x:v>
      </x:c>
      <x:c r="Q381" s="15" t="n">
        <x:f>IF(E381=0,"해당 없음",I381/E381)</x:f>
        <x:v>0.0673076923076923</x:v>
      </x:c>
      <x:c r="R381" s="15" t="n">
        <x:f>IF(E381=0,"해당 없음",J381/E381)</x:f>
        <x:v>0.028846153846153848</x:v>
      </x:c>
      <x:c r="S381" s="15" t="n">
        <x:f>IF(E381=0,"해당 없음",K381/E381)</x:f>
        <x:v>0.04807692307692308</x:v>
      </x:c>
      <x:c r="T381" s="15" t="n">
        <x:f>IF(E381=0,"해당 없음",L381/E381)</x:f>
        <x:v>0.2980769230769231</x:v>
      </x:c>
      <x:c r="U381" s="15" t="n">
        <x:f>IF(E381=0,"해당 없음",M381/E381)</x:f>
        <x:v>0.2692307692307692</x:v>
      </x:c>
      <x:c r="V381" s="16" t="n">
        <x:f>E381/5</x:f>
        <x:v>20.8</x:v>
      </x:c>
    </x:row>
    <x:row r="382" ht="22" customHeight="1">
      <x:c r="A382" s="2" t="n">
        <x:v>189</x:v>
      </x:c>
      <x:c r="B382" s="2" t="str">
        <x:v>RED</x:v>
      </x:c>
      <x:c r="C382" s="2" t="str">
        <x:v>160만</x:v>
      </x:c>
      <x:c r="D382" s="2" t="str">
        <x:v>규칙형</x:v>
      </x:c>
      <x:c r="E382" s="14" t="n">
        <x:f>SUM(F382:M382)</x:f>
        <x:v>102</x:v>
      </x:c>
      <x:c r="F382" s="14" t="n">
        <x:v>0</x:v>
      </x:c>
      <x:c r="G382" s="14" t="n">
        <x:v>11</x:v>
      </x:c>
      <x:c r="H382" s="14" t="n">
        <x:v>7</x:v>
      </x:c>
      <x:c r="I382" s="14" t="n">
        <x:v>6</x:v>
      </x:c>
      <x:c r="J382" s="14" t="n">
        <x:v>2</x:v>
      </x:c>
      <x:c r="K382" s="14" t="n">
        <x:v>5</x:v>
      </x:c>
      <x:c r="L382" s="14" t="n">
        <x:v>31</x:v>
      </x:c>
      <x:c r="M382" s="14" t="n">
        <x:v>40</x:v>
      </x:c>
      <x:c r="N382" s="15" t="n">
        <x:f>IF(E382=0,"해당 없음",F382/E382)</x:f>
        <x:v>0</x:v>
      </x:c>
      <x:c r="O382" s="15" t="n">
        <x:f>IF(E382=0,"해당 없음",G382/E382)</x:f>
        <x:v>0.10784313725490197</x:v>
      </x:c>
      <x:c r="P382" s="15" t="n">
        <x:f>IF(E382=0,"해당 없음",H382/E382)</x:f>
        <x:v>0.06862745098039216</x:v>
      </x:c>
      <x:c r="Q382" s="15" t="n">
        <x:f>IF(E382=0,"해당 없음",I382/E382)</x:f>
        <x:v>0.058823529411764705</x:v>
      </x:c>
      <x:c r="R382" s="15" t="n">
        <x:f>IF(E382=0,"해당 없음",J382/E382)</x:f>
        <x:v>0.0196078431372549</x:v>
      </x:c>
      <x:c r="S382" s="15" t="n">
        <x:f>IF(E382=0,"해당 없음",K382/E382)</x:f>
        <x:v>0.049019607843137254</x:v>
      </x:c>
      <x:c r="T382" s="15" t="n">
        <x:f>IF(E382=0,"해당 없음",L382/E382)</x:f>
        <x:v>0.30392156862745096</x:v>
      </x:c>
      <x:c r="U382" s="15" t="n">
        <x:f>IF(E382=0,"해당 없음",M382/E382)</x:f>
        <x:v>0.39215686274509803</x:v>
      </x:c>
      <x:c r="V382" s="16" t="n">
        <x:f>E382/5</x:f>
        <x:v>20.4</x:v>
      </x:c>
    </x:row>
    <x:row r="383" ht="22" customHeight="1">
      <x:c r="A383" s="2" t="n">
        <x:v>189</x:v>
      </x:c>
      <x:c r="B383" s="2" t="str">
        <x:v>NAVY</x:v>
      </x:c>
      <x:c r="C383" s="2" t="str">
        <x:v>규칙형</x:v>
      </x:c>
      <x:c r="D383" s="2" t="str">
        <x:v>160만</x:v>
      </x:c>
      <x:c r="E383" s="14" t="n">
        <x:f>SUM(F383:M383)</x:f>
        <x:v>103</x:v>
      </x:c>
      <x:c r="F383" s="14" t="n">
        <x:v>31</x:v>
      </x:c>
      <x:c r="G383" s="14" t="n">
        <x:v>12</x:v>
      </x:c>
      <x:c r="H383" s="14" t="n">
        <x:v>4</x:v>
      </x:c>
      <x:c r="I383" s="14" t="n">
        <x:v>21</x:v>
      </x:c>
      <x:c r="J383" s="14" t="n">
        <x:v>7</x:v>
      </x:c>
      <x:c r="K383" s="14" t="n">
        <x:v>3</x:v>
      </x:c>
      <x:c r="L383" s="14" t="n">
        <x:v>21</x:v>
      </x:c>
      <x:c r="M383" s="14" t="n">
        <x:v>4</x:v>
      </x:c>
      <x:c r="N383" s="15" t="n">
        <x:f>IF(E383=0,"해당 없음",F383/E383)</x:f>
        <x:v>0.30097087378640774</x:v>
      </x:c>
      <x:c r="O383" s="15" t="n">
        <x:f>IF(E383=0,"해당 없음",G383/E383)</x:f>
        <x:v>0.11650485436893204</x:v>
      </x:c>
      <x:c r="P383" s="15" t="n">
        <x:f>IF(E383=0,"해당 없음",H383/E383)</x:f>
        <x:v>0.038834951456310676</x:v>
      </x:c>
      <x:c r="Q383" s="15" t="n">
        <x:f>IF(E383=0,"해당 없음",I383/E383)</x:f>
        <x:v>0.20388349514563106</x:v>
      </x:c>
      <x:c r="R383" s="15" t="n">
        <x:f>IF(E383=0,"해당 없음",J383/E383)</x:f>
        <x:v>0.06796116504854369</x:v>
      </x:c>
      <x:c r="S383" s="15" t="n">
        <x:f>IF(E383=0,"해당 없음",K383/E383)</x:f>
        <x:v>0.02912621359223301</x:v>
      </x:c>
      <x:c r="T383" s="15" t="n">
        <x:f>IF(E383=0,"해당 없음",L383/E383)</x:f>
        <x:v>0.20388349514563106</x:v>
      </x:c>
      <x:c r="U383" s="15" t="n">
        <x:f>IF(E383=0,"해당 없음",M383/E383)</x:f>
        <x:v>0.038834951456310676</x:v>
      </x:c>
      <x:c r="V383" s="16" t="n">
        <x:f>E383/5</x:f>
        <x:v>20.6</x:v>
      </x:c>
    </x:row>
    <x:row r="384" ht="22" customHeight="1">
      <x:c r="A384" s="2" t="n">
        <x:v>190</x:v>
      </x:c>
      <x:c r="B384" s="2" t="str">
        <x:v>RED</x:v>
      </x:c>
      <x:c r="C384" s="2" t="str">
        <x:v>규칙형</x:v>
      </x:c>
      <x:c r="D384" s="2" t="str">
        <x:v>160만</x:v>
      </x:c>
      <x:c r="E384" s="14" t="n">
        <x:f>SUM(F384:M384)</x:f>
        <x:v>105</x:v>
      </x:c>
      <x:c r="F384" s="14" t="n">
        <x:v>35</x:v>
      </x:c>
      <x:c r="G384" s="14" t="n">
        <x:v>3</x:v>
      </x:c>
      <x:c r="H384" s="14" t="n">
        <x:v>7</x:v>
      </x:c>
      <x:c r="I384" s="14" t="n">
        <x:v>13</x:v>
      </x:c>
      <x:c r="J384" s="14" t="n">
        <x:v>14</x:v>
      </x:c>
      <x:c r="K384" s="14" t="n">
        <x:v>2</x:v>
      </x:c>
      <x:c r="L384" s="14" t="n">
        <x:v>26</x:v>
      </x:c>
      <x:c r="M384" s="14" t="n">
        <x:v>5</x:v>
      </x:c>
      <x:c r="N384" s="15" t="n">
        <x:f>IF(E384=0,"해당 없음",F384/E384)</x:f>
        <x:v>0.3333333333333333</x:v>
      </x:c>
      <x:c r="O384" s="15" t="n">
        <x:f>IF(E384=0,"해당 없음",G384/E384)</x:f>
        <x:v>0.02857142857142857</x:v>
      </x:c>
      <x:c r="P384" s="15" t="n">
        <x:f>IF(E384=0,"해당 없음",H384/E384)</x:f>
        <x:v>0.06666666666666667</x:v>
      </x:c>
      <x:c r="Q384" s="15" t="n">
        <x:f>IF(E384=0,"해당 없음",I384/E384)</x:f>
        <x:v>0.12380952380952381</x:v>
      </x:c>
      <x:c r="R384" s="15" t="n">
        <x:f>IF(E384=0,"해당 없음",J384/E384)</x:f>
        <x:v>0.13333333333333333</x:v>
      </x:c>
      <x:c r="S384" s="15" t="n">
        <x:f>IF(E384=0,"해당 없음",K384/E384)</x:f>
        <x:v>0.01904761904761905</x:v>
      </x:c>
      <x:c r="T384" s="15" t="n">
        <x:f>IF(E384=0,"해당 없음",L384/E384)</x:f>
        <x:v>0.24761904761904763</x:v>
      </x:c>
      <x:c r="U384" s="15" t="n">
        <x:f>IF(E384=0,"해당 없음",M384/E384)</x:f>
        <x:v>0.047619047619047616</x:v>
      </x:c>
      <x:c r="V384" s="16" t="n">
        <x:f>E384/5</x:f>
        <x:v>21</x:v>
      </x:c>
    </x:row>
    <x:row r="385" ht="22" customHeight="1">
      <x:c r="A385" s="2" t="n">
        <x:v>190</x:v>
      </x:c>
      <x:c r="B385" s="2" t="str">
        <x:v>NAVY</x:v>
      </x:c>
      <x:c r="C385" s="2" t="str">
        <x:v>160만</x:v>
      </x:c>
      <x:c r="D385" s="2" t="str">
        <x:v>규칙형</x:v>
      </x:c>
      <x:c r="E385" s="14" t="n">
        <x:f>SUM(F385:M385)</x:f>
        <x:v>105</x:v>
      </x:c>
      <x:c r="F385" s="14" t="n">
        <x:v>1</x:v>
      </x:c>
      <x:c r="G385" s="14" t="n">
        <x:v>10</x:v>
      </x:c>
      <x:c r="H385" s="14" t="n">
        <x:v>7</x:v>
      </x:c>
      <x:c r="I385" s="14" t="n">
        <x:v>8</x:v>
      </x:c>
      <x:c r="J385" s="14" t="n">
        <x:v>1</x:v>
      </x:c>
      <x:c r="K385" s="14" t="n">
        <x:v>2</x:v>
      </x:c>
      <x:c r="L385" s="14" t="n">
        <x:v>34</x:v>
      </x:c>
      <x:c r="M385" s="14" t="n">
        <x:v>42</x:v>
      </x:c>
      <x:c r="N385" s="15" t="n">
        <x:f>IF(E385=0,"해당 없음",F385/E385)</x:f>
        <x:v>0.009523809523809525</x:v>
      </x:c>
      <x:c r="O385" s="15" t="n">
        <x:f>IF(E385=0,"해당 없음",G385/E385)</x:f>
        <x:v>0.09523809523809523</x:v>
      </x:c>
      <x:c r="P385" s="15" t="n">
        <x:f>IF(E385=0,"해당 없음",H385/E385)</x:f>
        <x:v>0.06666666666666667</x:v>
      </x:c>
      <x:c r="Q385" s="15" t="n">
        <x:f>IF(E385=0,"해당 없음",I385/E385)</x:f>
        <x:v>0.0761904761904762</x:v>
      </x:c>
      <x:c r="R385" s="15" t="n">
        <x:f>IF(E385=0,"해당 없음",J385/E385)</x:f>
        <x:v>0.009523809523809525</x:v>
      </x:c>
      <x:c r="S385" s="15" t="n">
        <x:f>IF(E385=0,"해당 없음",K385/E385)</x:f>
        <x:v>0.01904761904761905</x:v>
      </x:c>
      <x:c r="T385" s="15" t="n">
        <x:f>IF(E385=0,"해당 없음",L385/E385)</x:f>
        <x:v>0.3238095238095238</x:v>
      </x:c>
      <x:c r="U385" s="15" t="n">
        <x:f>IF(E385=0,"해당 없음",M385/E385)</x:f>
        <x:v>0.4</x:v>
      </x:c>
      <x:c r="V385" s="16" t="n">
        <x:f>E385/5</x:f>
        <x:v>21</x:v>
      </x:c>
    </x:row>
    <x:row r="386" ht="22" customHeight="1">
      <x:c r="A386" s="2" t="n">
        <x:v>191</x:v>
      </x:c>
      <x:c r="B386" s="2" t="str">
        <x:v>RED</x:v>
      </x:c>
      <x:c r="C386" s="2" t="str">
        <x:v>160만</x:v>
      </x:c>
      <x:c r="D386" s="2" t="str">
        <x:v>규칙형</x:v>
      </x:c>
      <x:c r="E386" s="14" t="n">
        <x:f>SUM(F386:M386)</x:f>
        <x:v>102</x:v>
      </x:c>
      <x:c r="F386" s="14" t="n">
        <x:v>4</x:v>
      </x:c>
      <x:c r="G386" s="14" t="n">
        <x:v>13</x:v>
      </x:c>
      <x:c r="H386" s="14" t="n">
        <x:v>9</x:v>
      </x:c>
      <x:c r="I386" s="14" t="n">
        <x:v>3</x:v>
      </x:c>
      <x:c r="J386" s="14" t="n">
        <x:v>0</x:v>
      </x:c>
      <x:c r="K386" s="14" t="n">
        <x:v>8</x:v>
      </x:c>
      <x:c r="L386" s="14" t="n">
        <x:v>25</x:v>
      </x:c>
      <x:c r="M386" s="14" t="n">
        <x:v>40</x:v>
      </x:c>
      <x:c r="N386" s="15" t="n">
        <x:f>IF(E386=0,"해당 없음",F386/E386)</x:f>
        <x:v>0.0392156862745098</x:v>
      </x:c>
      <x:c r="O386" s="15" t="n">
        <x:f>IF(E386=0,"해당 없음",G386/E386)</x:f>
        <x:v>0.12745098039215685</x:v>
      </x:c>
      <x:c r="P386" s="15" t="n">
        <x:f>IF(E386=0,"해당 없음",H386/E386)</x:f>
        <x:v>0.08823529411764706</x:v>
      </x:c>
      <x:c r="Q386" s="15" t="n">
        <x:f>IF(E386=0,"해당 없음",I386/E386)</x:f>
        <x:v>0.029411764705882353</x:v>
      </x:c>
      <x:c r="R386" s="15" t="n">
        <x:f>IF(E386=0,"해당 없음",J386/E386)</x:f>
        <x:v>0</x:v>
      </x:c>
      <x:c r="S386" s="15" t="n">
        <x:f>IF(E386=0,"해당 없음",K386/E386)</x:f>
        <x:v>0.0784313725490196</x:v>
      </x:c>
      <x:c r="T386" s="15" t="n">
        <x:f>IF(E386=0,"해당 없음",L386/E386)</x:f>
        <x:v>0.24509803921568626</x:v>
      </x:c>
      <x:c r="U386" s="15" t="n">
        <x:f>IF(E386=0,"해당 없음",M386/E386)</x:f>
        <x:v>0.39215686274509803</x:v>
      </x:c>
      <x:c r="V386" s="16" t="n">
        <x:f>E386/5</x:f>
        <x:v>20.4</x:v>
      </x:c>
    </x:row>
    <x:row r="387" ht="22" customHeight="1">
      <x:c r="A387" s="2" t="n">
        <x:v>191</x:v>
      </x:c>
      <x:c r="B387" s="2" t="str">
        <x:v>NAVY</x:v>
      </x:c>
      <x:c r="C387" s="2" t="str">
        <x:v>규칙형</x:v>
      </x:c>
      <x:c r="D387" s="2" t="str">
        <x:v>160만</x:v>
      </x:c>
      <x:c r="E387" s="14" t="n">
        <x:f>SUM(F387:M387)</x:f>
        <x:v>103</x:v>
      </x:c>
      <x:c r="F387" s="14" t="n">
        <x:v>40</x:v>
      </x:c>
      <x:c r="G387" s="14" t="n">
        <x:v>4</x:v>
      </x:c>
      <x:c r="H387" s="14" t="n">
        <x:v>4</x:v>
      </x:c>
      <x:c r="I387" s="14" t="n">
        <x:v>25</x:v>
      </x:c>
      <x:c r="J387" s="14" t="n">
        <x:v>5</x:v>
      </x:c>
      <x:c r="K387" s="14" t="n">
        <x:v>0</x:v>
      </x:c>
      <x:c r="L387" s="14" t="n">
        <x:v>20</x:v>
      </x:c>
      <x:c r="M387" s="14" t="n">
        <x:v>5</x:v>
      </x:c>
      <x:c r="N387" s="15" t="n">
        <x:f>IF(E387=0,"해당 없음",F387/E387)</x:f>
        <x:v>0.3883495145631068</x:v>
      </x:c>
      <x:c r="O387" s="15" t="n">
        <x:f>IF(E387=0,"해당 없음",G387/E387)</x:f>
        <x:v>0.038834951456310676</x:v>
      </x:c>
      <x:c r="P387" s="15" t="n">
        <x:f>IF(E387=0,"해당 없음",H387/E387)</x:f>
        <x:v>0.038834951456310676</x:v>
      </x:c>
      <x:c r="Q387" s="15" t="n">
        <x:f>IF(E387=0,"해당 없음",I387/E387)</x:f>
        <x:v>0.24271844660194175</x:v>
      </x:c>
      <x:c r="R387" s="15" t="n">
        <x:f>IF(E387=0,"해당 없음",J387/E387)</x:f>
        <x:v>0.04854368932038835</x:v>
      </x:c>
      <x:c r="S387" s="15" t="n">
        <x:f>IF(E387=0,"해당 없음",K387/E387)</x:f>
        <x:v>0</x:v>
      </x:c>
      <x:c r="T387" s="15" t="n">
        <x:f>IF(E387=0,"해당 없음",L387/E387)</x:f>
        <x:v>0.1941747572815534</x:v>
      </x:c>
      <x:c r="U387" s="15" t="n">
        <x:f>IF(E387=0,"해당 없음",M387/E387)</x:f>
        <x:v>0.04854368932038835</x:v>
      </x:c>
      <x:c r="V387" s="16" t="n">
        <x:f>E387/5</x:f>
        <x:v>20.6</x:v>
      </x:c>
    </x:row>
    <x:row r="388" ht="22" customHeight="1">
      <x:c r="A388" s="2" t="n">
        <x:v>192</x:v>
      </x:c>
      <x:c r="B388" s="2" t="str">
        <x:v>RED</x:v>
      </x:c>
      <x:c r="C388" s="2" t="str">
        <x:v>규칙형</x:v>
      </x:c>
      <x:c r="D388" s="2" t="str">
        <x:v>160만</x:v>
      </x:c>
      <x:c r="E388" s="14" t="n">
        <x:f>SUM(F388:M388)</x:f>
        <x:v>102</x:v>
      </x:c>
      <x:c r="F388" s="14" t="n">
        <x:v>32</x:v>
      </x:c>
      <x:c r="G388" s="14" t="n">
        <x:v>7</x:v>
      </x:c>
      <x:c r="H388" s="14" t="n">
        <x:v>5</x:v>
      </x:c>
      <x:c r="I388" s="14" t="n">
        <x:v>16</x:v>
      </x:c>
      <x:c r="J388" s="14" t="n">
        <x:v>6</x:v>
      </x:c>
      <x:c r="K388" s="14" t="n">
        <x:v>7</x:v>
      </x:c>
      <x:c r="L388" s="14" t="n">
        <x:v>20</x:v>
      </x:c>
      <x:c r="M388" s="14" t="n">
        <x:v>9</x:v>
      </x:c>
      <x:c r="N388" s="15" t="n">
        <x:f>IF(E388=0,"해당 없음",F388/E388)</x:f>
        <x:v>0.3137254901960784</x:v>
      </x:c>
      <x:c r="O388" s="15" t="n">
        <x:f>IF(E388=0,"해당 없음",G388/E388)</x:f>
        <x:v>0.06862745098039216</x:v>
      </x:c>
      <x:c r="P388" s="15" t="n">
        <x:f>IF(E388=0,"해당 없음",H388/E388)</x:f>
        <x:v>0.049019607843137254</x:v>
      </x:c>
      <x:c r="Q388" s="15" t="n">
        <x:f>IF(E388=0,"해당 없음",I388/E388)</x:f>
        <x:v>0.1568627450980392</x:v>
      </x:c>
      <x:c r="R388" s="15" t="n">
        <x:f>IF(E388=0,"해당 없음",J388/E388)</x:f>
        <x:v>0.058823529411764705</x:v>
      </x:c>
      <x:c r="S388" s="15" t="n">
        <x:f>IF(E388=0,"해당 없음",K388/E388)</x:f>
        <x:v>0.06862745098039216</x:v>
      </x:c>
      <x:c r="T388" s="15" t="n">
        <x:f>IF(E388=0,"해당 없음",L388/E388)</x:f>
        <x:v>0.19607843137254902</x:v>
      </x:c>
      <x:c r="U388" s="15" t="n">
        <x:f>IF(E388=0,"해당 없음",M388/E388)</x:f>
        <x:v>0.08823529411764706</x:v>
      </x:c>
      <x:c r="V388" s="16" t="n">
        <x:f>E388/5</x:f>
        <x:v>20.4</x:v>
      </x:c>
    </x:row>
    <x:row r="389" ht="22" customHeight="1">
      <x:c r="A389" s="2" t="n">
        <x:v>192</x:v>
      </x:c>
      <x:c r="B389" s="2" t="str">
        <x:v>NAVY</x:v>
      </x:c>
      <x:c r="C389" s="2" t="str">
        <x:v>160만</x:v>
      </x:c>
      <x:c r="D389" s="2" t="str">
        <x:v>규칙형</x:v>
      </x:c>
      <x:c r="E389" s="14" t="n">
        <x:f>SUM(F389:M389)</x:f>
        <x:v>103</x:v>
      </x:c>
      <x:c r="F389" s="14" t="n">
        <x:v>2</x:v>
      </x:c>
      <x:c r="G389" s="14" t="n">
        <x:v>18</x:v>
      </x:c>
      <x:c r="H389" s="14" t="n">
        <x:v>5</x:v>
      </x:c>
      <x:c r="I389" s="14" t="n">
        <x:v>4</x:v>
      </x:c>
      <x:c r="J389" s="14" t="n">
        <x:v>2</x:v>
      </x:c>
      <x:c r="K389" s="14" t="n">
        <x:v>7</x:v>
      </x:c>
      <x:c r="L389" s="14" t="n">
        <x:v>39</x:v>
      </x:c>
      <x:c r="M389" s="14" t="n">
        <x:v>26</x:v>
      </x:c>
      <x:c r="N389" s="15" t="n">
        <x:f>IF(E389=0,"해당 없음",F389/E389)</x:f>
        <x:v>0.019417475728155338</x:v>
      </x:c>
      <x:c r="O389" s="15" t="n">
        <x:f>IF(E389=0,"해당 없음",G389/E389)</x:f>
        <x:v>0.17475728155339806</x:v>
      </x:c>
      <x:c r="P389" s="15" t="n">
        <x:f>IF(E389=0,"해당 없음",H389/E389)</x:f>
        <x:v>0.04854368932038835</x:v>
      </x:c>
      <x:c r="Q389" s="15" t="n">
        <x:f>IF(E389=0,"해당 없음",I389/E389)</x:f>
        <x:v>0.038834951456310676</x:v>
      </x:c>
      <x:c r="R389" s="15" t="n">
        <x:f>IF(E389=0,"해당 없음",J389/E389)</x:f>
        <x:v>0.019417475728155338</x:v>
      </x:c>
      <x:c r="S389" s="15" t="n">
        <x:f>IF(E389=0,"해당 없음",K389/E389)</x:f>
        <x:v>0.06796116504854369</x:v>
      </x:c>
      <x:c r="T389" s="15" t="n">
        <x:f>IF(E389=0,"해당 없음",L389/E389)</x:f>
        <x:v>0.3786407766990291</x:v>
      </x:c>
      <x:c r="U389" s="15" t="n">
        <x:f>IF(E389=0,"해당 없음",M389/E389)</x:f>
        <x:v>0.2524271844660194</x:v>
      </x:c>
      <x:c r="V389" s="16" t="n">
        <x:f>E389/5</x:f>
        <x:v>20.6</x:v>
      </x:c>
    </x:row>
    <x:row r="390" ht="22" customHeight="1">
      <x:c r="A390" s="2" t="n">
        <x:v>193</x:v>
      </x:c>
      <x:c r="B390" s="2" t="str">
        <x:v>RED</x:v>
      </x:c>
      <x:c r="C390" s="2" t="str">
        <x:v>160만</x:v>
      </x:c>
      <x:c r="D390" s="2" t="str">
        <x:v>규칙형</x:v>
      </x:c>
      <x:c r="E390" s="14" t="n">
        <x:f>SUM(F390:M390)</x:f>
        <x:v>103</x:v>
      </x:c>
      <x:c r="F390" s="14" t="n">
        <x:v>4</x:v>
      </x:c>
      <x:c r="G390" s="14" t="n">
        <x:v>13</x:v>
      </x:c>
      <x:c r="H390" s="14" t="n">
        <x:v>8</x:v>
      </x:c>
      <x:c r="I390" s="14" t="n">
        <x:v>6</x:v>
      </x:c>
      <x:c r="J390" s="14" t="n">
        <x:v>3</x:v>
      </x:c>
      <x:c r="K390" s="14" t="n">
        <x:v>11</x:v>
      </x:c>
      <x:c r="L390" s="14" t="n">
        <x:v>29</x:v>
      </x:c>
      <x:c r="M390" s="14" t="n">
        <x:v>29</x:v>
      </x:c>
      <x:c r="N390" s="15" t="n">
        <x:f>IF(E390=0,"해당 없음",F390/E390)</x:f>
        <x:v>0.038834951456310676</x:v>
      </x:c>
      <x:c r="O390" s="15" t="n">
        <x:f>IF(E390=0,"해당 없음",G390/E390)</x:f>
        <x:v>0.1262135922330097</x:v>
      </x:c>
      <x:c r="P390" s="15" t="n">
        <x:f>IF(E390=0,"해당 없음",H390/E390)</x:f>
        <x:v>0.07766990291262135</x:v>
      </x:c>
      <x:c r="Q390" s="15" t="n">
        <x:f>IF(E390=0,"해당 없음",I390/E390)</x:f>
        <x:v>0.05825242718446602</x:v>
      </x:c>
      <x:c r="R390" s="15" t="n">
        <x:f>IF(E390=0,"해당 없음",J390/E390)</x:f>
        <x:v>0.02912621359223301</x:v>
      </x:c>
      <x:c r="S390" s="15" t="n">
        <x:f>IF(E390=0,"해당 없음",K390/E390)</x:f>
        <x:v>0.10679611650485436</x:v>
      </x:c>
      <x:c r="T390" s="15" t="n">
        <x:f>IF(E390=0,"해당 없음",L390/E390)</x:f>
        <x:v>0.2815533980582524</x:v>
      </x:c>
      <x:c r="U390" s="15" t="n">
        <x:f>IF(E390=0,"해당 없음",M390/E390)</x:f>
        <x:v>0.2815533980582524</x:v>
      </x:c>
      <x:c r="V390" s="16" t="n">
        <x:f>E390/5</x:f>
        <x:v>20.6</x:v>
      </x:c>
    </x:row>
    <x:row r="391" ht="22" customHeight="1">
      <x:c r="A391" s="2" t="n">
        <x:v>193</x:v>
      </x:c>
      <x:c r="B391" s="2" t="str">
        <x:v>NAVY</x:v>
      </x:c>
      <x:c r="C391" s="2" t="str">
        <x:v>규칙형</x:v>
      </x:c>
      <x:c r="D391" s="2" t="str">
        <x:v>160만</x:v>
      </x:c>
      <x:c r="E391" s="14" t="n">
        <x:f>SUM(F391:M391)</x:f>
        <x:v>105</x:v>
      </x:c>
      <x:c r="F391" s="14" t="n">
        <x:v>42</x:v>
      </x:c>
      <x:c r="G391" s="14" t="n">
        <x:v>3</x:v>
      </x:c>
      <x:c r="H391" s="14" t="n">
        <x:v>3</x:v>
      </x:c>
      <x:c r="I391" s="14" t="n">
        <x:v>14</x:v>
      </x:c>
      <x:c r="J391" s="14" t="n">
        <x:v>4</x:v>
      </x:c>
      <x:c r="K391" s="14" t="n">
        <x:v>7</x:v>
      </x:c>
      <x:c r="L391" s="14" t="n">
        <x:v>23</x:v>
      </x:c>
      <x:c r="M391" s="14" t="n">
        <x:v>9</x:v>
      </x:c>
      <x:c r="N391" s="15" t="n">
        <x:f>IF(E391=0,"해당 없음",F391/E391)</x:f>
        <x:v>0.4</x:v>
      </x:c>
      <x:c r="O391" s="15" t="n">
        <x:f>IF(E391=0,"해당 없음",G391/E391)</x:f>
        <x:v>0.02857142857142857</x:v>
      </x:c>
      <x:c r="P391" s="15" t="n">
        <x:f>IF(E391=0,"해당 없음",H391/E391)</x:f>
        <x:v>0.02857142857142857</x:v>
      </x:c>
      <x:c r="Q391" s="15" t="n">
        <x:f>IF(E391=0,"해당 없음",I391/E391)</x:f>
        <x:v>0.13333333333333333</x:v>
      </x:c>
      <x:c r="R391" s="15" t="n">
        <x:f>IF(E391=0,"해당 없음",J391/E391)</x:f>
        <x:v>0.0380952380952381</x:v>
      </x:c>
      <x:c r="S391" s="15" t="n">
        <x:f>IF(E391=0,"해당 없음",K391/E391)</x:f>
        <x:v>0.06666666666666667</x:v>
      </x:c>
      <x:c r="T391" s="15" t="n">
        <x:f>IF(E391=0,"해당 없음",L391/E391)</x:f>
        <x:v>0.21904761904761905</x:v>
      </x:c>
      <x:c r="U391" s="15" t="n">
        <x:f>IF(E391=0,"해당 없음",M391/E391)</x:f>
        <x:v>0.08571428571428572</x:v>
      </x:c>
      <x:c r="V391" s="16" t="n">
        <x:f>E391/5</x:f>
        <x:v>21</x:v>
      </x:c>
    </x:row>
    <x:row r="392" ht="22" customHeight="1">
      <x:c r="A392" s="2" t="n">
        <x:v>194</x:v>
      </x:c>
      <x:c r="B392" s="2" t="str">
        <x:v>RED</x:v>
      </x:c>
      <x:c r="C392" s="2" t="str">
        <x:v>규칙형</x:v>
      </x:c>
      <x:c r="D392" s="2" t="str">
        <x:v>160만</x:v>
      </x:c>
      <x:c r="E392" s="14" t="n">
        <x:f>SUM(F392:M392)</x:f>
        <x:v>103</x:v>
      </x:c>
      <x:c r="F392" s="14" t="n">
        <x:v>35</x:v>
      </x:c>
      <x:c r="G392" s="14" t="n">
        <x:v>6</x:v>
      </x:c>
      <x:c r="H392" s="14" t="n">
        <x:v>12</x:v>
      </x:c>
      <x:c r="I392" s="14" t="n">
        <x:v>19</x:v>
      </x:c>
      <x:c r="J392" s="14" t="n">
        <x:v>5</x:v>
      </x:c>
      <x:c r="K392" s="14" t="n">
        <x:v>4</x:v>
      </x:c>
      <x:c r="L392" s="14" t="n">
        <x:v>17</x:v>
      </x:c>
      <x:c r="M392" s="14" t="n">
        <x:v>5</x:v>
      </x:c>
      <x:c r="N392" s="15" t="n">
        <x:f>IF(E392=0,"해당 없음",F392/E392)</x:f>
        <x:v>0.33980582524271846</x:v>
      </x:c>
      <x:c r="O392" s="15" t="n">
        <x:f>IF(E392=0,"해당 없음",G392/E392)</x:f>
        <x:v>0.05825242718446602</x:v>
      </x:c>
      <x:c r="P392" s="15" t="n">
        <x:f>IF(E392=0,"해당 없음",H392/E392)</x:f>
        <x:v>0.11650485436893204</x:v>
      </x:c>
      <x:c r="Q392" s="15" t="n">
        <x:f>IF(E392=0,"해당 없음",I392/E392)</x:f>
        <x:v>0.18446601941747573</x:v>
      </x:c>
      <x:c r="R392" s="15" t="n">
        <x:f>IF(E392=0,"해당 없음",J392/E392)</x:f>
        <x:v>0.04854368932038835</x:v>
      </x:c>
      <x:c r="S392" s="15" t="n">
        <x:f>IF(E392=0,"해당 없음",K392/E392)</x:f>
        <x:v>0.038834951456310676</x:v>
      </x:c>
      <x:c r="T392" s="15" t="n">
        <x:f>IF(E392=0,"해당 없음",L392/E392)</x:f>
        <x:v>0.1650485436893204</x:v>
      </x:c>
      <x:c r="U392" s="15" t="n">
        <x:f>IF(E392=0,"해당 없음",M392/E392)</x:f>
        <x:v>0.04854368932038835</x:v>
      </x:c>
      <x:c r="V392" s="16" t="n">
        <x:f>E392/5</x:f>
        <x:v>20.6</x:v>
      </x:c>
    </x:row>
    <x:row r="393" ht="22" customHeight="1">
      <x:c r="A393" s="2" t="n">
        <x:v>194</x:v>
      </x:c>
      <x:c r="B393" s="2" t="str">
        <x:v>NAVY</x:v>
      </x:c>
      <x:c r="C393" s="2" t="str">
        <x:v>160만</x:v>
      </x:c>
      <x:c r="D393" s="2" t="str">
        <x:v>규칙형</x:v>
      </x:c>
      <x:c r="E393" s="14" t="n">
        <x:f>SUM(F393:M393)</x:f>
        <x:v>102</x:v>
      </x:c>
      <x:c r="F393" s="14" t="n">
        <x:v>6</x:v>
      </x:c>
      <x:c r="G393" s="14" t="n">
        <x:v>24</x:v>
      </x:c>
      <x:c r="H393" s="14" t="n">
        <x:v>4</x:v>
      </x:c>
      <x:c r="I393" s="14" t="n">
        <x:v>3</x:v>
      </x:c>
      <x:c r="J393" s="14" t="n">
        <x:v>3</x:v>
      </x:c>
      <x:c r="K393" s="14" t="n">
        <x:v>2</x:v>
      </x:c>
      <x:c r="L393" s="14" t="n">
        <x:v>29</x:v>
      </x:c>
      <x:c r="M393" s="14" t="n">
        <x:v>31</x:v>
      </x:c>
      <x:c r="N393" s="15" t="n">
        <x:f>IF(E393=0,"해당 없음",F393/E393)</x:f>
        <x:v>0.058823529411764705</x:v>
      </x:c>
      <x:c r="O393" s="15" t="n">
        <x:f>IF(E393=0,"해당 없음",G393/E393)</x:f>
        <x:v>0.23529411764705882</x:v>
      </x:c>
      <x:c r="P393" s="15" t="n">
        <x:f>IF(E393=0,"해당 없음",H393/E393)</x:f>
        <x:v>0.0392156862745098</x:v>
      </x:c>
      <x:c r="Q393" s="15" t="n">
        <x:f>IF(E393=0,"해당 없음",I393/E393)</x:f>
        <x:v>0.029411764705882353</x:v>
      </x:c>
      <x:c r="R393" s="15" t="n">
        <x:f>IF(E393=0,"해당 없음",J393/E393)</x:f>
        <x:v>0.029411764705882353</x:v>
      </x:c>
      <x:c r="S393" s="15" t="n">
        <x:f>IF(E393=0,"해당 없음",K393/E393)</x:f>
        <x:v>0.0196078431372549</x:v>
      </x:c>
      <x:c r="T393" s="15" t="n">
        <x:f>IF(E393=0,"해당 없음",L393/E393)</x:f>
        <x:v>0.28431372549019607</x:v>
      </x:c>
      <x:c r="U393" s="15" t="n">
        <x:f>IF(E393=0,"해당 없음",M393/E393)</x:f>
        <x:v>0.30392156862745096</x:v>
      </x:c>
      <x:c r="V393" s="16" t="n">
        <x:f>E393/5</x:f>
        <x:v>20.4</x:v>
      </x:c>
    </x:row>
    <x:row r="394" ht="22" customHeight="1">
      <x:c r="A394" s="2" t="n">
        <x:v>195</x:v>
      </x:c>
      <x:c r="B394" s="2" t="str">
        <x:v>RED</x:v>
      </x:c>
      <x:c r="C394" s="2" t="str">
        <x:v>160만</x:v>
      </x:c>
      <x:c r="D394" s="2" t="str">
        <x:v>규칙형</x:v>
      </x:c>
      <x:c r="E394" s="14" t="n">
        <x:f>SUM(F394:M394)</x:f>
        <x:v>102</x:v>
      </x:c>
      <x:c r="F394" s="14" t="n">
        <x:v>3</x:v>
      </x:c>
      <x:c r="G394" s="14" t="n">
        <x:v>25</x:v>
      </x:c>
      <x:c r="H394" s="14" t="n">
        <x:v>7</x:v>
      </x:c>
      <x:c r="I394" s="14" t="n">
        <x:v>4</x:v>
      </x:c>
      <x:c r="J394" s="14" t="n">
        <x:v>2</x:v>
      </x:c>
      <x:c r="K394" s="14" t="n">
        <x:v>5</x:v>
      </x:c>
      <x:c r="L394" s="14" t="n">
        <x:v>24</x:v>
      </x:c>
      <x:c r="M394" s="14" t="n">
        <x:v>32</x:v>
      </x:c>
      <x:c r="N394" s="15" t="n">
        <x:f>IF(E394=0,"해당 없음",F394/E394)</x:f>
        <x:v>0.029411764705882353</x:v>
      </x:c>
      <x:c r="O394" s="15" t="n">
        <x:f>IF(E394=0,"해당 없음",G394/E394)</x:f>
        <x:v>0.24509803921568626</x:v>
      </x:c>
      <x:c r="P394" s="15" t="n">
        <x:f>IF(E394=0,"해당 없음",H394/E394)</x:f>
        <x:v>0.06862745098039216</x:v>
      </x:c>
      <x:c r="Q394" s="15" t="n">
        <x:f>IF(E394=0,"해당 없음",I394/E394)</x:f>
        <x:v>0.0392156862745098</x:v>
      </x:c>
      <x:c r="R394" s="15" t="n">
        <x:f>IF(E394=0,"해당 없음",J394/E394)</x:f>
        <x:v>0.0196078431372549</x:v>
      </x:c>
      <x:c r="S394" s="15" t="n">
        <x:f>IF(E394=0,"해당 없음",K394/E394)</x:f>
        <x:v>0.049019607843137254</x:v>
      </x:c>
      <x:c r="T394" s="15" t="n">
        <x:f>IF(E394=0,"해당 없음",L394/E394)</x:f>
        <x:v>0.23529411764705882</x:v>
      </x:c>
      <x:c r="U394" s="15" t="n">
        <x:f>IF(E394=0,"해당 없음",M394/E394)</x:f>
        <x:v>0.3137254901960784</x:v>
      </x:c>
      <x:c r="V394" s="16" t="n">
        <x:f>E394/5</x:f>
        <x:v>20.4</x:v>
      </x:c>
    </x:row>
    <x:row r="395" ht="22" customHeight="1">
      <x:c r="A395" s="2" t="n">
        <x:v>195</x:v>
      </x:c>
      <x:c r="B395" s="2" t="str">
        <x:v>NAVY</x:v>
      </x:c>
      <x:c r="C395" s="2" t="str">
        <x:v>규칙형</x:v>
      </x:c>
      <x:c r="D395" s="2" t="str">
        <x:v>160만</x:v>
      </x:c>
      <x:c r="E395" s="14" t="n">
        <x:f>SUM(F395:M395)</x:f>
        <x:v>103</x:v>
      </x:c>
      <x:c r="F395" s="14" t="n">
        <x:v>35</x:v>
      </x:c>
      <x:c r="G395" s="14" t="n">
        <x:v>5</x:v>
      </x:c>
      <x:c r="H395" s="14" t="n">
        <x:v>3</x:v>
      </x:c>
      <x:c r="I395" s="14" t="n">
        <x:v>16</x:v>
      </x:c>
      <x:c r="J395" s="14" t="n">
        <x:v>4</x:v>
      </x:c>
      <x:c r="K395" s="14" t="n">
        <x:v>3</x:v>
      </x:c>
      <x:c r="L395" s="14" t="n">
        <x:v>26</x:v>
      </x:c>
      <x:c r="M395" s="14" t="n">
        <x:v>11</x:v>
      </x:c>
      <x:c r="N395" s="15" t="n">
        <x:f>IF(E395=0,"해당 없음",F395/E395)</x:f>
        <x:v>0.33980582524271846</x:v>
      </x:c>
      <x:c r="O395" s="15" t="n">
        <x:f>IF(E395=0,"해당 없음",G395/E395)</x:f>
        <x:v>0.04854368932038835</x:v>
      </x:c>
      <x:c r="P395" s="15" t="n">
        <x:f>IF(E395=0,"해당 없음",H395/E395)</x:f>
        <x:v>0.02912621359223301</x:v>
      </x:c>
      <x:c r="Q395" s="15" t="n">
        <x:f>IF(E395=0,"해당 없음",I395/E395)</x:f>
        <x:v>0.1553398058252427</x:v>
      </x:c>
      <x:c r="R395" s="15" t="n">
        <x:f>IF(E395=0,"해당 없음",J395/E395)</x:f>
        <x:v>0.038834951456310676</x:v>
      </x:c>
      <x:c r="S395" s="15" t="n">
        <x:f>IF(E395=0,"해당 없음",K395/E395)</x:f>
        <x:v>0.02912621359223301</x:v>
      </x:c>
      <x:c r="T395" s="15" t="n">
        <x:f>IF(E395=0,"해당 없음",L395/E395)</x:f>
        <x:v>0.2524271844660194</x:v>
      </x:c>
      <x:c r="U395" s="15" t="n">
        <x:f>IF(E395=0,"해당 없음",M395/E395)</x:f>
        <x:v>0.10679611650485436</x:v>
      </x:c>
      <x:c r="V395" s="16" t="n">
        <x:f>E395/5</x:f>
        <x:v>20.6</x:v>
      </x:c>
    </x:row>
    <x:row r="396" ht="22" customHeight="1">
      <x:c r="A396" s="2" t="n">
        <x:v>196</x:v>
      </x:c>
      <x:c r="B396" s="2" t="str">
        <x:v>RED</x:v>
      </x:c>
      <x:c r="C396" s="2" t="str">
        <x:v>규칙형</x:v>
      </x:c>
      <x:c r="D396" s="2" t="str">
        <x:v>160만</x:v>
      </x:c>
      <x:c r="E396" s="14" t="n">
        <x:f>SUM(F396:M396)</x:f>
        <x:v>103</x:v>
      </x:c>
      <x:c r="F396" s="14" t="n">
        <x:v>41</x:v>
      </x:c>
      <x:c r="G396" s="14" t="n">
        <x:v>7</x:v>
      </x:c>
      <x:c r="H396" s="14" t="n">
        <x:v>4</x:v>
      </x:c>
      <x:c r="I396" s="14" t="n">
        <x:v>16</x:v>
      </x:c>
      <x:c r="J396" s="14" t="n">
        <x:v>4</x:v>
      </x:c>
      <x:c r="K396" s="14" t="n">
        <x:v>3</x:v>
      </x:c>
      <x:c r="L396" s="14" t="n">
        <x:v>19</x:v>
      </x:c>
      <x:c r="M396" s="14" t="n">
        <x:v>9</x:v>
      </x:c>
      <x:c r="N396" s="15" t="n">
        <x:f>IF(E396=0,"해당 없음",F396/E396)</x:f>
        <x:v>0.39805825242718446</x:v>
      </x:c>
      <x:c r="O396" s="15" t="n">
        <x:f>IF(E396=0,"해당 없음",G396/E396)</x:f>
        <x:v>0.06796116504854369</x:v>
      </x:c>
      <x:c r="P396" s="15" t="n">
        <x:f>IF(E396=0,"해당 없음",H396/E396)</x:f>
        <x:v>0.038834951456310676</x:v>
      </x:c>
      <x:c r="Q396" s="15" t="n">
        <x:f>IF(E396=0,"해당 없음",I396/E396)</x:f>
        <x:v>0.1553398058252427</x:v>
      </x:c>
      <x:c r="R396" s="15" t="n">
        <x:f>IF(E396=0,"해당 없음",J396/E396)</x:f>
        <x:v>0.038834951456310676</x:v>
      </x:c>
      <x:c r="S396" s="15" t="n">
        <x:f>IF(E396=0,"해당 없음",K396/E396)</x:f>
        <x:v>0.02912621359223301</x:v>
      </x:c>
      <x:c r="T396" s="15" t="n">
        <x:f>IF(E396=0,"해당 없음",L396/E396)</x:f>
        <x:v>0.18446601941747573</x:v>
      </x:c>
      <x:c r="U396" s="15" t="n">
        <x:f>IF(E396=0,"해당 없음",M396/E396)</x:f>
        <x:v>0.08737864077669903</x:v>
      </x:c>
      <x:c r="V396" s="16" t="n">
        <x:f>E396/5</x:f>
        <x:v>20.6</x:v>
      </x:c>
    </x:row>
    <x:row r="397" ht="22" customHeight="1">
      <x:c r="A397" s="2" t="n">
        <x:v>196</x:v>
      </x:c>
      <x:c r="B397" s="2" t="str">
        <x:v>NAVY</x:v>
      </x:c>
      <x:c r="C397" s="2" t="str">
        <x:v>160만</x:v>
      </x:c>
      <x:c r="D397" s="2" t="str">
        <x:v>규칙형</x:v>
      </x:c>
      <x:c r="E397" s="14" t="n">
        <x:f>SUM(F397:M397)</x:f>
        <x:v>105</x:v>
      </x:c>
      <x:c r="F397" s="14" t="n">
        <x:v>2</x:v>
      </x:c>
      <x:c r="G397" s="14" t="n">
        <x:v>22</x:v>
      </x:c>
      <x:c r="H397" s="14" t="n">
        <x:v>11</x:v>
      </x:c>
      <x:c r="I397" s="14" t="n">
        <x:v>4</x:v>
      </x:c>
      <x:c r="J397" s="14" t="n">
        <x:v>0</x:v>
      </x:c>
      <x:c r="K397" s="14" t="n">
        <x:v>10</x:v>
      </x:c>
      <x:c r="L397" s="14" t="n">
        <x:v>40</x:v>
      </x:c>
      <x:c r="M397" s="14" t="n">
        <x:v>16</x:v>
      </x:c>
      <x:c r="N397" s="15" t="n">
        <x:f>IF(E397=0,"해당 없음",F397/E397)</x:f>
        <x:v>0.01904761904761905</x:v>
      </x:c>
      <x:c r="O397" s="15" t="n">
        <x:f>IF(E397=0,"해당 없음",G397/E397)</x:f>
        <x:v>0.20952380952380953</x:v>
      </x:c>
      <x:c r="P397" s="15" t="n">
        <x:f>IF(E397=0,"해당 없음",H397/E397)</x:f>
        <x:v>0.10476190476190476</x:v>
      </x:c>
      <x:c r="Q397" s="15" t="n">
        <x:f>IF(E397=0,"해당 없음",I397/E397)</x:f>
        <x:v>0.0380952380952381</x:v>
      </x:c>
      <x:c r="R397" s="15" t="n">
        <x:f>IF(E397=0,"해당 없음",J397/E397)</x:f>
        <x:v>0</x:v>
      </x:c>
      <x:c r="S397" s="15" t="n">
        <x:f>IF(E397=0,"해당 없음",K397/E397)</x:f>
        <x:v>0.09523809523809523</x:v>
      </x:c>
      <x:c r="T397" s="15" t="n">
        <x:f>IF(E397=0,"해당 없음",L397/E397)</x:f>
        <x:v>0.38095238095238093</x:v>
      </x:c>
      <x:c r="U397" s="15" t="n">
        <x:f>IF(E397=0,"해당 없음",M397/E397)</x:f>
        <x:v>0.1523809523809524</x:v>
      </x:c>
      <x:c r="V397" s="16" t="n">
        <x:f>E397/5</x:f>
        <x:v>21</x:v>
      </x:c>
    </x:row>
    <x:row r="398" ht="22" customHeight="1">
      <x:c r="A398" s="2" t="n">
        <x:v>197</x:v>
      </x:c>
      <x:c r="B398" s="2" t="str">
        <x:v>RED</x:v>
      </x:c>
      <x:c r="C398" s="2" t="str">
        <x:v>160만</x:v>
      </x:c>
      <x:c r="D398" s="2" t="str">
        <x:v>규칙형</x:v>
      </x:c>
      <x:c r="E398" s="14" t="n">
        <x:f>SUM(F398:M398)</x:f>
        <x:v>104</x:v>
      </x:c>
      <x:c r="F398" s="14" t="n">
        <x:v>2</x:v>
      </x:c>
      <x:c r="G398" s="14" t="n">
        <x:v>14</x:v>
      </x:c>
      <x:c r="H398" s="14" t="n">
        <x:v>12</x:v>
      </x:c>
      <x:c r="I398" s="14" t="n">
        <x:v>5</x:v>
      </x:c>
      <x:c r="J398" s="14" t="n">
        <x:v>0</x:v>
      </x:c>
      <x:c r="K398" s="14" t="n">
        <x:v>4</x:v>
      </x:c>
      <x:c r="L398" s="14" t="n">
        <x:v>34</x:v>
      </x:c>
      <x:c r="M398" s="14" t="n">
        <x:v>33</x:v>
      </x:c>
      <x:c r="N398" s="15" t="n">
        <x:f>IF(E398=0,"해당 없음",F398/E398)</x:f>
        <x:v>0.019230769230769232</x:v>
      </x:c>
      <x:c r="O398" s="15" t="n">
        <x:f>IF(E398=0,"해당 없음",G398/E398)</x:f>
        <x:v>0.1346153846153846</x:v>
      </x:c>
      <x:c r="P398" s="15" t="n">
        <x:f>IF(E398=0,"해당 없음",H398/E398)</x:f>
        <x:v>0.11538461538461539</x:v>
      </x:c>
      <x:c r="Q398" s="15" t="n">
        <x:f>IF(E398=0,"해당 없음",I398/E398)</x:f>
        <x:v>0.04807692307692308</x:v>
      </x:c>
      <x:c r="R398" s="15" t="n">
        <x:f>IF(E398=0,"해당 없음",J398/E398)</x:f>
        <x:v>0</x:v>
      </x:c>
      <x:c r="S398" s="15" t="n">
        <x:f>IF(E398=0,"해당 없음",K398/E398)</x:f>
        <x:v>0.038461538461538464</x:v>
      </x:c>
      <x:c r="T398" s="15" t="n">
        <x:f>IF(E398=0,"해당 없음",L398/E398)</x:f>
        <x:v>0.3269230769230769</x:v>
      </x:c>
      <x:c r="U398" s="15" t="n">
        <x:f>IF(E398=0,"해당 없음",M398/E398)</x:f>
        <x:v>0.3173076923076923</x:v>
      </x:c>
      <x:c r="V398" s="16" t="n">
        <x:f>E398/5</x:f>
        <x:v>20.8</x:v>
      </x:c>
    </x:row>
    <x:row r="399" ht="22" customHeight="1">
      <x:c r="A399" s="2" t="n">
        <x:v>197</x:v>
      </x:c>
      <x:c r="B399" s="2" t="str">
        <x:v>NAVY</x:v>
      </x:c>
      <x:c r="C399" s="2" t="str">
        <x:v>규칙형</x:v>
      </x:c>
      <x:c r="D399" s="2" t="str">
        <x:v>160만</x:v>
      </x:c>
      <x:c r="E399" s="14" t="n">
        <x:f>SUM(F399:M399)</x:f>
        <x:v>107</x:v>
      </x:c>
      <x:c r="F399" s="14" t="n">
        <x:v>35</x:v>
      </x:c>
      <x:c r="G399" s="14" t="n">
        <x:v>3</x:v>
      </x:c>
      <x:c r="H399" s="14" t="n">
        <x:v>8</x:v>
      </x:c>
      <x:c r="I399" s="14" t="n">
        <x:v>13</x:v>
      </x:c>
      <x:c r="J399" s="14" t="n">
        <x:v>9</x:v>
      </x:c>
      <x:c r="K399" s="14" t="n">
        <x:v>9</x:v>
      </x:c>
      <x:c r="L399" s="14" t="n">
        <x:v>20</x:v>
      </x:c>
      <x:c r="M399" s="14" t="n">
        <x:v>10</x:v>
      </x:c>
      <x:c r="N399" s="15" t="n">
        <x:f>IF(E399=0,"해당 없음",F399/E399)</x:f>
        <x:v>0.32710280373831774</x:v>
      </x:c>
      <x:c r="O399" s="15" t="n">
        <x:f>IF(E399=0,"해당 없음",G399/E399)</x:f>
        <x:v>0.028037383177570093</x:v>
      </x:c>
      <x:c r="P399" s="15" t="n">
        <x:f>IF(E399=0,"해당 없음",H399/E399)</x:f>
        <x:v>0.07476635514018691</x:v>
      </x:c>
      <x:c r="Q399" s="15" t="n">
        <x:f>IF(E399=0,"해당 없음",I399/E399)</x:f>
        <x:v>0.12149532710280374</x:v>
      </x:c>
      <x:c r="R399" s="15" t="n">
        <x:f>IF(E399=0,"해당 없음",J399/E399)</x:f>
        <x:v>0.08411214953271028</x:v>
      </x:c>
      <x:c r="S399" s="15" t="n">
        <x:f>IF(E399=0,"해당 없음",K399/E399)</x:f>
        <x:v>0.08411214953271028</x:v>
      </x:c>
      <x:c r="T399" s="15" t="n">
        <x:f>IF(E399=0,"해당 없음",L399/E399)</x:f>
        <x:v>0.18691588785046728</x:v>
      </x:c>
      <x:c r="U399" s="15" t="n">
        <x:f>IF(E399=0,"해당 없음",M399/E399)</x:f>
        <x:v>0.09345794392523364</x:v>
      </x:c>
      <x:c r="V399" s="16" t="n">
        <x:f>E399/5</x:f>
        <x:v>21.4</x:v>
      </x:c>
    </x:row>
    <x:row r="400" ht="22" customHeight="1">
      <x:c r="A400" s="2" t="n">
        <x:v>198</x:v>
      </x:c>
      <x:c r="B400" s="2" t="str">
        <x:v>RED</x:v>
      </x:c>
      <x:c r="C400" s="2" t="str">
        <x:v>규칙형</x:v>
      </x:c>
      <x:c r="D400" s="2" t="str">
        <x:v>160만</x:v>
      </x:c>
      <x:c r="E400" s="14" t="n">
        <x:f>SUM(F400:M400)</x:f>
        <x:v>103</x:v>
      </x:c>
      <x:c r="F400" s="14" t="n">
        <x:v>45</x:v>
      </x:c>
      <x:c r="G400" s="14" t="n">
        <x:v>3</x:v>
      </x:c>
      <x:c r="H400" s="14" t="n">
        <x:v>4</x:v>
      </x:c>
      <x:c r="I400" s="14" t="n">
        <x:v>14</x:v>
      </x:c>
      <x:c r="J400" s="14" t="n">
        <x:v>6</x:v>
      </x:c>
      <x:c r="K400" s="14" t="n">
        <x:v>10</x:v>
      </x:c>
      <x:c r="L400" s="14" t="n">
        <x:v>15</x:v>
      </x:c>
      <x:c r="M400" s="14" t="n">
        <x:v>6</x:v>
      </x:c>
      <x:c r="N400" s="15" t="n">
        <x:f>IF(E400=0,"해당 없음",F400/E400)</x:f>
        <x:v>0.4368932038834951</x:v>
      </x:c>
      <x:c r="O400" s="15" t="n">
        <x:f>IF(E400=0,"해당 없음",G400/E400)</x:f>
        <x:v>0.02912621359223301</x:v>
      </x:c>
      <x:c r="P400" s="15" t="n">
        <x:f>IF(E400=0,"해당 없음",H400/E400)</x:f>
        <x:v>0.038834951456310676</x:v>
      </x:c>
      <x:c r="Q400" s="15" t="n">
        <x:f>IF(E400=0,"해당 없음",I400/E400)</x:f>
        <x:v>0.13592233009708737</x:v>
      </x:c>
      <x:c r="R400" s="15" t="n">
        <x:f>IF(E400=0,"해당 없음",J400/E400)</x:f>
        <x:v>0.05825242718446602</x:v>
      </x:c>
      <x:c r="S400" s="15" t="n">
        <x:f>IF(E400=0,"해당 없음",K400/E400)</x:f>
        <x:v>0.0970873786407767</x:v>
      </x:c>
      <x:c r="T400" s="15" t="n">
        <x:f>IF(E400=0,"해당 없음",L400/E400)</x:f>
        <x:v>0.14563106796116504</x:v>
      </x:c>
      <x:c r="U400" s="15" t="n">
        <x:f>IF(E400=0,"해당 없음",M400/E400)</x:f>
        <x:v>0.05825242718446602</x:v>
      </x:c>
      <x:c r="V400" s="16" t="n">
        <x:f>E400/5</x:f>
        <x:v>20.6</x:v>
      </x:c>
    </x:row>
    <x:row r="401" ht="22" customHeight="1">
      <x:c r="A401" s="2" t="n">
        <x:v>198</x:v>
      </x:c>
      <x:c r="B401" s="2" t="str">
        <x:v>NAVY</x:v>
      </x:c>
      <x:c r="C401" s="2" t="str">
        <x:v>160만</x:v>
      </x:c>
      <x:c r="D401" s="2" t="str">
        <x:v>규칙형</x:v>
      </x:c>
      <x:c r="E401" s="14" t="n">
        <x:f>SUM(F401:M401)</x:f>
        <x:v>103</x:v>
      </x:c>
      <x:c r="F401" s="14" t="n">
        <x:v>4</x:v>
      </x:c>
      <x:c r="G401" s="14" t="n">
        <x:v>22</x:v>
      </x:c>
      <x:c r="H401" s="14" t="n">
        <x:v>6</x:v>
      </x:c>
      <x:c r="I401" s="14" t="n">
        <x:v>5</x:v>
      </x:c>
      <x:c r="J401" s="14" t="n">
        <x:v>2</x:v>
      </x:c>
      <x:c r="K401" s="14" t="n">
        <x:v>4</x:v>
      </x:c>
      <x:c r="L401" s="14" t="n">
        <x:v>34</x:v>
      </x:c>
      <x:c r="M401" s="14" t="n">
        <x:v>26</x:v>
      </x:c>
      <x:c r="N401" s="15" t="n">
        <x:f>IF(E401=0,"해당 없음",F401/E401)</x:f>
        <x:v>0.038834951456310676</x:v>
      </x:c>
      <x:c r="O401" s="15" t="n">
        <x:f>IF(E401=0,"해당 없음",G401/E401)</x:f>
        <x:v>0.21359223300970873</x:v>
      </x:c>
      <x:c r="P401" s="15" t="n">
        <x:f>IF(E401=0,"해당 없음",H401/E401)</x:f>
        <x:v>0.05825242718446602</x:v>
      </x:c>
      <x:c r="Q401" s="15" t="n">
        <x:f>IF(E401=0,"해당 없음",I401/E401)</x:f>
        <x:v>0.04854368932038835</x:v>
      </x:c>
      <x:c r="R401" s="15" t="n">
        <x:f>IF(E401=0,"해당 없음",J401/E401)</x:f>
        <x:v>0.019417475728155338</x:v>
      </x:c>
      <x:c r="S401" s="15" t="n">
        <x:f>IF(E401=0,"해당 없음",K401/E401)</x:f>
        <x:v>0.038834951456310676</x:v>
      </x:c>
      <x:c r="T401" s="15" t="n">
        <x:f>IF(E401=0,"해당 없음",L401/E401)</x:f>
        <x:v>0.3300970873786408</x:v>
      </x:c>
      <x:c r="U401" s="15" t="n">
        <x:f>IF(E401=0,"해당 없음",M401/E401)</x:f>
        <x:v>0.2524271844660194</x:v>
      </x:c>
      <x:c r="V401" s="16" t="n">
        <x:f>E401/5</x:f>
        <x:v>20.6</x:v>
      </x:c>
    </x:row>
    <x:row r="402" ht="22" customHeight="1">
      <x:c r="A402" s="2" t="n">
        <x:v>199</x:v>
      </x:c>
      <x:c r="B402" s="2" t="str">
        <x:v>RED</x:v>
      </x:c>
      <x:c r="C402" s="2" t="str">
        <x:v>160만</x:v>
      </x:c>
      <x:c r="D402" s="2" t="str">
        <x:v>규칙형</x:v>
      </x:c>
      <x:c r="E402" s="14" t="n">
        <x:f>SUM(F402:M402)</x:f>
        <x:v>104</x:v>
      </x:c>
      <x:c r="F402" s="14" t="n">
        <x:v>1</x:v>
      </x:c>
      <x:c r="G402" s="14" t="n">
        <x:v>16</x:v>
      </x:c>
      <x:c r="H402" s="14" t="n">
        <x:v>7</x:v>
      </x:c>
      <x:c r="I402" s="14" t="n">
        <x:v>12</x:v>
      </x:c>
      <x:c r="J402" s="14" t="n">
        <x:v>1</x:v>
      </x:c>
      <x:c r="K402" s="14" t="n">
        <x:v>11</x:v>
      </x:c>
      <x:c r="L402" s="14" t="n">
        <x:v>39</x:v>
      </x:c>
      <x:c r="M402" s="14" t="n">
        <x:v>17</x:v>
      </x:c>
      <x:c r="N402" s="15" t="n">
        <x:f>IF(E402=0,"해당 없음",F402/E402)</x:f>
        <x:v>0.009615384615384616</x:v>
      </x:c>
      <x:c r="O402" s="15" t="n">
        <x:f>IF(E402=0,"해당 없음",G402/E402)</x:f>
        <x:v>0.15384615384615385</x:v>
      </x:c>
      <x:c r="P402" s="15" t="n">
        <x:f>IF(E402=0,"해당 없음",H402/E402)</x:f>
        <x:v>0.0673076923076923</x:v>
      </x:c>
      <x:c r="Q402" s="15" t="n">
        <x:f>IF(E402=0,"해당 없음",I402/E402)</x:f>
        <x:v>0.11538461538461539</x:v>
      </x:c>
      <x:c r="R402" s="15" t="n">
        <x:f>IF(E402=0,"해당 없음",J402/E402)</x:f>
        <x:v>0.009615384615384616</x:v>
      </x:c>
      <x:c r="S402" s="15" t="n">
        <x:f>IF(E402=0,"해당 없음",K402/E402)</x:f>
        <x:v>0.10576923076923077</x:v>
      </x:c>
      <x:c r="T402" s="15" t="n">
        <x:f>IF(E402=0,"해당 없음",L402/E402)</x:f>
        <x:v>0.375</x:v>
      </x:c>
      <x:c r="U402" s="15" t="n">
        <x:f>IF(E402=0,"해당 없음",M402/E402)</x:f>
        <x:v>0.16346153846153846</x:v>
      </x:c>
      <x:c r="V402" s="16" t="n">
        <x:f>E402/5</x:f>
        <x:v>20.8</x:v>
      </x:c>
    </x:row>
    <x:row r="403" ht="22" customHeight="1">
      <x:c r="A403" s="2" t="n">
        <x:v>199</x:v>
      </x:c>
      <x:c r="B403" s="2" t="str">
        <x:v>NAVY</x:v>
      </x:c>
      <x:c r="C403" s="2" t="str">
        <x:v>규칙형</x:v>
      </x:c>
      <x:c r="D403" s="2" t="str">
        <x:v>160만</x:v>
      </x:c>
      <x:c r="E403" s="14" t="n">
        <x:f>SUM(F403:M403)</x:f>
        <x:v>104</x:v>
      </x:c>
      <x:c r="F403" s="14" t="n">
        <x:v>33</x:v>
      </x:c>
      <x:c r="G403" s="14" t="n">
        <x:v>1</x:v>
      </x:c>
      <x:c r="H403" s="14" t="n">
        <x:v>8</x:v>
      </x:c>
      <x:c r="I403" s="14" t="n">
        <x:v>6</x:v>
      </x:c>
      <x:c r="J403" s="14" t="n">
        <x:v>16</x:v>
      </x:c>
      <x:c r="K403" s="14" t="n">
        <x:v>5</x:v>
      </x:c>
      <x:c r="L403" s="14" t="n">
        <x:v>27</x:v>
      </x:c>
      <x:c r="M403" s="14" t="n">
        <x:v>8</x:v>
      </x:c>
      <x:c r="N403" s="15" t="n">
        <x:f>IF(E403=0,"해당 없음",F403/E403)</x:f>
        <x:v>0.3173076923076923</x:v>
      </x:c>
      <x:c r="O403" s="15" t="n">
        <x:f>IF(E403=0,"해당 없음",G403/E403)</x:f>
        <x:v>0.009615384615384616</x:v>
      </x:c>
      <x:c r="P403" s="15" t="n">
        <x:f>IF(E403=0,"해당 없음",H403/E403)</x:f>
        <x:v>0.07692307692307693</x:v>
      </x:c>
      <x:c r="Q403" s="15" t="n">
        <x:f>IF(E403=0,"해당 없음",I403/E403)</x:f>
        <x:v>0.057692307692307696</x:v>
      </x:c>
      <x:c r="R403" s="15" t="n">
        <x:f>IF(E403=0,"해당 없음",J403/E403)</x:f>
        <x:v>0.15384615384615385</x:v>
      </x:c>
      <x:c r="S403" s="15" t="n">
        <x:f>IF(E403=0,"해당 없음",K403/E403)</x:f>
        <x:v>0.04807692307692308</x:v>
      </x:c>
      <x:c r="T403" s="15" t="n">
        <x:f>IF(E403=0,"해당 없음",L403/E403)</x:f>
        <x:v>0.25961538461538464</x:v>
      </x:c>
      <x:c r="U403" s="15" t="n">
        <x:f>IF(E403=0,"해당 없음",M403/E403)</x:f>
        <x:v>0.07692307692307693</x:v>
      </x:c>
      <x:c r="V403" s="16" t="n">
        <x:f>E403/5</x:f>
        <x:v>20.8</x:v>
      </x:c>
    </x:row>
    <x:row r="404" ht="22" customHeight="1">
      <x:c r="A404" s="2" t="n">
        <x:v>200</x:v>
      </x:c>
      <x:c r="B404" s="2" t="str">
        <x:v>RED</x:v>
      </x:c>
      <x:c r="C404" s="2" t="str">
        <x:v>규칙형</x:v>
      </x:c>
      <x:c r="D404" s="2" t="str">
        <x:v>160만</x:v>
      </x:c>
      <x:c r="E404" s="14" t="n">
        <x:f>SUM(F404:M404)</x:f>
        <x:v>101</x:v>
      </x:c>
      <x:c r="F404" s="14" t="n">
        <x:v>39</x:v>
      </x:c>
      <x:c r="G404" s="14" t="n">
        <x:v>2</x:v>
      </x:c>
      <x:c r="H404" s="14" t="n">
        <x:v>3</x:v>
      </x:c>
      <x:c r="I404" s="14" t="n">
        <x:v>13</x:v>
      </x:c>
      <x:c r="J404" s="14" t="n">
        <x:v>12</x:v>
      </x:c>
      <x:c r="K404" s="14" t="n">
        <x:v>4</x:v>
      </x:c>
      <x:c r="L404" s="14" t="n">
        <x:v>22</x:v>
      </x:c>
      <x:c r="M404" s="14" t="n">
        <x:v>6</x:v>
      </x:c>
      <x:c r="N404" s="15" t="n">
        <x:f>IF(E404=0,"해당 없음",F404/E404)</x:f>
        <x:v>0.38613861386138615</x:v>
      </x:c>
      <x:c r="O404" s="15" t="n">
        <x:f>IF(E404=0,"해당 없음",G404/E404)</x:f>
        <x:v>0.019801980198019802</x:v>
      </x:c>
      <x:c r="P404" s="15" t="n">
        <x:f>IF(E404=0,"해당 없음",H404/E404)</x:f>
        <x:v>0.0297029702970297</x:v>
      </x:c>
      <x:c r="Q404" s="15" t="n">
        <x:f>IF(E404=0,"해당 없음",I404/E404)</x:f>
        <x:v>0.12871287128712872</x:v>
      </x:c>
      <x:c r="R404" s="15" t="n">
        <x:f>IF(E404=0,"해당 없음",J404/E404)</x:f>
        <x:v>0.1188118811881188</x:v>
      </x:c>
      <x:c r="S404" s="15" t="n">
        <x:f>IF(E404=0,"해당 없음",K404/E404)</x:f>
        <x:v>0.039603960396039604</x:v>
      </x:c>
      <x:c r="T404" s="15" t="n">
        <x:f>IF(E404=0,"해당 없음",L404/E404)</x:f>
        <x:v>0.21782178217821782</x:v>
      </x:c>
      <x:c r="U404" s="15" t="n">
        <x:f>IF(E404=0,"해당 없음",M404/E404)</x:f>
        <x:v>0.0594059405940594</x:v>
      </x:c>
      <x:c r="V404" s="16" t="n">
        <x:f>E404/5</x:f>
        <x:v>20.2</x:v>
      </x:c>
    </x:row>
    <x:row r="405" ht="22" customHeight="1">
      <x:c r="A405" s="2" t="n">
        <x:v>200</x:v>
      </x:c>
      <x:c r="B405" s="2" t="str">
        <x:v>NAVY</x:v>
      </x:c>
      <x:c r="C405" s="2" t="str">
        <x:v>160만</x:v>
      </x:c>
      <x:c r="D405" s="2" t="str">
        <x:v>규칙형</x:v>
      </x:c>
      <x:c r="E405" s="14" t="n">
        <x:f>SUM(F405:M405)</x:f>
        <x:v>103</x:v>
      </x:c>
      <x:c r="F405" s="14" t="n">
        <x:v>4</x:v>
      </x:c>
      <x:c r="G405" s="14" t="n">
        <x:v>25</x:v>
      </x:c>
      <x:c r="H405" s="14" t="n">
        <x:v>11</x:v>
      </x:c>
      <x:c r="I405" s="14" t="n">
        <x:v>3</x:v>
      </x:c>
      <x:c r="J405" s="14" t="n">
        <x:v>2</x:v>
      </x:c>
      <x:c r="K405" s="14" t="n">
        <x:v>5</x:v>
      </x:c>
      <x:c r="L405" s="14" t="n">
        <x:v>29</x:v>
      </x:c>
      <x:c r="M405" s="14" t="n">
        <x:v>24</x:v>
      </x:c>
      <x:c r="N405" s="15" t="n">
        <x:f>IF(E405=0,"해당 없음",F405/E405)</x:f>
        <x:v>0.038834951456310676</x:v>
      </x:c>
      <x:c r="O405" s="15" t="n">
        <x:f>IF(E405=0,"해당 없음",G405/E405)</x:f>
        <x:v>0.24271844660194175</x:v>
      </x:c>
      <x:c r="P405" s="15" t="n">
        <x:f>IF(E405=0,"해당 없음",H405/E405)</x:f>
        <x:v>0.10679611650485436</x:v>
      </x:c>
      <x:c r="Q405" s="15" t="n">
        <x:f>IF(E405=0,"해당 없음",I405/E405)</x:f>
        <x:v>0.02912621359223301</x:v>
      </x:c>
      <x:c r="R405" s="15" t="n">
        <x:f>IF(E405=0,"해당 없음",J405/E405)</x:f>
        <x:v>0.019417475728155338</x:v>
      </x:c>
      <x:c r="S405" s="15" t="n">
        <x:f>IF(E405=0,"해당 없음",K405/E405)</x:f>
        <x:v>0.04854368932038835</x:v>
      </x:c>
      <x:c r="T405" s="15" t="n">
        <x:f>IF(E405=0,"해당 없음",L405/E405)</x:f>
        <x:v>0.2815533980582524</x:v>
      </x:c>
      <x:c r="U405" s="15" t="n">
        <x:f>IF(E405=0,"해당 없음",M405/E405)</x:f>
        <x:v>0.23300970873786409</x:v>
      </x:c>
      <x:c r="V405" s="16" t="n">
        <x:f>E405/5</x:f>
        <x:v>20.6</x:v>
      </x:c>
    </x:row>
    <x:row r="406" ht="22" customHeight="1">
      <x:c r="A406" s="2" t="n">
        <x:v>201</x:v>
      </x:c>
      <x:c r="B406" s="2" t="str">
        <x:v>RED</x:v>
      </x:c>
      <x:c r="C406" s="2" t="str">
        <x:v>200만</x:v>
      </x:c>
      <x:c r="D406" s="2" t="str">
        <x:v>규칙형</x:v>
      </x:c>
      <x:c r="E406" s="14" t="n">
        <x:f>SUM(F406:M406)</x:f>
        <x:v>103</x:v>
      </x:c>
      <x:c r="F406" s="14" t="n">
        <x:v>2</x:v>
      </x:c>
      <x:c r="G406" s="14" t="n">
        <x:v>23</x:v>
      </x:c>
      <x:c r="H406" s="14" t="n">
        <x:v>4</x:v>
      </x:c>
      <x:c r="I406" s="14" t="n">
        <x:v>0</x:v>
      </x:c>
      <x:c r="J406" s="14" t="n">
        <x:v>3</x:v>
      </x:c>
      <x:c r="K406" s="14" t="n">
        <x:v>4</x:v>
      </x:c>
      <x:c r="L406" s="14" t="n">
        <x:v>35</x:v>
      </x:c>
      <x:c r="M406" s="14" t="n">
        <x:v>32</x:v>
      </x:c>
      <x:c r="N406" s="15" t="n">
        <x:f>IF(E406=0,"해당 없음",F406/E406)</x:f>
        <x:v>0.019417475728155338</x:v>
      </x:c>
      <x:c r="O406" s="15" t="n">
        <x:f>IF(E406=0,"해당 없음",G406/E406)</x:f>
        <x:v>0.22330097087378642</x:v>
      </x:c>
      <x:c r="P406" s="15" t="n">
        <x:f>IF(E406=0,"해당 없음",H406/E406)</x:f>
        <x:v>0.038834951456310676</x:v>
      </x:c>
      <x:c r="Q406" s="15" t="n">
        <x:f>IF(E406=0,"해당 없음",I406/E406)</x:f>
        <x:v>0</x:v>
      </x:c>
      <x:c r="R406" s="15" t="n">
        <x:f>IF(E406=0,"해당 없음",J406/E406)</x:f>
        <x:v>0.02912621359223301</x:v>
      </x:c>
      <x:c r="S406" s="15" t="n">
        <x:f>IF(E406=0,"해당 없음",K406/E406)</x:f>
        <x:v>0.038834951456310676</x:v>
      </x:c>
      <x:c r="T406" s="15" t="n">
        <x:f>IF(E406=0,"해당 없음",L406/E406)</x:f>
        <x:v>0.33980582524271846</x:v>
      </x:c>
      <x:c r="U406" s="15" t="n">
        <x:f>IF(E406=0,"해당 없음",M406/E406)</x:f>
        <x:v>0.3106796116504854</x:v>
      </x:c>
      <x:c r="V406" s="16" t="n">
        <x:f>E406/5</x:f>
        <x:v>20.6</x:v>
      </x:c>
    </x:row>
    <x:row r="407" ht="22" customHeight="1">
      <x:c r="A407" s="2" t="n">
        <x:v>201</x:v>
      </x:c>
      <x:c r="B407" s="2" t="str">
        <x:v>NAVY</x:v>
      </x:c>
      <x:c r="C407" s="2" t="str">
        <x:v>규칙형</x:v>
      </x:c>
      <x:c r="D407" s="2" t="str">
        <x:v>200만</x:v>
      </x:c>
      <x:c r="E407" s="14" t="n">
        <x:f>SUM(F407:M407)</x:f>
        <x:v>104</x:v>
      </x:c>
      <x:c r="F407" s="14" t="n">
        <x:v>30</x:v>
      </x:c>
      <x:c r="G407" s="14" t="n">
        <x:v>1</x:v>
      </x:c>
      <x:c r="H407" s="14" t="n">
        <x:v>14</x:v>
      </x:c>
      <x:c r="I407" s="14" t="n">
        <x:v>15</x:v>
      </x:c>
      <x:c r="J407" s="14" t="n">
        <x:v>6</x:v>
      </x:c>
      <x:c r="K407" s="14" t="n">
        <x:v>9</x:v>
      </x:c>
      <x:c r="L407" s="14" t="n">
        <x:v>24</x:v>
      </x:c>
      <x:c r="M407" s="14" t="n">
        <x:v>5</x:v>
      </x:c>
      <x:c r="N407" s="15" t="n">
        <x:f>IF(E407=0,"해당 없음",F407/E407)</x:f>
        <x:v>0.28846153846153844</x:v>
      </x:c>
      <x:c r="O407" s="15" t="n">
        <x:f>IF(E407=0,"해당 없음",G407/E407)</x:f>
        <x:v>0.009615384615384616</x:v>
      </x:c>
      <x:c r="P407" s="15" t="n">
        <x:f>IF(E407=0,"해당 없음",H407/E407)</x:f>
        <x:v>0.1346153846153846</x:v>
      </x:c>
      <x:c r="Q407" s="15" t="n">
        <x:f>IF(E407=0,"해당 없음",I407/E407)</x:f>
        <x:v>0.14423076923076922</x:v>
      </x:c>
      <x:c r="R407" s="15" t="n">
        <x:f>IF(E407=0,"해당 없음",J407/E407)</x:f>
        <x:v>0.057692307692307696</x:v>
      </x:c>
      <x:c r="S407" s="15" t="n">
        <x:f>IF(E407=0,"해당 없음",K407/E407)</x:f>
        <x:v>0.08653846153846154</x:v>
      </x:c>
      <x:c r="T407" s="15" t="n">
        <x:f>IF(E407=0,"해당 없음",L407/E407)</x:f>
        <x:v>0.23076923076923078</x:v>
      </x:c>
      <x:c r="U407" s="15" t="n">
        <x:f>IF(E407=0,"해당 없음",M407/E407)</x:f>
        <x:v>0.04807692307692308</x:v>
      </x:c>
      <x:c r="V407" s="16" t="n">
        <x:f>E407/5</x:f>
        <x:v>20.8</x:v>
      </x:c>
    </x:row>
    <x:row r="408" ht="22" customHeight="1">
      <x:c r="A408" s="2" t="n">
        <x:v>202</x:v>
      </x:c>
      <x:c r="B408" s="2" t="str">
        <x:v>RED</x:v>
      </x:c>
      <x:c r="C408" s="2" t="str">
        <x:v>규칙형</x:v>
      </x:c>
      <x:c r="D408" s="2" t="str">
        <x:v>200만</x:v>
      </x:c>
      <x:c r="E408" s="14" t="n">
        <x:f>SUM(F408:M408)</x:f>
        <x:v>106</x:v>
      </x:c>
      <x:c r="F408" s="14" t="n">
        <x:v>34</x:v>
      </x:c>
      <x:c r="G408" s="14" t="n">
        <x:v>9</x:v>
      </x:c>
      <x:c r="H408" s="14" t="n">
        <x:v>10</x:v>
      </x:c>
      <x:c r="I408" s="14" t="n">
        <x:v>14</x:v>
      </x:c>
      <x:c r="J408" s="14" t="n">
        <x:v>5</x:v>
      </x:c>
      <x:c r="K408" s="14" t="n">
        <x:v>2</x:v>
      </x:c>
      <x:c r="L408" s="14" t="n">
        <x:v>22</x:v>
      </x:c>
      <x:c r="M408" s="14" t="n">
        <x:v>10</x:v>
      </x:c>
      <x:c r="N408" s="15" t="n">
        <x:f>IF(E408=0,"해당 없음",F408/E408)</x:f>
        <x:v>0.32075471698113206</x:v>
      </x:c>
      <x:c r="O408" s="15" t="n">
        <x:f>IF(E408=0,"해당 없음",G408/E408)</x:f>
        <x:v>0.08490566037735849</x:v>
      </x:c>
      <x:c r="P408" s="15" t="n">
        <x:f>IF(E408=0,"해당 없음",H408/E408)</x:f>
        <x:v>0.09433962264150944</x:v>
      </x:c>
      <x:c r="Q408" s="15" t="n">
        <x:f>IF(E408=0,"해당 없음",I408/E408)</x:f>
        <x:v>0.1320754716981132</x:v>
      </x:c>
      <x:c r="R408" s="15" t="n">
        <x:f>IF(E408=0,"해당 없음",J408/E408)</x:f>
        <x:v>0.04716981132075472</x:v>
      </x:c>
      <x:c r="S408" s="15" t="n">
        <x:f>IF(E408=0,"해당 없음",K408/E408)</x:f>
        <x:v>0.018867924528301886</x:v>
      </x:c>
      <x:c r="T408" s="15" t="n">
        <x:f>IF(E408=0,"해당 없음",L408/E408)</x:f>
        <x:v>0.20754716981132076</x:v>
      </x:c>
      <x:c r="U408" s="15" t="n">
        <x:f>IF(E408=0,"해당 없음",M408/E408)</x:f>
        <x:v>0.09433962264150944</x:v>
      </x:c>
      <x:c r="V408" s="16" t="n">
        <x:f>E408/5</x:f>
        <x:v>21.2</x:v>
      </x:c>
    </x:row>
    <x:row r="409" ht="22" customHeight="1">
      <x:c r="A409" s="2" t="n">
        <x:v>202</x:v>
      </x:c>
      <x:c r="B409" s="2" t="str">
        <x:v>NAVY</x:v>
      </x:c>
      <x:c r="C409" s="2" t="str">
        <x:v>200만</x:v>
      </x:c>
      <x:c r="D409" s="2" t="str">
        <x:v>규칙형</x:v>
      </x:c>
      <x:c r="E409" s="14" t="n">
        <x:f>SUM(F409:M409)</x:f>
        <x:v>104</x:v>
      </x:c>
      <x:c r="F409" s="14" t="n">
        <x:v>2</x:v>
      </x:c>
      <x:c r="G409" s="14" t="n">
        <x:v>18</x:v>
      </x:c>
      <x:c r="H409" s="14" t="n">
        <x:v>2</x:v>
      </x:c>
      <x:c r="I409" s="14" t="n">
        <x:v>7</x:v>
      </x:c>
      <x:c r="J409" s="14" t="n">
        <x:v>4</x:v>
      </x:c>
      <x:c r="K409" s="14" t="n">
        <x:v>3</x:v>
      </x:c>
      <x:c r="L409" s="14" t="n">
        <x:v>28</x:v>
      </x:c>
      <x:c r="M409" s="14" t="n">
        <x:v>40</x:v>
      </x:c>
      <x:c r="N409" s="15" t="n">
        <x:f>IF(E409=0,"해당 없음",F409/E409)</x:f>
        <x:v>0.019230769230769232</x:v>
      </x:c>
      <x:c r="O409" s="15" t="n">
        <x:f>IF(E409=0,"해당 없음",G409/E409)</x:f>
        <x:v>0.17307692307692307</x:v>
      </x:c>
      <x:c r="P409" s="15" t="n">
        <x:f>IF(E409=0,"해당 없음",H409/E409)</x:f>
        <x:v>0.019230769230769232</x:v>
      </x:c>
      <x:c r="Q409" s="15" t="n">
        <x:f>IF(E409=0,"해당 없음",I409/E409)</x:f>
        <x:v>0.0673076923076923</x:v>
      </x:c>
      <x:c r="R409" s="15" t="n">
        <x:f>IF(E409=0,"해당 없음",J409/E409)</x:f>
        <x:v>0.038461538461538464</x:v>
      </x:c>
      <x:c r="S409" s="15" t="n">
        <x:f>IF(E409=0,"해당 없음",K409/E409)</x:f>
        <x:v>0.028846153846153848</x:v>
      </x:c>
      <x:c r="T409" s="15" t="n">
        <x:f>IF(E409=0,"해당 없음",L409/E409)</x:f>
        <x:v>0.2692307692307692</x:v>
      </x:c>
      <x:c r="U409" s="15" t="n">
        <x:f>IF(E409=0,"해당 없음",M409/E409)</x:f>
        <x:v>0.38461538461538464</x:v>
      </x:c>
      <x:c r="V409" s="16" t="n">
        <x:f>E409/5</x:f>
        <x:v>20.8</x:v>
      </x:c>
    </x:row>
    <x:row r="410" ht="22" customHeight="1">
      <x:c r="A410" s="2" t="n">
        <x:v>203</x:v>
      </x:c>
      <x:c r="B410" s="2" t="str">
        <x:v>RED</x:v>
      </x:c>
      <x:c r="C410" s="2" t="str">
        <x:v>200만</x:v>
      </x:c>
      <x:c r="D410" s="2" t="str">
        <x:v>규칙형</x:v>
      </x:c>
      <x:c r="E410" s="14" t="n">
        <x:f>SUM(F410:M410)</x:f>
        <x:v>102</x:v>
      </x:c>
      <x:c r="F410" s="14" t="n">
        <x:v>3</x:v>
      </x:c>
      <x:c r="G410" s="14" t="n">
        <x:v>21</x:v>
      </x:c>
      <x:c r="H410" s="14" t="n">
        <x:v>6</x:v>
      </x:c>
      <x:c r="I410" s="14" t="n">
        <x:v>2</x:v>
      </x:c>
      <x:c r="J410" s="14" t="n">
        <x:v>1</x:v>
      </x:c>
      <x:c r="K410" s="14" t="n">
        <x:v>5</x:v>
      </x:c>
      <x:c r="L410" s="14" t="n">
        <x:v>33</x:v>
      </x:c>
      <x:c r="M410" s="14" t="n">
        <x:v>31</x:v>
      </x:c>
      <x:c r="N410" s="15" t="n">
        <x:f>IF(E410=0,"해당 없음",F410/E410)</x:f>
        <x:v>0.029411764705882353</x:v>
      </x:c>
      <x:c r="O410" s="15" t="n">
        <x:f>IF(E410=0,"해당 없음",G410/E410)</x:f>
        <x:v>0.20588235294117646</x:v>
      </x:c>
      <x:c r="P410" s="15" t="n">
        <x:f>IF(E410=0,"해당 없음",H410/E410)</x:f>
        <x:v>0.058823529411764705</x:v>
      </x:c>
      <x:c r="Q410" s="15" t="n">
        <x:f>IF(E410=0,"해당 없음",I410/E410)</x:f>
        <x:v>0.0196078431372549</x:v>
      </x:c>
      <x:c r="R410" s="15" t="n">
        <x:f>IF(E410=0,"해당 없음",J410/E410)</x:f>
        <x:v>0.00980392156862745</x:v>
      </x:c>
      <x:c r="S410" s="15" t="n">
        <x:f>IF(E410=0,"해당 없음",K410/E410)</x:f>
        <x:v>0.049019607843137254</x:v>
      </x:c>
      <x:c r="T410" s="15" t="n">
        <x:f>IF(E410=0,"해당 없음",L410/E410)</x:f>
        <x:v>0.3235294117647059</x:v>
      </x:c>
      <x:c r="U410" s="15" t="n">
        <x:f>IF(E410=0,"해당 없음",M410/E410)</x:f>
        <x:v>0.30392156862745096</x:v>
      </x:c>
      <x:c r="V410" s="16" t="n">
        <x:f>E410/5</x:f>
        <x:v>20.4</x:v>
      </x:c>
    </x:row>
    <x:row r="411" ht="22" customHeight="1">
      <x:c r="A411" s="2" t="n">
        <x:v>203</x:v>
      </x:c>
      <x:c r="B411" s="2" t="str">
        <x:v>NAVY</x:v>
      </x:c>
      <x:c r="C411" s="2" t="str">
        <x:v>규칙형</x:v>
      </x:c>
      <x:c r="D411" s="2" t="str">
        <x:v>200만</x:v>
      </x:c>
      <x:c r="E411" s="14" t="n">
        <x:f>SUM(F411:M411)</x:f>
        <x:v>105</x:v>
      </x:c>
      <x:c r="F411" s="14" t="n">
        <x:v>33</x:v>
      </x:c>
      <x:c r="G411" s="14" t="n">
        <x:v>2</x:v>
      </x:c>
      <x:c r="H411" s="14" t="n">
        <x:v>9</x:v>
      </x:c>
      <x:c r="I411" s="14" t="n">
        <x:v>23</x:v>
      </x:c>
      <x:c r="J411" s="14" t="n">
        <x:v>6</x:v>
      </x:c>
      <x:c r="K411" s="14" t="n">
        <x:v>6</x:v>
      </x:c>
      <x:c r="L411" s="14" t="n">
        <x:v>19</x:v>
      </x:c>
      <x:c r="M411" s="14" t="n">
        <x:v>7</x:v>
      </x:c>
      <x:c r="N411" s="15" t="n">
        <x:f>IF(E411=0,"해당 없음",F411/E411)</x:f>
        <x:v>0.3142857142857143</x:v>
      </x:c>
      <x:c r="O411" s="15" t="n">
        <x:f>IF(E411=0,"해당 없음",G411/E411)</x:f>
        <x:v>0.01904761904761905</x:v>
      </x:c>
      <x:c r="P411" s="15" t="n">
        <x:f>IF(E411=0,"해당 없음",H411/E411)</x:f>
        <x:v>0.08571428571428572</x:v>
      </x:c>
      <x:c r="Q411" s="15" t="n">
        <x:f>IF(E411=0,"해당 없음",I411/E411)</x:f>
        <x:v>0.21904761904761905</x:v>
      </x:c>
      <x:c r="R411" s="15" t="n">
        <x:f>IF(E411=0,"해당 없음",J411/E411)</x:f>
        <x:v>0.05714285714285714</x:v>
      </x:c>
      <x:c r="S411" s="15" t="n">
        <x:f>IF(E411=0,"해당 없음",K411/E411)</x:f>
        <x:v>0.05714285714285714</x:v>
      </x:c>
      <x:c r="T411" s="15" t="n">
        <x:f>IF(E411=0,"해당 없음",L411/E411)</x:f>
        <x:v>0.18095238095238095</x:v>
      </x:c>
      <x:c r="U411" s="15" t="n">
        <x:f>IF(E411=0,"해당 없음",M411/E411)</x:f>
        <x:v>0.06666666666666667</x:v>
      </x:c>
      <x:c r="V411" s="16" t="n">
        <x:f>E411/5</x:f>
        <x:v>21</x:v>
      </x:c>
    </x:row>
    <x:row r="412" ht="22" customHeight="1">
      <x:c r="A412" s="2" t="n">
        <x:v>204</x:v>
      </x:c>
      <x:c r="B412" s="2" t="str">
        <x:v>RED</x:v>
      </x:c>
      <x:c r="C412" s="2" t="str">
        <x:v>규칙형</x:v>
      </x:c>
      <x:c r="D412" s="2" t="str">
        <x:v>200만</x:v>
      </x:c>
      <x:c r="E412" s="14" t="n">
        <x:f>SUM(F412:M412)</x:f>
        <x:v>103</x:v>
      </x:c>
      <x:c r="F412" s="14" t="n">
        <x:v>29</x:v>
      </x:c>
      <x:c r="G412" s="14" t="n">
        <x:v>4</x:v>
      </x:c>
      <x:c r="H412" s="14" t="n">
        <x:v>5</x:v>
      </x:c>
      <x:c r="I412" s="14" t="n">
        <x:v>24</x:v>
      </x:c>
      <x:c r="J412" s="14" t="n">
        <x:v>6</x:v>
      </x:c>
      <x:c r="K412" s="14" t="n">
        <x:v>4</x:v>
      </x:c>
      <x:c r="L412" s="14" t="n">
        <x:v>23</x:v>
      </x:c>
      <x:c r="M412" s="14" t="n">
        <x:v>8</x:v>
      </x:c>
      <x:c r="N412" s="15" t="n">
        <x:f>IF(E412=0,"해당 없음",F412/E412)</x:f>
        <x:v>0.2815533980582524</x:v>
      </x:c>
      <x:c r="O412" s="15" t="n">
        <x:f>IF(E412=0,"해당 없음",G412/E412)</x:f>
        <x:v>0.038834951456310676</x:v>
      </x:c>
      <x:c r="P412" s="15" t="n">
        <x:f>IF(E412=0,"해당 없음",H412/E412)</x:f>
        <x:v>0.04854368932038835</x:v>
      </x:c>
      <x:c r="Q412" s="15" t="n">
        <x:f>IF(E412=0,"해당 없음",I412/E412)</x:f>
        <x:v>0.23300970873786409</x:v>
      </x:c>
      <x:c r="R412" s="15" t="n">
        <x:f>IF(E412=0,"해당 없음",J412/E412)</x:f>
        <x:v>0.05825242718446602</x:v>
      </x:c>
      <x:c r="S412" s="15" t="n">
        <x:f>IF(E412=0,"해당 없음",K412/E412)</x:f>
        <x:v>0.038834951456310676</x:v>
      </x:c>
      <x:c r="T412" s="15" t="n">
        <x:f>IF(E412=0,"해당 없음",L412/E412)</x:f>
        <x:v>0.22330097087378642</x:v>
      </x:c>
      <x:c r="U412" s="15" t="n">
        <x:f>IF(E412=0,"해당 없음",M412/E412)</x:f>
        <x:v>0.07766990291262135</x:v>
      </x:c>
      <x:c r="V412" s="16" t="n">
        <x:f>E412/5</x:f>
        <x:v>20.6</x:v>
      </x:c>
    </x:row>
    <x:row r="413" ht="22" customHeight="1">
      <x:c r="A413" s="2" t="n">
        <x:v>204</x:v>
      </x:c>
      <x:c r="B413" s="2" t="str">
        <x:v>NAVY</x:v>
      </x:c>
      <x:c r="C413" s="2" t="str">
        <x:v>200만</x:v>
      </x:c>
      <x:c r="D413" s="2" t="str">
        <x:v>규칙형</x:v>
      </x:c>
      <x:c r="E413" s="14" t="n">
        <x:f>SUM(F413:M413)</x:f>
        <x:v>104</x:v>
      </x:c>
      <x:c r="F413" s="14" t="n">
        <x:v>3</x:v>
      </x:c>
      <x:c r="G413" s="14" t="n">
        <x:v>15</x:v>
      </x:c>
      <x:c r="H413" s="14" t="n">
        <x:v>5</x:v>
      </x:c>
      <x:c r="I413" s="14" t="n">
        <x:v>3</x:v>
      </x:c>
      <x:c r="J413" s="14" t="n">
        <x:v>1</x:v>
      </x:c>
      <x:c r="K413" s="14" t="n">
        <x:v>3</x:v>
      </x:c>
      <x:c r="L413" s="14" t="n">
        <x:v>30</x:v>
      </x:c>
      <x:c r="M413" s="14" t="n">
        <x:v>44</x:v>
      </x:c>
      <x:c r="N413" s="15" t="n">
        <x:f>IF(E413=0,"해당 없음",F413/E413)</x:f>
        <x:v>0.028846153846153848</x:v>
      </x:c>
      <x:c r="O413" s="15" t="n">
        <x:f>IF(E413=0,"해당 없음",G413/E413)</x:f>
        <x:v>0.14423076923076922</x:v>
      </x:c>
      <x:c r="P413" s="15" t="n">
        <x:f>IF(E413=0,"해당 없음",H413/E413)</x:f>
        <x:v>0.04807692307692308</x:v>
      </x:c>
      <x:c r="Q413" s="15" t="n">
        <x:f>IF(E413=0,"해당 없음",I413/E413)</x:f>
        <x:v>0.028846153846153848</x:v>
      </x:c>
      <x:c r="R413" s="15" t="n">
        <x:f>IF(E413=0,"해당 없음",J413/E413)</x:f>
        <x:v>0.009615384615384616</x:v>
      </x:c>
      <x:c r="S413" s="15" t="n">
        <x:f>IF(E413=0,"해당 없음",K413/E413)</x:f>
        <x:v>0.028846153846153848</x:v>
      </x:c>
      <x:c r="T413" s="15" t="n">
        <x:f>IF(E413=0,"해당 없음",L413/E413)</x:f>
        <x:v>0.28846153846153844</x:v>
      </x:c>
      <x:c r="U413" s="15" t="n">
        <x:f>IF(E413=0,"해당 없음",M413/E413)</x:f>
        <x:v>0.4230769230769231</x:v>
      </x:c>
      <x:c r="V413" s="16" t="n">
        <x:f>E413/5</x:f>
        <x:v>20.8</x:v>
      </x:c>
    </x:row>
    <x:row r="414" ht="22" customHeight="1">
      <x:c r="A414" s="2" t="n">
        <x:v>205</x:v>
      </x:c>
      <x:c r="B414" s="2" t="str">
        <x:v>RED</x:v>
      </x:c>
      <x:c r="C414" s="2" t="str">
        <x:v>200만</x:v>
      </x:c>
      <x:c r="D414" s="2" t="str">
        <x:v>규칙형</x:v>
      </x:c>
      <x:c r="E414" s="14" t="n">
        <x:f>SUM(F414:M414)</x:f>
        <x:v>102</x:v>
      </x:c>
      <x:c r="F414" s="14" t="n">
        <x:v>2</x:v>
      </x:c>
      <x:c r="G414" s="14" t="n">
        <x:v>14</x:v>
      </x:c>
      <x:c r="H414" s="14" t="n">
        <x:v>6</x:v>
      </x:c>
      <x:c r="I414" s="14" t="n">
        <x:v>1</x:v>
      </x:c>
      <x:c r="J414" s="14" t="n">
        <x:v>0</x:v>
      </x:c>
      <x:c r="K414" s="14" t="n">
        <x:v>6</x:v>
      </x:c>
      <x:c r="L414" s="14" t="n">
        <x:v>23</x:v>
      </x:c>
      <x:c r="M414" s="14" t="n">
        <x:v>50</x:v>
      </x:c>
      <x:c r="N414" s="15" t="n">
        <x:f>IF(E414=0,"해당 없음",F414/E414)</x:f>
        <x:v>0.0196078431372549</x:v>
      </x:c>
      <x:c r="O414" s="15" t="n">
        <x:f>IF(E414=0,"해당 없음",G414/E414)</x:f>
        <x:v>0.13725490196078433</x:v>
      </x:c>
      <x:c r="P414" s="15" t="n">
        <x:f>IF(E414=0,"해당 없음",H414/E414)</x:f>
        <x:v>0.058823529411764705</x:v>
      </x:c>
      <x:c r="Q414" s="15" t="n">
        <x:f>IF(E414=0,"해당 없음",I414/E414)</x:f>
        <x:v>0.00980392156862745</x:v>
      </x:c>
      <x:c r="R414" s="15" t="n">
        <x:f>IF(E414=0,"해당 없음",J414/E414)</x:f>
        <x:v>0</x:v>
      </x:c>
      <x:c r="S414" s="15" t="n">
        <x:f>IF(E414=0,"해당 없음",K414/E414)</x:f>
        <x:v>0.058823529411764705</x:v>
      </x:c>
      <x:c r="T414" s="15" t="n">
        <x:f>IF(E414=0,"해당 없음",L414/E414)</x:f>
        <x:v>0.22549019607843138</x:v>
      </x:c>
      <x:c r="U414" s="15" t="n">
        <x:f>IF(E414=0,"해당 없음",M414/E414)</x:f>
        <x:v>0.49019607843137253</x:v>
      </x:c>
      <x:c r="V414" s="16" t="n">
        <x:f>E414/5</x:f>
        <x:v>20.4</x:v>
      </x:c>
    </x:row>
    <x:row r="415" ht="22" customHeight="1">
      <x:c r="A415" s="2" t="n">
        <x:v>205</x:v>
      </x:c>
      <x:c r="B415" s="2" t="str">
        <x:v>NAVY</x:v>
      </x:c>
      <x:c r="C415" s="2" t="str">
        <x:v>규칙형</x:v>
      </x:c>
      <x:c r="D415" s="2" t="str">
        <x:v>200만</x:v>
      </x:c>
      <x:c r="E415" s="14" t="n">
        <x:f>SUM(F415:M415)</x:f>
        <x:v>103</x:v>
      </x:c>
      <x:c r="F415" s="14" t="n">
        <x:v>34</x:v>
      </x:c>
      <x:c r="G415" s="14" t="n">
        <x:v>0</x:v>
      </x:c>
      <x:c r="H415" s="14" t="n">
        <x:v>10</x:v>
      </x:c>
      <x:c r="I415" s="14" t="n">
        <x:v>20</x:v>
      </x:c>
      <x:c r="J415" s="14" t="n">
        <x:v>11</x:v>
      </x:c>
      <x:c r="K415" s="14" t="n">
        <x:v>4</x:v>
      </x:c>
      <x:c r="L415" s="14" t="n">
        <x:v>18</x:v>
      </x:c>
      <x:c r="M415" s="14" t="n">
        <x:v>6</x:v>
      </x:c>
      <x:c r="N415" s="15" t="n">
        <x:f>IF(E415=0,"해당 없음",F415/E415)</x:f>
        <x:v>0.3300970873786408</x:v>
      </x:c>
      <x:c r="O415" s="15" t="n">
        <x:f>IF(E415=0,"해당 없음",G415/E415)</x:f>
        <x:v>0</x:v>
      </x:c>
      <x:c r="P415" s="15" t="n">
        <x:f>IF(E415=0,"해당 없음",H415/E415)</x:f>
        <x:v>0.0970873786407767</x:v>
      </x:c>
      <x:c r="Q415" s="15" t="n">
        <x:f>IF(E415=0,"해당 없음",I415/E415)</x:f>
        <x:v>0.1941747572815534</x:v>
      </x:c>
      <x:c r="R415" s="15" t="n">
        <x:f>IF(E415=0,"해당 없음",J415/E415)</x:f>
        <x:v>0.10679611650485436</x:v>
      </x:c>
      <x:c r="S415" s="15" t="n">
        <x:f>IF(E415=0,"해당 없음",K415/E415)</x:f>
        <x:v>0.038834951456310676</x:v>
      </x:c>
      <x:c r="T415" s="15" t="n">
        <x:f>IF(E415=0,"해당 없음",L415/E415)</x:f>
        <x:v>0.17475728155339806</x:v>
      </x:c>
      <x:c r="U415" s="15" t="n">
        <x:f>IF(E415=0,"해당 없음",M415/E415)</x:f>
        <x:v>0.05825242718446602</x:v>
      </x:c>
      <x:c r="V415" s="16" t="n">
        <x:f>E415/5</x:f>
        <x:v>20.6</x:v>
      </x:c>
    </x:row>
    <x:row r="416" ht="22" customHeight="1">
      <x:c r="A416" s="2" t="n">
        <x:v>206</x:v>
      </x:c>
      <x:c r="B416" s="2" t="str">
        <x:v>RED</x:v>
      </x:c>
      <x:c r="C416" s="2" t="str">
        <x:v>규칙형</x:v>
      </x:c>
      <x:c r="D416" s="2" t="str">
        <x:v>200만</x:v>
      </x:c>
      <x:c r="E416" s="14" t="n">
        <x:f>SUM(F416:M416)</x:f>
        <x:v>103</x:v>
      </x:c>
      <x:c r="F416" s="14" t="n">
        <x:v>41</x:v>
      </x:c>
      <x:c r="G416" s="14" t="n">
        <x:v>3</x:v>
      </x:c>
      <x:c r="H416" s="14" t="n">
        <x:v>12</x:v>
      </x:c>
      <x:c r="I416" s="14" t="n">
        <x:v>11</x:v>
      </x:c>
      <x:c r="J416" s="14" t="n">
        <x:v>13</x:v>
      </x:c>
      <x:c r="K416" s="14" t="n">
        <x:v>5</x:v>
      </x:c>
      <x:c r="L416" s="14" t="n">
        <x:v>12</x:v>
      </x:c>
      <x:c r="M416" s="14" t="n">
        <x:v>6</x:v>
      </x:c>
      <x:c r="N416" s="15" t="n">
        <x:f>IF(E416=0,"해당 없음",F416/E416)</x:f>
        <x:v>0.39805825242718446</x:v>
      </x:c>
      <x:c r="O416" s="15" t="n">
        <x:f>IF(E416=0,"해당 없음",G416/E416)</x:f>
        <x:v>0.02912621359223301</x:v>
      </x:c>
      <x:c r="P416" s="15" t="n">
        <x:f>IF(E416=0,"해당 없음",H416/E416)</x:f>
        <x:v>0.11650485436893204</x:v>
      </x:c>
      <x:c r="Q416" s="15" t="n">
        <x:f>IF(E416=0,"해당 없음",I416/E416)</x:f>
        <x:v>0.10679611650485436</x:v>
      </x:c>
      <x:c r="R416" s="15" t="n">
        <x:f>IF(E416=0,"해당 없음",J416/E416)</x:f>
        <x:v>0.1262135922330097</x:v>
      </x:c>
      <x:c r="S416" s="15" t="n">
        <x:f>IF(E416=0,"해당 없음",K416/E416)</x:f>
        <x:v>0.04854368932038835</x:v>
      </x:c>
      <x:c r="T416" s="15" t="n">
        <x:f>IF(E416=0,"해당 없음",L416/E416)</x:f>
        <x:v>0.11650485436893204</x:v>
      </x:c>
      <x:c r="U416" s="15" t="n">
        <x:f>IF(E416=0,"해당 없음",M416/E416)</x:f>
        <x:v>0.05825242718446602</x:v>
      </x:c>
      <x:c r="V416" s="16" t="n">
        <x:f>E416/5</x:f>
        <x:v>20.6</x:v>
      </x:c>
    </x:row>
    <x:row r="417" ht="22" customHeight="1">
      <x:c r="A417" s="2" t="n">
        <x:v>206</x:v>
      </x:c>
      <x:c r="B417" s="2" t="str">
        <x:v>NAVY</x:v>
      </x:c>
      <x:c r="C417" s="2" t="str">
        <x:v>200만</x:v>
      </x:c>
      <x:c r="D417" s="2" t="str">
        <x:v>규칙형</x:v>
      </x:c>
      <x:c r="E417" s="14" t="n">
        <x:f>SUM(F417:M417)</x:f>
        <x:v>104</x:v>
      </x:c>
      <x:c r="F417" s="14" t="n">
        <x:v>3</x:v>
      </x:c>
      <x:c r="G417" s="14" t="n">
        <x:v>18</x:v>
      </x:c>
      <x:c r="H417" s="14" t="n">
        <x:v>6</x:v>
      </x:c>
      <x:c r="I417" s="14" t="n">
        <x:v>4</x:v>
      </x:c>
      <x:c r="J417" s="14" t="n">
        <x:v>2</x:v>
      </x:c>
      <x:c r="K417" s="14" t="n">
        <x:v>11</x:v>
      </x:c>
      <x:c r="L417" s="14" t="n">
        <x:v>32</x:v>
      </x:c>
      <x:c r="M417" s="14" t="n">
        <x:v>28</x:v>
      </x:c>
      <x:c r="N417" s="15" t="n">
        <x:f>IF(E417=0,"해당 없음",F417/E417)</x:f>
        <x:v>0.028846153846153848</x:v>
      </x:c>
      <x:c r="O417" s="15" t="n">
        <x:f>IF(E417=0,"해당 없음",G417/E417)</x:f>
        <x:v>0.17307692307692307</x:v>
      </x:c>
      <x:c r="P417" s="15" t="n">
        <x:f>IF(E417=0,"해당 없음",H417/E417)</x:f>
        <x:v>0.057692307692307696</x:v>
      </x:c>
      <x:c r="Q417" s="15" t="n">
        <x:f>IF(E417=0,"해당 없음",I417/E417)</x:f>
        <x:v>0.038461538461538464</x:v>
      </x:c>
      <x:c r="R417" s="15" t="n">
        <x:f>IF(E417=0,"해당 없음",J417/E417)</x:f>
        <x:v>0.019230769230769232</x:v>
      </x:c>
      <x:c r="S417" s="15" t="n">
        <x:f>IF(E417=0,"해당 없음",K417/E417)</x:f>
        <x:v>0.10576923076923077</x:v>
      </x:c>
      <x:c r="T417" s="15" t="n">
        <x:f>IF(E417=0,"해당 없음",L417/E417)</x:f>
        <x:v>0.3076923076923077</x:v>
      </x:c>
      <x:c r="U417" s="15" t="n">
        <x:f>IF(E417=0,"해당 없음",M417/E417)</x:f>
        <x:v>0.2692307692307692</x:v>
      </x:c>
      <x:c r="V417" s="16" t="n">
        <x:f>E417/5</x:f>
        <x:v>20.8</x:v>
      </x:c>
    </x:row>
    <x:row r="418" ht="22" customHeight="1">
      <x:c r="A418" s="2" t="n">
        <x:v>207</x:v>
      </x:c>
      <x:c r="B418" s="2" t="str">
        <x:v>RED</x:v>
      </x:c>
      <x:c r="C418" s="2" t="str">
        <x:v>200만</x:v>
      </x:c>
      <x:c r="D418" s="2" t="str">
        <x:v>규칙형</x:v>
      </x:c>
      <x:c r="E418" s="14" t="n">
        <x:f>SUM(F418:M418)</x:f>
        <x:v>104</x:v>
      </x:c>
      <x:c r="F418" s="14" t="n">
        <x:v>4</x:v>
      </x:c>
      <x:c r="G418" s="14" t="n">
        <x:v>22</x:v>
      </x:c>
      <x:c r="H418" s="14" t="n">
        <x:v>6</x:v>
      </x:c>
      <x:c r="I418" s="14" t="n">
        <x:v>1</x:v>
      </x:c>
      <x:c r="J418" s="14" t="n">
        <x:v>2</x:v>
      </x:c>
      <x:c r="K418" s="14" t="n">
        <x:v>3</x:v>
      </x:c>
      <x:c r="L418" s="14" t="n">
        <x:v>30</x:v>
      </x:c>
      <x:c r="M418" s="14" t="n">
        <x:v>36</x:v>
      </x:c>
      <x:c r="N418" s="15" t="n">
        <x:f>IF(E418=0,"해당 없음",F418/E418)</x:f>
        <x:v>0.038461538461538464</x:v>
      </x:c>
      <x:c r="O418" s="15" t="n">
        <x:f>IF(E418=0,"해당 없음",G418/E418)</x:f>
        <x:v>0.21153846153846154</x:v>
      </x:c>
      <x:c r="P418" s="15" t="n">
        <x:f>IF(E418=0,"해당 없음",H418/E418)</x:f>
        <x:v>0.057692307692307696</x:v>
      </x:c>
      <x:c r="Q418" s="15" t="n">
        <x:f>IF(E418=0,"해당 없음",I418/E418)</x:f>
        <x:v>0.009615384615384616</x:v>
      </x:c>
      <x:c r="R418" s="15" t="n">
        <x:f>IF(E418=0,"해당 없음",J418/E418)</x:f>
        <x:v>0.019230769230769232</x:v>
      </x:c>
      <x:c r="S418" s="15" t="n">
        <x:f>IF(E418=0,"해당 없음",K418/E418)</x:f>
        <x:v>0.028846153846153848</x:v>
      </x:c>
      <x:c r="T418" s="15" t="n">
        <x:f>IF(E418=0,"해당 없음",L418/E418)</x:f>
        <x:v>0.28846153846153844</x:v>
      </x:c>
      <x:c r="U418" s="15" t="n">
        <x:f>IF(E418=0,"해당 없음",M418/E418)</x:f>
        <x:v>0.34615384615384615</x:v>
      </x:c>
      <x:c r="V418" s="16" t="n">
        <x:f>E418/5</x:f>
        <x:v>20.8</x:v>
      </x:c>
    </x:row>
    <x:row r="419" ht="22" customHeight="1">
      <x:c r="A419" s="2" t="n">
        <x:v>207</x:v>
      </x:c>
      <x:c r="B419" s="2" t="str">
        <x:v>NAVY</x:v>
      </x:c>
      <x:c r="C419" s="2" t="str">
        <x:v>규칙형</x:v>
      </x:c>
      <x:c r="D419" s="2" t="str">
        <x:v>200만</x:v>
      </x:c>
      <x:c r="E419" s="14" t="n">
        <x:f>SUM(F419:M419)</x:f>
        <x:v>105</x:v>
      </x:c>
      <x:c r="F419" s="14" t="n">
        <x:v>43</x:v>
      </x:c>
      <x:c r="G419" s="14" t="n">
        <x:v>6</x:v>
      </x:c>
      <x:c r="H419" s="14" t="n">
        <x:v>3</x:v>
      </x:c>
      <x:c r="I419" s="14" t="n">
        <x:v>22</x:v>
      </x:c>
      <x:c r="J419" s="14" t="n">
        <x:v>4</x:v>
      </x:c>
      <x:c r="K419" s="14" t="n">
        <x:v>1</x:v>
      </x:c>
      <x:c r="L419" s="14" t="n">
        <x:v>22</x:v>
      </x:c>
      <x:c r="M419" s="14" t="n">
        <x:v>4</x:v>
      </x:c>
      <x:c r="N419" s="15" t="n">
        <x:f>IF(E419=0,"해당 없음",F419/E419)</x:f>
        <x:v>0.4095238095238095</x:v>
      </x:c>
      <x:c r="O419" s="15" t="n">
        <x:f>IF(E419=0,"해당 없음",G419/E419)</x:f>
        <x:v>0.05714285714285714</x:v>
      </x:c>
      <x:c r="P419" s="15" t="n">
        <x:f>IF(E419=0,"해당 없음",H419/E419)</x:f>
        <x:v>0.02857142857142857</x:v>
      </x:c>
      <x:c r="Q419" s="15" t="n">
        <x:f>IF(E419=0,"해당 없음",I419/E419)</x:f>
        <x:v>0.20952380952380953</x:v>
      </x:c>
      <x:c r="R419" s="15" t="n">
        <x:f>IF(E419=0,"해당 없음",J419/E419)</x:f>
        <x:v>0.0380952380952381</x:v>
      </x:c>
      <x:c r="S419" s="15" t="n">
        <x:f>IF(E419=0,"해당 없음",K419/E419)</x:f>
        <x:v>0.009523809523809525</x:v>
      </x:c>
      <x:c r="T419" s="15" t="n">
        <x:f>IF(E419=0,"해당 없음",L419/E419)</x:f>
        <x:v>0.20952380952380953</x:v>
      </x:c>
      <x:c r="U419" s="15" t="n">
        <x:f>IF(E419=0,"해당 없음",M419/E419)</x:f>
        <x:v>0.0380952380952381</x:v>
      </x:c>
      <x:c r="V419" s="16" t="n">
        <x:f>E419/5</x:f>
        <x:v>21</x:v>
      </x:c>
    </x:row>
    <x:row r="420" ht="22" customHeight="1">
      <x:c r="A420" s="2" t="n">
        <x:v>208</x:v>
      </x:c>
      <x:c r="B420" s="2" t="str">
        <x:v>RED</x:v>
      </x:c>
      <x:c r="C420" s="2" t="str">
        <x:v>규칙형</x:v>
      </x:c>
      <x:c r="D420" s="2" t="str">
        <x:v>200만</x:v>
      </x:c>
      <x:c r="E420" s="14" t="n">
        <x:f>SUM(F420:M420)</x:f>
        <x:v>102</x:v>
      </x:c>
      <x:c r="F420" s="14" t="n">
        <x:v>40</x:v>
      </x:c>
      <x:c r="G420" s="14" t="n">
        <x:v>5</x:v>
      </x:c>
      <x:c r="H420" s="14" t="n">
        <x:v>13</x:v>
      </x:c>
      <x:c r="I420" s="14" t="n">
        <x:v>20</x:v>
      </x:c>
      <x:c r="J420" s="14" t="n">
        <x:v>0</x:v>
      </x:c>
      <x:c r="K420" s="14" t="n">
        <x:v>5</x:v>
      </x:c>
      <x:c r="L420" s="14" t="n">
        <x:v>15</x:v>
      </x:c>
      <x:c r="M420" s="14" t="n">
        <x:v>4</x:v>
      </x:c>
      <x:c r="N420" s="15" t="n">
        <x:f>IF(E420=0,"해당 없음",F420/E420)</x:f>
        <x:v>0.39215686274509803</x:v>
      </x:c>
      <x:c r="O420" s="15" t="n">
        <x:f>IF(E420=0,"해당 없음",G420/E420)</x:f>
        <x:v>0.049019607843137254</x:v>
      </x:c>
      <x:c r="P420" s="15" t="n">
        <x:f>IF(E420=0,"해당 없음",H420/E420)</x:f>
        <x:v>0.12745098039215685</x:v>
      </x:c>
      <x:c r="Q420" s="15" t="n">
        <x:f>IF(E420=0,"해당 없음",I420/E420)</x:f>
        <x:v>0.19607843137254902</x:v>
      </x:c>
      <x:c r="R420" s="15" t="n">
        <x:f>IF(E420=0,"해당 없음",J420/E420)</x:f>
        <x:v>0</x:v>
      </x:c>
      <x:c r="S420" s="15" t="n">
        <x:f>IF(E420=0,"해당 없음",K420/E420)</x:f>
        <x:v>0.049019607843137254</x:v>
      </x:c>
      <x:c r="T420" s="15" t="n">
        <x:f>IF(E420=0,"해당 없음",L420/E420)</x:f>
        <x:v>0.14705882352941177</x:v>
      </x:c>
      <x:c r="U420" s="15" t="n">
        <x:f>IF(E420=0,"해당 없음",M420/E420)</x:f>
        <x:v>0.0392156862745098</x:v>
      </x:c>
      <x:c r="V420" s="16" t="n">
        <x:f>E420/5</x:f>
        <x:v>20.4</x:v>
      </x:c>
    </x:row>
    <x:row r="421" ht="22" customHeight="1">
      <x:c r="A421" s="2" t="n">
        <x:v>208</x:v>
      </x:c>
      <x:c r="B421" s="2" t="str">
        <x:v>NAVY</x:v>
      </x:c>
      <x:c r="C421" s="2" t="str">
        <x:v>200만</x:v>
      </x:c>
      <x:c r="D421" s="2" t="str">
        <x:v>규칙형</x:v>
      </x:c>
      <x:c r="E421" s="14" t="n">
        <x:f>SUM(F421:M421)</x:f>
        <x:v>103</x:v>
      </x:c>
      <x:c r="F421" s="14" t="n">
        <x:v>2</x:v>
      </x:c>
      <x:c r="G421" s="14" t="n">
        <x:v>20</x:v>
      </x:c>
      <x:c r="H421" s="14" t="n">
        <x:v>1</x:v>
      </x:c>
      <x:c r="I421" s="14" t="n">
        <x:v>1</x:v>
      </x:c>
      <x:c r="J421" s="14" t="n">
        <x:v>3</x:v>
      </x:c>
      <x:c r="K421" s="14" t="n">
        <x:v>0</x:v>
      </x:c>
      <x:c r="L421" s="14" t="n">
        <x:v>24</x:v>
      </x:c>
      <x:c r="M421" s="14" t="n">
        <x:v>52</x:v>
      </x:c>
      <x:c r="N421" s="15" t="n">
        <x:f>IF(E421=0,"해당 없음",F421/E421)</x:f>
        <x:v>0.019417475728155338</x:v>
      </x:c>
      <x:c r="O421" s="15" t="n">
        <x:f>IF(E421=0,"해당 없음",G421/E421)</x:f>
        <x:v>0.1941747572815534</x:v>
      </x:c>
      <x:c r="P421" s="15" t="n">
        <x:f>IF(E421=0,"해당 없음",H421/E421)</x:f>
        <x:v>0.009708737864077669</x:v>
      </x:c>
      <x:c r="Q421" s="15" t="n">
        <x:f>IF(E421=0,"해당 없음",I421/E421)</x:f>
        <x:v>0.009708737864077669</x:v>
      </x:c>
      <x:c r="R421" s="15" t="n">
        <x:f>IF(E421=0,"해당 없음",J421/E421)</x:f>
        <x:v>0.02912621359223301</x:v>
      </x:c>
      <x:c r="S421" s="15" t="n">
        <x:f>IF(E421=0,"해당 없음",K421/E421)</x:f>
        <x:v>0</x:v>
      </x:c>
      <x:c r="T421" s="15" t="n">
        <x:f>IF(E421=0,"해당 없음",L421/E421)</x:f>
        <x:v>0.23300970873786409</x:v>
      </x:c>
      <x:c r="U421" s="15" t="n">
        <x:f>IF(E421=0,"해당 없음",M421/E421)</x:f>
        <x:v>0.5048543689320388</x:v>
      </x:c>
      <x:c r="V421" s="16" t="n">
        <x:f>E421/5</x:f>
        <x:v>20.6</x:v>
      </x:c>
    </x:row>
    <x:row r="422" ht="22" customHeight="1">
      <x:c r="A422" s="2" t="n">
        <x:v>209</x:v>
      </x:c>
      <x:c r="B422" s="2" t="str">
        <x:v>RED</x:v>
      </x:c>
      <x:c r="C422" s="2" t="str">
        <x:v>200만</x:v>
      </x:c>
      <x:c r="D422" s="2" t="str">
        <x:v>규칙형</x:v>
      </x:c>
      <x:c r="E422" s="14" t="n">
        <x:f>SUM(F422:M422)</x:f>
        <x:v>104</x:v>
      </x:c>
      <x:c r="F422" s="14" t="n">
        <x:v>3</x:v>
      </x:c>
      <x:c r="G422" s="14" t="n">
        <x:v>19</x:v>
      </x:c>
      <x:c r="H422" s="14" t="n">
        <x:v>3</x:v>
      </x:c>
      <x:c r="I422" s="14" t="n">
        <x:v>3</x:v>
      </x:c>
      <x:c r="J422" s="14" t="n">
        <x:v>7</x:v>
      </x:c>
      <x:c r="K422" s="14" t="n">
        <x:v>2</x:v>
      </x:c>
      <x:c r="L422" s="14" t="n">
        <x:v>24</x:v>
      </x:c>
      <x:c r="M422" s="14" t="n">
        <x:v>43</x:v>
      </x:c>
      <x:c r="N422" s="15" t="n">
        <x:f>IF(E422=0,"해당 없음",F422/E422)</x:f>
        <x:v>0.028846153846153848</x:v>
      </x:c>
      <x:c r="O422" s="15" t="n">
        <x:f>IF(E422=0,"해당 없음",G422/E422)</x:f>
        <x:v>0.18269230769230768</x:v>
      </x:c>
      <x:c r="P422" s="15" t="n">
        <x:f>IF(E422=0,"해당 없음",H422/E422)</x:f>
        <x:v>0.028846153846153848</x:v>
      </x:c>
      <x:c r="Q422" s="15" t="n">
        <x:f>IF(E422=0,"해당 없음",I422/E422)</x:f>
        <x:v>0.028846153846153848</x:v>
      </x:c>
      <x:c r="R422" s="15" t="n">
        <x:f>IF(E422=0,"해당 없음",J422/E422)</x:f>
        <x:v>0.0673076923076923</x:v>
      </x:c>
      <x:c r="S422" s="15" t="n">
        <x:f>IF(E422=0,"해당 없음",K422/E422)</x:f>
        <x:v>0.019230769230769232</x:v>
      </x:c>
      <x:c r="T422" s="15" t="n">
        <x:f>IF(E422=0,"해당 없음",L422/E422)</x:f>
        <x:v>0.23076923076923078</x:v>
      </x:c>
      <x:c r="U422" s="15" t="n">
        <x:f>IF(E422=0,"해당 없음",M422/E422)</x:f>
        <x:v>0.41346153846153844</x:v>
      </x:c>
      <x:c r="V422" s="16" t="n">
        <x:f>E422/5</x:f>
        <x:v>20.8</x:v>
      </x:c>
    </x:row>
    <x:row r="423" ht="22" customHeight="1">
      <x:c r="A423" s="2" t="n">
        <x:v>209</x:v>
      </x:c>
      <x:c r="B423" s="2" t="str">
        <x:v>NAVY</x:v>
      </x:c>
      <x:c r="C423" s="2" t="str">
        <x:v>규칙형</x:v>
      </x:c>
      <x:c r="D423" s="2" t="str">
        <x:v>200만</x:v>
      </x:c>
      <x:c r="E423" s="14" t="n">
        <x:f>SUM(F423:M423)</x:f>
        <x:v>103</x:v>
      </x:c>
      <x:c r="F423" s="14" t="n">
        <x:v>41</x:v>
      </x:c>
      <x:c r="G423" s="14" t="n">
        <x:v>5</x:v>
      </x:c>
      <x:c r="H423" s="14" t="n">
        <x:v>19</x:v>
      </x:c>
      <x:c r="I423" s="14" t="n">
        <x:v>13</x:v>
      </x:c>
      <x:c r="J423" s="14" t="n">
        <x:v>2</x:v>
      </x:c>
      <x:c r="K423" s="14" t="n">
        <x:v>1</x:v>
      </x:c>
      <x:c r="L423" s="14" t="n">
        <x:v>17</x:v>
      </x:c>
      <x:c r="M423" s="14" t="n">
        <x:v>5</x:v>
      </x:c>
      <x:c r="N423" s="15" t="n">
        <x:f>IF(E423=0,"해당 없음",F423/E423)</x:f>
        <x:v>0.39805825242718446</x:v>
      </x:c>
      <x:c r="O423" s="15" t="n">
        <x:f>IF(E423=0,"해당 없음",G423/E423)</x:f>
        <x:v>0.04854368932038835</x:v>
      </x:c>
      <x:c r="P423" s="15" t="n">
        <x:f>IF(E423=0,"해당 없음",H423/E423)</x:f>
        <x:v>0.18446601941747573</x:v>
      </x:c>
      <x:c r="Q423" s="15" t="n">
        <x:f>IF(E423=0,"해당 없음",I423/E423)</x:f>
        <x:v>0.1262135922330097</x:v>
      </x:c>
      <x:c r="R423" s="15" t="n">
        <x:f>IF(E423=0,"해당 없음",J423/E423)</x:f>
        <x:v>0.019417475728155338</x:v>
      </x:c>
      <x:c r="S423" s="15" t="n">
        <x:f>IF(E423=0,"해당 없음",K423/E423)</x:f>
        <x:v>0.009708737864077669</x:v>
      </x:c>
      <x:c r="T423" s="15" t="n">
        <x:f>IF(E423=0,"해당 없음",L423/E423)</x:f>
        <x:v>0.1650485436893204</x:v>
      </x:c>
      <x:c r="U423" s="15" t="n">
        <x:f>IF(E423=0,"해당 없음",M423/E423)</x:f>
        <x:v>0.04854368932038835</x:v>
      </x:c>
      <x:c r="V423" s="16" t="n">
        <x:f>E423/5</x:f>
        <x:v>20.6</x:v>
      </x:c>
    </x:row>
    <x:row r="424" ht="22" customHeight="1">
      <x:c r="A424" s="2" t="n">
        <x:v>210</x:v>
      </x:c>
      <x:c r="B424" s="2" t="str">
        <x:v>RED</x:v>
      </x:c>
      <x:c r="C424" s="2" t="str">
        <x:v>규칙형</x:v>
      </x:c>
      <x:c r="D424" s="2" t="str">
        <x:v>200만</x:v>
      </x:c>
      <x:c r="E424" s="14" t="n">
        <x:f>SUM(F424:M424)</x:f>
        <x:v>102</x:v>
      </x:c>
      <x:c r="F424" s="14" t="n">
        <x:v>36</x:v>
      </x:c>
      <x:c r="G424" s="14" t="n">
        <x:v>11</x:v>
      </x:c>
      <x:c r="H424" s="14" t="n">
        <x:v>3</x:v>
      </x:c>
      <x:c r="I424" s="14" t="n">
        <x:v>19</x:v>
      </x:c>
      <x:c r="J424" s="14" t="n">
        <x:v>3</x:v>
      </x:c>
      <x:c r="K424" s="14" t="n">
        <x:v>5</x:v>
      </x:c>
      <x:c r="L424" s="14" t="n">
        <x:v>19</x:v>
      </x:c>
      <x:c r="M424" s="14" t="n">
        <x:v>6</x:v>
      </x:c>
      <x:c r="N424" s="15" t="n">
        <x:f>IF(E424=0,"해당 없음",F424/E424)</x:f>
        <x:v>0.35294117647058826</x:v>
      </x:c>
      <x:c r="O424" s="15" t="n">
        <x:f>IF(E424=0,"해당 없음",G424/E424)</x:f>
        <x:v>0.10784313725490197</x:v>
      </x:c>
      <x:c r="P424" s="15" t="n">
        <x:f>IF(E424=0,"해당 없음",H424/E424)</x:f>
        <x:v>0.029411764705882353</x:v>
      </x:c>
      <x:c r="Q424" s="15" t="n">
        <x:f>IF(E424=0,"해당 없음",I424/E424)</x:f>
        <x:v>0.18627450980392157</x:v>
      </x:c>
      <x:c r="R424" s="15" t="n">
        <x:f>IF(E424=0,"해당 없음",J424/E424)</x:f>
        <x:v>0.029411764705882353</x:v>
      </x:c>
      <x:c r="S424" s="15" t="n">
        <x:f>IF(E424=0,"해당 없음",K424/E424)</x:f>
        <x:v>0.049019607843137254</x:v>
      </x:c>
      <x:c r="T424" s="15" t="n">
        <x:f>IF(E424=0,"해당 없음",L424/E424)</x:f>
        <x:v>0.18627450980392157</x:v>
      </x:c>
      <x:c r="U424" s="15" t="n">
        <x:f>IF(E424=0,"해당 없음",M424/E424)</x:f>
        <x:v>0.058823529411764705</x:v>
      </x:c>
      <x:c r="V424" s="16" t="n">
        <x:f>E424/5</x:f>
        <x:v>20.4</x:v>
      </x:c>
    </x:row>
    <x:row r="425" ht="22" customHeight="1">
      <x:c r="A425" s="2" t="n">
        <x:v>210</x:v>
      </x:c>
      <x:c r="B425" s="2" t="str">
        <x:v>NAVY</x:v>
      </x:c>
      <x:c r="C425" s="2" t="str">
        <x:v>200만</x:v>
      </x:c>
      <x:c r="D425" s="2" t="str">
        <x:v>규칙형</x:v>
      </x:c>
      <x:c r="E425" s="14" t="n">
        <x:f>SUM(F425:M425)</x:f>
        <x:v>105</x:v>
      </x:c>
      <x:c r="F425" s="14" t="n">
        <x:v>5</x:v>
      </x:c>
      <x:c r="G425" s="14" t="n">
        <x:v>10</x:v>
      </x:c>
      <x:c r="H425" s="14" t="n">
        <x:v>5</x:v>
      </x:c>
      <x:c r="I425" s="14" t="n">
        <x:v>0</x:v>
      </x:c>
      <x:c r="J425" s="14" t="n">
        <x:v>2</x:v>
      </x:c>
      <x:c r="K425" s="14" t="n">
        <x:v>4</x:v>
      </x:c>
      <x:c r="L425" s="14" t="n">
        <x:v>30</x:v>
      </x:c>
      <x:c r="M425" s="14" t="n">
        <x:v>49</x:v>
      </x:c>
      <x:c r="N425" s="15" t="n">
        <x:f>IF(E425=0,"해당 없음",F425/E425)</x:f>
        <x:v>0.047619047619047616</x:v>
      </x:c>
      <x:c r="O425" s="15" t="n">
        <x:f>IF(E425=0,"해당 없음",G425/E425)</x:f>
        <x:v>0.09523809523809523</x:v>
      </x:c>
      <x:c r="P425" s="15" t="n">
        <x:f>IF(E425=0,"해당 없음",H425/E425)</x:f>
        <x:v>0.047619047619047616</x:v>
      </x:c>
      <x:c r="Q425" s="15" t="n">
        <x:f>IF(E425=0,"해당 없음",I425/E425)</x:f>
        <x:v>0</x:v>
      </x:c>
      <x:c r="R425" s="15" t="n">
        <x:f>IF(E425=0,"해당 없음",J425/E425)</x:f>
        <x:v>0.01904761904761905</x:v>
      </x:c>
      <x:c r="S425" s="15" t="n">
        <x:f>IF(E425=0,"해당 없음",K425/E425)</x:f>
        <x:v>0.0380952380952381</x:v>
      </x:c>
      <x:c r="T425" s="15" t="n">
        <x:f>IF(E425=0,"해당 없음",L425/E425)</x:f>
        <x:v>0.2857142857142857</x:v>
      </x:c>
      <x:c r="U425" s="15" t="n">
        <x:f>IF(E425=0,"해당 없음",M425/E425)</x:f>
        <x:v>0.4666666666666667</x:v>
      </x:c>
      <x:c r="V425" s="16" t="n">
        <x:f>E425/5</x:f>
        <x:v>21</x:v>
      </x:c>
    </x:row>
    <x:row r="426" ht="22" customHeight="1">
      <x:c r="A426" s="2" t="n">
        <x:v>211</x:v>
      </x:c>
      <x:c r="B426" s="2" t="str">
        <x:v>RED</x:v>
      </x:c>
      <x:c r="C426" s="2" t="str">
        <x:v>200만</x:v>
      </x:c>
      <x:c r="D426" s="2" t="str">
        <x:v>규칙형</x:v>
      </x:c>
      <x:c r="E426" s="14" t="n">
        <x:f>SUM(F426:M426)</x:f>
        <x:v>104</x:v>
      </x:c>
      <x:c r="F426" s="14" t="n">
        <x:v>3</x:v>
      </x:c>
      <x:c r="G426" s="14" t="n">
        <x:v>12</x:v>
      </x:c>
      <x:c r="H426" s="14" t="n">
        <x:v>4</x:v>
      </x:c>
      <x:c r="I426" s="14" t="n">
        <x:v>8</x:v>
      </x:c>
      <x:c r="J426" s="14" t="n">
        <x:v>3</x:v>
      </x:c>
      <x:c r="K426" s="14" t="n">
        <x:v>6</x:v>
      </x:c>
      <x:c r="L426" s="14" t="n">
        <x:v>34</x:v>
      </x:c>
      <x:c r="M426" s="14" t="n">
        <x:v>34</x:v>
      </x:c>
      <x:c r="N426" s="15" t="n">
        <x:f>IF(E426=0,"해당 없음",F426/E426)</x:f>
        <x:v>0.028846153846153848</x:v>
      </x:c>
      <x:c r="O426" s="15" t="n">
        <x:f>IF(E426=0,"해당 없음",G426/E426)</x:f>
        <x:v>0.11538461538461539</x:v>
      </x:c>
      <x:c r="P426" s="15" t="n">
        <x:f>IF(E426=0,"해당 없음",H426/E426)</x:f>
        <x:v>0.038461538461538464</x:v>
      </x:c>
      <x:c r="Q426" s="15" t="n">
        <x:f>IF(E426=0,"해당 없음",I426/E426)</x:f>
        <x:v>0.07692307692307693</x:v>
      </x:c>
      <x:c r="R426" s="15" t="n">
        <x:f>IF(E426=0,"해당 없음",J426/E426)</x:f>
        <x:v>0.028846153846153848</x:v>
      </x:c>
      <x:c r="S426" s="15" t="n">
        <x:f>IF(E426=0,"해당 없음",K426/E426)</x:f>
        <x:v>0.057692307692307696</x:v>
      </x:c>
      <x:c r="T426" s="15" t="n">
        <x:f>IF(E426=0,"해당 없음",L426/E426)</x:f>
        <x:v>0.3269230769230769</x:v>
      </x:c>
      <x:c r="U426" s="15" t="n">
        <x:f>IF(E426=0,"해당 없음",M426/E426)</x:f>
        <x:v>0.3269230769230769</x:v>
      </x:c>
      <x:c r="V426" s="16" t="n">
        <x:f>E426/5</x:f>
        <x:v>20.8</x:v>
      </x:c>
    </x:row>
    <x:row r="427" ht="22" customHeight="1">
      <x:c r="A427" s="2" t="n">
        <x:v>211</x:v>
      </x:c>
      <x:c r="B427" s="2" t="str">
        <x:v>NAVY</x:v>
      </x:c>
      <x:c r="C427" s="2" t="str">
        <x:v>규칙형</x:v>
      </x:c>
      <x:c r="D427" s="2" t="str">
        <x:v>200만</x:v>
      </x:c>
      <x:c r="E427" s="14" t="n">
        <x:f>SUM(F427:M427)</x:f>
        <x:v>103</x:v>
      </x:c>
      <x:c r="F427" s="14" t="n">
        <x:v>38</x:v>
      </x:c>
      <x:c r="G427" s="14" t="n">
        <x:v>4</x:v>
      </x:c>
      <x:c r="H427" s="14" t="n">
        <x:v>11</x:v>
      </x:c>
      <x:c r="I427" s="14" t="n">
        <x:v>10</x:v>
      </x:c>
      <x:c r="J427" s="14" t="n">
        <x:v>5</x:v>
      </x:c>
      <x:c r="K427" s="14" t="n">
        <x:v>5</x:v>
      </x:c>
      <x:c r="L427" s="14" t="n">
        <x:v>22</x:v>
      </x:c>
      <x:c r="M427" s="14" t="n">
        <x:v>8</x:v>
      </x:c>
      <x:c r="N427" s="15" t="n">
        <x:f>IF(E427=0,"해당 없음",F427/E427)</x:f>
        <x:v>0.36893203883495146</x:v>
      </x:c>
      <x:c r="O427" s="15" t="n">
        <x:f>IF(E427=0,"해당 없음",G427/E427)</x:f>
        <x:v>0.038834951456310676</x:v>
      </x:c>
      <x:c r="P427" s="15" t="n">
        <x:f>IF(E427=0,"해당 없음",H427/E427)</x:f>
        <x:v>0.10679611650485436</x:v>
      </x:c>
      <x:c r="Q427" s="15" t="n">
        <x:f>IF(E427=0,"해당 없음",I427/E427)</x:f>
        <x:v>0.0970873786407767</x:v>
      </x:c>
      <x:c r="R427" s="15" t="n">
        <x:f>IF(E427=0,"해당 없음",J427/E427)</x:f>
        <x:v>0.04854368932038835</x:v>
      </x:c>
      <x:c r="S427" s="15" t="n">
        <x:f>IF(E427=0,"해당 없음",K427/E427)</x:f>
        <x:v>0.04854368932038835</x:v>
      </x:c>
      <x:c r="T427" s="15" t="n">
        <x:f>IF(E427=0,"해당 없음",L427/E427)</x:f>
        <x:v>0.21359223300970873</x:v>
      </x:c>
      <x:c r="U427" s="15" t="n">
        <x:f>IF(E427=0,"해당 없음",M427/E427)</x:f>
        <x:v>0.07766990291262135</x:v>
      </x:c>
      <x:c r="V427" s="16" t="n">
        <x:f>E427/5</x:f>
        <x:v>20.6</x:v>
      </x:c>
    </x:row>
    <x:row r="428" ht="22" customHeight="1">
      <x:c r="A428" s="2" t="n">
        <x:v>212</x:v>
      </x:c>
      <x:c r="B428" s="2" t="str">
        <x:v>RED</x:v>
      </x:c>
      <x:c r="C428" s="2" t="str">
        <x:v>규칙형</x:v>
      </x:c>
      <x:c r="D428" s="2" t="str">
        <x:v>200만</x:v>
      </x:c>
      <x:c r="E428" s="14" t="n">
        <x:f>SUM(F428:M428)</x:f>
        <x:v>104</x:v>
      </x:c>
      <x:c r="F428" s="14" t="n">
        <x:v>40</x:v>
      </x:c>
      <x:c r="G428" s="14" t="n">
        <x:v>4</x:v>
      </x:c>
      <x:c r="H428" s="14" t="n">
        <x:v>3</x:v>
      </x:c>
      <x:c r="I428" s="14" t="n">
        <x:v>16</x:v>
      </x:c>
      <x:c r="J428" s="14" t="n">
        <x:v>6</x:v>
      </x:c>
      <x:c r="K428" s="14" t="n">
        <x:v>9</x:v>
      </x:c>
      <x:c r="L428" s="14" t="n">
        <x:v>19</x:v>
      </x:c>
      <x:c r="M428" s="14" t="n">
        <x:v>7</x:v>
      </x:c>
      <x:c r="N428" s="15" t="n">
        <x:f>IF(E428=0,"해당 없음",F428/E428)</x:f>
        <x:v>0.38461538461538464</x:v>
      </x:c>
      <x:c r="O428" s="15" t="n">
        <x:f>IF(E428=0,"해당 없음",G428/E428)</x:f>
        <x:v>0.038461538461538464</x:v>
      </x:c>
      <x:c r="P428" s="15" t="n">
        <x:f>IF(E428=0,"해당 없음",H428/E428)</x:f>
        <x:v>0.028846153846153848</x:v>
      </x:c>
      <x:c r="Q428" s="15" t="n">
        <x:f>IF(E428=0,"해당 없음",I428/E428)</x:f>
        <x:v>0.15384615384615385</x:v>
      </x:c>
      <x:c r="R428" s="15" t="n">
        <x:f>IF(E428=0,"해당 없음",J428/E428)</x:f>
        <x:v>0.057692307692307696</x:v>
      </x:c>
      <x:c r="S428" s="15" t="n">
        <x:f>IF(E428=0,"해당 없음",K428/E428)</x:f>
        <x:v>0.08653846153846154</x:v>
      </x:c>
      <x:c r="T428" s="15" t="n">
        <x:f>IF(E428=0,"해당 없음",L428/E428)</x:f>
        <x:v>0.18269230769230768</x:v>
      </x:c>
      <x:c r="U428" s="15" t="n">
        <x:f>IF(E428=0,"해당 없음",M428/E428)</x:f>
        <x:v>0.0673076923076923</x:v>
      </x:c>
      <x:c r="V428" s="16" t="n">
        <x:f>E428/5</x:f>
        <x:v>20.8</x:v>
      </x:c>
    </x:row>
    <x:row r="429" ht="22" customHeight="1">
      <x:c r="A429" s="2" t="n">
        <x:v>212</x:v>
      </x:c>
      <x:c r="B429" s="2" t="str">
        <x:v>NAVY</x:v>
      </x:c>
      <x:c r="C429" s="2" t="str">
        <x:v>200만</x:v>
      </x:c>
      <x:c r="D429" s="2" t="str">
        <x:v>규칙형</x:v>
      </x:c>
      <x:c r="E429" s="14" t="n">
        <x:f>SUM(F429:M429)</x:f>
        <x:v>104</x:v>
      </x:c>
      <x:c r="F429" s="14" t="n">
        <x:v>3</x:v>
      </x:c>
      <x:c r="G429" s="14" t="n">
        <x:v>22</x:v>
      </x:c>
      <x:c r="H429" s="14" t="n">
        <x:v>5</x:v>
      </x:c>
      <x:c r="I429" s="14" t="n">
        <x:v>3</x:v>
      </x:c>
      <x:c r="J429" s="14" t="n">
        <x:v>1</x:v>
      </x:c>
      <x:c r="K429" s="14" t="n">
        <x:v>4</x:v>
      </x:c>
      <x:c r="L429" s="14" t="n">
        <x:v>30</x:v>
      </x:c>
      <x:c r="M429" s="14" t="n">
        <x:v>36</x:v>
      </x:c>
      <x:c r="N429" s="15" t="n">
        <x:f>IF(E429=0,"해당 없음",F429/E429)</x:f>
        <x:v>0.028846153846153848</x:v>
      </x:c>
      <x:c r="O429" s="15" t="n">
        <x:f>IF(E429=0,"해당 없음",G429/E429)</x:f>
        <x:v>0.21153846153846154</x:v>
      </x:c>
      <x:c r="P429" s="15" t="n">
        <x:f>IF(E429=0,"해당 없음",H429/E429)</x:f>
        <x:v>0.04807692307692308</x:v>
      </x:c>
      <x:c r="Q429" s="15" t="n">
        <x:f>IF(E429=0,"해당 없음",I429/E429)</x:f>
        <x:v>0.028846153846153848</x:v>
      </x:c>
      <x:c r="R429" s="15" t="n">
        <x:f>IF(E429=0,"해당 없음",J429/E429)</x:f>
        <x:v>0.009615384615384616</x:v>
      </x:c>
      <x:c r="S429" s="15" t="n">
        <x:f>IF(E429=0,"해당 없음",K429/E429)</x:f>
        <x:v>0.038461538461538464</x:v>
      </x:c>
      <x:c r="T429" s="15" t="n">
        <x:f>IF(E429=0,"해당 없음",L429/E429)</x:f>
        <x:v>0.28846153846153844</x:v>
      </x:c>
      <x:c r="U429" s="15" t="n">
        <x:f>IF(E429=0,"해당 없음",M429/E429)</x:f>
        <x:v>0.34615384615384615</x:v>
      </x:c>
      <x:c r="V429" s="16" t="n">
        <x:f>E429/5</x:f>
        <x:v>20.8</x:v>
      </x:c>
    </x:row>
    <x:row r="430" ht="22" customHeight="1">
      <x:c r="A430" s="2" t="n">
        <x:v>213</x:v>
      </x:c>
      <x:c r="B430" s="2" t="str">
        <x:v>RED</x:v>
      </x:c>
      <x:c r="C430" s="2" t="str">
        <x:v>200만</x:v>
      </x:c>
      <x:c r="D430" s="2" t="str">
        <x:v>규칙형</x:v>
      </x:c>
      <x:c r="E430" s="14" t="n">
        <x:f>SUM(F430:M430)</x:f>
        <x:v>100</x:v>
      </x:c>
      <x:c r="F430" s="14" t="n">
        <x:v>1</x:v>
      </x:c>
      <x:c r="G430" s="14" t="n">
        <x:v>14</x:v>
      </x:c>
      <x:c r="H430" s="14" t="n">
        <x:v>2</x:v>
      </x:c>
      <x:c r="I430" s="14" t="n">
        <x:v>0</x:v>
      </x:c>
      <x:c r="J430" s="14" t="n">
        <x:v>3</x:v>
      </x:c>
      <x:c r="K430" s="14" t="n">
        <x:v>0</x:v>
      </x:c>
      <x:c r="L430" s="14" t="n">
        <x:v>18</x:v>
      </x:c>
      <x:c r="M430" s="14" t="n">
        <x:v>62</x:v>
      </x:c>
      <x:c r="N430" s="15" t="n">
        <x:f>IF(E430=0,"해당 없음",F430/E430)</x:f>
        <x:v>0.01</x:v>
      </x:c>
      <x:c r="O430" s="15" t="n">
        <x:f>IF(E430=0,"해당 없음",G430/E430)</x:f>
        <x:v>0.14</x:v>
      </x:c>
      <x:c r="P430" s="15" t="n">
        <x:f>IF(E430=0,"해당 없음",H430/E430)</x:f>
        <x:v>0.02</x:v>
      </x:c>
      <x:c r="Q430" s="15" t="n">
        <x:f>IF(E430=0,"해당 없음",I430/E430)</x:f>
        <x:v>0</x:v>
      </x:c>
      <x:c r="R430" s="15" t="n">
        <x:f>IF(E430=0,"해당 없음",J430/E430)</x:f>
        <x:v>0.03</x:v>
      </x:c>
      <x:c r="S430" s="15" t="n">
        <x:f>IF(E430=0,"해당 없음",K430/E430)</x:f>
        <x:v>0</x:v>
      </x:c>
      <x:c r="T430" s="15" t="n">
        <x:f>IF(E430=0,"해당 없음",L430/E430)</x:f>
        <x:v>0.18</x:v>
      </x:c>
      <x:c r="U430" s="15" t="n">
        <x:f>IF(E430=0,"해당 없음",M430/E430)</x:f>
        <x:v>0.62</x:v>
      </x:c>
      <x:c r="V430" s="16" t="n">
        <x:f>E430/5</x:f>
        <x:v>20</x:v>
      </x:c>
    </x:row>
    <x:row r="431" ht="22" customHeight="1">
      <x:c r="A431" s="2" t="n">
        <x:v>213</x:v>
      </x:c>
      <x:c r="B431" s="2" t="str">
        <x:v>NAVY</x:v>
      </x:c>
      <x:c r="C431" s="2" t="str">
        <x:v>규칙형</x:v>
      </x:c>
      <x:c r="D431" s="2" t="str">
        <x:v>200만</x:v>
      </x:c>
      <x:c r="E431" s="14" t="n">
        <x:f>SUM(F431:M431)</x:f>
        <x:v>102</x:v>
      </x:c>
      <x:c r="F431" s="14" t="n">
        <x:v>45</x:v>
      </x:c>
      <x:c r="G431" s="14" t="n">
        <x:v>6</x:v>
      </x:c>
      <x:c r="H431" s="14" t="n">
        <x:v>11</x:v>
      </x:c>
      <x:c r="I431" s="14" t="n">
        <x:v>16</x:v>
      </x:c>
      <x:c r="J431" s="14" t="n">
        <x:v>4</x:v>
      </x:c>
      <x:c r="K431" s="14" t="n">
        <x:v>0</x:v>
      </x:c>
      <x:c r="L431" s="14" t="n">
        <x:v>17</x:v>
      </x:c>
      <x:c r="M431" s="14" t="n">
        <x:v>3</x:v>
      </x:c>
      <x:c r="N431" s="15" t="n">
        <x:f>IF(E431=0,"해당 없음",F431/E431)</x:f>
        <x:v>0.4411764705882353</x:v>
      </x:c>
      <x:c r="O431" s="15" t="n">
        <x:f>IF(E431=0,"해당 없음",G431/E431)</x:f>
        <x:v>0.058823529411764705</x:v>
      </x:c>
      <x:c r="P431" s="15" t="n">
        <x:f>IF(E431=0,"해당 없음",H431/E431)</x:f>
        <x:v>0.10784313725490197</x:v>
      </x:c>
      <x:c r="Q431" s="15" t="n">
        <x:f>IF(E431=0,"해당 없음",I431/E431)</x:f>
        <x:v>0.1568627450980392</x:v>
      </x:c>
      <x:c r="R431" s="15" t="n">
        <x:f>IF(E431=0,"해당 없음",J431/E431)</x:f>
        <x:v>0.0392156862745098</x:v>
      </x:c>
      <x:c r="S431" s="15" t="n">
        <x:f>IF(E431=0,"해당 없음",K431/E431)</x:f>
        <x:v>0</x:v>
      </x:c>
      <x:c r="T431" s="15" t="n">
        <x:f>IF(E431=0,"해당 없음",L431/E431)</x:f>
        <x:v>0.16666666666666666</x:v>
      </x:c>
      <x:c r="U431" s="15" t="n">
        <x:f>IF(E431=0,"해당 없음",M431/E431)</x:f>
        <x:v>0.029411764705882353</x:v>
      </x:c>
      <x:c r="V431" s="16" t="n">
        <x:f>E431/5</x:f>
        <x:v>20.4</x:v>
      </x:c>
    </x:row>
    <x:row r="432" ht="22" customHeight="1">
      <x:c r="A432" s="2" t="n">
        <x:v>214</x:v>
      </x:c>
      <x:c r="B432" s="2" t="str">
        <x:v>RED</x:v>
      </x:c>
      <x:c r="C432" s="2" t="str">
        <x:v>규칙형</x:v>
      </x:c>
      <x:c r="D432" s="2" t="str">
        <x:v>200만</x:v>
      </x:c>
      <x:c r="E432" s="14" t="n">
        <x:f>SUM(F432:M432)</x:f>
        <x:v>104</x:v>
      </x:c>
      <x:c r="F432" s="14" t="n">
        <x:v>43</x:v>
      </x:c>
      <x:c r="G432" s="14" t="n">
        <x:v>8</x:v>
      </x:c>
      <x:c r="H432" s="14" t="n">
        <x:v>12</x:v>
      </x:c>
      <x:c r="I432" s="14" t="n">
        <x:v>17</x:v>
      </x:c>
      <x:c r="J432" s="14" t="n">
        <x:v>2</x:v>
      </x:c>
      <x:c r="K432" s="14" t="n">
        <x:v>3</x:v>
      </x:c>
      <x:c r="L432" s="14" t="n">
        <x:v>15</x:v>
      </x:c>
      <x:c r="M432" s="14" t="n">
        <x:v>4</x:v>
      </x:c>
      <x:c r="N432" s="15" t="n">
        <x:f>IF(E432=0,"해당 없음",F432/E432)</x:f>
        <x:v>0.41346153846153844</x:v>
      </x:c>
      <x:c r="O432" s="15" t="n">
        <x:f>IF(E432=0,"해당 없음",G432/E432)</x:f>
        <x:v>0.07692307692307693</x:v>
      </x:c>
      <x:c r="P432" s="15" t="n">
        <x:f>IF(E432=0,"해당 없음",H432/E432)</x:f>
        <x:v>0.11538461538461539</x:v>
      </x:c>
      <x:c r="Q432" s="15" t="n">
        <x:f>IF(E432=0,"해당 없음",I432/E432)</x:f>
        <x:v>0.16346153846153846</x:v>
      </x:c>
      <x:c r="R432" s="15" t="n">
        <x:f>IF(E432=0,"해당 없음",J432/E432)</x:f>
        <x:v>0.019230769230769232</x:v>
      </x:c>
      <x:c r="S432" s="15" t="n">
        <x:f>IF(E432=0,"해당 없음",K432/E432)</x:f>
        <x:v>0.028846153846153848</x:v>
      </x:c>
      <x:c r="T432" s="15" t="n">
        <x:f>IF(E432=0,"해당 없음",L432/E432)</x:f>
        <x:v>0.14423076923076922</x:v>
      </x:c>
      <x:c r="U432" s="15" t="n">
        <x:f>IF(E432=0,"해당 없음",M432/E432)</x:f>
        <x:v>0.038461538461538464</x:v>
      </x:c>
      <x:c r="V432" s="16" t="n">
        <x:f>E432/5</x:f>
        <x:v>20.8</x:v>
      </x:c>
    </x:row>
    <x:row r="433" ht="22" customHeight="1">
      <x:c r="A433" s="2" t="n">
        <x:v>214</x:v>
      </x:c>
      <x:c r="B433" s="2" t="str">
        <x:v>NAVY</x:v>
      </x:c>
      <x:c r="C433" s="2" t="str">
        <x:v>200만</x:v>
      </x:c>
      <x:c r="D433" s="2" t="str">
        <x:v>규칙형</x:v>
      </x:c>
      <x:c r="E433" s="14" t="n">
        <x:f>SUM(F433:M433)</x:f>
        <x:v>104</x:v>
      </x:c>
      <x:c r="F433" s="14" t="n">
        <x:v>3</x:v>
      </x:c>
      <x:c r="G433" s="14" t="n">
        <x:v>23</x:v>
      </x:c>
      <x:c r="H433" s="14" t="n">
        <x:v>4</x:v>
      </x:c>
      <x:c r="I433" s="14" t="n">
        <x:v>4</x:v>
      </x:c>
      <x:c r="J433" s="14" t="n">
        <x:v>5</x:v>
      </x:c>
      <x:c r="K433" s="14" t="n">
        <x:v>2</x:v>
      </x:c>
      <x:c r="L433" s="14" t="n">
        <x:v>38</x:v>
      </x:c>
      <x:c r="M433" s="14" t="n">
        <x:v>25</x:v>
      </x:c>
      <x:c r="N433" s="15" t="n">
        <x:f>IF(E433=0,"해당 없음",F433/E433)</x:f>
        <x:v>0.028846153846153848</x:v>
      </x:c>
      <x:c r="O433" s="15" t="n">
        <x:f>IF(E433=0,"해당 없음",G433/E433)</x:f>
        <x:v>0.22115384615384615</x:v>
      </x:c>
      <x:c r="P433" s="15" t="n">
        <x:f>IF(E433=0,"해당 없음",H433/E433)</x:f>
        <x:v>0.038461538461538464</x:v>
      </x:c>
      <x:c r="Q433" s="15" t="n">
        <x:f>IF(E433=0,"해당 없음",I433/E433)</x:f>
        <x:v>0.038461538461538464</x:v>
      </x:c>
      <x:c r="R433" s="15" t="n">
        <x:f>IF(E433=0,"해당 없음",J433/E433)</x:f>
        <x:v>0.04807692307692308</x:v>
      </x:c>
      <x:c r="S433" s="15" t="n">
        <x:f>IF(E433=0,"해당 없음",K433/E433)</x:f>
        <x:v>0.019230769230769232</x:v>
      </x:c>
      <x:c r="T433" s="15" t="n">
        <x:f>IF(E433=0,"해당 없음",L433/E433)</x:f>
        <x:v>0.36538461538461536</x:v>
      </x:c>
      <x:c r="U433" s="15" t="n">
        <x:f>IF(E433=0,"해당 없음",M433/E433)</x:f>
        <x:v>0.2403846153846154</x:v>
      </x:c>
      <x:c r="V433" s="16" t="n">
        <x:f>E433/5</x:f>
        <x:v>20.8</x:v>
      </x:c>
    </x:row>
    <x:row r="434" ht="22" customHeight="1">
      <x:c r="A434" s="2" t="n">
        <x:v>215</x:v>
      </x:c>
      <x:c r="B434" s="2" t="str">
        <x:v>RED</x:v>
      </x:c>
      <x:c r="C434" s="2" t="str">
        <x:v>200만</x:v>
      </x:c>
      <x:c r="D434" s="2" t="str">
        <x:v>규칙형</x:v>
      </x:c>
      <x:c r="E434" s="14" t="n">
        <x:f>SUM(F434:M434)</x:f>
        <x:v>101</x:v>
      </x:c>
      <x:c r="F434" s="14" t="n">
        <x:v>3</x:v>
      </x:c>
      <x:c r="G434" s="14" t="n">
        <x:v>15</x:v>
      </x:c>
      <x:c r="H434" s="14" t="n">
        <x:v>7</x:v>
      </x:c>
      <x:c r="I434" s="14" t="n">
        <x:v>2</x:v>
      </x:c>
      <x:c r="J434" s="14" t="n">
        <x:v>2</x:v>
      </x:c>
      <x:c r="K434" s="14" t="n">
        <x:v>7</x:v>
      </x:c>
      <x:c r="L434" s="14" t="n">
        <x:v>29</x:v>
      </x:c>
      <x:c r="M434" s="14" t="n">
        <x:v>36</x:v>
      </x:c>
      <x:c r="N434" s="15" t="n">
        <x:f>IF(E434=0,"해당 없음",F434/E434)</x:f>
        <x:v>0.0297029702970297</x:v>
      </x:c>
      <x:c r="O434" s="15" t="n">
        <x:f>IF(E434=0,"해당 없음",G434/E434)</x:f>
        <x:v>0.1485148514851485</x:v>
      </x:c>
      <x:c r="P434" s="15" t="n">
        <x:f>IF(E434=0,"해당 없음",H434/E434)</x:f>
        <x:v>0.06930693069306931</x:v>
      </x:c>
      <x:c r="Q434" s="15" t="n">
        <x:f>IF(E434=0,"해당 없음",I434/E434)</x:f>
        <x:v>0.019801980198019802</x:v>
      </x:c>
      <x:c r="R434" s="15" t="n">
        <x:f>IF(E434=0,"해당 없음",J434/E434)</x:f>
        <x:v>0.019801980198019802</x:v>
      </x:c>
      <x:c r="S434" s="15" t="n">
        <x:f>IF(E434=0,"해당 없음",K434/E434)</x:f>
        <x:v>0.06930693069306931</x:v>
      </x:c>
      <x:c r="T434" s="15" t="n">
        <x:f>IF(E434=0,"해당 없음",L434/E434)</x:f>
        <x:v>0.2871287128712871</x:v>
      </x:c>
      <x:c r="U434" s="15" t="n">
        <x:f>IF(E434=0,"해당 없음",M434/E434)</x:f>
        <x:v>0.3564356435643564</x:v>
      </x:c>
      <x:c r="V434" s="16" t="n">
        <x:f>E434/5</x:f>
        <x:v>20.2</x:v>
      </x:c>
    </x:row>
    <x:row r="435" ht="22" customHeight="1">
      <x:c r="A435" s="2" t="n">
        <x:v>215</x:v>
      </x:c>
      <x:c r="B435" s="2" t="str">
        <x:v>NAVY</x:v>
      </x:c>
      <x:c r="C435" s="2" t="str">
        <x:v>규칙형</x:v>
      </x:c>
      <x:c r="D435" s="2" t="str">
        <x:v>200만</x:v>
      </x:c>
      <x:c r="E435" s="14" t="n">
        <x:f>SUM(F435:M435)</x:f>
        <x:v>103</x:v>
      </x:c>
      <x:c r="F435" s="14" t="n">
        <x:v>35</x:v>
      </x:c>
      <x:c r="G435" s="14" t="n">
        <x:v>4</x:v>
      </x:c>
      <x:c r="H435" s="14" t="n">
        <x:v>7</x:v>
      </x:c>
      <x:c r="I435" s="14" t="n">
        <x:v>13</x:v>
      </x:c>
      <x:c r="J435" s="14" t="n">
        <x:v>8</x:v>
      </x:c>
      <x:c r="K435" s="14" t="n">
        <x:v>5</x:v>
      </x:c>
      <x:c r="L435" s="14" t="n">
        <x:v>24</x:v>
      </x:c>
      <x:c r="M435" s="14" t="n">
        <x:v>7</x:v>
      </x:c>
      <x:c r="N435" s="15" t="n">
        <x:f>IF(E435=0,"해당 없음",F435/E435)</x:f>
        <x:v>0.33980582524271846</x:v>
      </x:c>
      <x:c r="O435" s="15" t="n">
        <x:f>IF(E435=0,"해당 없음",G435/E435)</x:f>
        <x:v>0.038834951456310676</x:v>
      </x:c>
      <x:c r="P435" s="15" t="n">
        <x:f>IF(E435=0,"해당 없음",H435/E435)</x:f>
        <x:v>0.06796116504854369</x:v>
      </x:c>
      <x:c r="Q435" s="15" t="n">
        <x:f>IF(E435=0,"해당 없음",I435/E435)</x:f>
        <x:v>0.1262135922330097</x:v>
      </x:c>
      <x:c r="R435" s="15" t="n">
        <x:f>IF(E435=0,"해당 없음",J435/E435)</x:f>
        <x:v>0.07766990291262135</x:v>
      </x:c>
      <x:c r="S435" s="15" t="n">
        <x:f>IF(E435=0,"해당 없음",K435/E435)</x:f>
        <x:v>0.04854368932038835</x:v>
      </x:c>
      <x:c r="T435" s="15" t="n">
        <x:f>IF(E435=0,"해당 없음",L435/E435)</x:f>
        <x:v>0.23300970873786409</x:v>
      </x:c>
      <x:c r="U435" s="15" t="n">
        <x:f>IF(E435=0,"해당 없음",M435/E435)</x:f>
        <x:v>0.06796116504854369</x:v>
      </x:c>
      <x:c r="V435" s="16" t="n">
        <x:f>E435/5</x:f>
        <x:v>20.6</x:v>
      </x:c>
    </x:row>
    <x:row r="436" ht="22" customHeight="1">
      <x:c r="A436" s="2" t="n">
        <x:v>216</x:v>
      </x:c>
      <x:c r="B436" s="2" t="str">
        <x:v>RED</x:v>
      </x:c>
      <x:c r="C436" s="2" t="str">
        <x:v>규칙형</x:v>
      </x:c>
      <x:c r="D436" s="2" t="str">
        <x:v>200만</x:v>
      </x:c>
      <x:c r="E436" s="14" t="n">
        <x:f>SUM(F436:M436)</x:f>
        <x:v>104</x:v>
      </x:c>
      <x:c r="F436" s="14" t="n">
        <x:v>33</x:v>
      </x:c>
      <x:c r="G436" s="14" t="n">
        <x:v>2</x:v>
      </x:c>
      <x:c r="H436" s="14" t="n">
        <x:v>11</x:v>
      </x:c>
      <x:c r="I436" s="14" t="n">
        <x:v>19</x:v>
      </x:c>
      <x:c r="J436" s="14" t="n">
        <x:v>8</x:v>
      </x:c>
      <x:c r="K436" s="14" t="n">
        <x:v>5</x:v>
      </x:c>
      <x:c r="L436" s="14" t="n">
        <x:v>19</x:v>
      </x:c>
      <x:c r="M436" s="14" t="n">
        <x:v>7</x:v>
      </x:c>
      <x:c r="N436" s="15" t="n">
        <x:f>IF(E436=0,"해당 없음",F436/E436)</x:f>
        <x:v>0.3173076923076923</x:v>
      </x:c>
      <x:c r="O436" s="15" t="n">
        <x:f>IF(E436=0,"해당 없음",G436/E436)</x:f>
        <x:v>0.019230769230769232</x:v>
      </x:c>
      <x:c r="P436" s="15" t="n">
        <x:f>IF(E436=0,"해당 없음",H436/E436)</x:f>
        <x:v>0.10576923076923077</x:v>
      </x:c>
      <x:c r="Q436" s="15" t="n">
        <x:f>IF(E436=0,"해당 없음",I436/E436)</x:f>
        <x:v>0.18269230769230768</x:v>
      </x:c>
      <x:c r="R436" s="15" t="n">
        <x:f>IF(E436=0,"해당 없음",J436/E436)</x:f>
        <x:v>0.07692307692307693</x:v>
      </x:c>
      <x:c r="S436" s="15" t="n">
        <x:f>IF(E436=0,"해당 없음",K436/E436)</x:f>
        <x:v>0.04807692307692308</x:v>
      </x:c>
      <x:c r="T436" s="15" t="n">
        <x:f>IF(E436=0,"해당 없음",L436/E436)</x:f>
        <x:v>0.18269230769230768</x:v>
      </x:c>
      <x:c r="U436" s="15" t="n">
        <x:f>IF(E436=0,"해당 없음",M436/E436)</x:f>
        <x:v>0.0673076923076923</x:v>
      </x:c>
      <x:c r="V436" s="16" t="n">
        <x:f>E436/5</x:f>
        <x:v>20.8</x:v>
      </x:c>
    </x:row>
    <x:row r="437" ht="22" customHeight="1">
      <x:c r="A437" s="2" t="n">
        <x:v>216</x:v>
      </x:c>
      <x:c r="B437" s="2" t="str">
        <x:v>NAVY</x:v>
      </x:c>
      <x:c r="C437" s="2" t="str">
        <x:v>200만</x:v>
      </x:c>
      <x:c r="D437" s="2" t="str">
        <x:v>규칙형</x:v>
      </x:c>
      <x:c r="E437" s="14" t="n">
        <x:f>SUM(F437:M437)</x:f>
        <x:v>105</x:v>
      </x:c>
      <x:c r="F437" s="14" t="n">
        <x:v>3</x:v>
      </x:c>
      <x:c r="G437" s="14" t="n">
        <x:v>15</x:v>
      </x:c>
      <x:c r="H437" s="14" t="n">
        <x:v>7</x:v>
      </x:c>
      <x:c r="I437" s="14" t="n">
        <x:v>1</x:v>
      </x:c>
      <x:c r="J437" s="14" t="n">
        <x:v>5</x:v>
      </x:c>
      <x:c r="K437" s="14" t="n">
        <x:v>0</x:v>
      </x:c>
      <x:c r="L437" s="14" t="n">
        <x:v>27</x:v>
      </x:c>
      <x:c r="M437" s="14" t="n">
        <x:v>47</x:v>
      </x:c>
      <x:c r="N437" s="15" t="n">
        <x:f>IF(E437=0,"해당 없음",F437/E437)</x:f>
        <x:v>0.02857142857142857</x:v>
      </x:c>
      <x:c r="O437" s="15" t="n">
        <x:f>IF(E437=0,"해당 없음",G437/E437)</x:f>
        <x:v>0.14285714285714285</x:v>
      </x:c>
      <x:c r="P437" s="15" t="n">
        <x:f>IF(E437=0,"해당 없음",H437/E437)</x:f>
        <x:v>0.06666666666666667</x:v>
      </x:c>
      <x:c r="Q437" s="15" t="n">
        <x:f>IF(E437=0,"해당 없음",I437/E437)</x:f>
        <x:v>0.009523809523809525</x:v>
      </x:c>
      <x:c r="R437" s="15" t="n">
        <x:f>IF(E437=0,"해당 없음",J437/E437)</x:f>
        <x:v>0.047619047619047616</x:v>
      </x:c>
      <x:c r="S437" s="15" t="n">
        <x:f>IF(E437=0,"해당 없음",K437/E437)</x:f>
        <x:v>0</x:v>
      </x:c>
      <x:c r="T437" s="15" t="n">
        <x:f>IF(E437=0,"해당 없음",L437/E437)</x:f>
        <x:v>0.2571428571428571</x:v>
      </x:c>
      <x:c r="U437" s="15" t="n">
        <x:f>IF(E437=0,"해당 없음",M437/E437)</x:f>
        <x:v>0.44761904761904764</x:v>
      </x:c>
      <x:c r="V437" s="16" t="n">
        <x:f>E437/5</x:f>
        <x:v>21</x:v>
      </x:c>
    </x:row>
    <x:row r="438" ht="22" customHeight="1">
      <x:c r="A438" s="2" t="n">
        <x:v>217</x:v>
      </x:c>
      <x:c r="B438" s="2" t="str">
        <x:v>RED</x:v>
      </x:c>
      <x:c r="C438" s="2" t="str">
        <x:v>200만</x:v>
      </x:c>
      <x:c r="D438" s="2" t="str">
        <x:v>규칙형</x:v>
      </x:c>
      <x:c r="E438" s="14" t="n">
        <x:f>SUM(F438:M438)</x:f>
        <x:v>106</x:v>
      </x:c>
      <x:c r="F438" s="14" t="n">
        <x:v>4</x:v>
      </x:c>
      <x:c r="G438" s="14" t="n">
        <x:v>12</x:v>
      </x:c>
      <x:c r="H438" s="14" t="n">
        <x:v>12</x:v>
      </x:c>
      <x:c r="I438" s="14" t="n">
        <x:v>3</x:v>
      </x:c>
      <x:c r="J438" s="14" t="n">
        <x:v>0</x:v>
      </x:c>
      <x:c r="K438" s="14" t="n">
        <x:v>6</x:v>
      </x:c>
      <x:c r="L438" s="14" t="n">
        <x:v>35</x:v>
      </x:c>
      <x:c r="M438" s="14" t="n">
        <x:v>34</x:v>
      </x:c>
      <x:c r="N438" s="15" t="n">
        <x:f>IF(E438=0,"해당 없음",F438/E438)</x:f>
        <x:v>0.03773584905660377</x:v>
      </x:c>
      <x:c r="O438" s="15" t="n">
        <x:f>IF(E438=0,"해당 없음",G438/E438)</x:f>
        <x:v>0.11320754716981132</x:v>
      </x:c>
      <x:c r="P438" s="15" t="n">
        <x:f>IF(E438=0,"해당 없음",H438/E438)</x:f>
        <x:v>0.11320754716981132</x:v>
      </x:c>
      <x:c r="Q438" s="15" t="n">
        <x:f>IF(E438=0,"해당 없음",I438/E438)</x:f>
        <x:v>0.02830188679245283</x:v>
      </x:c>
      <x:c r="R438" s="15" t="n">
        <x:f>IF(E438=0,"해당 없음",J438/E438)</x:f>
        <x:v>0</x:v>
      </x:c>
      <x:c r="S438" s="15" t="n">
        <x:f>IF(E438=0,"해당 없음",K438/E438)</x:f>
        <x:v>0.05660377358490566</x:v>
      </x:c>
      <x:c r="T438" s="15" t="n">
        <x:f>IF(E438=0,"해당 없음",L438/E438)</x:f>
        <x:v>0.330188679245283</x:v>
      </x:c>
      <x:c r="U438" s="15" t="n">
        <x:f>IF(E438=0,"해당 없음",M438/E438)</x:f>
        <x:v>0.32075471698113206</x:v>
      </x:c>
      <x:c r="V438" s="16" t="n">
        <x:f>E438/5</x:f>
        <x:v>21.2</x:v>
      </x:c>
    </x:row>
    <x:row r="439" ht="22" customHeight="1">
      <x:c r="A439" s="2" t="n">
        <x:v>217</x:v>
      </x:c>
      <x:c r="B439" s="2" t="str">
        <x:v>NAVY</x:v>
      </x:c>
      <x:c r="C439" s="2" t="str">
        <x:v>규칙형</x:v>
      </x:c>
      <x:c r="D439" s="2" t="str">
        <x:v>200만</x:v>
      </x:c>
      <x:c r="E439" s="14" t="n">
        <x:f>SUM(F439:M439)</x:f>
        <x:v>105</x:v>
      </x:c>
      <x:c r="F439" s="14" t="n">
        <x:v>33</x:v>
      </x:c>
      <x:c r="G439" s="14" t="n">
        <x:v>3</x:v>
      </x:c>
      <x:c r="H439" s="14" t="n">
        <x:v>4</x:v>
      </x:c>
      <x:c r="I439" s="14" t="n">
        <x:v>10</x:v>
      </x:c>
      <x:c r="J439" s="14" t="n">
        <x:v>11</x:v>
      </x:c>
      <x:c r="K439" s="14" t="n">
        <x:v>9</x:v>
      </x:c>
      <x:c r="L439" s="14" t="n">
        <x:v>26</x:v>
      </x:c>
      <x:c r="M439" s="14" t="n">
        <x:v>9</x:v>
      </x:c>
      <x:c r="N439" s="15" t="n">
        <x:f>IF(E439=0,"해당 없음",F439/E439)</x:f>
        <x:v>0.3142857142857143</x:v>
      </x:c>
      <x:c r="O439" s="15" t="n">
        <x:f>IF(E439=0,"해당 없음",G439/E439)</x:f>
        <x:v>0.02857142857142857</x:v>
      </x:c>
      <x:c r="P439" s="15" t="n">
        <x:f>IF(E439=0,"해당 없음",H439/E439)</x:f>
        <x:v>0.0380952380952381</x:v>
      </x:c>
      <x:c r="Q439" s="15" t="n">
        <x:f>IF(E439=0,"해당 없음",I439/E439)</x:f>
        <x:v>0.09523809523809523</x:v>
      </x:c>
      <x:c r="R439" s="15" t="n">
        <x:f>IF(E439=0,"해당 없음",J439/E439)</x:f>
        <x:v>0.10476190476190476</x:v>
      </x:c>
      <x:c r="S439" s="15" t="n">
        <x:f>IF(E439=0,"해당 없음",K439/E439)</x:f>
        <x:v>0.08571428571428572</x:v>
      </x:c>
      <x:c r="T439" s="15" t="n">
        <x:f>IF(E439=0,"해당 없음",L439/E439)</x:f>
        <x:v>0.24761904761904763</x:v>
      </x:c>
      <x:c r="U439" s="15" t="n">
        <x:f>IF(E439=0,"해당 없음",M439/E439)</x:f>
        <x:v>0.08571428571428572</x:v>
      </x:c>
      <x:c r="V439" s="16" t="n">
        <x:f>E439/5</x:f>
        <x:v>21</x:v>
      </x:c>
    </x:row>
    <x:row r="440" ht="22" customHeight="1">
      <x:c r="A440" s="2" t="n">
        <x:v>218</x:v>
      </x:c>
      <x:c r="B440" s="2" t="str">
        <x:v>RED</x:v>
      </x:c>
      <x:c r="C440" s="2" t="str">
        <x:v>규칙형</x:v>
      </x:c>
      <x:c r="D440" s="2" t="str">
        <x:v>200만</x:v>
      </x:c>
      <x:c r="E440" s="14" t="n">
        <x:f>SUM(F440:M440)</x:f>
        <x:v>103</x:v>
      </x:c>
      <x:c r="F440" s="14" t="n">
        <x:v>41</x:v>
      </x:c>
      <x:c r="G440" s="14" t="n">
        <x:v>8</x:v>
      </x:c>
      <x:c r="H440" s="14" t="n">
        <x:v>12</x:v>
      </x:c>
      <x:c r="I440" s="14" t="n">
        <x:v>19</x:v>
      </x:c>
      <x:c r="J440" s="14" t="n">
        <x:v>5</x:v>
      </x:c>
      <x:c r="K440" s="14" t="n">
        <x:v>2</x:v>
      </x:c>
      <x:c r="L440" s="14" t="n">
        <x:v>10</x:v>
      </x:c>
      <x:c r="M440" s="14" t="n">
        <x:v>6</x:v>
      </x:c>
      <x:c r="N440" s="15" t="n">
        <x:f>IF(E440=0,"해당 없음",F440/E440)</x:f>
        <x:v>0.39805825242718446</x:v>
      </x:c>
      <x:c r="O440" s="15" t="n">
        <x:f>IF(E440=0,"해당 없음",G440/E440)</x:f>
        <x:v>0.07766990291262135</x:v>
      </x:c>
      <x:c r="P440" s="15" t="n">
        <x:f>IF(E440=0,"해당 없음",H440/E440)</x:f>
        <x:v>0.11650485436893204</x:v>
      </x:c>
      <x:c r="Q440" s="15" t="n">
        <x:f>IF(E440=0,"해당 없음",I440/E440)</x:f>
        <x:v>0.18446601941747573</x:v>
      </x:c>
      <x:c r="R440" s="15" t="n">
        <x:f>IF(E440=0,"해당 없음",J440/E440)</x:f>
        <x:v>0.04854368932038835</x:v>
      </x:c>
      <x:c r="S440" s="15" t="n">
        <x:f>IF(E440=0,"해당 없음",K440/E440)</x:f>
        <x:v>0.019417475728155338</x:v>
      </x:c>
      <x:c r="T440" s="15" t="n">
        <x:f>IF(E440=0,"해당 없음",L440/E440)</x:f>
        <x:v>0.0970873786407767</x:v>
      </x:c>
      <x:c r="U440" s="15" t="n">
        <x:f>IF(E440=0,"해당 없음",M440/E440)</x:f>
        <x:v>0.05825242718446602</x:v>
      </x:c>
      <x:c r="V440" s="16" t="n">
        <x:f>E440/5</x:f>
        <x:v>20.6</x:v>
      </x:c>
    </x:row>
    <x:row r="441" ht="22" customHeight="1">
      <x:c r="A441" s="2" t="n">
        <x:v>218</x:v>
      </x:c>
      <x:c r="B441" s="2" t="str">
        <x:v>NAVY</x:v>
      </x:c>
      <x:c r="C441" s="2" t="str">
        <x:v>200만</x:v>
      </x:c>
      <x:c r="D441" s="2" t="str">
        <x:v>규칙형</x:v>
      </x:c>
      <x:c r="E441" s="14" t="n">
        <x:f>SUM(F441:M441)</x:f>
        <x:v>103</x:v>
      </x:c>
      <x:c r="F441" s="14" t="n">
        <x:v>5</x:v>
      </x:c>
      <x:c r="G441" s="14" t="n">
        <x:v>17</x:v>
      </x:c>
      <x:c r="H441" s="14" t="n">
        <x:v>5</x:v>
      </x:c>
      <x:c r="I441" s="14" t="n">
        <x:v>2</x:v>
      </x:c>
      <x:c r="J441" s="14" t="n">
        <x:v>3</x:v>
      </x:c>
      <x:c r="K441" s="14" t="n">
        <x:v>3</x:v>
      </x:c>
      <x:c r="L441" s="14" t="n">
        <x:v>31</x:v>
      </x:c>
      <x:c r="M441" s="14" t="n">
        <x:v>37</x:v>
      </x:c>
      <x:c r="N441" s="15" t="n">
        <x:f>IF(E441=0,"해당 없음",F441/E441)</x:f>
        <x:v>0.04854368932038835</x:v>
      </x:c>
      <x:c r="O441" s="15" t="n">
        <x:f>IF(E441=0,"해당 없음",G441/E441)</x:f>
        <x:v>0.1650485436893204</x:v>
      </x:c>
      <x:c r="P441" s="15" t="n">
        <x:f>IF(E441=0,"해당 없음",H441/E441)</x:f>
        <x:v>0.04854368932038835</x:v>
      </x:c>
      <x:c r="Q441" s="15" t="n">
        <x:f>IF(E441=0,"해당 없음",I441/E441)</x:f>
        <x:v>0.019417475728155338</x:v>
      </x:c>
      <x:c r="R441" s="15" t="n">
        <x:f>IF(E441=0,"해당 없음",J441/E441)</x:f>
        <x:v>0.02912621359223301</x:v>
      </x:c>
      <x:c r="S441" s="15" t="n">
        <x:f>IF(E441=0,"해당 없음",K441/E441)</x:f>
        <x:v>0.02912621359223301</x:v>
      </x:c>
      <x:c r="T441" s="15" t="n">
        <x:f>IF(E441=0,"해당 없음",L441/E441)</x:f>
        <x:v>0.30097087378640774</x:v>
      </x:c>
      <x:c r="U441" s="15" t="n">
        <x:f>IF(E441=0,"해당 없음",M441/E441)</x:f>
        <x:v>0.3592233009708738</x:v>
      </x:c>
      <x:c r="V441" s="16" t="n">
        <x:f>E441/5</x:f>
        <x:v>20.6</x:v>
      </x:c>
    </x:row>
    <x:row r="442" ht="22" customHeight="1">
      <x:c r="A442" s="2" t="n">
        <x:v>219</x:v>
      </x:c>
      <x:c r="B442" s="2" t="str">
        <x:v>RED</x:v>
      </x:c>
      <x:c r="C442" s="2" t="str">
        <x:v>200만</x:v>
      </x:c>
      <x:c r="D442" s="2" t="str">
        <x:v>규칙형</x:v>
      </x:c>
      <x:c r="E442" s="14" t="n">
        <x:f>SUM(F442:M442)</x:f>
        <x:v>104</x:v>
      </x:c>
      <x:c r="F442" s="14" t="n">
        <x:v>3</x:v>
      </x:c>
      <x:c r="G442" s="14" t="n">
        <x:v>20</x:v>
      </x:c>
      <x:c r="H442" s="14" t="n">
        <x:v>5</x:v>
      </x:c>
      <x:c r="I442" s="14" t="n">
        <x:v>1</x:v>
      </x:c>
      <x:c r="J442" s="14" t="n">
        <x:v>3</x:v>
      </x:c>
      <x:c r="K442" s="14" t="n">
        <x:v>7</x:v>
      </x:c>
      <x:c r="L442" s="14" t="n">
        <x:v>31</x:v>
      </x:c>
      <x:c r="M442" s="14" t="n">
        <x:v>34</x:v>
      </x:c>
      <x:c r="N442" s="15" t="n">
        <x:f>IF(E442=0,"해당 없음",F442/E442)</x:f>
        <x:v>0.028846153846153848</x:v>
      </x:c>
      <x:c r="O442" s="15" t="n">
        <x:f>IF(E442=0,"해당 없음",G442/E442)</x:f>
        <x:v>0.19230769230769232</x:v>
      </x:c>
      <x:c r="P442" s="15" t="n">
        <x:f>IF(E442=0,"해당 없음",H442/E442)</x:f>
        <x:v>0.04807692307692308</x:v>
      </x:c>
      <x:c r="Q442" s="15" t="n">
        <x:f>IF(E442=0,"해당 없음",I442/E442)</x:f>
        <x:v>0.009615384615384616</x:v>
      </x:c>
      <x:c r="R442" s="15" t="n">
        <x:f>IF(E442=0,"해당 없음",J442/E442)</x:f>
        <x:v>0.028846153846153848</x:v>
      </x:c>
      <x:c r="S442" s="15" t="n">
        <x:f>IF(E442=0,"해당 없음",K442/E442)</x:f>
        <x:v>0.0673076923076923</x:v>
      </x:c>
      <x:c r="T442" s="15" t="n">
        <x:f>IF(E442=0,"해당 없음",L442/E442)</x:f>
        <x:v>0.2980769230769231</x:v>
      </x:c>
      <x:c r="U442" s="15" t="n">
        <x:f>IF(E442=0,"해당 없음",M442/E442)</x:f>
        <x:v>0.3269230769230769</x:v>
      </x:c>
      <x:c r="V442" s="16" t="n">
        <x:f>E442/5</x:f>
        <x:v>20.8</x:v>
      </x:c>
    </x:row>
    <x:row r="443" ht="22" customHeight="1">
      <x:c r="A443" s="2" t="n">
        <x:v>219</x:v>
      </x:c>
      <x:c r="B443" s="2" t="str">
        <x:v>NAVY</x:v>
      </x:c>
      <x:c r="C443" s="2" t="str">
        <x:v>규칙형</x:v>
      </x:c>
      <x:c r="D443" s="2" t="str">
        <x:v>200만</x:v>
      </x:c>
      <x:c r="E443" s="14" t="n">
        <x:f>SUM(F443:M443)</x:f>
        <x:v>105</x:v>
      </x:c>
      <x:c r="F443" s="14" t="n">
        <x:v>50</x:v>
      </x:c>
      <x:c r="G443" s="14" t="n">
        <x:v>1</x:v>
      </x:c>
      <x:c r="H443" s="14" t="n">
        <x:v>11</x:v>
      </x:c>
      <x:c r="I443" s="14" t="n">
        <x:v>11</x:v>
      </x:c>
      <x:c r="J443" s="14" t="n">
        <x:v>7</x:v>
      </x:c>
      <x:c r="K443" s="14" t="n">
        <x:v>4</x:v>
      </x:c>
      <x:c r="L443" s="14" t="n">
        <x:v>19</x:v>
      </x:c>
      <x:c r="M443" s="14" t="n">
        <x:v>2</x:v>
      </x:c>
      <x:c r="N443" s="15" t="n">
        <x:f>IF(E443=0,"해당 없음",F443/E443)</x:f>
        <x:v>0.47619047619047616</x:v>
      </x:c>
      <x:c r="O443" s="15" t="n">
        <x:f>IF(E443=0,"해당 없음",G443/E443)</x:f>
        <x:v>0.009523809523809525</x:v>
      </x:c>
      <x:c r="P443" s="15" t="n">
        <x:f>IF(E443=0,"해당 없음",H443/E443)</x:f>
        <x:v>0.10476190476190476</x:v>
      </x:c>
      <x:c r="Q443" s="15" t="n">
        <x:f>IF(E443=0,"해당 없음",I443/E443)</x:f>
        <x:v>0.10476190476190476</x:v>
      </x:c>
      <x:c r="R443" s="15" t="n">
        <x:f>IF(E443=0,"해당 없음",J443/E443)</x:f>
        <x:v>0.06666666666666667</x:v>
      </x:c>
      <x:c r="S443" s="15" t="n">
        <x:f>IF(E443=0,"해당 없음",K443/E443)</x:f>
        <x:v>0.0380952380952381</x:v>
      </x:c>
      <x:c r="T443" s="15" t="n">
        <x:f>IF(E443=0,"해당 없음",L443/E443)</x:f>
        <x:v>0.18095238095238095</x:v>
      </x:c>
      <x:c r="U443" s="15" t="n">
        <x:f>IF(E443=0,"해당 없음",M443/E443)</x:f>
        <x:v>0.01904761904761905</x:v>
      </x:c>
      <x:c r="V443" s="16" t="n">
        <x:f>E443/5</x:f>
        <x:v>21</x:v>
      </x:c>
    </x:row>
    <x:row r="444" ht="22" customHeight="1">
      <x:c r="A444" s="2" t="n">
        <x:v>220</x:v>
      </x:c>
      <x:c r="B444" s="2" t="str">
        <x:v>RED</x:v>
      </x:c>
      <x:c r="C444" s="2" t="str">
        <x:v>규칙형</x:v>
      </x:c>
      <x:c r="D444" s="2" t="str">
        <x:v>200만</x:v>
      </x:c>
      <x:c r="E444" s="14" t="n">
        <x:f>SUM(F444:M444)</x:f>
        <x:v>105</x:v>
      </x:c>
      <x:c r="F444" s="14" t="n">
        <x:v>47</x:v>
      </x:c>
      <x:c r="G444" s="14" t="n">
        <x:v>7</x:v>
      </x:c>
      <x:c r="H444" s="14" t="n">
        <x:v>6</x:v>
      </x:c>
      <x:c r="I444" s="14" t="n">
        <x:v>19</x:v>
      </x:c>
      <x:c r="J444" s="14" t="n">
        <x:v>2</x:v>
      </x:c>
      <x:c r="K444" s="14" t="n">
        <x:v>1</x:v>
      </x:c>
      <x:c r="L444" s="14" t="n">
        <x:v>19</x:v>
      </x:c>
      <x:c r="M444" s="14" t="n">
        <x:v>4</x:v>
      </x:c>
      <x:c r="N444" s="15" t="n">
        <x:f>IF(E444=0,"해당 없음",F444/E444)</x:f>
        <x:v>0.44761904761904764</x:v>
      </x:c>
      <x:c r="O444" s="15" t="n">
        <x:f>IF(E444=0,"해당 없음",G444/E444)</x:f>
        <x:v>0.06666666666666667</x:v>
      </x:c>
      <x:c r="P444" s="15" t="n">
        <x:f>IF(E444=0,"해당 없음",H444/E444)</x:f>
        <x:v>0.05714285714285714</x:v>
      </x:c>
      <x:c r="Q444" s="15" t="n">
        <x:f>IF(E444=0,"해당 없음",I444/E444)</x:f>
        <x:v>0.18095238095238095</x:v>
      </x:c>
      <x:c r="R444" s="15" t="n">
        <x:f>IF(E444=0,"해당 없음",J444/E444)</x:f>
        <x:v>0.01904761904761905</x:v>
      </x:c>
      <x:c r="S444" s="15" t="n">
        <x:f>IF(E444=0,"해당 없음",K444/E444)</x:f>
        <x:v>0.009523809523809525</x:v>
      </x:c>
      <x:c r="T444" s="15" t="n">
        <x:f>IF(E444=0,"해당 없음",L444/E444)</x:f>
        <x:v>0.18095238095238095</x:v>
      </x:c>
      <x:c r="U444" s="15" t="n">
        <x:f>IF(E444=0,"해당 없음",M444/E444)</x:f>
        <x:v>0.0380952380952381</x:v>
      </x:c>
      <x:c r="V444" s="16" t="n">
        <x:f>E444/5</x:f>
        <x:v>21</x:v>
      </x:c>
    </x:row>
    <x:row r="445" ht="22" customHeight="1">
      <x:c r="A445" s="2" t="n">
        <x:v>220</x:v>
      </x:c>
      <x:c r="B445" s="2" t="str">
        <x:v>NAVY</x:v>
      </x:c>
      <x:c r="C445" s="2" t="str">
        <x:v>200만</x:v>
      </x:c>
      <x:c r="D445" s="2" t="str">
        <x:v>규칙형</x:v>
      </x:c>
      <x:c r="E445" s="14" t="n">
        <x:f>SUM(F445:M445)</x:f>
        <x:v>105</x:v>
      </x:c>
      <x:c r="F445" s="14" t="n">
        <x:v>4</x:v>
      </x:c>
      <x:c r="G445" s="14" t="n">
        <x:v>16</x:v>
      </x:c>
      <x:c r="H445" s="14" t="n">
        <x:v>5</x:v>
      </x:c>
      <x:c r="I445" s="14" t="n">
        <x:v>2</x:v>
      </x:c>
      <x:c r="J445" s="14" t="n">
        <x:v>2</x:v>
      </x:c>
      <x:c r="K445" s="14" t="n">
        <x:v>3</x:v>
      </x:c>
      <x:c r="L445" s="14" t="n">
        <x:v>31</x:v>
      </x:c>
      <x:c r="M445" s="14" t="n">
        <x:v>42</x:v>
      </x:c>
      <x:c r="N445" s="15" t="n">
        <x:f>IF(E445=0,"해당 없음",F445/E445)</x:f>
        <x:v>0.0380952380952381</x:v>
      </x:c>
      <x:c r="O445" s="15" t="n">
        <x:f>IF(E445=0,"해당 없음",G445/E445)</x:f>
        <x:v>0.1523809523809524</x:v>
      </x:c>
      <x:c r="P445" s="15" t="n">
        <x:f>IF(E445=0,"해당 없음",H445/E445)</x:f>
        <x:v>0.047619047619047616</x:v>
      </x:c>
      <x:c r="Q445" s="15" t="n">
        <x:f>IF(E445=0,"해당 없음",I445/E445)</x:f>
        <x:v>0.01904761904761905</x:v>
      </x:c>
      <x:c r="R445" s="15" t="n">
        <x:f>IF(E445=0,"해당 없음",J445/E445)</x:f>
        <x:v>0.01904761904761905</x:v>
      </x:c>
      <x:c r="S445" s="15" t="n">
        <x:f>IF(E445=0,"해당 없음",K445/E445)</x:f>
        <x:v>0.02857142857142857</x:v>
      </x:c>
      <x:c r="T445" s="15" t="n">
        <x:f>IF(E445=0,"해당 없음",L445/E445)</x:f>
        <x:v>0.29523809523809524</x:v>
      </x:c>
      <x:c r="U445" s="15" t="n">
        <x:f>IF(E445=0,"해당 없음",M445/E445)</x:f>
        <x:v>0.4</x:v>
      </x:c>
      <x:c r="V445" s="16" t="n">
        <x:f>E445/5</x:f>
        <x:v>21</x:v>
      </x:c>
    </x:row>
    <x:row r="446" ht="22" customHeight="1">
      <x:c r="A446" s="2" t="n">
        <x:v>221</x:v>
      </x:c>
      <x:c r="B446" s="2" t="str">
        <x:v>RED</x:v>
      </x:c>
      <x:c r="C446" s="2" t="str">
        <x:v>200만</x:v>
      </x:c>
      <x:c r="D446" s="2" t="str">
        <x:v>규칙형</x:v>
      </x:c>
      <x:c r="E446" s="14" t="n">
        <x:f>SUM(F446:M446)</x:f>
        <x:v>103</x:v>
      </x:c>
      <x:c r="F446" s="14" t="n">
        <x:v>3</x:v>
      </x:c>
      <x:c r="G446" s="14" t="n">
        <x:v>16</x:v>
      </x:c>
      <x:c r="H446" s="14" t="n">
        <x:v>2</x:v>
      </x:c>
      <x:c r="I446" s="14" t="n">
        <x:v>0</x:v>
      </x:c>
      <x:c r="J446" s="14" t="n">
        <x:v>5</x:v>
      </x:c>
      <x:c r="K446" s="14" t="n">
        <x:v>2</x:v>
      </x:c>
      <x:c r="L446" s="14" t="n">
        <x:v>35</x:v>
      </x:c>
      <x:c r="M446" s="14" t="n">
        <x:v>40</x:v>
      </x:c>
      <x:c r="N446" s="15" t="n">
        <x:f>IF(E446=0,"해당 없음",F446/E446)</x:f>
        <x:v>0.02912621359223301</x:v>
      </x:c>
      <x:c r="O446" s="15" t="n">
        <x:f>IF(E446=0,"해당 없음",G446/E446)</x:f>
        <x:v>0.1553398058252427</x:v>
      </x:c>
      <x:c r="P446" s="15" t="n">
        <x:f>IF(E446=0,"해당 없음",H446/E446)</x:f>
        <x:v>0.019417475728155338</x:v>
      </x:c>
      <x:c r="Q446" s="15" t="n">
        <x:f>IF(E446=0,"해당 없음",I446/E446)</x:f>
        <x:v>0</x:v>
      </x:c>
      <x:c r="R446" s="15" t="n">
        <x:f>IF(E446=0,"해당 없음",J446/E446)</x:f>
        <x:v>0.04854368932038835</x:v>
      </x:c>
      <x:c r="S446" s="15" t="n">
        <x:f>IF(E446=0,"해당 없음",K446/E446)</x:f>
        <x:v>0.019417475728155338</x:v>
      </x:c>
      <x:c r="T446" s="15" t="n">
        <x:f>IF(E446=0,"해당 없음",L446/E446)</x:f>
        <x:v>0.33980582524271846</x:v>
      </x:c>
      <x:c r="U446" s="15" t="n">
        <x:f>IF(E446=0,"해당 없음",M446/E446)</x:f>
        <x:v>0.3883495145631068</x:v>
      </x:c>
      <x:c r="V446" s="16" t="n">
        <x:f>E446/5</x:f>
        <x:v>20.6</x:v>
      </x:c>
    </x:row>
    <x:row r="447" ht="22" customHeight="1">
      <x:c r="A447" s="2" t="n">
        <x:v>221</x:v>
      </x:c>
      <x:c r="B447" s="2" t="str">
        <x:v>NAVY</x:v>
      </x:c>
      <x:c r="C447" s="2" t="str">
        <x:v>규칙형</x:v>
      </x:c>
      <x:c r="D447" s="2" t="str">
        <x:v>200만</x:v>
      </x:c>
      <x:c r="E447" s="14" t="n">
        <x:f>SUM(F447:M447)</x:f>
        <x:v>103</x:v>
      </x:c>
      <x:c r="F447" s="14" t="n">
        <x:v>34</x:v>
      </x:c>
      <x:c r="G447" s="14" t="n">
        <x:v>8</x:v>
      </x:c>
      <x:c r="H447" s="14" t="n">
        <x:v>19</x:v>
      </x:c>
      <x:c r="I447" s="14" t="n">
        <x:v>12</x:v>
      </x:c>
      <x:c r="J447" s="14" t="n">
        <x:v>4</x:v>
      </x:c>
      <x:c r="K447" s="14" t="n">
        <x:v>2</x:v>
      </x:c>
      <x:c r="L447" s="14" t="n">
        <x:v>18</x:v>
      </x:c>
      <x:c r="M447" s="14" t="n">
        <x:v>6</x:v>
      </x:c>
      <x:c r="N447" s="15" t="n">
        <x:f>IF(E447=0,"해당 없음",F447/E447)</x:f>
        <x:v>0.3300970873786408</x:v>
      </x:c>
      <x:c r="O447" s="15" t="n">
        <x:f>IF(E447=0,"해당 없음",G447/E447)</x:f>
        <x:v>0.07766990291262135</x:v>
      </x:c>
      <x:c r="P447" s="15" t="n">
        <x:f>IF(E447=0,"해당 없음",H447/E447)</x:f>
        <x:v>0.18446601941747573</x:v>
      </x:c>
      <x:c r="Q447" s="15" t="n">
        <x:f>IF(E447=0,"해당 없음",I447/E447)</x:f>
        <x:v>0.11650485436893204</x:v>
      </x:c>
      <x:c r="R447" s="15" t="n">
        <x:f>IF(E447=0,"해당 없음",J447/E447)</x:f>
        <x:v>0.038834951456310676</x:v>
      </x:c>
      <x:c r="S447" s="15" t="n">
        <x:f>IF(E447=0,"해당 없음",K447/E447)</x:f>
        <x:v>0.019417475728155338</x:v>
      </x:c>
      <x:c r="T447" s="15" t="n">
        <x:f>IF(E447=0,"해당 없음",L447/E447)</x:f>
        <x:v>0.17475728155339806</x:v>
      </x:c>
      <x:c r="U447" s="15" t="n">
        <x:f>IF(E447=0,"해당 없음",M447/E447)</x:f>
        <x:v>0.05825242718446602</x:v>
      </x:c>
      <x:c r="V447" s="16" t="n">
        <x:f>E447/5</x:f>
        <x:v>20.6</x:v>
      </x:c>
    </x:row>
    <x:row r="448" ht="22" customHeight="1">
      <x:c r="A448" s="2" t="n">
        <x:v>222</x:v>
      </x:c>
      <x:c r="B448" s="2" t="str">
        <x:v>RED</x:v>
      </x:c>
      <x:c r="C448" s="2" t="str">
        <x:v>규칙형</x:v>
      </x:c>
      <x:c r="D448" s="2" t="str">
        <x:v>200만</x:v>
      </x:c>
      <x:c r="E448" s="14" t="n">
        <x:f>SUM(F448:M448)</x:f>
        <x:v>104</x:v>
      </x:c>
      <x:c r="F448" s="14" t="n">
        <x:v>32</x:v>
      </x:c>
      <x:c r="G448" s="14" t="n">
        <x:v>6</x:v>
      </x:c>
      <x:c r="H448" s="14" t="n">
        <x:v>10</x:v>
      </x:c>
      <x:c r="I448" s="14" t="n">
        <x:v>17</x:v>
      </x:c>
      <x:c r="J448" s="14" t="n">
        <x:v>6</x:v>
      </x:c>
      <x:c r="K448" s="14" t="n">
        <x:v>7</x:v>
      </x:c>
      <x:c r="L448" s="14" t="n">
        <x:v>19</x:v>
      </x:c>
      <x:c r="M448" s="14" t="n">
        <x:v>7</x:v>
      </x:c>
      <x:c r="N448" s="15" t="n">
        <x:f>IF(E448=0,"해당 없음",F448/E448)</x:f>
        <x:v>0.3076923076923077</x:v>
      </x:c>
      <x:c r="O448" s="15" t="n">
        <x:f>IF(E448=0,"해당 없음",G448/E448)</x:f>
        <x:v>0.057692307692307696</x:v>
      </x:c>
      <x:c r="P448" s="15" t="n">
        <x:f>IF(E448=0,"해당 없음",H448/E448)</x:f>
        <x:v>0.09615384615384616</x:v>
      </x:c>
      <x:c r="Q448" s="15" t="n">
        <x:f>IF(E448=0,"해당 없음",I448/E448)</x:f>
        <x:v>0.16346153846153846</x:v>
      </x:c>
      <x:c r="R448" s="15" t="n">
        <x:f>IF(E448=0,"해당 없음",J448/E448)</x:f>
        <x:v>0.057692307692307696</x:v>
      </x:c>
      <x:c r="S448" s="15" t="n">
        <x:f>IF(E448=0,"해당 없음",K448/E448)</x:f>
        <x:v>0.0673076923076923</x:v>
      </x:c>
      <x:c r="T448" s="15" t="n">
        <x:f>IF(E448=0,"해당 없음",L448/E448)</x:f>
        <x:v>0.18269230769230768</x:v>
      </x:c>
      <x:c r="U448" s="15" t="n">
        <x:f>IF(E448=0,"해당 없음",M448/E448)</x:f>
        <x:v>0.0673076923076923</x:v>
      </x:c>
      <x:c r="V448" s="16" t="n">
        <x:f>E448/5</x:f>
        <x:v>20.8</x:v>
      </x:c>
    </x:row>
    <x:row r="449" ht="22" customHeight="1">
      <x:c r="A449" s="2" t="n">
        <x:v>222</x:v>
      </x:c>
      <x:c r="B449" s="2" t="str">
        <x:v>NAVY</x:v>
      </x:c>
      <x:c r="C449" s="2" t="str">
        <x:v>200만</x:v>
      </x:c>
      <x:c r="D449" s="2" t="str">
        <x:v>규칙형</x:v>
      </x:c>
      <x:c r="E449" s="14" t="n">
        <x:f>SUM(F449:M449)</x:f>
        <x:v>104</x:v>
      </x:c>
      <x:c r="F449" s="14" t="n">
        <x:v>5</x:v>
      </x:c>
      <x:c r="G449" s="14" t="n">
        <x:v>15</x:v>
      </x:c>
      <x:c r="H449" s="14" t="n">
        <x:v>2</x:v>
      </x:c>
      <x:c r="I449" s="14" t="n">
        <x:v>3</x:v>
      </x:c>
      <x:c r="J449" s="14" t="n">
        <x:v>2</x:v>
      </x:c>
      <x:c r="K449" s="14" t="n">
        <x:v>2</x:v>
      </x:c>
      <x:c r="L449" s="14" t="n">
        <x:v>29</x:v>
      </x:c>
      <x:c r="M449" s="14" t="n">
        <x:v>46</x:v>
      </x:c>
      <x:c r="N449" s="15" t="n">
        <x:f>IF(E449=0,"해당 없음",F449/E449)</x:f>
        <x:v>0.04807692307692308</x:v>
      </x:c>
      <x:c r="O449" s="15" t="n">
        <x:f>IF(E449=0,"해당 없음",G449/E449)</x:f>
        <x:v>0.14423076923076922</x:v>
      </x:c>
      <x:c r="P449" s="15" t="n">
        <x:f>IF(E449=0,"해당 없음",H449/E449)</x:f>
        <x:v>0.019230769230769232</x:v>
      </x:c>
      <x:c r="Q449" s="15" t="n">
        <x:f>IF(E449=0,"해당 없음",I449/E449)</x:f>
        <x:v>0.028846153846153848</x:v>
      </x:c>
      <x:c r="R449" s="15" t="n">
        <x:f>IF(E449=0,"해당 없음",J449/E449)</x:f>
        <x:v>0.019230769230769232</x:v>
      </x:c>
      <x:c r="S449" s="15" t="n">
        <x:f>IF(E449=0,"해당 없음",K449/E449)</x:f>
        <x:v>0.019230769230769232</x:v>
      </x:c>
      <x:c r="T449" s="15" t="n">
        <x:f>IF(E449=0,"해당 없음",L449/E449)</x:f>
        <x:v>0.27884615384615385</x:v>
      </x:c>
      <x:c r="U449" s="15" t="n">
        <x:f>IF(E449=0,"해당 없음",M449/E449)</x:f>
        <x:v>0.4423076923076923</x:v>
      </x:c>
      <x:c r="V449" s="16" t="n">
        <x:f>E449/5</x:f>
        <x:v>20.8</x:v>
      </x:c>
    </x:row>
    <x:row r="450" ht="22" customHeight="1">
      <x:c r="A450" s="2" t="n">
        <x:v>223</x:v>
      </x:c>
      <x:c r="B450" s="2" t="str">
        <x:v>RED</x:v>
      </x:c>
      <x:c r="C450" s="2" t="str">
        <x:v>200만</x:v>
      </x:c>
      <x:c r="D450" s="2" t="str">
        <x:v>규칙형</x:v>
      </x:c>
      <x:c r="E450" s="14" t="n">
        <x:f>SUM(F450:M450)</x:f>
        <x:v>103</x:v>
      </x:c>
      <x:c r="F450" s="14" t="n">
        <x:v>4</x:v>
      </x:c>
      <x:c r="G450" s="14" t="n">
        <x:v>16</x:v>
      </x:c>
      <x:c r="H450" s="14" t="n">
        <x:v>7</x:v>
      </x:c>
      <x:c r="I450" s="14" t="n">
        <x:v>0</x:v>
      </x:c>
      <x:c r="J450" s="14" t="n">
        <x:v>1</x:v>
      </x:c>
      <x:c r="K450" s="14" t="n">
        <x:v>3</x:v>
      </x:c>
      <x:c r="L450" s="14" t="n">
        <x:v>28</x:v>
      </x:c>
      <x:c r="M450" s="14" t="n">
        <x:v>44</x:v>
      </x:c>
      <x:c r="N450" s="15" t="n">
        <x:f>IF(E450=0,"해당 없음",F450/E450)</x:f>
        <x:v>0.038834951456310676</x:v>
      </x:c>
      <x:c r="O450" s="15" t="n">
        <x:f>IF(E450=0,"해당 없음",G450/E450)</x:f>
        <x:v>0.1553398058252427</x:v>
      </x:c>
      <x:c r="P450" s="15" t="n">
        <x:f>IF(E450=0,"해당 없음",H450/E450)</x:f>
        <x:v>0.06796116504854369</x:v>
      </x:c>
      <x:c r="Q450" s="15" t="n">
        <x:f>IF(E450=0,"해당 없음",I450/E450)</x:f>
        <x:v>0</x:v>
      </x:c>
      <x:c r="R450" s="15" t="n">
        <x:f>IF(E450=0,"해당 없음",J450/E450)</x:f>
        <x:v>0.009708737864077669</x:v>
      </x:c>
      <x:c r="S450" s="15" t="n">
        <x:f>IF(E450=0,"해당 없음",K450/E450)</x:f>
        <x:v>0.02912621359223301</x:v>
      </x:c>
      <x:c r="T450" s="15" t="n">
        <x:f>IF(E450=0,"해당 없음",L450/E450)</x:f>
        <x:v>0.27184466019417475</x:v>
      </x:c>
      <x:c r="U450" s="15" t="n">
        <x:f>IF(E450=0,"해당 없음",M450/E450)</x:f>
        <x:v>0.42718446601941745</x:v>
      </x:c>
      <x:c r="V450" s="16" t="n">
        <x:f>E450/5</x:f>
        <x:v>20.6</x:v>
      </x:c>
    </x:row>
    <x:row r="451" ht="22" customHeight="1">
      <x:c r="A451" s="2" t="n">
        <x:v>223</x:v>
      </x:c>
      <x:c r="B451" s="2" t="str">
        <x:v>NAVY</x:v>
      </x:c>
      <x:c r="C451" s="2" t="str">
        <x:v>규칙형</x:v>
      </x:c>
      <x:c r="D451" s="2" t="str">
        <x:v>200만</x:v>
      </x:c>
      <x:c r="E451" s="14" t="n">
        <x:f>SUM(F451:M451)</x:f>
        <x:v>104</x:v>
      </x:c>
      <x:c r="F451" s="14" t="n">
        <x:v>46</x:v>
      </x:c>
      <x:c r="G451" s="14" t="n">
        <x:v>1</x:v>
      </x:c>
      <x:c r="H451" s="14" t="n">
        <x:v>9</x:v>
      </x:c>
      <x:c r="I451" s="14" t="n">
        <x:v>13</x:v>
      </x:c>
      <x:c r="J451" s="14" t="n">
        <x:v>6</x:v>
      </x:c>
      <x:c r="K451" s="14" t="n">
        <x:v>4</x:v>
      </x:c>
      <x:c r="L451" s="14" t="n">
        <x:v>19</x:v>
      </x:c>
      <x:c r="M451" s="14" t="n">
        <x:v>6</x:v>
      </x:c>
      <x:c r="N451" s="15" t="n">
        <x:f>IF(E451=0,"해당 없음",F451/E451)</x:f>
        <x:v>0.4423076923076923</x:v>
      </x:c>
      <x:c r="O451" s="15" t="n">
        <x:f>IF(E451=0,"해당 없음",G451/E451)</x:f>
        <x:v>0.009615384615384616</x:v>
      </x:c>
      <x:c r="P451" s="15" t="n">
        <x:f>IF(E451=0,"해당 없음",H451/E451)</x:f>
        <x:v>0.08653846153846154</x:v>
      </x:c>
      <x:c r="Q451" s="15" t="n">
        <x:f>IF(E451=0,"해당 없음",I451/E451)</x:f>
        <x:v>0.125</x:v>
      </x:c>
      <x:c r="R451" s="15" t="n">
        <x:f>IF(E451=0,"해당 없음",J451/E451)</x:f>
        <x:v>0.057692307692307696</x:v>
      </x:c>
      <x:c r="S451" s="15" t="n">
        <x:f>IF(E451=0,"해당 없음",K451/E451)</x:f>
        <x:v>0.038461538461538464</x:v>
      </x:c>
      <x:c r="T451" s="15" t="n">
        <x:f>IF(E451=0,"해당 없음",L451/E451)</x:f>
        <x:v>0.18269230769230768</x:v>
      </x:c>
      <x:c r="U451" s="15" t="n">
        <x:f>IF(E451=0,"해당 없음",M451/E451)</x:f>
        <x:v>0.057692307692307696</x:v>
      </x:c>
      <x:c r="V451" s="16" t="n">
        <x:f>E451/5</x:f>
        <x:v>20.8</x:v>
      </x:c>
    </x:row>
    <x:row r="452" ht="22" customHeight="1">
      <x:c r="A452" s="2" t="n">
        <x:v>224</x:v>
      </x:c>
      <x:c r="B452" s="2" t="str">
        <x:v>RED</x:v>
      </x:c>
      <x:c r="C452" s="2" t="str">
        <x:v>규칙형</x:v>
      </x:c>
      <x:c r="D452" s="2" t="str">
        <x:v>200만</x:v>
      </x:c>
      <x:c r="E452" s="14" t="n">
        <x:f>SUM(F452:M452)</x:f>
        <x:v>103</x:v>
      </x:c>
      <x:c r="F452" s="14" t="n">
        <x:v>35</x:v>
      </x:c>
      <x:c r="G452" s="14" t="n">
        <x:v>5</x:v>
      </x:c>
      <x:c r="H452" s="14" t="n">
        <x:v>13</x:v>
      </x:c>
      <x:c r="I452" s="14" t="n">
        <x:v>18</x:v>
      </x:c>
      <x:c r="J452" s="14" t="n">
        <x:v>3</x:v>
      </x:c>
      <x:c r="K452" s="14" t="n">
        <x:v>4</x:v>
      </x:c>
      <x:c r="L452" s="14" t="n">
        <x:v>20</x:v>
      </x:c>
      <x:c r="M452" s="14" t="n">
        <x:v>5</x:v>
      </x:c>
      <x:c r="N452" s="15" t="n">
        <x:f>IF(E452=0,"해당 없음",F452/E452)</x:f>
        <x:v>0.33980582524271846</x:v>
      </x:c>
      <x:c r="O452" s="15" t="n">
        <x:f>IF(E452=0,"해당 없음",G452/E452)</x:f>
        <x:v>0.04854368932038835</x:v>
      </x:c>
      <x:c r="P452" s="15" t="n">
        <x:f>IF(E452=0,"해당 없음",H452/E452)</x:f>
        <x:v>0.1262135922330097</x:v>
      </x:c>
      <x:c r="Q452" s="15" t="n">
        <x:f>IF(E452=0,"해당 없음",I452/E452)</x:f>
        <x:v>0.17475728155339806</x:v>
      </x:c>
      <x:c r="R452" s="15" t="n">
        <x:f>IF(E452=0,"해당 없음",J452/E452)</x:f>
        <x:v>0.02912621359223301</x:v>
      </x:c>
      <x:c r="S452" s="15" t="n">
        <x:f>IF(E452=0,"해당 없음",K452/E452)</x:f>
        <x:v>0.038834951456310676</x:v>
      </x:c>
      <x:c r="T452" s="15" t="n">
        <x:f>IF(E452=0,"해당 없음",L452/E452)</x:f>
        <x:v>0.1941747572815534</x:v>
      </x:c>
      <x:c r="U452" s="15" t="n">
        <x:f>IF(E452=0,"해당 없음",M452/E452)</x:f>
        <x:v>0.04854368932038835</x:v>
      </x:c>
      <x:c r="V452" s="16" t="n">
        <x:f>E452/5</x:f>
        <x:v>20.6</x:v>
      </x:c>
    </x:row>
    <x:row r="453" ht="22" customHeight="1">
      <x:c r="A453" s="2" t="n">
        <x:v>224</x:v>
      </x:c>
      <x:c r="B453" s="2" t="str">
        <x:v>NAVY</x:v>
      </x:c>
      <x:c r="C453" s="2" t="str">
        <x:v>200만</x:v>
      </x:c>
      <x:c r="D453" s="2" t="str">
        <x:v>규칙형</x:v>
      </x:c>
      <x:c r="E453" s="14" t="n">
        <x:f>SUM(F453:M453)</x:f>
        <x:v>102</x:v>
      </x:c>
      <x:c r="F453" s="14" t="n">
        <x:v>5</x:v>
      </x:c>
      <x:c r="G453" s="14" t="n">
        <x:v>20</x:v>
      </x:c>
      <x:c r="H453" s="14" t="n">
        <x:v>1</x:v>
      </x:c>
      <x:c r="I453" s="14" t="n">
        <x:v>2</x:v>
      </x:c>
      <x:c r="J453" s="14" t="n">
        <x:v>3</x:v>
      </x:c>
      <x:c r="K453" s="14" t="n">
        <x:v>0</x:v>
      </x:c>
      <x:c r="L453" s="14" t="n">
        <x:v>28</x:v>
      </x:c>
      <x:c r="M453" s="14" t="n">
        <x:v>43</x:v>
      </x:c>
      <x:c r="N453" s="15" t="n">
        <x:f>IF(E453=0,"해당 없음",F453/E453)</x:f>
        <x:v>0.049019607843137254</x:v>
      </x:c>
      <x:c r="O453" s="15" t="n">
        <x:f>IF(E453=0,"해당 없음",G453/E453)</x:f>
        <x:v>0.19607843137254902</x:v>
      </x:c>
      <x:c r="P453" s="15" t="n">
        <x:f>IF(E453=0,"해당 없음",H453/E453)</x:f>
        <x:v>0.00980392156862745</x:v>
      </x:c>
      <x:c r="Q453" s="15" t="n">
        <x:f>IF(E453=0,"해당 없음",I453/E453)</x:f>
        <x:v>0.0196078431372549</x:v>
      </x:c>
      <x:c r="R453" s="15" t="n">
        <x:f>IF(E453=0,"해당 없음",J453/E453)</x:f>
        <x:v>0.029411764705882353</x:v>
      </x:c>
      <x:c r="S453" s="15" t="n">
        <x:f>IF(E453=0,"해당 없음",K453/E453)</x:f>
        <x:v>0</x:v>
      </x:c>
      <x:c r="T453" s="15" t="n">
        <x:f>IF(E453=0,"해당 없음",L453/E453)</x:f>
        <x:v>0.27450980392156865</x:v>
      </x:c>
      <x:c r="U453" s="15" t="n">
        <x:f>IF(E453=0,"해당 없음",M453/E453)</x:f>
        <x:v>0.4215686274509804</x:v>
      </x:c>
      <x:c r="V453" s="16" t="n">
        <x:f>E453/5</x:f>
        <x:v>20.4</x:v>
      </x:c>
    </x:row>
    <x:row r="454" ht="22" customHeight="1">
      <x:c r="A454" s="2" t="n">
        <x:v>225</x:v>
      </x:c>
      <x:c r="B454" s="2" t="str">
        <x:v>RED</x:v>
      </x:c>
      <x:c r="C454" s="2" t="str">
        <x:v>200만</x:v>
      </x:c>
      <x:c r="D454" s="2" t="str">
        <x:v>규칙형</x:v>
      </x:c>
      <x:c r="E454" s="14" t="n">
        <x:f>SUM(F454:M454)</x:f>
        <x:v>103</x:v>
      </x:c>
      <x:c r="F454" s="14" t="n">
        <x:v>4</x:v>
      </x:c>
      <x:c r="G454" s="14" t="n">
        <x:v>19</x:v>
      </x:c>
      <x:c r="H454" s="14" t="n">
        <x:v>7</x:v>
      </x:c>
      <x:c r="I454" s="14" t="n">
        <x:v>1</x:v>
      </x:c>
      <x:c r="J454" s="14" t="n">
        <x:v>1</x:v>
      </x:c>
      <x:c r="K454" s="14" t="n">
        <x:v>6</x:v>
      </x:c>
      <x:c r="L454" s="14" t="n">
        <x:v>30</x:v>
      </x:c>
      <x:c r="M454" s="14" t="n">
        <x:v>35</x:v>
      </x:c>
      <x:c r="N454" s="15" t="n">
        <x:f>IF(E454=0,"해당 없음",F454/E454)</x:f>
        <x:v>0.038834951456310676</x:v>
      </x:c>
      <x:c r="O454" s="15" t="n">
        <x:f>IF(E454=0,"해당 없음",G454/E454)</x:f>
        <x:v>0.18446601941747573</x:v>
      </x:c>
      <x:c r="P454" s="15" t="n">
        <x:f>IF(E454=0,"해당 없음",H454/E454)</x:f>
        <x:v>0.06796116504854369</x:v>
      </x:c>
      <x:c r="Q454" s="15" t="n">
        <x:f>IF(E454=0,"해당 없음",I454/E454)</x:f>
        <x:v>0.009708737864077669</x:v>
      </x:c>
      <x:c r="R454" s="15" t="n">
        <x:f>IF(E454=0,"해당 없음",J454/E454)</x:f>
        <x:v>0.009708737864077669</x:v>
      </x:c>
      <x:c r="S454" s="15" t="n">
        <x:f>IF(E454=0,"해당 없음",K454/E454)</x:f>
        <x:v>0.05825242718446602</x:v>
      </x:c>
      <x:c r="T454" s="15" t="n">
        <x:f>IF(E454=0,"해당 없음",L454/E454)</x:f>
        <x:v>0.2912621359223301</x:v>
      </x:c>
      <x:c r="U454" s="15" t="n">
        <x:f>IF(E454=0,"해당 없음",M454/E454)</x:f>
        <x:v>0.33980582524271846</x:v>
      </x:c>
      <x:c r="V454" s="16" t="n">
        <x:f>E454/5</x:f>
        <x:v>20.6</x:v>
      </x:c>
    </x:row>
    <x:row r="455" ht="22" customHeight="1">
      <x:c r="A455" s="2" t="n">
        <x:v>225</x:v>
      </x:c>
      <x:c r="B455" s="2" t="str">
        <x:v>NAVY</x:v>
      </x:c>
      <x:c r="C455" s="2" t="str">
        <x:v>규칙형</x:v>
      </x:c>
      <x:c r="D455" s="2" t="str">
        <x:v>200만</x:v>
      </x:c>
      <x:c r="E455" s="14" t="n">
        <x:f>SUM(F455:M455)</x:f>
        <x:v>102</x:v>
      </x:c>
      <x:c r="F455" s="14" t="n">
        <x:v>35</x:v>
      </x:c>
      <x:c r="G455" s="14" t="n">
        <x:v>4</x:v>
      </x:c>
      <x:c r="H455" s="14" t="n">
        <x:v>12</x:v>
      </x:c>
      <x:c r="I455" s="14" t="n">
        <x:v>13</x:v>
      </x:c>
      <x:c r="J455" s="14" t="n">
        <x:v>5</x:v>
      </x:c>
      <x:c r="K455" s="14" t="n">
        <x:v>4</x:v>
      </x:c>
      <x:c r="L455" s="14" t="n">
        <x:v>27</x:v>
      </x:c>
      <x:c r="M455" s="14" t="n">
        <x:v>2</x:v>
      </x:c>
      <x:c r="N455" s="15" t="n">
        <x:f>IF(E455=0,"해당 없음",F455/E455)</x:f>
        <x:v>0.3431372549019608</x:v>
      </x:c>
      <x:c r="O455" s="15" t="n">
        <x:f>IF(E455=0,"해당 없음",G455/E455)</x:f>
        <x:v>0.0392156862745098</x:v>
      </x:c>
      <x:c r="P455" s="15" t="n">
        <x:f>IF(E455=0,"해당 없음",H455/E455)</x:f>
        <x:v>0.11764705882352941</x:v>
      </x:c>
      <x:c r="Q455" s="15" t="n">
        <x:f>IF(E455=0,"해당 없음",I455/E455)</x:f>
        <x:v>0.12745098039215685</x:v>
      </x:c>
      <x:c r="R455" s="15" t="n">
        <x:f>IF(E455=0,"해당 없음",J455/E455)</x:f>
        <x:v>0.049019607843137254</x:v>
      </x:c>
      <x:c r="S455" s="15" t="n">
        <x:f>IF(E455=0,"해당 없음",K455/E455)</x:f>
        <x:v>0.0392156862745098</x:v>
      </x:c>
      <x:c r="T455" s="15" t="n">
        <x:f>IF(E455=0,"해당 없음",L455/E455)</x:f>
        <x:v>0.2647058823529412</x:v>
      </x:c>
      <x:c r="U455" s="15" t="n">
        <x:f>IF(E455=0,"해당 없음",M455/E455)</x:f>
        <x:v>0.0196078431372549</x:v>
      </x:c>
      <x:c r="V455" s="16" t="n">
        <x:f>E455/5</x:f>
        <x:v>20.4</x:v>
      </x:c>
    </x:row>
    <x:row r="456" ht="22" customHeight="1">
      <x:c r="A456" s="2" t="n">
        <x:v>226</x:v>
      </x:c>
      <x:c r="B456" s="2" t="str">
        <x:v>RED</x:v>
      </x:c>
      <x:c r="C456" s="2" t="str">
        <x:v>규칙형</x:v>
      </x:c>
      <x:c r="D456" s="2" t="str">
        <x:v>200만</x:v>
      </x:c>
      <x:c r="E456" s="14" t="n">
        <x:f>SUM(F456:M456)</x:f>
        <x:v>102</x:v>
      </x:c>
      <x:c r="F456" s="14" t="n">
        <x:v>44</x:v>
      </x:c>
      <x:c r="G456" s="14" t="n">
        <x:v>3</x:v>
      </x:c>
      <x:c r="H456" s="14" t="n">
        <x:v>6</x:v>
      </x:c>
      <x:c r="I456" s="14" t="n">
        <x:v>12</x:v>
      </x:c>
      <x:c r="J456" s="14" t="n">
        <x:v>4</x:v>
      </x:c>
      <x:c r="K456" s="14" t="n">
        <x:v>7</x:v>
      </x:c>
      <x:c r="L456" s="14" t="n">
        <x:v>16</x:v>
      </x:c>
      <x:c r="M456" s="14" t="n">
        <x:v>10</x:v>
      </x:c>
      <x:c r="N456" s="15" t="n">
        <x:f>IF(E456=0,"해당 없음",F456/E456)</x:f>
        <x:v>0.43137254901960786</x:v>
      </x:c>
      <x:c r="O456" s="15" t="n">
        <x:f>IF(E456=0,"해당 없음",G456/E456)</x:f>
        <x:v>0.029411764705882353</x:v>
      </x:c>
      <x:c r="P456" s="15" t="n">
        <x:f>IF(E456=0,"해당 없음",H456/E456)</x:f>
        <x:v>0.058823529411764705</x:v>
      </x:c>
      <x:c r="Q456" s="15" t="n">
        <x:f>IF(E456=0,"해당 없음",I456/E456)</x:f>
        <x:v>0.11764705882352941</x:v>
      </x:c>
      <x:c r="R456" s="15" t="n">
        <x:f>IF(E456=0,"해당 없음",J456/E456)</x:f>
        <x:v>0.0392156862745098</x:v>
      </x:c>
      <x:c r="S456" s="15" t="n">
        <x:f>IF(E456=0,"해당 없음",K456/E456)</x:f>
        <x:v>0.06862745098039216</x:v>
      </x:c>
      <x:c r="T456" s="15" t="n">
        <x:f>IF(E456=0,"해당 없음",L456/E456)</x:f>
        <x:v>0.1568627450980392</x:v>
      </x:c>
      <x:c r="U456" s="15" t="n">
        <x:f>IF(E456=0,"해당 없음",M456/E456)</x:f>
        <x:v>0.09803921568627451</x:v>
      </x:c>
      <x:c r="V456" s="16" t="n">
        <x:f>E456/5</x:f>
        <x:v>20.4</x:v>
      </x:c>
    </x:row>
    <x:row r="457" ht="22" customHeight="1">
      <x:c r="A457" s="2" t="n">
        <x:v>226</x:v>
      </x:c>
      <x:c r="B457" s="2" t="str">
        <x:v>NAVY</x:v>
      </x:c>
      <x:c r="C457" s="2" t="str">
        <x:v>200만</x:v>
      </x:c>
      <x:c r="D457" s="2" t="str">
        <x:v>규칙형</x:v>
      </x:c>
      <x:c r="E457" s="14" t="n">
        <x:f>SUM(F457:M457)</x:f>
        <x:v>102</x:v>
      </x:c>
      <x:c r="F457" s="14" t="n">
        <x:v>7</x:v>
      </x:c>
      <x:c r="G457" s="14" t="n">
        <x:v>20</x:v>
      </x:c>
      <x:c r="H457" s="14" t="n">
        <x:v>4</x:v>
      </x:c>
      <x:c r="I457" s="14" t="n">
        <x:v>1</x:v>
      </x:c>
      <x:c r="J457" s="14" t="n">
        <x:v>1</x:v>
      </x:c>
      <x:c r="K457" s="14" t="n">
        <x:v>4</x:v>
      </x:c>
      <x:c r="L457" s="14" t="n">
        <x:v>30</x:v>
      </x:c>
      <x:c r="M457" s="14" t="n">
        <x:v>35</x:v>
      </x:c>
      <x:c r="N457" s="15" t="n">
        <x:f>IF(E457=0,"해당 없음",F457/E457)</x:f>
        <x:v>0.06862745098039216</x:v>
      </x:c>
      <x:c r="O457" s="15" t="n">
        <x:f>IF(E457=0,"해당 없음",G457/E457)</x:f>
        <x:v>0.19607843137254902</x:v>
      </x:c>
      <x:c r="P457" s="15" t="n">
        <x:f>IF(E457=0,"해당 없음",H457/E457)</x:f>
        <x:v>0.0392156862745098</x:v>
      </x:c>
      <x:c r="Q457" s="15" t="n">
        <x:f>IF(E457=0,"해당 없음",I457/E457)</x:f>
        <x:v>0.00980392156862745</x:v>
      </x:c>
      <x:c r="R457" s="15" t="n">
        <x:f>IF(E457=0,"해당 없음",J457/E457)</x:f>
        <x:v>0.00980392156862745</x:v>
      </x:c>
      <x:c r="S457" s="15" t="n">
        <x:f>IF(E457=0,"해당 없음",K457/E457)</x:f>
        <x:v>0.0392156862745098</x:v>
      </x:c>
      <x:c r="T457" s="15" t="n">
        <x:f>IF(E457=0,"해당 없음",L457/E457)</x:f>
        <x:v>0.29411764705882354</x:v>
      </x:c>
      <x:c r="U457" s="15" t="n">
        <x:f>IF(E457=0,"해당 없음",M457/E457)</x:f>
        <x:v>0.3431372549019608</x:v>
      </x:c>
      <x:c r="V457" s="16" t="n">
        <x:f>E457/5</x:f>
        <x:v>20.4</x:v>
      </x:c>
    </x:row>
    <x:row r="458" ht="22" customHeight="1">
      <x:c r="A458" s="2" t="n">
        <x:v>227</x:v>
      </x:c>
      <x:c r="B458" s="2" t="str">
        <x:v>RED</x:v>
      </x:c>
      <x:c r="C458" s="2" t="str">
        <x:v>200만</x:v>
      </x:c>
      <x:c r="D458" s="2" t="str">
        <x:v>규칙형</x:v>
      </x:c>
      <x:c r="E458" s="14" t="n">
        <x:f>SUM(F458:M458)</x:f>
        <x:v>102</x:v>
      </x:c>
      <x:c r="F458" s="14" t="n">
        <x:v>5</x:v>
      </x:c>
      <x:c r="G458" s="14" t="n">
        <x:v>23</x:v>
      </x:c>
      <x:c r="H458" s="14" t="n">
        <x:v>7</x:v>
      </x:c>
      <x:c r="I458" s="14" t="n">
        <x:v>0</x:v>
      </x:c>
      <x:c r="J458" s="14" t="n">
        <x:v>1</x:v>
      </x:c>
      <x:c r="K458" s="14" t="n">
        <x:v>7</x:v>
      </x:c>
      <x:c r="L458" s="14" t="n">
        <x:v>26</x:v>
      </x:c>
      <x:c r="M458" s="14" t="n">
        <x:v>33</x:v>
      </x:c>
      <x:c r="N458" s="15" t="n">
        <x:f>IF(E458=0,"해당 없음",F458/E458)</x:f>
        <x:v>0.049019607843137254</x:v>
      </x:c>
      <x:c r="O458" s="15" t="n">
        <x:f>IF(E458=0,"해당 없음",G458/E458)</x:f>
        <x:v>0.22549019607843138</x:v>
      </x:c>
      <x:c r="P458" s="15" t="n">
        <x:f>IF(E458=0,"해당 없음",H458/E458)</x:f>
        <x:v>0.06862745098039216</x:v>
      </x:c>
      <x:c r="Q458" s="15" t="n">
        <x:f>IF(E458=0,"해당 없음",I458/E458)</x:f>
        <x:v>0</x:v>
      </x:c>
      <x:c r="R458" s="15" t="n">
        <x:f>IF(E458=0,"해당 없음",J458/E458)</x:f>
        <x:v>0.00980392156862745</x:v>
      </x:c>
      <x:c r="S458" s="15" t="n">
        <x:f>IF(E458=0,"해당 없음",K458/E458)</x:f>
        <x:v>0.06862745098039216</x:v>
      </x:c>
      <x:c r="T458" s="15" t="n">
        <x:f>IF(E458=0,"해당 없음",L458/E458)</x:f>
        <x:v>0.2549019607843137</x:v>
      </x:c>
      <x:c r="U458" s="15" t="n">
        <x:f>IF(E458=0,"해당 없음",M458/E458)</x:f>
        <x:v>0.3235294117647059</x:v>
      </x:c>
      <x:c r="V458" s="16" t="n">
        <x:f>E458/5</x:f>
        <x:v>20.4</x:v>
      </x:c>
    </x:row>
    <x:row r="459" ht="22" customHeight="1">
      <x:c r="A459" s="2" t="n">
        <x:v>227</x:v>
      </x:c>
      <x:c r="B459" s="2" t="str">
        <x:v>NAVY</x:v>
      </x:c>
      <x:c r="C459" s="2" t="str">
        <x:v>규칙형</x:v>
      </x:c>
      <x:c r="D459" s="2" t="str">
        <x:v>200만</x:v>
      </x:c>
      <x:c r="E459" s="14" t="n">
        <x:f>SUM(F459:M459)</x:f>
        <x:v>103</x:v>
      </x:c>
      <x:c r="F459" s="14" t="n">
        <x:v>38</x:v>
      </x:c>
      <x:c r="G459" s="14" t="n">
        <x:v>1</x:v>
      </x:c>
      <x:c r="H459" s="14" t="n">
        <x:v>11</x:v>
      </x:c>
      <x:c r="I459" s="14" t="n">
        <x:v>10</x:v>
      </x:c>
      <x:c r="J459" s="14" t="n">
        <x:v>6</x:v>
      </x:c>
      <x:c r="K459" s="14" t="n">
        <x:v>7</x:v>
      </x:c>
      <x:c r="L459" s="14" t="n">
        <x:v>22</x:v>
      </x:c>
      <x:c r="M459" s="14" t="n">
        <x:v>8</x:v>
      </x:c>
      <x:c r="N459" s="15" t="n">
        <x:f>IF(E459=0,"해당 없음",F459/E459)</x:f>
        <x:v>0.36893203883495146</x:v>
      </x:c>
      <x:c r="O459" s="15" t="n">
        <x:f>IF(E459=0,"해당 없음",G459/E459)</x:f>
        <x:v>0.009708737864077669</x:v>
      </x:c>
      <x:c r="P459" s="15" t="n">
        <x:f>IF(E459=0,"해당 없음",H459/E459)</x:f>
        <x:v>0.10679611650485436</x:v>
      </x:c>
      <x:c r="Q459" s="15" t="n">
        <x:f>IF(E459=0,"해당 없음",I459/E459)</x:f>
        <x:v>0.0970873786407767</x:v>
      </x:c>
      <x:c r="R459" s="15" t="n">
        <x:f>IF(E459=0,"해당 없음",J459/E459)</x:f>
        <x:v>0.05825242718446602</x:v>
      </x:c>
      <x:c r="S459" s="15" t="n">
        <x:f>IF(E459=0,"해당 없음",K459/E459)</x:f>
        <x:v>0.06796116504854369</x:v>
      </x:c>
      <x:c r="T459" s="15" t="n">
        <x:f>IF(E459=0,"해당 없음",L459/E459)</x:f>
        <x:v>0.21359223300970873</x:v>
      </x:c>
      <x:c r="U459" s="15" t="n">
        <x:f>IF(E459=0,"해당 없음",M459/E459)</x:f>
        <x:v>0.07766990291262135</x:v>
      </x:c>
      <x:c r="V459" s="16" t="n">
        <x:f>E459/5</x:f>
        <x:v>20.6</x:v>
      </x:c>
    </x:row>
    <x:row r="460" ht="22" customHeight="1">
      <x:c r="A460" s="2" t="n">
        <x:v>228</x:v>
      </x:c>
      <x:c r="B460" s="2" t="str">
        <x:v>RED</x:v>
      </x:c>
      <x:c r="C460" s="2" t="str">
        <x:v>규칙형</x:v>
      </x:c>
      <x:c r="D460" s="2" t="str">
        <x:v>200만</x:v>
      </x:c>
      <x:c r="E460" s="14" t="n">
        <x:f>SUM(F460:M460)</x:f>
        <x:v>104</x:v>
      </x:c>
      <x:c r="F460" s="14" t="n">
        <x:v>39</x:v>
      </x:c>
      <x:c r="G460" s="14" t="n">
        <x:v>5</x:v>
      </x:c>
      <x:c r="H460" s="14" t="n">
        <x:v>4</x:v>
      </x:c>
      <x:c r="I460" s="14" t="n">
        <x:v>20</x:v>
      </x:c>
      <x:c r="J460" s="14" t="n">
        <x:v>7</x:v>
      </x:c>
      <x:c r="K460" s="14" t="n">
        <x:v>2</x:v>
      </x:c>
      <x:c r="L460" s="14" t="n">
        <x:v>24</x:v>
      </x:c>
      <x:c r="M460" s="14" t="n">
        <x:v>3</x:v>
      </x:c>
      <x:c r="N460" s="15" t="n">
        <x:f>IF(E460=0,"해당 없음",F460/E460)</x:f>
        <x:v>0.375</x:v>
      </x:c>
      <x:c r="O460" s="15" t="n">
        <x:f>IF(E460=0,"해당 없음",G460/E460)</x:f>
        <x:v>0.04807692307692308</x:v>
      </x:c>
      <x:c r="P460" s="15" t="n">
        <x:f>IF(E460=0,"해당 없음",H460/E460)</x:f>
        <x:v>0.038461538461538464</x:v>
      </x:c>
      <x:c r="Q460" s="15" t="n">
        <x:f>IF(E460=0,"해당 없음",I460/E460)</x:f>
        <x:v>0.19230769230769232</x:v>
      </x:c>
      <x:c r="R460" s="15" t="n">
        <x:f>IF(E460=0,"해당 없음",J460/E460)</x:f>
        <x:v>0.0673076923076923</x:v>
      </x:c>
      <x:c r="S460" s="15" t="n">
        <x:f>IF(E460=0,"해당 없음",K460/E460)</x:f>
        <x:v>0.019230769230769232</x:v>
      </x:c>
      <x:c r="T460" s="15" t="n">
        <x:f>IF(E460=0,"해당 없음",L460/E460)</x:f>
        <x:v>0.23076923076923078</x:v>
      </x:c>
      <x:c r="U460" s="15" t="n">
        <x:f>IF(E460=0,"해당 없음",M460/E460)</x:f>
        <x:v>0.028846153846153848</x:v>
      </x:c>
      <x:c r="V460" s="16" t="n">
        <x:f>E460/5</x:f>
        <x:v>20.8</x:v>
      </x:c>
    </x:row>
    <x:row r="461" ht="22" customHeight="1">
      <x:c r="A461" s="2" t="n">
        <x:v>228</x:v>
      </x:c>
      <x:c r="B461" s="2" t="str">
        <x:v>NAVY</x:v>
      </x:c>
      <x:c r="C461" s="2" t="str">
        <x:v>200만</x:v>
      </x:c>
      <x:c r="D461" s="2" t="str">
        <x:v>규칙형</x:v>
      </x:c>
      <x:c r="E461" s="14" t="n">
        <x:f>SUM(F461:M461)</x:f>
        <x:v>106</x:v>
      </x:c>
      <x:c r="F461" s="14" t="n">
        <x:v>3</x:v>
      </x:c>
      <x:c r="G461" s="14" t="n">
        <x:v>10</x:v>
      </x:c>
      <x:c r="H461" s="14" t="n">
        <x:v>6</x:v>
      </x:c>
      <x:c r="I461" s="14" t="n">
        <x:v>5</x:v>
      </x:c>
      <x:c r="J461" s="14" t="n">
        <x:v>1</x:v>
      </x:c>
      <x:c r="K461" s="14" t="n">
        <x:v>4</x:v>
      </x:c>
      <x:c r="L461" s="14" t="n">
        <x:v>29</x:v>
      </x:c>
      <x:c r="M461" s="14" t="n">
        <x:v>48</x:v>
      </x:c>
      <x:c r="N461" s="15" t="n">
        <x:f>IF(E461=0,"해당 없음",F461/E461)</x:f>
        <x:v>0.02830188679245283</x:v>
      </x:c>
      <x:c r="O461" s="15" t="n">
        <x:f>IF(E461=0,"해당 없음",G461/E461)</x:f>
        <x:v>0.09433962264150944</x:v>
      </x:c>
      <x:c r="P461" s="15" t="n">
        <x:f>IF(E461=0,"해당 없음",H461/E461)</x:f>
        <x:v>0.05660377358490566</x:v>
      </x:c>
      <x:c r="Q461" s="15" t="n">
        <x:f>IF(E461=0,"해당 없음",I461/E461)</x:f>
        <x:v>0.04716981132075472</x:v>
      </x:c>
      <x:c r="R461" s="15" t="n">
        <x:f>IF(E461=0,"해당 없음",J461/E461)</x:f>
        <x:v>0.009433962264150943</x:v>
      </x:c>
      <x:c r="S461" s="15" t="n">
        <x:f>IF(E461=0,"해당 없음",K461/E461)</x:f>
        <x:v>0.03773584905660377</x:v>
      </x:c>
      <x:c r="T461" s="15" t="n">
        <x:f>IF(E461=0,"해당 없음",L461/E461)</x:f>
        <x:v>0.27358490566037735</x:v>
      </x:c>
      <x:c r="U461" s="15" t="n">
        <x:f>IF(E461=0,"해당 없음",M461/E461)</x:f>
        <x:v>0.4528301886792453</x:v>
      </x:c>
      <x:c r="V461" s="16" t="n">
        <x:f>E461/5</x:f>
        <x:v>21.2</x:v>
      </x:c>
    </x:row>
    <x:row r="462" ht="22" customHeight="1">
      <x:c r="A462" s="2" t="n">
        <x:v>229</x:v>
      </x:c>
      <x:c r="B462" s="2" t="str">
        <x:v>RED</x:v>
      </x:c>
      <x:c r="C462" s="2" t="str">
        <x:v>200만</x:v>
      </x:c>
      <x:c r="D462" s="2" t="str">
        <x:v>규칙형</x:v>
      </x:c>
      <x:c r="E462" s="14" t="n">
        <x:f>SUM(F462:M462)</x:f>
        <x:v>105</x:v>
      </x:c>
      <x:c r="F462" s="14" t="n">
        <x:v>2</x:v>
      </x:c>
      <x:c r="G462" s="14" t="n">
        <x:v>22</x:v>
      </x:c>
      <x:c r="H462" s="14" t="n">
        <x:v>8</x:v>
      </x:c>
      <x:c r="I462" s="14" t="n">
        <x:v>3</x:v>
      </x:c>
      <x:c r="J462" s="14" t="n">
        <x:v>3</x:v>
      </x:c>
      <x:c r="K462" s="14" t="n">
        <x:v>4</x:v>
      </x:c>
      <x:c r="L462" s="14" t="n">
        <x:v>33</x:v>
      </x:c>
      <x:c r="M462" s="14" t="n">
        <x:v>30</x:v>
      </x:c>
      <x:c r="N462" s="15" t="n">
        <x:f>IF(E462=0,"해당 없음",F462/E462)</x:f>
        <x:v>0.01904761904761905</x:v>
      </x:c>
      <x:c r="O462" s="15" t="n">
        <x:f>IF(E462=0,"해당 없음",G462/E462)</x:f>
        <x:v>0.20952380952380953</x:v>
      </x:c>
      <x:c r="P462" s="15" t="n">
        <x:f>IF(E462=0,"해당 없음",H462/E462)</x:f>
        <x:v>0.0761904761904762</x:v>
      </x:c>
      <x:c r="Q462" s="15" t="n">
        <x:f>IF(E462=0,"해당 없음",I462/E462)</x:f>
        <x:v>0.02857142857142857</x:v>
      </x:c>
      <x:c r="R462" s="15" t="n">
        <x:f>IF(E462=0,"해당 없음",J462/E462)</x:f>
        <x:v>0.02857142857142857</x:v>
      </x:c>
      <x:c r="S462" s="15" t="n">
        <x:f>IF(E462=0,"해당 없음",K462/E462)</x:f>
        <x:v>0.0380952380952381</x:v>
      </x:c>
      <x:c r="T462" s="15" t="n">
        <x:f>IF(E462=0,"해당 없음",L462/E462)</x:f>
        <x:v>0.3142857142857143</x:v>
      </x:c>
      <x:c r="U462" s="15" t="n">
        <x:f>IF(E462=0,"해당 없음",M462/E462)</x:f>
        <x:v>0.2857142857142857</x:v>
      </x:c>
      <x:c r="V462" s="16" t="n">
        <x:f>E462/5</x:f>
        <x:v>21</x:v>
      </x:c>
    </x:row>
    <x:row r="463" ht="22" customHeight="1">
      <x:c r="A463" s="2" t="n">
        <x:v>229</x:v>
      </x:c>
      <x:c r="B463" s="2" t="str">
        <x:v>NAVY</x:v>
      </x:c>
      <x:c r="C463" s="2" t="str">
        <x:v>규칙형</x:v>
      </x:c>
      <x:c r="D463" s="2" t="str">
        <x:v>200만</x:v>
      </x:c>
      <x:c r="E463" s="14" t="n">
        <x:f>SUM(F463:M463)</x:f>
        <x:v>104</x:v>
      </x:c>
      <x:c r="F463" s="14" t="n">
        <x:v>37</x:v>
      </x:c>
      <x:c r="G463" s="14" t="n">
        <x:v>4</x:v>
      </x:c>
      <x:c r="H463" s="14" t="n">
        <x:v>10</x:v>
      </x:c>
      <x:c r="I463" s="14" t="n">
        <x:v>5</x:v>
      </x:c>
      <x:c r="J463" s="14" t="n">
        <x:v>10</x:v>
      </x:c>
      <x:c r="K463" s="14" t="n">
        <x:v>4</x:v>
      </x:c>
      <x:c r="L463" s="14" t="n">
        <x:v>26</x:v>
      </x:c>
      <x:c r="M463" s="14" t="n">
        <x:v>8</x:v>
      </x:c>
      <x:c r="N463" s="15" t="n">
        <x:f>IF(E463=0,"해당 없음",F463/E463)</x:f>
        <x:v>0.3557692307692308</x:v>
      </x:c>
      <x:c r="O463" s="15" t="n">
        <x:f>IF(E463=0,"해당 없음",G463/E463)</x:f>
        <x:v>0.038461538461538464</x:v>
      </x:c>
      <x:c r="P463" s="15" t="n">
        <x:f>IF(E463=0,"해당 없음",H463/E463)</x:f>
        <x:v>0.09615384615384616</x:v>
      </x:c>
      <x:c r="Q463" s="15" t="n">
        <x:f>IF(E463=0,"해당 없음",I463/E463)</x:f>
        <x:v>0.04807692307692308</x:v>
      </x:c>
      <x:c r="R463" s="15" t="n">
        <x:f>IF(E463=0,"해당 없음",J463/E463)</x:f>
        <x:v>0.09615384615384616</x:v>
      </x:c>
      <x:c r="S463" s="15" t="n">
        <x:f>IF(E463=0,"해당 없음",K463/E463)</x:f>
        <x:v>0.038461538461538464</x:v>
      </x:c>
      <x:c r="T463" s="15" t="n">
        <x:f>IF(E463=0,"해당 없음",L463/E463)</x:f>
        <x:v>0.25</x:v>
      </x:c>
      <x:c r="U463" s="15" t="n">
        <x:f>IF(E463=0,"해당 없음",M463/E463)</x:f>
        <x:v>0.07692307692307693</x:v>
      </x:c>
      <x:c r="V463" s="16" t="n">
        <x:f>E463/5</x:f>
        <x:v>20.8</x:v>
      </x:c>
    </x:row>
    <x:row r="464" ht="22" customHeight="1">
      <x:c r="A464" s="2" t="n">
        <x:v>230</x:v>
      </x:c>
      <x:c r="B464" s="2" t="str">
        <x:v>RED</x:v>
      </x:c>
      <x:c r="C464" s="2" t="str">
        <x:v>규칙형</x:v>
      </x:c>
      <x:c r="D464" s="2" t="str">
        <x:v>200만</x:v>
      </x:c>
      <x:c r="E464" s="14" t="n">
        <x:f>SUM(F464:M464)</x:f>
        <x:v>104</x:v>
      </x:c>
      <x:c r="F464" s="14" t="n">
        <x:v>40</x:v>
      </x:c>
      <x:c r="G464" s="14" t="n">
        <x:v>7</x:v>
      </x:c>
      <x:c r="H464" s="14" t="n">
        <x:v>8</x:v>
      </x:c>
      <x:c r="I464" s="14" t="n">
        <x:v>10</x:v>
      </x:c>
      <x:c r="J464" s="14" t="n">
        <x:v>9</x:v>
      </x:c>
      <x:c r="K464" s="14" t="n">
        <x:v>4</x:v>
      </x:c>
      <x:c r="L464" s="14" t="n">
        <x:v>22</x:v>
      </x:c>
      <x:c r="M464" s="14" t="n">
        <x:v>4</x:v>
      </x:c>
      <x:c r="N464" s="15" t="n">
        <x:f>IF(E464=0,"해당 없음",F464/E464)</x:f>
        <x:v>0.38461538461538464</x:v>
      </x:c>
      <x:c r="O464" s="15" t="n">
        <x:f>IF(E464=0,"해당 없음",G464/E464)</x:f>
        <x:v>0.0673076923076923</x:v>
      </x:c>
      <x:c r="P464" s="15" t="n">
        <x:f>IF(E464=0,"해당 없음",H464/E464)</x:f>
        <x:v>0.07692307692307693</x:v>
      </x:c>
      <x:c r="Q464" s="15" t="n">
        <x:f>IF(E464=0,"해당 없음",I464/E464)</x:f>
        <x:v>0.09615384615384616</x:v>
      </x:c>
      <x:c r="R464" s="15" t="n">
        <x:f>IF(E464=0,"해당 없음",J464/E464)</x:f>
        <x:v>0.08653846153846154</x:v>
      </x:c>
      <x:c r="S464" s="15" t="n">
        <x:f>IF(E464=0,"해당 없음",K464/E464)</x:f>
        <x:v>0.038461538461538464</x:v>
      </x:c>
      <x:c r="T464" s="15" t="n">
        <x:f>IF(E464=0,"해당 없음",L464/E464)</x:f>
        <x:v>0.21153846153846154</x:v>
      </x:c>
      <x:c r="U464" s="15" t="n">
        <x:f>IF(E464=0,"해당 없음",M464/E464)</x:f>
        <x:v>0.038461538461538464</x:v>
      </x:c>
      <x:c r="V464" s="16" t="n">
        <x:f>E464/5</x:f>
        <x:v>20.8</x:v>
      </x:c>
    </x:row>
    <x:row r="465" ht="22" customHeight="1">
      <x:c r="A465" s="2" t="n">
        <x:v>230</x:v>
      </x:c>
      <x:c r="B465" s="2" t="str">
        <x:v>NAVY</x:v>
      </x:c>
      <x:c r="C465" s="2" t="str">
        <x:v>200만</x:v>
      </x:c>
      <x:c r="D465" s="2" t="str">
        <x:v>규칙형</x:v>
      </x:c>
      <x:c r="E465" s="14" t="n">
        <x:f>SUM(F465:M465)</x:f>
        <x:v>105</x:v>
      </x:c>
      <x:c r="F465" s="14" t="n">
        <x:v>3</x:v>
      </x:c>
      <x:c r="G465" s="14" t="n">
        <x:v>18</x:v>
      </x:c>
      <x:c r="H465" s="14" t="n">
        <x:v>12</x:v>
      </x:c>
      <x:c r="I465" s="14" t="n">
        <x:v>4</x:v>
      </x:c>
      <x:c r="J465" s="14" t="n">
        <x:v>1</x:v>
      </x:c>
      <x:c r="K465" s="14" t="n">
        <x:v>3</x:v>
      </x:c>
      <x:c r="L465" s="14" t="n">
        <x:v>29</x:v>
      </x:c>
      <x:c r="M465" s="14" t="n">
        <x:v>35</x:v>
      </x:c>
      <x:c r="N465" s="15" t="n">
        <x:f>IF(E465=0,"해당 없음",F465/E465)</x:f>
        <x:v>0.02857142857142857</x:v>
      </x:c>
      <x:c r="O465" s="15" t="n">
        <x:f>IF(E465=0,"해당 없음",G465/E465)</x:f>
        <x:v>0.17142857142857143</x:v>
      </x:c>
      <x:c r="P465" s="15" t="n">
        <x:f>IF(E465=0,"해당 없음",H465/E465)</x:f>
        <x:v>0.11428571428571428</x:v>
      </x:c>
      <x:c r="Q465" s="15" t="n">
        <x:f>IF(E465=0,"해당 없음",I465/E465)</x:f>
        <x:v>0.0380952380952381</x:v>
      </x:c>
      <x:c r="R465" s="15" t="n">
        <x:f>IF(E465=0,"해당 없음",J465/E465)</x:f>
        <x:v>0.009523809523809525</x:v>
      </x:c>
      <x:c r="S465" s="15" t="n">
        <x:f>IF(E465=0,"해당 없음",K465/E465)</x:f>
        <x:v>0.02857142857142857</x:v>
      </x:c>
      <x:c r="T465" s="15" t="n">
        <x:f>IF(E465=0,"해당 없음",L465/E465)</x:f>
        <x:v>0.2761904761904762</x:v>
      </x:c>
      <x:c r="U465" s="15" t="n">
        <x:f>IF(E465=0,"해당 없음",M465/E465)</x:f>
        <x:v>0.3333333333333333</x:v>
      </x:c>
      <x:c r="V465" s="16" t="n">
        <x:f>E465/5</x:f>
        <x:v>21</x:v>
      </x:c>
    </x:row>
    <x:row r="466" ht="22" customHeight="1">
      <x:c r="A466" s="2" t="n">
        <x:v>231</x:v>
      </x:c>
      <x:c r="B466" s="2" t="str">
        <x:v>RED</x:v>
      </x:c>
      <x:c r="C466" s="2" t="str">
        <x:v>200만</x:v>
      </x:c>
      <x:c r="D466" s="2" t="str">
        <x:v>규칙형</x:v>
      </x:c>
      <x:c r="E466" s="14" t="n">
        <x:f>SUM(F466:M466)</x:f>
        <x:v>102</x:v>
      </x:c>
      <x:c r="F466" s="14" t="n">
        <x:v>3</x:v>
      </x:c>
      <x:c r="G466" s="14" t="n">
        <x:v>26</x:v>
      </x:c>
      <x:c r="H466" s="14" t="n">
        <x:v>4</x:v>
      </x:c>
      <x:c r="I466" s="14" t="n">
        <x:v>2</x:v>
      </x:c>
      <x:c r="J466" s="14" t="n">
        <x:v>7</x:v>
      </x:c>
      <x:c r="K466" s="14" t="n">
        <x:v>7</x:v>
      </x:c>
      <x:c r="L466" s="14" t="n">
        <x:v>22</x:v>
      </x:c>
      <x:c r="M466" s="14" t="n">
        <x:v>31</x:v>
      </x:c>
      <x:c r="N466" s="15" t="n">
        <x:f>IF(E466=0,"해당 없음",F466/E466)</x:f>
        <x:v>0.029411764705882353</x:v>
      </x:c>
      <x:c r="O466" s="15" t="n">
        <x:f>IF(E466=0,"해당 없음",G466/E466)</x:f>
        <x:v>0.2549019607843137</x:v>
      </x:c>
      <x:c r="P466" s="15" t="n">
        <x:f>IF(E466=0,"해당 없음",H466/E466)</x:f>
        <x:v>0.0392156862745098</x:v>
      </x:c>
      <x:c r="Q466" s="15" t="n">
        <x:f>IF(E466=0,"해당 없음",I466/E466)</x:f>
        <x:v>0.0196078431372549</x:v>
      </x:c>
      <x:c r="R466" s="15" t="n">
        <x:f>IF(E466=0,"해당 없음",J466/E466)</x:f>
        <x:v>0.06862745098039216</x:v>
      </x:c>
      <x:c r="S466" s="15" t="n">
        <x:f>IF(E466=0,"해당 없음",K466/E466)</x:f>
        <x:v>0.06862745098039216</x:v>
      </x:c>
      <x:c r="T466" s="15" t="n">
        <x:f>IF(E466=0,"해당 없음",L466/E466)</x:f>
        <x:v>0.21568627450980393</x:v>
      </x:c>
      <x:c r="U466" s="15" t="n">
        <x:f>IF(E466=0,"해당 없음",M466/E466)</x:f>
        <x:v>0.30392156862745096</x:v>
      </x:c>
      <x:c r="V466" s="16" t="n">
        <x:f>E466/5</x:f>
        <x:v>20.4</x:v>
      </x:c>
    </x:row>
    <x:row r="467" ht="22" customHeight="1">
      <x:c r="A467" s="2" t="n">
        <x:v>231</x:v>
      </x:c>
      <x:c r="B467" s="2" t="str">
        <x:v>NAVY</x:v>
      </x:c>
      <x:c r="C467" s="2" t="str">
        <x:v>규칙형</x:v>
      </x:c>
      <x:c r="D467" s="2" t="str">
        <x:v>200만</x:v>
      </x:c>
      <x:c r="E467" s="14" t="n">
        <x:f>SUM(F467:M467)</x:f>
        <x:v>103</x:v>
      </x:c>
      <x:c r="F467" s="14" t="n">
        <x:v>40</x:v>
      </x:c>
      <x:c r="G467" s="14" t="n">
        <x:v>2</x:v>
      </x:c>
      <x:c r="H467" s="14" t="n">
        <x:v>18</x:v>
      </x:c>
      <x:c r="I467" s="14" t="n">
        <x:v>14</x:v>
      </x:c>
      <x:c r="J467" s="14" t="n">
        <x:v>3</x:v>
      </x:c>
      <x:c r="K467" s="14" t="n">
        <x:v>2</x:v>
      </x:c>
      <x:c r="L467" s="14" t="n">
        <x:v>18</x:v>
      </x:c>
      <x:c r="M467" s="14" t="n">
        <x:v>6</x:v>
      </x:c>
      <x:c r="N467" s="15" t="n">
        <x:f>IF(E467=0,"해당 없음",F467/E467)</x:f>
        <x:v>0.3883495145631068</x:v>
      </x:c>
      <x:c r="O467" s="15" t="n">
        <x:f>IF(E467=0,"해당 없음",G467/E467)</x:f>
        <x:v>0.019417475728155338</x:v>
      </x:c>
      <x:c r="P467" s="15" t="n">
        <x:f>IF(E467=0,"해당 없음",H467/E467)</x:f>
        <x:v>0.17475728155339806</x:v>
      </x:c>
      <x:c r="Q467" s="15" t="n">
        <x:f>IF(E467=0,"해당 없음",I467/E467)</x:f>
        <x:v>0.13592233009708737</x:v>
      </x:c>
      <x:c r="R467" s="15" t="n">
        <x:f>IF(E467=0,"해당 없음",J467/E467)</x:f>
        <x:v>0.02912621359223301</x:v>
      </x:c>
      <x:c r="S467" s="15" t="n">
        <x:f>IF(E467=0,"해당 없음",K467/E467)</x:f>
        <x:v>0.019417475728155338</x:v>
      </x:c>
      <x:c r="T467" s="15" t="n">
        <x:f>IF(E467=0,"해당 없음",L467/E467)</x:f>
        <x:v>0.17475728155339806</x:v>
      </x:c>
      <x:c r="U467" s="15" t="n">
        <x:f>IF(E467=0,"해당 없음",M467/E467)</x:f>
        <x:v>0.05825242718446602</x:v>
      </x:c>
      <x:c r="V467" s="16" t="n">
        <x:f>E467/5</x:f>
        <x:v>20.6</x:v>
      </x:c>
    </x:row>
    <x:row r="468" ht="22" customHeight="1">
      <x:c r="A468" s="2" t="n">
        <x:v>232</x:v>
      </x:c>
      <x:c r="B468" s="2" t="str">
        <x:v>RED</x:v>
      </x:c>
      <x:c r="C468" s="2" t="str">
        <x:v>규칙형</x:v>
      </x:c>
      <x:c r="D468" s="2" t="str">
        <x:v>200만</x:v>
      </x:c>
      <x:c r="E468" s="14" t="n">
        <x:f>SUM(F468:M468)</x:f>
        <x:v>105</x:v>
      </x:c>
      <x:c r="F468" s="14" t="n">
        <x:v>36</x:v>
      </x:c>
      <x:c r="G468" s="14" t="n">
        <x:v>1</x:v>
      </x:c>
      <x:c r="H468" s="14" t="n">
        <x:v>12</x:v>
      </x:c>
      <x:c r="I468" s="14" t="n">
        <x:v>19</x:v>
      </x:c>
      <x:c r="J468" s="14" t="n">
        <x:v>5</x:v>
      </x:c>
      <x:c r="K468" s="14" t="n">
        <x:v>4</x:v>
      </x:c>
      <x:c r="L468" s="14" t="n">
        <x:v>20</x:v>
      </x:c>
      <x:c r="M468" s="14" t="n">
        <x:v>8</x:v>
      </x:c>
      <x:c r="N468" s="15" t="n">
        <x:f>IF(E468=0,"해당 없음",F468/E468)</x:f>
        <x:v>0.34285714285714286</x:v>
      </x:c>
      <x:c r="O468" s="15" t="n">
        <x:f>IF(E468=0,"해당 없음",G468/E468)</x:f>
        <x:v>0.009523809523809525</x:v>
      </x:c>
      <x:c r="P468" s="15" t="n">
        <x:f>IF(E468=0,"해당 없음",H468/E468)</x:f>
        <x:v>0.11428571428571428</x:v>
      </x:c>
      <x:c r="Q468" s="15" t="n">
        <x:f>IF(E468=0,"해당 없음",I468/E468)</x:f>
        <x:v>0.18095238095238095</x:v>
      </x:c>
      <x:c r="R468" s="15" t="n">
        <x:f>IF(E468=0,"해당 없음",J468/E468)</x:f>
        <x:v>0.047619047619047616</x:v>
      </x:c>
      <x:c r="S468" s="15" t="n">
        <x:f>IF(E468=0,"해당 없음",K468/E468)</x:f>
        <x:v>0.0380952380952381</x:v>
      </x:c>
      <x:c r="T468" s="15" t="n">
        <x:f>IF(E468=0,"해당 없음",L468/E468)</x:f>
        <x:v>0.19047619047619047</x:v>
      </x:c>
      <x:c r="U468" s="15" t="n">
        <x:f>IF(E468=0,"해당 없음",M468/E468)</x:f>
        <x:v>0.0761904761904762</x:v>
      </x:c>
      <x:c r="V468" s="16" t="n">
        <x:f>E468/5</x:f>
        <x:v>21</x:v>
      </x:c>
    </x:row>
    <x:row r="469" ht="22" customHeight="1">
      <x:c r="A469" s="2" t="n">
        <x:v>232</x:v>
      </x:c>
      <x:c r="B469" s="2" t="str">
        <x:v>NAVY</x:v>
      </x:c>
      <x:c r="C469" s="2" t="str">
        <x:v>200만</x:v>
      </x:c>
      <x:c r="D469" s="2" t="str">
        <x:v>규칙형</x:v>
      </x:c>
      <x:c r="E469" s="14" t="n">
        <x:f>SUM(F469:M469)</x:f>
        <x:v>105</x:v>
      </x:c>
      <x:c r="F469" s="14" t="n">
        <x:v>2</x:v>
      </x:c>
      <x:c r="G469" s="14" t="n">
        <x:v>13</x:v>
      </x:c>
      <x:c r="H469" s="14" t="n">
        <x:v>1</x:v>
      </x:c>
      <x:c r="I469" s="14" t="n">
        <x:v>1</x:v>
      </x:c>
      <x:c r="J469" s="14" t="n">
        <x:v>3</x:v>
      </x:c>
      <x:c r="K469" s="14" t="n">
        <x:v>6</x:v>
      </x:c>
      <x:c r="L469" s="14" t="n">
        <x:v>26</x:v>
      </x:c>
      <x:c r="M469" s="14" t="n">
        <x:v>53</x:v>
      </x:c>
      <x:c r="N469" s="15" t="n">
        <x:f>IF(E469=0,"해당 없음",F469/E469)</x:f>
        <x:v>0.01904761904761905</x:v>
      </x:c>
      <x:c r="O469" s="15" t="n">
        <x:f>IF(E469=0,"해당 없음",G469/E469)</x:f>
        <x:v>0.12380952380952381</x:v>
      </x:c>
      <x:c r="P469" s="15" t="n">
        <x:f>IF(E469=0,"해당 없음",H469/E469)</x:f>
        <x:v>0.009523809523809525</x:v>
      </x:c>
      <x:c r="Q469" s="15" t="n">
        <x:f>IF(E469=0,"해당 없음",I469/E469)</x:f>
        <x:v>0.009523809523809525</x:v>
      </x:c>
      <x:c r="R469" s="15" t="n">
        <x:f>IF(E469=0,"해당 없음",J469/E469)</x:f>
        <x:v>0.02857142857142857</x:v>
      </x:c>
      <x:c r="S469" s="15" t="n">
        <x:f>IF(E469=0,"해당 없음",K469/E469)</x:f>
        <x:v>0.05714285714285714</x:v>
      </x:c>
      <x:c r="T469" s="15" t="n">
        <x:f>IF(E469=0,"해당 없음",L469/E469)</x:f>
        <x:v>0.24761904761904763</x:v>
      </x:c>
      <x:c r="U469" s="15" t="n">
        <x:f>IF(E469=0,"해당 없음",M469/E469)</x:f>
        <x:v>0.5047619047619047</x:v>
      </x:c>
      <x:c r="V469" s="16" t="n">
        <x:f>E469/5</x:f>
        <x:v>21</x:v>
      </x:c>
    </x:row>
    <x:row r="470" ht="22" customHeight="1">
      <x:c r="A470" s="2" t="n">
        <x:v>233</x:v>
      </x:c>
      <x:c r="B470" s="2" t="str">
        <x:v>RED</x:v>
      </x:c>
      <x:c r="C470" s="2" t="str">
        <x:v>200만</x:v>
      </x:c>
      <x:c r="D470" s="2" t="str">
        <x:v>규칙형</x:v>
      </x:c>
      <x:c r="E470" s="14" t="n">
        <x:f>SUM(F470:M470)</x:f>
        <x:v>102</x:v>
      </x:c>
      <x:c r="F470" s="14" t="n">
        <x:v>1</x:v>
      </x:c>
      <x:c r="G470" s="14" t="n">
        <x:v>10</x:v>
      </x:c>
      <x:c r="H470" s="14" t="n">
        <x:v>6</x:v>
      </x:c>
      <x:c r="I470" s="14" t="n">
        <x:v>1</x:v>
      </x:c>
      <x:c r="J470" s="14" t="n">
        <x:v>0</x:v>
      </x:c>
      <x:c r="K470" s="14" t="n">
        <x:v>3</x:v>
      </x:c>
      <x:c r="L470" s="14" t="n">
        <x:v>28</x:v>
      </x:c>
      <x:c r="M470" s="14" t="n">
        <x:v>53</x:v>
      </x:c>
      <x:c r="N470" s="15" t="n">
        <x:f>IF(E470=0,"해당 없음",F470/E470)</x:f>
        <x:v>0.00980392156862745</x:v>
      </x:c>
      <x:c r="O470" s="15" t="n">
        <x:f>IF(E470=0,"해당 없음",G470/E470)</x:f>
        <x:v>0.09803921568627451</x:v>
      </x:c>
      <x:c r="P470" s="15" t="n">
        <x:f>IF(E470=0,"해당 없음",H470/E470)</x:f>
        <x:v>0.058823529411764705</x:v>
      </x:c>
      <x:c r="Q470" s="15" t="n">
        <x:f>IF(E470=0,"해당 없음",I470/E470)</x:f>
        <x:v>0.00980392156862745</x:v>
      </x:c>
      <x:c r="R470" s="15" t="n">
        <x:f>IF(E470=0,"해당 없음",J470/E470)</x:f>
        <x:v>0</x:v>
      </x:c>
      <x:c r="S470" s="15" t="n">
        <x:f>IF(E470=0,"해당 없음",K470/E470)</x:f>
        <x:v>0.029411764705882353</x:v>
      </x:c>
      <x:c r="T470" s="15" t="n">
        <x:f>IF(E470=0,"해당 없음",L470/E470)</x:f>
        <x:v>0.27450980392156865</x:v>
      </x:c>
      <x:c r="U470" s="15" t="n">
        <x:f>IF(E470=0,"해당 없음",M470/E470)</x:f>
        <x:v>0.5196078431372549</x:v>
      </x:c>
      <x:c r="V470" s="16" t="n">
        <x:f>E470/5</x:f>
        <x:v>20.4</x:v>
      </x:c>
    </x:row>
    <x:row r="471" ht="22" customHeight="1">
      <x:c r="A471" s="2" t="n">
        <x:v>233</x:v>
      </x:c>
      <x:c r="B471" s="2" t="str">
        <x:v>NAVY</x:v>
      </x:c>
      <x:c r="C471" s="2" t="str">
        <x:v>규칙형</x:v>
      </x:c>
      <x:c r="D471" s="2" t="str">
        <x:v>200만</x:v>
      </x:c>
      <x:c r="E471" s="14" t="n">
        <x:f>SUM(F471:M471)</x:f>
        <x:v>104</x:v>
      </x:c>
      <x:c r="F471" s="14" t="n">
        <x:v>34</x:v>
      </x:c>
      <x:c r="G471" s="14" t="n">
        <x:v>3</x:v>
      </x:c>
      <x:c r="H471" s="14" t="n">
        <x:v>12</x:v>
      </x:c>
      <x:c r="I471" s="14" t="n">
        <x:v>16</x:v>
      </x:c>
      <x:c r="J471" s="14" t="n">
        <x:v>5</x:v>
      </x:c>
      <x:c r="K471" s="14" t="n">
        <x:v>6</x:v>
      </x:c>
      <x:c r="L471" s="14" t="n">
        <x:v>26</x:v>
      </x:c>
      <x:c r="M471" s="14" t="n">
        <x:v>2</x:v>
      </x:c>
      <x:c r="N471" s="15" t="n">
        <x:f>IF(E471=0,"해당 없음",F471/E471)</x:f>
        <x:v>0.3269230769230769</x:v>
      </x:c>
      <x:c r="O471" s="15" t="n">
        <x:f>IF(E471=0,"해당 없음",G471/E471)</x:f>
        <x:v>0.028846153846153848</x:v>
      </x:c>
      <x:c r="P471" s="15" t="n">
        <x:f>IF(E471=0,"해당 없음",H471/E471)</x:f>
        <x:v>0.11538461538461539</x:v>
      </x:c>
      <x:c r="Q471" s="15" t="n">
        <x:f>IF(E471=0,"해당 없음",I471/E471)</x:f>
        <x:v>0.15384615384615385</x:v>
      </x:c>
      <x:c r="R471" s="15" t="n">
        <x:f>IF(E471=0,"해당 없음",J471/E471)</x:f>
        <x:v>0.04807692307692308</x:v>
      </x:c>
      <x:c r="S471" s="15" t="n">
        <x:f>IF(E471=0,"해당 없음",K471/E471)</x:f>
        <x:v>0.057692307692307696</x:v>
      </x:c>
      <x:c r="T471" s="15" t="n">
        <x:f>IF(E471=0,"해당 없음",L471/E471)</x:f>
        <x:v>0.25</x:v>
      </x:c>
      <x:c r="U471" s="15" t="n">
        <x:f>IF(E471=0,"해당 없음",M471/E471)</x:f>
        <x:v>0.019230769230769232</x:v>
      </x:c>
      <x:c r="V471" s="16" t="n">
        <x:f>E471/5</x:f>
        <x:v>20.8</x:v>
      </x:c>
    </x:row>
    <x:row r="472" ht="22" customHeight="1">
      <x:c r="A472" s="2" t="n">
        <x:v>234</x:v>
      </x:c>
      <x:c r="B472" s="2" t="str">
        <x:v>RED</x:v>
      </x:c>
      <x:c r="C472" s="2" t="str">
        <x:v>규칙형</x:v>
      </x:c>
      <x:c r="D472" s="2" t="str">
        <x:v>200만</x:v>
      </x:c>
      <x:c r="E472" s="14" t="n">
        <x:f>SUM(F472:M472)</x:f>
        <x:v>105</x:v>
      </x:c>
      <x:c r="F472" s="14" t="n">
        <x:v>38</x:v>
      </x:c>
      <x:c r="G472" s="14" t="n">
        <x:v>2</x:v>
      </x:c>
      <x:c r="H472" s="14" t="n">
        <x:v>12</x:v>
      </x:c>
      <x:c r="I472" s="14" t="n">
        <x:v>13</x:v>
      </x:c>
      <x:c r="J472" s="14" t="n">
        <x:v>5</x:v>
      </x:c>
      <x:c r="K472" s="14" t="n">
        <x:v>5</x:v>
      </x:c>
      <x:c r="L472" s="14" t="n">
        <x:v>14</x:v>
      </x:c>
      <x:c r="M472" s="14" t="n">
        <x:v>16</x:v>
      </x:c>
      <x:c r="N472" s="15" t="n">
        <x:f>IF(E472=0,"해당 없음",F472/E472)</x:f>
        <x:v>0.3619047619047619</x:v>
      </x:c>
      <x:c r="O472" s="15" t="n">
        <x:f>IF(E472=0,"해당 없음",G472/E472)</x:f>
        <x:v>0.01904761904761905</x:v>
      </x:c>
      <x:c r="P472" s="15" t="n">
        <x:f>IF(E472=0,"해당 없음",H472/E472)</x:f>
        <x:v>0.11428571428571428</x:v>
      </x:c>
      <x:c r="Q472" s="15" t="n">
        <x:f>IF(E472=0,"해당 없음",I472/E472)</x:f>
        <x:v>0.12380952380952381</x:v>
      </x:c>
      <x:c r="R472" s="15" t="n">
        <x:f>IF(E472=0,"해당 없음",J472/E472)</x:f>
        <x:v>0.047619047619047616</x:v>
      </x:c>
      <x:c r="S472" s="15" t="n">
        <x:f>IF(E472=0,"해당 없음",K472/E472)</x:f>
        <x:v>0.047619047619047616</x:v>
      </x:c>
      <x:c r="T472" s="15" t="n">
        <x:f>IF(E472=0,"해당 없음",L472/E472)</x:f>
        <x:v>0.13333333333333333</x:v>
      </x:c>
      <x:c r="U472" s="15" t="n">
        <x:f>IF(E472=0,"해당 없음",M472/E472)</x:f>
        <x:v>0.1523809523809524</x:v>
      </x:c>
      <x:c r="V472" s="16" t="n">
        <x:f>E472/5</x:f>
        <x:v>21</x:v>
      </x:c>
    </x:row>
    <x:row r="473" ht="22" customHeight="1">
      <x:c r="A473" s="2" t="n">
        <x:v>234</x:v>
      </x:c>
      <x:c r="B473" s="2" t="str">
        <x:v>NAVY</x:v>
      </x:c>
      <x:c r="C473" s="2" t="str">
        <x:v>200만</x:v>
      </x:c>
      <x:c r="D473" s="2" t="str">
        <x:v>규칙형</x:v>
      </x:c>
      <x:c r="E473" s="14" t="n">
        <x:f>SUM(F473:M473)</x:f>
        <x:v>104</x:v>
      </x:c>
      <x:c r="F473" s="14" t="n">
        <x:v>3</x:v>
      </x:c>
      <x:c r="G473" s="14" t="n">
        <x:v>12</x:v>
      </x:c>
      <x:c r="H473" s="14" t="n">
        <x:v>6</x:v>
      </x:c>
      <x:c r="I473" s="14" t="n">
        <x:v>5</x:v>
      </x:c>
      <x:c r="J473" s="14" t="n">
        <x:v>2</x:v>
      </x:c>
      <x:c r="K473" s="14" t="n">
        <x:v>3</x:v>
      </x:c>
      <x:c r="L473" s="14" t="n">
        <x:v>38</x:v>
      </x:c>
      <x:c r="M473" s="14" t="n">
        <x:v>35</x:v>
      </x:c>
      <x:c r="N473" s="15" t="n">
        <x:f>IF(E473=0,"해당 없음",F473/E473)</x:f>
        <x:v>0.028846153846153848</x:v>
      </x:c>
      <x:c r="O473" s="15" t="n">
        <x:f>IF(E473=0,"해당 없음",G473/E473)</x:f>
        <x:v>0.11538461538461539</x:v>
      </x:c>
      <x:c r="P473" s="15" t="n">
        <x:f>IF(E473=0,"해당 없음",H473/E473)</x:f>
        <x:v>0.057692307692307696</x:v>
      </x:c>
      <x:c r="Q473" s="15" t="n">
        <x:f>IF(E473=0,"해당 없음",I473/E473)</x:f>
        <x:v>0.04807692307692308</x:v>
      </x:c>
      <x:c r="R473" s="15" t="n">
        <x:f>IF(E473=0,"해당 없음",J473/E473)</x:f>
        <x:v>0.019230769230769232</x:v>
      </x:c>
      <x:c r="S473" s="15" t="n">
        <x:f>IF(E473=0,"해당 없음",K473/E473)</x:f>
        <x:v>0.028846153846153848</x:v>
      </x:c>
      <x:c r="T473" s="15" t="n">
        <x:f>IF(E473=0,"해당 없음",L473/E473)</x:f>
        <x:v>0.36538461538461536</x:v>
      </x:c>
      <x:c r="U473" s="15" t="n">
        <x:f>IF(E473=0,"해당 없음",M473/E473)</x:f>
        <x:v>0.33653846153846156</x:v>
      </x:c>
      <x:c r="V473" s="16" t="n">
        <x:f>E473/5</x:f>
        <x:v>20.8</x:v>
      </x:c>
    </x:row>
    <x:row r="474" ht="22" customHeight="1">
      <x:c r="A474" s="2" t="n">
        <x:v>235</x:v>
      </x:c>
      <x:c r="B474" s="2" t="str">
        <x:v>RED</x:v>
      </x:c>
      <x:c r="C474" s="2" t="str">
        <x:v>200만</x:v>
      </x:c>
      <x:c r="D474" s="2" t="str">
        <x:v>규칙형</x:v>
      </x:c>
      <x:c r="E474" s="14" t="n">
        <x:f>SUM(F474:M474)</x:f>
        <x:v>102</x:v>
      </x:c>
      <x:c r="F474" s="14" t="n">
        <x:v>6</x:v>
      </x:c>
      <x:c r="G474" s="14" t="n">
        <x:v>16</x:v>
      </x:c>
      <x:c r="H474" s="14" t="n">
        <x:v>9</x:v>
      </x:c>
      <x:c r="I474" s="14" t="n">
        <x:v>0</x:v>
      </x:c>
      <x:c r="J474" s="14" t="n">
        <x:v>1</x:v>
      </x:c>
      <x:c r="K474" s="14" t="n">
        <x:v>4</x:v>
      </x:c>
      <x:c r="L474" s="14" t="n">
        <x:v>24</x:v>
      </x:c>
      <x:c r="M474" s="14" t="n">
        <x:v>42</x:v>
      </x:c>
      <x:c r="N474" s="15" t="n">
        <x:f>IF(E474=0,"해당 없음",F474/E474)</x:f>
        <x:v>0.058823529411764705</x:v>
      </x:c>
      <x:c r="O474" s="15" t="n">
        <x:f>IF(E474=0,"해당 없음",G474/E474)</x:f>
        <x:v>0.1568627450980392</x:v>
      </x:c>
      <x:c r="P474" s="15" t="n">
        <x:f>IF(E474=0,"해당 없음",H474/E474)</x:f>
        <x:v>0.08823529411764706</x:v>
      </x:c>
      <x:c r="Q474" s="15" t="n">
        <x:f>IF(E474=0,"해당 없음",I474/E474)</x:f>
        <x:v>0</x:v>
      </x:c>
      <x:c r="R474" s="15" t="n">
        <x:f>IF(E474=0,"해당 없음",J474/E474)</x:f>
        <x:v>0.00980392156862745</x:v>
      </x:c>
      <x:c r="S474" s="15" t="n">
        <x:f>IF(E474=0,"해당 없음",K474/E474)</x:f>
        <x:v>0.0392156862745098</x:v>
      </x:c>
      <x:c r="T474" s="15" t="n">
        <x:f>IF(E474=0,"해당 없음",L474/E474)</x:f>
        <x:v>0.23529411764705882</x:v>
      </x:c>
      <x:c r="U474" s="15" t="n">
        <x:f>IF(E474=0,"해당 없음",M474/E474)</x:f>
        <x:v>0.4117647058823529</x:v>
      </x:c>
      <x:c r="V474" s="16" t="n">
        <x:f>E474/5</x:f>
        <x:v>20.4</x:v>
      </x:c>
    </x:row>
    <x:row r="475" ht="22" customHeight="1">
      <x:c r="A475" s="2" t="n">
        <x:v>235</x:v>
      </x:c>
      <x:c r="B475" s="2" t="str">
        <x:v>NAVY</x:v>
      </x:c>
      <x:c r="C475" s="2" t="str">
        <x:v>규칙형</x:v>
      </x:c>
      <x:c r="D475" s="2" t="str">
        <x:v>200만</x:v>
      </x:c>
      <x:c r="E475" s="14" t="n">
        <x:f>SUM(F475:M475)</x:f>
        <x:v>103</x:v>
      </x:c>
      <x:c r="F475" s="14" t="n">
        <x:v>42</x:v>
      </x:c>
      <x:c r="G475" s="14" t="n">
        <x:v>4</x:v>
      </x:c>
      <x:c r="H475" s="14" t="n">
        <x:v>7</x:v>
      </x:c>
      <x:c r="I475" s="14" t="n">
        <x:v>12</x:v>
      </x:c>
      <x:c r="J475" s="14" t="n">
        <x:v>8</x:v>
      </x:c>
      <x:c r="K475" s="14" t="n">
        <x:v>2</x:v>
      </x:c>
      <x:c r="L475" s="14" t="n">
        <x:v>23</x:v>
      </x:c>
      <x:c r="M475" s="14" t="n">
        <x:v>5</x:v>
      </x:c>
      <x:c r="N475" s="15" t="n">
        <x:f>IF(E475=0,"해당 없음",F475/E475)</x:f>
        <x:v>0.4077669902912621</x:v>
      </x:c>
      <x:c r="O475" s="15" t="n">
        <x:f>IF(E475=0,"해당 없음",G475/E475)</x:f>
        <x:v>0.038834951456310676</x:v>
      </x:c>
      <x:c r="P475" s="15" t="n">
        <x:f>IF(E475=0,"해당 없음",H475/E475)</x:f>
        <x:v>0.06796116504854369</x:v>
      </x:c>
      <x:c r="Q475" s="15" t="n">
        <x:f>IF(E475=0,"해당 없음",I475/E475)</x:f>
        <x:v>0.11650485436893204</x:v>
      </x:c>
      <x:c r="R475" s="15" t="n">
        <x:f>IF(E475=0,"해당 없음",J475/E475)</x:f>
        <x:v>0.07766990291262135</x:v>
      </x:c>
      <x:c r="S475" s="15" t="n">
        <x:f>IF(E475=0,"해당 없음",K475/E475)</x:f>
        <x:v>0.019417475728155338</x:v>
      </x:c>
      <x:c r="T475" s="15" t="n">
        <x:f>IF(E475=0,"해당 없음",L475/E475)</x:f>
        <x:v>0.22330097087378642</x:v>
      </x:c>
      <x:c r="U475" s="15" t="n">
        <x:f>IF(E475=0,"해당 없음",M475/E475)</x:f>
        <x:v>0.04854368932038835</x:v>
      </x:c>
      <x:c r="V475" s="16" t="n">
        <x:f>E475/5</x:f>
        <x:v>20.6</x:v>
      </x:c>
    </x:row>
    <x:row r="476" ht="22" customHeight="1">
      <x:c r="A476" s="2" t="n">
        <x:v>236</x:v>
      </x:c>
      <x:c r="B476" s="2" t="str">
        <x:v>RED</x:v>
      </x:c>
      <x:c r="C476" s="2" t="str">
        <x:v>규칙형</x:v>
      </x:c>
      <x:c r="D476" s="2" t="str">
        <x:v>200만</x:v>
      </x:c>
      <x:c r="E476" s="14" t="n">
        <x:f>SUM(F476:M476)</x:f>
        <x:v>104</x:v>
      </x:c>
      <x:c r="F476" s="14" t="n">
        <x:v>44</x:v>
      </x:c>
      <x:c r="G476" s="14" t="n">
        <x:v>4</x:v>
      </x:c>
      <x:c r="H476" s="14" t="n">
        <x:v>14</x:v>
      </x:c>
      <x:c r="I476" s="14" t="n">
        <x:v>18</x:v>
      </x:c>
      <x:c r="J476" s="14" t="n">
        <x:v>3</x:v>
      </x:c>
      <x:c r="K476" s="14" t="n">
        <x:v>3</x:v>
      </x:c>
      <x:c r="L476" s="14" t="n">
        <x:v>13</x:v>
      </x:c>
      <x:c r="M476" s="14" t="n">
        <x:v>5</x:v>
      </x:c>
      <x:c r="N476" s="15" t="n">
        <x:f>IF(E476=0,"해당 없음",F476/E476)</x:f>
        <x:v>0.4230769230769231</x:v>
      </x:c>
      <x:c r="O476" s="15" t="n">
        <x:f>IF(E476=0,"해당 없음",G476/E476)</x:f>
        <x:v>0.038461538461538464</x:v>
      </x:c>
      <x:c r="P476" s="15" t="n">
        <x:f>IF(E476=0,"해당 없음",H476/E476)</x:f>
        <x:v>0.1346153846153846</x:v>
      </x:c>
      <x:c r="Q476" s="15" t="n">
        <x:f>IF(E476=0,"해당 없음",I476/E476)</x:f>
        <x:v>0.17307692307692307</x:v>
      </x:c>
      <x:c r="R476" s="15" t="n">
        <x:f>IF(E476=0,"해당 없음",J476/E476)</x:f>
        <x:v>0.028846153846153848</x:v>
      </x:c>
      <x:c r="S476" s="15" t="n">
        <x:f>IF(E476=0,"해당 없음",K476/E476)</x:f>
        <x:v>0.028846153846153848</x:v>
      </x:c>
      <x:c r="T476" s="15" t="n">
        <x:f>IF(E476=0,"해당 없음",L476/E476)</x:f>
        <x:v>0.125</x:v>
      </x:c>
      <x:c r="U476" s="15" t="n">
        <x:f>IF(E476=0,"해당 없음",M476/E476)</x:f>
        <x:v>0.04807692307692308</x:v>
      </x:c>
      <x:c r="V476" s="16" t="n">
        <x:f>E476/5</x:f>
        <x:v>20.8</x:v>
      </x:c>
    </x:row>
    <x:row r="477" ht="22" customHeight="1">
      <x:c r="A477" s="2" t="n">
        <x:v>236</x:v>
      </x:c>
      <x:c r="B477" s="2" t="str">
        <x:v>NAVY</x:v>
      </x:c>
      <x:c r="C477" s="2" t="str">
        <x:v>200만</x:v>
      </x:c>
      <x:c r="D477" s="2" t="str">
        <x:v>규칙형</x:v>
      </x:c>
      <x:c r="E477" s="14" t="n">
        <x:f>SUM(F477:M477)</x:f>
        <x:v>103</x:v>
      </x:c>
      <x:c r="F477" s="14" t="n">
        <x:v>5</x:v>
      </x:c>
      <x:c r="G477" s="14" t="n">
        <x:v>28</x:v>
      </x:c>
      <x:c r="H477" s="14" t="n">
        <x:v>4</x:v>
      </x:c>
      <x:c r="I477" s="14" t="n">
        <x:v>2</x:v>
      </x:c>
      <x:c r="J477" s="14" t="n">
        <x:v>6</x:v>
      </x:c>
      <x:c r="K477" s="14" t="n">
        <x:v>3</x:v>
      </x:c>
      <x:c r="L477" s="14" t="n">
        <x:v>28</x:v>
      </x:c>
      <x:c r="M477" s="14" t="n">
        <x:v>27</x:v>
      </x:c>
      <x:c r="N477" s="15" t="n">
        <x:f>IF(E477=0,"해당 없음",F477/E477)</x:f>
        <x:v>0.04854368932038835</x:v>
      </x:c>
      <x:c r="O477" s="15" t="n">
        <x:f>IF(E477=0,"해당 없음",G477/E477)</x:f>
        <x:v>0.27184466019417475</x:v>
      </x:c>
      <x:c r="P477" s="15" t="n">
        <x:f>IF(E477=0,"해당 없음",H477/E477)</x:f>
        <x:v>0.038834951456310676</x:v>
      </x:c>
      <x:c r="Q477" s="15" t="n">
        <x:f>IF(E477=0,"해당 없음",I477/E477)</x:f>
        <x:v>0.019417475728155338</x:v>
      </x:c>
      <x:c r="R477" s="15" t="n">
        <x:f>IF(E477=0,"해당 없음",J477/E477)</x:f>
        <x:v>0.05825242718446602</x:v>
      </x:c>
      <x:c r="S477" s="15" t="n">
        <x:f>IF(E477=0,"해당 없음",K477/E477)</x:f>
        <x:v>0.02912621359223301</x:v>
      </x:c>
      <x:c r="T477" s="15" t="n">
        <x:f>IF(E477=0,"해당 없음",L477/E477)</x:f>
        <x:v>0.27184466019417475</x:v>
      </x:c>
      <x:c r="U477" s="15" t="n">
        <x:f>IF(E477=0,"해당 없음",M477/E477)</x:f>
        <x:v>0.2621359223300971</x:v>
      </x:c>
      <x:c r="V477" s="16" t="n">
        <x:f>E477/5</x:f>
        <x:v>20.6</x:v>
      </x:c>
    </x:row>
    <x:row r="478" ht="22" customHeight="1">
      <x:c r="A478" s="2" t="n">
        <x:v>237</x:v>
      </x:c>
      <x:c r="B478" s="2" t="str">
        <x:v>RED</x:v>
      </x:c>
      <x:c r="C478" s="2" t="str">
        <x:v>200만</x:v>
      </x:c>
      <x:c r="D478" s="2" t="str">
        <x:v>규칙형</x:v>
      </x:c>
      <x:c r="E478" s="14" t="n">
        <x:f>SUM(F478:M478)</x:f>
        <x:v>105</x:v>
      </x:c>
      <x:c r="F478" s="14" t="n">
        <x:v>5</x:v>
      </x:c>
      <x:c r="G478" s="14" t="n">
        <x:v>21</x:v>
      </x:c>
      <x:c r="H478" s="14" t="n">
        <x:v>10</x:v>
      </x:c>
      <x:c r="I478" s="14" t="n">
        <x:v>2</x:v>
      </x:c>
      <x:c r="J478" s="14" t="n">
        <x:v>3</x:v>
      </x:c>
      <x:c r="K478" s="14" t="n">
        <x:v>7</x:v>
      </x:c>
      <x:c r="L478" s="14" t="n">
        <x:v>32</x:v>
      </x:c>
      <x:c r="M478" s="14" t="n">
        <x:v>25</x:v>
      </x:c>
      <x:c r="N478" s="15" t="n">
        <x:f>IF(E478=0,"해당 없음",F478/E478)</x:f>
        <x:v>0.047619047619047616</x:v>
      </x:c>
      <x:c r="O478" s="15" t="n">
        <x:f>IF(E478=0,"해당 없음",G478/E478)</x:f>
        <x:v>0.2</x:v>
      </x:c>
      <x:c r="P478" s="15" t="n">
        <x:f>IF(E478=0,"해당 없음",H478/E478)</x:f>
        <x:v>0.09523809523809523</x:v>
      </x:c>
      <x:c r="Q478" s="15" t="n">
        <x:f>IF(E478=0,"해당 없음",I478/E478)</x:f>
        <x:v>0.01904761904761905</x:v>
      </x:c>
      <x:c r="R478" s="15" t="n">
        <x:f>IF(E478=0,"해당 없음",J478/E478)</x:f>
        <x:v>0.02857142857142857</x:v>
      </x:c>
      <x:c r="S478" s="15" t="n">
        <x:f>IF(E478=0,"해당 없음",K478/E478)</x:f>
        <x:v>0.06666666666666667</x:v>
      </x:c>
      <x:c r="T478" s="15" t="n">
        <x:f>IF(E478=0,"해당 없음",L478/E478)</x:f>
        <x:v>0.3047619047619048</x:v>
      </x:c>
      <x:c r="U478" s="15" t="n">
        <x:f>IF(E478=0,"해당 없음",M478/E478)</x:f>
        <x:v>0.23809523809523808</x:v>
      </x:c>
      <x:c r="V478" s="16" t="n">
        <x:f>E478/5</x:f>
        <x:v>21</x:v>
      </x:c>
    </x:row>
    <x:row r="479" ht="22" customHeight="1">
      <x:c r="A479" s="2" t="n">
        <x:v>237</x:v>
      </x:c>
      <x:c r="B479" s="2" t="str">
        <x:v>NAVY</x:v>
      </x:c>
      <x:c r="C479" s="2" t="str">
        <x:v>규칙형</x:v>
      </x:c>
      <x:c r="D479" s="2" t="str">
        <x:v>200만</x:v>
      </x:c>
      <x:c r="E479" s="14" t="n">
        <x:f>SUM(F479:M479)</x:f>
        <x:v>103</x:v>
      </x:c>
      <x:c r="F479" s="14" t="n">
        <x:v>38</x:v>
      </x:c>
      <x:c r="G479" s="14" t="n">
        <x:v>1</x:v>
      </x:c>
      <x:c r="H479" s="14" t="n">
        <x:v>5</x:v>
      </x:c>
      <x:c r="I479" s="14" t="n">
        <x:v>10</x:v>
      </x:c>
      <x:c r="J479" s="14" t="n">
        <x:v>11</x:v>
      </x:c>
      <x:c r="K479" s="14" t="n">
        <x:v>3</x:v>
      </x:c>
      <x:c r="L479" s="14" t="n">
        <x:v>29</x:v>
      </x:c>
      <x:c r="M479" s="14" t="n">
        <x:v>6</x:v>
      </x:c>
      <x:c r="N479" s="15" t="n">
        <x:f>IF(E479=0,"해당 없음",F479/E479)</x:f>
        <x:v>0.36893203883495146</x:v>
      </x:c>
      <x:c r="O479" s="15" t="n">
        <x:f>IF(E479=0,"해당 없음",G479/E479)</x:f>
        <x:v>0.009708737864077669</x:v>
      </x:c>
      <x:c r="P479" s="15" t="n">
        <x:f>IF(E479=0,"해당 없음",H479/E479)</x:f>
        <x:v>0.04854368932038835</x:v>
      </x:c>
      <x:c r="Q479" s="15" t="n">
        <x:f>IF(E479=0,"해당 없음",I479/E479)</x:f>
        <x:v>0.0970873786407767</x:v>
      </x:c>
      <x:c r="R479" s="15" t="n">
        <x:f>IF(E479=0,"해당 없음",J479/E479)</x:f>
        <x:v>0.10679611650485436</x:v>
      </x:c>
      <x:c r="S479" s="15" t="n">
        <x:f>IF(E479=0,"해당 없음",K479/E479)</x:f>
        <x:v>0.02912621359223301</x:v>
      </x:c>
      <x:c r="T479" s="15" t="n">
        <x:f>IF(E479=0,"해당 없음",L479/E479)</x:f>
        <x:v>0.2815533980582524</x:v>
      </x:c>
      <x:c r="U479" s="15" t="n">
        <x:f>IF(E479=0,"해당 없음",M479/E479)</x:f>
        <x:v>0.05825242718446602</x:v>
      </x:c>
      <x:c r="V479" s="16" t="n">
        <x:f>E479/5</x:f>
        <x:v>20.6</x:v>
      </x:c>
    </x:row>
    <x:row r="480" ht="22" customHeight="1">
      <x:c r="A480" s="2" t="n">
        <x:v>238</x:v>
      </x:c>
      <x:c r="B480" s="2" t="str">
        <x:v>RED</x:v>
      </x:c>
      <x:c r="C480" s="2" t="str">
        <x:v>규칙형</x:v>
      </x:c>
      <x:c r="D480" s="2" t="str">
        <x:v>200만</x:v>
      </x:c>
      <x:c r="E480" s="14" t="n">
        <x:f>SUM(F480:M480)</x:f>
        <x:v>104</x:v>
      </x:c>
      <x:c r="F480" s="14" t="n">
        <x:v>42</x:v>
      </x:c>
      <x:c r="G480" s="14" t="n">
        <x:v>6</x:v>
      </x:c>
      <x:c r="H480" s="14" t="n">
        <x:v>3</x:v>
      </x:c>
      <x:c r="I480" s="14" t="n">
        <x:v>24</x:v>
      </x:c>
      <x:c r="J480" s="14" t="n">
        <x:v>2</x:v>
      </x:c>
      <x:c r="K480" s="14" t="n">
        <x:v>3</x:v>
      </x:c>
      <x:c r="L480" s="14" t="n">
        <x:v>14</x:v>
      </x:c>
      <x:c r="M480" s="14" t="n">
        <x:v>10</x:v>
      </x:c>
      <x:c r="N480" s="15" t="n">
        <x:f>IF(E480=0,"해당 없음",F480/E480)</x:f>
        <x:v>0.40384615384615385</x:v>
      </x:c>
      <x:c r="O480" s="15" t="n">
        <x:f>IF(E480=0,"해당 없음",G480/E480)</x:f>
        <x:v>0.057692307692307696</x:v>
      </x:c>
      <x:c r="P480" s="15" t="n">
        <x:f>IF(E480=0,"해당 없음",H480/E480)</x:f>
        <x:v>0.028846153846153848</x:v>
      </x:c>
      <x:c r="Q480" s="15" t="n">
        <x:f>IF(E480=0,"해당 없음",I480/E480)</x:f>
        <x:v>0.23076923076923078</x:v>
      </x:c>
      <x:c r="R480" s="15" t="n">
        <x:f>IF(E480=0,"해당 없음",J480/E480)</x:f>
        <x:v>0.019230769230769232</x:v>
      </x:c>
      <x:c r="S480" s="15" t="n">
        <x:f>IF(E480=0,"해당 없음",K480/E480)</x:f>
        <x:v>0.028846153846153848</x:v>
      </x:c>
      <x:c r="T480" s="15" t="n">
        <x:f>IF(E480=0,"해당 없음",L480/E480)</x:f>
        <x:v>0.1346153846153846</x:v>
      </x:c>
      <x:c r="U480" s="15" t="n">
        <x:f>IF(E480=0,"해당 없음",M480/E480)</x:f>
        <x:v>0.09615384615384616</x:v>
      </x:c>
      <x:c r="V480" s="16" t="n">
        <x:f>E480/5</x:f>
        <x:v>20.8</x:v>
      </x:c>
    </x:row>
    <x:row r="481" ht="22" customHeight="1">
      <x:c r="A481" s="2" t="n">
        <x:v>238</x:v>
      </x:c>
      <x:c r="B481" s="2" t="str">
        <x:v>NAVY</x:v>
      </x:c>
      <x:c r="C481" s="2" t="str">
        <x:v>200만</x:v>
      </x:c>
      <x:c r="D481" s="2" t="str">
        <x:v>규칙형</x:v>
      </x:c>
      <x:c r="E481" s="14" t="n">
        <x:f>SUM(F481:M481)</x:f>
        <x:v>103</x:v>
      </x:c>
      <x:c r="F481" s="14" t="n">
        <x:v>7</x:v>
      </x:c>
      <x:c r="G481" s="14" t="n">
        <x:v>10</x:v>
      </x:c>
      <x:c r="H481" s="14" t="n">
        <x:v>7</x:v>
      </x:c>
      <x:c r="I481" s="14" t="n">
        <x:v>2</x:v>
      </x:c>
      <x:c r="J481" s="14" t="n">
        <x:v>5</x:v>
      </x:c>
      <x:c r="K481" s="14" t="n">
        <x:v>1</x:v>
      </x:c>
      <x:c r="L481" s="14" t="n">
        <x:v>27</x:v>
      </x:c>
      <x:c r="M481" s="14" t="n">
        <x:v>44</x:v>
      </x:c>
      <x:c r="N481" s="15" t="n">
        <x:f>IF(E481=0,"해당 없음",F481/E481)</x:f>
        <x:v>0.06796116504854369</x:v>
      </x:c>
      <x:c r="O481" s="15" t="n">
        <x:f>IF(E481=0,"해당 없음",G481/E481)</x:f>
        <x:v>0.0970873786407767</x:v>
      </x:c>
      <x:c r="P481" s="15" t="n">
        <x:f>IF(E481=0,"해당 없음",H481/E481)</x:f>
        <x:v>0.06796116504854369</x:v>
      </x:c>
      <x:c r="Q481" s="15" t="n">
        <x:f>IF(E481=0,"해당 없음",I481/E481)</x:f>
        <x:v>0.019417475728155338</x:v>
      </x:c>
      <x:c r="R481" s="15" t="n">
        <x:f>IF(E481=0,"해당 없음",J481/E481)</x:f>
        <x:v>0.04854368932038835</x:v>
      </x:c>
      <x:c r="S481" s="15" t="n">
        <x:f>IF(E481=0,"해당 없음",K481/E481)</x:f>
        <x:v>0.009708737864077669</x:v>
      </x:c>
      <x:c r="T481" s="15" t="n">
        <x:f>IF(E481=0,"해당 없음",L481/E481)</x:f>
        <x:v>0.2621359223300971</x:v>
      </x:c>
      <x:c r="U481" s="15" t="n">
        <x:f>IF(E481=0,"해당 없음",M481/E481)</x:f>
        <x:v>0.42718446601941745</x:v>
      </x:c>
      <x:c r="V481" s="16" t="n">
        <x:f>E481/5</x:f>
        <x:v>20.6</x:v>
      </x:c>
    </x:row>
    <x:row r="482" ht="22" customHeight="1">
      <x:c r="A482" s="2" t="n">
        <x:v>239</x:v>
      </x:c>
      <x:c r="B482" s="2" t="str">
        <x:v>RED</x:v>
      </x:c>
      <x:c r="C482" s="2" t="str">
        <x:v>200만</x:v>
      </x:c>
      <x:c r="D482" s="2" t="str">
        <x:v>규칙형</x:v>
      </x:c>
      <x:c r="E482" s="14" t="n">
        <x:f>SUM(F482:M482)</x:f>
        <x:v>104</x:v>
      </x:c>
      <x:c r="F482" s="14" t="n">
        <x:v>0</x:v>
      </x:c>
      <x:c r="G482" s="14" t="n">
        <x:v>13</x:v>
      </x:c>
      <x:c r="H482" s="14" t="n">
        <x:v>3</x:v>
      </x:c>
      <x:c r="I482" s="14" t="n">
        <x:v>5</x:v>
      </x:c>
      <x:c r="J482" s="14" t="n">
        <x:v>4</x:v>
      </x:c>
      <x:c r="K482" s="14" t="n">
        <x:v>8</x:v>
      </x:c>
      <x:c r="L482" s="14" t="n">
        <x:v>31</x:v>
      </x:c>
      <x:c r="M482" s="14" t="n">
        <x:v>40</x:v>
      </x:c>
      <x:c r="N482" s="15" t="n">
        <x:f>IF(E482=0,"해당 없음",F482/E482)</x:f>
        <x:v>0</x:v>
      </x:c>
      <x:c r="O482" s="15" t="n">
        <x:f>IF(E482=0,"해당 없음",G482/E482)</x:f>
        <x:v>0.125</x:v>
      </x:c>
      <x:c r="P482" s="15" t="n">
        <x:f>IF(E482=0,"해당 없음",H482/E482)</x:f>
        <x:v>0.028846153846153848</x:v>
      </x:c>
      <x:c r="Q482" s="15" t="n">
        <x:f>IF(E482=0,"해당 없음",I482/E482)</x:f>
        <x:v>0.04807692307692308</x:v>
      </x:c>
      <x:c r="R482" s="15" t="n">
        <x:f>IF(E482=0,"해당 없음",J482/E482)</x:f>
        <x:v>0.038461538461538464</x:v>
      </x:c>
      <x:c r="S482" s="15" t="n">
        <x:f>IF(E482=0,"해당 없음",K482/E482)</x:f>
        <x:v>0.07692307692307693</x:v>
      </x:c>
      <x:c r="T482" s="15" t="n">
        <x:f>IF(E482=0,"해당 없음",L482/E482)</x:f>
        <x:v>0.2980769230769231</x:v>
      </x:c>
      <x:c r="U482" s="15" t="n">
        <x:f>IF(E482=0,"해당 없음",M482/E482)</x:f>
        <x:v>0.38461538461538464</x:v>
      </x:c>
      <x:c r="V482" s="16" t="n">
        <x:f>E482/5</x:f>
        <x:v>20.8</x:v>
      </x:c>
    </x:row>
    <x:row r="483" ht="22" customHeight="1">
      <x:c r="A483" s="2" t="n">
        <x:v>239</x:v>
      </x:c>
      <x:c r="B483" s="2" t="str">
        <x:v>NAVY</x:v>
      </x:c>
      <x:c r="C483" s="2" t="str">
        <x:v>규칙형</x:v>
      </x:c>
      <x:c r="D483" s="2" t="str">
        <x:v>200만</x:v>
      </x:c>
      <x:c r="E483" s="14" t="n">
        <x:f>SUM(F483:M483)</x:f>
        <x:v>104</x:v>
      </x:c>
      <x:c r="F483" s="14" t="n">
        <x:v>36</x:v>
      </x:c>
      <x:c r="G483" s="14" t="n">
        <x:v>7</x:v>
      </x:c>
      <x:c r="H483" s="14" t="n">
        <x:v>14</x:v>
      </x:c>
      <x:c r="I483" s="14" t="n">
        <x:v>19</x:v>
      </x:c>
      <x:c r="J483" s="14" t="n">
        <x:v>4</x:v>
      </x:c>
      <x:c r="K483" s="14" t="n">
        <x:v>2</x:v>
      </x:c>
      <x:c r="L483" s="14" t="n">
        <x:v>18</x:v>
      </x:c>
      <x:c r="M483" s="14" t="n">
        <x:v>4</x:v>
      </x:c>
      <x:c r="N483" s="15" t="n">
        <x:f>IF(E483=0,"해당 없음",F483/E483)</x:f>
        <x:v>0.34615384615384615</x:v>
      </x:c>
      <x:c r="O483" s="15" t="n">
        <x:f>IF(E483=0,"해당 없음",G483/E483)</x:f>
        <x:v>0.0673076923076923</x:v>
      </x:c>
      <x:c r="P483" s="15" t="n">
        <x:f>IF(E483=0,"해당 없음",H483/E483)</x:f>
        <x:v>0.1346153846153846</x:v>
      </x:c>
      <x:c r="Q483" s="15" t="n">
        <x:f>IF(E483=0,"해당 없음",I483/E483)</x:f>
        <x:v>0.18269230769230768</x:v>
      </x:c>
      <x:c r="R483" s="15" t="n">
        <x:f>IF(E483=0,"해당 없음",J483/E483)</x:f>
        <x:v>0.038461538461538464</x:v>
      </x:c>
      <x:c r="S483" s="15" t="n">
        <x:f>IF(E483=0,"해당 없음",K483/E483)</x:f>
        <x:v>0.019230769230769232</x:v>
      </x:c>
      <x:c r="T483" s="15" t="n">
        <x:f>IF(E483=0,"해당 없음",L483/E483)</x:f>
        <x:v>0.17307692307692307</x:v>
      </x:c>
      <x:c r="U483" s="15" t="n">
        <x:f>IF(E483=0,"해당 없음",M483/E483)</x:f>
        <x:v>0.038461538461538464</x:v>
      </x:c>
      <x:c r="V483" s="16" t="n">
        <x:f>E483/5</x:f>
        <x:v>20.8</x:v>
      </x:c>
    </x:row>
    <x:row r="484" ht="22" customHeight="1">
      <x:c r="A484" s="2" t="n">
        <x:v>240</x:v>
      </x:c>
      <x:c r="B484" s="2" t="str">
        <x:v>RED</x:v>
      </x:c>
      <x:c r="C484" s="2" t="str">
        <x:v>규칙형</x:v>
      </x:c>
      <x:c r="D484" s="2" t="str">
        <x:v>200만</x:v>
      </x:c>
      <x:c r="E484" s="14" t="n">
        <x:f>SUM(F484:M484)</x:f>
        <x:v>102</x:v>
      </x:c>
      <x:c r="F484" s="14" t="n">
        <x:v>36</x:v>
      </x:c>
      <x:c r="G484" s="14" t="n">
        <x:v>2</x:v>
      </x:c>
      <x:c r="H484" s="14" t="n">
        <x:v>0</x:v>
      </x:c>
      <x:c r="I484" s="14" t="n">
        <x:v>19</x:v>
      </x:c>
      <x:c r="J484" s="14" t="n">
        <x:v>6</x:v>
      </x:c>
      <x:c r="K484" s="14" t="n">
        <x:v>4</x:v>
      </x:c>
      <x:c r="L484" s="14" t="n">
        <x:v>23</x:v>
      </x:c>
      <x:c r="M484" s="14" t="n">
        <x:v>12</x:v>
      </x:c>
      <x:c r="N484" s="15" t="n">
        <x:f>IF(E484=0,"해당 없음",F484/E484)</x:f>
        <x:v>0.35294117647058826</x:v>
      </x:c>
      <x:c r="O484" s="15" t="n">
        <x:f>IF(E484=0,"해당 없음",G484/E484)</x:f>
        <x:v>0.0196078431372549</x:v>
      </x:c>
      <x:c r="P484" s="15" t="n">
        <x:f>IF(E484=0,"해당 없음",H484/E484)</x:f>
        <x:v>0</x:v>
      </x:c>
      <x:c r="Q484" s="15" t="n">
        <x:f>IF(E484=0,"해당 없음",I484/E484)</x:f>
        <x:v>0.18627450980392157</x:v>
      </x:c>
      <x:c r="R484" s="15" t="n">
        <x:f>IF(E484=0,"해당 없음",J484/E484)</x:f>
        <x:v>0.058823529411764705</x:v>
      </x:c>
      <x:c r="S484" s="15" t="n">
        <x:f>IF(E484=0,"해당 없음",K484/E484)</x:f>
        <x:v>0.0392156862745098</x:v>
      </x:c>
      <x:c r="T484" s="15" t="n">
        <x:f>IF(E484=0,"해당 없음",L484/E484)</x:f>
        <x:v>0.22549019607843138</x:v>
      </x:c>
      <x:c r="U484" s="15" t="n">
        <x:f>IF(E484=0,"해당 없음",M484/E484)</x:f>
        <x:v>0.11764705882352941</x:v>
      </x:c>
      <x:c r="V484" s="16" t="n">
        <x:f>E484/5</x:f>
        <x:v>20.4</x:v>
      </x:c>
    </x:row>
    <x:row r="485" ht="22" customHeight="1">
      <x:c r="A485" s="2" t="n">
        <x:v>240</x:v>
      </x:c>
      <x:c r="B485" s="2" t="str">
        <x:v>NAVY</x:v>
      </x:c>
      <x:c r="C485" s="2" t="str">
        <x:v>200만</x:v>
      </x:c>
      <x:c r="D485" s="2" t="str">
        <x:v>규칙형</x:v>
      </x:c>
      <x:c r="E485" s="14" t="n">
        <x:f>SUM(F485:M485)</x:f>
        <x:v>103</x:v>
      </x:c>
      <x:c r="F485" s="14" t="n">
        <x:v>5</x:v>
      </x:c>
      <x:c r="G485" s="14" t="n">
        <x:v>23</x:v>
      </x:c>
      <x:c r="H485" s="14" t="n">
        <x:v>0</x:v>
      </x:c>
      <x:c r="I485" s="14" t="n">
        <x:v>2</x:v>
      </x:c>
      <x:c r="J485" s="14" t="n">
        <x:v>2</x:v>
      </x:c>
      <x:c r="K485" s="14" t="n">
        <x:v>2</x:v>
      </x:c>
      <x:c r="L485" s="14" t="n">
        <x:v>31</x:v>
      </x:c>
      <x:c r="M485" s="14" t="n">
        <x:v>38</x:v>
      </x:c>
      <x:c r="N485" s="15" t="n">
        <x:f>IF(E485=0,"해당 없음",F485/E485)</x:f>
        <x:v>0.04854368932038835</x:v>
      </x:c>
      <x:c r="O485" s="15" t="n">
        <x:f>IF(E485=0,"해당 없음",G485/E485)</x:f>
        <x:v>0.22330097087378642</x:v>
      </x:c>
      <x:c r="P485" s="15" t="n">
        <x:f>IF(E485=0,"해당 없음",H485/E485)</x:f>
        <x:v>0</x:v>
      </x:c>
      <x:c r="Q485" s="15" t="n">
        <x:f>IF(E485=0,"해당 없음",I485/E485)</x:f>
        <x:v>0.019417475728155338</x:v>
      </x:c>
      <x:c r="R485" s="15" t="n">
        <x:f>IF(E485=0,"해당 없음",J485/E485)</x:f>
        <x:v>0.019417475728155338</x:v>
      </x:c>
      <x:c r="S485" s="15" t="n">
        <x:f>IF(E485=0,"해당 없음",K485/E485)</x:f>
        <x:v>0.019417475728155338</x:v>
      </x:c>
      <x:c r="T485" s="15" t="n">
        <x:f>IF(E485=0,"해당 없음",L485/E485)</x:f>
        <x:v>0.30097087378640774</x:v>
      </x:c>
      <x:c r="U485" s="15" t="n">
        <x:f>IF(E485=0,"해당 없음",M485/E485)</x:f>
        <x:v>0.36893203883495146</x:v>
      </x:c>
      <x:c r="V485" s="16" t="n">
        <x:f>E485/5</x:f>
        <x:v>20.6</x:v>
      </x:c>
    </x:row>
    <x:row r="486" ht="22" customHeight="1">
      <x:c r="A486" s="2" t="n">
        <x:v>241</x:v>
      </x:c>
      <x:c r="B486" s="2" t="str">
        <x:v>RED</x:v>
      </x:c>
      <x:c r="C486" s="2" t="str">
        <x:v>240만</x:v>
      </x:c>
      <x:c r="D486" s="2" t="str">
        <x:v>규칙형</x:v>
      </x:c>
      <x:c r="E486" s="14" t="n">
        <x:f>SUM(F486:M486)</x:f>
        <x:v>105</x:v>
      </x:c>
      <x:c r="F486" s="14" t="n">
        <x:v>0</x:v>
      </x:c>
      <x:c r="G486" s="14" t="n">
        <x:v>6</x:v>
      </x:c>
      <x:c r="H486" s="14" t="n">
        <x:v>4</x:v>
      </x:c>
      <x:c r="I486" s="14" t="n">
        <x:v>3</x:v>
      </x:c>
      <x:c r="J486" s="14" t="n">
        <x:v>0</x:v>
      </x:c>
      <x:c r="K486" s="14" t="n">
        <x:v>3</x:v>
      </x:c>
      <x:c r="L486" s="14" t="n">
        <x:v>38</x:v>
      </x:c>
      <x:c r="M486" s="14" t="n">
        <x:v>51</x:v>
      </x:c>
      <x:c r="N486" s="15" t="n">
        <x:f>IF(E486=0,"해당 없음",F486/E486)</x:f>
        <x:v>0</x:v>
      </x:c>
      <x:c r="O486" s="15" t="n">
        <x:f>IF(E486=0,"해당 없음",G486/E486)</x:f>
        <x:v>0.05714285714285714</x:v>
      </x:c>
      <x:c r="P486" s="15" t="n">
        <x:f>IF(E486=0,"해당 없음",H486/E486)</x:f>
        <x:v>0.0380952380952381</x:v>
      </x:c>
      <x:c r="Q486" s="15" t="n">
        <x:f>IF(E486=0,"해당 없음",I486/E486)</x:f>
        <x:v>0.02857142857142857</x:v>
      </x:c>
      <x:c r="R486" s="15" t="n">
        <x:f>IF(E486=0,"해당 없음",J486/E486)</x:f>
        <x:v>0</x:v>
      </x:c>
      <x:c r="S486" s="15" t="n">
        <x:f>IF(E486=0,"해당 없음",K486/E486)</x:f>
        <x:v>0.02857142857142857</x:v>
      </x:c>
      <x:c r="T486" s="15" t="n">
        <x:f>IF(E486=0,"해당 없음",L486/E486)</x:f>
        <x:v>0.3619047619047619</x:v>
      </x:c>
      <x:c r="U486" s="15" t="n">
        <x:f>IF(E486=0,"해당 없음",M486/E486)</x:f>
        <x:v>0.4857142857142857</x:v>
      </x:c>
      <x:c r="V486" s="16" t="n">
        <x:f>E486/5</x:f>
        <x:v>21</x:v>
      </x:c>
    </x:row>
    <x:row r="487" ht="22" customHeight="1">
      <x:c r="A487" s="2" t="n">
        <x:v>241</x:v>
      </x:c>
      <x:c r="B487" s="2" t="str">
        <x:v>NAVY</x:v>
      </x:c>
      <x:c r="C487" s="2" t="str">
        <x:v>규칙형</x:v>
      </x:c>
      <x:c r="D487" s="2" t="str">
        <x:v>240만</x:v>
      </x:c>
      <x:c r="E487" s="14" t="n">
        <x:f>SUM(F487:M487)</x:f>
        <x:v>103</x:v>
      </x:c>
      <x:c r="F487" s="14" t="n">
        <x:v>40</x:v>
      </x:c>
      <x:c r="G487" s="14" t="n">
        <x:v>3</x:v>
      </x:c>
      <x:c r="H487" s="14" t="n">
        <x:v>13</x:v>
      </x:c>
      <x:c r="I487" s="14" t="n">
        <x:v>13</x:v>
      </x:c>
      <x:c r="J487" s="14" t="n">
        <x:v>5</x:v>
      </x:c>
      <x:c r="K487" s="14" t="n">
        <x:v>3</x:v>
      </x:c>
      <x:c r="L487" s="14" t="n">
        <x:v>23</x:v>
      </x:c>
      <x:c r="M487" s="14" t="n">
        <x:v>3</x:v>
      </x:c>
      <x:c r="N487" s="15" t="n">
        <x:f>IF(E487=0,"해당 없음",F487/E487)</x:f>
        <x:v>0.3883495145631068</x:v>
      </x:c>
      <x:c r="O487" s="15" t="n">
        <x:f>IF(E487=0,"해당 없음",G487/E487)</x:f>
        <x:v>0.02912621359223301</x:v>
      </x:c>
      <x:c r="P487" s="15" t="n">
        <x:f>IF(E487=0,"해당 없음",H487/E487)</x:f>
        <x:v>0.1262135922330097</x:v>
      </x:c>
      <x:c r="Q487" s="15" t="n">
        <x:f>IF(E487=0,"해당 없음",I487/E487)</x:f>
        <x:v>0.1262135922330097</x:v>
      </x:c>
      <x:c r="R487" s="15" t="n">
        <x:f>IF(E487=0,"해당 없음",J487/E487)</x:f>
        <x:v>0.04854368932038835</x:v>
      </x:c>
      <x:c r="S487" s="15" t="n">
        <x:f>IF(E487=0,"해당 없음",K487/E487)</x:f>
        <x:v>0.02912621359223301</x:v>
      </x:c>
      <x:c r="T487" s="15" t="n">
        <x:f>IF(E487=0,"해당 없음",L487/E487)</x:f>
        <x:v>0.22330097087378642</x:v>
      </x:c>
      <x:c r="U487" s="15" t="n">
        <x:f>IF(E487=0,"해당 없음",M487/E487)</x:f>
        <x:v>0.02912621359223301</x:v>
      </x:c>
      <x:c r="V487" s="16" t="n">
        <x:f>E487/5</x:f>
        <x:v>20.6</x:v>
      </x:c>
    </x:row>
    <x:row r="488" ht="22" customHeight="1">
      <x:c r="A488" s="2" t="n">
        <x:v>242</x:v>
      </x:c>
      <x:c r="B488" s="2" t="str">
        <x:v>RED</x:v>
      </x:c>
      <x:c r="C488" s="2" t="str">
        <x:v>규칙형</x:v>
      </x:c>
      <x:c r="D488" s="2" t="str">
        <x:v>240만</x:v>
      </x:c>
      <x:c r="E488" s="14" t="n">
        <x:f>SUM(F488:M488)</x:f>
        <x:v>103</x:v>
      </x:c>
      <x:c r="F488" s="14" t="n">
        <x:v>45</x:v>
      </x:c>
      <x:c r="G488" s="14" t="n">
        <x:v>4</x:v>
      </x:c>
      <x:c r="H488" s="14" t="n">
        <x:v>6</x:v>
      </x:c>
      <x:c r="I488" s="14" t="n">
        <x:v>14</x:v>
      </x:c>
      <x:c r="J488" s="14" t="n">
        <x:v>2</x:v>
      </x:c>
      <x:c r="K488" s="14" t="n">
        <x:v>5</x:v>
      </x:c>
      <x:c r="L488" s="14" t="n">
        <x:v>19</x:v>
      </x:c>
      <x:c r="M488" s="14" t="n">
        <x:v>8</x:v>
      </x:c>
      <x:c r="N488" s="15" t="n">
        <x:f>IF(E488=0,"해당 없음",F488/E488)</x:f>
        <x:v>0.4368932038834951</x:v>
      </x:c>
      <x:c r="O488" s="15" t="n">
        <x:f>IF(E488=0,"해당 없음",G488/E488)</x:f>
        <x:v>0.038834951456310676</x:v>
      </x:c>
      <x:c r="P488" s="15" t="n">
        <x:f>IF(E488=0,"해당 없음",H488/E488)</x:f>
        <x:v>0.05825242718446602</x:v>
      </x:c>
      <x:c r="Q488" s="15" t="n">
        <x:f>IF(E488=0,"해당 없음",I488/E488)</x:f>
        <x:v>0.13592233009708737</x:v>
      </x:c>
      <x:c r="R488" s="15" t="n">
        <x:f>IF(E488=0,"해당 없음",J488/E488)</x:f>
        <x:v>0.019417475728155338</x:v>
      </x:c>
      <x:c r="S488" s="15" t="n">
        <x:f>IF(E488=0,"해당 없음",K488/E488)</x:f>
        <x:v>0.04854368932038835</x:v>
      </x:c>
      <x:c r="T488" s="15" t="n">
        <x:f>IF(E488=0,"해당 없음",L488/E488)</x:f>
        <x:v>0.18446601941747573</x:v>
      </x:c>
      <x:c r="U488" s="15" t="n">
        <x:f>IF(E488=0,"해당 없음",M488/E488)</x:f>
        <x:v>0.07766990291262135</x:v>
      </x:c>
      <x:c r="V488" s="16" t="n">
        <x:f>E488/5</x:f>
        <x:v>20.6</x:v>
      </x:c>
    </x:row>
    <x:row r="489" ht="22" customHeight="1">
      <x:c r="A489" s="2" t="n">
        <x:v>242</x:v>
      </x:c>
      <x:c r="B489" s="2" t="str">
        <x:v>NAVY</x:v>
      </x:c>
      <x:c r="C489" s="2" t="str">
        <x:v>240만</x:v>
      </x:c>
      <x:c r="D489" s="2" t="str">
        <x:v>규칙형</x:v>
      </x:c>
      <x:c r="E489" s="14" t="n">
        <x:f>SUM(F489:M489)</x:f>
        <x:v>103</x:v>
      </x:c>
      <x:c r="F489" s="14" t="n">
        <x:v>2</x:v>
      </x:c>
      <x:c r="G489" s="14" t="n">
        <x:v>5</x:v>
      </x:c>
      <x:c r="H489" s="14" t="n">
        <x:v>2</x:v>
      </x:c>
      <x:c r="I489" s="14" t="n">
        <x:v>3</x:v>
      </x:c>
      <x:c r="J489" s="14" t="n">
        <x:v>0</x:v>
      </x:c>
      <x:c r="K489" s="14" t="n">
        <x:v>1</x:v>
      </x:c>
      <x:c r="L489" s="14" t="n">
        <x:v>32</x:v>
      </x:c>
      <x:c r="M489" s="14" t="n">
        <x:v>58</x:v>
      </x:c>
      <x:c r="N489" s="15" t="n">
        <x:f>IF(E489=0,"해당 없음",F489/E489)</x:f>
        <x:v>0.019417475728155338</x:v>
      </x:c>
      <x:c r="O489" s="15" t="n">
        <x:f>IF(E489=0,"해당 없음",G489/E489)</x:f>
        <x:v>0.04854368932038835</x:v>
      </x:c>
      <x:c r="P489" s="15" t="n">
        <x:f>IF(E489=0,"해당 없음",H489/E489)</x:f>
        <x:v>0.019417475728155338</x:v>
      </x:c>
      <x:c r="Q489" s="15" t="n">
        <x:f>IF(E489=0,"해당 없음",I489/E489)</x:f>
        <x:v>0.02912621359223301</x:v>
      </x:c>
      <x:c r="R489" s="15" t="n">
        <x:f>IF(E489=0,"해당 없음",J489/E489)</x:f>
        <x:v>0</x:v>
      </x:c>
      <x:c r="S489" s="15" t="n">
        <x:f>IF(E489=0,"해당 없음",K489/E489)</x:f>
        <x:v>0.009708737864077669</x:v>
      </x:c>
      <x:c r="T489" s="15" t="n">
        <x:f>IF(E489=0,"해당 없음",L489/E489)</x:f>
        <x:v>0.3106796116504854</x:v>
      </x:c>
      <x:c r="U489" s="15" t="n">
        <x:f>IF(E489=0,"해당 없음",M489/E489)</x:f>
        <x:v>0.5631067961165048</x:v>
      </x:c>
      <x:c r="V489" s="16" t="n">
        <x:f>E489/5</x:f>
        <x:v>20.6</x:v>
      </x:c>
    </x:row>
    <x:row r="490" ht="22" customHeight="1">
      <x:c r="A490" s="2" t="n">
        <x:v>243</x:v>
      </x:c>
      <x:c r="B490" s="2" t="str">
        <x:v>RED</x:v>
      </x:c>
      <x:c r="C490" s="2" t="str">
        <x:v>240만</x:v>
      </x:c>
      <x:c r="D490" s="2" t="str">
        <x:v>규칙형</x:v>
      </x:c>
      <x:c r="E490" s="14" t="n">
        <x:f>SUM(F490:M490)</x:f>
        <x:v>102</x:v>
      </x:c>
      <x:c r="F490" s="14" t="n">
        <x:v>0</x:v>
      </x:c>
      <x:c r="G490" s="14" t="n">
        <x:v>7</x:v>
      </x:c>
      <x:c r="H490" s="14" t="n">
        <x:v>8</x:v>
      </x:c>
      <x:c r="I490" s="14" t="n">
        <x:v>3</x:v>
      </x:c>
      <x:c r="J490" s="14" t="n">
        <x:v>0</x:v>
      </x:c>
      <x:c r="K490" s="14" t="n">
        <x:v>3</x:v>
      </x:c>
      <x:c r="L490" s="14" t="n">
        <x:v>29</x:v>
      </x:c>
      <x:c r="M490" s="14" t="n">
        <x:v>52</x:v>
      </x:c>
      <x:c r="N490" s="15" t="n">
        <x:f>IF(E490=0,"해당 없음",F490/E490)</x:f>
        <x:v>0</x:v>
      </x:c>
      <x:c r="O490" s="15" t="n">
        <x:f>IF(E490=0,"해당 없음",G490/E490)</x:f>
        <x:v>0.06862745098039216</x:v>
      </x:c>
      <x:c r="P490" s="15" t="n">
        <x:f>IF(E490=0,"해당 없음",H490/E490)</x:f>
        <x:v>0.0784313725490196</x:v>
      </x:c>
      <x:c r="Q490" s="15" t="n">
        <x:f>IF(E490=0,"해당 없음",I490/E490)</x:f>
        <x:v>0.029411764705882353</x:v>
      </x:c>
      <x:c r="R490" s="15" t="n">
        <x:f>IF(E490=0,"해당 없음",J490/E490)</x:f>
        <x:v>0</x:v>
      </x:c>
      <x:c r="S490" s="15" t="n">
        <x:f>IF(E490=0,"해당 없음",K490/E490)</x:f>
        <x:v>0.029411764705882353</x:v>
      </x:c>
      <x:c r="T490" s="15" t="n">
        <x:f>IF(E490=0,"해당 없음",L490/E490)</x:f>
        <x:v>0.28431372549019607</x:v>
      </x:c>
      <x:c r="U490" s="15" t="n">
        <x:f>IF(E490=0,"해당 없음",M490/E490)</x:f>
        <x:v>0.5098039215686274</x:v>
      </x:c>
      <x:c r="V490" s="16" t="n">
        <x:f>E490/5</x:f>
        <x:v>20.4</x:v>
      </x:c>
    </x:row>
    <x:row r="491" ht="22" customHeight="1">
      <x:c r="A491" s="2" t="n">
        <x:v>243</x:v>
      </x:c>
      <x:c r="B491" s="2" t="str">
        <x:v>NAVY</x:v>
      </x:c>
      <x:c r="C491" s="2" t="str">
        <x:v>규칙형</x:v>
      </x:c>
      <x:c r="D491" s="2" t="str">
        <x:v>240만</x:v>
      </x:c>
      <x:c r="E491" s="14" t="n">
        <x:f>SUM(F491:M491)</x:f>
        <x:v>103</x:v>
      </x:c>
      <x:c r="F491" s="14" t="n">
        <x:v>34</x:v>
      </x:c>
      <x:c r="G491" s="14" t="n">
        <x:v>3</x:v>
      </x:c>
      <x:c r="H491" s="14" t="n">
        <x:v>4</x:v>
      </x:c>
      <x:c r="I491" s="14" t="n">
        <x:v>27</x:v>
      </x:c>
      <x:c r="J491" s="14" t="n">
        <x:v>6</x:v>
      </x:c>
      <x:c r="K491" s="14" t="n">
        <x:v>5</x:v>
      </x:c>
      <x:c r="L491" s="14" t="n">
        <x:v>19</x:v>
      </x:c>
      <x:c r="M491" s="14" t="n">
        <x:v>5</x:v>
      </x:c>
      <x:c r="N491" s="15" t="n">
        <x:f>IF(E491=0,"해당 없음",F491/E491)</x:f>
        <x:v>0.3300970873786408</x:v>
      </x:c>
      <x:c r="O491" s="15" t="n">
        <x:f>IF(E491=0,"해당 없음",G491/E491)</x:f>
        <x:v>0.02912621359223301</x:v>
      </x:c>
      <x:c r="P491" s="15" t="n">
        <x:f>IF(E491=0,"해당 없음",H491/E491)</x:f>
        <x:v>0.038834951456310676</x:v>
      </x:c>
      <x:c r="Q491" s="15" t="n">
        <x:f>IF(E491=0,"해당 없음",I491/E491)</x:f>
        <x:v>0.2621359223300971</x:v>
      </x:c>
      <x:c r="R491" s="15" t="n">
        <x:f>IF(E491=0,"해당 없음",J491/E491)</x:f>
        <x:v>0.05825242718446602</x:v>
      </x:c>
      <x:c r="S491" s="15" t="n">
        <x:f>IF(E491=0,"해당 없음",K491/E491)</x:f>
        <x:v>0.04854368932038835</x:v>
      </x:c>
      <x:c r="T491" s="15" t="n">
        <x:f>IF(E491=0,"해당 없음",L491/E491)</x:f>
        <x:v>0.18446601941747573</x:v>
      </x:c>
      <x:c r="U491" s="15" t="n">
        <x:f>IF(E491=0,"해당 없음",M491/E491)</x:f>
        <x:v>0.04854368932038835</x:v>
      </x:c>
      <x:c r="V491" s="16" t="n">
        <x:f>E491/5</x:f>
        <x:v>20.6</x:v>
      </x:c>
    </x:row>
    <x:row r="492" ht="22" customHeight="1">
      <x:c r="A492" s="2" t="n">
        <x:v>244</x:v>
      </x:c>
      <x:c r="B492" s="2" t="str">
        <x:v>RED</x:v>
      </x:c>
      <x:c r="C492" s="2" t="str">
        <x:v>규칙형</x:v>
      </x:c>
      <x:c r="D492" s="2" t="str">
        <x:v>240만</x:v>
      </x:c>
      <x:c r="E492" s="14" t="n">
        <x:f>SUM(F492:M492)</x:f>
        <x:v>104</x:v>
      </x:c>
      <x:c r="F492" s="14" t="n">
        <x:v>41</x:v>
      </x:c>
      <x:c r="G492" s="14" t="n">
        <x:v>6</x:v>
      </x:c>
      <x:c r="H492" s="14" t="n">
        <x:v>9</x:v>
      </x:c>
      <x:c r="I492" s="14" t="n">
        <x:v>12</x:v>
      </x:c>
      <x:c r="J492" s="14" t="n">
        <x:v>6</x:v>
      </x:c>
      <x:c r="K492" s="14" t="n">
        <x:v>3</x:v>
      </x:c>
      <x:c r="L492" s="14" t="n">
        <x:v>21</x:v>
      </x:c>
      <x:c r="M492" s="14" t="n">
        <x:v>6</x:v>
      </x:c>
      <x:c r="N492" s="15" t="n">
        <x:f>IF(E492=0,"해당 없음",F492/E492)</x:f>
        <x:v>0.3942307692307692</x:v>
      </x:c>
      <x:c r="O492" s="15" t="n">
        <x:f>IF(E492=0,"해당 없음",G492/E492)</x:f>
        <x:v>0.057692307692307696</x:v>
      </x:c>
      <x:c r="P492" s="15" t="n">
        <x:f>IF(E492=0,"해당 없음",H492/E492)</x:f>
        <x:v>0.08653846153846154</x:v>
      </x:c>
      <x:c r="Q492" s="15" t="n">
        <x:f>IF(E492=0,"해당 없음",I492/E492)</x:f>
        <x:v>0.11538461538461539</x:v>
      </x:c>
      <x:c r="R492" s="15" t="n">
        <x:f>IF(E492=0,"해당 없음",J492/E492)</x:f>
        <x:v>0.057692307692307696</x:v>
      </x:c>
      <x:c r="S492" s="15" t="n">
        <x:f>IF(E492=0,"해당 없음",K492/E492)</x:f>
        <x:v>0.028846153846153848</x:v>
      </x:c>
      <x:c r="T492" s="15" t="n">
        <x:f>IF(E492=0,"해당 없음",L492/E492)</x:f>
        <x:v>0.20192307692307693</x:v>
      </x:c>
      <x:c r="U492" s="15" t="n">
        <x:f>IF(E492=0,"해당 없음",M492/E492)</x:f>
        <x:v>0.057692307692307696</x:v>
      </x:c>
      <x:c r="V492" s="16" t="n">
        <x:f>E492/5</x:f>
        <x:v>20.8</x:v>
      </x:c>
    </x:row>
    <x:row r="493" ht="22" customHeight="1">
      <x:c r="A493" s="2" t="n">
        <x:v>244</x:v>
      </x:c>
      <x:c r="B493" s="2" t="str">
        <x:v>NAVY</x:v>
      </x:c>
      <x:c r="C493" s="2" t="str">
        <x:v>240만</x:v>
      </x:c>
      <x:c r="D493" s="2" t="str">
        <x:v>규칙형</x:v>
      </x:c>
      <x:c r="E493" s="14" t="n">
        <x:f>SUM(F493:M493)</x:f>
        <x:v>104</x:v>
      </x:c>
      <x:c r="F493" s="14" t="n">
        <x:v>0</x:v>
      </x:c>
      <x:c r="G493" s="14" t="n">
        <x:v>12</x:v>
      </x:c>
      <x:c r="H493" s="14" t="n">
        <x:v>9</x:v>
      </x:c>
      <x:c r="I493" s="14" t="n">
        <x:v>4</x:v>
      </x:c>
      <x:c r="J493" s="14" t="n">
        <x:v>0</x:v>
      </x:c>
      <x:c r="K493" s="14" t="n">
        <x:v>8</x:v>
      </x:c>
      <x:c r="L493" s="14" t="n">
        <x:v>36</x:v>
      </x:c>
      <x:c r="M493" s="14" t="n">
        <x:v>35</x:v>
      </x:c>
      <x:c r="N493" s="15" t="n">
        <x:f>IF(E493=0,"해당 없음",F493/E493)</x:f>
        <x:v>0</x:v>
      </x:c>
      <x:c r="O493" s="15" t="n">
        <x:f>IF(E493=0,"해당 없음",G493/E493)</x:f>
        <x:v>0.11538461538461539</x:v>
      </x:c>
      <x:c r="P493" s="15" t="n">
        <x:f>IF(E493=0,"해당 없음",H493/E493)</x:f>
        <x:v>0.08653846153846154</x:v>
      </x:c>
      <x:c r="Q493" s="15" t="n">
        <x:f>IF(E493=0,"해당 없음",I493/E493)</x:f>
        <x:v>0.038461538461538464</x:v>
      </x:c>
      <x:c r="R493" s="15" t="n">
        <x:f>IF(E493=0,"해당 없음",J493/E493)</x:f>
        <x:v>0</x:v>
      </x:c>
      <x:c r="S493" s="15" t="n">
        <x:f>IF(E493=0,"해당 없음",K493/E493)</x:f>
        <x:v>0.07692307692307693</x:v>
      </x:c>
      <x:c r="T493" s="15" t="n">
        <x:f>IF(E493=0,"해당 없음",L493/E493)</x:f>
        <x:v>0.34615384615384615</x:v>
      </x:c>
      <x:c r="U493" s="15" t="n">
        <x:f>IF(E493=0,"해당 없음",M493/E493)</x:f>
        <x:v>0.33653846153846156</x:v>
      </x:c>
      <x:c r="V493" s="16" t="n">
        <x:f>E493/5</x:f>
        <x:v>20.8</x:v>
      </x:c>
    </x:row>
    <x:row r="494" ht="22" customHeight="1">
      <x:c r="A494" s="2" t="n">
        <x:v>245</x:v>
      </x:c>
      <x:c r="B494" s="2" t="str">
        <x:v>RED</x:v>
      </x:c>
      <x:c r="C494" s="2" t="str">
        <x:v>240만</x:v>
      </x:c>
      <x:c r="D494" s="2" t="str">
        <x:v>규칙형</x:v>
      </x:c>
      <x:c r="E494" s="14" t="n">
        <x:f>SUM(F494:M494)</x:f>
        <x:v>105</x:v>
      </x:c>
      <x:c r="F494" s="14" t="n">
        <x:v>2</x:v>
      </x:c>
      <x:c r="G494" s="14" t="n">
        <x:v>3</x:v>
      </x:c>
      <x:c r="H494" s="14" t="n">
        <x:v>7</x:v>
      </x:c>
      <x:c r="I494" s="14" t="n">
        <x:v>5</x:v>
      </x:c>
      <x:c r="J494" s="14" t="n">
        <x:v>1</x:v>
      </x:c>
      <x:c r="K494" s="14" t="n">
        <x:v>2</x:v>
      </x:c>
      <x:c r="L494" s="14" t="n">
        <x:v>38</x:v>
      </x:c>
      <x:c r="M494" s="14" t="n">
        <x:v>47</x:v>
      </x:c>
      <x:c r="N494" s="15" t="n">
        <x:f>IF(E494=0,"해당 없음",F494/E494)</x:f>
        <x:v>0.01904761904761905</x:v>
      </x:c>
      <x:c r="O494" s="15" t="n">
        <x:f>IF(E494=0,"해당 없음",G494/E494)</x:f>
        <x:v>0.02857142857142857</x:v>
      </x:c>
      <x:c r="P494" s="15" t="n">
        <x:f>IF(E494=0,"해당 없음",H494/E494)</x:f>
        <x:v>0.06666666666666667</x:v>
      </x:c>
      <x:c r="Q494" s="15" t="n">
        <x:f>IF(E494=0,"해당 없음",I494/E494)</x:f>
        <x:v>0.047619047619047616</x:v>
      </x:c>
      <x:c r="R494" s="15" t="n">
        <x:f>IF(E494=0,"해당 없음",J494/E494)</x:f>
        <x:v>0.009523809523809525</x:v>
      </x:c>
      <x:c r="S494" s="15" t="n">
        <x:f>IF(E494=0,"해당 없음",K494/E494)</x:f>
        <x:v>0.01904761904761905</x:v>
      </x:c>
      <x:c r="T494" s="15" t="n">
        <x:f>IF(E494=0,"해당 없음",L494/E494)</x:f>
        <x:v>0.3619047619047619</x:v>
      </x:c>
      <x:c r="U494" s="15" t="n">
        <x:f>IF(E494=0,"해당 없음",M494/E494)</x:f>
        <x:v>0.44761904761904764</x:v>
      </x:c>
      <x:c r="V494" s="16" t="n">
        <x:f>E494/5</x:f>
        <x:v>21</x:v>
      </x:c>
    </x:row>
    <x:row r="495" ht="22" customHeight="1">
      <x:c r="A495" s="2" t="n">
        <x:v>245</x:v>
      </x:c>
      <x:c r="B495" s="2" t="str">
        <x:v>NAVY</x:v>
      </x:c>
      <x:c r="C495" s="2" t="str">
        <x:v>규칙형</x:v>
      </x:c>
      <x:c r="D495" s="2" t="str">
        <x:v>240만</x:v>
      </x:c>
      <x:c r="E495" s="14" t="n">
        <x:f>SUM(F495:M495)</x:f>
        <x:v>107</x:v>
      </x:c>
      <x:c r="F495" s="14" t="n">
        <x:v>45</x:v>
      </x:c>
      <x:c r="G495" s="14" t="n">
        <x:v>8</x:v>
      </x:c>
      <x:c r="H495" s="14" t="n">
        <x:v>9</x:v>
      </x:c>
      <x:c r="I495" s="14" t="n">
        <x:v>12</x:v>
      </x:c>
      <x:c r="J495" s="14" t="n">
        <x:v>4</x:v>
      </x:c>
      <x:c r="K495" s="14" t="n">
        <x:v>2</x:v>
      </x:c>
      <x:c r="L495" s="14" t="n">
        <x:v>15</x:v>
      </x:c>
      <x:c r="M495" s="14" t="n">
        <x:v>12</x:v>
      </x:c>
      <x:c r="N495" s="15" t="n">
        <x:f>IF(E495=0,"해당 없음",F495/E495)</x:f>
        <x:v>0.4205607476635514</x:v>
      </x:c>
      <x:c r="O495" s="15" t="n">
        <x:f>IF(E495=0,"해당 없음",G495/E495)</x:f>
        <x:v>0.07476635514018691</x:v>
      </x:c>
      <x:c r="P495" s="15" t="n">
        <x:f>IF(E495=0,"해당 없음",H495/E495)</x:f>
        <x:v>0.08411214953271028</x:v>
      </x:c>
      <x:c r="Q495" s="15" t="n">
        <x:f>IF(E495=0,"해당 없음",I495/E495)</x:f>
        <x:v>0.11214953271028037</x:v>
      </x:c>
      <x:c r="R495" s="15" t="n">
        <x:f>IF(E495=0,"해당 없음",J495/E495)</x:f>
        <x:v>0.037383177570093455</x:v>
      </x:c>
      <x:c r="S495" s="15" t="n">
        <x:f>IF(E495=0,"해당 없음",K495/E495)</x:f>
        <x:v>0.018691588785046728</x:v>
      </x:c>
      <x:c r="T495" s="15" t="n">
        <x:f>IF(E495=0,"해당 없음",L495/E495)</x:f>
        <x:v>0.14018691588785046</x:v>
      </x:c>
      <x:c r="U495" s="15" t="n">
        <x:f>IF(E495=0,"해당 없음",M495/E495)</x:f>
        <x:v>0.11214953271028037</x:v>
      </x:c>
      <x:c r="V495" s="16" t="n">
        <x:f>E495/5</x:f>
        <x:v>21.4</x:v>
      </x:c>
    </x:row>
    <x:row r="496" ht="22" customHeight="1">
      <x:c r="A496" s="2" t="n">
        <x:v>246</x:v>
      </x:c>
      <x:c r="B496" s="2" t="str">
        <x:v>RED</x:v>
      </x:c>
      <x:c r="C496" s="2" t="str">
        <x:v>규칙형</x:v>
      </x:c>
      <x:c r="D496" s="2" t="str">
        <x:v>240만</x:v>
      </x:c>
      <x:c r="E496" s="14" t="n">
        <x:f>SUM(F496:M496)</x:f>
        <x:v>104</x:v>
      </x:c>
      <x:c r="F496" s="14" t="n">
        <x:v>30</x:v>
      </x:c>
      <x:c r="G496" s="14" t="n">
        <x:v>2</x:v>
      </x:c>
      <x:c r="H496" s="14" t="n">
        <x:v>5</x:v>
      </x:c>
      <x:c r="I496" s="14" t="n">
        <x:v>19</x:v>
      </x:c>
      <x:c r="J496" s="14" t="n">
        <x:v>8</x:v>
      </x:c>
      <x:c r="K496" s="14" t="n">
        <x:v>6</x:v>
      </x:c>
      <x:c r="L496" s="14" t="n">
        <x:v>23</x:v>
      </x:c>
      <x:c r="M496" s="14" t="n">
        <x:v>11</x:v>
      </x:c>
      <x:c r="N496" s="15" t="n">
        <x:f>IF(E496=0,"해당 없음",F496/E496)</x:f>
        <x:v>0.28846153846153844</x:v>
      </x:c>
      <x:c r="O496" s="15" t="n">
        <x:f>IF(E496=0,"해당 없음",G496/E496)</x:f>
        <x:v>0.019230769230769232</x:v>
      </x:c>
      <x:c r="P496" s="15" t="n">
        <x:f>IF(E496=0,"해당 없음",H496/E496)</x:f>
        <x:v>0.04807692307692308</x:v>
      </x:c>
      <x:c r="Q496" s="15" t="n">
        <x:f>IF(E496=0,"해당 없음",I496/E496)</x:f>
        <x:v>0.18269230769230768</x:v>
      </x:c>
      <x:c r="R496" s="15" t="n">
        <x:f>IF(E496=0,"해당 없음",J496/E496)</x:f>
        <x:v>0.07692307692307693</x:v>
      </x:c>
      <x:c r="S496" s="15" t="n">
        <x:f>IF(E496=0,"해당 없음",K496/E496)</x:f>
        <x:v>0.057692307692307696</x:v>
      </x:c>
      <x:c r="T496" s="15" t="n">
        <x:f>IF(E496=0,"해당 없음",L496/E496)</x:f>
        <x:v>0.22115384615384615</x:v>
      </x:c>
      <x:c r="U496" s="15" t="n">
        <x:f>IF(E496=0,"해당 없음",M496/E496)</x:f>
        <x:v>0.10576923076923077</x:v>
      </x:c>
      <x:c r="V496" s="16" t="n">
        <x:f>E496/5</x:f>
        <x:v>20.8</x:v>
      </x:c>
    </x:row>
    <x:row r="497" ht="22" customHeight="1">
      <x:c r="A497" s="2" t="n">
        <x:v>246</x:v>
      </x:c>
      <x:c r="B497" s="2" t="str">
        <x:v>NAVY</x:v>
      </x:c>
      <x:c r="C497" s="2" t="str">
        <x:v>240만</x:v>
      </x:c>
      <x:c r="D497" s="2" t="str">
        <x:v>규칙형</x:v>
      </x:c>
      <x:c r="E497" s="14" t="n">
        <x:f>SUM(F497:M497)</x:f>
        <x:v>103</x:v>
      </x:c>
      <x:c r="F497" s="14" t="n">
        <x:v>2</x:v>
      </x:c>
      <x:c r="G497" s="14" t="n">
        <x:v>7</x:v>
      </x:c>
      <x:c r="H497" s="14" t="n">
        <x:v>3</x:v>
      </x:c>
      <x:c r="I497" s="14" t="n">
        <x:v>3</x:v>
      </x:c>
      <x:c r="J497" s="14" t="n">
        <x:v>0</x:v>
      </x:c>
      <x:c r="K497" s="14" t="n">
        <x:v>2</x:v>
      </x:c>
      <x:c r="L497" s="14" t="n">
        <x:v>35</x:v>
      </x:c>
      <x:c r="M497" s="14" t="n">
        <x:v>51</x:v>
      </x:c>
      <x:c r="N497" s="15" t="n">
        <x:f>IF(E497=0,"해당 없음",F497/E497)</x:f>
        <x:v>0.019417475728155338</x:v>
      </x:c>
      <x:c r="O497" s="15" t="n">
        <x:f>IF(E497=0,"해당 없음",G497/E497)</x:f>
        <x:v>0.06796116504854369</x:v>
      </x:c>
      <x:c r="P497" s="15" t="n">
        <x:f>IF(E497=0,"해당 없음",H497/E497)</x:f>
        <x:v>0.02912621359223301</x:v>
      </x:c>
      <x:c r="Q497" s="15" t="n">
        <x:f>IF(E497=0,"해당 없음",I497/E497)</x:f>
        <x:v>0.02912621359223301</x:v>
      </x:c>
      <x:c r="R497" s="15" t="n">
        <x:f>IF(E497=0,"해당 없음",J497/E497)</x:f>
        <x:v>0</x:v>
      </x:c>
      <x:c r="S497" s="15" t="n">
        <x:f>IF(E497=0,"해당 없음",K497/E497)</x:f>
        <x:v>0.019417475728155338</x:v>
      </x:c>
      <x:c r="T497" s="15" t="n">
        <x:f>IF(E497=0,"해당 없음",L497/E497)</x:f>
        <x:v>0.33980582524271846</x:v>
      </x:c>
      <x:c r="U497" s="15" t="n">
        <x:f>IF(E497=0,"해당 없음",M497/E497)</x:f>
        <x:v>0.49514563106796117</x:v>
      </x:c>
      <x:c r="V497" s="16" t="n">
        <x:f>E497/5</x:f>
        <x:v>20.6</x:v>
      </x:c>
    </x:row>
    <x:row r="498" ht="22" customHeight="1">
      <x:c r="A498" s="2" t="n">
        <x:v>247</x:v>
      </x:c>
      <x:c r="B498" s="2" t="str">
        <x:v>RED</x:v>
      </x:c>
      <x:c r="C498" s="2" t="str">
        <x:v>240만</x:v>
      </x:c>
      <x:c r="D498" s="2" t="str">
        <x:v>규칙형</x:v>
      </x:c>
      <x:c r="E498" s="14" t="n">
        <x:f>SUM(F498:M498)</x:f>
        <x:v>102</x:v>
      </x:c>
      <x:c r="F498" s="14" t="n">
        <x:v>3</x:v>
      </x:c>
      <x:c r="G498" s="14" t="n">
        <x:v>15</x:v>
      </x:c>
      <x:c r="H498" s="14" t="n">
        <x:v>1</x:v>
      </x:c>
      <x:c r="I498" s="14" t="n">
        <x:v>4</x:v>
      </x:c>
      <x:c r="J498" s="14" t="n">
        <x:v>0</x:v>
      </x:c>
      <x:c r="K498" s="14" t="n">
        <x:v>2</x:v>
      </x:c>
      <x:c r="L498" s="14" t="n">
        <x:v>29</x:v>
      </x:c>
      <x:c r="M498" s="14" t="n">
        <x:v>48</x:v>
      </x:c>
      <x:c r="N498" s="15" t="n">
        <x:f>IF(E498=0,"해당 없음",F498/E498)</x:f>
        <x:v>0.029411764705882353</x:v>
      </x:c>
      <x:c r="O498" s="15" t="n">
        <x:f>IF(E498=0,"해당 없음",G498/E498)</x:f>
        <x:v>0.14705882352941177</x:v>
      </x:c>
      <x:c r="P498" s="15" t="n">
        <x:f>IF(E498=0,"해당 없음",H498/E498)</x:f>
        <x:v>0.00980392156862745</x:v>
      </x:c>
      <x:c r="Q498" s="15" t="n">
        <x:f>IF(E498=0,"해당 없음",I498/E498)</x:f>
        <x:v>0.0392156862745098</x:v>
      </x:c>
      <x:c r="R498" s="15" t="n">
        <x:f>IF(E498=0,"해당 없음",J498/E498)</x:f>
        <x:v>0</x:v>
      </x:c>
      <x:c r="S498" s="15" t="n">
        <x:f>IF(E498=0,"해당 없음",K498/E498)</x:f>
        <x:v>0.0196078431372549</x:v>
      </x:c>
      <x:c r="T498" s="15" t="n">
        <x:f>IF(E498=0,"해당 없음",L498/E498)</x:f>
        <x:v>0.28431372549019607</x:v>
      </x:c>
      <x:c r="U498" s="15" t="n">
        <x:f>IF(E498=0,"해당 없음",M498/E498)</x:f>
        <x:v>0.47058823529411764</x:v>
      </x:c>
      <x:c r="V498" s="16" t="n">
        <x:f>E498/5</x:f>
        <x:v>20.4</x:v>
      </x:c>
    </x:row>
    <x:row r="499" ht="22" customHeight="1">
      <x:c r="A499" s="2" t="n">
        <x:v>247</x:v>
      </x:c>
      <x:c r="B499" s="2" t="str">
        <x:v>NAVY</x:v>
      </x:c>
      <x:c r="C499" s="2" t="str">
        <x:v>규칙형</x:v>
      </x:c>
      <x:c r="D499" s="2" t="str">
        <x:v>240만</x:v>
      </x:c>
      <x:c r="E499" s="14" t="n">
        <x:f>SUM(F499:M499)</x:f>
        <x:v>101</x:v>
      </x:c>
      <x:c r="F499" s="14" t="n">
        <x:v>40</x:v>
      </x:c>
      <x:c r="G499" s="14" t="n">
        <x:v>6</x:v>
      </x:c>
      <x:c r="H499" s="14" t="n">
        <x:v>5</x:v>
      </x:c>
      <x:c r="I499" s="14" t="n">
        <x:v>14</x:v>
      </x:c>
      <x:c r="J499" s="14" t="n">
        <x:v>7</x:v>
      </x:c>
      <x:c r="K499" s="14" t="n">
        <x:v>4</x:v>
      </x:c>
      <x:c r="L499" s="14" t="n">
        <x:v>19</x:v>
      </x:c>
      <x:c r="M499" s="14" t="n">
        <x:v>6</x:v>
      </x:c>
      <x:c r="N499" s="15" t="n">
        <x:f>IF(E499=0,"해당 없음",F499/E499)</x:f>
        <x:v>0.39603960396039606</x:v>
      </x:c>
      <x:c r="O499" s="15" t="n">
        <x:f>IF(E499=0,"해당 없음",G499/E499)</x:f>
        <x:v>0.0594059405940594</x:v>
      </x:c>
      <x:c r="P499" s="15" t="n">
        <x:f>IF(E499=0,"해당 없음",H499/E499)</x:f>
        <x:v>0.04950495049504951</x:v>
      </x:c>
      <x:c r="Q499" s="15" t="n">
        <x:f>IF(E499=0,"해당 없음",I499/E499)</x:f>
        <x:v>0.13861386138613863</x:v>
      </x:c>
      <x:c r="R499" s="15" t="n">
        <x:f>IF(E499=0,"해당 없음",J499/E499)</x:f>
        <x:v>0.06930693069306931</x:v>
      </x:c>
      <x:c r="S499" s="15" t="n">
        <x:f>IF(E499=0,"해당 없음",K499/E499)</x:f>
        <x:v>0.039603960396039604</x:v>
      </x:c>
      <x:c r="T499" s="15" t="n">
        <x:f>IF(E499=0,"해당 없음",L499/E499)</x:f>
        <x:v>0.18811881188118812</x:v>
      </x:c>
      <x:c r="U499" s="15" t="n">
        <x:f>IF(E499=0,"해당 없음",M499/E499)</x:f>
        <x:v>0.0594059405940594</x:v>
      </x:c>
      <x:c r="V499" s="16" t="n">
        <x:f>E499/5</x:f>
        <x:v>20.2</x:v>
      </x:c>
    </x:row>
    <x:row r="500" ht="22" customHeight="1">
      <x:c r="A500" s="2" t="n">
        <x:v>248</x:v>
      </x:c>
      <x:c r="B500" s="2" t="str">
        <x:v>RED</x:v>
      </x:c>
      <x:c r="C500" s="2" t="str">
        <x:v>규칙형</x:v>
      </x:c>
      <x:c r="D500" s="2" t="str">
        <x:v>240만</x:v>
      </x:c>
      <x:c r="E500" s="14" t="n">
        <x:f>SUM(F500:M500)</x:f>
        <x:v>103</x:v>
      </x:c>
      <x:c r="F500" s="14" t="n">
        <x:v>39</x:v>
      </x:c>
      <x:c r="G500" s="14" t="n">
        <x:v>5</x:v>
      </x:c>
      <x:c r="H500" s="14" t="n">
        <x:v>5</x:v>
      </x:c>
      <x:c r="I500" s="14" t="n">
        <x:v>5</x:v>
      </x:c>
      <x:c r="J500" s="14" t="n">
        <x:v>8</x:v>
      </x:c>
      <x:c r="K500" s="14" t="n">
        <x:v>7</x:v>
      </x:c>
      <x:c r="L500" s="14" t="n">
        <x:v>22</x:v>
      </x:c>
      <x:c r="M500" s="14" t="n">
        <x:v>12</x:v>
      </x:c>
      <x:c r="N500" s="15" t="n">
        <x:f>IF(E500=0,"해당 없음",F500/E500)</x:f>
        <x:v>0.3786407766990291</x:v>
      </x:c>
      <x:c r="O500" s="15" t="n">
        <x:f>IF(E500=0,"해당 없음",G500/E500)</x:f>
        <x:v>0.04854368932038835</x:v>
      </x:c>
      <x:c r="P500" s="15" t="n">
        <x:f>IF(E500=0,"해당 없음",H500/E500)</x:f>
        <x:v>0.04854368932038835</x:v>
      </x:c>
      <x:c r="Q500" s="15" t="n">
        <x:f>IF(E500=0,"해당 없음",I500/E500)</x:f>
        <x:v>0.04854368932038835</x:v>
      </x:c>
      <x:c r="R500" s="15" t="n">
        <x:f>IF(E500=0,"해당 없음",J500/E500)</x:f>
        <x:v>0.07766990291262135</x:v>
      </x:c>
      <x:c r="S500" s="15" t="n">
        <x:f>IF(E500=0,"해당 없음",K500/E500)</x:f>
        <x:v>0.06796116504854369</x:v>
      </x:c>
      <x:c r="T500" s="15" t="n">
        <x:f>IF(E500=0,"해당 없음",L500/E500)</x:f>
        <x:v>0.21359223300970873</x:v>
      </x:c>
      <x:c r="U500" s="15" t="n">
        <x:f>IF(E500=0,"해당 없음",M500/E500)</x:f>
        <x:v>0.11650485436893204</x:v>
      </x:c>
      <x:c r="V500" s="16" t="n">
        <x:f>E500/5</x:f>
        <x:v>20.6</x:v>
      </x:c>
    </x:row>
    <x:row r="501" ht="22" customHeight="1">
      <x:c r="A501" s="2" t="n">
        <x:v>248</x:v>
      </x:c>
      <x:c r="B501" s="2" t="str">
        <x:v>NAVY</x:v>
      </x:c>
      <x:c r="C501" s="2" t="str">
        <x:v>240만</x:v>
      </x:c>
      <x:c r="D501" s="2" t="str">
        <x:v>규칙형</x:v>
      </x:c>
      <x:c r="E501" s="14" t="n">
        <x:f>SUM(F501:M501)</x:f>
        <x:v>105</x:v>
      </x:c>
      <x:c r="F501" s="14" t="n">
        <x:v>0</x:v>
      </x:c>
      <x:c r="G501" s="14" t="n">
        <x:v>11</x:v>
      </x:c>
      <x:c r="H501" s="14" t="n">
        <x:v>7</x:v>
      </x:c>
      <x:c r="I501" s="14" t="n">
        <x:v>3</x:v>
      </x:c>
      <x:c r="J501" s="14" t="n">
        <x:v>0</x:v>
      </x:c>
      <x:c r="K501" s="14" t="n">
        <x:v>5</x:v>
      </x:c>
      <x:c r="L501" s="14" t="n">
        <x:v>42</x:v>
      </x:c>
      <x:c r="M501" s="14" t="n">
        <x:v>37</x:v>
      </x:c>
      <x:c r="N501" s="15" t="n">
        <x:f>IF(E501=0,"해당 없음",F501/E501)</x:f>
        <x:v>0</x:v>
      </x:c>
      <x:c r="O501" s="15" t="n">
        <x:f>IF(E501=0,"해당 없음",G501/E501)</x:f>
        <x:v>0.10476190476190476</x:v>
      </x:c>
      <x:c r="P501" s="15" t="n">
        <x:f>IF(E501=0,"해당 없음",H501/E501)</x:f>
        <x:v>0.06666666666666667</x:v>
      </x:c>
      <x:c r="Q501" s="15" t="n">
        <x:f>IF(E501=0,"해당 없음",I501/E501)</x:f>
        <x:v>0.02857142857142857</x:v>
      </x:c>
      <x:c r="R501" s="15" t="n">
        <x:f>IF(E501=0,"해당 없음",J501/E501)</x:f>
        <x:v>0</x:v>
      </x:c>
      <x:c r="S501" s="15" t="n">
        <x:f>IF(E501=0,"해당 없음",K501/E501)</x:f>
        <x:v>0.047619047619047616</x:v>
      </x:c>
      <x:c r="T501" s="15" t="n">
        <x:f>IF(E501=0,"해당 없음",L501/E501)</x:f>
        <x:v>0.4</x:v>
      </x:c>
      <x:c r="U501" s="15" t="n">
        <x:f>IF(E501=0,"해당 없음",M501/E501)</x:f>
        <x:v>0.3523809523809524</x:v>
      </x:c>
      <x:c r="V501" s="16" t="n">
        <x:f>E501/5</x:f>
        <x:v>21</x:v>
      </x:c>
    </x:row>
    <x:row r="502" ht="22" customHeight="1">
      <x:c r="A502" s="2" t="n">
        <x:v>249</x:v>
      </x:c>
      <x:c r="B502" s="2" t="str">
        <x:v>RED</x:v>
      </x:c>
      <x:c r="C502" s="2" t="str">
        <x:v>240만</x:v>
      </x:c>
      <x:c r="D502" s="2" t="str">
        <x:v>규칙형</x:v>
      </x:c>
      <x:c r="E502" s="14" t="n">
        <x:f>SUM(F502:M502)</x:f>
        <x:v>102</x:v>
      </x:c>
      <x:c r="F502" s="14" t="n">
        <x:v>0</x:v>
      </x:c>
      <x:c r="G502" s="14" t="n">
        <x:v>7</x:v>
      </x:c>
      <x:c r="H502" s="14" t="n">
        <x:v>4</x:v>
      </x:c>
      <x:c r="I502" s="14" t="n">
        <x:v>1</x:v>
      </x:c>
      <x:c r="J502" s="14" t="n">
        <x:v>0</x:v>
      </x:c>
      <x:c r="K502" s="14" t="n">
        <x:v>2</x:v>
      </x:c>
      <x:c r="L502" s="14" t="n">
        <x:v>29</x:v>
      </x:c>
      <x:c r="M502" s="14" t="n">
        <x:v>59</x:v>
      </x:c>
      <x:c r="N502" s="15" t="n">
        <x:f>IF(E502=0,"해당 없음",F502/E502)</x:f>
        <x:v>0</x:v>
      </x:c>
      <x:c r="O502" s="15" t="n">
        <x:f>IF(E502=0,"해당 없음",G502/E502)</x:f>
        <x:v>0.06862745098039216</x:v>
      </x:c>
      <x:c r="P502" s="15" t="n">
        <x:f>IF(E502=0,"해당 없음",H502/E502)</x:f>
        <x:v>0.0392156862745098</x:v>
      </x:c>
      <x:c r="Q502" s="15" t="n">
        <x:f>IF(E502=0,"해당 없음",I502/E502)</x:f>
        <x:v>0.00980392156862745</x:v>
      </x:c>
      <x:c r="R502" s="15" t="n">
        <x:f>IF(E502=0,"해당 없음",J502/E502)</x:f>
        <x:v>0</x:v>
      </x:c>
      <x:c r="S502" s="15" t="n">
        <x:f>IF(E502=0,"해당 없음",K502/E502)</x:f>
        <x:v>0.0196078431372549</x:v>
      </x:c>
      <x:c r="T502" s="15" t="n">
        <x:f>IF(E502=0,"해당 없음",L502/E502)</x:f>
        <x:v>0.28431372549019607</x:v>
      </x:c>
      <x:c r="U502" s="15" t="n">
        <x:f>IF(E502=0,"해당 없음",M502/E502)</x:f>
        <x:v>0.5784313725490197</x:v>
      </x:c>
      <x:c r="V502" s="16" t="n">
        <x:f>E502/5</x:f>
        <x:v>20.4</x:v>
      </x:c>
    </x:row>
    <x:row r="503" ht="22" customHeight="1">
      <x:c r="A503" s="2" t="n">
        <x:v>249</x:v>
      </x:c>
      <x:c r="B503" s="2" t="str">
        <x:v>NAVY</x:v>
      </x:c>
      <x:c r="C503" s="2" t="str">
        <x:v>규칙형</x:v>
      </x:c>
      <x:c r="D503" s="2" t="str">
        <x:v>240만</x:v>
      </x:c>
      <x:c r="E503" s="14" t="n">
        <x:f>SUM(F503:M503)</x:f>
        <x:v>103</x:v>
      </x:c>
      <x:c r="F503" s="14" t="n">
        <x:v>42</x:v>
      </x:c>
      <x:c r="G503" s="14" t="n">
        <x:v>7</x:v>
      </x:c>
      <x:c r="H503" s="14" t="n">
        <x:v>6</x:v>
      </x:c>
      <x:c r="I503" s="14" t="n">
        <x:v>15</x:v>
      </x:c>
      <x:c r="J503" s="14" t="n">
        <x:v>4</x:v>
      </x:c>
      <x:c r="K503" s="14" t="n">
        <x:v>2</x:v>
      </x:c>
      <x:c r="L503" s="14" t="n">
        <x:v>21</x:v>
      </x:c>
      <x:c r="M503" s="14" t="n">
        <x:v>6</x:v>
      </x:c>
      <x:c r="N503" s="15" t="n">
        <x:f>IF(E503=0,"해당 없음",F503/E503)</x:f>
        <x:v>0.4077669902912621</x:v>
      </x:c>
      <x:c r="O503" s="15" t="n">
        <x:f>IF(E503=0,"해당 없음",G503/E503)</x:f>
        <x:v>0.06796116504854369</x:v>
      </x:c>
      <x:c r="P503" s="15" t="n">
        <x:f>IF(E503=0,"해당 없음",H503/E503)</x:f>
        <x:v>0.05825242718446602</x:v>
      </x:c>
      <x:c r="Q503" s="15" t="n">
        <x:f>IF(E503=0,"해당 없음",I503/E503)</x:f>
        <x:v>0.14563106796116504</x:v>
      </x:c>
      <x:c r="R503" s="15" t="n">
        <x:f>IF(E503=0,"해당 없음",J503/E503)</x:f>
        <x:v>0.038834951456310676</x:v>
      </x:c>
      <x:c r="S503" s="15" t="n">
        <x:f>IF(E503=0,"해당 없음",K503/E503)</x:f>
        <x:v>0.019417475728155338</x:v>
      </x:c>
      <x:c r="T503" s="15" t="n">
        <x:f>IF(E503=0,"해당 없음",L503/E503)</x:f>
        <x:v>0.20388349514563106</x:v>
      </x:c>
      <x:c r="U503" s="15" t="n">
        <x:f>IF(E503=0,"해당 없음",M503/E503)</x:f>
        <x:v>0.05825242718446602</x:v>
      </x:c>
      <x:c r="V503" s="16" t="n">
        <x:f>E503/5</x:f>
        <x:v>20.6</x:v>
      </x:c>
    </x:row>
    <x:row r="504" ht="22" customHeight="1">
      <x:c r="A504" s="2" t="n">
        <x:v>250</x:v>
      </x:c>
      <x:c r="B504" s="2" t="str">
        <x:v>RED</x:v>
      </x:c>
      <x:c r="C504" s="2" t="str">
        <x:v>규칙형</x:v>
      </x:c>
      <x:c r="D504" s="2" t="str">
        <x:v>240만</x:v>
      </x:c>
      <x:c r="E504" s="14" t="n">
        <x:f>SUM(F504:M504)</x:f>
        <x:v>105</x:v>
      </x:c>
      <x:c r="F504" s="14" t="n">
        <x:v>40</x:v>
      </x:c>
      <x:c r="G504" s="14" t="n">
        <x:v>5</x:v>
      </x:c>
      <x:c r="H504" s="14" t="n">
        <x:v>11</x:v>
      </x:c>
      <x:c r="I504" s="14" t="n">
        <x:v>12</x:v>
      </x:c>
      <x:c r="J504" s="14" t="n">
        <x:v>6</x:v>
      </x:c>
      <x:c r="K504" s="14" t="n">
        <x:v>6</x:v>
      </x:c>
      <x:c r="L504" s="14" t="n">
        <x:v>18</x:v>
      </x:c>
      <x:c r="M504" s="14" t="n">
        <x:v>7</x:v>
      </x:c>
      <x:c r="N504" s="15" t="n">
        <x:f>IF(E504=0,"해당 없음",F504/E504)</x:f>
        <x:v>0.38095238095238093</x:v>
      </x:c>
      <x:c r="O504" s="15" t="n">
        <x:f>IF(E504=0,"해당 없음",G504/E504)</x:f>
        <x:v>0.047619047619047616</x:v>
      </x:c>
      <x:c r="P504" s="15" t="n">
        <x:f>IF(E504=0,"해당 없음",H504/E504)</x:f>
        <x:v>0.10476190476190476</x:v>
      </x:c>
      <x:c r="Q504" s="15" t="n">
        <x:f>IF(E504=0,"해당 없음",I504/E504)</x:f>
        <x:v>0.11428571428571428</x:v>
      </x:c>
      <x:c r="R504" s="15" t="n">
        <x:f>IF(E504=0,"해당 없음",J504/E504)</x:f>
        <x:v>0.05714285714285714</x:v>
      </x:c>
      <x:c r="S504" s="15" t="n">
        <x:f>IF(E504=0,"해당 없음",K504/E504)</x:f>
        <x:v>0.05714285714285714</x:v>
      </x:c>
      <x:c r="T504" s="15" t="n">
        <x:f>IF(E504=0,"해당 없음",L504/E504)</x:f>
        <x:v>0.17142857142857143</x:v>
      </x:c>
      <x:c r="U504" s="15" t="n">
        <x:f>IF(E504=0,"해당 없음",M504/E504)</x:f>
        <x:v>0.06666666666666667</x:v>
      </x:c>
      <x:c r="V504" s="16" t="n">
        <x:f>E504/5</x:f>
        <x:v>21</x:v>
      </x:c>
    </x:row>
    <x:row r="505" ht="22" customHeight="1">
      <x:c r="A505" s="2" t="n">
        <x:v>250</x:v>
      </x:c>
      <x:c r="B505" s="2" t="str">
        <x:v>NAVY</x:v>
      </x:c>
      <x:c r="C505" s="2" t="str">
        <x:v>240만</x:v>
      </x:c>
      <x:c r="D505" s="2" t="str">
        <x:v>규칙형</x:v>
      </x:c>
      <x:c r="E505" s="14" t="n">
        <x:f>SUM(F505:M505)</x:f>
        <x:v>105</x:v>
      </x:c>
      <x:c r="F505" s="14" t="n">
        <x:v>3</x:v>
      </x:c>
      <x:c r="G505" s="14" t="n">
        <x:v>7</x:v>
      </x:c>
      <x:c r="H505" s="14" t="n">
        <x:v>4</x:v>
      </x:c>
      <x:c r="I505" s="14" t="n">
        <x:v>5</x:v>
      </x:c>
      <x:c r="J505" s="14" t="n">
        <x:v>0</x:v>
      </x:c>
      <x:c r="K505" s="14" t="n">
        <x:v>2</x:v>
      </x:c>
      <x:c r="L505" s="14" t="n">
        <x:v>38</x:v>
      </x:c>
      <x:c r="M505" s="14" t="n">
        <x:v>46</x:v>
      </x:c>
      <x:c r="N505" s="15" t="n">
        <x:f>IF(E505=0,"해당 없음",F505/E505)</x:f>
        <x:v>0.02857142857142857</x:v>
      </x:c>
      <x:c r="O505" s="15" t="n">
        <x:f>IF(E505=0,"해당 없음",G505/E505)</x:f>
        <x:v>0.06666666666666667</x:v>
      </x:c>
      <x:c r="P505" s="15" t="n">
        <x:f>IF(E505=0,"해당 없음",H505/E505)</x:f>
        <x:v>0.0380952380952381</x:v>
      </x:c>
      <x:c r="Q505" s="15" t="n">
        <x:f>IF(E505=0,"해당 없음",I505/E505)</x:f>
        <x:v>0.047619047619047616</x:v>
      </x:c>
      <x:c r="R505" s="15" t="n">
        <x:f>IF(E505=0,"해당 없음",J505/E505)</x:f>
        <x:v>0</x:v>
      </x:c>
      <x:c r="S505" s="15" t="n">
        <x:f>IF(E505=0,"해당 없음",K505/E505)</x:f>
        <x:v>0.01904761904761905</x:v>
      </x:c>
      <x:c r="T505" s="15" t="n">
        <x:f>IF(E505=0,"해당 없음",L505/E505)</x:f>
        <x:v>0.3619047619047619</x:v>
      </x:c>
      <x:c r="U505" s="15" t="n">
        <x:f>IF(E505=0,"해당 없음",M505/E505)</x:f>
        <x:v>0.4380952380952381</x:v>
      </x:c>
      <x:c r="V505" s="16" t="n">
        <x:f>E505/5</x:f>
        <x:v>21</x:v>
      </x:c>
    </x:row>
    <x:row r="506" ht="22" customHeight="1">
      <x:c r="A506" s="2" t="n">
        <x:v>251</x:v>
      </x:c>
      <x:c r="B506" s="2" t="str">
        <x:v>RED</x:v>
      </x:c>
      <x:c r="C506" s="2" t="str">
        <x:v>240만</x:v>
      </x:c>
      <x:c r="D506" s="2" t="str">
        <x:v>규칙형</x:v>
      </x:c>
      <x:c r="E506" s="14" t="n">
        <x:f>SUM(F506:M506)</x:f>
        <x:v>102</x:v>
      </x:c>
      <x:c r="F506" s="14" t="n">
        <x:v>1</x:v>
      </x:c>
      <x:c r="G506" s="14" t="n">
        <x:v>14</x:v>
      </x:c>
      <x:c r="H506" s="14" t="n">
        <x:v>2</x:v>
      </x:c>
      <x:c r="I506" s="14" t="n">
        <x:v>5</x:v>
      </x:c>
      <x:c r="J506" s="14" t="n">
        <x:v>1</x:v>
      </x:c>
      <x:c r="K506" s="14" t="n">
        <x:v>4</x:v>
      </x:c>
      <x:c r="L506" s="14" t="n">
        <x:v>31</x:v>
      </x:c>
      <x:c r="M506" s="14" t="n">
        <x:v>44</x:v>
      </x:c>
      <x:c r="N506" s="15" t="n">
        <x:f>IF(E506=0,"해당 없음",F506/E506)</x:f>
        <x:v>0.00980392156862745</x:v>
      </x:c>
      <x:c r="O506" s="15" t="n">
        <x:f>IF(E506=0,"해당 없음",G506/E506)</x:f>
        <x:v>0.13725490196078433</x:v>
      </x:c>
      <x:c r="P506" s="15" t="n">
        <x:f>IF(E506=0,"해당 없음",H506/E506)</x:f>
        <x:v>0.0196078431372549</x:v>
      </x:c>
      <x:c r="Q506" s="15" t="n">
        <x:f>IF(E506=0,"해당 없음",I506/E506)</x:f>
        <x:v>0.049019607843137254</x:v>
      </x:c>
      <x:c r="R506" s="15" t="n">
        <x:f>IF(E506=0,"해당 없음",J506/E506)</x:f>
        <x:v>0.00980392156862745</x:v>
      </x:c>
      <x:c r="S506" s="15" t="n">
        <x:f>IF(E506=0,"해당 없음",K506/E506)</x:f>
        <x:v>0.0392156862745098</x:v>
      </x:c>
      <x:c r="T506" s="15" t="n">
        <x:f>IF(E506=0,"해당 없음",L506/E506)</x:f>
        <x:v>0.30392156862745096</x:v>
      </x:c>
      <x:c r="U506" s="15" t="n">
        <x:f>IF(E506=0,"해당 없음",M506/E506)</x:f>
        <x:v>0.43137254901960786</x:v>
      </x:c>
      <x:c r="V506" s="16" t="n">
        <x:f>E506/5</x:f>
        <x:v>20.4</x:v>
      </x:c>
    </x:row>
    <x:row r="507" ht="22" customHeight="1">
      <x:c r="A507" s="2" t="n">
        <x:v>251</x:v>
      </x:c>
      <x:c r="B507" s="2" t="str">
        <x:v>NAVY</x:v>
      </x:c>
      <x:c r="C507" s="2" t="str">
        <x:v>규칙형</x:v>
      </x:c>
      <x:c r="D507" s="2" t="str">
        <x:v>240만</x:v>
      </x:c>
      <x:c r="E507" s="14" t="n">
        <x:f>SUM(F507:M507)</x:f>
        <x:v>102</x:v>
      </x:c>
      <x:c r="F507" s="14" t="n">
        <x:v>44</x:v>
      </x:c>
      <x:c r="G507" s="14" t="n">
        <x:v>10</x:v>
      </x:c>
      <x:c r="H507" s="14" t="n">
        <x:v>10</x:v>
      </x:c>
      <x:c r="I507" s="14" t="n">
        <x:v>14</x:v>
      </x:c>
      <x:c r="J507" s="14" t="n">
        <x:v>4</x:v>
      </x:c>
      <x:c r="K507" s="14" t="n">
        <x:v>3</x:v>
      </x:c>
      <x:c r="L507" s="14" t="n">
        <x:v>14</x:v>
      </x:c>
      <x:c r="M507" s="14" t="n">
        <x:v>3</x:v>
      </x:c>
      <x:c r="N507" s="15" t="n">
        <x:f>IF(E507=0,"해당 없음",F507/E507)</x:f>
        <x:v>0.43137254901960786</x:v>
      </x:c>
      <x:c r="O507" s="15" t="n">
        <x:f>IF(E507=0,"해당 없음",G507/E507)</x:f>
        <x:v>0.09803921568627451</x:v>
      </x:c>
      <x:c r="P507" s="15" t="n">
        <x:f>IF(E507=0,"해당 없음",H507/E507)</x:f>
        <x:v>0.09803921568627451</x:v>
      </x:c>
      <x:c r="Q507" s="15" t="n">
        <x:f>IF(E507=0,"해당 없음",I507/E507)</x:f>
        <x:v>0.13725490196078433</x:v>
      </x:c>
      <x:c r="R507" s="15" t="n">
        <x:f>IF(E507=0,"해당 없음",J507/E507)</x:f>
        <x:v>0.0392156862745098</x:v>
      </x:c>
      <x:c r="S507" s="15" t="n">
        <x:f>IF(E507=0,"해당 없음",K507/E507)</x:f>
        <x:v>0.029411764705882353</x:v>
      </x:c>
      <x:c r="T507" s="15" t="n">
        <x:f>IF(E507=0,"해당 없음",L507/E507)</x:f>
        <x:v>0.13725490196078433</x:v>
      </x:c>
      <x:c r="U507" s="15" t="n">
        <x:f>IF(E507=0,"해당 없음",M507/E507)</x:f>
        <x:v>0.029411764705882353</x:v>
      </x:c>
      <x:c r="V507" s="16" t="n">
        <x:f>E507/5</x:f>
        <x:v>20.4</x:v>
      </x:c>
    </x:row>
    <x:row r="508" ht="22" customHeight="1">
      <x:c r="A508" s="2" t="n">
        <x:v>252</x:v>
      </x:c>
      <x:c r="B508" s="2" t="str">
        <x:v>RED</x:v>
      </x:c>
      <x:c r="C508" s="2" t="str">
        <x:v>규칙형</x:v>
      </x:c>
      <x:c r="D508" s="2" t="str">
        <x:v>240만</x:v>
      </x:c>
      <x:c r="E508" s="14" t="n">
        <x:f>SUM(F508:M508)</x:f>
        <x:v>106</x:v>
      </x:c>
      <x:c r="F508" s="14" t="n">
        <x:v>37</x:v>
      </x:c>
      <x:c r="G508" s="14" t="n">
        <x:v>1</x:v>
      </x:c>
      <x:c r="H508" s="14" t="n">
        <x:v>11</x:v>
      </x:c>
      <x:c r="I508" s="14" t="n">
        <x:v>7</x:v>
      </x:c>
      <x:c r="J508" s="14" t="n">
        <x:v>13</x:v>
      </x:c>
      <x:c r="K508" s="14" t="n">
        <x:v>3</x:v>
      </x:c>
      <x:c r="L508" s="14" t="n">
        <x:v>26</x:v>
      </x:c>
      <x:c r="M508" s="14" t="n">
        <x:v>8</x:v>
      </x:c>
      <x:c r="N508" s="15" t="n">
        <x:f>IF(E508=0,"해당 없음",F508/E508)</x:f>
        <x:v>0.3490566037735849</x:v>
      </x:c>
      <x:c r="O508" s="15" t="n">
        <x:f>IF(E508=0,"해당 없음",G508/E508)</x:f>
        <x:v>0.009433962264150943</x:v>
      </x:c>
      <x:c r="P508" s="15" t="n">
        <x:f>IF(E508=0,"해당 없음",H508/E508)</x:f>
        <x:v>0.10377358490566038</x:v>
      </x:c>
      <x:c r="Q508" s="15" t="n">
        <x:f>IF(E508=0,"해당 없음",I508/E508)</x:f>
        <x:v>0.0660377358490566</x:v>
      </x:c>
      <x:c r="R508" s="15" t="n">
        <x:f>IF(E508=0,"해당 없음",J508/E508)</x:f>
        <x:v>0.12264150943396226</x:v>
      </x:c>
      <x:c r="S508" s="15" t="n">
        <x:f>IF(E508=0,"해당 없음",K508/E508)</x:f>
        <x:v>0.02830188679245283</x:v>
      </x:c>
      <x:c r="T508" s="15" t="n">
        <x:f>IF(E508=0,"해당 없음",L508/E508)</x:f>
        <x:v>0.24528301886792453</x:v>
      </x:c>
      <x:c r="U508" s="15" t="n">
        <x:f>IF(E508=0,"해당 없음",M508/E508)</x:f>
        <x:v>0.07547169811320754</x:v>
      </x:c>
      <x:c r="V508" s="16" t="n">
        <x:f>E508/5</x:f>
        <x:v>21.2</x:v>
      </x:c>
    </x:row>
    <x:row r="509" ht="22" customHeight="1">
      <x:c r="A509" s="2" t="n">
        <x:v>252</x:v>
      </x:c>
      <x:c r="B509" s="2" t="str">
        <x:v>NAVY</x:v>
      </x:c>
      <x:c r="C509" s="2" t="str">
        <x:v>240만</x:v>
      </x:c>
      <x:c r="D509" s="2" t="str">
        <x:v>규칙형</x:v>
      </x:c>
      <x:c r="E509" s="14" t="n">
        <x:f>SUM(F509:M509)</x:f>
        <x:v>105</x:v>
      </x:c>
      <x:c r="F509" s="14" t="n">
        <x:v>1</x:v>
      </x:c>
      <x:c r="G509" s="14" t="n">
        <x:v>16</x:v>
      </x:c>
      <x:c r="H509" s="14" t="n">
        <x:v>8</x:v>
      </x:c>
      <x:c r="I509" s="14" t="n">
        <x:v>4</x:v>
      </x:c>
      <x:c r="J509" s="14" t="n">
        <x:v>1</x:v>
      </x:c>
      <x:c r="K509" s="14" t="n">
        <x:v>4</x:v>
      </x:c>
      <x:c r="L509" s="14" t="n">
        <x:v>35</x:v>
      </x:c>
      <x:c r="M509" s="14" t="n">
        <x:v>36</x:v>
      </x:c>
      <x:c r="N509" s="15" t="n">
        <x:f>IF(E509=0,"해당 없음",F509/E509)</x:f>
        <x:v>0.009523809523809525</x:v>
      </x:c>
      <x:c r="O509" s="15" t="n">
        <x:f>IF(E509=0,"해당 없음",G509/E509)</x:f>
        <x:v>0.1523809523809524</x:v>
      </x:c>
      <x:c r="P509" s="15" t="n">
        <x:f>IF(E509=0,"해당 없음",H509/E509)</x:f>
        <x:v>0.0761904761904762</x:v>
      </x:c>
      <x:c r="Q509" s="15" t="n">
        <x:f>IF(E509=0,"해당 없음",I509/E509)</x:f>
        <x:v>0.0380952380952381</x:v>
      </x:c>
      <x:c r="R509" s="15" t="n">
        <x:f>IF(E509=0,"해당 없음",J509/E509)</x:f>
        <x:v>0.009523809523809525</x:v>
      </x:c>
      <x:c r="S509" s="15" t="n">
        <x:f>IF(E509=0,"해당 없음",K509/E509)</x:f>
        <x:v>0.0380952380952381</x:v>
      </x:c>
      <x:c r="T509" s="15" t="n">
        <x:f>IF(E509=0,"해당 없음",L509/E509)</x:f>
        <x:v>0.3333333333333333</x:v>
      </x:c>
      <x:c r="U509" s="15" t="n">
        <x:f>IF(E509=0,"해당 없음",M509/E509)</x:f>
        <x:v>0.34285714285714286</x:v>
      </x:c>
      <x:c r="V509" s="16" t="n">
        <x:f>E509/5</x:f>
        <x:v>21</x:v>
      </x:c>
    </x:row>
    <x:row r="510" ht="22" customHeight="1">
      <x:c r="A510" s="2" t="n">
        <x:v>253</x:v>
      </x:c>
      <x:c r="B510" s="2" t="str">
        <x:v>RED</x:v>
      </x:c>
      <x:c r="C510" s="2" t="str">
        <x:v>240만</x:v>
      </x:c>
      <x:c r="D510" s="2" t="str">
        <x:v>규칙형</x:v>
      </x:c>
      <x:c r="E510" s="14" t="n">
        <x:f>SUM(F510:M510)</x:f>
        <x:v>102</x:v>
      </x:c>
      <x:c r="F510" s="14" t="n">
        <x:v>4</x:v>
      </x:c>
      <x:c r="G510" s="14" t="n">
        <x:v>16</x:v>
      </x:c>
      <x:c r="H510" s="14" t="n">
        <x:v>8</x:v>
      </x:c>
      <x:c r="I510" s="14" t="n">
        <x:v>1</x:v>
      </x:c>
      <x:c r="J510" s="14" t="n">
        <x:v>2</x:v>
      </x:c>
      <x:c r="K510" s="14" t="n">
        <x:v>0</x:v>
      </x:c>
      <x:c r="L510" s="14" t="n">
        <x:v>34</x:v>
      </x:c>
      <x:c r="M510" s="14" t="n">
        <x:v>37</x:v>
      </x:c>
      <x:c r="N510" s="15" t="n">
        <x:f>IF(E510=0,"해당 없음",F510/E510)</x:f>
        <x:v>0.0392156862745098</x:v>
      </x:c>
      <x:c r="O510" s="15" t="n">
        <x:f>IF(E510=0,"해당 없음",G510/E510)</x:f>
        <x:v>0.1568627450980392</x:v>
      </x:c>
      <x:c r="P510" s="15" t="n">
        <x:f>IF(E510=0,"해당 없음",H510/E510)</x:f>
        <x:v>0.0784313725490196</x:v>
      </x:c>
      <x:c r="Q510" s="15" t="n">
        <x:f>IF(E510=0,"해당 없음",I510/E510)</x:f>
        <x:v>0.00980392156862745</x:v>
      </x:c>
      <x:c r="R510" s="15" t="n">
        <x:f>IF(E510=0,"해당 없음",J510/E510)</x:f>
        <x:v>0.0196078431372549</x:v>
      </x:c>
      <x:c r="S510" s="15" t="n">
        <x:f>IF(E510=0,"해당 없음",K510/E510)</x:f>
        <x:v>0</x:v>
      </x:c>
      <x:c r="T510" s="15" t="n">
        <x:f>IF(E510=0,"해당 없음",L510/E510)</x:f>
        <x:v>0.3333333333333333</x:v>
      </x:c>
      <x:c r="U510" s="15" t="n">
        <x:f>IF(E510=0,"해당 없음",M510/E510)</x:f>
        <x:v>0.3627450980392157</x:v>
      </x:c>
      <x:c r="V510" s="16" t="n">
        <x:f>E510/5</x:f>
        <x:v>20.4</x:v>
      </x:c>
    </x:row>
    <x:row r="511" ht="22" customHeight="1">
      <x:c r="A511" s="2" t="n">
        <x:v>253</x:v>
      </x:c>
      <x:c r="B511" s="2" t="str">
        <x:v>NAVY</x:v>
      </x:c>
      <x:c r="C511" s="2" t="str">
        <x:v>규칙형</x:v>
      </x:c>
      <x:c r="D511" s="2" t="str">
        <x:v>240만</x:v>
      </x:c>
      <x:c r="E511" s="14" t="n">
        <x:f>SUM(F511:M511)</x:f>
        <x:v>100</x:v>
      </x:c>
      <x:c r="F511" s="14" t="n">
        <x:v>36</x:v>
      </x:c>
      <x:c r="G511" s="14" t="n">
        <x:v>6</x:v>
      </x:c>
      <x:c r="H511" s="14" t="n">
        <x:v>8</x:v>
      </x:c>
      <x:c r="I511" s="14" t="n">
        <x:v>8</x:v>
      </x:c>
      <x:c r="J511" s="14" t="n">
        <x:v>7</x:v>
      </x:c>
      <x:c r="K511" s="14" t="n">
        <x:v>4</x:v>
      </x:c>
      <x:c r="L511" s="14" t="n">
        <x:v>25</x:v>
      </x:c>
      <x:c r="M511" s="14" t="n">
        <x:v>6</x:v>
      </x:c>
      <x:c r="N511" s="15" t="n">
        <x:f>IF(E511=0,"해당 없음",F511/E511)</x:f>
        <x:v>0.36</x:v>
      </x:c>
      <x:c r="O511" s="15" t="n">
        <x:f>IF(E511=0,"해당 없음",G511/E511)</x:f>
        <x:v>0.06</x:v>
      </x:c>
      <x:c r="P511" s="15" t="n">
        <x:f>IF(E511=0,"해당 없음",H511/E511)</x:f>
        <x:v>0.08</x:v>
      </x:c>
      <x:c r="Q511" s="15" t="n">
        <x:f>IF(E511=0,"해당 없음",I511/E511)</x:f>
        <x:v>0.08</x:v>
      </x:c>
      <x:c r="R511" s="15" t="n">
        <x:f>IF(E511=0,"해당 없음",J511/E511)</x:f>
        <x:v>0.07</x:v>
      </x:c>
      <x:c r="S511" s="15" t="n">
        <x:f>IF(E511=0,"해당 없음",K511/E511)</x:f>
        <x:v>0.04</x:v>
      </x:c>
      <x:c r="T511" s="15" t="n">
        <x:f>IF(E511=0,"해당 없음",L511/E511)</x:f>
        <x:v>0.25</x:v>
      </x:c>
      <x:c r="U511" s="15" t="n">
        <x:f>IF(E511=0,"해당 없음",M511/E511)</x:f>
        <x:v>0.06</x:v>
      </x:c>
      <x:c r="V511" s="16" t="n">
        <x:f>E511/5</x:f>
        <x:v>20</x:v>
      </x:c>
    </x:row>
    <x:row r="512" ht="22" customHeight="1">
      <x:c r="A512" s="2" t="n">
        <x:v>254</x:v>
      </x:c>
      <x:c r="B512" s="2" t="str">
        <x:v>RED</x:v>
      </x:c>
      <x:c r="C512" s="2" t="str">
        <x:v>규칙형</x:v>
      </x:c>
      <x:c r="D512" s="2" t="str">
        <x:v>240만</x:v>
      </x:c>
      <x:c r="E512" s="14" t="n">
        <x:f>SUM(F512:M512)</x:f>
        <x:v>103</x:v>
      </x:c>
      <x:c r="F512" s="14" t="n">
        <x:v>36</x:v>
      </x:c>
      <x:c r="G512" s="14" t="n">
        <x:v>5</x:v>
      </x:c>
      <x:c r="H512" s="14" t="n">
        <x:v>19</x:v>
      </x:c>
      <x:c r="I512" s="14" t="n">
        <x:v>15</x:v>
      </x:c>
      <x:c r="J512" s="14" t="n">
        <x:v>4</x:v>
      </x:c>
      <x:c r="K512" s="14" t="n">
        <x:v>5</x:v>
      </x:c>
      <x:c r="L512" s="14" t="n">
        <x:v>18</x:v>
      </x:c>
      <x:c r="M512" s="14" t="n">
        <x:v>1</x:v>
      </x:c>
      <x:c r="N512" s="15" t="n">
        <x:f>IF(E512=0,"해당 없음",F512/E512)</x:f>
        <x:v>0.34951456310679613</x:v>
      </x:c>
      <x:c r="O512" s="15" t="n">
        <x:f>IF(E512=0,"해당 없음",G512/E512)</x:f>
        <x:v>0.04854368932038835</x:v>
      </x:c>
      <x:c r="P512" s="15" t="n">
        <x:f>IF(E512=0,"해당 없음",H512/E512)</x:f>
        <x:v>0.18446601941747573</x:v>
      </x:c>
      <x:c r="Q512" s="15" t="n">
        <x:f>IF(E512=0,"해당 없음",I512/E512)</x:f>
        <x:v>0.14563106796116504</x:v>
      </x:c>
      <x:c r="R512" s="15" t="n">
        <x:f>IF(E512=0,"해당 없음",J512/E512)</x:f>
        <x:v>0.038834951456310676</x:v>
      </x:c>
      <x:c r="S512" s="15" t="n">
        <x:f>IF(E512=0,"해당 없음",K512/E512)</x:f>
        <x:v>0.04854368932038835</x:v>
      </x:c>
      <x:c r="T512" s="15" t="n">
        <x:f>IF(E512=0,"해당 없음",L512/E512)</x:f>
        <x:v>0.17475728155339806</x:v>
      </x:c>
      <x:c r="U512" s="15" t="n">
        <x:f>IF(E512=0,"해당 없음",M512/E512)</x:f>
        <x:v>0.009708737864077669</x:v>
      </x:c>
      <x:c r="V512" s="16" t="n">
        <x:f>E512/5</x:f>
        <x:v>20.6</x:v>
      </x:c>
    </x:row>
    <x:row r="513" ht="22" customHeight="1">
      <x:c r="A513" s="2" t="n">
        <x:v>254</x:v>
      </x:c>
      <x:c r="B513" s="2" t="str">
        <x:v>NAVY</x:v>
      </x:c>
      <x:c r="C513" s="2" t="str">
        <x:v>240만</x:v>
      </x:c>
      <x:c r="D513" s="2" t="str">
        <x:v>규칙형</x:v>
      </x:c>
      <x:c r="E513" s="14" t="n">
        <x:f>SUM(F513:M513)</x:f>
        <x:v>105</x:v>
      </x:c>
      <x:c r="F513" s="14" t="n">
        <x:v>1</x:v>
      </x:c>
      <x:c r="G513" s="14" t="n">
        <x:v>2</x:v>
      </x:c>
      <x:c r="H513" s="14" t="n">
        <x:v>2</x:v>
      </x:c>
      <x:c r="I513" s="14" t="n">
        <x:v>4</x:v>
      </x:c>
      <x:c r="J513" s="14" t="n">
        <x:v>1</x:v>
      </x:c>
      <x:c r="K513" s="14" t="n">
        <x:v>0</x:v>
      </x:c>
      <x:c r="L513" s="14" t="n">
        <x:v>34</x:v>
      </x:c>
      <x:c r="M513" s="14" t="n">
        <x:v>61</x:v>
      </x:c>
      <x:c r="N513" s="15" t="n">
        <x:f>IF(E513=0,"해당 없음",F513/E513)</x:f>
        <x:v>0.009523809523809525</x:v>
      </x:c>
      <x:c r="O513" s="15" t="n">
        <x:f>IF(E513=0,"해당 없음",G513/E513)</x:f>
        <x:v>0.01904761904761905</x:v>
      </x:c>
      <x:c r="P513" s="15" t="n">
        <x:f>IF(E513=0,"해당 없음",H513/E513)</x:f>
        <x:v>0.01904761904761905</x:v>
      </x:c>
      <x:c r="Q513" s="15" t="n">
        <x:f>IF(E513=0,"해당 없음",I513/E513)</x:f>
        <x:v>0.0380952380952381</x:v>
      </x:c>
      <x:c r="R513" s="15" t="n">
        <x:f>IF(E513=0,"해당 없음",J513/E513)</x:f>
        <x:v>0.009523809523809525</x:v>
      </x:c>
      <x:c r="S513" s="15" t="n">
        <x:f>IF(E513=0,"해당 없음",K513/E513)</x:f>
        <x:v>0</x:v>
      </x:c>
      <x:c r="T513" s="15" t="n">
        <x:f>IF(E513=0,"해당 없음",L513/E513)</x:f>
        <x:v>0.3238095238095238</x:v>
      </x:c>
      <x:c r="U513" s="15" t="n">
        <x:f>IF(E513=0,"해당 없음",M513/E513)</x:f>
        <x:v>0.580952380952381</x:v>
      </x:c>
      <x:c r="V513" s="16" t="n">
        <x:f>E513/5</x:f>
        <x:v>21</x:v>
      </x:c>
    </x:row>
    <x:row r="514" ht="22" customHeight="1">
      <x:c r="A514" s="2" t="n">
        <x:v>255</x:v>
      </x:c>
      <x:c r="B514" s="2" t="str">
        <x:v>RED</x:v>
      </x:c>
      <x:c r="C514" s="2" t="str">
        <x:v>240만</x:v>
      </x:c>
      <x:c r="D514" s="2" t="str">
        <x:v>규칙형</x:v>
      </x:c>
      <x:c r="E514" s="14" t="n">
        <x:f>SUM(F514:M514)</x:f>
        <x:v>103</x:v>
      </x:c>
      <x:c r="F514" s="14" t="n">
        <x:v>1</x:v>
      </x:c>
      <x:c r="G514" s="14" t="n">
        <x:v>17</x:v>
      </x:c>
      <x:c r="H514" s="14" t="n">
        <x:v>3</x:v>
      </x:c>
      <x:c r="I514" s="14" t="n">
        <x:v>3</x:v>
      </x:c>
      <x:c r="J514" s="14" t="n">
        <x:v>2</x:v>
      </x:c>
      <x:c r="K514" s="14" t="n">
        <x:v>4</x:v>
      </x:c>
      <x:c r="L514" s="14" t="n">
        <x:v>35</x:v>
      </x:c>
      <x:c r="M514" s="14" t="n">
        <x:v>38</x:v>
      </x:c>
      <x:c r="N514" s="15" t="n">
        <x:f>IF(E514=0,"해당 없음",F514/E514)</x:f>
        <x:v>0.009708737864077669</x:v>
      </x:c>
      <x:c r="O514" s="15" t="n">
        <x:f>IF(E514=0,"해당 없음",G514/E514)</x:f>
        <x:v>0.1650485436893204</x:v>
      </x:c>
      <x:c r="P514" s="15" t="n">
        <x:f>IF(E514=0,"해당 없음",H514/E514)</x:f>
        <x:v>0.02912621359223301</x:v>
      </x:c>
      <x:c r="Q514" s="15" t="n">
        <x:f>IF(E514=0,"해당 없음",I514/E514)</x:f>
        <x:v>0.02912621359223301</x:v>
      </x:c>
      <x:c r="R514" s="15" t="n">
        <x:f>IF(E514=0,"해당 없음",J514/E514)</x:f>
        <x:v>0.019417475728155338</x:v>
      </x:c>
      <x:c r="S514" s="15" t="n">
        <x:f>IF(E514=0,"해당 없음",K514/E514)</x:f>
        <x:v>0.038834951456310676</x:v>
      </x:c>
      <x:c r="T514" s="15" t="n">
        <x:f>IF(E514=0,"해당 없음",L514/E514)</x:f>
        <x:v>0.33980582524271846</x:v>
      </x:c>
      <x:c r="U514" s="15" t="n">
        <x:f>IF(E514=0,"해당 없음",M514/E514)</x:f>
        <x:v>0.36893203883495146</x:v>
      </x:c>
      <x:c r="V514" s="16" t="n">
        <x:f>E514/5</x:f>
        <x:v>20.6</x:v>
      </x:c>
    </x:row>
    <x:row r="515" ht="22" customHeight="1">
      <x:c r="A515" s="2" t="n">
        <x:v>255</x:v>
      </x:c>
      <x:c r="B515" s="2" t="str">
        <x:v>NAVY</x:v>
      </x:c>
      <x:c r="C515" s="2" t="str">
        <x:v>규칙형</x:v>
      </x:c>
      <x:c r="D515" s="2" t="str">
        <x:v>240만</x:v>
      </x:c>
      <x:c r="E515" s="14" t="n">
        <x:f>SUM(F515:M515)</x:f>
        <x:v>104</x:v>
      </x:c>
      <x:c r="F515" s="14" t="n">
        <x:v>35</x:v>
      </x:c>
      <x:c r="G515" s="14" t="n">
        <x:v>6</x:v>
      </x:c>
      <x:c r="H515" s="14" t="n">
        <x:v>11</x:v>
      </x:c>
      <x:c r="I515" s="14" t="n">
        <x:v>14</x:v>
      </x:c>
      <x:c r="J515" s="14" t="n">
        <x:v>12</x:v>
      </x:c>
      <x:c r="K515" s="14" t="n">
        <x:v>1</x:v>
      </x:c>
      <x:c r="L515" s="14" t="n">
        <x:v>20</x:v>
      </x:c>
      <x:c r="M515" s="14" t="n">
        <x:v>5</x:v>
      </x:c>
      <x:c r="N515" s="15" t="n">
        <x:f>IF(E515=0,"해당 없음",F515/E515)</x:f>
        <x:v>0.33653846153846156</x:v>
      </x:c>
      <x:c r="O515" s="15" t="n">
        <x:f>IF(E515=0,"해당 없음",G515/E515)</x:f>
        <x:v>0.057692307692307696</x:v>
      </x:c>
      <x:c r="P515" s="15" t="n">
        <x:f>IF(E515=0,"해당 없음",H515/E515)</x:f>
        <x:v>0.10576923076923077</x:v>
      </x:c>
      <x:c r="Q515" s="15" t="n">
        <x:f>IF(E515=0,"해당 없음",I515/E515)</x:f>
        <x:v>0.1346153846153846</x:v>
      </x:c>
      <x:c r="R515" s="15" t="n">
        <x:f>IF(E515=0,"해당 없음",J515/E515)</x:f>
        <x:v>0.11538461538461539</x:v>
      </x:c>
      <x:c r="S515" s="15" t="n">
        <x:f>IF(E515=0,"해당 없음",K515/E515)</x:f>
        <x:v>0.009615384615384616</x:v>
      </x:c>
      <x:c r="T515" s="15" t="n">
        <x:f>IF(E515=0,"해당 없음",L515/E515)</x:f>
        <x:v>0.19230769230769232</x:v>
      </x:c>
      <x:c r="U515" s="15" t="n">
        <x:f>IF(E515=0,"해당 없음",M515/E515)</x:f>
        <x:v>0.04807692307692308</x:v>
      </x:c>
      <x:c r="V515" s="16" t="n">
        <x:f>E515/5</x:f>
        <x:v>20.8</x:v>
      </x:c>
    </x:row>
    <x:row r="516" ht="22" customHeight="1">
      <x:c r="A516" s="2" t="n">
        <x:v>256</x:v>
      </x:c>
      <x:c r="B516" s="2" t="str">
        <x:v>RED</x:v>
      </x:c>
      <x:c r="C516" s="2" t="str">
        <x:v>규칙형</x:v>
      </x:c>
      <x:c r="D516" s="2" t="str">
        <x:v>240만</x:v>
      </x:c>
      <x:c r="E516" s="14" t="n">
        <x:f>SUM(F516:M516)</x:f>
        <x:v>103</x:v>
      </x:c>
      <x:c r="F516" s="14" t="n">
        <x:v>42</x:v>
      </x:c>
      <x:c r="G516" s="14" t="n">
        <x:v>4</x:v>
      </x:c>
      <x:c r="H516" s="14" t="n">
        <x:v>8</x:v>
      </x:c>
      <x:c r="I516" s="14" t="n">
        <x:v>14</x:v>
      </x:c>
      <x:c r="J516" s="14" t="n">
        <x:v>5</x:v>
      </x:c>
      <x:c r="K516" s="14" t="n">
        <x:v>5</x:v>
      </x:c>
      <x:c r="L516" s="14" t="n">
        <x:v>20</x:v>
      </x:c>
      <x:c r="M516" s="14" t="n">
        <x:v>5</x:v>
      </x:c>
      <x:c r="N516" s="15" t="n">
        <x:f>IF(E516=0,"해당 없음",F516/E516)</x:f>
        <x:v>0.4077669902912621</x:v>
      </x:c>
      <x:c r="O516" s="15" t="n">
        <x:f>IF(E516=0,"해당 없음",G516/E516)</x:f>
        <x:v>0.038834951456310676</x:v>
      </x:c>
      <x:c r="P516" s="15" t="n">
        <x:f>IF(E516=0,"해당 없음",H516/E516)</x:f>
        <x:v>0.07766990291262135</x:v>
      </x:c>
      <x:c r="Q516" s="15" t="n">
        <x:f>IF(E516=0,"해당 없음",I516/E516)</x:f>
        <x:v>0.13592233009708737</x:v>
      </x:c>
      <x:c r="R516" s="15" t="n">
        <x:f>IF(E516=0,"해당 없음",J516/E516)</x:f>
        <x:v>0.04854368932038835</x:v>
      </x:c>
      <x:c r="S516" s="15" t="n">
        <x:f>IF(E516=0,"해당 없음",K516/E516)</x:f>
        <x:v>0.04854368932038835</x:v>
      </x:c>
      <x:c r="T516" s="15" t="n">
        <x:f>IF(E516=0,"해당 없음",L516/E516)</x:f>
        <x:v>0.1941747572815534</x:v>
      </x:c>
      <x:c r="U516" s="15" t="n">
        <x:f>IF(E516=0,"해당 없음",M516/E516)</x:f>
        <x:v>0.04854368932038835</x:v>
      </x:c>
      <x:c r="V516" s="16" t="n">
        <x:f>E516/5</x:f>
        <x:v>20.6</x:v>
      </x:c>
    </x:row>
    <x:row r="517" ht="22" customHeight="1">
      <x:c r="A517" s="2" t="n">
        <x:v>256</x:v>
      </x:c>
      <x:c r="B517" s="2" t="str">
        <x:v>NAVY</x:v>
      </x:c>
      <x:c r="C517" s="2" t="str">
        <x:v>240만</x:v>
      </x:c>
      <x:c r="D517" s="2" t="str">
        <x:v>규칙형</x:v>
      </x:c>
      <x:c r="E517" s="14" t="n">
        <x:f>SUM(F517:M517)</x:f>
        <x:v>105</x:v>
      </x:c>
      <x:c r="F517" s="14" t="n">
        <x:v>1</x:v>
      </x:c>
      <x:c r="G517" s="14" t="n">
        <x:v>8</x:v>
      </x:c>
      <x:c r="H517" s="14" t="n">
        <x:v>3</x:v>
      </x:c>
      <x:c r="I517" s="14" t="n">
        <x:v>3</x:v>
      </x:c>
      <x:c r="J517" s="14" t="n">
        <x:v>1</x:v>
      </x:c>
      <x:c r="K517" s="14" t="n">
        <x:v>3</x:v>
      </x:c>
      <x:c r="L517" s="14" t="n">
        <x:v>34</x:v>
      </x:c>
      <x:c r="M517" s="14" t="n">
        <x:v>52</x:v>
      </x:c>
      <x:c r="N517" s="15" t="n">
        <x:f>IF(E517=0,"해당 없음",F517/E517)</x:f>
        <x:v>0.009523809523809525</x:v>
      </x:c>
      <x:c r="O517" s="15" t="n">
        <x:f>IF(E517=0,"해당 없음",G517/E517)</x:f>
        <x:v>0.0761904761904762</x:v>
      </x:c>
      <x:c r="P517" s="15" t="n">
        <x:f>IF(E517=0,"해당 없음",H517/E517)</x:f>
        <x:v>0.02857142857142857</x:v>
      </x:c>
      <x:c r="Q517" s="15" t="n">
        <x:f>IF(E517=0,"해당 없음",I517/E517)</x:f>
        <x:v>0.02857142857142857</x:v>
      </x:c>
      <x:c r="R517" s="15" t="n">
        <x:f>IF(E517=0,"해당 없음",J517/E517)</x:f>
        <x:v>0.009523809523809525</x:v>
      </x:c>
      <x:c r="S517" s="15" t="n">
        <x:f>IF(E517=0,"해당 없음",K517/E517)</x:f>
        <x:v>0.02857142857142857</x:v>
      </x:c>
      <x:c r="T517" s="15" t="n">
        <x:f>IF(E517=0,"해당 없음",L517/E517)</x:f>
        <x:v>0.3238095238095238</x:v>
      </x:c>
      <x:c r="U517" s="15" t="n">
        <x:f>IF(E517=0,"해당 없음",M517/E517)</x:f>
        <x:v>0.49523809523809526</x:v>
      </x:c>
      <x:c r="V517" s="16" t="n">
        <x:f>E517/5</x:f>
        <x:v>21</x:v>
      </x:c>
    </x:row>
    <x:row r="518" ht="22" customHeight="1">
      <x:c r="A518" s="2" t="n">
        <x:v>257</x:v>
      </x:c>
      <x:c r="B518" s="2" t="str">
        <x:v>RED</x:v>
      </x:c>
      <x:c r="C518" s="2" t="str">
        <x:v>240만</x:v>
      </x:c>
      <x:c r="D518" s="2" t="str">
        <x:v>규칙형</x:v>
      </x:c>
      <x:c r="E518" s="14" t="n">
        <x:f>SUM(F518:M518)</x:f>
        <x:v>104</x:v>
      </x:c>
      <x:c r="F518" s="14" t="n">
        <x:v>1</x:v>
      </x:c>
      <x:c r="G518" s="14" t="n">
        <x:v>9</x:v>
      </x:c>
      <x:c r="H518" s="14" t="n">
        <x:v>5</x:v>
      </x:c>
      <x:c r="I518" s="14" t="n">
        <x:v>6</x:v>
      </x:c>
      <x:c r="J518" s="14" t="n">
        <x:v>0</x:v>
      </x:c>
      <x:c r="K518" s="14" t="n">
        <x:v>2</x:v>
      </x:c>
      <x:c r="L518" s="14" t="n">
        <x:v>34</x:v>
      </x:c>
      <x:c r="M518" s="14" t="n">
        <x:v>47</x:v>
      </x:c>
      <x:c r="N518" s="15" t="n">
        <x:f>IF(E518=0,"해당 없음",F518/E518)</x:f>
        <x:v>0.009615384615384616</x:v>
      </x:c>
      <x:c r="O518" s="15" t="n">
        <x:f>IF(E518=0,"해당 없음",G518/E518)</x:f>
        <x:v>0.08653846153846154</x:v>
      </x:c>
      <x:c r="P518" s="15" t="n">
        <x:f>IF(E518=0,"해당 없음",H518/E518)</x:f>
        <x:v>0.04807692307692308</x:v>
      </x:c>
      <x:c r="Q518" s="15" t="n">
        <x:f>IF(E518=0,"해당 없음",I518/E518)</x:f>
        <x:v>0.057692307692307696</x:v>
      </x:c>
      <x:c r="R518" s="15" t="n">
        <x:f>IF(E518=0,"해당 없음",J518/E518)</x:f>
        <x:v>0</x:v>
      </x:c>
      <x:c r="S518" s="15" t="n">
        <x:f>IF(E518=0,"해당 없음",K518/E518)</x:f>
        <x:v>0.019230769230769232</x:v>
      </x:c>
      <x:c r="T518" s="15" t="n">
        <x:f>IF(E518=0,"해당 없음",L518/E518)</x:f>
        <x:v>0.3269230769230769</x:v>
      </x:c>
      <x:c r="U518" s="15" t="n">
        <x:f>IF(E518=0,"해당 없음",M518/E518)</x:f>
        <x:v>0.4519230769230769</x:v>
      </x:c>
      <x:c r="V518" s="16" t="n">
        <x:f>E518/5</x:f>
        <x:v>20.8</x:v>
      </x:c>
    </x:row>
    <x:row r="519" ht="22" customHeight="1">
      <x:c r="A519" s="2" t="n">
        <x:v>257</x:v>
      </x:c>
      <x:c r="B519" s="2" t="str">
        <x:v>NAVY</x:v>
      </x:c>
      <x:c r="C519" s="2" t="str">
        <x:v>규칙형</x:v>
      </x:c>
      <x:c r="D519" s="2" t="str">
        <x:v>240만</x:v>
      </x:c>
      <x:c r="E519" s="14" t="n">
        <x:f>SUM(F519:M519)</x:f>
        <x:v>105</x:v>
      </x:c>
      <x:c r="F519" s="14" t="n">
        <x:v>33</x:v>
      </x:c>
      <x:c r="G519" s="14" t="n">
        <x:v>4</x:v>
      </x:c>
      <x:c r="H519" s="14" t="n">
        <x:v>8</x:v>
      </x:c>
      <x:c r="I519" s="14" t="n">
        <x:v>10</x:v>
      </x:c>
      <x:c r="J519" s="14" t="n">
        <x:v>11</x:v>
      </x:c>
      <x:c r="K519" s="14" t="n">
        <x:v>3</x:v>
      </x:c>
      <x:c r="L519" s="14" t="n">
        <x:v>31</x:v>
      </x:c>
      <x:c r="M519" s="14" t="n">
        <x:v>5</x:v>
      </x:c>
      <x:c r="N519" s="15" t="n">
        <x:f>IF(E519=0,"해당 없음",F519/E519)</x:f>
        <x:v>0.3142857142857143</x:v>
      </x:c>
      <x:c r="O519" s="15" t="n">
        <x:f>IF(E519=0,"해당 없음",G519/E519)</x:f>
        <x:v>0.0380952380952381</x:v>
      </x:c>
      <x:c r="P519" s="15" t="n">
        <x:f>IF(E519=0,"해당 없음",H519/E519)</x:f>
        <x:v>0.0761904761904762</x:v>
      </x:c>
      <x:c r="Q519" s="15" t="n">
        <x:f>IF(E519=0,"해당 없음",I519/E519)</x:f>
        <x:v>0.09523809523809523</x:v>
      </x:c>
      <x:c r="R519" s="15" t="n">
        <x:f>IF(E519=0,"해당 없음",J519/E519)</x:f>
        <x:v>0.10476190476190476</x:v>
      </x:c>
      <x:c r="S519" s="15" t="n">
        <x:f>IF(E519=0,"해당 없음",K519/E519)</x:f>
        <x:v>0.02857142857142857</x:v>
      </x:c>
      <x:c r="T519" s="15" t="n">
        <x:f>IF(E519=0,"해당 없음",L519/E519)</x:f>
        <x:v>0.29523809523809524</x:v>
      </x:c>
      <x:c r="U519" s="15" t="n">
        <x:f>IF(E519=0,"해당 없음",M519/E519)</x:f>
        <x:v>0.047619047619047616</x:v>
      </x:c>
      <x:c r="V519" s="16" t="n">
        <x:f>E519/5</x:f>
        <x:v>21</x:v>
      </x:c>
    </x:row>
    <x:row r="520" ht="22" customHeight="1">
      <x:c r="A520" s="2" t="n">
        <x:v>258</x:v>
      </x:c>
      <x:c r="B520" s="2" t="str">
        <x:v>RED</x:v>
      </x:c>
      <x:c r="C520" s="2" t="str">
        <x:v>규칙형</x:v>
      </x:c>
      <x:c r="D520" s="2" t="str">
        <x:v>240만</x:v>
      </x:c>
      <x:c r="E520" s="14" t="n">
        <x:f>SUM(F520:M520)</x:f>
        <x:v>105</x:v>
      </x:c>
      <x:c r="F520" s="14" t="n">
        <x:v>41</x:v>
      </x:c>
      <x:c r="G520" s="14" t="n">
        <x:v>7</x:v>
      </x:c>
      <x:c r="H520" s="14" t="n">
        <x:v>10</x:v>
      </x:c>
      <x:c r="I520" s="14" t="n">
        <x:v>18</x:v>
      </x:c>
      <x:c r="J520" s="14" t="n">
        <x:v>2</x:v>
      </x:c>
      <x:c r="K520" s="14" t="n">
        <x:v>5</x:v>
      </x:c>
      <x:c r="L520" s="14" t="n">
        <x:v>12</x:v>
      </x:c>
      <x:c r="M520" s="14" t="n">
        <x:v>10</x:v>
      </x:c>
      <x:c r="N520" s="15" t="n">
        <x:f>IF(E520=0,"해당 없음",F520/E520)</x:f>
        <x:v>0.3904761904761905</x:v>
      </x:c>
      <x:c r="O520" s="15" t="n">
        <x:f>IF(E520=0,"해당 없음",G520/E520)</x:f>
        <x:v>0.06666666666666667</x:v>
      </x:c>
      <x:c r="P520" s="15" t="n">
        <x:f>IF(E520=0,"해당 없음",H520/E520)</x:f>
        <x:v>0.09523809523809523</x:v>
      </x:c>
      <x:c r="Q520" s="15" t="n">
        <x:f>IF(E520=0,"해당 없음",I520/E520)</x:f>
        <x:v>0.17142857142857143</x:v>
      </x:c>
      <x:c r="R520" s="15" t="n">
        <x:f>IF(E520=0,"해당 없음",J520/E520)</x:f>
        <x:v>0.01904761904761905</x:v>
      </x:c>
      <x:c r="S520" s="15" t="n">
        <x:f>IF(E520=0,"해당 없음",K520/E520)</x:f>
        <x:v>0.047619047619047616</x:v>
      </x:c>
      <x:c r="T520" s="15" t="n">
        <x:f>IF(E520=0,"해당 없음",L520/E520)</x:f>
        <x:v>0.11428571428571428</x:v>
      </x:c>
      <x:c r="U520" s="15" t="n">
        <x:f>IF(E520=0,"해당 없음",M520/E520)</x:f>
        <x:v>0.09523809523809523</x:v>
      </x:c>
      <x:c r="V520" s="16" t="n">
        <x:f>E520/5</x:f>
        <x:v>21</x:v>
      </x:c>
    </x:row>
    <x:row r="521" ht="22" customHeight="1">
      <x:c r="A521" s="2" t="n">
        <x:v>258</x:v>
      </x:c>
      <x:c r="B521" s="2" t="str">
        <x:v>NAVY</x:v>
      </x:c>
      <x:c r="C521" s="2" t="str">
        <x:v>240만</x:v>
      </x:c>
      <x:c r="D521" s="2" t="str">
        <x:v>규칙형</x:v>
      </x:c>
      <x:c r="E521" s="14" t="n">
        <x:f>SUM(F521:M521)</x:f>
        <x:v>104</x:v>
      </x:c>
      <x:c r="F521" s="14" t="n">
        <x:v>2</x:v>
      </x:c>
      <x:c r="G521" s="14" t="n">
        <x:v>8</x:v>
      </x:c>
      <x:c r="H521" s="14" t="n">
        <x:v>7</x:v>
      </x:c>
      <x:c r="I521" s="14" t="n">
        <x:v>2</x:v>
      </x:c>
      <x:c r="J521" s="14" t="n">
        <x:v>3</x:v>
      </x:c>
      <x:c r="K521" s="14" t="n">
        <x:v>9</x:v>
      </x:c>
      <x:c r="L521" s="14" t="n">
        <x:v>33</x:v>
      </x:c>
      <x:c r="M521" s="14" t="n">
        <x:v>40</x:v>
      </x:c>
      <x:c r="N521" s="15" t="n">
        <x:f>IF(E521=0,"해당 없음",F521/E521)</x:f>
        <x:v>0.019230769230769232</x:v>
      </x:c>
      <x:c r="O521" s="15" t="n">
        <x:f>IF(E521=0,"해당 없음",G521/E521)</x:f>
        <x:v>0.07692307692307693</x:v>
      </x:c>
      <x:c r="P521" s="15" t="n">
        <x:f>IF(E521=0,"해당 없음",H521/E521)</x:f>
        <x:v>0.0673076923076923</x:v>
      </x:c>
      <x:c r="Q521" s="15" t="n">
        <x:f>IF(E521=0,"해당 없음",I521/E521)</x:f>
        <x:v>0.019230769230769232</x:v>
      </x:c>
      <x:c r="R521" s="15" t="n">
        <x:f>IF(E521=0,"해당 없음",J521/E521)</x:f>
        <x:v>0.028846153846153848</x:v>
      </x:c>
      <x:c r="S521" s="15" t="n">
        <x:f>IF(E521=0,"해당 없음",K521/E521)</x:f>
        <x:v>0.08653846153846154</x:v>
      </x:c>
      <x:c r="T521" s="15" t="n">
        <x:f>IF(E521=0,"해당 없음",L521/E521)</x:f>
        <x:v>0.3173076923076923</x:v>
      </x:c>
      <x:c r="U521" s="15" t="n">
        <x:f>IF(E521=0,"해당 없음",M521/E521)</x:f>
        <x:v>0.38461538461538464</x:v>
      </x:c>
      <x:c r="V521" s="16" t="n">
        <x:f>E521/5</x:f>
        <x:v>20.8</x:v>
      </x:c>
    </x:row>
    <x:row r="522" ht="22" customHeight="1">
      <x:c r="A522" s="2" t="n">
        <x:v>259</x:v>
      </x:c>
      <x:c r="B522" s="2" t="str">
        <x:v>RED</x:v>
      </x:c>
      <x:c r="C522" s="2" t="str">
        <x:v>240만</x:v>
      </x:c>
      <x:c r="D522" s="2" t="str">
        <x:v>규칙형</x:v>
      </x:c>
      <x:c r="E522" s="14" t="n">
        <x:f>SUM(F522:M522)</x:f>
        <x:v>105</x:v>
      </x:c>
      <x:c r="F522" s="14" t="n">
        <x:v>5</x:v>
      </x:c>
      <x:c r="G522" s="14" t="n">
        <x:v>10</x:v>
      </x:c>
      <x:c r="H522" s="14" t="n">
        <x:v>5</x:v>
      </x:c>
      <x:c r="I522" s="14" t="n">
        <x:v>6</x:v>
      </x:c>
      <x:c r="J522" s="14" t="n">
        <x:v>0</x:v>
      </x:c>
      <x:c r="K522" s="14" t="n">
        <x:v>2</x:v>
      </x:c>
      <x:c r="L522" s="14" t="n">
        <x:v>42</x:v>
      </x:c>
      <x:c r="M522" s="14" t="n">
        <x:v>35</x:v>
      </x:c>
      <x:c r="N522" s="15" t="n">
        <x:f>IF(E522=0,"해당 없음",F522/E522)</x:f>
        <x:v>0.047619047619047616</x:v>
      </x:c>
      <x:c r="O522" s="15" t="n">
        <x:f>IF(E522=0,"해당 없음",G522/E522)</x:f>
        <x:v>0.09523809523809523</x:v>
      </x:c>
      <x:c r="P522" s="15" t="n">
        <x:f>IF(E522=0,"해당 없음",H522/E522)</x:f>
        <x:v>0.047619047619047616</x:v>
      </x:c>
      <x:c r="Q522" s="15" t="n">
        <x:f>IF(E522=0,"해당 없음",I522/E522)</x:f>
        <x:v>0.05714285714285714</x:v>
      </x:c>
      <x:c r="R522" s="15" t="n">
        <x:f>IF(E522=0,"해당 없음",J522/E522)</x:f>
        <x:v>0</x:v>
      </x:c>
      <x:c r="S522" s="15" t="n">
        <x:f>IF(E522=0,"해당 없음",K522/E522)</x:f>
        <x:v>0.01904761904761905</x:v>
      </x:c>
      <x:c r="T522" s="15" t="n">
        <x:f>IF(E522=0,"해당 없음",L522/E522)</x:f>
        <x:v>0.4</x:v>
      </x:c>
      <x:c r="U522" s="15" t="n">
        <x:f>IF(E522=0,"해당 없음",M522/E522)</x:f>
        <x:v>0.3333333333333333</x:v>
      </x:c>
      <x:c r="V522" s="16" t="n">
        <x:f>E522/5</x:f>
        <x:v>21</x:v>
      </x:c>
    </x:row>
    <x:row r="523" ht="22" customHeight="1">
      <x:c r="A523" s="2" t="n">
        <x:v>259</x:v>
      </x:c>
      <x:c r="B523" s="2" t="str">
        <x:v>NAVY</x:v>
      </x:c>
      <x:c r="C523" s="2" t="str">
        <x:v>규칙형</x:v>
      </x:c>
      <x:c r="D523" s="2" t="str">
        <x:v>240만</x:v>
      </x:c>
      <x:c r="E523" s="14" t="n">
        <x:f>SUM(F523:M523)</x:f>
        <x:v>104</x:v>
      </x:c>
      <x:c r="F523" s="14" t="n">
        <x:v>40</x:v>
      </x:c>
      <x:c r="G523" s="14" t="n">
        <x:v>4</x:v>
      </x:c>
      <x:c r="H523" s="14" t="n">
        <x:v>4</x:v>
      </x:c>
      <x:c r="I523" s="14" t="n">
        <x:v>8</x:v>
      </x:c>
      <x:c r="J523" s="14" t="n">
        <x:v>10</x:v>
      </x:c>
      <x:c r="K523" s="14" t="n">
        <x:v>4</x:v>
      </x:c>
      <x:c r="L523" s="14" t="n">
        <x:v>24</x:v>
      </x:c>
      <x:c r="M523" s="14" t="n">
        <x:v>10</x:v>
      </x:c>
      <x:c r="N523" s="15" t="n">
        <x:f>IF(E523=0,"해당 없음",F523/E523)</x:f>
        <x:v>0.38461538461538464</x:v>
      </x:c>
      <x:c r="O523" s="15" t="n">
        <x:f>IF(E523=0,"해당 없음",G523/E523)</x:f>
        <x:v>0.038461538461538464</x:v>
      </x:c>
      <x:c r="P523" s="15" t="n">
        <x:f>IF(E523=0,"해당 없음",H523/E523)</x:f>
        <x:v>0.038461538461538464</x:v>
      </x:c>
      <x:c r="Q523" s="15" t="n">
        <x:f>IF(E523=0,"해당 없음",I523/E523)</x:f>
        <x:v>0.07692307692307693</x:v>
      </x:c>
      <x:c r="R523" s="15" t="n">
        <x:f>IF(E523=0,"해당 없음",J523/E523)</x:f>
        <x:v>0.09615384615384616</x:v>
      </x:c>
      <x:c r="S523" s="15" t="n">
        <x:f>IF(E523=0,"해당 없음",K523/E523)</x:f>
        <x:v>0.038461538461538464</x:v>
      </x:c>
      <x:c r="T523" s="15" t="n">
        <x:f>IF(E523=0,"해당 없음",L523/E523)</x:f>
        <x:v>0.23076923076923078</x:v>
      </x:c>
      <x:c r="U523" s="15" t="n">
        <x:f>IF(E523=0,"해당 없음",M523/E523)</x:f>
        <x:v>0.09615384615384616</x:v>
      </x:c>
      <x:c r="V523" s="16" t="n">
        <x:f>E523/5</x:f>
        <x:v>20.8</x:v>
      </x:c>
    </x:row>
    <x:row r="524" ht="22" customHeight="1">
      <x:c r="A524" s="2" t="n">
        <x:v>260</x:v>
      </x:c>
      <x:c r="B524" s="2" t="str">
        <x:v>RED</x:v>
      </x:c>
      <x:c r="C524" s="2" t="str">
        <x:v>규칙형</x:v>
      </x:c>
      <x:c r="D524" s="2" t="str">
        <x:v>240만</x:v>
      </x:c>
      <x:c r="E524" s="14" t="n">
        <x:f>SUM(F524:M524)</x:f>
        <x:v>104</x:v>
      </x:c>
      <x:c r="F524" s="14" t="n">
        <x:v>40</x:v>
      </x:c>
      <x:c r="G524" s="14" t="n">
        <x:v>2</x:v>
      </x:c>
      <x:c r="H524" s="14" t="n">
        <x:v>2</x:v>
      </x:c>
      <x:c r="I524" s="14" t="n">
        <x:v>12</x:v>
      </x:c>
      <x:c r="J524" s="14" t="n">
        <x:v>5</x:v>
      </x:c>
      <x:c r="K524" s="14" t="n">
        <x:v>5</x:v>
      </x:c>
      <x:c r="L524" s="14" t="n">
        <x:v>25</x:v>
      </x:c>
      <x:c r="M524" s="14" t="n">
        <x:v>13</x:v>
      </x:c>
      <x:c r="N524" s="15" t="n">
        <x:f>IF(E524=0,"해당 없음",F524/E524)</x:f>
        <x:v>0.38461538461538464</x:v>
      </x:c>
      <x:c r="O524" s="15" t="n">
        <x:f>IF(E524=0,"해당 없음",G524/E524)</x:f>
        <x:v>0.019230769230769232</x:v>
      </x:c>
      <x:c r="P524" s="15" t="n">
        <x:f>IF(E524=0,"해당 없음",H524/E524)</x:f>
        <x:v>0.019230769230769232</x:v>
      </x:c>
      <x:c r="Q524" s="15" t="n">
        <x:f>IF(E524=0,"해당 없음",I524/E524)</x:f>
        <x:v>0.11538461538461539</x:v>
      </x:c>
      <x:c r="R524" s="15" t="n">
        <x:f>IF(E524=0,"해당 없음",J524/E524)</x:f>
        <x:v>0.04807692307692308</x:v>
      </x:c>
      <x:c r="S524" s="15" t="n">
        <x:f>IF(E524=0,"해당 없음",K524/E524)</x:f>
        <x:v>0.04807692307692308</x:v>
      </x:c>
      <x:c r="T524" s="15" t="n">
        <x:f>IF(E524=0,"해당 없음",L524/E524)</x:f>
        <x:v>0.2403846153846154</x:v>
      </x:c>
      <x:c r="U524" s="15" t="n">
        <x:f>IF(E524=0,"해당 없음",M524/E524)</x:f>
        <x:v>0.125</x:v>
      </x:c>
      <x:c r="V524" s="16" t="n">
        <x:f>E524/5</x:f>
        <x:v>20.8</x:v>
      </x:c>
    </x:row>
    <x:row r="525" ht="22" customHeight="1">
      <x:c r="A525" s="2" t="n">
        <x:v>260</x:v>
      </x:c>
      <x:c r="B525" s="2" t="str">
        <x:v>NAVY</x:v>
      </x:c>
      <x:c r="C525" s="2" t="str">
        <x:v>240만</x:v>
      </x:c>
      <x:c r="D525" s="2" t="str">
        <x:v>규칙형</x:v>
      </x:c>
      <x:c r="E525" s="14" t="n">
        <x:f>SUM(F525:M525)</x:f>
        <x:v>102</x:v>
      </x:c>
      <x:c r="F525" s="14" t="n">
        <x:v>2</x:v>
      </x:c>
      <x:c r="G525" s="14" t="n">
        <x:v>9</x:v>
      </x:c>
      <x:c r="H525" s="14" t="n">
        <x:v>5</x:v>
      </x:c>
      <x:c r="I525" s="14" t="n">
        <x:v>2</x:v>
      </x:c>
      <x:c r="J525" s="14" t="n">
        <x:v>0</x:v>
      </x:c>
      <x:c r="K525" s="14" t="n">
        <x:v>4</x:v>
      </x:c>
      <x:c r="L525" s="14" t="n">
        <x:v>39</x:v>
      </x:c>
      <x:c r="M525" s="14" t="n">
        <x:v>41</x:v>
      </x:c>
      <x:c r="N525" s="15" t="n">
        <x:f>IF(E525=0,"해당 없음",F525/E525)</x:f>
        <x:v>0.0196078431372549</x:v>
      </x:c>
      <x:c r="O525" s="15" t="n">
        <x:f>IF(E525=0,"해당 없음",G525/E525)</x:f>
        <x:v>0.08823529411764706</x:v>
      </x:c>
      <x:c r="P525" s="15" t="n">
        <x:f>IF(E525=0,"해당 없음",H525/E525)</x:f>
        <x:v>0.049019607843137254</x:v>
      </x:c>
      <x:c r="Q525" s="15" t="n">
        <x:f>IF(E525=0,"해당 없음",I525/E525)</x:f>
        <x:v>0.0196078431372549</x:v>
      </x:c>
      <x:c r="R525" s="15" t="n">
        <x:f>IF(E525=0,"해당 없음",J525/E525)</x:f>
        <x:v>0</x:v>
      </x:c>
      <x:c r="S525" s="15" t="n">
        <x:f>IF(E525=0,"해당 없음",K525/E525)</x:f>
        <x:v>0.0392156862745098</x:v>
      </x:c>
      <x:c r="T525" s="15" t="n">
        <x:f>IF(E525=0,"해당 없음",L525/E525)</x:f>
        <x:v>0.38235294117647056</x:v>
      </x:c>
      <x:c r="U525" s="15" t="n">
        <x:f>IF(E525=0,"해당 없음",M525/E525)</x:f>
        <x:v>0.4019607843137255</x:v>
      </x:c>
      <x:c r="V525" s="16" t="n">
        <x:f>E525/5</x:f>
        <x:v>20.4</x:v>
      </x:c>
    </x:row>
    <x:row r="526" ht="22" customHeight="1">
      <x:c r="A526" s="2" t="n">
        <x:v>261</x:v>
      </x:c>
      <x:c r="B526" s="2" t="str">
        <x:v>RED</x:v>
      </x:c>
      <x:c r="C526" s="2" t="str">
        <x:v>240만</x:v>
      </x:c>
      <x:c r="D526" s="2" t="str">
        <x:v>규칙형</x:v>
      </x:c>
      <x:c r="E526" s="14" t="n">
        <x:f>SUM(F526:M526)</x:f>
        <x:v>104</x:v>
      </x:c>
      <x:c r="F526" s="14" t="n">
        <x:v>1</x:v>
      </x:c>
      <x:c r="G526" s="14" t="n">
        <x:v>13</x:v>
      </x:c>
      <x:c r="H526" s="14" t="n">
        <x:v>11</x:v>
      </x:c>
      <x:c r="I526" s="14" t="n">
        <x:v>5</x:v>
      </x:c>
      <x:c r="J526" s="14" t="n">
        <x:v>0</x:v>
      </x:c>
      <x:c r="K526" s="14" t="n">
        <x:v>4</x:v>
      </x:c>
      <x:c r="L526" s="14" t="n">
        <x:v>34</x:v>
      </x:c>
      <x:c r="M526" s="14" t="n">
        <x:v>36</x:v>
      </x:c>
      <x:c r="N526" s="15" t="n">
        <x:f>IF(E526=0,"해당 없음",F526/E526)</x:f>
        <x:v>0.009615384615384616</x:v>
      </x:c>
      <x:c r="O526" s="15" t="n">
        <x:f>IF(E526=0,"해당 없음",G526/E526)</x:f>
        <x:v>0.125</x:v>
      </x:c>
      <x:c r="P526" s="15" t="n">
        <x:f>IF(E526=0,"해당 없음",H526/E526)</x:f>
        <x:v>0.10576923076923077</x:v>
      </x:c>
      <x:c r="Q526" s="15" t="n">
        <x:f>IF(E526=0,"해당 없음",I526/E526)</x:f>
        <x:v>0.04807692307692308</x:v>
      </x:c>
      <x:c r="R526" s="15" t="n">
        <x:f>IF(E526=0,"해당 없음",J526/E526)</x:f>
        <x:v>0</x:v>
      </x:c>
      <x:c r="S526" s="15" t="n">
        <x:f>IF(E526=0,"해당 없음",K526/E526)</x:f>
        <x:v>0.038461538461538464</x:v>
      </x:c>
      <x:c r="T526" s="15" t="n">
        <x:f>IF(E526=0,"해당 없음",L526/E526)</x:f>
        <x:v>0.3269230769230769</x:v>
      </x:c>
      <x:c r="U526" s="15" t="n">
        <x:f>IF(E526=0,"해당 없음",M526/E526)</x:f>
        <x:v>0.34615384615384615</x:v>
      </x:c>
      <x:c r="V526" s="16" t="n">
        <x:f>E526/5</x:f>
        <x:v>20.8</x:v>
      </x:c>
    </x:row>
    <x:row r="527" ht="22" customHeight="1">
      <x:c r="A527" s="2" t="n">
        <x:v>261</x:v>
      </x:c>
      <x:c r="B527" s="2" t="str">
        <x:v>NAVY</x:v>
      </x:c>
      <x:c r="C527" s="2" t="str">
        <x:v>규칙형</x:v>
      </x:c>
      <x:c r="D527" s="2" t="str">
        <x:v>240만</x:v>
      </x:c>
      <x:c r="E527" s="14" t="n">
        <x:f>SUM(F527:M527)</x:f>
        <x:v>105</x:v>
      </x:c>
      <x:c r="F527" s="14" t="n">
        <x:v>43</x:v>
      </x:c>
      <x:c r="G527" s="14" t="n">
        <x:v>7</x:v>
      </x:c>
      <x:c r="H527" s="14" t="n">
        <x:v>0</x:v>
      </x:c>
      <x:c r="I527" s="14" t="n">
        <x:v>11</x:v>
      </x:c>
      <x:c r="J527" s="14" t="n">
        <x:v>12</x:v>
      </x:c>
      <x:c r="K527" s="14" t="n">
        <x:v>3</x:v>
      </x:c>
      <x:c r="L527" s="14" t="n">
        <x:v>24</x:v>
      </x:c>
      <x:c r="M527" s="14" t="n">
        <x:v>5</x:v>
      </x:c>
      <x:c r="N527" s="15" t="n">
        <x:f>IF(E527=0,"해당 없음",F527/E527)</x:f>
        <x:v>0.4095238095238095</x:v>
      </x:c>
      <x:c r="O527" s="15" t="n">
        <x:f>IF(E527=0,"해당 없음",G527/E527)</x:f>
        <x:v>0.06666666666666667</x:v>
      </x:c>
      <x:c r="P527" s="15" t="n">
        <x:f>IF(E527=0,"해당 없음",H527/E527)</x:f>
        <x:v>0</x:v>
      </x:c>
      <x:c r="Q527" s="15" t="n">
        <x:f>IF(E527=0,"해당 없음",I527/E527)</x:f>
        <x:v>0.10476190476190476</x:v>
      </x:c>
      <x:c r="R527" s="15" t="n">
        <x:f>IF(E527=0,"해당 없음",J527/E527)</x:f>
        <x:v>0.11428571428571428</x:v>
      </x:c>
      <x:c r="S527" s="15" t="n">
        <x:f>IF(E527=0,"해당 없음",K527/E527)</x:f>
        <x:v>0.02857142857142857</x:v>
      </x:c>
      <x:c r="T527" s="15" t="n">
        <x:f>IF(E527=0,"해당 없음",L527/E527)</x:f>
        <x:v>0.22857142857142856</x:v>
      </x:c>
      <x:c r="U527" s="15" t="n">
        <x:f>IF(E527=0,"해당 없음",M527/E527)</x:f>
        <x:v>0.047619047619047616</x:v>
      </x:c>
      <x:c r="V527" s="16" t="n">
        <x:f>E527/5</x:f>
        <x:v>21</x:v>
      </x:c>
    </x:row>
    <x:row r="528" ht="22" customHeight="1">
      <x:c r="A528" s="2" t="n">
        <x:v>262</x:v>
      </x:c>
      <x:c r="B528" s="2" t="str">
        <x:v>RED</x:v>
      </x:c>
      <x:c r="C528" s="2" t="str">
        <x:v>규칙형</x:v>
      </x:c>
      <x:c r="D528" s="2" t="str">
        <x:v>240만</x:v>
      </x:c>
      <x:c r="E528" s="14" t="n">
        <x:f>SUM(F528:M528)</x:f>
        <x:v>104</x:v>
      </x:c>
      <x:c r="F528" s="14" t="n">
        <x:v>36</x:v>
      </x:c>
      <x:c r="G528" s="14" t="n">
        <x:v>10</x:v>
      </x:c>
      <x:c r="H528" s="14" t="n">
        <x:v>5</x:v>
      </x:c>
      <x:c r="I528" s="14" t="n">
        <x:v>16</x:v>
      </x:c>
      <x:c r="J528" s="14" t="n">
        <x:v>6</x:v>
      </x:c>
      <x:c r="K528" s="14" t="n">
        <x:v>5</x:v>
      </x:c>
      <x:c r="L528" s="14" t="n">
        <x:v>18</x:v>
      </x:c>
      <x:c r="M528" s="14" t="n">
        <x:v>8</x:v>
      </x:c>
      <x:c r="N528" s="15" t="n">
        <x:f>IF(E528=0,"해당 없음",F528/E528)</x:f>
        <x:v>0.34615384615384615</x:v>
      </x:c>
      <x:c r="O528" s="15" t="n">
        <x:f>IF(E528=0,"해당 없음",G528/E528)</x:f>
        <x:v>0.09615384615384616</x:v>
      </x:c>
      <x:c r="P528" s="15" t="n">
        <x:f>IF(E528=0,"해당 없음",H528/E528)</x:f>
        <x:v>0.04807692307692308</x:v>
      </x:c>
      <x:c r="Q528" s="15" t="n">
        <x:f>IF(E528=0,"해당 없음",I528/E528)</x:f>
        <x:v>0.15384615384615385</x:v>
      </x:c>
      <x:c r="R528" s="15" t="n">
        <x:f>IF(E528=0,"해당 없음",J528/E528)</x:f>
        <x:v>0.057692307692307696</x:v>
      </x:c>
      <x:c r="S528" s="15" t="n">
        <x:f>IF(E528=0,"해당 없음",K528/E528)</x:f>
        <x:v>0.04807692307692308</x:v>
      </x:c>
      <x:c r="T528" s="15" t="n">
        <x:f>IF(E528=0,"해당 없음",L528/E528)</x:f>
        <x:v>0.17307692307692307</x:v>
      </x:c>
      <x:c r="U528" s="15" t="n">
        <x:f>IF(E528=0,"해당 없음",M528/E528)</x:f>
        <x:v>0.07692307692307693</x:v>
      </x:c>
      <x:c r="V528" s="16" t="n">
        <x:f>E528/5</x:f>
        <x:v>20.8</x:v>
      </x:c>
    </x:row>
    <x:row r="529" ht="22" customHeight="1">
      <x:c r="A529" s="2" t="n">
        <x:v>262</x:v>
      </x:c>
      <x:c r="B529" s="2" t="str">
        <x:v>NAVY</x:v>
      </x:c>
      <x:c r="C529" s="2" t="str">
        <x:v>240만</x:v>
      </x:c>
      <x:c r="D529" s="2" t="str">
        <x:v>규칙형</x:v>
      </x:c>
      <x:c r="E529" s="14" t="n">
        <x:f>SUM(F529:M529)</x:f>
        <x:v>104</x:v>
      </x:c>
      <x:c r="F529" s="14" t="n">
        <x:v>1</x:v>
      </x:c>
      <x:c r="G529" s="14" t="n">
        <x:v>14</x:v>
      </x:c>
      <x:c r="H529" s="14" t="n">
        <x:v>6</x:v>
      </x:c>
      <x:c r="I529" s="14" t="n">
        <x:v>5</x:v>
      </x:c>
      <x:c r="J529" s="14" t="n">
        <x:v>2</x:v>
      </x:c>
      <x:c r="K529" s="14" t="n">
        <x:v>4</x:v>
      </x:c>
      <x:c r="L529" s="14" t="n">
        <x:v>33</x:v>
      </x:c>
      <x:c r="M529" s="14" t="n">
        <x:v>39</x:v>
      </x:c>
      <x:c r="N529" s="15" t="n">
        <x:f>IF(E529=0,"해당 없음",F529/E529)</x:f>
        <x:v>0.009615384615384616</x:v>
      </x:c>
      <x:c r="O529" s="15" t="n">
        <x:f>IF(E529=0,"해당 없음",G529/E529)</x:f>
        <x:v>0.1346153846153846</x:v>
      </x:c>
      <x:c r="P529" s="15" t="n">
        <x:f>IF(E529=0,"해당 없음",H529/E529)</x:f>
        <x:v>0.057692307692307696</x:v>
      </x:c>
      <x:c r="Q529" s="15" t="n">
        <x:f>IF(E529=0,"해당 없음",I529/E529)</x:f>
        <x:v>0.04807692307692308</x:v>
      </x:c>
      <x:c r="R529" s="15" t="n">
        <x:f>IF(E529=0,"해당 없음",J529/E529)</x:f>
        <x:v>0.019230769230769232</x:v>
      </x:c>
      <x:c r="S529" s="15" t="n">
        <x:f>IF(E529=0,"해당 없음",K529/E529)</x:f>
        <x:v>0.038461538461538464</x:v>
      </x:c>
      <x:c r="T529" s="15" t="n">
        <x:f>IF(E529=0,"해당 없음",L529/E529)</x:f>
        <x:v>0.3173076923076923</x:v>
      </x:c>
      <x:c r="U529" s="15" t="n">
        <x:f>IF(E529=0,"해당 없음",M529/E529)</x:f>
        <x:v>0.375</x:v>
      </x:c>
      <x:c r="V529" s="16" t="n">
        <x:f>E529/5</x:f>
        <x:v>20.8</x:v>
      </x:c>
    </x:row>
    <x:row r="530" ht="22" customHeight="1">
      <x:c r="A530" s="2" t="n">
        <x:v>263</x:v>
      </x:c>
      <x:c r="B530" s="2" t="str">
        <x:v>RED</x:v>
      </x:c>
      <x:c r="C530" s="2" t="str">
        <x:v>240만</x:v>
      </x:c>
      <x:c r="D530" s="2" t="str">
        <x:v>규칙형</x:v>
      </x:c>
      <x:c r="E530" s="14" t="n">
        <x:f>SUM(F530:M530)</x:f>
        <x:v>103</x:v>
      </x:c>
      <x:c r="F530" s="14" t="n">
        <x:v>0</x:v>
      </x:c>
      <x:c r="G530" s="14" t="n">
        <x:v>18</x:v>
      </x:c>
      <x:c r="H530" s="14" t="n">
        <x:v>4</x:v>
      </x:c>
      <x:c r="I530" s="14" t="n">
        <x:v>5</x:v>
      </x:c>
      <x:c r="J530" s="14" t="n">
        <x:v>0</x:v>
      </x:c>
      <x:c r="K530" s="14" t="n">
        <x:v>5</x:v>
      </x:c>
      <x:c r="L530" s="14" t="n">
        <x:v>31</x:v>
      </x:c>
      <x:c r="M530" s="14" t="n">
        <x:v>40</x:v>
      </x:c>
      <x:c r="N530" s="15" t="n">
        <x:f>IF(E530=0,"해당 없음",F530/E530)</x:f>
        <x:v>0</x:v>
      </x:c>
      <x:c r="O530" s="15" t="n">
        <x:f>IF(E530=0,"해당 없음",G530/E530)</x:f>
        <x:v>0.17475728155339806</x:v>
      </x:c>
      <x:c r="P530" s="15" t="n">
        <x:f>IF(E530=0,"해당 없음",H530/E530)</x:f>
        <x:v>0.038834951456310676</x:v>
      </x:c>
      <x:c r="Q530" s="15" t="n">
        <x:f>IF(E530=0,"해당 없음",I530/E530)</x:f>
        <x:v>0.04854368932038835</x:v>
      </x:c>
      <x:c r="R530" s="15" t="n">
        <x:f>IF(E530=0,"해당 없음",J530/E530)</x:f>
        <x:v>0</x:v>
      </x:c>
      <x:c r="S530" s="15" t="n">
        <x:f>IF(E530=0,"해당 없음",K530/E530)</x:f>
        <x:v>0.04854368932038835</x:v>
      </x:c>
      <x:c r="T530" s="15" t="n">
        <x:f>IF(E530=0,"해당 없음",L530/E530)</x:f>
        <x:v>0.30097087378640774</x:v>
      </x:c>
      <x:c r="U530" s="15" t="n">
        <x:f>IF(E530=0,"해당 없음",M530/E530)</x:f>
        <x:v>0.3883495145631068</x:v>
      </x:c>
      <x:c r="V530" s="16" t="n">
        <x:f>E530/5</x:f>
        <x:v>20.6</x:v>
      </x:c>
    </x:row>
    <x:row r="531" ht="22" customHeight="1">
      <x:c r="A531" s="2" t="n">
        <x:v>263</x:v>
      </x:c>
      <x:c r="B531" s="2" t="str">
        <x:v>NAVY</x:v>
      </x:c>
      <x:c r="C531" s="2" t="str">
        <x:v>규칙형</x:v>
      </x:c>
      <x:c r="D531" s="2" t="str">
        <x:v>240만</x:v>
      </x:c>
      <x:c r="E531" s="14" t="n">
        <x:f>SUM(F531:M531)</x:f>
        <x:v>102</x:v>
      </x:c>
      <x:c r="F531" s="14" t="n">
        <x:v>35</x:v>
      </x:c>
      <x:c r="G531" s="14" t="n">
        <x:v>4</x:v>
      </x:c>
      <x:c r="H531" s="14" t="n">
        <x:v>6</x:v>
      </x:c>
      <x:c r="I531" s="14" t="n">
        <x:v>16</x:v>
      </x:c>
      <x:c r="J531" s="14" t="n">
        <x:v>8</x:v>
      </x:c>
      <x:c r="K531" s="14" t="n">
        <x:v>4</x:v>
      </x:c>
      <x:c r="L531" s="14" t="n">
        <x:v>21</x:v>
      </x:c>
      <x:c r="M531" s="14" t="n">
        <x:v>8</x:v>
      </x:c>
      <x:c r="N531" s="15" t="n">
        <x:f>IF(E531=0,"해당 없음",F531/E531)</x:f>
        <x:v>0.3431372549019608</x:v>
      </x:c>
      <x:c r="O531" s="15" t="n">
        <x:f>IF(E531=0,"해당 없음",G531/E531)</x:f>
        <x:v>0.0392156862745098</x:v>
      </x:c>
      <x:c r="P531" s="15" t="n">
        <x:f>IF(E531=0,"해당 없음",H531/E531)</x:f>
        <x:v>0.058823529411764705</x:v>
      </x:c>
      <x:c r="Q531" s="15" t="n">
        <x:f>IF(E531=0,"해당 없음",I531/E531)</x:f>
        <x:v>0.1568627450980392</x:v>
      </x:c>
      <x:c r="R531" s="15" t="n">
        <x:f>IF(E531=0,"해당 없음",J531/E531)</x:f>
        <x:v>0.0784313725490196</x:v>
      </x:c>
      <x:c r="S531" s="15" t="n">
        <x:f>IF(E531=0,"해당 없음",K531/E531)</x:f>
        <x:v>0.0392156862745098</x:v>
      </x:c>
      <x:c r="T531" s="15" t="n">
        <x:f>IF(E531=0,"해당 없음",L531/E531)</x:f>
        <x:v>0.20588235294117646</x:v>
      </x:c>
      <x:c r="U531" s="15" t="n">
        <x:f>IF(E531=0,"해당 없음",M531/E531)</x:f>
        <x:v>0.0784313725490196</x:v>
      </x:c>
      <x:c r="V531" s="16" t="n">
        <x:f>E531/5</x:f>
        <x:v>20.4</x:v>
      </x:c>
    </x:row>
    <x:row r="532" ht="22" customHeight="1">
      <x:c r="A532" s="2" t="n">
        <x:v>264</x:v>
      </x:c>
      <x:c r="B532" s="2" t="str">
        <x:v>RED</x:v>
      </x:c>
      <x:c r="C532" s="2" t="str">
        <x:v>규칙형</x:v>
      </x:c>
      <x:c r="D532" s="2" t="str">
        <x:v>240만</x:v>
      </x:c>
      <x:c r="E532" s="14" t="n">
        <x:f>SUM(F532:M532)</x:f>
        <x:v>105</x:v>
      </x:c>
      <x:c r="F532" s="14" t="n">
        <x:v>39</x:v>
      </x:c>
      <x:c r="G532" s="14" t="n">
        <x:v>3</x:v>
      </x:c>
      <x:c r="H532" s="14" t="n">
        <x:v>3</x:v>
      </x:c>
      <x:c r="I532" s="14" t="n">
        <x:v>15</x:v>
      </x:c>
      <x:c r="J532" s="14" t="n">
        <x:v>6</x:v>
      </x:c>
      <x:c r="K532" s="14" t="n">
        <x:v>7</x:v>
      </x:c>
      <x:c r="L532" s="14" t="n">
        <x:v>22</x:v>
      </x:c>
      <x:c r="M532" s="14" t="n">
        <x:v>10</x:v>
      </x:c>
      <x:c r="N532" s="15" t="n">
        <x:f>IF(E532=0,"해당 없음",F532/E532)</x:f>
        <x:v>0.37142857142857144</x:v>
      </x:c>
      <x:c r="O532" s="15" t="n">
        <x:f>IF(E532=0,"해당 없음",G532/E532)</x:f>
        <x:v>0.02857142857142857</x:v>
      </x:c>
      <x:c r="P532" s="15" t="n">
        <x:f>IF(E532=0,"해당 없음",H532/E532)</x:f>
        <x:v>0.02857142857142857</x:v>
      </x:c>
      <x:c r="Q532" s="15" t="n">
        <x:f>IF(E532=0,"해당 없음",I532/E532)</x:f>
        <x:v>0.14285714285714285</x:v>
      </x:c>
      <x:c r="R532" s="15" t="n">
        <x:f>IF(E532=0,"해당 없음",J532/E532)</x:f>
        <x:v>0.05714285714285714</x:v>
      </x:c>
      <x:c r="S532" s="15" t="n">
        <x:f>IF(E532=0,"해당 없음",K532/E532)</x:f>
        <x:v>0.06666666666666667</x:v>
      </x:c>
      <x:c r="T532" s="15" t="n">
        <x:f>IF(E532=0,"해당 없음",L532/E532)</x:f>
        <x:v>0.20952380952380953</x:v>
      </x:c>
      <x:c r="U532" s="15" t="n">
        <x:f>IF(E532=0,"해당 없음",M532/E532)</x:f>
        <x:v>0.09523809523809523</x:v>
      </x:c>
      <x:c r="V532" s="16" t="n">
        <x:f>E532/5</x:f>
        <x:v>21</x:v>
      </x:c>
    </x:row>
    <x:row r="533" ht="22" customHeight="1">
      <x:c r="A533" s="2" t="n">
        <x:v>264</x:v>
      </x:c>
      <x:c r="B533" s="2" t="str">
        <x:v>NAVY</x:v>
      </x:c>
      <x:c r="C533" s="2" t="str">
        <x:v>240만</x:v>
      </x:c>
      <x:c r="D533" s="2" t="str">
        <x:v>규칙형</x:v>
      </x:c>
      <x:c r="E533" s="14" t="n">
        <x:f>SUM(F533:M533)</x:f>
        <x:v>103</x:v>
      </x:c>
      <x:c r="F533" s="14" t="n">
        <x:v>2</x:v>
      </x:c>
      <x:c r="G533" s="14" t="n">
        <x:v>11</x:v>
      </x:c>
      <x:c r="H533" s="14" t="n">
        <x:v>5</x:v>
      </x:c>
      <x:c r="I533" s="14" t="n">
        <x:v>5</x:v>
      </x:c>
      <x:c r="J533" s="14" t="n">
        <x:v>1</x:v>
      </x:c>
      <x:c r="K533" s="14" t="n">
        <x:v>2</x:v>
      </x:c>
      <x:c r="L533" s="14" t="n">
        <x:v>36</x:v>
      </x:c>
      <x:c r="M533" s="14" t="n">
        <x:v>41</x:v>
      </x:c>
      <x:c r="N533" s="15" t="n">
        <x:f>IF(E533=0,"해당 없음",F533/E533)</x:f>
        <x:v>0.019417475728155338</x:v>
      </x:c>
      <x:c r="O533" s="15" t="n">
        <x:f>IF(E533=0,"해당 없음",G533/E533)</x:f>
        <x:v>0.10679611650485436</x:v>
      </x:c>
      <x:c r="P533" s="15" t="n">
        <x:f>IF(E533=0,"해당 없음",H533/E533)</x:f>
        <x:v>0.04854368932038835</x:v>
      </x:c>
      <x:c r="Q533" s="15" t="n">
        <x:f>IF(E533=0,"해당 없음",I533/E533)</x:f>
        <x:v>0.04854368932038835</x:v>
      </x:c>
      <x:c r="R533" s="15" t="n">
        <x:f>IF(E533=0,"해당 없음",J533/E533)</x:f>
        <x:v>0.009708737864077669</x:v>
      </x:c>
      <x:c r="S533" s="15" t="n">
        <x:f>IF(E533=0,"해당 없음",K533/E533)</x:f>
        <x:v>0.019417475728155338</x:v>
      </x:c>
      <x:c r="T533" s="15" t="n">
        <x:f>IF(E533=0,"해당 없음",L533/E533)</x:f>
        <x:v>0.34951456310679613</x:v>
      </x:c>
      <x:c r="U533" s="15" t="n">
        <x:f>IF(E533=0,"해당 없음",M533/E533)</x:f>
        <x:v>0.39805825242718446</x:v>
      </x:c>
      <x:c r="V533" s="16" t="n">
        <x:f>E533/5</x:f>
        <x:v>20.6</x:v>
      </x:c>
    </x:row>
    <x:row r="534" ht="22" customHeight="1">
      <x:c r="A534" s="2" t="n">
        <x:v>265</x:v>
      </x:c>
      <x:c r="B534" s="2" t="str">
        <x:v>RED</x:v>
      </x:c>
      <x:c r="C534" s="2" t="str">
        <x:v>240만</x:v>
      </x:c>
      <x:c r="D534" s="2" t="str">
        <x:v>규칙형</x:v>
      </x:c>
      <x:c r="E534" s="14" t="n">
        <x:f>SUM(F534:M534)</x:f>
        <x:v>102</x:v>
      </x:c>
      <x:c r="F534" s="14" t="n">
        <x:v>1</x:v>
      </x:c>
      <x:c r="G534" s="14" t="n">
        <x:v>9</x:v>
      </x:c>
      <x:c r="H534" s="14" t="n">
        <x:v>7</x:v>
      </x:c>
      <x:c r="I534" s="14" t="n">
        <x:v>2</x:v>
      </x:c>
      <x:c r="J534" s="14" t="n">
        <x:v>0</x:v>
      </x:c>
      <x:c r="K534" s="14" t="n">
        <x:v>6</x:v>
      </x:c>
      <x:c r="L534" s="14" t="n">
        <x:v>27</x:v>
      </x:c>
      <x:c r="M534" s="14" t="n">
        <x:v>50</x:v>
      </x:c>
      <x:c r="N534" s="15" t="n">
        <x:f>IF(E534=0,"해당 없음",F534/E534)</x:f>
        <x:v>0.00980392156862745</x:v>
      </x:c>
      <x:c r="O534" s="15" t="n">
        <x:f>IF(E534=0,"해당 없음",G534/E534)</x:f>
        <x:v>0.08823529411764706</x:v>
      </x:c>
      <x:c r="P534" s="15" t="n">
        <x:f>IF(E534=0,"해당 없음",H534/E534)</x:f>
        <x:v>0.06862745098039216</x:v>
      </x:c>
      <x:c r="Q534" s="15" t="n">
        <x:f>IF(E534=0,"해당 없음",I534/E534)</x:f>
        <x:v>0.0196078431372549</x:v>
      </x:c>
      <x:c r="R534" s="15" t="n">
        <x:f>IF(E534=0,"해당 없음",J534/E534)</x:f>
        <x:v>0</x:v>
      </x:c>
      <x:c r="S534" s="15" t="n">
        <x:f>IF(E534=0,"해당 없음",K534/E534)</x:f>
        <x:v>0.058823529411764705</x:v>
      </x:c>
      <x:c r="T534" s="15" t="n">
        <x:f>IF(E534=0,"해당 없음",L534/E534)</x:f>
        <x:v>0.2647058823529412</x:v>
      </x:c>
      <x:c r="U534" s="15" t="n">
        <x:f>IF(E534=0,"해당 없음",M534/E534)</x:f>
        <x:v>0.49019607843137253</x:v>
      </x:c>
      <x:c r="V534" s="16" t="n">
        <x:f>E534/5</x:f>
        <x:v>20.4</x:v>
      </x:c>
    </x:row>
    <x:row r="535" ht="22" customHeight="1">
      <x:c r="A535" s="2" t="n">
        <x:v>265</x:v>
      </x:c>
      <x:c r="B535" s="2" t="str">
        <x:v>NAVY</x:v>
      </x:c>
      <x:c r="C535" s="2" t="str">
        <x:v>규칙형</x:v>
      </x:c>
      <x:c r="D535" s="2" t="str">
        <x:v>240만</x:v>
      </x:c>
      <x:c r="E535" s="14" t="n">
        <x:f>SUM(F535:M535)</x:f>
        <x:v>103</x:v>
      </x:c>
      <x:c r="F535" s="14" t="n">
        <x:v>47</x:v>
      </x:c>
      <x:c r="G535" s="14" t="n">
        <x:v>4</x:v>
      </x:c>
      <x:c r="H535" s="14" t="n">
        <x:v>8</x:v>
      </x:c>
      <x:c r="I535" s="14" t="n">
        <x:v>6</x:v>
      </x:c>
      <x:c r="J535" s="14" t="n">
        <x:v>9</x:v>
      </x:c>
      <x:c r="K535" s="14" t="n">
        <x:v>8</x:v>
      </x:c>
      <x:c r="L535" s="14" t="n">
        <x:v>15</x:v>
      </x:c>
      <x:c r="M535" s="14" t="n">
        <x:v>6</x:v>
      </x:c>
      <x:c r="N535" s="15" t="n">
        <x:f>IF(E535=0,"해당 없음",F535/E535)</x:f>
        <x:v>0.4563106796116505</x:v>
      </x:c>
      <x:c r="O535" s="15" t="n">
        <x:f>IF(E535=0,"해당 없음",G535/E535)</x:f>
        <x:v>0.038834951456310676</x:v>
      </x:c>
      <x:c r="P535" s="15" t="n">
        <x:f>IF(E535=0,"해당 없음",H535/E535)</x:f>
        <x:v>0.07766990291262135</x:v>
      </x:c>
      <x:c r="Q535" s="15" t="n">
        <x:f>IF(E535=0,"해당 없음",I535/E535)</x:f>
        <x:v>0.05825242718446602</x:v>
      </x:c>
      <x:c r="R535" s="15" t="n">
        <x:f>IF(E535=0,"해당 없음",J535/E535)</x:f>
        <x:v>0.08737864077669903</x:v>
      </x:c>
      <x:c r="S535" s="15" t="n">
        <x:f>IF(E535=0,"해당 없음",K535/E535)</x:f>
        <x:v>0.07766990291262135</x:v>
      </x:c>
      <x:c r="T535" s="15" t="n">
        <x:f>IF(E535=0,"해당 없음",L535/E535)</x:f>
        <x:v>0.14563106796116504</x:v>
      </x:c>
      <x:c r="U535" s="15" t="n">
        <x:f>IF(E535=0,"해당 없음",M535/E535)</x:f>
        <x:v>0.05825242718446602</x:v>
      </x:c>
      <x:c r="V535" s="16" t="n">
        <x:f>E535/5</x:f>
        <x:v>20.6</x:v>
      </x:c>
    </x:row>
    <x:row r="536" ht="22" customHeight="1">
      <x:c r="A536" s="2" t="n">
        <x:v>266</x:v>
      </x:c>
      <x:c r="B536" s="2" t="str">
        <x:v>RED</x:v>
      </x:c>
      <x:c r="C536" s="2" t="str">
        <x:v>규칙형</x:v>
      </x:c>
      <x:c r="D536" s="2" t="str">
        <x:v>240만</x:v>
      </x:c>
      <x:c r="E536" s="14" t="n">
        <x:f>SUM(F536:M536)</x:f>
        <x:v>105</x:v>
      </x:c>
      <x:c r="F536" s="14" t="n">
        <x:v>42</x:v>
      </x:c>
      <x:c r="G536" s="14" t="n">
        <x:v>1</x:v>
      </x:c>
      <x:c r="H536" s="14" t="n">
        <x:v>2</x:v>
      </x:c>
      <x:c r="I536" s="14" t="n">
        <x:v>8</x:v>
      </x:c>
      <x:c r="J536" s="14" t="n">
        <x:v>6</x:v>
      </x:c>
      <x:c r="K536" s="14" t="n">
        <x:v>10</x:v>
      </x:c>
      <x:c r="L536" s="14" t="n">
        <x:v>29</x:v>
      </x:c>
      <x:c r="M536" s="14" t="n">
        <x:v>7</x:v>
      </x:c>
      <x:c r="N536" s="15" t="n">
        <x:f>IF(E536=0,"해당 없음",F536/E536)</x:f>
        <x:v>0.4</x:v>
      </x:c>
      <x:c r="O536" s="15" t="n">
        <x:f>IF(E536=0,"해당 없음",G536/E536)</x:f>
        <x:v>0.009523809523809525</x:v>
      </x:c>
      <x:c r="P536" s="15" t="n">
        <x:f>IF(E536=0,"해당 없음",H536/E536)</x:f>
        <x:v>0.01904761904761905</x:v>
      </x:c>
      <x:c r="Q536" s="15" t="n">
        <x:f>IF(E536=0,"해당 없음",I536/E536)</x:f>
        <x:v>0.0761904761904762</x:v>
      </x:c>
      <x:c r="R536" s="15" t="n">
        <x:f>IF(E536=0,"해당 없음",J536/E536)</x:f>
        <x:v>0.05714285714285714</x:v>
      </x:c>
      <x:c r="S536" s="15" t="n">
        <x:f>IF(E536=0,"해당 없음",K536/E536)</x:f>
        <x:v>0.09523809523809523</x:v>
      </x:c>
      <x:c r="T536" s="15" t="n">
        <x:f>IF(E536=0,"해당 없음",L536/E536)</x:f>
        <x:v>0.2761904761904762</x:v>
      </x:c>
      <x:c r="U536" s="15" t="n">
        <x:f>IF(E536=0,"해당 없음",M536/E536)</x:f>
        <x:v>0.06666666666666667</x:v>
      </x:c>
      <x:c r="V536" s="16" t="n">
        <x:f>E536/5</x:f>
        <x:v>21</x:v>
      </x:c>
    </x:row>
    <x:row r="537" ht="22" customHeight="1">
      <x:c r="A537" s="2" t="n">
        <x:v>266</x:v>
      </x:c>
      <x:c r="B537" s="2" t="str">
        <x:v>NAVY</x:v>
      </x:c>
      <x:c r="C537" s="2" t="str">
        <x:v>240만</x:v>
      </x:c>
      <x:c r="D537" s="2" t="str">
        <x:v>규칙형</x:v>
      </x:c>
      <x:c r="E537" s="14" t="n">
        <x:f>SUM(F537:M537)</x:f>
        <x:v>107</x:v>
      </x:c>
      <x:c r="F537" s="14" t="n">
        <x:v>2</x:v>
      </x:c>
      <x:c r="G537" s="14" t="n">
        <x:v>17</x:v>
      </x:c>
      <x:c r="H537" s="14" t="n">
        <x:v>6</x:v>
      </x:c>
      <x:c r="I537" s="14" t="n">
        <x:v>5</x:v>
      </x:c>
      <x:c r="J537" s="14" t="n">
        <x:v>0</x:v>
      </x:c>
      <x:c r="K537" s="14" t="n">
        <x:v>5</x:v>
      </x:c>
      <x:c r="L537" s="14" t="n">
        <x:v>37</x:v>
      </x:c>
      <x:c r="M537" s="14" t="n">
        <x:v>35</x:v>
      </x:c>
      <x:c r="N537" s="15" t="n">
        <x:f>IF(E537=0,"해당 없음",F537/E537)</x:f>
        <x:v>0.018691588785046728</x:v>
      </x:c>
      <x:c r="O537" s="15" t="n">
        <x:f>IF(E537=0,"해당 없음",G537/E537)</x:f>
        <x:v>0.1588785046728972</x:v>
      </x:c>
      <x:c r="P537" s="15" t="n">
        <x:f>IF(E537=0,"해당 없음",H537/E537)</x:f>
        <x:v>0.056074766355140186</x:v>
      </x:c>
      <x:c r="Q537" s="15" t="n">
        <x:f>IF(E537=0,"해당 없음",I537/E537)</x:f>
        <x:v>0.04672897196261682</x:v>
      </x:c>
      <x:c r="R537" s="15" t="n">
        <x:f>IF(E537=0,"해당 없음",J537/E537)</x:f>
        <x:v>0</x:v>
      </x:c>
      <x:c r="S537" s="15" t="n">
        <x:f>IF(E537=0,"해당 없음",K537/E537)</x:f>
        <x:v>0.04672897196261682</x:v>
      </x:c>
      <x:c r="T537" s="15" t="n">
        <x:f>IF(E537=0,"해당 없음",L537/E537)</x:f>
        <x:v>0.34579439252336447</x:v>
      </x:c>
      <x:c r="U537" s="15" t="n">
        <x:f>IF(E537=0,"해당 없음",M537/E537)</x:f>
        <x:v>0.32710280373831774</x:v>
      </x:c>
      <x:c r="V537" s="16" t="n">
        <x:f>E537/5</x:f>
        <x:v>21.4</x:v>
      </x:c>
    </x:row>
    <x:row r="538" ht="22" customHeight="1">
      <x:c r="A538" s="2" t="n">
        <x:v>267</x:v>
      </x:c>
      <x:c r="B538" s="2" t="str">
        <x:v>RED</x:v>
      </x:c>
      <x:c r="C538" s="2" t="str">
        <x:v>240만</x:v>
      </x:c>
      <x:c r="D538" s="2" t="str">
        <x:v>규칙형</x:v>
      </x:c>
      <x:c r="E538" s="14" t="n">
        <x:f>SUM(F538:M538)</x:f>
        <x:v>102</x:v>
      </x:c>
      <x:c r="F538" s="14" t="n">
        <x:v>1</x:v>
      </x:c>
      <x:c r="G538" s="14" t="n">
        <x:v>16</x:v>
      </x:c>
      <x:c r="H538" s="14" t="n">
        <x:v>3</x:v>
      </x:c>
      <x:c r="I538" s="14" t="n">
        <x:v>3</x:v>
      </x:c>
      <x:c r="J538" s="14" t="n">
        <x:v>0</x:v>
      </x:c>
      <x:c r="K538" s="14" t="n">
        <x:v>6</x:v>
      </x:c>
      <x:c r="L538" s="14" t="n">
        <x:v>39</x:v>
      </x:c>
      <x:c r="M538" s="14" t="n">
        <x:v>34</x:v>
      </x:c>
      <x:c r="N538" s="15" t="n">
        <x:f>IF(E538=0,"해당 없음",F538/E538)</x:f>
        <x:v>0.00980392156862745</x:v>
      </x:c>
      <x:c r="O538" s="15" t="n">
        <x:f>IF(E538=0,"해당 없음",G538/E538)</x:f>
        <x:v>0.1568627450980392</x:v>
      </x:c>
      <x:c r="P538" s="15" t="n">
        <x:f>IF(E538=0,"해당 없음",H538/E538)</x:f>
        <x:v>0.029411764705882353</x:v>
      </x:c>
      <x:c r="Q538" s="15" t="n">
        <x:f>IF(E538=0,"해당 없음",I538/E538)</x:f>
        <x:v>0.029411764705882353</x:v>
      </x:c>
      <x:c r="R538" s="15" t="n">
        <x:f>IF(E538=0,"해당 없음",J538/E538)</x:f>
        <x:v>0</x:v>
      </x:c>
      <x:c r="S538" s="15" t="n">
        <x:f>IF(E538=0,"해당 없음",K538/E538)</x:f>
        <x:v>0.058823529411764705</x:v>
      </x:c>
      <x:c r="T538" s="15" t="n">
        <x:f>IF(E538=0,"해당 없음",L538/E538)</x:f>
        <x:v>0.38235294117647056</x:v>
      </x:c>
      <x:c r="U538" s="15" t="n">
        <x:f>IF(E538=0,"해당 없음",M538/E538)</x:f>
        <x:v>0.3333333333333333</x:v>
      </x:c>
      <x:c r="V538" s="16" t="n">
        <x:f>E538/5</x:f>
        <x:v>20.4</x:v>
      </x:c>
    </x:row>
    <x:row r="539" ht="22" customHeight="1">
      <x:c r="A539" s="2" t="n">
        <x:v>267</x:v>
      </x:c>
      <x:c r="B539" s="2" t="str">
        <x:v>NAVY</x:v>
      </x:c>
      <x:c r="C539" s="2" t="str">
        <x:v>규칙형</x:v>
      </x:c>
      <x:c r="D539" s="2" t="str">
        <x:v>240만</x:v>
      </x:c>
      <x:c r="E539" s="14" t="n">
        <x:f>SUM(F539:M539)</x:f>
        <x:v>102</x:v>
      </x:c>
      <x:c r="F539" s="14" t="n">
        <x:v>42</x:v>
      </x:c>
      <x:c r="G539" s="14" t="n">
        <x:v>9</x:v>
      </x:c>
      <x:c r="H539" s="14" t="n">
        <x:v>8</x:v>
      </x:c>
      <x:c r="I539" s="14" t="n">
        <x:v>14</x:v>
      </x:c>
      <x:c r="J539" s="14" t="n">
        <x:v>11</x:v>
      </x:c>
      <x:c r="K539" s="14" t="n">
        <x:v>1</x:v>
      </x:c>
      <x:c r="L539" s="14" t="n">
        <x:v>16</x:v>
      </x:c>
      <x:c r="M539" s="14" t="n">
        <x:v>1</x:v>
      </x:c>
      <x:c r="N539" s="15" t="n">
        <x:f>IF(E539=0,"해당 없음",F539/E539)</x:f>
        <x:v>0.4117647058823529</x:v>
      </x:c>
      <x:c r="O539" s="15" t="n">
        <x:f>IF(E539=0,"해당 없음",G539/E539)</x:f>
        <x:v>0.08823529411764706</x:v>
      </x:c>
      <x:c r="P539" s="15" t="n">
        <x:f>IF(E539=0,"해당 없음",H539/E539)</x:f>
        <x:v>0.0784313725490196</x:v>
      </x:c>
      <x:c r="Q539" s="15" t="n">
        <x:f>IF(E539=0,"해당 없음",I539/E539)</x:f>
        <x:v>0.13725490196078433</x:v>
      </x:c>
      <x:c r="R539" s="15" t="n">
        <x:f>IF(E539=0,"해당 없음",J539/E539)</x:f>
        <x:v>0.10784313725490197</x:v>
      </x:c>
      <x:c r="S539" s="15" t="n">
        <x:f>IF(E539=0,"해당 없음",K539/E539)</x:f>
        <x:v>0.00980392156862745</x:v>
      </x:c>
      <x:c r="T539" s="15" t="n">
        <x:f>IF(E539=0,"해당 없음",L539/E539)</x:f>
        <x:v>0.1568627450980392</x:v>
      </x:c>
      <x:c r="U539" s="15" t="n">
        <x:f>IF(E539=0,"해당 없음",M539/E539)</x:f>
        <x:v>0.00980392156862745</x:v>
      </x:c>
      <x:c r="V539" s="16" t="n">
        <x:f>E539/5</x:f>
        <x:v>20.4</x:v>
      </x:c>
    </x:row>
    <x:row r="540" ht="22" customHeight="1">
      <x:c r="A540" s="2" t="n">
        <x:v>268</x:v>
      </x:c>
      <x:c r="B540" s="2" t="str">
        <x:v>RED</x:v>
      </x:c>
      <x:c r="C540" s="2" t="str">
        <x:v>규칙형</x:v>
      </x:c>
      <x:c r="D540" s="2" t="str">
        <x:v>240만</x:v>
      </x:c>
      <x:c r="E540" s="14" t="n">
        <x:f>SUM(F540:M540)</x:f>
        <x:v>104</x:v>
      </x:c>
      <x:c r="F540" s="14" t="n">
        <x:v>34</x:v>
      </x:c>
      <x:c r="G540" s="14" t="n">
        <x:v>3</x:v>
      </x:c>
      <x:c r="H540" s="14" t="n">
        <x:v>3</x:v>
      </x:c>
      <x:c r="I540" s="14" t="n">
        <x:v>23</x:v>
      </x:c>
      <x:c r="J540" s="14" t="n">
        <x:v>4</x:v>
      </x:c>
      <x:c r="K540" s="14" t="n">
        <x:v>7</x:v>
      </x:c>
      <x:c r="L540" s="14" t="n">
        <x:v>22</x:v>
      </x:c>
      <x:c r="M540" s="14" t="n">
        <x:v>8</x:v>
      </x:c>
      <x:c r="N540" s="15" t="n">
        <x:f>IF(E540=0,"해당 없음",F540/E540)</x:f>
        <x:v>0.3269230769230769</x:v>
      </x:c>
      <x:c r="O540" s="15" t="n">
        <x:f>IF(E540=0,"해당 없음",G540/E540)</x:f>
        <x:v>0.028846153846153848</x:v>
      </x:c>
      <x:c r="P540" s="15" t="n">
        <x:f>IF(E540=0,"해당 없음",H540/E540)</x:f>
        <x:v>0.028846153846153848</x:v>
      </x:c>
      <x:c r="Q540" s="15" t="n">
        <x:f>IF(E540=0,"해당 없음",I540/E540)</x:f>
        <x:v>0.22115384615384615</x:v>
      </x:c>
      <x:c r="R540" s="15" t="n">
        <x:f>IF(E540=0,"해당 없음",J540/E540)</x:f>
        <x:v>0.038461538461538464</x:v>
      </x:c>
      <x:c r="S540" s="15" t="n">
        <x:f>IF(E540=0,"해당 없음",K540/E540)</x:f>
        <x:v>0.0673076923076923</x:v>
      </x:c>
      <x:c r="T540" s="15" t="n">
        <x:f>IF(E540=0,"해당 없음",L540/E540)</x:f>
        <x:v>0.21153846153846154</x:v>
      </x:c>
      <x:c r="U540" s="15" t="n">
        <x:f>IF(E540=0,"해당 없음",M540/E540)</x:f>
        <x:v>0.07692307692307693</x:v>
      </x:c>
      <x:c r="V540" s="16" t="n">
        <x:f>E540/5</x:f>
        <x:v>20.8</x:v>
      </x:c>
    </x:row>
    <x:row r="541" ht="22" customHeight="1">
      <x:c r="A541" s="2" t="n">
        <x:v>268</x:v>
      </x:c>
      <x:c r="B541" s="2" t="str">
        <x:v>NAVY</x:v>
      </x:c>
      <x:c r="C541" s="2" t="str">
        <x:v>240만</x:v>
      </x:c>
      <x:c r="D541" s="2" t="str">
        <x:v>규칙형</x:v>
      </x:c>
      <x:c r="E541" s="14" t="n">
        <x:f>SUM(F541:M541)</x:f>
        <x:v>104</x:v>
      </x:c>
      <x:c r="F541" s="14" t="n">
        <x:v>0</x:v>
      </x:c>
      <x:c r="G541" s="14" t="n">
        <x:v>6</x:v>
      </x:c>
      <x:c r="H541" s="14" t="n">
        <x:v>0</x:v>
      </x:c>
      <x:c r="I541" s="14" t="n">
        <x:v>6</x:v>
      </x:c>
      <x:c r="J541" s="14" t="n">
        <x:v>0</x:v>
      </x:c>
      <x:c r="K541" s="14" t="n">
        <x:v>0</x:v>
      </x:c>
      <x:c r="L541" s="14" t="n">
        <x:v>29</x:v>
      </x:c>
      <x:c r="M541" s="14" t="n">
        <x:v>63</x:v>
      </x:c>
      <x:c r="N541" s="15" t="n">
        <x:f>IF(E541=0,"해당 없음",F541/E541)</x:f>
        <x:v>0</x:v>
      </x:c>
      <x:c r="O541" s="15" t="n">
        <x:f>IF(E541=0,"해당 없음",G541/E541)</x:f>
        <x:v>0.057692307692307696</x:v>
      </x:c>
      <x:c r="P541" s="15" t="n">
        <x:f>IF(E541=0,"해당 없음",H541/E541)</x:f>
        <x:v>0</x:v>
      </x:c>
      <x:c r="Q541" s="15" t="n">
        <x:f>IF(E541=0,"해당 없음",I541/E541)</x:f>
        <x:v>0.057692307692307696</x:v>
      </x:c>
      <x:c r="R541" s="15" t="n">
        <x:f>IF(E541=0,"해당 없음",J541/E541)</x:f>
        <x:v>0</x:v>
      </x:c>
      <x:c r="S541" s="15" t="n">
        <x:f>IF(E541=0,"해당 없음",K541/E541)</x:f>
        <x:v>0</x:v>
      </x:c>
      <x:c r="T541" s="15" t="n">
        <x:f>IF(E541=0,"해당 없음",L541/E541)</x:f>
        <x:v>0.27884615384615385</x:v>
      </x:c>
      <x:c r="U541" s="15" t="n">
        <x:f>IF(E541=0,"해당 없음",M541/E541)</x:f>
        <x:v>0.6057692307692307</x:v>
      </x:c>
      <x:c r="V541" s="16" t="n">
        <x:f>E541/5</x:f>
        <x:v>20.8</x:v>
      </x:c>
    </x:row>
    <x:row r="542" ht="22" customHeight="1">
      <x:c r="A542" s="2" t="n">
        <x:v>269</x:v>
      </x:c>
      <x:c r="B542" s="2" t="str">
        <x:v>RED</x:v>
      </x:c>
      <x:c r="C542" s="2" t="str">
        <x:v>240만</x:v>
      </x:c>
      <x:c r="D542" s="2" t="str">
        <x:v>규칙형</x:v>
      </x:c>
      <x:c r="E542" s="14" t="n">
        <x:f>SUM(F542:M542)</x:f>
        <x:v>103</x:v>
      </x:c>
      <x:c r="F542" s="14" t="n">
        <x:v>1</x:v>
      </x:c>
      <x:c r="G542" s="14" t="n">
        <x:v>13</x:v>
      </x:c>
      <x:c r="H542" s="14" t="n">
        <x:v>9</x:v>
      </x:c>
      <x:c r="I542" s="14" t="n">
        <x:v>1</x:v>
      </x:c>
      <x:c r="J542" s="14" t="n">
        <x:v>1</x:v>
      </x:c>
      <x:c r="K542" s="14" t="n">
        <x:v>5</x:v>
      </x:c>
      <x:c r="L542" s="14" t="n">
        <x:v>34</x:v>
      </x:c>
      <x:c r="M542" s="14" t="n">
        <x:v>39</x:v>
      </x:c>
      <x:c r="N542" s="15" t="n">
        <x:f>IF(E542=0,"해당 없음",F542/E542)</x:f>
        <x:v>0.009708737864077669</x:v>
      </x:c>
      <x:c r="O542" s="15" t="n">
        <x:f>IF(E542=0,"해당 없음",G542/E542)</x:f>
        <x:v>0.1262135922330097</x:v>
      </x:c>
      <x:c r="P542" s="15" t="n">
        <x:f>IF(E542=0,"해당 없음",H542/E542)</x:f>
        <x:v>0.08737864077669903</x:v>
      </x:c>
      <x:c r="Q542" s="15" t="n">
        <x:f>IF(E542=0,"해당 없음",I542/E542)</x:f>
        <x:v>0.009708737864077669</x:v>
      </x:c>
      <x:c r="R542" s="15" t="n">
        <x:f>IF(E542=0,"해당 없음",J542/E542)</x:f>
        <x:v>0.009708737864077669</x:v>
      </x:c>
      <x:c r="S542" s="15" t="n">
        <x:f>IF(E542=0,"해당 없음",K542/E542)</x:f>
        <x:v>0.04854368932038835</x:v>
      </x:c>
      <x:c r="T542" s="15" t="n">
        <x:f>IF(E542=0,"해당 없음",L542/E542)</x:f>
        <x:v>0.3300970873786408</x:v>
      </x:c>
      <x:c r="U542" s="15" t="n">
        <x:f>IF(E542=0,"해당 없음",M542/E542)</x:f>
        <x:v>0.3786407766990291</x:v>
      </x:c>
      <x:c r="V542" s="16" t="n">
        <x:f>E542/5</x:f>
        <x:v>20.6</x:v>
      </x:c>
    </x:row>
    <x:row r="543" ht="22" customHeight="1">
      <x:c r="A543" s="2" t="n">
        <x:v>269</x:v>
      </x:c>
      <x:c r="B543" s="2" t="str">
        <x:v>NAVY</x:v>
      </x:c>
      <x:c r="C543" s="2" t="str">
        <x:v>규칙형</x:v>
      </x:c>
      <x:c r="D543" s="2" t="str">
        <x:v>240만</x:v>
      </x:c>
      <x:c r="E543" s="14" t="n">
        <x:f>SUM(F543:M543)</x:f>
        <x:v>104</x:v>
      </x:c>
      <x:c r="F543" s="14" t="n">
        <x:v>37</x:v>
      </x:c>
      <x:c r="G543" s="14" t="n">
        <x:v>4</x:v>
      </x:c>
      <x:c r="H543" s="14" t="n">
        <x:v>3</x:v>
      </x:c>
      <x:c r="I543" s="14" t="n">
        <x:v>22</x:v>
      </x:c>
      <x:c r="J543" s="14" t="n">
        <x:v>10</x:v>
      </x:c>
      <x:c r="K543" s="14" t="n">
        <x:v>4</x:v>
      </x:c>
      <x:c r="L543" s="14" t="n">
        <x:v>21</x:v>
      </x:c>
      <x:c r="M543" s="14" t="n">
        <x:v>3</x:v>
      </x:c>
      <x:c r="N543" s="15" t="n">
        <x:f>IF(E543=0,"해당 없음",F543/E543)</x:f>
        <x:v>0.3557692307692308</x:v>
      </x:c>
      <x:c r="O543" s="15" t="n">
        <x:f>IF(E543=0,"해당 없음",G543/E543)</x:f>
        <x:v>0.038461538461538464</x:v>
      </x:c>
      <x:c r="P543" s="15" t="n">
        <x:f>IF(E543=0,"해당 없음",H543/E543)</x:f>
        <x:v>0.028846153846153848</x:v>
      </x:c>
      <x:c r="Q543" s="15" t="n">
        <x:f>IF(E543=0,"해당 없음",I543/E543)</x:f>
        <x:v>0.21153846153846154</x:v>
      </x:c>
      <x:c r="R543" s="15" t="n">
        <x:f>IF(E543=0,"해당 없음",J543/E543)</x:f>
        <x:v>0.09615384615384616</x:v>
      </x:c>
      <x:c r="S543" s="15" t="n">
        <x:f>IF(E543=0,"해당 없음",K543/E543)</x:f>
        <x:v>0.038461538461538464</x:v>
      </x:c>
      <x:c r="T543" s="15" t="n">
        <x:f>IF(E543=0,"해당 없음",L543/E543)</x:f>
        <x:v>0.20192307692307693</x:v>
      </x:c>
      <x:c r="U543" s="15" t="n">
        <x:f>IF(E543=0,"해당 없음",M543/E543)</x:f>
        <x:v>0.028846153846153848</x:v>
      </x:c>
      <x:c r="V543" s="16" t="n">
        <x:f>E543/5</x:f>
        <x:v>20.8</x:v>
      </x:c>
    </x:row>
    <x:row r="544" ht="22" customHeight="1">
      <x:c r="A544" s="2" t="n">
        <x:v>270</x:v>
      </x:c>
      <x:c r="B544" s="2" t="str">
        <x:v>RED</x:v>
      </x:c>
      <x:c r="C544" s="2" t="str">
        <x:v>규칙형</x:v>
      </x:c>
      <x:c r="D544" s="2" t="str">
        <x:v>240만</x:v>
      </x:c>
      <x:c r="E544" s="14" t="n">
        <x:f>SUM(F544:M544)</x:f>
        <x:v>106</x:v>
      </x:c>
      <x:c r="F544" s="14" t="n">
        <x:v>45</x:v>
      </x:c>
      <x:c r="G544" s="14" t="n">
        <x:v>5</x:v>
      </x:c>
      <x:c r="H544" s="14" t="n">
        <x:v>11</x:v>
      </x:c>
      <x:c r="I544" s="14" t="n">
        <x:v>14</x:v>
      </x:c>
      <x:c r="J544" s="14" t="n">
        <x:v>2</x:v>
      </x:c>
      <x:c r="K544" s="14" t="n">
        <x:v>8</x:v>
      </x:c>
      <x:c r="L544" s="14" t="n">
        <x:v>16</x:v>
      </x:c>
      <x:c r="M544" s="14" t="n">
        <x:v>5</x:v>
      </x:c>
      <x:c r="N544" s="15" t="n">
        <x:f>IF(E544=0,"해당 없음",F544/E544)</x:f>
        <x:v>0.42452830188679247</x:v>
      </x:c>
      <x:c r="O544" s="15" t="n">
        <x:f>IF(E544=0,"해당 없음",G544/E544)</x:f>
        <x:v>0.04716981132075472</x:v>
      </x:c>
      <x:c r="P544" s="15" t="n">
        <x:f>IF(E544=0,"해당 없음",H544/E544)</x:f>
        <x:v>0.10377358490566038</x:v>
      </x:c>
      <x:c r="Q544" s="15" t="n">
        <x:f>IF(E544=0,"해당 없음",I544/E544)</x:f>
        <x:v>0.1320754716981132</x:v>
      </x:c>
      <x:c r="R544" s="15" t="n">
        <x:f>IF(E544=0,"해당 없음",J544/E544)</x:f>
        <x:v>0.018867924528301886</x:v>
      </x:c>
      <x:c r="S544" s="15" t="n">
        <x:f>IF(E544=0,"해당 없음",K544/E544)</x:f>
        <x:v>0.07547169811320754</x:v>
      </x:c>
      <x:c r="T544" s="15" t="n">
        <x:f>IF(E544=0,"해당 없음",L544/E544)</x:f>
        <x:v>0.1509433962264151</x:v>
      </x:c>
      <x:c r="U544" s="15" t="n">
        <x:f>IF(E544=0,"해당 없음",M544/E544)</x:f>
        <x:v>0.04716981132075472</x:v>
      </x:c>
      <x:c r="V544" s="16" t="n">
        <x:f>E544/5</x:f>
        <x:v>21.2</x:v>
      </x:c>
    </x:row>
    <x:row r="545" ht="22" customHeight="1">
      <x:c r="A545" s="2" t="n">
        <x:v>270</x:v>
      </x:c>
      <x:c r="B545" s="2" t="str">
        <x:v>NAVY</x:v>
      </x:c>
      <x:c r="C545" s="2" t="str">
        <x:v>240만</x:v>
      </x:c>
      <x:c r="D545" s="2" t="str">
        <x:v>규칙형</x:v>
      </x:c>
      <x:c r="E545" s="14" t="n">
        <x:f>SUM(F545:M545)</x:f>
        <x:v>105</x:v>
      </x:c>
      <x:c r="F545" s="14" t="n">
        <x:v>1</x:v>
      </x:c>
      <x:c r="G545" s="14" t="n">
        <x:v>15</x:v>
      </x:c>
      <x:c r="H545" s="14" t="n">
        <x:v>5</x:v>
      </x:c>
      <x:c r="I545" s="14" t="n">
        <x:v>3</x:v>
      </x:c>
      <x:c r="J545" s="14" t="n">
        <x:v>3</x:v>
      </x:c>
      <x:c r="K545" s="14" t="n">
        <x:v>2</x:v>
      </x:c>
      <x:c r="L545" s="14" t="n">
        <x:v>37</x:v>
      </x:c>
      <x:c r="M545" s="14" t="n">
        <x:v>39</x:v>
      </x:c>
      <x:c r="N545" s="15" t="n">
        <x:f>IF(E545=0,"해당 없음",F545/E545)</x:f>
        <x:v>0.009523809523809525</x:v>
      </x:c>
      <x:c r="O545" s="15" t="n">
        <x:f>IF(E545=0,"해당 없음",G545/E545)</x:f>
        <x:v>0.14285714285714285</x:v>
      </x:c>
      <x:c r="P545" s="15" t="n">
        <x:f>IF(E545=0,"해당 없음",H545/E545)</x:f>
        <x:v>0.047619047619047616</x:v>
      </x:c>
      <x:c r="Q545" s="15" t="n">
        <x:f>IF(E545=0,"해당 없음",I545/E545)</x:f>
        <x:v>0.02857142857142857</x:v>
      </x:c>
      <x:c r="R545" s="15" t="n">
        <x:f>IF(E545=0,"해당 없음",J545/E545)</x:f>
        <x:v>0.02857142857142857</x:v>
      </x:c>
      <x:c r="S545" s="15" t="n">
        <x:f>IF(E545=0,"해당 없음",K545/E545)</x:f>
        <x:v>0.01904761904761905</x:v>
      </x:c>
      <x:c r="T545" s="15" t="n">
        <x:f>IF(E545=0,"해당 없음",L545/E545)</x:f>
        <x:v>0.3523809523809524</x:v>
      </x:c>
      <x:c r="U545" s="15" t="n">
        <x:f>IF(E545=0,"해당 없음",M545/E545)</x:f>
        <x:v>0.37142857142857144</x:v>
      </x:c>
      <x:c r="V545" s="16" t="n">
        <x:f>E545/5</x:f>
        <x:v>21</x:v>
      </x:c>
    </x:row>
    <x:row r="546" ht="22" customHeight="1">
      <x:c r="A546" s="2" t="n">
        <x:v>271</x:v>
      </x:c>
      <x:c r="B546" s="2" t="str">
        <x:v>RED</x:v>
      </x:c>
      <x:c r="C546" s="2" t="str">
        <x:v>240만</x:v>
      </x:c>
      <x:c r="D546" s="2" t="str">
        <x:v>규칙형</x:v>
      </x:c>
      <x:c r="E546" s="14" t="n">
        <x:f>SUM(F546:M546)</x:f>
        <x:v>103</x:v>
      </x:c>
      <x:c r="F546" s="14" t="n">
        <x:v>1</x:v>
      </x:c>
      <x:c r="G546" s="14" t="n">
        <x:v>8</x:v>
      </x:c>
      <x:c r="H546" s="14" t="n">
        <x:v>3</x:v>
      </x:c>
      <x:c r="I546" s="14" t="n">
        <x:v>5</x:v>
      </x:c>
      <x:c r="J546" s="14" t="n">
        <x:v>0</x:v>
      </x:c>
      <x:c r="K546" s="14" t="n">
        <x:v>8</x:v>
      </x:c>
      <x:c r="L546" s="14" t="n">
        <x:v>36</x:v>
      </x:c>
      <x:c r="M546" s="14" t="n">
        <x:v>42</x:v>
      </x:c>
      <x:c r="N546" s="15" t="n">
        <x:f>IF(E546=0,"해당 없음",F546/E546)</x:f>
        <x:v>0.009708737864077669</x:v>
      </x:c>
      <x:c r="O546" s="15" t="n">
        <x:f>IF(E546=0,"해당 없음",G546/E546)</x:f>
        <x:v>0.07766990291262135</x:v>
      </x:c>
      <x:c r="P546" s="15" t="n">
        <x:f>IF(E546=0,"해당 없음",H546/E546)</x:f>
        <x:v>0.02912621359223301</x:v>
      </x:c>
      <x:c r="Q546" s="15" t="n">
        <x:f>IF(E546=0,"해당 없음",I546/E546)</x:f>
        <x:v>0.04854368932038835</x:v>
      </x:c>
      <x:c r="R546" s="15" t="n">
        <x:f>IF(E546=0,"해당 없음",J546/E546)</x:f>
        <x:v>0</x:v>
      </x:c>
      <x:c r="S546" s="15" t="n">
        <x:f>IF(E546=0,"해당 없음",K546/E546)</x:f>
        <x:v>0.07766990291262135</x:v>
      </x:c>
      <x:c r="T546" s="15" t="n">
        <x:f>IF(E546=0,"해당 없음",L546/E546)</x:f>
        <x:v>0.34951456310679613</x:v>
      </x:c>
      <x:c r="U546" s="15" t="n">
        <x:f>IF(E546=0,"해당 없음",M546/E546)</x:f>
        <x:v>0.4077669902912621</x:v>
      </x:c>
      <x:c r="V546" s="16" t="n">
        <x:f>E546/5</x:f>
        <x:v>20.6</x:v>
      </x:c>
    </x:row>
    <x:row r="547" ht="22" customHeight="1">
      <x:c r="A547" s="2" t="n">
        <x:v>271</x:v>
      </x:c>
      <x:c r="B547" s="2" t="str">
        <x:v>NAVY</x:v>
      </x:c>
      <x:c r="C547" s="2" t="str">
        <x:v>규칙형</x:v>
      </x:c>
      <x:c r="D547" s="2" t="str">
        <x:v>240만</x:v>
      </x:c>
      <x:c r="E547" s="14" t="n">
        <x:f>SUM(F547:M547)</x:f>
        <x:v>102</x:v>
      </x:c>
      <x:c r="F547" s="14" t="n">
        <x:v>40</x:v>
      </x:c>
      <x:c r="G547" s="14" t="n">
        <x:v>5</x:v>
      </x:c>
      <x:c r="H547" s="14" t="n">
        <x:v>11</x:v>
      </x:c>
      <x:c r="I547" s="14" t="n">
        <x:v>13</x:v>
      </x:c>
      <x:c r="J547" s="14" t="n">
        <x:v>9</x:v>
      </x:c>
      <x:c r="K547" s="14" t="n">
        <x:v>1</x:v>
      </x:c>
      <x:c r="L547" s="14" t="n">
        <x:v>16</x:v>
      </x:c>
      <x:c r="M547" s="14" t="n">
        <x:v>7</x:v>
      </x:c>
      <x:c r="N547" s="15" t="n">
        <x:f>IF(E547=0,"해당 없음",F547/E547)</x:f>
        <x:v>0.39215686274509803</x:v>
      </x:c>
      <x:c r="O547" s="15" t="n">
        <x:f>IF(E547=0,"해당 없음",G547/E547)</x:f>
        <x:v>0.049019607843137254</x:v>
      </x:c>
      <x:c r="P547" s="15" t="n">
        <x:f>IF(E547=0,"해당 없음",H547/E547)</x:f>
        <x:v>0.10784313725490197</x:v>
      </x:c>
      <x:c r="Q547" s="15" t="n">
        <x:f>IF(E547=0,"해당 없음",I547/E547)</x:f>
        <x:v>0.12745098039215685</x:v>
      </x:c>
      <x:c r="R547" s="15" t="n">
        <x:f>IF(E547=0,"해당 없음",J547/E547)</x:f>
        <x:v>0.08823529411764706</x:v>
      </x:c>
      <x:c r="S547" s="15" t="n">
        <x:f>IF(E547=0,"해당 없음",K547/E547)</x:f>
        <x:v>0.00980392156862745</x:v>
      </x:c>
      <x:c r="T547" s="15" t="n">
        <x:f>IF(E547=0,"해당 없음",L547/E547)</x:f>
        <x:v>0.1568627450980392</x:v>
      </x:c>
      <x:c r="U547" s="15" t="n">
        <x:f>IF(E547=0,"해당 없음",M547/E547)</x:f>
        <x:v>0.06862745098039216</x:v>
      </x:c>
      <x:c r="V547" s="16" t="n">
        <x:f>E547/5</x:f>
        <x:v>20.4</x:v>
      </x:c>
    </x:row>
    <x:row r="548" ht="22" customHeight="1">
      <x:c r="A548" s="2" t="n">
        <x:v>272</x:v>
      </x:c>
      <x:c r="B548" s="2" t="str">
        <x:v>RED</x:v>
      </x:c>
      <x:c r="C548" s="2" t="str">
        <x:v>규칙형</x:v>
      </x:c>
      <x:c r="D548" s="2" t="str">
        <x:v>240만</x:v>
      </x:c>
      <x:c r="E548" s="14" t="n">
        <x:f>SUM(F548:M548)</x:f>
        <x:v>104</x:v>
      </x:c>
      <x:c r="F548" s="14" t="n">
        <x:v>35</x:v>
      </x:c>
      <x:c r="G548" s="14" t="n">
        <x:v>2</x:v>
      </x:c>
      <x:c r="H548" s="14" t="n">
        <x:v>8</x:v>
      </x:c>
      <x:c r="I548" s="14" t="n">
        <x:v>25</x:v>
      </x:c>
      <x:c r="J548" s="14" t="n">
        <x:v>9</x:v>
      </x:c>
      <x:c r="K548" s="14" t="n">
        <x:v>3</x:v>
      </x:c>
      <x:c r="L548" s="14" t="n">
        <x:v>16</x:v>
      </x:c>
      <x:c r="M548" s="14" t="n">
        <x:v>6</x:v>
      </x:c>
      <x:c r="N548" s="15" t="n">
        <x:f>IF(E548=0,"해당 없음",F548/E548)</x:f>
        <x:v>0.33653846153846156</x:v>
      </x:c>
      <x:c r="O548" s="15" t="n">
        <x:f>IF(E548=0,"해당 없음",G548/E548)</x:f>
        <x:v>0.019230769230769232</x:v>
      </x:c>
      <x:c r="P548" s="15" t="n">
        <x:f>IF(E548=0,"해당 없음",H548/E548)</x:f>
        <x:v>0.07692307692307693</x:v>
      </x:c>
      <x:c r="Q548" s="15" t="n">
        <x:f>IF(E548=0,"해당 없음",I548/E548)</x:f>
        <x:v>0.2403846153846154</x:v>
      </x:c>
      <x:c r="R548" s="15" t="n">
        <x:f>IF(E548=0,"해당 없음",J548/E548)</x:f>
        <x:v>0.08653846153846154</x:v>
      </x:c>
      <x:c r="S548" s="15" t="n">
        <x:f>IF(E548=0,"해당 없음",K548/E548)</x:f>
        <x:v>0.028846153846153848</x:v>
      </x:c>
      <x:c r="T548" s="15" t="n">
        <x:f>IF(E548=0,"해당 없음",L548/E548)</x:f>
        <x:v>0.15384615384615385</x:v>
      </x:c>
      <x:c r="U548" s="15" t="n">
        <x:f>IF(E548=0,"해당 없음",M548/E548)</x:f>
        <x:v>0.057692307692307696</x:v>
      </x:c>
      <x:c r="V548" s="16" t="n">
        <x:f>E548/5</x:f>
        <x:v>20.8</x:v>
      </x:c>
    </x:row>
    <x:row r="549" ht="22" customHeight="1">
      <x:c r="A549" s="2" t="n">
        <x:v>272</x:v>
      </x:c>
      <x:c r="B549" s="2" t="str">
        <x:v>NAVY</x:v>
      </x:c>
      <x:c r="C549" s="2" t="str">
        <x:v>240만</x:v>
      </x:c>
      <x:c r="D549" s="2" t="str">
        <x:v>규칙형</x:v>
      </x:c>
      <x:c r="E549" s="14" t="n">
        <x:f>SUM(F549:M549)</x:f>
        <x:v>105</x:v>
      </x:c>
      <x:c r="F549" s="14" t="n">
        <x:v>1</x:v>
      </x:c>
      <x:c r="G549" s="14" t="n">
        <x:v>9</x:v>
      </x:c>
      <x:c r="H549" s="14" t="n">
        <x:v>3</x:v>
      </x:c>
      <x:c r="I549" s="14" t="n">
        <x:v>2</x:v>
      </x:c>
      <x:c r="J549" s="14" t="n">
        <x:v>1</x:v>
      </x:c>
      <x:c r="K549" s="14" t="n">
        <x:v>4</x:v>
      </x:c>
      <x:c r="L549" s="14" t="n">
        <x:v>27</x:v>
      </x:c>
      <x:c r="M549" s="14" t="n">
        <x:v>58</x:v>
      </x:c>
      <x:c r="N549" s="15" t="n">
        <x:f>IF(E549=0,"해당 없음",F549/E549)</x:f>
        <x:v>0.009523809523809525</x:v>
      </x:c>
      <x:c r="O549" s="15" t="n">
        <x:f>IF(E549=0,"해당 없음",G549/E549)</x:f>
        <x:v>0.08571428571428572</x:v>
      </x:c>
      <x:c r="P549" s="15" t="n">
        <x:f>IF(E549=0,"해당 없음",H549/E549)</x:f>
        <x:v>0.02857142857142857</x:v>
      </x:c>
      <x:c r="Q549" s="15" t="n">
        <x:f>IF(E549=0,"해당 없음",I549/E549)</x:f>
        <x:v>0.01904761904761905</x:v>
      </x:c>
      <x:c r="R549" s="15" t="n">
        <x:f>IF(E549=0,"해당 없음",J549/E549)</x:f>
        <x:v>0.009523809523809525</x:v>
      </x:c>
      <x:c r="S549" s="15" t="n">
        <x:f>IF(E549=0,"해당 없음",K549/E549)</x:f>
        <x:v>0.0380952380952381</x:v>
      </x:c>
      <x:c r="T549" s="15" t="n">
        <x:f>IF(E549=0,"해당 없음",L549/E549)</x:f>
        <x:v>0.2571428571428571</x:v>
      </x:c>
      <x:c r="U549" s="15" t="n">
        <x:f>IF(E549=0,"해당 없음",M549/E549)</x:f>
        <x:v>0.5523809523809524</x:v>
      </x:c>
      <x:c r="V549" s="16" t="n">
        <x:f>E549/5</x:f>
        <x:v>21</x:v>
      </x:c>
    </x:row>
    <x:row r="550" ht="22" customHeight="1">
      <x:c r="A550" s="2" t="n">
        <x:v>273</x:v>
      </x:c>
      <x:c r="B550" s="2" t="str">
        <x:v>RED</x:v>
      </x:c>
      <x:c r="C550" s="2" t="str">
        <x:v>240만</x:v>
      </x:c>
      <x:c r="D550" s="2" t="str">
        <x:v>규칙형</x:v>
      </x:c>
      <x:c r="E550" s="14" t="n">
        <x:f>SUM(F550:M550)</x:f>
        <x:v>103</x:v>
      </x:c>
      <x:c r="F550" s="14" t="n">
        <x:v>1</x:v>
      </x:c>
      <x:c r="G550" s="14" t="n">
        <x:v>11</x:v>
      </x:c>
      <x:c r="H550" s="14" t="n">
        <x:v>6</x:v>
      </x:c>
      <x:c r="I550" s="14" t="n">
        <x:v>3</x:v>
      </x:c>
      <x:c r="J550" s="14" t="n">
        <x:v>0</x:v>
      </x:c>
      <x:c r="K550" s="14" t="n">
        <x:v>2</x:v>
      </x:c>
      <x:c r="L550" s="14" t="n">
        <x:v>36</x:v>
      </x:c>
      <x:c r="M550" s="14" t="n">
        <x:v>44</x:v>
      </x:c>
      <x:c r="N550" s="15" t="n">
        <x:f>IF(E550=0,"해당 없음",F550/E550)</x:f>
        <x:v>0.009708737864077669</x:v>
      </x:c>
      <x:c r="O550" s="15" t="n">
        <x:f>IF(E550=0,"해당 없음",G550/E550)</x:f>
        <x:v>0.10679611650485436</x:v>
      </x:c>
      <x:c r="P550" s="15" t="n">
        <x:f>IF(E550=0,"해당 없음",H550/E550)</x:f>
        <x:v>0.05825242718446602</x:v>
      </x:c>
      <x:c r="Q550" s="15" t="n">
        <x:f>IF(E550=0,"해당 없음",I550/E550)</x:f>
        <x:v>0.02912621359223301</x:v>
      </x:c>
      <x:c r="R550" s="15" t="n">
        <x:f>IF(E550=0,"해당 없음",J550/E550)</x:f>
        <x:v>0</x:v>
      </x:c>
      <x:c r="S550" s="15" t="n">
        <x:f>IF(E550=0,"해당 없음",K550/E550)</x:f>
        <x:v>0.019417475728155338</x:v>
      </x:c>
      <x:c r="T550" s="15" t="n">
        <x:f>IF(E550=0,"해당 없음",L550/E550)</x:f>
        <x:v>0.34951456310679613</x:v>
      </x:c>
      <x:c r="U550" s="15" t="n">
        <x:f>IF(E550=0,"해당 없음",M550/E550)</x:f>
        <x:v>0.42718446601941745</x:v>
      </x:c>
      <x:c r="V550" s="16" t="n">
        <x:f>E550/5</x:f>
        <x:v>20.6</x:v>
      </x:c>
    </x:row>
    <x:row r="551" ht="22" customHeight="1">
      <x:c r="A551" s="2" t="n">
        <x:v>273</x:v>
      </x:c>
      <x:c r="B551" s="2" t="str">
        <x:v>NAVY</x:v>
      </x:c>
      <x:c r="C551" s="2" t="str">
        <x:v>규칙형</x:v>
      </x:c>
      <x:c r="D551" s="2" t="str">
        <x:v>240만</x:v>
      </x:c>
      <x:c r="E551" s="14" t="n">
        <x:f>SUM(F551:M551)</x:f>
        <x:v>104</x:v>
      </x:c>
      <x:c r="F551" s="14" t="n">
        <x:v>33</x:v>
      </x:c>
      <x:c r="G551" s="14" t="n">
        <x:v>4</x:v>
      </x:c>
      <x:c r="H551" s="14" t="n">
        <x:v>5</x:v>
      </x:c>
      <x:c r="I551" s="14" t="n">
        <x:v>24</x:v>
      </x:c>
      <x:c r="J551" s="14" t="n">
        <x:v>8</x:v>
      </x:c>
      <x:c r="K551" s="14" t="n">
        <x:v>4</x:v>
      </x:c>
      <x:c r="L551" s="14" t="n">
        <x:v>22</x:v>
      </x:c>
      <x:c r="M551" s="14" t="n">
        <x:v>4</x:v>
      </x:c>
      <x:c r="N551" s="15" t="n">
        <x:f>IF(E551=0,"해당 없음",F551/E551)</x:f>
        <x:v>0.3173076923076923</x:v>
      </x:c>
      <x:c r="O551" s="15" t="n">
        <x:f>IF(E551=0,"해당 없음",G551/E551)</x:f>
        <x:v>0.038461538461538464</x:v>
      </x:c>
      <x:c r="P551" s="15" t="n">
        <x:f>IF(E551=0,"해당 없음",H551/E551)</x:f>
        <x:v>0.04807692307692308</x:v>
      </x:c>
      <x:c r="Q551" s="15" t="n">
        <x:f>IF(E551=0,"해당 없음",I551/E551)</x:f>
        <x:v>0.23076923076923078</x:v>
      </x:c>
      <x:c r="R551" s="15" t="n">
        <x:f>IF(E551=0,"해당 없음",J551/E551)</x:f>
        <x:v>0.07692307692307693</x:v>
      </x:c>
      <x:c r="S551" s="15" t="n">
        <x:f>IF(E551=0,"해당 없음",K551/E551)</x:f>
        <x:v>0.038461538461538464</x:v>
      </x:c>
      <x:c r="T551" s="15" t="n">
        <x:f>IF(E551=0,"해당 없음",L551/E551)</x:f>
        <x:v>0.21153846153846154</x:v>
      </x:c>
      <x:c r="U551" s="15" t="n">
        <x:f>IF(E551=0,"해당 없음",M551/E551)</x:f>
        <x:v>0.038461538461538464</x:v>
      </x:c>
      <x:c r="V551" s="16" t="n">
        <x:f>E551/5</x:f>
        <x:v>20.8</x:v>
      </x:c>
    </x:row>
    <x:row r="552" ht="22" customHeight="1">
      <x:c r="A552" s="2" t="n">
        <x:v>274</x:v>
      </x:c>
      <x:c r="B552" s="2" t="str">
        <x:v>RED</x:v>
      </x:c>
      <x:c r="C552" s="2" t="str">
        <x:v>규칙형</x:v>
      </x:c>
      <x:c r="D552" s="2" t="str">
        <x:v>240만</x:v>
      </x:c>
      <x:c r="E552" s="14" t="n">
        <x:f>SUM(F552:M552)</x:f>
        <x:v>106</x:v>
      </x:c>
      <x:c r="F552" s="14" t="n">
        <x:v>44</x:v>
      </x:c>
      <x:c r="G552" s="14" t="n">
        <x:v>1</x:v>
      </x:c>
      <x:c r="H552" s="14" t="n">
        <x:v>6</x:v>
      </x:c>
      <x:c r="I552" s="14" t="n">
        <x:v>17</x:v>
      </x:c>
      <x:c r="J552" s="14" t="n">
        <x:v>3</x:v>
      </x:c>
      <x:c r="K552" s="14" t="n">
        <x:v>3</x:v>
      </x:c>
      <x:c r="L552" s="14" t="n">
        <x:v>22</x:v>
      </x:c>
      <x:c r="M552" s="14" t="n">
        <x:v>10</x:v>
      </x:c>
      <x:c r="N552" s="15" t="n">
        <x:f>IF(E552=0,"해당 없음",F552/E552)</x:f>
        <x:v>0.41509433962264153</x:v>
      </x:c>
      <x:c r="O552" s="15" t="n">
        <x:f>IF(E552=0,"해당 없음",G552/E552)</x:f>
        <x:v>0.009433962264150943</x:v>
      </x:c>
      <x:c r="P552" s="15" t="n">
        <x:f>IF(E552=0,"해당 없음",H552/E552)</x:f>
        <x:v>0.05660377358490566</x:v>
      </x:c>
      <x:c r="Q552" s="15" t="n">
        <x:f>IF(E552=0,"해당 없음",I552/E552)</x:f>
        <x:v>0.16037735849056603</x:v>
      </x:c>
      <x:c r="R552" s="15" t="n">
        <x:f>IF(E552=0,"해당 없음",J552/E552)</x:f>
        <x:v>0.02830188679245283</x:v>
      </x:c>
      <x:c r="S552" s="15" t="n">
        <x:f>IF(E552=0,"해당 없음",K552/E552)</x:f>
        <x:v>0.02830188679245283</x:v>
      </x:c>
      <x:c r="T552" s="15" t="n">
        <x:f>IF(E552=0,"해당 없음",L552/E552)</x:f>
        <x:v>0.20754716981132076</x:v>
      </x:c>
      <x:c r="U552" s="15" t="n">
        <x:f>IF(E552=0,"해당 없음",M552/E552)</x:f>
        <x:v>0.09433962264150944</x:v>
      </x:c>
      <x:c r="V552" s="16" t="n">
        <x:f>E552/5</x:f>
        <x:v>21.2</x:v>
      </x:c>
    </x:row>
    <x:row r="553" ht="22" customHeight="1">
      <x:c r="A553" s="2" t="n">
        <x:v>274</x:v>
      </x:c>
      <x:c r="B553" s="2" t="str">
        <x:v>NAVY</x:v>
      </x:c>
      <x:c r="C553" s="2" t="str">
        <x:v>240만</x:v>
      </x:c>
      <x:c r="D553" s="2" t="str">
        <x:v>규칙형</x:v>
      </x:c>
      <x:c r="E553" s="14" t="n">
        <x:f>SUM(F553:M553)</x:f>
        <x:v>106</x:v>
      </x:c>
      <x:c r="F553" s="14" t="n">
        <x:v>0</x:v>
      </x:c>
      <x:c r="G553" s="14" t="n">
        <x:v>6</x:v>
      </x:c>
      <x:c r="H553" s="14" t="n">
        <x:v>9</x:v>
      </x:c>
      <x:c r="I553" s="14" t="n">
        <x:v>3</x:v>
      </x:c>
      <x:c r="J553" s="14" t="n">
        <x:v>1</x:v>
      </x:c>
      <x:c r="K553" s="14" t="n">
        <x:v>2</x:v>
      </x:c>
      <x:c r="L553" s="14" t="n">
        <x:v>39</x:v>
      </x:c>
      <x:c r="M553" s="14" t="n">
        <x:v>46</x:v>
      </x:c>
      <x:c r="N553" s="15" t="n">
        <x:f>IF(E553=0,"해당 없음",F553/E553)</x:f>
        <x:v>0</x:v>
      </x:c>
      <x:c r="O553" s="15" t="n">
        <x:f>IF(E553=0,"해당 없음",G553/E553)</x:f>
        <x:v>0.05660377358490566</x:v>
      </x:c>
      <x:c r="P553" s="15" t="n">
        <x:f>IF(E553=0,"해당 없음",H553/E553)</x:f>
        <x:v>0.08490566037735849</x:v>
      </x:c>
      <x:c r="Q553" s="15" t="n">
        <x:f>IF(E553=0,"해당 없음",I553/E553)</x:f>
        <x:v>0.02830188679245283</x:v>
      </x:c>
      <x:c r="R553" s="15" t="n">
        <x:f>IF(E553=0,"해당 없음",J553/E553)</x:f>
        <x:v>0.009433962264150943</x:v>
      </x:c>
      <x:c r="S553" s="15" t="n">
        <x:f>IF(E553=0,"해당 없음",K553/E553)</x:f>
        <x:v>0.018867924528301886</x:v>
      </x:c>
      <x:c r="T553" s="15" t="n">
        <x:f>IF(E553=0,"해당 없음",L553/E553)</x:f>
        <x:v>0.36792452830188677</x:v>
      </x:c>
      <x:c r="U553" s="15" t="n">
        <x:f>IF(E553=0,"해당 없음",M553/E553)</x:f>
        <x:v>0.4339622641509434</x:v>
      </x:c>
      <x:c r="V553" s="16" t="n">
        <x:f>E553/5</x:f>
        <x:v>21.2</x:v>
      </x:c>
    </x:row>
    <x:row r="554" ht="22" customHeight="1">
      <x:c r="A554" s="2" t="n">
        <x:v>275</x:v>
      </x:c>
      <x:c r="B554" s="2" t="str">
        <x:v>RED</x:v>
      </x:c>
      <x:c r="C554" s="2" t="str">
        <x:v>240만</x:v>
      </x:c>
      <x:c r="D554" s="2" t="str">
        <x:v>규칙형</x:v>
      </x:c>
      <x:c r="E554" s="14" t="n">
        <x:f>SUM(F554:M554)</x:f>
        <x:v>104</x:v>
      </x:c>
      <x:c r="F554" s="14" t="n">
        <x:v>1</x:v>
      </x:c>
      <x:c r="G554" s="14" t="n">
        <x:v>13</x:v>
      </x:c>
      <x:c r="H554" s="14" t="n">
        <x:v>8</x:v>
      </x:c>
      <x:c r="I554" s="14" t="n">
        <x:v>3</x:v>
      </x:c>
      <x:c r="J554" s="14" t="n">
        <x:v>1</x:v>
      </x:c>
      <x:c r="K554" s="14" t="n">
        <x:v>4</x:v>
      </x:c>
      <x:c r="L554" s="14" t="n">
        <x:v>37</x:v>
      </x:c>
      <x:c r="M554" s="14" t="n">
        <x:v>37</x:v>
      </x:c>
      <x:c r="N554" s="15" t="n">
        <x:f>IF(E554=0,"해당 없음",F554/E554)</x:f>
        <x:v>0.009615384615384616</x:v>
      </x:c>
      <x:c r="O554" s="15" t="n">
        <x:f>IF(E554=0,"해당 없음",G554/E554)</x:f>
        <x:v>0.125</x:v>
      </x:c>
      <x:c r="P554" s="15" t="n">
        <x:f>IF(E554=0,"해당 없음",H554/E554)</x:f>
        <x:v>0.07692307692307693</x:v>
      </x:c>
      <x:c r="Q554" s="15" t="n">
        <x:f>IF(E554=0,"해당 없음",I554/E554)</x:f>
        <x:v>0.028846153846153848</x:v>
      </x:c>
      <x:c r="R554" s="15" t="n">
        <x:f>IF(E554=0,"해당 없음",J554/E554)</x:f>
        <x:v>0.009615384615384616</x:v>
      </x:c>
      <x:c r="S554" s="15" t="n">
        <x:f>IF(E554=0,"해당 없음",K554/E554)</x:f>
        <x:v>0.038461538461538464</x:v>
      </x:c>
      <x:c r="T554" s="15" t="n">
        <x:f>IF(E554=0,"해당 없음",L554/E554)</x:f>
        <x:v>0.3557692307692308</x:v>
      </x:c>
      <x:c r="U554" s="15" t="n">
        <x:f>IF(E554=0,"해당 없음",M554/E554)</x:f>
        <x:v>0.3557692307692308</x:v>
      </x:c>
      <x:c r="V554" s="16" t="n">
        <x:f>E554/5</x:f>
        <x:v>20.8</x:v>
      </x:c>
    </x:row>
    <x:row r="555" ht="22" customHeight="1">
      <x:c r="A555" s="2" t="n">
        <x:v>275</x:v>
      </x:c>
      <x:c r="B555" s="2" t="str">
        <x:v>NAVY</x:v>
      </x:c>
      <x:c r="C555" s="2" t="str">
        <x:v>규칙형</x:v>
      </x:c>
      <x:c r="D555" s="2" t="str">
        <x:v>240만</x:v>
      </x:c>
      <x:c r="E555" s="14" t="n">
        <x:f>SUM(F555:M555)</x:f>
        <x:v>104</x:v>
      </x:c>
      <x:c r="F555" s="14" t="n">
        <x:v>32</x:v>
      </x:c>
      <x:c r="G555" s="14" t="n">
        <x:v>8</x:v>
      </x:c>
      <x:c r="H555" s="14" t="n">
        <x:v>7</x:v>
      </x:c>
      <x:c r="I555" s="14" t="n">
        <x:v>17</x:v>
      </x:c>
      <x:c r="J555" s="14" t="n">
        <x:v>10</x:v>
      </x:c>
      <x:c r="K555" s="14" t="n">
        <x:v>6</x:v>
      </x:c>
      <x:c r="L555" s="14" t="n">
        <x:v>14</x:v>
      </x:c>
      <x:c r="M555" s="14" t="n">
        <x:v>10</x:v>
      </x:c>
      <x:c r="N555" s="15" t="n">
        <x:f>IF(E555=0,"해당 없음",F555/E555)</x:f>
        <x:v>0.3076923076923077</x:v>
      </x:c>
      <x:c r="O555" s="15" t="n">
        <x:f>IF(E555=0,"해당 없음",G555/E555)</x:f>
        <x:v>0.07692307692307693</x:v>
      </x:c>
      <x:c r="P555" s="15" t="n">
        <x:f>IF(E555=0,"해당 없음",H555/E555)</x:f>
        <x:v>0.0673076923076923</x:v>
      </x:c>
      <x:c r="Q555" s="15" t="n">
        <x:f>IF(E555=0,"해당 없음",I555/E555)</x:f>
        <x:v>0.16346153846153846</x:v>
      </x:c>
      <x:c r="R555" s="15" t="n">
        <x:f>IF(E555=0,"해당 없음",J555/E555)</x:f>
        <x:v>0.09615384615384616</x:v>
      </x:c>
      <x:c r="S555" s="15" t="n">
        <x:f>IF(E555=0,"해당 없음",K555/E555)</x:f>
        <x:v>0.057692307692307696</x:v>
      </x:c>
      <x:c r="T555" s="15" t="n">
        <x:f>IF(E555=0,"해당 없음",L555/E555)</x:f>
        <x:v>0.1346153846153846</x:v>
      </x:c>
      <x:c r="U555" s="15" t="n">
        <x:f>IF(E555=0,"해당 없음",M555/E555)</x:f>
        <x:v>0.09615384615384616</x:v>
      </x:c>
      <x:c r="V555" s="16" t="n">
        <x:f>E555/5</x:f>
        <x:v>20.8</x:v>
      </x:c>
    </x:row>
    <x:row r="556" ht="22" customHeight="1">
      <x:c r="A556" s="2" t="n">
        <x:v>276</x:v>
      </x:c>
      <x:c r="B556" s="2" t="str">
        <x:v>RED</x:v>
      </x:c>
      <x:c r="C556" s="2" t="str">
        <x:v>규칙형</x:v>
      </x:c>
      <x:c r="D556" s="2" t="str">
        <x:v>240만</x:v>
      </x:c>
      <x:c r="E556" s="14" t="n">
        <x:f>SUM(F556:M556)</x:f>
        <x:v>105</x:v>
      </x:c>
      <x:c r="F556" s="14" t="n">
        <x:v>39</x:v>
      </x:c>
      <x:c r="G556" s="14" t="n">
        <x:v>6</x:v>
      </x:c>
      <x:c r="H556" s="14" t="n">
        <x:v>1</x:v>
      </x:c>
      <x:c r="I556" s="14" t="n">
        <x:v>14</x:v>
      </x:c>
      <x:c r="J556" s="14" t="n">
        <x:v>8</x:v>
      </x:c>
      <x:c r="K556" s="14" t="n">
        <x:v>6</x:v>
      </x:c>
      <x:c r="L556" s="14" t="n">
        <x:v>21</x:v>
      </x:c>
      <x:c r="M556" s="14" t="n">
        <x:v>10</x:v>
      </x:c>
      <x:c r="N556" s="15" t="n">
        <x:f>IF(E556=0,"해당 없음",F556/E556)</x:f>
        <x:v>0.37142857142857144</x:v>
      </x:c>
      <x:c r="O556" s="15" t="n">
        <x:f>IF(E556=0,"해당 없음",G556/E556)</x:f>
        <x:v>0.05714285714285714</x:v>
      </x:c>
      <x:c r="P556" s="15" t="n">
        <x:f>IF(E556=0,"해당 없음",H556/E556)</x:f>
        <x:v>0.009523809523809525</x:v>
      </x:c>
      <x:c r="Q556" s="15" t="n">
        <x:f>IF(E556=0,"해당 없음",I556/E556)</x:f>
        <x:v>0.13333333333333333</x:v>
      </x:c>
      <x:c r="R556" s="15" t="n">
        <x:f>IF(E556=0,"해당 없음",J556/E556)</x:f>
        <x:v>0.0761904761904762</x:v>
      </x:c>
      <x:c r="S556" s="15" t="n">
        <x:f>IF(E556=0,"해당 없음",K556/E556)</x:f>
        <x:v>0.05714285714285714</x:v>
      </x:c>
      <x:c r="T556" s="15" t="n">
        <x:f>IF(E556=0,"해당 없음",L556/E556)</x:f>
        <x:v>0.2</x:v>
      </x:c>
      <x:c r="U556" s="15" t="n">
        <x:f>IF(E556=0,"해당 없음",M556/E556)</x:f>
        <x:v>0.09523809523809523</x:v>
      </x:c>
      <x:c r="V556" s="16" t="n">
        <x:f>E556/5</x:f>
        <x:v>21</x:v>
      </x:c>
    </x:row>
    <x:row r="557" ht="22" customHeight="1">
      <x:c r="A557" s="2" t="n">
        <x:v>276</x:v>
      </x:c>
      <x:c r="B557" s="2" t="str">
        <x:v>NAVY</x:v>
      </x:c>
      <x:c r="C557" s="2" t="str">
        <x:v>240만</x:v>
      </x:c>
      <x:c r="D557" s="2" t="str">
        <x:v>규칙형</x:v>
      </x:c>
      <x:c r="E557" s="14" t="n">
        <x:f>SUM(F557:M557)</x:f>
        <x:v>105</x:v>
      </x:c>
      <x:c r="F557" s="14" t="n">
        <x:v>1</x:v>
      </x:c>
      <x:c r="G557" s="14" t="n">
        <x:v>10</x:v>
      </x:c>
      <x:c r="H557" s="14" t="n">
        <x:v>2</x:v>
      </x:c>
      <x:c r="I557" s="14" t="n">
        <x:v>7</x:v>
      </x:c>
      <x:c r="J557" s="14" t="n">
        <x:v>1</x:v>
      </x:c>
      <x:c r="K557" s="14" t="n">
        <x:v>0</x:v>
      </x:c>
      <x:c r="L557" s="14" t="n">
        <x:v>36</x:v>
      </x:c>
      <x:c r="M557" s="14" t="n">
        <x:v>48</x:v>
      </x:c>
      <x:c r="N557" s="15" t="n">
        <x:f>IF(E557=0,"해당 없음",F557/E557)</x:f>
        <x:v>0.009523809523809525</x:v>
      </x:c>
      <x:c r="O557" s="15" t="n">
        <x:f>IF(E557=0,"해당 없음",G557/E557)</x:f>
        <x:v>0.09523809523809523</x:v>
      </x:c>
      <x:c r="P557" s="15" t="n">
        <x:f>IF(E557=0,"해당 없음",H557/E557)</x:f>
        <x:v>0.01904761904761905</x:v>
      </x:c>
      <x:c r="Q557" s="15" t="n">
        <x:f>IF(E557=0,"해당 없음",I557/E557)</x:f>
        <x:v>0.06666666666666667</x:v>
      </x:c>
      <x:c r="R557" s="15" t="n">
        <x:f>IF(E557=0,"해당 없음",J557/E557)</x:f>
        <x:v>0.009523809523809525</x:v>
      </x:c>
      <x:c r="S557" s="15" t="n">
        <x:f>IF(E557=0,"해당 없음",K557/E557)</x:f>
        <x:v>0</x:v>
      </x:c>
      <x:c r="T557" s="15" t="n">
        <x:f>IF(E557=0,"해당 없음",L557/E557)</x:f>
        <x:v>0.34285714285714286</x:v>
      </x:c>
      <x:c r="U557" s="15" t="n">
        <x:f>IF(E557=0,"해당 없음",M557/E557)</x:f>
        <x:v>0.45714285714285713</x:v>
      </x:c>
      <x:c r="V557" s="16" t="n">
        <x:f>E557/5</x:f>
        <x:v>21</x:v>
      </x:c>
    </x:row>
    <x:row r="558" ht="22" customHeight="1">
      <x:c r="A558" s="2" t="n">
        <x:v>277</x:v>
      </x:c>
      <x:c r="B558" s="2" t="str">
        <x:v>RED</x:v>
      </x:c>
      <x:c r="C558" s="2" t="str">
        <x:v>240만</x:v>
      </x:c>
      <x:c r="D558" s="2" t="str">
        <x:v>규칙형</x:v>
      </x:c>
      <x:c r="E558" s="14" t="n">
        <x:f>SUM(F558:M558)</x:f>
        <x:v>104</x:v>
      </x:c>
      <x:c r="F558" s="14" t="n">
        <x:v>2</x:v>
      </x:c>
      <x:c r="G558" s="14" t="n">
        <x:v>14</x:v>
      </x:c>
      <x:c r="H558" s="14" t="n">
        <x:v>4</x:v>
      </x:c>
      <x:c r="I558" s="14" t="n">
        <x:v>3</x:v>
      </x:c>
      <x:c r="J558" s="14" t="n">
        <x:v>1</x:v>
      </x:c>
      <x:c r="K558" s="14" t="n">
        <x:v>6</x:v>
      </x:c>
      <x:c r="L558" s="14" t="n">
        <x:v>34</x:v>
      </x:c>
      <x:c r="M558" s="14" t="n">
        <x:v>40</x:v>
      </x:c>
      <x:c r="N558" s="15" t="n">
        <x:f>IF(E558=0,"해당 없음",F558/E558)</x:f>
        <x:v>0.019230769230769232</x:v>
      </x:c>
      <x:c r="O558" s="15" t="n">
        <x:f>IF(E558=0,"해당 없음",G558/E558)</x:f>
        <x:v>0.1346153846153846</x:v>
      </x:c>
      <x:c r="P558" s="15" t="n">
        <x:f>IF(E558=0,"해당 없음",H558/E558)</x:f>
        <x:v>0.038461538461538464</x:v>
      </x:c>
      <x:c r="Q558" s="15" t="n">
        <x:f>IF(E558=0,"해당 없음",I558/E558)</x:f>
        <x:v>0.028846153846153848</x:v>
      </x:c>
      <x:c r="R558" s="15" t="n">
        <x:f>IF(E558=0,"해당 없음",J558/E558)</x:f>
        <x:v>0.009615384615384616</x:v>
      </x:c>
      <x:c r="S558" s="15" t="n">
        <x:f>IF(E558=0,"해당 없음",K558/E558)</x:f>
        <x:v>0.057692307692307696</x:v>
      </x:c>
      <x:c r="T558" s="15" t="n">
        <x:f>IF(E558=0,"해당 없음",L558/E558)</x:f>
        <x:v>0.3269230769230769</x:v>
      </x:c>
      <x:c r="U558" s="15" t="n">
        <x:f>IF(E558=0,"해당 없음",M558/E558)</x:f>
        <x:v>0.38461538461538464</x:v>
      </x:c>
      <x:c r="V558" s="16" t="n">
        <x:f>E558/5</x:f>
        <x:v>20.8</x:v>
      </x:c>
    </x:row>
    <x:row r="559" ht="22" customHeight="1">
      <x:c r="A559" s="2" t="n">
        <x:v>277</x:v>
      </x:c>
      <x:c r="B559" s="2" t="str">
        <x:v>NAVY</x:v>
      </x:c>
      <x:c r="C559" s="2" t="str">
        <x:v>규칙형</x:v>
      </x:c>
      <x:c r="D559" s="2" t="str">
        <x:v>240만</x:v>
      </x:c>
      <x:c r="E559" s="14" t="n">
        <x:f>SUM(F559:M559)</x:f>
        <x:v>101</x:v>
      </x:c>
      <x:c r="F559" s="14" t="n">
        <x:v>40</x:v>
      </x:c>
      <x:c r="G559" s="14" t="n">
        <x:v>5</x:v>
      </x:c>
      <x:c r="H559" s="14" t="n">
        <x:v>14</x:v>
      </x:c>
      <x:c r="I559" s="14" t="n">
        <x:v>18</x:v>
      </x:c>
      <x:c r="J559" s="14" t="n">
        <x:v>6</x:v>
      </x:c>
      <x:c r="K559" s="14" t="n">
        <x:v>3</x:v>
      </x:c>
      <x:c r="L559" s="14" t="n">
        <x:v>12</x:v>
      </x:c>
      <x:c r="M559" s="14" t="n">
        <x:v>3</x:v>
      </x:c>
      <x:c r="N559" s="15" t="n">
        <x:f>IF(E559=0,"해당 없음",F559/E559)</x:f>
        <x:v>0.39603960396039606</x:v>
      </x:c>
      <x:c r="O559" s="15" t="n">
        <x:f>IF(E559=0,"해당 없음",G559/E559)</x:f>
        <x:v>0.04950495049504951</x:v>
      </x:c>
      <x:c r="P559" s="15" t="n">
        <x:f>IF(E559=0,"해당 없음",H559/E559)</x:f>
        <x:v>0.13861386138613863</x:v>
      </x:c>
      <x:c r="Q559" s="15" t="n">
        <x:f>IF(E559=0,"해당 없음",I559/E559)</x:f>
        <x:v>0.1782178217821782</x:v>
      </x:c>
      <x:c r="R559" s="15" t="n">
        <x:f>IF(E559=0,"해당 없음",J559/E559)</x:f>
        <x:v>0.0594059405940594</x:v>
      </x:c>
      <x:c r="S559" s="15" t="n">
        <x:f>IF(E559=0,"해당 없음",K559/E559)</x:f>
        <x:v>0.0297029702970297</x:v>
      </x:c>
      <x:c r="T559" s="15" t="n">
        <x:f>IF(E559=0,"해당 없음",L559/E559)</x:f>
        <x:v>0.1188118811881188</x:v>
      </x:c>
      <x:c r="U559" s="15" t="n">
        <x:f>IF(E559=0,"해당 없음",M559/E559)</x:f>
        <x:v>0.0297029702970297</x:v>
      </x:c>
      <x:c r="V559" s="16" t="n">
        <x:f>E559/5</x:f>
        <x:v>20.2</x:v>
      </x:c>
    </x:row>
    <x:row r="560" ht="22" customHeight="1">
      <x:c r="A560" s="2" t="n">
        <x:v>278</x:v>
      </x:c>
      <x:c r="B560" s="2" t="str">
        <x:v>RED</x:v>
      </x:c>
      <x:c r="C560" s="2" t="str">
        <x:v>규칙형</x:v>
      </x:c>
      <x:c r="D560" s="2" t="str">
        <x:v>240만</x:v>
      </x:c>
      <x:c r="E560" s="14" t="n">
        <x:f>SUM(F560:M560)</x:f>
        <x:v>106</x:v>
      </x:c>
      <x:c r="F560" s="14" t="n">
        <x:v>41</x:v>
      </x:c>
      <x:c r="G560" s="14" t="n">
        <x:v>3</x:v>
      </x:c>
      <x:c r="H560" s="14" t="n">
        <x:v>8</x:v>
      </x:c>
      <x:c r="I560" s="14" t="n">
        <x:v>22</x:v>
      </x:c>
      <x:c r="J560" s="14" t="n">
        <x:v>7</x:v>
      </x:c>
      <x:c r="K560" s="14" t="n">
        <x:v>8</x:v>
      </x:c>
      <x:c r="L560" s="14" t="n">
        <x:v>10</x:v>
      </x:c>
      <x:c r="M560" s="14" t="n">
        <x:v>7</x:v>
      </x:c>
      <x:c r="N560" s="15" t="n">
        <x:f>IF(E560=0,"해당 없음",F560/E560)</x:f>
        <x:v>0.3867924528301887</x:v>
      </x:c>
      <x:c r="O560" s="15" t="n">
        <x:f>IF(E560=0,"해당 없음",G560/E560)</x:f>
        <x:v>0.02830188679245283</x:v>
      </x:c>
      <x:c r="P560" s="15" t="n">
        <x:f>IF(E560=0,"해당 없음",H560/E560)</x:f>
        <x:v>0.07547169811320754</x:v>
      </x:c>
      <x:c r="Q560" s="15" t="n">
        <x:f>IF(E560=0,"해당 없음",I560/E560)</x:f>
        <x:v>0.20754716981132076</x:v>
      </x:c>
      <x:c r="R560" s="15" t="n">
        <x:f>IF(E560=0,"해당 없음",J560/E560)</x:f>
        <x:v>0.0660377358490566</x:v>
      </x:c>
      <x:c r="S560" s="15" t="n">
        <x:f>IF(E560=0,"해당 없음",K560/E560)</x:f>
        <x:v>0.07547169811320754</x:v>
      </x:c>
      <x:c r="T560" s="15" t="n">
        <x:f>IF(E560=0,"해당 없음",L560/E560)</x:f>
        <x:v>0.09433962264150944</x:v>
      </x:c>
      <x:c r="U560" s="15" t="n">
        <x:f>IF(E560=0,"해당 없음",M560/E560)</x:f>
        <x:v>0.0660377358490566</x:v>
      </x:c>
      <x:c r="V560" s="16" t="n">
        <x:f>E560/5</x:f>
        <x:v>21.2</x:v>
      </x:c>
    </x:row>
    <x:row r="561" ht="22" customHeight="1">
      <x:c r="A561" s="2" t="n">
        <x:v>278</x:v>
      </x:c>
      <x:c r="B561" s="2" t="str">
        <x:v>NAVY</x:v>
      </x:c>
      <x:c r="C561" s="2" t="str">
        <x:v>240만</x:v>
      </x:c>
      <x:c r="D561" s="2" t="str">
        <x:v>규칙형</x:v>
      </x:c>
      <x:c r="E561" s="14" t="n">
        <x:f>SUM(F561:M561)</x:f>
        <x:v>106</x:v>
      </x:c>
      <x:c r="F561" s="14" t="n">
        <x:v>0</x:v>
      </x:c>
      <x:c r="G561" s="14" t="n">
        <x:v>10</x:v>
      </x:c>
      <x:c r="H561" s="14" t="n">
        <x:v>8</x:v>
      </x:c>
      <x:c r="I561" s="14" t="n">
        <x:v>2</x:v>
      </x:c>
      <x:c r="J561" s="14" t="n">
        <x:v>0</x:v>
      </x:c>
      <x:c r="K561" s="14" t="n">
        <x:v>1</x:v>
      </x:c>
      <x:c r="L561" s="14" t="n">
        <x:v>34</x:v>
      </x:c>
      <x:c r="M561" s="14" t="n">
        <x:v>51</x:v>
      </x:c>
      <x:c r="N561" s="15" t="n">
        <x:f>IF(E561=0,"해당 없음",F561/E561)</x:f>
        <x:v>0</x:v>
      </x:c>
      <x:c r="O561" s="15" t="n">
        <x:f>IF(E561=0,"해당 없음",G561/E561)</x:f>
        <x:v>0.09433962264150944</x:v>
      </x:c>
      <x:c r="P561" s="15" t="n">
        <x:f>IF(E561=0,"해당 없음",H561/E561)</x:f>
        <x:v>0.07547169811320754</x:v>
      </x:c>
      <x:c r="Q561" s="15" t="n">
        <x:f>IF(E561=0,"해당 없음",I561/E561)</x:f>
        <x:v>0.018867924528301886</x:v>
      </x:c>
      <x:c r="R561" s="15" t="n">
        <x:f>IF(E561=0,"해당 없음",J561/E561)</x:f>
        <x:v>0</x:v>
      </x:c>
      <x:c r="S561" s="15" t="n">
        <x:f>IF(E561=0,"해당 없음",K561/E561)</x:f>
        <x:v>0.009433962264150943</x:v>
      </x:c>
      <x:c r="T561" s="15" t="n">
        <x:f>IF(E561=0,"해당 없음",L561/E561)</x:f>
        <x:v>0.32075471698113206</x:v>
      </x:c>
      <x:c r="U561" s="15" t="n">
        <x:f>IF(E561=0,"해당 없음",M561/E561)</x:f>
        <x:v>0.4811320754716981</x:v>
      </x:c>
      <x:c r="V561" s="16" t="n">
        <x:f>E561/5</x:f>
        <x:v>21.2</x:v>
      </x:c>
    </x:row>
    <x:row r="562" ht="22" customHeight="1">
      <x:c r="A562" s="2" t="n">
        <x:v>279</x:v>
      </x:c>
      <x:c r="B562" s="2" t="str">
        <x:v>RED</x:v>
      </x:c>
      <x:c r="C562" s="2" t="str">
        <x:v>240만</x:v>
      </x:c>
      <x:c r="D562" s="2" t="str">
        <x:v>규칙형</x:v>
      </x:c>
      <x:c r="E562" s="14" t="n">
        <x:f>SUM(F562:M562)</x:f>
        <x:v>106</x:v>
      </x:c>
      <x:c r="F562" s="14" t="n">
        <x:v>1</x:v>
      </x:c>
      <x:c r="G562" s="14" t="n">
        <x:v>13</x:v>
      </x:c>
      <x:c r="H562" s="14" t="n">
        <x:v>8</x:v>
      </x:c>
      <x:c r="I562" s="14" t="n">
        <x:v>1</x:v>
      </x:c>
      <x:c r="J562" s="14" t="n">
        <x:v>1</x:v>
      </x:c>
      <x:c r="K562" s="14" t="n">
        <x:v>6</x:v>
      </x:c>
      <x:c r="L562" s="14" t="n">
        <x:v>40</x:v>
      </x:c>
      <x:c r="M562" s="14" t="n">
        <x:v>36</x:v>
      </x:c>
      <x:c r="N562" s="15" t="n">
        <x:f>IF(E562=0,"해당 없음",F562/E562)</x:f>
        <x:v>0.009433962264150943</x:v>
      </x:c>
      <x:c r="O562" s="15" t="n">
        <x:f>IF(E562=0,"해당 없음",G562/E562)</x:f>
        <x:v>0.12264150943396226</x:v>
      </x:c>
      <x:c r="P562" s="15" t="n">
        <x:f>IF(E562=0,"해당 없음",H562/E562)</x:f>
        <x:v>0.07547169811320754</x:v>
      </x:c>
      <x:c r="Q562" s="15" t="n">
        <x:f>IF(E562=0,"해당 없음",I562/E562)</x:f>
        <x:v>0.009433962264150943</x:v>
      </x:c>
      <x:c r="R562" s="15" t="n">
        <x:f>IF(E562=0,"해당 없음",J562/E562)</x:f>
        <x:v>0.009433962264150943</x:v>
      </x:c>
      <x:c r="S562" s="15" t="n">
        <x:f>IF(E562=0,"해당 없음",K562/E562)</x:f>
        <x:v>0.05660377358490566</x:v>
      </x:c>
      <x:c r="T562" s="15" t="n">
        <x:f>IF(E562=0,"해당 없음",L562/E562)</x:f>
        <x:v>0.37735849056603776</x:v>
      </x:c>
      <x:c r="U562" s="15" t="n">
        <x:f>IF(E562=0,"해당 없음",M562/E562)</x:f>
        <x:v>0.33962264150943394</x:v>
      </x:c>
      <x:c r="V562" s="16" t="n">
        <x:f>E562/5</x:f>
        <x:v>21.2</x:v>
      </x:c>
    </x:row>
    <x:row r="563" ht="22" customHeight="1">
      <x:c r="A563" s="2" t="n">
        <x:v>279</x:v>
      </x:c>
      <x:c r="B563" s="2" t="str">
        <x:v>NAVY</x:v>
      </x:c>
      <x:c r="C563" s="2" t="str">
        <x:v>규칙형</x:v>
      </x:c>
      <x:c r="D563" s="2" t="str">
        <x:v>240만</x:v>
      </x:c>
      <x:c r="E563" s="14" t="n">
        <x:f>SUM(F563:M563)</x:f>
        <x:v>103</x:v>
      </x:c>
      <x:c r="F563" s="14" t="n">
        <x:v>44</x:v>
      </x:c>
      <x:c r="G563" s="14" t="n">
        <x:v>4</x:v>
      </x:c>
      <x:c r="H563" s="14" t="n">
        <x:v>4</x:v>
      </x:c>
      <x:c r="I563" s="14" t="n">
        <x:v>16</x:v>
      </x:c>
      <x:c r="J563" s="14" t="n">
        <x:v>1</x:v>
      </x:c>
      <x:c r="K563" s="14" t="n">
        <x:v>3</x:v>
      </x:c>
      <x:c r="L563" s="14" t="n">
        <x:v>20</x:v>
      </x:c>
      <x:c r="M563" s="14" t="n">
        <x:v>11</x:v>
      </x:c>
      <x:c r="N563" s="15" t="n">
        <x:f>IF(E563=0,"해당 없음",F563/E563)</x:f>
        <x:v>0.42718446601941745</x:v>
      </x:c>
      <x:c r="O563" s="15" t="n">
        <x:f>IF(E563=0,"해당 없음",G563/E563)</x:f>
        <x:v>0.038834951456310676</x:v>
      </x:c>
      <x:c r="P563" s="15" t="n">
        <x:f>IF(E563=0,"해당 없음",H563/E563)</x:f>
        <x:v>0.038834951456310676</x:v>
      </x:c>
      <x:c r="Q563" s="15" t="n">
        <x:f>IF(E563=0,"해당 없음",I563/E563)</x:f>
        <x:v>0.1553398058252427</x:v>
      </x:c>
      <x:c r="R563" s="15" t="n">
        <x:f>IF(E563=0,"해당 없음",J563/E563)</x:f>
        <x:v>0.009708737864077669</x:v>
      </x:c>
      <x:c r="S563" s="15" t="n">
        <x:f>IF(E563=0,"해당 없음",K563/E563)</x:f>
        <x:v>0.02912621359223301</x:v>
      </x:c>
      <x:c r="T563" s="15" t="n">
        <x:f>IF(E563=0,"해당 없음",L563/E563)</x:f>
        <x:v>0.1941747572815534</x:v>
      </x:c>
      <x:c r="U563" s="15" t="n">
        <x:f>IF(E563=0,"해당 없음",M563/E563)</x:f>
        <x:v>0.10679611650485436</x:v>
      </x:c>
      <x:c r="V563" s="16" t="n">
        <x:f>E563/5</x:f>
        <x:v>20.6</x:v>
      </x:c>
    </x:row>
    <x:row r="564" ht="22" customHeight="1">
      <x:c r="A564" s="2" t="n">
        <x:v>280</x:v>
      </x:c>
      <x:c r="B564" s="2" t="str">
        <x:v>RED</x:v>
      </x:c>
      <x:c r="C564" s="2" t="str">
        <x:v>규칙형</x:v>
      </x:c>
      <x:c r="D564" s="2" t="str">
        <x:v>240만</x:v>
      </x:c>
      <x:c r="E564" s="14" t="n">
        <x:f>SUM(F564:M564)</x:f>
        <x:v>105</x:v>
      </x:c>
      <x:c r="F564" s="14" t="n">
        <x:v>32</x:v>
      </x:c>
      <x:c r="G564" s="14" t="n">
        <x:v>5</x:v>
      </x:c>
      <x:c r="H564" s="14" t="n">
        <x:v>16</x:v>
      </x:c>
      <x:c r="I564" s="14" t="n">
        <x:v>18</x:v>
      </x:c>
      <x:c r="J564" s="14" t="n">
        <x:v>5</x:v>
      </x:c>
      <x:c r="K564" s="14" t="n">
        <x:v>6</x:v>
      </x:c>
      <x:c r="L564" s="14" t="n">
        <x:v>13</x:v>
      </x:c>
      <x:c r="M564" s="14" t="n">
        <x:v>10</x:v>
      </x:c>
      <x:c r="N564" s="15" t="n">
        <x:f>IF(E564=0,"해당 없음",F564/E564)</x:f>
        <x:v>0.3047619047619048</x:v>
      </x:c>
      <x:c r="O564" s="15" t="n">
        <x:f>IF(E564=0,"해당 없음",G564/E564)</x:f>
        <x:v>0.047619047619047616</x:v>
      </x:c>
      <x:c r="P564" s="15" t="n">
        <x:f>IF(E564=0,"해당 없음",H564/E564)</x:f>
        <x:v>0.1523809523809524</x:v>
      </x:c>
      <x:c r="Q564" s="15" t="n">
        <x:f>IF(E564=0,"해당 없음",I564/E564)</x:f>
        <x:v>0.17142857142857143</x:v>
      </x:c>
      <x:c r="R564" s="15" t="n">
        <x:f>IF(E564=0,"해당 없음",J564/E564)</x:f>
        <x:v>0.047619047619047616</x:v>
      </x:c>
      <x:c r="S564" s="15" t="n">
        <x:f>IF(E564=0,"해당 없음",K564/E564)</x:f>
        <x:v>0.05714285714285714</x:v>
      </x:c>
      <x:c r="T564" s="15" t="n">
        <x:f>IF(E564=0,"해당 없음",L564/E564)</x:f>
        <x:v>0.12380952380952381</x:v>
      </x:c>
      <x:c r="U564" s="15" t="n">
        <x:f>IF(E564=0,"해당 없음",M564/E564)</x:f>
        <x:v>0.09523809523809523</x:v>
      </x:c>
      <x:c r="V564" s="16" t="n">
        <x:f>E564/5</x:f>
        <x:v>21</x:v>
      </x:c>
    </x:row>
    <x:row r="565" ht="22" customHeight="1">
      <x:c r="A565" s="2" t="n">
        <x:v>280</x:v>
      </x:c>
      <x:c r="B565" s="2" t="str">
        <x:v>NAVY</x:v>
      </x:c>
      <x:c r="C565" s="2" t="str">
        <x:v>240만</x:v>
      </x:c>
      <x:c r="D565" s="2" t="str">
        <x:v>규칙형</x:v>
      </x:c>
      <x:c r="E565" s="14" t="n">
        <x:f>SUM(F565:M565)</x:f>
        <x:v>105</x:v>
      </x:c>
      <x:c r="F565" s="14" t="n">
        <x:v>2</x:v>
      </x:c>
      <x:c r="G565" s="14" t="n">
        <x:v>3</x:v>
      </x:c>
      <x:c r="H565" s="14" t="n">
        <x:v>1</x:v>
      </x:c>
      <x:c r="I565" s="14" t="n">
        <x:v>2</x:v>
      </x:c>
      <x:c r="J565" s="14" t="n">
        <x:v>0</x:v>
      </x:c>
      <x:c r="K565" s="14" t="n">
        <x:v>3</x:v>
      </x:c>
      <x:c r="L565" s="14" t="n">
        <x:v>36</x:v>
      </x:c>
      <x:c r="M565" s="14" t="n">
        <x:v>58</x:v>
      </x:c>
      <x:c r="N565" s="15" t="n">
        <x:f>IF(E565=0,"해당 없음",F565/E565)</x:f>
        <x:v>0.01904761904761905</x:v>
      </x:c>
      <x:c r="O565" s="15" t="n">
        <x:f>IF(E565=0,"해당 없음",G565/E565)</x:f>
        <x:v>0.02857142857142857</x:v>
      </x:c>
      <x:c r="P565" s="15" t="n">
        <x:f>IF(E565=0,"해당 없음",H565/E565)</x:f>
        <x:v>0.009523809523809525</x:v>
      </x:c>
      <x:c r="Q565" s="15" t="n">
        <x:f>IF(E565=0,"해당 없음",I565/E565)</x:f>
        <x:v>0.01904761904761905</x:v>
      </x:c>
      <x:c r="R565" s="15" t="n">
        <x:f>IF(E565=0,"해당 없음",J565/E565)</x:f>
        <x:v>0</x:v>
      </x:c>
      <x:c r="S565" s="15" t="n">
        <x:f>IF(E565=0,"해당 없음",K565/E565)</x:f>
        <x:v>0.02857142857142857</x:v>
      </x:c>
      <x:c r="T565" s="15" t="n">
        <x:f>IF(E565=0,"해당 없음",L565/E565)</x:f>
        <x:v>0.34285714285714286</x:v>
      </x:c>
      <x:c r="U565" s="15" t="n">
        <x:f>IF(E565=0,"해당 없음",M565/E565)</x:f>
        <x:v>0.5523809523809524</x:v>
      </x:c>
      <x:c r="V565" s="16" t="n">
        <x:f>E565/5</x:f>
        <x:v>21</x:v>
      </x:c>
    </x:row>
    <x:row r="566" ht="22" customHeight="1">
      <x:c r="A566" s="2" t="n">
        <x:v>281</x:v>
      </x:c>
      <x:c r="B566" s="2" t="str">
        <x:v>RED</x:v>
      </x:c>
      <x:c r="C566" s="2" t="str">
        <x:v>0만</x:v>
      </x:c>
      <x:c r="D566" s="2" t="str">
        <x:v>40만</x:v>
      </x:c>
      <x:c r="E566" s="14" t="n">
        <x:f>SUM(F566:M566)</x:f>
        <x:v>107</x:v>
      </x:c>
      <x:c r="F566" s="14" t="n">
        <x:v>11</x:v>
      </x:c>
      <x:c r="G566" s="14" t="n">
        <x:v>12</x:v>
      </x:c>
      <x:c r="H566" s="14" t="n">
        <x:v>9</x:v>
      </x:c>
      <x:c r="I566" s="14" t="n">
        <x:v>21</x:v>
      </x:c>
      <x:c r="J566" s="14" t="n">
        <x:v>8</x:v>
      </x:c>
      <x:c r="K566" s="14" t="n">
        <x:v>17</x:v>
      </x:c>
      <x:c r="L566" s="14" t="n">
        <x:v>15</x:v>
      </x:c>
      <x:c r="M566" s="14" t="n">
        <x:v>14</x:v>
      </x:c>
      <x:c r="N566" s="15" t="n">
        <x:f>IF(E566=0,"해당 없음",F566/E566)</x:f>
        <x:v>0.102803738317757</x:v>
      </x:c>
      <x:c r="O566" s="15" t="n">
        <x:f>IF(E566=0,"해당 없음",G566/E566)</x:f>
        <x:v>0.11214953271028037</x:v>
      </x:c>
      <x:c r="P566" s="15" t="n">
        <x:f>IF(E566=0,"해당 없음",H566/E566)</x:f>
        <x:v>0.08411214953271028</x:v>
      </x:c>
      <x:c r="Q566" s="15" t="n">
        <x:f>IF(E566=0,"해당 없음",I566/E566)</x:f>
        <x:v>0.19626168224299065</x:v>
      </x:c>
      <x:c r="R566" s="15" t="n">
        <x:f>IF(E566=0,"해당 없음",J566/E566)</x:f>
        <x:v>0.07476635514018691</x:v>
      </x:c>
      <x:c r="S566" s="15" t="n">
        <x:f>IF(E566=0,"해당 없음",K566/E566)</x:f>
        <x:v>0.1588785046728972</x:v>
      </x:c>
      <x:c r="T566" s="15" t="n">
        <x:f>IF(E566=0,"해당 없음",L566/E566)</x:f>
        <x:v>0.14018691588785046</x:v>
      </x:c>
      <x:c r="U566" s="15" t="n">
        <x:f>IF(E566=0,"해당 없음",M566/E566)</x:f>
        <x:v>0.1308411214953271</x:v>
      </x:c>
      <x:c r="V566" s="16" t="n">
        <x:f>E566/5</x:f>
        <x:v>21.4</x:v>
      </x:c>
    </x:row>
    <x:row r="567" ht="22" customHeight="1">
      <x:c r="A567" s="2" t="n">
        <x:v>281</x:v>
      </x:c>
      <x:c r="B567" s="2" t="str">
        <x:v>NAVY</x:v>
      </x:c>
      <x:c r="C567" s="2" t="str">
        <x:v>40만</x:v>
      </x:c>
      <x:c r="D567" s="2" t="str">
        <x:v>0만</x:v>
      </x:c>
      <x:c r="E567" s="14" t="n">
        <x:f>SUM(F567:M567)</x:f>
        <x:v>107</x:v>
      </x:c>
      <x:c r="F567" s="14" t="n">
        <x:v>5</x:v>
      </x:c>
      <x:c r="G567" s="14" t="n">
        <x:v>31</x:v>
      </x:c>
      <x:c r="H567" s="14" t="n">
        <x:v>5</x:v>
      </x:c>
      <x:c r="I567" s="14" t="n">
        <x:v>7</x:v>
      </x:c>
      <x:c r="J567" s="14" t="n">
        <x:v>5</x:v>
      </x:c>
      <x:c r="K567" s="14" t="n">
        <x:v>4</x:v>
      </x:c>
      <x:c r="L567" s="14" t="n">
        <x:v>46</x:v>
      </x:c>
      <x:c r="M567" s="14" t="n">
        <x:v>4</x:v>
      </x:c>
      <x:c r="N567" s="15" t="n">
        <x:f>IF(E567=0,"해당 없음",F567/E567)</x:f>
        <x:v>0.04672897196261682</x:v>
      </x:c>
      <x:c r="O567" s="15" t="n">
        <x:f>IF(E567=0,"해당 없음",G567/E567)</x:f>
        <x:v>0.2897196261682243</x:v>
      </x:c>
      <x:c r="P567" s="15" t="n">
        <x:f>IF(E567=0,"해당 없음",H567/E567)</x:f>
        <x:v>0.04672897196261682</x:v>
      </x:c>
      <x:c r="Q567" s="15" t="n">
        <x:f>IF(E567=0,"해당 없음",I567/E567)</x:f>
        <x:v>0.06542056074766354</x:v>
      </x:c>
      <x:c r="R567" s="15" t="n">
        <x:f>IF(E567=0,"해당 없음",J567/E567)</x:f>
        <x:v>0.04672897196261682</x:v>
      </x:c>
      <x:c r="S567" s="15" t="n">
        <x:f>IF(E567=0,"해당 없음",K567/E567)</x:f>
        <x:v>0.037383177570093455</x:v>
      </x:c>
      <x:c r="T567" s="15" t="n">
        <x:f>IF(E567=0,"해당 없음",L567/E567)</x:f>
        <x:v>0.42990654205607476</x:v>
      </x:c>
      <x:c r="U567" s="15" t="n">
        <x:f>IF(E567=0,"해당 없음",M567/E567)</x:f>
        <x:v>0.037383177570093455</x:v>
      </x:c>
      <x:c r="V567" s="16" t="n">
        <x:f>E567/5</x:f>
        <x:v>21.4</x:v>
      </x:c>
    </x:row>
    <x:row r="568" ht="22" customHeight="1">
      <x:c r="A568" s="2" t="n">
        <x:v>282</x:v>
      </x:c>
      <x:c r="B568" s="2" t="str">
        <x:v>RED</x:v>
      </x:c>
      <x:c r="C568" s="2" t="str">
        <x:v>40만</x:v>
      </x:c>
      <x:c r="D568" s="2" t="str">
        <x:v>0만</x:v>
      </x:c>
      <x:c r="E568" s="14" t="n">
        <x:f>SUM(F568:M568)</x:f>
        <x:v>105</x:v>
      </x:c>
      <x:c r="F568" s="14" t="n">
        <x:v>5</x:v>
      </x:c>
      <x:c r="G568" s="14" t="n">
        <x:v>30</x:v>
      </x:c>
      <x:c r="H568" s="14" t="n">
        <x:v>8</x:v>
      </x:c>
      <x:c r="I568" s="14" t="n">
        <x:v>6</x:v>
      </x:c>
      <x:c r="J568" s="14" t="n">
        <x:v>5</x:v>
      </x:c>
      <x:c r="K568" s="14" t="n">
        <x:v>5</x:v>
      </x:c>
      <x:c r="L568" s="14" t="n">
        <x:v>43</x:v>
      </x:c>
      <x:c r="M568" s="14" t="n">
        <x:v>3</x:v>
      </x:c>
      <x:c r="N568" s="15" t="n">
        <x:f>IF(E568=0,"해당 없음",F568/E568)</x:f>
        <x:v>0.047619047619047616</x:v>
      </x:c>
      <x:c r="O568" s="15" t="n">
        <x:f>IF(E568=0,"해당 없음",G568/E568)</x:f>
        <x:v>0.2857142857142857</x:v>
      </x:c>
      <x:c r="P568" s="15" t="n">
        <x:f>IF(E568=0,"해당 없음",H568/E568)</x:f>
        <x:v>0.0761904761904762</x:v>
      </x:c>
      <x:c r="Q568" s="15" t="n">
        <x:f>IF(E568=0,"해당 없음",I568/E568)</x:f>
        <x:v>0.05714285714285714</x:v>
      </x:c>
      <x:c r="R568" s="15" t="n">
        <x:f>IF(E568=0,"해당 없음",J568/E568)</x:f>
        <x:v>0.047619047619047616</x:v>
      </x:c>
      <x:c r="S568" s="15" t="n">
        <x:f>IF(E568=0,"해당 없음",K568/E568)</x:f>
        <x:v>0.047619047619047616</x:v>
      </x:c>
      <x:c r="T568" s="15" t="n">
        <x:f>IF(E568=0,"해당 없음",L568/E568)</x:f>
        <x:v>0.4095238095238095</x:v>
      </x:c>
      <x:c r="U568" s="15" t="n">
        <x:f>IF(E568=0,"해당 없음",M568/E568)</x:f>
        <x:v>0.02857142857142857</x:v>
      </x:c>
      <x:c r="V568" s="16" t="n">
        <x:f>E568/5</x:f>
        <x:v>21</x:v>
      </x:c>
    </x:row>
    <x:row r="569" ht="22" customHeight="1">
      <x:c r="A569" s="2" t="n">
        <x:v>282</x:v>
      </x:c>
      <x:c r="B569" s="2" t="str">
        <x:v>NAVY</x:v>
      </x:c>
      <x:c r="C569" s="2" t="str">
        <x:v>0만</x:v>
      </x:c>
      <x:c r="D569" s="2" t="str">
        <x:v>40만</x:v>
      </x:c>
      <x:c r="E569" s="14" t="n">
        <x:f>SUM(F569:M569)</x:f>
        <x:v>105</x:v>
      </x:c>
      <x:c r="F569" s="14" t="n">
        <x:v>11</x:v>
      </x:c>
      <x:c r="G569" s="14" t="n">
        <x:v>12</x:v>
      </x:c>
      <x:c r="H569" s="14" t="n">
        <x:v>9</x:v>
      </x:c>
      <x:c r="I569" s="14" t="n">
        <x:v>21</x:v>
      </x:c>
      <x:c r="J569" s="14" t="n">
        <x:v>7</x:v>
      </x:c>
      <x:c r="K569" s="14" t="n">
        <x:v>15</x:v>
      </x:c>
      <x:c r="L569" s="14" t="n">
        <x:v>16</x:v>
      </x:c>
      <x:c r="M569" s="14" t="n">
        <x:v>14</x:v>
      </x:c>
      <x:c r="N569" s="15" t="n">
        <x:f>IF(E569=0,"해당 없음",F569/E569)</x:f>
        <x:v>0.10476190476190476</x:v>
      </x:c>
      <x:c r="O569" s="15" t="n">
        <x:f>IF(E569=0,"해당 없음",G569/E569)</x:f>
        <x:v>0.11428571428571428</x:v>
      </x:c>
      <x:c r="P569" s="15" t="n">
        <x:f>IF(E569=0,"해당 없음",H569/E569)</x:f>
        <x:v>0.08571428571428572</x:v>
      </x:c>
      <x:c r="Q569" s="15" t="n">
        <x:f>IF(E569=0,"해당 없음",I569/E569)</x:f>
        <x:v>0.2</x:v>
      </x:c>
      <x:c r="R569" s="15" t="n">
        <x:f>IF(E569=0,"해당 없음",J569/E569)</x:f>
        <x:v>0.06666666666666667</x:v>
      </x:c>
      <x:c r="S569" s="15" t="n">
        <x:f>IF(E569=0,"해당 없음",K569/E569)</x:f>
        <x:v>0.14285714285714285</x:v>
      </x:c>
      <x:c r="T569" s="15" t="n">
        <x:f>IF(E569=0,"해당 없음",L569/E569)</x:f>
        <x:v>0.1523809523809524</x:v>
      </x:c>
      <x:c r="U569" s="15" t="n">
        <x:f>IF(E569=0,"해당 없음",M569/E569)</x:f>
        <x:v>0.13333333333333333</x:v>
      </x:c>
      <x:c r="V569" s="16" t="n">
        <x:f>E569/5</x:f>
        <x:v>21</x:v>
      </x:c>
    </x:row>
    <x:row r="570" ht="22" customHeight="1">
      <x:c r="A570" s="2" t="n">
        <x:v>283</x:v>
      </x:c>
      <x:c r="B570" s="2" t="str">
        <x:v>RED</x:v>
      </x:c>
      <x:c r="C570" s="2" t="str">
        <x:v>0만</x:v>
      </x:c>
      <x:c r="D570" s="2" t="str">
        <x:v>40만</x:v>
      </x:c>
      <x:c r="E570" s="14" t="n">
        <x:f>SUM(F570:M570)</x:f>
        <x:v>104</x:v>
      </x:c>
      <x:c r="F570" s="14" t="n">
        <x:v>12</x:v>
      </x:c>
      <x:c r="G570" s="14" t="n">
        <x:v>17</x:v>
      </x:c>
      <x:c r="H570" s="14" t="n">
        <x:v>17</x:v>
      </x:c>
      <x:c r="I570" s="14" t="n">
        <x:v>13</x:v>
      </x:c>
      <x:c r="J570" s="14" t="n">
        <x:v>11</x:v>
      </x:c>
      <x:c r="K570" s="14" t="n">
        <x:v>15</x:v>
      </x:c>
      <x:c r="L570" s="14" t="n">
        <x:v>8</x:v>
      </x:c>
      <x:c r="M570" s="14" t="n">
        <x:v>11</x:v>
      </x:c>
      <x:c r="N570" s="15" t="n">
        <x:f>IF(E570=0,"해당 없음",F570/E570)</x:f>
        <x:v>0.11538461538461539</x:v>
      </x:c>
      <x:c r="O570" s="15" t="n">
        <x:f>IF(E570=0,"해당 없음",G570/E570)</x:f>
        <x:v>0.16346153846153846</x:v>
      </x:c>
      <x:c r="P570" s="15" t="n">
        <x:f>IF(E570=0,"해당 없음",H570/E570)</x:f>
        <x:v>0.16346153846153846</x:v>
      </x:c>
      <x:c r="Q570" s="15" t="n">
        <x:f>IF(E570=0,"해당 없음",I570/E570)</x:f>
        <x:v>0.125</x:v>
      </x:c>
      <x:c r="R570" s="15" t="n">
        <x:f>IF(E570=0,"해당 없음",J570/E570)</x:f>
        <x:v>0.10576923076923077</x:v>
      </x:c>
      <x:c r="S570" s="15" t="n">
        <x:f>IF(E570=0,"해당 없음",K570/E570)</x:f>
        <x:v>0.14423076923076922</x:v>
      </x:c>
      <x:c r="T570" s="15" t="n">
        <x:f>IF(E570=0,"해당 없음",L570/E570)</x:f>
        <x:v>0.07692307692307693</x:v>
      </x:c>
      <x:c r="U570" s="15" t="n">
        <x:f>IF(E570=0,"해당 없음",M570/E570)</x:f>
        <x:v>0.10576923076923077</x:v>
      </x:c>
      <x:c r="V570" s="16" t="n">
        <x:f>E570/5</x:f>
        <x:v>20.8</x:v>
      </x:c>
    </x:row>
    <x:row r="571" ht="22" customHeight="1">
      <x:c r="A571" s="2" t="n">
        <x:v>283</x:v>
      </x:c>
      <x:c r="B571" s="2" t="str">
        <x:v>NAVY</x:v>
      </x:c>
      <x:c r="C571" s="2" t="str">
        <x:v>40만</x:v>
      </x:c>
      <x:c r="D571" s="2" t="str">
        <x:v>0만</x:v>
      </x:c>
      <x:c r="E571" s="14" t="n">
        <x:f>SUM(F571:M571)</x:f>
        <x:v>104</x:v>
      </x:c>
      <x:c r="F571" s="14" t="n">
        <x:v>2</x:v>
      </x:c>
      <x:c r="G571" s="14" t="n">
        <x:v>24</x:v>
      </x:c>
      <x:c r="H571" s="14" t="n">
        <x:v>5</x:v>
      </x:c>
      <x:c r="I571" s="14" t="n">
        <x:v>10</x:v>
      </x:c>
      <x:c r="J571" s="14" t="n">
        <x:v>6</x:v>
      </x:c>
      <x:c r="K571" s="14" t="n">
        <x:v>14</x:v>
      </x:c>
      <x:c r="L571" s="14" t="n">
        <x:v>42</x:v>
      </x:c>
      <x:c r="M571" s="14" t="n">
        <x:v>1</x:v>
      </x:c>
      <x:c r="N571" s="15" t="n">
        <x:f>IF(E571=0,"해당 없음",F571/E571)</x:f>
        <x:v>0.019230769230769232</x:v>
      </x:c>
      <x:c r="O571" s="15" t="n">
        <x:f>IF(E571=0,"해당 없음",G571/E571)</x:f>
        <x:v>0.23076923076923078</x:v>
      </x:c>
      <x:c r="P571" s="15" t="n">
        <x:f>IF(E571=0,"해당 없음",H571/E571)</x:f>
        <x:v>0.04807692307692308</x:v>
      </x:c>
      <x:c r="Q571" s="15" t="n">
        <x:f>IF(E571=0,"해당 없음",I571/E571)</x:f>
        <x:v>0.09615384615384616</x:v>
      </x:c>
      <x:c r="R571" s="15" t="n">
        <x:f>IF(E571=0,"해당 없음",J571/E571)</x:f>
        <x:v>0.057692307692307696</x:v>
      </x:c>
      <x:c r="S571" s="15" t="n">
        <x:f>IF(E571=0,"해당 없음",K571/E571)</x:f>
        <x:v>0.1346153846153846</x:v>
      </x:c>
      <x:c r="T571" s="15" t="n">
        <x:f>IF(E571=0,"해당 없음",L571/E571)</x:f>
        <x:v>0.40384615384615385</x:v>
      </x:c>
      <x:c r="U571" s="15" t="n">
        <x:f>IF(E571=0,"해당 없음",M571/E571)</x:f>
        <x:v>0.009615384615384616</x:v>
      </x:c>
      <x:c r="V571" s="16" t="n">
        <x:f>E571/5</x:f>
        <x:v>20.8</x:v>
      </x:c>
    </x:row>
    <x:row r="572" ht="22" customHeight="1">
      <x:c r="A572" s="2" t="n">
        <x:v>284</x:v>
      </x:c>
      <x:c r="B572" s="2" t="str">
        <x:v>RED</x:v>
      </x:c>
      <x:c r="C572" s="2" t="str">
        <x:v>40만</x:v>
      </x:c>
      <x:c r="D572" s="2" t="str">
        <x:v>0만</x:v>
      </x:c>
      <x:c r="E572" s="14" t="n">
        <x:f>SUM(F572:M572)</x:f>
        <x:v>107</x:v>
      </x:c>
      <x:c r="F572" s="14" t="n">
        <x:v>4</x:v>
      </x:c>
      <x:c r="G572" s="14" t="n">
        <x:v>23</x:v>
      </x:c>
      <x:c r="H572" s="14" t="n">
        <x:v>8</x:v>
      </x:c>
      <x:c r="I572" s="14" t="n">
        <x:v>2</x:v>
      </x:c>
      <x:c r="J572" s="14" t="n">
        <x:v>7</x:v>
      </x:c>
      <x:c r="K572" s="14" t="n">
        <x:v>16</x:v>
      </x:c>
      <x:c r="L572" s="14" t="n">
        <x:v>43</x:v>
      </x:c>
      <x:c r="M572" s="14" t="n">
        <x:v>4</x:v>
      </x:c>
      <x:c r="N572" s="15" t="n">
        <x:f>IF(E572=0,"해당 없음",F572/E572)</x:f>
        <x:v>0.037383177570093455</x:v>
      </x:c>
      <x:c r="O572" s="15" t="n">
        <x:f>IF(E572=0,"해당 없음",G572/E572)</x:f>
        <x:v>0.21495327102803738</x:v>
      </x:c>
      <x:c r="P572" s="15" t="n">
        <x:f>IF(E572=0,"해당 없음",H572/E572)</x:f>
        <x:v>0.07476635514018691</x:v>
      </x:c>
      <x:c r="Q572" s="15" t="n">
        <x:f>IF(E572=0,"해당 없음",I572/E572)</x:f>
        <x:v>0.018691588785046728</x:v>
      </x:c>
      <x:c r="R572" s="15" t="n">
        <x:f>IF(E572=0,"해당 없음",J572/E572)</x:f>
        <x:v>0.06542056074766354</x:v>
      </x:c>
      <x:c r="S572" s="15" t="n">
        <x:f>IF(E572=0,"해당 없음",K572/E572)</x:f>
        <x:v>0.14953271028037382</x:v>
      </x:c>
      <x:c r="T572" s="15" t="n">
        <x:f>IF(E572=0,"해당 없음",L572/E572)</x:f>
        <x:v>0.40186915887850466</x:v>
      </x:c>
      <x:c r="U572" s="15" t="n">
        <x:f>IF(E572=0,"해당 없음",M572/E572)</x:f>
        <x:v>0.037383177570093455</x:v>
      </x:c>
      <x:c r="V572" s="16" t="n">
        <x:f>E572/5</x:f>
        <x:v>21.4</x:v>
      </x:c>
    </x:row>
    <x:row r="573" ht="22" customHeight="1">
      <x:c r="A573" s="2" t="n">
        <x:v>284</x:v>
      </x:c>
      <x:c r="B573" s="2" t="str">
        <x:v>NAVY</x:v>
      </x:c>
      <x:c r="C573" s="2" t="str">
        <x:v>0만</x:v>
      </x:c>
      <x:c r="D573" s="2" t="str">
        <x:v>40만</x:v>
      </x:c>
      <x:c r="E573" s="14" t="n">
        <x:f>SUM(F573:M573)</x:f>
        <x:v>108</x:v>
      </x:c>
      <x:c r="F573" s="14" t="n">
        <x:v>13</x:v>
      </x:c>
      <x:c r="G573" s="14" t="n">
        <x:v>18</x:v>
      </x:c>
      <x:c r="H573" s="14" t="n">
        <x:v>17</x:v>
      </x:c>
      <x:c r="I573" s="14" t="n">
        <x:v>14</x:v>
      </x:c>
      <x:c r="J573" s="14" t="n">
        <x:v>11</x:v>
      </x:c>
      <x:c r="K573" s="14" t="n">
        <x:v>16</x:v>
      </x:c>
      <x:c r="L573" s="14" t="n">
        <x:v>8</x:v>
      </x:c>
      <x:c r="M573" s="14" t="n">
        <x:v>11</x:v>
      </x:c>
      <x:c r="N573" s="15" t="n">
        <x:f>IF(E573=0,"해당 없음",F573/E573)</x:f>
        <x:v>0.12037037037037036</x:v>
      </x:c>
      <x:c r="O573" s="15" t="n">
        <x:f>IF(E573=0,"해당 없음",G573/E573)</x:f>
        <x:v>0.16666666666666666</x:v>
      </x:c>
      <x:c r="P573" s="15" t="n">
        <x:f>IF(E573=0,"해당 없음",H573/E573)</x:f>
        <x:v>0.1574074074074074</x:v>
      </x:c>
      <x:c r="Q573" s="15" t="n">
        <x:f>IF(E573=0,"해당 없음",I573/E573)</x:f>
        <x:v>0.12962962962962962</x:v>
      </x:c>
      <x:c r="R573" s="15" t="n">
        <x:f>IF(E573=0,"해당 없음",J573/E573)</x:f>
        <x:v>0.10185185185185185</x:v>
      </x:c>
      <x:c r="S573" s="15" t="n">
        <x:f>IF(E573=0,"해당 없음",K573/E573)</x:f>
        <x:v>0.14814814814814814</x:v>
      </x:c>
      <x:c r="T573" s="15" t="n">
        <x:f>IF(E573=0,"해당 없음",L573/E573)</x:f>
        <x:v>0.07407407407407407</x:v>
      </x:c>
      <x:c r="U573" s="15" t="n">
        <x:f>IF(E573=0,"해당 없음",M573/E573)</x:f>
        <x:v>0.10185185185185185</x:v>
      </x:c>
      <x:c r="V573" s="16" t="n">
        <x:f>E573/5</x:f>
        <x:v>21.6</x:v>
      </x:c>
    </x:row>
    <x:row r="574" ht="22" customHeight="1">
      <x:c r="A574" s="2" t="n">
        <x:v>285</x:v>
      </x:c>
      <x:c r="B574" s="2" t="str">
        <x:v>RED</x:v>
      </x:c>
      <x:c r="C574" s="2" t="str">
        <x:v>0만</x:v>
      </x:c>
      <x:c r="D574" s="2" t="str">
        <x:v>40만</x:v>
      </x:c>
      <x:c r="E574" s="14" t="n">
        <x:f>SUM(F574:M574)</x:f>
        <x:v>104</x:v>
      </x:c>
      <x:c r="F574" s="14" t="n">
        <x:v>11</x:v>
      </x:c>
      <x:c r="G574" s="14" t="n">
        <x:v>17</x:v>
      </x:c>
      <x:c r="H574" s="14" t="n">
        <x:v>15</x:v>
      </x:c>
      <x:c r="I574" s="14" t="n">
        <x:v>17</x:v>
      </x:c>
      <x:c r="J574" s="14" t="n">
        <x:v>14</x:v>
      </x:c>
      <x:c r="K574" s="14" t="n">
        <x:v>10</x:v>
      </x:c>
      <x:c r="L574" s="14" t="n">
        <x:v>12</x:v>
      </x:c>
      <x:c r="M574" s="14" t="n">
        <x:v>8</x:v>
      </x:c>
      <x:c r="N574" s="15" t="n">
        <x:f>IF(E574=0,"해당 없음",F574/E574)</x:f>
        <x:v>0.10576923076923077</x:v>
      </x:c>
      <x:c r="O574" s="15" t="n">
        <x:f>IF(E574=0,"해당 없음",G574/E574)</x:f>
        <x:v>0.16346153846153846</x:v>
      </x:c>
      <x:c r="P574" s="15" t="n">
        <x:f>IF(E574=0,"해당 없음",H574/E574)</x:f>
        <x:v>0.14423076923076922</x:v>
      </x:c>
      <x:c r="Q574" s="15" t="n">
        <x:f>IF(E574=0,"해당 없음",I574/E574)</x:f>
        <x:v>0.16346153846153846</x:v>
      </x:c>
      <x:c r="R574" s="15" t="n">
        <x:f>IF(E574=0,"해당 없음",J574/E574)</x:f>
        <x:v>0.1346153846153846</x:v>
      </x:c>
      <x:c r="S574" s="15" t="n">
        <x:f>IF(E574=0,"해당 없음",K574/E574)</x:f>
        <x:v>0.09615384615384616</x:v>
      </x:c>
      <x:c r="T574" s="15" t="n">
        <x:f>IF(E574=0,"해당 없음",L574/E574)</x:f>
        <x:v>0.11538461538461539</x:v>
      </x:c>
      <x:c r="U574" s="15" t="n">
        <x:f>IF(E574=0,"해당 없음",M574/E574)</x:f>
        <x:v>0.07692307692307693</x:v>
      </x:c>
      <x:c r="V574" s="16" t="n">
        <x:f>E574/5</x:f>
        <x:v>20.8</x:v>
      </x:c>
    </x:row>
    <x:row r="575" ht="22" customHeight="1">
      <x:c r="A575" s="2" t="n">
        <x:v>285</x:v>
      </x:c>
      <x:c r="B575" s="2" t="str">
        <x:v>NAVY</x:v>
      </x:c>
      <x:c r="C575" s="2" t="str">
        <x:v>40만</x:v>
      </x:c>
      <x:c r="D575" s="2" t="str">
        <x:v>0만</x:v>
      </x:c>
      <x:c r="E575" s="14" t="n">
        <x:f>SUM(F575:M575)</x:f>
        <x:v>105</x:v>
      </x:c>
      <x:c r="F575" s="14" t="n">
        <x:v>6</x:v>
      </x:c>
      <x:c r="G575" s="14" t="n">
        <x:v>32</x:v>
      </x:c>
      <x:c r="H575" s="14" t="n">
        <x:v>6</x:v>
      </x:c>
      <x:c r="I575" s="14" t="n">
        <x:v>6</x:v>
      </x:c>
      <x:c r="J575" s="14" t="n">
        <x:v>4</x:v>
      </x:c>
      <x:c r="K575" s="14" t="n">
        <x:v>12</x:v>
      </x:c>
      <x:c r="L575" s="14" t="n">
        <x:v>37</x:v>
      </x:c>
      <x:c r="M575" s="14" t="n">
        <x:v>2</x:v>
      </x:c>
      <x:c r="N575" s="15" t="n">
        <x:f>IF(E575=0,"해당 없음",F575/E575)</x:f>
        <x:v>0.05714285714285714</x:v>
      </x:c>
      <x:c r="O575" s="15" t="n">
        <x:f>IF(E575=0,"해당 없음",G575/E575)</x:f>
        <x:v>0.3047619047619048</x:v>
      </x:c>
      <x:c r="P575" s="15" t="n">
        <x:f>IF(E575=0,"해당 없음",H575/E575)</x:f>
        <x:v>0.05714285714285714</x:v>
      </x:c>
      <x:c r="Q575" s="15" t="n">
        <x:f>IF(E575=0,"해당 없음",I575/E575)</x:f>
        <x:v>0.05714285714285714</x:v>
      </x:c>
      <x:c r="R575" s="15" t="n">
        <x:f>IF(E575=0,"해당 없음",J575/E575)</x:f>
        <x:v>0.0380952380952381</x:v>
      </x:c>
      <x:c r="S575" s="15" t="n">
        <x:f>IF(E575=0,"해당 없음",K575/E575)</x:f>
        <x:v>0.11428571428571428</x:v>
      </x:c>
      <x:c r="T575" s="15" t="n">
        <x:f>IF(E575=0,"해당 없음",L575/E575)</x:f>
        <x:v>0.3523809523809524</x:v>
      </x:c>
      <x:c r="U575" s="15" t="n">
        <x:f>IF(E575=0,"해당 없음",M575/E575)</x:f>
        <x:v>0.01904761904761905</x:v>
      </x:c>
      <x:c r="V575" s="16" t="n">
        <x:f>E575/5</x:f>
        <x:v>21</x:v>
      </x:c>
    </x:row>
    <x:row r="576" ht="22" customHeight="1">
      <x:c r="A576" s="2" t="n">
        <x:v>286</x:v>
      </x:c>
      <x:c r="B576" s="2" t="str">
        <x:v>RED</x:v>
      </x:c>
      <x:c r="C576" s="2" t="str">
        <x:v>40만</x:v>
      </x:c>
      <x:c r="D576" s="2" t="str">
        <x:v>0만</x:v>
      </x:c>
      <x:c r="E576" s="14" t="n">
        <x:f>SUM(F576:M576)</x:f>
        <x:v>105</x:v>
      </x:c>
      <x:c r="F576" s="14" t="n">
        <x:v>4</x:v>
      </x:c>
      <x:c r="G576" s="14" t="n">
        <x:v>30</x:v>
      </x:c>
      <x:c r="H576" s="14" t="n">
        <x:v>14</x:v>
      </x:c>
      <x:c r="I576" s="14" t="n">
        <x:v>5</x:v>
      </x:c>
      <x:c r="J576" s="14" t="n">
        <x:v>4</x:v>
      </x:c>
      <x:c r="K576" s="14" t="n">
        <x:v>7</x:v>
      </x:c>
      <x:c r="L576" s="14" t="n">
        <x:v>39</x:v>
      </x:c>
      <x:c r="M576" s="14" t="n">
        <x:v>2</x:v>
      </x:c>
      <x:c r="N576" s="15" t="n">
        <x:f>IF(E576=0,"해당 없음",F576/E576)</x:f>
        <x:v>0.0380952380952381</x:v>
      </x:c>
      <x:c r="O576" s="15" t="n">
        <x:f>IF(E576=0,"해당 없음",G576/E576)</x:f>
        <x:v>0.2857142857142857</x:v>
      </x:c>
      <x:c r="P576" s="15" t="n">
        <x:f>IF(E576=0,"해당 없음",H576/E576)</x:f>
        <x:v>0.13333333333333333</x:v>
      </x:c>
      <x:c r="Q576" s="15" t="n">
        <x:f>IF(E576=0,"해당 없음",I576/E576)</x:f>
        <x:v>0.047619047619047616</x:v>
      </x:c>
      <x:c r="R576" s="15" t="n">
        <x:f>IF(E576=0,"해당 없음",J576/E576)</x:f>
        <x:v>0.0380952380952381</x:v>
      </x:c>
      <x:c r="S576" s="15" t="n">
        <x:f>IF(E576=0,"해당 없음",K576/E576)</x:f>
        <x:v>0.06666666666666667</x:v>
      </x:c>
      <x:c r="T576" s="15" t="n">
        <x:f>IF(E576=0,"해당 없음",L576/E576)</x:f>
        <x:v>0.37142857142857144</x:v>
      </x:c>
      <x:c r="U576" s="15" t="n">
        <x:f>IF(E576=0,"해당 없음",M576/E576)</x:f>
        <x:v>0.01904761904761905</x:v>
      </x:c>
      <x:c r="V576" s="16" t="n">
        <x:f>E576/5</x:f>
        <x:v>21</x:v>
      </x:c>
    </x:row>
    <x:row r="577" ht="22" customHeight="1">
      <x:c r="A577" s="2" t="n">
        <x:v>286</x:v>
      </x:c>
      <x:c r="B577" s="2" t="str">
        <x:v>NAVY</x:v>
      </x:c>
      <x:c r="C577" s="2" t="str">
        <x:v>0만</x:v>
      </x:c>
      <x:c r="D577" s="2" t="str">
        <x:v>40만</x:v>
      </x:c>
      <x:c r="E577" s="14" t="n">
        <x:f>SUM(F577:M577)</x:f>
        <x:v>104</x:v>
      </x:c>
      <x:c r="F577" s="14" t="n">
        <x:v>11</x:v>
      </x:c>
      <x:c r="G577" s="14" t="n">
        <x:v>17</x:v>
      </x:c>
      <x:c r="H577" s="14" t="n">
        <x:v>15</x:v>
      </x:c>
      <x:c r="I577" s="14" t="n">
        <x:v>17</x:v>
      </x:c>
      <x:c r="J577" s="14" t="n">
        <x:v>14</x:v>
      </x:c>
      <x:c r="K577" s="14" t="n">
        <x:v>10</x:v>
      </x:c>
      <x:c r="L577" s="14" t="n">
        <x:v>12</x:v>
      </x:c>
      <x:c r="M577" s="14" t="n">
        <x:v>8</x:v>
      </x:c>
      <x:c r="N577" s="15" t="n">
        <x:f>IF(E577=0,"해당 없음",F577/E577)</x:f>
        <x:v>0.10576923076923077</x:v>
      </x:c>
      <x:c r="O577" s="15" t="n">
        <x:f>IF(E577=0,"해당 없음",G577/E577)</x:f>
        <x:v>0.16346153846153846</x:v>
      </x:c>
      <x:c r="P577" s="15" t="n">
        <x:f>IF(E577=0,"해당 없음",H577/E577)</x:f>
        <x:v>0.14423076923076922</x:v>
      </x:c>
      <x:c r="Q577" s="15" t="n">
        <x:f>IF(E577=0,"해당 없음",I577/E577)</x:f>
        <x:v>0.16346153846153846</x:v>
      </x:c>
      <x:c r="R577" s="15" t="n">
        <x:f>IF(E577=0,"해당 없음",J577/E577)</x:f>
        <x:v>0.1346153846153846</x:v>
      </x:c>
      <x:c r="S577" s="15" t="n">
        <x:f>IF(E577=0,"해당 없음",K577/E577)</x:f>
        <x:v>0.09615384615384616</x:v>
      </x:c>
      <x:c r="T577" s="15" t="n">
        <x:f>IF(E577=0,"해당 없음",L577/E577)</x:f>
        <x:v>0.11538461538461539</x:v>
      </x:c>
      <x:c r="U577" s="15" t="n">
        <x:f>IF(E577=0,"해당 없음",M577/E577)</x:f>
        <x:v>0.07692307692307693</x:v>
      </x:c>
      <x:c r="V577" s="16" t="n">
        <x:f>E577/5</x:f>
        <x:v>20.8</x:v>
      </x:c>
    </x:row>
    <x:row r="578" ht="22" customHeight="1">
      <x:c r="A578" s="2" t="n">
        <x:v>287</x:v>
      </x:c>
      <x:c r="B578" s="2" t="str">
        <x:v>RED</x:v>
      </x:c>
      <x:c r="C578" s="2" t="str">
        <x:v>0만</x:v>
      </x:c>
      <x:c r="D578" s="2" t="str">
        <x:v>40만</x:v>
      </x:c>
      <x:c r="E578" s="14" t="n">
        <x:f>SUM(F578:M578)</x:f>
        <x:v>103</x:v>
      </x:c>
      <x:c r="F578" s="14" t="n">
        <x:v>8</x:v>
      </x:c>
      <x:c r="G578" s="14" t="n">
        <x:v>13</x:v>
      </x:c>
      <x:c r="H578" s="14" t="n">
        <x:v>17</x:v>
      </x:c>
      <x:c r="I578" s="14" t="n">
        <x:v>16</x:v>
      </x:c>
      <x:c r="J578" s="14" t="n">
        <x:v>10</x:v>
      </x:c>
      <x:c r="K578" s="14" t="n">
        <x:v>18</x:v>
      </x:c>
      <x:c r="L578" s="14" t="n">
        <x:v>8</x:v>
      </x:c>
      <x:c r="M578" s="14" t="n">
        <x:v>13</x:v>
      </x:c>
      <x:c r="N578" s="15" t="n">
        <x:f>IF(E578=0,"해당 없음",F578/E578)</x:f>
        <x:v>0.07766990291262135</x:v>
      </x:c>
      <x:c r="O578" s="15" t="n">
        <x:f>IF(E578=0,"해당 없음",G578/E578)</x:f>
        <x:v>0.1262135922330097</x:v>
      </x:c>
      <x:c r="P578" s="15" t="n">
        <x:f>IF(E578=0,"해당 없음",H578/E578)</x:f>
        <x:v>0.1650485436893204</x:v>
      </x:c>
      <x:c r="Q578" s="15" t="n">
        <x:f>IF(E578=0,"해당 없음",I578/E578)</x:f>
        <x:v>0.1553398058252427</x:v>
      </x:c>
      <x:c r="R578" s="15" t="n">
        <x:f>IF(E578=0,"해당 없음",J578/E578)</x:f>
        <x:v>0.0970873786407767</x:v>
      </x:c>
      <x:c r="S578" s="15" t="n">
        <x:f>IF(E578=0,"해당 없음",K578/E578)</x:f>
        <x:v>0.17475728155339806</x:v>
      </x:c>
      <x:c r="T578" s="15" t="n">
        <x:f>IF(E578=0,"해당 없음",L578/E578)</x:f>
        <x:v>0.07766990291262135</x:v>
      </x:c>
      <x:c r="U578" s="15" t="n">
        <x:f>IF(E578=0,"해당 없음",M578/E578)</x:f>
        <x:v>0.1262135922330097</x:v>
      </x:c>
      <x:c r="V578" s="16" t="n">
        <x:f>E578/5</x:f>
        <x:v>20.6</x:v>
      </x:c>
    </x:row>
    <x:row r="579" ht="22" customHeight="1">
      <x:c r="A579" s="2" t="n">
        <x:v>287</x:v>
      </x:c>
      <x:c r="B579" s="2" t="str">
        <x:v>NAVY</x:v>
      </x:c>
      <x:c r="C579" s="2" t="str">
        <x:v>40만</x:v>
      </x:c>
      <x:c r="D579" s="2" t="str">
        <x:v>0만</x:v>
      </x:c>
      <x:c r="E579" s="14" t="n">
        <x:f>SUM(F579:M579)</x:f>
        <x:v>103</x:v>
      </x:c>
      <x:c r="F579" s="14" t="n">
        <x:v>5</x:v>
      </x:c>
      <x:c r="G579" s="14" t="n">
        <x:v>25</x:v>
      </x:c>
      <x:c r="H579" s="14" t="n">
        <x:v>10</x:v>
      </x:c>
      <x:c r="I579" s="14" t="n">
        <x:v>9</x:v>
      </x:c>
      <x:c r="J579" s="14" t="n">
        <x:v>4</x:v>
      </x:c>
      <x:c r="K579" s="14" t="n">
        <x:v>10</x:v>
      </x:c>
      <x:c r="L579" s="14" t="n">
        <x:v>37</x:v>
      </x:c>
      <x:c r="M579" s="14" t="n">
        <x:v>3</x:v>
      </x:c>
      <x:c r="N579" s="15" t="n">
        <x:f>IF(E579=0,"해당 없음",F579/E579)</x:f>
        <x:v>0.04854368932038835</x:v>
      </x:c>
      <x:c r="O579" s="15" t="n">
        <x:f>IF(E579=0,"해당 없음",G579/E579)</x:f>
        <x:v>0.24271844660194175</x:v>
      </x:c>
      <x:c r="P579" s="15" t="n">
        <x:f>IF(E579=0,"해당 없음",H579/E579)</x:f>
        <x:v>0.0970873786407767</x:v>
      </x:c>
      <x:c r="Q579" s="15" t="n">
        <x:f>IF(E579=0,"해당 없음",I579/E579)</x:f>
        <x:v>0.08737864077669903</x:v>
      </x:c>
      <x:c r="R579" s="15" t="n">
        <x:f>IF(E579=0,"해당 없음",J579/E579)</x:f>
        <x:v>0.038834951456310676</x:v>
      </x:c>
      <x:c r="S579" s="15" t="n">
        <x:f>IF(E579=0,"해당 없음",K579/E579)</x:f>
        <x:v>0.0970873786407767</x:v>
      </x:c>
      <x:c r="T579" s="15" t="n">
        <x:f>IF(E579=0,"해당 없음",L579/E579)</x:f>
        <x:v>0.3592233009708738</x:v>
      </x:c>
      <x:c r="U579" s="15" t="n">
        <x:f>IF(E579=0,"해당 없음",M579/E579)</x:f>
        <x:v>0.02912621359223301</x:v>
      </x:c>
      <x:c r="V579" s="16" t="n">
        <x:f>E579/5</x:f>
        <x:v>20.6</x:v>
      </x:c>
    </x:row>
    <x:row r="580" ht="22" customHeight="1">
      <x:c r="A580" s="2" t="n">
        <x:v>288</x:v>
      </x:c>
      <x:c r="B580" s="2" t="str">
        <x:v>RED</x:v>
      </x:c>
      <x:c r="C580" s="2" t="str">
        <x:v>40만</x:v>
      </x:c>
      <x:c r="D580" s="2" t="str">
        <x:v>0만</x:v>
      </x:c>
      <x:c r="E580" s="14" t="n">
        <x:f>SUM(F580:M580)</x:f>
        <x:v>104</x:v>
      </x:c>
      <x:c r="F580" s="14" t="n">
        <x:v>4</x:v>
      </x:c>
      <x:c r="G580" s="14" t="n">
        <x:v>29</x:v>
      </x:c>
      <x:c r="H580" s="14" t="n">
        <x:v>8</x:v>
      </x:c>
      <x:c r="I580" s="14" t="n">
        <x:v>6</x:v>
      </x:c>
      <x:c r="J580" s="14" t="n">
        <x:v>4</x:v>
      </x:c>
      <x:c r="K580" s="14" t="n">
        <x:v>10</x:v>
      </x:c>
      <x:c r="L580" s="14" t="n">
        <x:v>40</x:v>
      </x:c>
      <x:c r="M580" s="14" t="n">
        <x:v>3</x:v>
      </x:c>
      <x:c r="N580" s="15" t="n">
        <x:f>IF(E580=0,"해당 없음",F580/E580)</x:f>
        <x:v>0.038461538461538464</x:v>
      </x:c>
      <x:c r="O580" s="15" t="n">
        <x:f>IF(E580=0,"해당 없음",G580/E580)</x:f>
        <x:v>0.27884615384615385</x:v>
      </x:c>
      <x:c r="P580" s="15" t="n">
        <x:f>IF(E580=0,"해당 없음",H580/E580)</x:f>
        <x:v>0.07692307692307693</x:v>
      </x:c>
      <x:c r="Q580" s="15" t="n">
        <x:f>IF(E580=0,"해당 없음",I580/E580)</x:f>
        <x:v>0.057692307692307696</x:v>
      </x:c>
      <x:c r="R580" s="15" t="n">
        <x:f>IF(E580=0,"해당 없음",J580/E580)</x:f>
        <x:v>0.038461538461538464</x:v>
      </x:c>
      <x:c r="S580" s="15" t="n">
        <x:f>IF(E580=0,"해당 없음",K580/E580)</x:f>
        <x:v>0.09615384615384616</x:v>
      </x:c>
      <x:c r="T580" s="15" t="n">
        <x:f>IF(E580=0,"해당 없음",L580/E580)</x:f>
        <x:v>0.38461538461538464</x:v>
      </x:c>
      <x:c r="U580" s="15" t="n">
        <x:f>IF(E580=0,"해당 없음",M580/E580)</x:f>
        <x:v>0.028846153846153848</x:v>
      </x:c>
      <x:c r="V580" s="16" t="n">
        <x:f>E580/5</x:f>
        <x:v>20.8</x:v>
      </x:c>
    </x:row>
    <x:row r="581" ht="22" customHeight="1">
      <x:c r="A581" s="2" t="n">
        <x:v>288</x:v>
      </x:c>
      <x:c r="B581" s="2" t="str">
        <x:v>NAVY</x:v>
      </x:c>
      <x:c r="C581" s="2" t="str">
        <x:v>0만</x:v>
      </x:c>
      <x:c r="D581" s="2" t="str">
        <x:v>40만</x:v>
      </x:c>
      <x:c r="E581" s="14" t="n">
        <x:f>SUM(F581:M581)</x:f>
        <x:v>104</x:v>
      </x:c>
      <x:c r="F581" s="14" t="n">
        <x:v>8</x:v>
      </x:c>
      <x:c r="G581" s="14" t="n">
        <x:v>12</x:v>
      </x:c>
      <x:c r="H581" s="14" t="n">
        <x:v>17</x:v>
      </x:c>
      <x:c r="I581" s="14" t="n">
        <x:v>17</x:v>
      </x:c>
      <x:c r="J581" s="14" t="n">
        <x:v>11</x:v>
      </x:c>
      <x:c r="K581" s="14" t="n">
        <x:v>19</x:v>
      </x:c>
      <x:c r="L581" s="14" t="n">
        <x:v>7</x:v>
      </x:c>
      <x:c r="M581" s="14" t="n">
        <x:v>13</x:v>
      </x:c>
      <x:c r="N581" s="15" t="n">
        <x:f>IF(E581=0,"해당 없음",F581/E581)</x:f>
        <x:v>0.07692307692307693</x:v>
      </x:c>
      <x:c r="O581" s="15" t="n">
        <x:f>IF(E581=0,"해당 없음",G581/E581)</x:f>
        <x:v>0.11538461538461539</x:v>
      </x:c>
      <x:c r="P581" s="15" t="n">
        <x:f>IF(E581=0,"해당 없음",H581/E581)</x:f>
        <x:v>0.16346153846153846</x:v>
      </x:c>
      <x:c r="Q581" s="15" t="n">
        <x:f>IF(E581=0,"해당 없음",I581/E581)</x:f>
        <x:v>0.16346153846153846</x:v>
      </x:c>
      <x:c r="R581" s="15" t="n">
        <x:f>IF(E581=0,"해당 없음",J581/E581)</x:f>
        <x:v>0.10576923076923077</x:v>
      </x:c>
      <x:c r="S581" s="15" t="n">
        <x:f>IF(E581=0,"해당 없음",K581/E581)</x:f>
        <x:v>0.18269230769230768</x:v>
      </x:c>
      <x:c r="T581" s="15" t="n">
        <x:f>IF(E581=0,"해당 없음",L581/E581)</x:f>
        <x:v>0.0673076923076923</x:v>
      </x:c>
      <x:c r="U581" s="15" t="n">
        <x:f>IF(E581=0,"해당 없음",M581/E581)</x:f>
        <x:v>0.125</x:v>
      </x:c>
      <x:c r="V581" s="16" t="n">
        <x:f>E581/5</x:f>
        <x:v>20.8</x:v>
      </x:c>
    </x:row>
    <x:row r="582" ht="22" customHeight="1">
      <x:c r="A582" s="2" t="n">
        <x:v>289</x:v>
      </x:c>
      <x:c r="B582" s="2" t="str">
        <x:v>RED</x:v>
      </x:c>
      <x:c r="C582" s="2" t="str">
        <x:v>0만</x:v>
      </x:c>
      <x:c r="D582" s="2" t="str">
        <x:v>40만</x:v>
      </x:c>
      <x:c r="E582" s="14" t="n">
        <x:f>SUM(F582:M582)</x:f>
        <x:v>103</x:v>
      </x:c>
      <x:c r="F582" s="14" t="n">
        <x:v>9</x:v>
      </x:c>
      <x:c r="G582" s="14" t="n">
        <x:v>9</x:v>
      </x:c>
      <x:c r="H582" s="14" t="n">
        <x:v>14</x:v>
      </x:c>
      <x:c r="I582" s="14" t="n">
        <x:v>11</x:v>
      </x:c>
      <x:c r="J582" s="14" t="n">
        <x:v>12</x:v>
      </x:c>
      <x:c r="K582" s="14" t="n">
        <x:v>17</x:v>
      </x:c>
      <x:c r="L582" s="14" t="n">
        <x:v>13</x:v>
      </x:c>
      <x:c r="M582" s="14" t="n">
        <x:v>18</x:v>
      </x:c>
      <x:c r="N582" s="15" t="n">
        <x:f>IF(E582=0,"해당 없음",F582/E582)</x:f>
        <x:v>0.08737864077669903</x:v>
      </x:c>
      <x:c r="O582" s="15" t="n">
        <x:f>IF(E582=0,"해당 없음",G582/E582)</x:f>
        <x:v>0.08737864077669903</x:v>
      </x:c>
      <x:c r="P582" s="15" t="n">
        <x:f>IF(E582=0,"해당 없음",H582/E582)</x:f>
        <x:v>0.13592233009708737</x:v>
      </x:c>
      <x:c r="Q582" s="15" t="n">
        <x:f>IF(E582=0,"해당 없음",I582/E582)</x:f>
        <x:v>0.10679611650485436</x:v>
      </x:c>
      <x:c r="R582" s="15" t="n">
        <x:f>IF(E582=0,"해당 없음",J582/E582)</x:f>
        <x:v>0.11650485436893204</x:v>
      </x:c>
      <x:c r="S582" s="15" t="n">
        <x:f>IF(E582=0,"해당 없음",K582/E582)</x:f>
        <x:v>0.1650485436893204</x:v>
      </x:c>
      <x:c r="T582" s="15" t="n">
        <x:f>IF(E582=0,"해당 없음",L582/E582)</x:f>
        <x:v>0.1262135922330097</x:v>
      </x:c>
      <x:c r="U582" s="15" t="n">
        <x:f>IF(E582=0,"해당 없음",M582/E582)</x:f>
        <x:v>0.17475728155339806</x:v>
      </x:c>
      <x:c r="V582" s="16" t="n">
        <x:f>E582/5</x:f>
        <x:v>20.6</x:v>
      </x:c>
    </x:row>
    <x:row r="583" ht="22" customHeight="1">
      <x:c r="A583" s="2" t="n">
        <x:v>289</x:v>
      </x:c>
      <x:c r="B583" s="2" t="str">
        <x:v>NAVY</x:v>
      </x:c>
      <x:c r="C583" s="2" t="str">
        <x:v>40만</x:v>
      </x:c>
      <x:c r="D583" s="2" t="str">
        <x:v>0만</x:v>
      </x:c>
      <x:c r="E583" s="14" t="n">
        <x:f>SUM(F583:M583)</x:f>
        <x:v>104</x:v>
      </x:c>
      <x:c r="F583" s="14" t="n">
        <x:v>4</x:v>
      </x:c>
      <x:c r="G583" s="14" t="n">
        <x:v>30</x:v>
      </x:c>
      <x:c r="H583" s="14" t="n">
        <x:v>8</x:v>
      </x:c>
      <x:c r="I583" s="14" t="n">
        <x:v>4</x:v>
      </x:c>
      <x:c r="J583" s="14" t="n">
        <x:v>8</x:v>
      </x:c>
      <x:c r="K583" s="14" t="n">
        <x:v>14</x:v>
      </x:c>
      <x:c r="L583" s="14" t="n">
        <x:v>35</x:v>
      </x:c>
      <x:c r="M583" s="14" t="n">
        <x:v>1</x:v>
      </x:c>
      <x:c r="N583" s="15" t="n">
        <x:f>IF(E583=0,"해당 없음",F583/E583)</x:f>
        <x:v>0.038461538461538464</x:v>
      </x:c>
      <x:c r="O583" s="15" t="n">
        <x:f>IF(E583=0,"해당 없음",G583/E583)</x:f>
        <x:v>0.28846153846153844</x:v>
      </x:c>
      <x:c r="P583" s="15" t="n">
        <x:f>IF(E583=0,"해당 없음",H583/E583)</x:f>
        <x:v>0.07692307692307693</x:v>
      </x:c>
      <x:c r="Q583" s="15" t="n">
        <x:f>IF(E583=0,"해당 없음",I583/E583)</x:f>
        <x:v>0.038461538461538464</x:v>
      </x:c>
      <x:c r="R583" s="15" t="n">
        <x:f>IF(E583=0,"해당 없음",J583/E583)</x:f>
        <x:v>0.07692307692307693</x:v>
      </x:c>
      <x:c r="S583" s="15" t="n">
        <x:f>IF(E583=0,"해당 없음",K583/E583)</x:f>
        <x:v>0.1346153846153846</x:v>
      </x:c>
      <x:c r="T583" s="15" t="n">
        <x:f>IF(E583=0,"해당 없음",L583/E583)</x:f>
        <x:v>0.33653846153846156</x:v>
      </x:c>
      <x:c r="U583" s="15" t="n">
        <x:f>IF(E583=0,"해당 없음",M583/E583)</x:f>
        <x:v>0.009615384615384616</x:v>
      </x:c>
      <x:c r="V583" s="16" t="n">
        <x:f>E583/5</x:f>
        <x:v>20.8</x:v>
      </x:c>
    </x:row>
    <x:row r="584" ht="22" customHeight="1">
      <x:c r="A584" s="2" t="n">
        <x:v>290</x:v>
      </x:c>
      <x:c r="B584" s="2" t="str">
        <x:v>RED</x:v>
      </x:c>
      <x:c r="C584" s="2" t="str">
        <x:v>40만</x:v>
      </x:c>
      <x:c r="D584" s="2" t="str">
        <x:v>0만</x:v>
      </x:c>
      <x:c r="E584" s="14" t="n">
        <x:f>SUM(F584:M584)</x:f>
        <x:v>104</x:v>
      </x:c>
      <x:c r="F584" s="14" t="n">
        <x:v>3</x:v>
      </x:c>
      <x:c r="G584" s="14" t="n">
        <x:v>31</x:v>
      </x:c>
      <x:c r="H584" s="14" t="n">
        <x:v>7</x:v>
      </x:c>
      <x:c r="I584" s="14" t="n">
        <x:v>5</x:v>
      </x:c>
      <x:c r="J584" s="14" t="n">
        <x:v>1</x:v>
      </x:c>
      <x:c r="K584" s="14" t="n">
        <x:v>12</x:v>
      </x:c>
      <x:c r="L584" s="14" t="n">
        <x:v>42</x:v>
      </x:c>
      <x:c r="M584" s="14" t="n">
        <x:v>3</x:v>
      </x:c>
      <x:c r="N584" s="15" t="n">
        <x:f>IF(E584=0,"해당 없음",F584/E584)</x:f>
        <x:v>0.028846153846153848</x:v>
      </x:c>
      <x:c r="O584" s="15" t="n">
        <x:f>IF(E584=0,"해당 없음",G584/E584)</x:f>
        <x:v>0.2980769230769231</x:v>
      </x:c>
      <x:c r="P584" s="15" t="n">
        <x:f>IF(E584=0,"해당 없음",H584/E584)</x:f>
        <x:v>0.0673076923076923</x:v>
      </x:c>
      <x:c r="Q584" s="15" t="n">
        <x:f>IF(E584=0,"해당 없음",I584/E584)</x:f>
        <x:v>0.04807692307692308</x:v>
      </x:c>
      <x:c r="R584" s="15" t="n">
        <x:f>IF(E584=0,"해당 없음",J584/E584)</x:f>
        <x:v>0.009615384615384616</x:v>
      </x:c>
      <x:c r="S584" s="15" t="n">
        <x:f>IF(E584=0,"해당 없음",K584/E584)</x:f>
        <x:v>0.11538461538461539</x:v>
      </x:c>
      <x:c r="T584" s="15" t="n">
        <x:f>IF(E584=0,"해당 없음",L584/E584)</x:f>
        <x:v>0.40384615384615385</x:v>
      </x:c>
      <x:c r="U584" s="15" t="n">
        <x:f>IF(E584=0,"해당 없음",M584/E584)</x:f>
        <x:v>0.028846153846153848</x:v>
      </x:c>
      <x:c r="V584" s="16" t="n">
        <x:f>E584/5</x:f>
        <x:v>20.8</x:v>
      </x:c>
    </x:row>
    <x:row r="585" ht="22" customHeight="1">
      <x:c r="A585" s="2" t="n">
        <x:v>290</x:v>
      </x:c>
      <x:c r="B585" s="2" t="str">
        <x:v>NAVY</x:v>
      </x:c>
      <x:c r="C585" s="2" t="str">
        <x:v>0만</x:v>
      </x:c>
      <x:c r="D585" s="2" t="str">
        <x:v>40만</x:v>
      </x:c>
      <x:c r="E585" s="14" t="n">
        <x:f>SUM(F585:M585)</x:f>
        <x:v>102</x:v>
      </x:c>
      <x:c r="F585" s="14" t="n">
        <x:v>9</x:v>
      </x:c>
      <x:c r="G585" s="14" t="n">
        <x:v>9</x:v>
      </x:c>
      <x:c r="H585" s="14" t="n">
        <x:v>15</x:v>
      </x:c>
      <x:c r="I585" s="14" t="n">
        <x:v>9</x:v>
      </x:c>
      <x:c r="J585" s="14" t="n">
        <x:v>12</x:v>
      </x:c>
      <x:c r="K585" s="14" t="n">
        <x:v>16</x:v>
      </x:c>
      <x:c r="L585" s="14" t="n">
        <x:v>14</x:v>
      </x:c>
      <x:c r="M585" s="14" t="n">
        <x:v>18</x:v>
      </x:c>
      <x:c r="N585" s="15" t="n">
        <x:f>IF(E585=0,"해당 없음",F585/E585)</x:f>
        <x:v>0.08823529411764706</x:v>
      </x:c>
      <x:c r="O585" s="15" t="n">
        <x:f>IF(E585=0,"해당 없음",G585/E585)</x:f>
        <x:v>0.08823529411764706</x:v>
      </x:c>
      <x:c r="P585" s="15" t="n">
        <x:f>IF(E585=0,"해당 없음",H585/E585)</x:f>
        <x:v>0.14705882352941177</x:v>
      </x:c>
      <x:c r="Q585" s="15" t="n">
        <x:f>IF(E585=0,"해당 없음",I585/E585)</x:f>
        <x:v>0.08823529411764706</x:v>
      </x:c>
      <x:c r="R585" s="15" t="n">
        <x:f>IF(E585=0,"해당 없음",J585/E585)</x:f>
        <x:v>0.11764705882352941</x:v>
      </x:c>
      <x:c r="S585" s="15" t="n">
        <x:f>IF(E585=0,"해당 없음",K585/E585)</x:f>
        <x:v>0.1568627450980392</x:v>
      </x:c>
      <x:c r="T585" s="15" t="n">
        <x:f>IF(E585=0,"해당 없음",L585/E585)</x:f>
        <x:v>0.13725490196078433</x:v>
      </x:c>
      <x:c r="U585" s="15" t="n">
        <x:f>IF(E585=0,"해당 없음",M585/E585)</x:f>
        <x:v>0.17647058823529413</x:v>
      </x:c>
      <x:c r="V585" s="16" t="n">
        <x:f>E585/5</x:f>
        <x:v>20.4</x:v>
      </x:c>
    </x:row>
    <x:row r="586" ht="22" customHeight="1">
      <x:c r="A586" s="2" t="n">
        <x:v>291</x:v>
      </x:c>
      <x:c r="B586" s="2" t="str">
        <x:v>RED</x:v>
      </x:c>
      <x:c r="C586" s="2" t="str">
        <x:v>0만</x:v>
      </x:c>
      <x:c r="D586" s="2" t="str">
        <x:v>40만</x:v>
      </x:c>
      <x:c r="E586" s="14" t="n">
        <x:f>SUM(F586:M586)</x:f>
        <x:v>105</x:v>
      </x:c>
      <x:c r="F586" s="14" t="n">
        <x:v>14</x:v>
      </x:c>
      <x:c r="G586" s="14" t="n">
        <x:v>9</x:v>
      </x:c>
      <x:c r="H586" s="14" t="n">
        <x:v>10</x:v>
      </x:c>
      <x:c r="I586" s="14" t="n">
        <x:v>11</x:v>
      </x:c>
      <x:c r="J586" s="14" t="n">
        <x:v>18</x:v>
      </x:c>
      <x:c r="K586" s="14" t="n">
        <x:v>15</x:v>
      </x:c>
      <x:c r="L586" s="14" t="n">
        <x:v>10</x:v>
      </x:c>
      <x:c r="M586" s="14" t="n">
        <x:v>18</x:v>
      </x:c>
      <x:c r="N586" s="15" t="n">
        <x:f>IF(E586=0,"해당 없음",F586/E586)</x:f>
        <x:v>0.13333333333333333</x:v>
      </x:c>
      <x:c r="O586" s="15" t="n">
        <x:f>IF(E586=0,"해당 없음",G586/E586)</x:f>
        <x:v>0.08571428571428572</x:v>
      </x:c>
      <x:c r="P586" s="15" t="n">
        <x:f>IF(E586=0,"해당 없음",H586/E586)</x:f>
        <x:v>0.09523809523809523</x:v>
      </x:c>
      <x:c r="Q586" s="15" t="n">
        <x:f>IF(E586=0,"해당 없음",I586/E586)</x:f>
        <x:v>0.10476190476190476</x:v>
      </x:c>
      <x:c r="R586" s="15" t="n">
        <x:f>IF(E586=0,"해당 없음",J586/E586)</x:f>
        <x:v>0.17142857142857143</x:v>
      </x:c>
      <x:c r="S586" s="15" t="n">
        <x:f>IF(E586=0,"해당 없음",K586/E586)</x:f>
        <x:v>0.14285714285714285</x:v>
      </x:c>
      <x:c r="T586" s="15" t="n">
        <x:f>IF(E586=0,"해당 없음",L586/E586)</x:f>
        <x:v>0.09523809523809523</x:v>
      </x:c>
      <x:c r="U586" s="15" t="n">
        <x:f>IF(E586=0,"해당 없음",M586/E586)</x:f>
        <x:v>0.17142857142857143</x:v>
      </x:c>
      <x:c r="V586" s="16" t="n">
        <x:f>E586/5</x:f>
        <x:v>21</x:v>
      </x:c>
    </x:row>
    <x:row r="587" ht="22" customHeight="1">
      <x:c r="A587" s="2" t="n">
        <x:v>291</x:v>
      </x:c>
      <x:c r="B587" s="2" t="str">
        <x:v>NAVY</x:v>
      </x:c>
      <x:c r="C587" s="2" t="str">
        <x:v>40만</x:v>
      </x:c>
      <x:c r="D587" s="2" t="str">
        <x:v>0만</x:v>
      </x:c>
      <x:c r="E587" s="14" t="n">
        <x:f>SUM(F587:M587)</x:f>
        <x:v>105</x:v>
      </x:c>
      <x:c r="F587" s="14" t="n">
        <x:v>3</x:v>
      </x:c>
      <x:c r="G587" s="14" t="n">
        <x:v>34</x:v>
      </x:c>
      <x:c r="H587" s="14" t="n">
        <x:v>7</x:v>
      </x:c>
      <x:c r="I587" s="14" t="n">
        <x:v>1</x:v>
      </x:c>
      <x:c r="J587" s="14" t="n">
        <x:v>8</x:v>
      </x:c>
      <x:c r="K587" s="14" t="n">
        <x:v>7</x:v>
      </x:c>
      <x:c r="L587" s="14" t="n">
        <x:v>40</x:v>
      </x:c>
      <x:c r="M587" s="14" t="n">
        <x:v>5</x:v>
      </x:c>
      <x:c r="N587" s="15" t="n">
        <x:f>IF(E587=0,"해당 없음",F587/E587)</x:f>
        <x:v>0.02857142857142857</x:v>
      </x:c>
      <x:c r="O587" s="15" t="n">
        <x:f>IF(E587=0,"해당 없음",G587/E587)</x:f>
        <x:v>0.3238095238095238</x:v>
      </x:c>
      <x:c r="P587" s="15" t="n">
        <x:f>IF(E587=0,"해당 없음",H587/E587)</x:f>
        <x:v>0.06666666666666667</x:v>
      </x:c>
      <x:c r="Q587" s="15" t="n">
        <x:f>IF(E587=0,"해당 없음",I587/E587)</x:f>
        <x:v>0.009523809523809525</x:v>
      </x:c>
      <x:c r="R587" s="15" t="n">
        <x:f>IF(E587=0,"해당 없음",J587/E587)</x:f>
        <x:v>0.0761904761904762</x:v>
      </x:c>
      <x:c r="S587" s="15" t="n">
        <x:f>IF(E587=0,"해당 없음",K587/E587)</x:f>
        <x:v>0.06666666666666667</x:v>
      </x:c>
      <x:c r="T587" s="15" t="n">
        <x:f>IF(E587=0,"해당 없음",L587/E587)</x:f>
        <x:v>0.38095238095238093</x:v>
      </x:c>
      <x:c r="U587" s="15" t="n">
        <x:f>IF(E587=0,"해당 없음",M587/E587)</x:f>
        <x:v>0.047619047619047616</x:v>
      </x:c>
      <x:c r="V587" s="16" t="n">
        <x:f>E587/5</x:f>
        <x:v>21</x:v>
      </x:c>
    </x:row>
    <x:row r="588" ht="22" customHeight="1">
      <x:c r="A588" s="2" t="n">
        <x:v>292</x:v>
      </x:c>
      <x:c r="B588" s="2" t="str">
        <x:v>RED</x:v>
      </x:c>
      <x:c r="C588" s="2" t="str">
        <x:v>40만</x:v>
      </x:c>
      <x:c r="D588" s="2" t="str">
        <x:v>0만</x:v>
      </x:c>
      <x:c r="E588" s="14" t="n">
        <x:f>SUM(F588:M588)</x:f>
        <x:v>103</x:v>
      </x:c>
      <x:c r="F588" s="14" t="n">
        <x:v>6</x:v>
      </x:c>
      <x:c r="G588" s="14" t="n">
        <x:v>24</x:v>
      </x:c>
      <x:c r="H588" s="14" t="n">
        <x:v>6</x:v>
      </x:c>
      <x:c r="I588" s="14" t="n">
        <x:v>9</x:v>
      </x:c>
      <x:c r="J588" s="14" t="n">
        <x:v>1</x:v>
      </x:c>
      <x:c r="K588" s="14" t="n">
        <x:v>8</x:v>
      </x:c>
      <x:c r="L588" s="14" t="n">
        <x:v>43</x:v>
      </x:c>
      <x:c r="M588" s="14" t="n">
        <x:v>6</x:v>
      </x:c>
      <x:c r="N588" s="15" t="n">
        <x:f>IF(E588=0,"해당 없음",F588/E588)</x:f>
        <x:v>0.05825242718446602</x:v>
      </x:c>
      <x:c r="O588" s="15" t="n">
        <x:f>IF(E588=0,"해당 없음",G588/E588)</x:f>
        <x:v>0.23300970873786409</x:v>
      </x:c>
      <x:c r="P588" s="15" t="n">
        <x:f>IF(E588=0,"해당 없음",H588/E588)</x:f>
        <x:v>0.05825242718446602</x:v>
      </x:c>
      <x:c r="Q588" s="15" t="n">
        <x:f>IF(E588=0,"해당 없음",I588/E588)</x:f>
        <x:v>0.08737864077669903</x:v>
      </x:c>
      <x:c r="R588" s="15" t="n">
        <x:f>IF(E588=0,"해당 없음",J588/E588)</x:f>
        <x:v>0.009708737864077669</x:v>
      </x:c>
      <x:c r="S588" s="15" t="n">
        <x:f>IF(E588=0,"해당 없음",K588/E588)</x:f>
        <x:v>0.07766990291262135</x:v>
      </x:c>
      <x:c r="T588" s="15" t="n">
        <x:f>IF(E588=0,"해당 없음",L588/E588)</x:f>
        <x:v>0.4174757281553398</x:v>
      </x:c>
      <x:c r="U588" s="15" t="n">
        <x:f>IF(E588=0,"해당 없음",M588/E588)</x:f>
        <x:v>0.05825242718446602</x:v>
      </x:c>
      <x:c r="V588" s="16" t="n">
        <x:f>E588/5</x:f>
        <x:v>20.6</x:v>
      </x:c>
    </x:row>
    <x:row r="589" ht="22" customHeight="1">
      <x:c r="A589" s="2" t="n">
        <x:v>292</x:v>
      </x:c>
      <x:c r="B589" s="2" t="str">
        <x:v>NAVY</x:v>
      </x:c>
      <x:c r="C589" s="2" t="str">
        <x:v>0만</x:v>
      </x:c>
      <x:c r="D589" s="2" t="str">
        <x:v>40만</x:v>
      </x:c>
      <x:c r="E589" s="14" t="n">
        <x:f>SUM(F589:M589)</x:f>
        <x:v>102</x:v>
      </x:c>
      <x:c r="F589" s="14" t="n">
        <x:v>14</x:v>
      </x:c>
      <x:c r="G589" s="14" t="n">
        <x:v>9</x:v>
      </x:c>
      <x:c r="H589" s="14" t="n">
        <x:v>9</x:v>
      </x:c>
      <x:c r="I589" s="14" t="n">
        <x:v>11</x:v>
      </x:c>
      <x:c r="J589" s="14" t="n">
        <x:v>18</x:v>
      </x:c>
      <x:c r="K589" s="14" t="n">
        <x:v>14</x:v>
      </x:c>
      <x:c r="L589" s="14" t="n">
        <x:v>10</x:v>
      </x:c>
      <x:c r="M589" s="14" t="n">
        <x:v>17</x:v>
      </x:c>
      <x:c r="N589" s="15" t="n">
        <x:f>IF(E589=0,"해당 없음",F589/E589)</x:f>
        <x:v>0.13725490196078433</x:v>
      </x:c>
      <x:c r="O589" s="15" t="n">
        <x:f>IF(E589=0,"해당 없음",G589/E589)</x:f>
        <x:v>0.08823529411764706</x:v>
      </x:c>
      <x:c r="P589" s="15" t="n">
        <x:f>IF(E589=0,"해당 없음",H589/E589)</x:f>
        <x:v>0.08823529411764706</x:v>
      </x:c>
      <x:c r="Q589" s="15" t="n">
        <x:f>IF(E589=0,"해당 없음",I589/E589)</x:f>
        <x:v>0.10784313725490197</x:v>
      </x:c>
      <x:c r="R589" s="15" t="n">
        <x:f>IF(E589=0,"해당 없음",J589/E589)</x:f>
        <x:v>0.17647058823529413</x:v>
      </x:c>
      <x:c r="S589" s="15" t="n">
        <x:f>IF(E589=0,"해당 없음",K589/E589)</x:f>
        <x:v>0.13725490196078433</x:v>
      </x:c>
      <x:c r="T589" s="15" t="n">
        <x:f>IF(E589=0,"해당 없음",L589/E589)</x:f>
        <x:v>0.09803921568627451</x:v>
      </x:c>
      <x:c r="U589" s="15" t="n">
        <x:f>IF(E589=0,"해당 없음",M589/E589)</x:f>
        <x:v>0.16666666666666666</x:v>
      </x:c>
      <x:c r="V589" s="16" t="n">
        <x:f>E589/5</x:f>
        <x:v>20.4</x:v>
      </x:c>
    </x:row>
    <x:row r="590" ht="22" customHeight="1">
      <x:c r="A590" s="2" t="n">
        <x:v>293</x:v>
      </x:c>
      <x:c r="B590" s="2" t="str">
        <x:v>RED</x:v>
      </x:c>
      <x:c r="C590" s="2" t="str">
        <x:v>0만</x:v>
      </x:c>
      <x:c r="D590" s="2" t="str">
        <x:v>40만</x:v>
      </x:c>
      <x:c r="E590" s="14" t="n">
        <x:f>SUM(F590:M590)</x:f>
        <x:v>104</x:v>
      </x:c>
      <x:c r="F590" s="14" t="n">
        <x:v>20</x:v>
      </x:c>
      <x:c r="G590" s="14" t="n">
        <x:v>14</x:v>
      </x:c>
      <x:c r="H590" s="14" t="n">
        <x:v>11</x:v>
      </x:c>
      <x:c r="I590" s="14" t="n">
        <x:v>14</x:v>
      </x:c>
      <x:c r="J590" s="14" t="n">
        <x:v>12</x:v>
      </x:c>
      <x:c r="K590" s="14" t="n">
        <x:v>11</x:v>
      </x:c>
      <x:c r="L590" s="14" t="n">
        <x:v>11</x:v>
      </x:c>
      <x:c r="M590" s="14" t="n">
        <x:v>11</x:v>
      </x:c>
      <x:c r="N590" s="15" t="n">
        <x:f>IF(E590=0,"해당 없음",F590/E590)</x:f>
        <x:v>0.19230769230769232</x:v>
      </x:c>
      <x:c r="O590" s="15" t="n">
        <x:f>IF(E590=0,"해당 없음",G590/E590)</x:f>
        <x:v>0.1346153846153846</x:v>
      </x:c>
      <x:c r="P590" s="15" t="n">
        <x:f>IF(E590=0,"해당 없음",H590/E590)</x:f>
        <x:v>0.10576923076923077</x:v>
      </x:c>
      <x:c r="Q590" s="15" t="n">
        <x:f>IF(E590=0,"해당 없음",I590/E590)</x:f>
        <x:v>0.1346153846153846</x:v>
      </x:c>
      <x:c r="R590" s="15" t="n">
        <x:f>IF(E590=0,"해당 없음",J590/E590)</x:f>
        <x:v>0.11538461538461539</x:v>
      </x:c>
      <x:c r="S590" s="15" t="n">
        <x:f>IF(E590=0,"해당 없음",K590/E590)</x:f>
        <x:v>0.10576923076923077</x:v>
      </x:c>
      <x:c r="T590" s="15" t="n">
        <x:f>IF(E590=0,"해당 없음",L590/E590)</x:f>
        <x:v>0.10576923076923077</x:v>
      </x:c>
      <x:c r="U590" s="15" t="n">
        <x:f>IF(E590=0,"해당 없음",M590/E590)</x:f>
        <x:v>0.10576923076923077</x:v>
      </x:c>
      <x:c r="V590" s="16" t="n">
        <x:f>E590/5</x:f>
        <x:v>20.8</x:v>
      </x:c>
    </x:row>
    <x:row r="591" ht="22" customHeight="1">
      <x:c r="A591" s="2" t="n">
        <x:v>293</x:v>
      </x:c>
      <x:c r="B591" s="2" t="str">
        <x:v>NAVY</x:v>
      </x:c>
      <x:c r="C591" s="2" t="str">
        <x:v>40만</x:v>
      </x:c>
      <x:c r="D591" s="2" t="str">
        <x:v>0만</x:v>
      </x:c>
      <x:c r="E591" s="14" t="n">
        <x:f>SUM(F591:M591)</x:f>
        <x:v>103</x:v>
      </x:c>
      <x:c r="F591" s="14" t="n">
        <x:v>4</x:v>
      </x:c>
      <x:c r="G591" s="14" t="n">
        <x:v>35</x:v>
      </x:c>
      <x:c r="H591" s="14" t="n">
        <x:v>10</x:v>
      </x:c>
      <x:c r="I591" s="14" t="n">
        <x:v>2</x:v>
      </x:c>
      <x:c r="J591" s="14" t="n">
        <x:v>7</x:v>
      </x:c>
      <x:c r="K591" s="14" t="n">
        <x:v>6</x:v>
      </x:c>
      <x:c r="L591" s="14" t="n">
        <x:v>38</x:v>
      </x:c>
      <x:c r="M591" s="14" t="n">
        <x:v>1</x:v>
      </x:c>
      <x:c r="N591" s="15" t="n">
        <x:f>IF(E591=0,"해당 없음",F591/E591)</x:f>
        <x:v>0.038834951456310676</x:v>
      </x:c>
      <x:c r="O591" s="15" t="n">
        <x:f>IF(E591=0,"해당 없음",G591/E591)</x:f>
        <x:v>0.33980582524271846</x:v>
      </x:c>
      <x:c r="P591" s="15" t="n">
        <x:f>IF(E591=0,"해당 없음",H591/E591)</x:f>
        <x:v>0.0970873786407767</x:v>
      </x:c>
      <x:c r="Q591" s="15" t="n">
        <x:f>IF(E591=0,"해당 없음",I591/E591)</x:f>
        <x:v>0.019417475728155338</x:v>
      </x:c>
      <x:c r="R591" s="15" t="n">
        <x:f>IF(E591=0,"해당 없음",J591/E591)</x:f>
        <x:v>0.06796116504854369</x:v>
      </x:c>
      <x:c r="S591" s="15" t="n">
        <x:f>IF(E591=0,"해당 없음",K591/E591)</x:f>
        <x:v>0.05825242718446602</x:v>
      </x:c>
      <x:c r="T591" s="15" t="n">
        <x:f>IF(E591=0,"해당 없음",L591/E591)</x:f>
        <x:v>0.36893203883495146</x:v>
      </x:c>
      <x:c r="U591" s="15" t="n">
        <x:f>IF(E591=0,"해당 없음",M591/E591)</x:f>
        <x:v>0.009708737864077669</x:v>
      </x:c>
      <x:c r="V591" s="16" t="n">
        <x:f>E591/5</x:f>
        <x:v>20.6</x:v>
      </x:c>
    </x:row>
    <x:row r="592" ht="22" customHeight="1">
      <x:c r="A592" s="2" t="n">
        <x:v>294</x:v>
      </x:c>
      <x:c r="B592" s="2" t="str">
        <x:v>RED</x:v>
      </x:c>
      <x:c r="C592" s="2" t="str">
        <x:v>40만</x:v>
      </x:c>
      <x:c r="D592" s="2" t="str">
        <x:v>0만</x:v>
      </x:c>
      <x:c r="E592" s="14" t="n">
        <x:f>SUM(F592:M592)</x:f>
        <x:v>103</x:v>
      </x:c>
      <x:c r="F592" s="14" t="n">
        <x:v>7</x:v>
      </x:c>
      <x:c r="G592" s="14" t="n">
        <x:v>25</x:v>
      </x:c>
      <x:c r="H592" s="14" t="n">
        <x:v>8</x:v>
      </x:c>
      <x:c r="I592" s="14" t="n">
        <x:v>7</x:v>
      </x:c>
      <x:c r="J592" s="14" t="n">
        <x:v>4</x:v>
      </x:c>
      <x:c r="K592" s="14" t="n">
        <x:v>8</x:v>
      </x:c>
      <x:c r="L592" s="14" t="n">
        <x:v>40</x:v>
      </x:c>
      <x:c r="M592" s="14" t="n">
        <x:v>4</x:v>
      </x:c>
      <x:c r="N592" s="15" t="n">
        <x:f>IF(E592=0,"해당 없음",F592/E592)</x:f>
        <x:v>0.06796116504854369</x:v>
      </x:c>
      <x:c r="O592" s="15" t="n">
        <x:f>IF(E592=0,"해당 없음",G592/E592)</x:f>
        <x:v>0.24271844660194175</x:v>
      </x:c>
      <x:c r="P592" s="15" t="n">
        <x:f>IF(E592=0,"해당 없음",H592/E592)</x:f>
        <x:v>0.07766990291262135</x:v>
      </x:c>
      <x:c r="Q592" s="15" t="n">
        <x:f>IF(E592=0,"해당 없음",I592/E592)</x:f>
        <x:v>0.06796116504854369</x:v>
      </x:c>
      <x:c r="R592" s="15" t="n">
        <x:f>IF(E592=0,"해당 없음",J592/E592)</x:f>
        <x:v>0.038834951456310676</x:v>
      </x:c>
      <x:c r="S592" s="15" t="n">
        <x:f>IF(E592=0,"해당 없음",K592/E592)</x:f>
        <x:v>0.07766990291262135</x:v>
      </x:c>
      <x:c r="T592" s="15" t="n">
        <x:f>IF(E592=0,"해당 없음",L592/E592)</x:f>
        <x:v>0.3883495145631068</x:v>
      </x:c>
      <x:c r="U592" s="15" t="n">
        <x:f>IF(E592=0,"해당 없음",M592/E592)</x:f>
        <x:v>0.038834951456310676</x:v>
      </x:c>
      <x:c r="V592" s="16" t="n">
        <x:f>E592/5</x:f>
        <x:v>20.6</x:v>
      </x:c>
    </x:row>
    <x:row r="593" ht="22" customHeight="1">
      <x:c r="A593" s="2" t="n">
        <x:v>294</x:v>
      </x:c>
      <x:c r="B593" s="2" t="str">
        <x:v>NAVY</x:v>
      </x:c>
      <x:c r="C593" s="2" t="str">
        <x:v>0만</x:v>
      </x:c>
      <x:c r="D593" s="2" t="str">
        <x:v>40만</x:v>
      </x:c>
      <x:c r="E593" s="14" t="n">
        <x:f>SUM(F593:M593)</x:f>
        <x:v>103</x:v>
      </x:c>
      <x:c r="F593" s="14" t="n">
        <x:v>21</x:v>
      </x:c>
      <x:c r="G593" s="14" t="n">
        <x:v>13</x:v>
      </x:c>
      <x:c r="H593" s="14" t="n">
        <x:v>11</x:v>
      </x:c>
      <x:c r="I593" s="14" t="n">
        <x:v>14</x:v>
      </x:c>
      <x:c r="J593" s="14" t="n">
        <x:v>12</x:v>
      </x:c>
      <x:c r="K593" s="14" t="n">
        <x:v>11</x:v>
      </x:c>
      <x:c r="L593" s="14" t="n">
        <x:v>11</x:v>
      </x:c>
      <x:c r="M593" s="14" t="n">
        <x:v>10</x:v>
      </x:c>
      <x:c r="N593" s="15" t="n">
        <x:f>IF(E593=0,"해당 없음",F593/E593)</x:f>
        <x:v>0.20388349514563106</x:v>
      </x:c>
      <x:c r="O593" s="15" t="n">
        <x:f>IF(E593=0,"해당 없음",G593/E593)</x:f>
        <x:v>0.1262135922330097</x:v>
      </x:c>
      <x:c r="P593" s="15" t="n">
        <x:f>IF(E593=0,"해당 없음",H593/E593)</x:f>
        <x:v>0.10679611650485436</x:v>
      </x:c>
      <x:c r="Q593" s="15" t="n">
        <x:f>IF(E593=0,"해당 없음",I593/E593)</x:f>
        <x:v>0.13592233009708737</x:v>
      </x:c>
      <x:c r="R593" s="15" t="n">
        <x:f>IF(E593=0,"해당 없음",J593/E593)</x:f>
        <x:v>0.11650485436893204</x:v>
      </x:c>
      <x:c r="S593" s="15" t="n">
        <x:f>IF(E593=0,"해당 없음",K593/E593)</x:f>
        <x:v>0.10679611650485436</x:v>
      </x:c>
      <x:c r="T593" s="15" t="n">
        <x:f>IF(E593=0,"해당 없음",L593/E593)</x:f>
        <x:v>0.10679611650485436</x:v>
      </x:c>
      <x:c r="U593" s="15" t="n">
        <x:f>IF(E593=0,"해당 없음",M593/E593)</x:f>
        <x:v>0.0970873786407767</x:v>
      </x:c>
      <x:c r="V593" s="16" t="n">
        <x:f>E593/5</x:f>
        <x:v>20.6</x:v>
      </x:c>
    </x:row>
    <x:row r="594" ht="22" customHeight="1">
      <x:c r="A594" s="2" t="n">
        <x:v>295</x:v>
      </x:c>
      <x:c r="B594" s="2" t="str">
        <x:v>RED</x:v>
      </x:c>
      <x:c r="C594" s="2" t="str">
        <x:v>0만</x:v>
      </x:c>
      <x:c r="D594" s="2" t="str">
        <x:v>40만</x:v>
      </x:c>
      <x:c r="E594" s="14" t="n">
        <x:f>SUM(F594:M594)</x:f>
        <x:v>104</x:v>
      </x:c>
      <x:c r="F594" s="14" t="n">
        <x:v>11</x:v>
      </x:c>
      <x:c r="G594" s="14" t="n">
        <x:v>13</x:v>
      </x:c>
      <x:c r="H594" s="14" t="n">
        <x:v>8</x:v>
      </x:c>
      <x:c r="I594" s="14" t="n">
        <x:v>12</x:v>
      </x:c>
      <x:c r="J594" s="14" t="n">
        <x:v>11</x:v>
      </x:c>
      <x:c r="K594" s="14" t="n">
        <x:v>22</x:v>
      </x:c>
      <x:c r="L594" s="14" t="n">
        <x:v>10</x:v>
      </x:c>
      <x:c r="M594" s="14" t="n">
        <x:v>17</x:v>
      </x:c>
      <x:c r="N594" s="15" t="n">
        <x:f>IF(E594=0,"해당 없음",F594/E594)</x:f>
        <x:v>0.10576923076923077</x:v>
      </x:c>
      <x:c r="O594" s="15" t="n">
        <x:f>IF(E594=0,"해당 없음",G594/E594)</x:f>
        <x:v>0.125</x:v>
      </x:c>
      <x:c r="P594" s="15" t="n">
        <x:f>IF(E594=0,"해당 없음",H594/E594)</x:f>
        <x:v>0.07692307692307693</x:v>
      </x:c>
      <x:c r="Q594" s="15" t="n">
        <x:f>IF(E594=0,"해당 없음",I594/E594)</x:f>
        <x:v>0.11538461538461539</x:v>
      </x:c>
      <x:c r="R594" s="15" t="n">
        <x:f>IF(E594=0,"해당 없음",J594/E594)</x:f>
        <x:v>0.10576923076923077</x:v>
      </x:c>
      <x:c r="S594" s="15" t="n">
        <x:f>IF(E594=0,"해당 없음",K594/E594)</x:f>
        <x:v>0.21153846153846154</x:v>
      </x:c>
      <x:c r="T594" s="15" t="n">
        <x:f>IF(E594=0,"해당 없음",L594/E594)</x:f>
        <x:v>0.09615384615384616</x:v>
      </x:c>
      <x:c r="U594" s="15" t="n">
        <x:f>IF(E594=0,"해당 없음",M594/E594)</x:f>
        <x:v>0.16346153846153846</x:v>
      </x:c>
      <x:c r="V594" s="16" t="n">
        <x:f>E594/5</x:f>
        <x:v>20.8</x:v>
      </x:c>
    </x:row>
    <x:row r="595" ht="22" customHeight="1">
      <x:c r="A595" s="2" t="n">
        <x:v>295</x:v>
      </x:c>
      <x:c r="B595" s="2" t="str">
        <x:v>NAVY</x:v>
      </x:c>
      <x:c r="C595" s="2" t="str">
        <x:v>40만</x:v>
      </x:c>
      <x:c r="D595" s="2" t="str">
        <x:v>0만</x:v>
      </x:c>
      <x:c r="E595" s="14" t="n">
        <x:f>SUM(F595:M595)</x:f>
        <x:v>106</x:v>
      </x:c>
      <x:c r="F595" s="14" t="n">
        <x:v>4</x:v>
      </x:c>
      <x:c r="G595" s="14" t="n">
        <x:v>29</x:v>
      </x:c>
      <x:c r="H595" s="14" t="n">
        <x:v>8</x:v>
      </x:c>
      <x:c r="I595" s="14" t="n">
        <x:v>5</x:v>
      </x:c>
      <x:c r="J595" s="14" t="n">
        <x:v>6</x:v>
      </x:c>
      <x:c r="K595" s="14" t="n">
        <x:v>10</x:v>
      </x:c>
      <x:c r="L595" s="14" t="n">
        <x:v>41</x:v>
      </x:c>
      <x:c r="M595" s="14" t="n">
        <x:v>3</x:v>
      </x:c>
      <x:c r="N595" s="15" t="n">
        <x:f>IF(E595=0,"해당 없음",F595/E595)</x:f>
        <x:v>0.03773584905660377</x:v>
      </x:c>
      <x:c r="O595" s="15" t="n">
        <x:f>IF(E595=0,"해당 없음",G595/E595)</x:f>
        <x:v>0.27358490566037735</x:v>
      </x:c>
      <x:c r="P595" s="15" t="n">
        <x:f>IF(E595=0,"해당 없음",H595/E595)</x:f>
        <x:v>0.07547169811320754</x:v>
      </x:c>
      <x:c r="Q595" s="15" t="n">
        <x:f>IF(E595=0,"해당 없음",I595/E595)</x:f>
        <x:v>0.04716981132075472</x:v>
      </x:c>
      <x:c r="R595" s="15" t="n">
        <x:f>IF(E595=0,"해당 없음",J595/E595)</x:f>
        <x:v>0.05660377358490566</x:v>
      </x:c>
      <x:c r="S595" s="15" t="n">
        <x:f>IF(E595=0,"해당 없음",K595/E595)</x:f>
        <x:v>0.09433962264150944</x:v>
      </x:c>
      <x:c r="T595" s="15" t="n">
        <x:f>IF(E595=0,"해당 없음",L595/E595)</x:f>
        <x:v>0.3867924528301887</x:v>
      </x:c>
      <x:c r="U595" s="15" t="n">
        <x:f>IF(E595=0,"해당 없음",M595/E595)</x:f>
        <x:v>0.02830188679245283</x:v>
      </x:c>
      <x:c r="V595" s="16" t="n">
        <x:f>E595/5</x:f>
        <x:v>21.2</x:v>
      </x:c>
    </x:row>
    <x:row r="596" ht="22" customHeight="1">
      <x:c r="A596" s="2" t="n">
        <x:v>296</x:v>
      </x:c>
      <x:c r="B596" s="2" t="str">
        <x:v>RED</x:v>
      </x:c>
      <x:c r="C596" s="2" t="str">
        <x:v>40만</x:v>
      </x:c>
      <x:c r="D596" s="2" t="str">
        <x:v>0만</x:v>
      </x:c>
      <x:c r="E596" s="14" t="n">
        <x:f>SUM(F596:M596)</x:f>
        <x:v>101</x:v>
      </x:c>
      <x:c r="F596" s="14" t="n">
        <x:v>3</x:v>
      </x:c>
      <x:c r="G596" s="14" t="n">
        <x:v>35</x:v>
      </x:c>
      <x:c r="H596" s="14" t="n">
        <x:v>11</x:v>
      </x:c>
      <x:c r="I596" s="14" t="n">
        <x:v>3</x:v>
      </x:c>
      <x:c r="J596" s="14" t="n">
        <x:v>2</x:v>
      </x:c>
      <x:c r="K596" s="14" t="n">
        <x:v>7</x:v>
      </x:c>
      <x:c r="L596" s="14" t="n">
        <x:v>37</x:v>
      </x:c>
      <x:c r="M596" s="14" t="n">
        <x:v>3</x:v>
      </x:c>
      <x:c r="N596" s="15" t="n">
        <x:f>IF(E596=0,"해당 없음",F596/E596)</x:f>
        <x:v>0.0297029702970297</x:v>
      </x:c>
      <x:c r="O596" s="15" t="n">
        <x:f>IF(E596=0,"해당 없음",G596/E596)</x:f>
        <x:v>0.3465346534653465</x:v>
      </x:c>
      <x:c r="P596" s="15" t="n">
        <x:f>IF(E596=0,"해당 없음",H596/E596)</x:f>
        <x:v>0.10891089108910891</x:v>
      </x:c>
      <x:c r="Q596" s="15" t="n">
        <x:f>IF(E596=0,"해당 없음",I596/E596)</x:f>
        <x:v>0.0297029702970297</x:v>
      </x:c>
      <x:c r="R596" s="15" t="n">
        <x:f>IF(E596=0,"해당 없음",J596/E596)</x:f>
        <x:v>0.019801980198019802</x:v>
      </x:c>
      <x:c r="S596" s="15" t="n">
        <x:f>IF(E596=0,"해당 없음",K596/E596)</x:f>
        <x:v>0.06930693069306931</x:v>
      </x:c>
      <x:c r="T596" s="15" t="n">
        <x:f>IF(E596=0,"해당 없음",L596/E596)</x:f>
        <x:v>0.36633663366336633</x:v>
      </x:c>
      <x:c r="U596" s="15" t="n">
        <x:f>IF(E596=0,"해당 없음",M596/E596)</x:f>
        <x:v>0.0297029702970297</x:v>
      </x:c>
      <x:c r="V596" s="16" t="n">
        <x:f>E596/5</x:f>
        <x:v>20.2</x:v>
      </x:c>
    </x:row>
    <x:row r="597" ht="22" customHeight="1">
      <x:c r="A597" s="2" t="n">
        <x:v>296</x:v>
      </x:c>
      <x:c r="B597" s="2" t="str">
        <x:v>NAVY</x:v>
      </x:c>
      <x:c r="C597" s="2" t="str">
        <x:v>0만</x:v>
      </x:c>
      <x:c r="D597" s="2" t="str">
        <x:v>40만</x:v>
      </x:c>
      <x:c r="E597" s="14" t="n">
        <x:f>SUM(F597:M597)</x:f>
        <x:v>104</x:v>
      </x:c>
      <x:c r="F597" s="14" t="n">
        <x:v>11</x:v>
      </x:c>
      <x:c r="G597" s="14" t="n">
        <x:v>13</x:v>
      </x:c>
      <x:c r="H597" s="14" t="n">
        <x:v>9</x:v>
      </x:c>
      <x:c r="I597" s="14" t="n">
        <x:v>11</x:v>
      </x:c>
      <x:c r="J597" s="14" t="n">
        <x:v>11</x:v>
      </x:c>
      <x:c r="K597" s="14" t="n">
        <x:v>22</x:v>
      </x:c>
      <x:c r="L597" s="14" t="n">
        <x:v>10</x:v>
      </x:c>
      <x:c r="M597" s="14" t="n">
        <x:v>17</x:v>
      </x:c>
      <x:c r="N597" s="15" t="n">
        <x:f>IF(E597=0,"해당 없음",F597/E597)</x:f>
        <x:v>0.10576923076923077</x:v>
      </x:c>
      <x:c r="O597" s="15" t="n">
        <x:f>IF(E597=0,"해당 없음",G597/E597)</x:f>
        <x:v>0.125</x:v>
      </x:c>
      <x:c r="P597" s="15" t="n">
        <x:f>IF(E597=0,"해당 없음",H597/E597)</x:f>
        <x:v>0.08653846153846154</x:v>
      </x:c>
      <x:c r="Q597" s="15" t="n">
        <x:f>IF(E597=0,"해당 없음",I597/E597)</x:f>
        <x:v>0.10576923076923077</x:v>
      </x:c>
      <x:c r="R597" s="15" t="n">
        <x:f>IF(E597=0,"해당 없음",J597/E597)</x:f>
        <x:v>0.10576923076923077</x:v>
      </x:c>
      <x:c r="S597" s="15" t="n">
        <x:f>IF(E597=0,"해당 없음",K597/E597)</x:f>
        <x:v>0.21153846153846154</x:v>
      </x:c>
      <x:c r="T597" s="15" t="n">
        <x:f>IF(E597=0,"해당 없음",L597/E597)</x:f>
        <x:v>0.09615384615384616</x:v>
      </x:c>
      <x:c r="U597" s="15" t="n">
        <x:f>IF(E597=0,"해당 없음",M597/E597)</x:f>
        <x:v>0.16346153846153846</x:v>
      </x:c>
      <x:c r="V597" s="16" t="n">
        <x:f>E597/5</x:f>
        <x:v>20.8</x:v>
      </x:c>
    </x:row>
    <x:row r="598" ht="22" customHeight="1">
      <x:c r="A598" s="2" t="n">
        <x:v>297</x:v>
      </x:c>
      <x:c r="B598" s="2" t="str">
        <x:v>RED</x:v>
      </x:c>
      <x:c r="C598" s="2" t="str">
        <x:v>0만</x:v>
      </x:c>
      <x:c r="D598" s="2" t="str">
        <x:v>40만</x:v>
      </x:c>
      <x:c r="E598" s="14" t="n">
        <x:f>SUM(F598:M598)</x:f>
        <x:v>104</x:v>
      </x:c>
      <x:c r="F598" s="14" t="n">
        <x:v>13</x:v>
      </x:c>
      <x:c r="G598" s="14" t="n">
        <x:v>12</x:v>
      </x:c>
      <x:c r="H598" s="14" t="n">
        <x:v>12</x:v>
      </x:c>
      <x:c r="I598" s="14" t="n">
        <x:v>16</x:v>
      </x:c>
      <x:c r="J598" s="14" t="n">
        <x:v>13</x:v>
      </x:c>
      <x:c r="K598" s="14" t="n">
        <x:v>11</x:v>
      </x:c>
      <x:c r="L598" s="14" t="n">
        <x:v>8</x:v>
      </x:c>
      <x:c r="M598" s="14" t="n">
        <x:v>19</x:v>
      </x:c>
      <x:c r="N598" s="15" t="n">
        <x:f>IF(E598=0,"해당 없음",F598/E598)</x:f>
        <x:v>0.125</x:v>
      </x:c>
      <x:c r="O598" s="15" t="n">
        <x:f>IF(E598=0,"해당 없음",G598/E598)</x:f>
        <x:v>0.11538461538461539</x:v>
      </x:c>
      <x:c r="P598" s="15" t="n">
        <x:f>IF(E598=0,"해당 없음",H598/E598)</x:f>
        <x:v>0.11538461538461539</x:v>
      </x:c>
      <x:c r="Q598" s="15" t="n">
        <x:f>IF(E598=0,"해당 없음",I598/E598)</x:f>
        <x:v>0.15384615384615385</x:v>
      </x:c>
      <x:c r="R598" s="15" t="n">
        <x:f>IF(E598=0,"해당 없음",J598/E598)</x:f>
        <x:v>0.125</x:v>
      </x:c>
      <x:c r="S598" s="15" t="n">
        <x:f>IF(E598=0,"해당 없음",K598/E598)</x:f>
        <x:v>0.10576923076923077</x:v>
      </x:c>
      <x:c r="T598" s="15" t="n">
        <x:f>IF(E598=0,"해당 없음",L598/E598)</x:f>
        <x:v>0.07692307692307693</x:v>
      </x:c>
      <x:c r="U598" s="15" t="n">
        <x:f>IF(E598=0,"해당 없음",M598/E598)</x:f>
        <x:v>0.18269230769230768</x:v>
      </x:c>
      <x:c r="V598" s="16" t="n">
        <x:f>E598/5</x:f>
        <x:v>20.8</x:v>
      </x:c>
    </x:row>
    <x:row r="599" ht="22" customHeight="1">
      <x:c r="A599" s="2" t="n">
        <x:v>297</x:v>
      </x:c>
      <x:c r="B599" s="2" t="str">
        <x:v>NAVY</x:v>
      </x:c>
      <x:c r="C599" s="2" t="str">
        <x:v>40만</x:v>
      </x:c>
      <x:c r="D599" s="2" t="str">
        <x:v>0만</x:v>
      </x:c>
      <x:c r="E599" s="14" t="n">
        <x:f>SUM(F599:M599)</x:f>
        <x:v>104</x:v>
      </x:c>
      <x:c r="F599" s="14" t="n">
        <x:v>3</x:v>
      </x:c>
      <x:c r="G599" s="14" t="n">
        <x:v>27</x:v>
      </x:c>
      <x:c r="H599" s="14" t="n">
        <x:v>11</x:v>
      </x:c>
      <x:c r="I599" s="14" t="n">
        <x:v>4</x:v>
      </x:c>
      <x:c r="J599" s="14" t="n">
        <x:v>7</x:v>
      </x:c>
      <x:c r="K599" s="14" t="n">
        <x:v>10</x:v>
      </x:c>
      <x:c r="L599" s="14" t="n">
        <x:v>37</x:v>
      </x:c>
      <x:c r="M599" s="14" t="n">
        <x:v>5</x:v>
      </x:c>
      <x:c r="N599" s="15" t="n">
        <x:f>IF(E599=0,"해당 없음",F599/E599)</x:f>
        <x:v>0.028846153846153848</x:v>
      </x:c>
      <x:c r="O599" s="15" t="n">
        <x:f>IF(E599=0,"해당 없음",G599/E599)</x:f>
        <x:v>0.25961538461538464</x:v>
      </x:c>
      <x:c r="P599" s="15" t="n">
        <x:f>IF(E599=0,"해당 없음",H599/E599)</x:f>
        <x:v>0.10576923076923077</x:v>
      </x:c>
      <x:c r="Q599" s="15" t="n">
        <x:f>IF(E599=0,"해당 없음",I599/E599)</x:f>
        <x:v>0.038461538461538464</x:v>
      </x:c>
      <x:c r="R599" s="15" t="n">
        <x:f>IF(E599=0,"해당 없음",J599/E599)</x:f>
        <x:v>0.0673076923076923</x:v>
      </x:c>
      <x:c r="S599" s="15" t="n">
        <x:f>IF(E599=0,"해당 없음",K599/E599)</x:f>
        <x:v>0.09615384615384616</x:v>
      </x:c>
      <x:c r="T599" s="15" t="n">
        <x:f>IF(E599=0,"해당 없음",L599/E599)</x:f>
        <x:v>0.3557692307692308</x:v>
      </x:c>
      <x:c r="U599" s="15" t="n">
        <x:f>IF(E599=0,"해당 없음",M599/E599)</x:f>
        <x:v>0.04807692307692308</x:v>
      </x:c>
      <x:c r="V599" s="16" t="n">
        <x:f>E599/5</x:f>
        <x:v>20.8</x:v>
      </x:c>
    </x:row>
    <x:row r="600" ht="22" customHeight="1">
      <x:c r="A600" s="2" t="n">
        <x:v>298</x:v>
      </x:c>
      <x:c r="B600" s="2" t="str">
        <x:v>RED</x:v>
      </x:c>
      <x:c r="C600" s="2" t="str">
        <x:v>40만</x:v>
      </x:c>
      <x:c r="D600" s="2" t="str">
        <x:v>0만</x:v>
      </x:c>
      <x:c r="E600" s="14" t="n">
        <x:f>SUM(F600:M600)</x:f>
        <x:v>103</x:v>
      </x:c>
      <x:c r="F600" s="14" t="n">
        <x:v>3</x:v>
      </x:c>
      <x:c r="G600" s="14" t="n">
        <x:v>33</x:v>
      </x:c>
      <x:c r="H600" s="14" t="n">
        <x:v>7</x:v>
      </x:c>
      <x:c r="I600" s="14" t="n">
        <x:v>6</x:v>
      </x:c>
      <x:c r="J600" s="14" t="n">
        <x:v>6</x:v>
      </x:c>
      <x:c r="K600" s="14" t="n">
        <x:v>8</x:v>
      </x:c>
      <x:c r="L600" s="14" t="n">
        <x:v>35</x:v>
      </x:c>
      <x:c r="M600" s="14" t="n">
        <x:v>5</x:v>
      </x:c>
      <x:c r="N600" s="15" t="n">
        <x:f>IF(E600=0,"해당 없음",F600/E600)</x:f>
        <x:v>0.02912621359223301</x:v>
      </x:c>
      <x:c r="O600" s="15" t="n">
        <x:f>IF(E600=0,"해당 없음",G600/E600)</x:f>
        <x:v>0.32038834951456313</x:v>
      </x:c>
      <x:c r="P600" s="15" t="n">
        <x:f>IF(E600=0,"해당 없음",H600/E600)</x:f>
        <x:v>0.06796116504854369</x:v>
      </x:c>
      <x:c r="Q600" s="15" t="n">
        <x:f>IF(E600=0,"해당 없음",I600/E600)</x:f>
        <x:v>0.05825242718446602</x:v>
      </x:c>
      <x:c r="R600" s="15" t="n">
        <x:f>IF(E600=0,"해당 없음",J600/E600)</x:f>
        <x:v>0.05825242718446602</x:v>
      </x:c>
      <x:c r="S600" s="15" t="n">
        <x:f>IF(E600=0,"해당 없음",K600/E600)</x:f>
        <x:v>0.07766990291262135</x:v>
      </x:c>
      <x:c r="T600" s="15" t="n">
        <x:f>IF(E600=0,"해당 없음",L600/E600)</x:f>
        <x:v>0.33980582524271846</x:v>
      </x:c>
      <x:c r="U600" s="15" t="n">
        <x:f>IF(E600=0,"해당 없음",M600/E600)</x:f>
        <x:v>0.04854368932038835</x:v>
      </x:c>
      <x:c r="V600" s="16" t="n">
        <x:f>E600/5</x:f>
        <x:v>20.6</x:v>
      </x:c>
    </x:row>
    <x:row r="601" ht="22" customHeight="1">
      <x:c r="A601" s="2" t="n">
        <x:v>298</x:v>
      </x:c>
      <x:c r="B601" s="2" t="str">
        <x:v>NAVY</x:v>
      </x:c>
      <x:c r="C601" s="2" t="str">
        <x:v>0만</x:v>
      </x:c>
      <x:c r="D601" s="2" t="str">
        <x:v>40만</x:v>
      </x:c>
      <x:c r="E601" s="14" t="n">
        <x:f>SUM(F601:M601)</x:f>
        <x:v>103</x:v>
      </x:c>
      <x:c r="F601" s="14" t="n">
        <x:v>13</x:v>
      </x:c>
      <x:c r="G601" s="14" t="n">
        <x:v>12</x:v>
      </x:c>
      <x:c r="H601" s="14" t="n">
        <x:v>11</x:v>
      </x:c>
      <x:c r="I601" s="14" t="n">
        <x:v>17</x:v>
      </x:c>
      <x:c r="J601" s="14" t="n">
        <x:v>13</x:v>
      </x:c>
      <x:c r="K601" s="14" t="n">
        <x:v>11</x:v>
      </x:c>
      <x:c r="L601" s="14" t="n">
        <x:v>8</x:v>
      </x:c>
      <x:c r="M601" s="14" t="n">
        <x:v>18</x:v>
      </x:c>
      <x:c r="N601" s="15" t="n">
        <x:f>IF(E601=0,"해당 없음",F601/E601)</x:f>
        <x:v>0.1262135922330097</x:v>
      </x:c>
      <x:c r="O601" s="15" t="n">
        <x:f>IF(E601=0,"해당 없음",G601/E601)</x:f>
        <x:v>0.11650485436893204</x:v>
      </x:c>
      <x:c r="P601" s="15" t="n">
        <x:f>IF(E601=0,"해당 없음",H601/E601)</x:f>
        <x:v>0.10679611650485436</x:v>
      </x:c>
      <x:c r="Q601" s="15" t="n">
        <x:f>IF(E601=0,"해당 없음",I601/E601)</x:f>
        <x:v>0.1650485436893204</x:v>
      </x:c>
      <x:c r="R601" s="15" t="n">
        <x:f>IF(E601=0,"해당 없음",J601/E601)</x:f>
        <x:v>0.1262135922330097</x:v>
      </x:c>
      <x:c r="S601" s="15" t="n">
        <x:f>IF(E601=0,"해당 없음",K601/E601)</x:f>
        <x:v>0.10679611650485436</x:v>
      </x:c>
      <x:c r="T601" s="15" t="n">
        <x:f>IF(E601=0,"해당 없음",L601/E601)</x:f>
        <x:v>0.07766990291262135</x:v>
      </x:c>
      <x:c r="U601" s="15" t="n">
        <x:f>IF(E601=0,"해당 없음",M601/E601)</x:f>
        <x:v>0.17475728155339806</x:v>
      </x:c>
      <x:c r="V601" s="16" t="n">
        <x:f>E601/5</x:f>
        <x:v>20.6</x:v>
      </x:c>
    </x:row>
    <x:row r="602" ht="22" customHeight="1">
      <x:c r="A602" s="2" t="n">
        <x:v>299</x:v>
      </x:c>
      <x:c r="B602" s="2" t="str">
        <x:v>RED</x:v>
      </x:c>
      <x:c r="C602" s="2" t="str">
        <x:v>0만</x:v>
      </x:c>
      <x:c r="D602" s="2" t="str">
        <x:v>40만</x:v>
      </x:c>
      <x:c r="E602" s="14" t="n">
        <x:f>SUM(F602:M602)</x:f>
        <x:v>107</x:v>
      </x:c>
      <x:c r="F602" s="14" t="n">
        <x:v>17</x:v>
      </x:c>
      <x:c r="G602" s="14" t="n">
        <x:v>6</x:v>
      </x:c>
      <x:c r="H602" s="14" t="n">
        <x:v>16</x:v>
      </x:c>
      <x:c r="I602" s="14" t="n">
        <x:v>11</x:v>
      </x:c>
      <x:c r="J602" s="14" t="n">
        <x:v>12</x:v>
      </x:c>
      <x:c r="K602" s="14" t="n">
        <x:v>16</x:v>
      </x:c>
      <x:c r="L602" s="14" t="n">
        <x:v>12</x:v>
      </x:c>
      <x:c r="M602" s="14" t="n">
        <x:v>17</x:v>
      </x:c>
      <x:c r="N602" s="15" t="n">
        <x:f>IF(E602=0,"해당 없음",F602/E602)</x:f>
        <x:v>0.1588785046728972</x:v>
      </x:c>
      <x:c r="O602" s="15" t="n">
        <x:f>IF(E602=0,"해당 없음",G602/E602)</x:f>
        <x:v>0.056074766355140186</x:v>
      </x:c>
      <x:c r="P602" s="15" t="n">
        <x:f>IF(E602=0,"해당 없음",H602/E602)</x:f>
        <x:v>0.14953271028037382</x:v>
      </x:c>
      <x:c r="Q602" s="15" t="n">
        <x:f>IF(E602=0,"해당 없음",I602/E602)</x:f>
        <x:v>0.102803738317757</x:v>
      </x:c>
      <x:c r="R602" s="15" t="n">
        <x:f>IF(E602=0,"해당 없음",J602/E602)</x:f>
        <x:v>0.11214953271028037</x:v>
      </x:c>
      <x:c r="S602" s="15" t="n">
        <x:f>IF(E602=0,"해당 없음",K602/E602)</x:f>
        <x:v>0.14953271028037382</x:v>
      </x:c>
      <x:c r="T602" s="15" t="n">
        <x:f>IF(E602=0,"해당 없음",L602/E602)</x:f>
        <x:v>0.11214953271028037</x:v>
      </x:c>
      <x:c r="U602" s="15" t="n">
        <x:f>IF(E602=0,"해당 없음",M602/E602)</x:f>
        <x:v>0.1588785046728972</x:v>
      </x:c>
      <x:c r="V602" s="16" t="n">
        <x:f>E602/5</x:f>
        <x:v>21.4</x:v>
      </x:c>
    </x:row>
    <x:row r="603" ht="22" customHeight="1">
      <x:c r="A603" s="2" t="n">
        <x:v>299</x:v>
      </x:c>
      <x:c r="B603" s="2" t="str">
        <x:v>NAVY</x:v>
      </x:c>
      <x:c r="C603" s="2" t="str">
        <x:v>40만</x:v>
      </x:c>
      <x:c r="D603" s="2" t="str">
        <x:v>0만</x:v>
      </x:c>
      <x:c r="E603" s="14" t="n">
        <x:f>SUM(F603:M603)</x:f>
        <x:v>108</x:v>
      </x:c>
      <x:c r="F603" s="14" t="n">
        <x:v>11</x:v>
      </x:c>
      <x:c r="G603" s="14" t="n">
        <x:v>25</x:v>
      </x:c>
      <x:c r="H603" s="14" t="n">
        <x:v>10</x:v>
      </x:c>
      <x:c r="I603" s="14" t="n">
        <x:v>12</x:v>
      </x:c>
      <x:c r="J603" s="14" t="n">
        <x:v>1</x:v>
      </x:c>
      <x:c r="K603" s="14" t="n">
        <x:v>5</x:v>
      </x:c>
      <x:c r="L603" s="14" t="n">
        <x:v>39</x:v>
      </x:c>
      <x:c r="M603" s="14" t="n">
        <x:v>5</x:v>
      </x:c>
      <x:c r="N603" s="15" t="n">
        <x:f>IF(E603=0,"해당 없음",F603/E603)</x:f>
        <x:v>0.10185185185185185</x:v>
      </x:c>
      <x:c r="O603" s="15" t="n">
        <x:f>IF(E603=0,"해당 없음",G603/E603)</x:f>
        <x:v>0.23148148148148148</x:v>
      </x:c>
      <x:c r="P603" s="15" t="n">
        <x:f>IF(E603=0,"해당 없음",H603/E603)</x:f>
        <x:v>0.09259259259259259</x:v>
      </x:c>
      <x:c r="Q603" s="15" t="n">
        <x:f>IF(E603=0,"해당 없음",I603/E603)</x:f>
        <x:v>0.1111111111111111</x:v>
      </x:c>
      <x:c r="R603" s="15" t="n">
        <x:f>IF(E603=0,"해당 없음",J603/E603)</x:f>
        <x:v>0.009259259259259259</x:v>
      </x:c>
      <x:c r="S603" s="15" t="n">
        <x:f>IF(E603=0,"해당 없음",K603/E603)</x:f>
        <x:v>0.046296296296296294</x:v>
      </x:c>
      <x:c r="T603" s="15" t="n">
        <x:f>IF(E603=0,"해당 없음",L603/E603)</x:f>
        <x:v>0.3611111111111111</x:v>
      </x:c>
      <x:c r="U603" s="15" t="n">
        <x:f>IF(E603=0,"해당 없음",M603/E603)</x:f>
        <x:v>0.046296296296296294</x:v>
      </x:c>
      <x:c r="V603" s="16" t="n">
        <x:f>E603/5</x:f>
        <x:v>21.6</x:v>
      </x:c>
    </x:row>
    <x:row r="604" ht="22" customHeight="1">
      <x:c r="A604" s="2" t="n">
        <x:v>300</x:v>
      </x:c>
      <x:c r="B604" s="2" t="str">
        <x:v>RED</x:v>
      </x:c>
      <x:c r="C604" s="2" t="str">
        <x:v>40만</x:v>
      </x:c>
      <x:c r="D604" s="2" t="str">
        <x:v>0만</x:v>
      </x:c>
      <x:c r="E604" s="14" t="n">
        <x:f>SUM(F604:M604)</x:f>
        <x:v>105</x:v>
      </x:c>
      <x:c r="F604" s="14" t="n">
        <x:v>9</x:v>
      </x:c>
      <x:c r="G604" s="14" t="n">
        <x:v>28</x:v>
      </x:c>
      <x:c r="H604" s="14" t="n">
        <x:v>12</x:v>
      </x:c>
      <x:c r="I604" s="14" t="n">
        <x:v>5</x:v>
      </x:c>
      <x:c r="J604" s="14" t="n">
        <x:v>2</x:v>
      </x:c>
      <x:c r="K604" s="14" t="n">
        <x:v>13</x:v>
      </x:c>
      <x:c r="L604" s="14" t="n">
        <x:v>35</x:v>
      </x:c>
      <x:c r="M604" s="14" t="n">
        <x:v>1</x:v>
      </x:c>
      <x:c r="N604" s="15" t="n">
        <x:f>IF(E604=0,"해당 없음",F604/E604)</x:f>
        <x:v>0.08571428571428572</x:v>
      </x:c>
      <x:c r="O604" s="15" t="n">
        <x:f>IF(E604=0,"해당 없음",G604/E604)</x:f>
        <x:v>0.26666666666666666</x:v>
      </x:c>
      <x:c r="P604" s="15" t="n">
        <x:f>IF(E604=0,"해당 없음",H604/E604)</x:f>
        <x:v>0.11428571428571428</x:v>
      </x:c>
      <x:c r="Q604" s="15" t="n">
        <x:f>IF(E604=0,"해당 없음",I604/E604)</x:f>
        <x:v>0.047619047619047616</x:v>
      </x:c>
      <x:c r="R604" s="15" t="n">
        <x:f>IF(E604=0,"해당 없음",J604/E604)</x:f>
        <x:v>0.01904761904761905</x:v>
      </x:c>
      <x:c r="S604" s="15" t="n">
        <x:f>IF(E604=0,"해당 없음",K604/E604)</x:f>
        <x:v>0.12380952380952381</x:v>
      </x:c>
      <x:c r="T604" s="15" t="n">
        <x:f>IF(E604=0,"해당 없음",L604/E604)</x:f>
        <x:v>0.3333333333333333</x:v>
      </x:c>
      <x:c r="U604" s="15" t="n">
        <x:f>IF(E604=0,"해당 없음",M604/E604)</x:f>
        <x:v>0.009523809523809525</x:v>
      </x:c>
      <x:c r="V604" s="16" t="n">
        <x:f>E604/5</x:f>
        <x:v>21</x:v>
      </x:c>
    </x:row>
    <x:row r="605" ht="22" customHeight="1">
      <x:c r="A605" s="2" t="n">
        <x:v>300</x:v>
      </x:c>
      <x:c r="B605" s="2" t="str">
        <x:v>NAVY</x:v>
      </x:c>
      <x:c r="C605" s="2" t="str">
        <x:v>0만</x:v>
      </x:c>
      <x:c r="D605" s="2" t="str">
        <x:v>40만</x:v>
      </x:c>
      <x:c r="E605" s="14" t="n">
        <x:f>SUM(F605:M605)</x:f>
        <x:v>103</x:v>
      </x:c>
      <x:c r="F605" s="14" t="n">
        <x:v>14</x:v>
      </x:c>
      <x:c r="G605" s="14" t="n">
        <x:v>6</x:v>
      </x:c>
      <x:c r="H605" s="14" t="n">
        <x:v>17</x:v>
      </x:c>
      <x:c r="I605" s="14" t="n">
        <x:v>10</x:v>
      </x:c>
      <x:c r="J605" s="14" t="n">
        <x:v>11</x:v>
      </x:c>
      <x:c r="K605" s="14" t="n">
        <x:v>17</x:v>
      </x:c>
      <x:c r="L605" s="14" t="n">
        <x:v>12</x:v>
      </x:c>
      <x:c r="M605" s="14" t="n">
        <x:v>16</x:v>
      </x:c>
      <x:c r="N605" s="15" t="n">
        <x:f>IF(E605=0,"해당 없음",F605/E605)</x:f>
        <x:v>0.13592233009708737</x:v>
      </x:c>
      <x:c r="O605" s="15" t="n">
        <x:f>IF(E605=0,"해당 없음",G605/E605)</x:f>
        <x:v>0.05825242718446602</x:v>
      </x:c>
      <x:c r="P605" s="15" t="n">
        <x:f>IF(E605=0,"해당 없음",H605/E605)</x:f>
        <x:v>0.1650485436893204</x:v>
      </x:c>
      <x:c r="Q605" s="15" t="n">
        <x:f>IF(E605=0,"해당 없음",I605/E605)</x:f>
        <x:v>0.0970873786407767</x:v>
      </x:c>
      <x:c r="R605" s="15" t="n">
        <x:f>IF(E605=0,"해당 없음",J605/E605)</x:f>
        <x:v>0.10679611650485436</x:v>
      </x:c>
      <x:c r="S605" s="15" t="n">
        <x:f>IF(E605=0,"해당 없음",K605/E605)</x:f>
        <x:v>0.1650485436893204</x:v>
      </x:c>
      <x:c r="T605" s="15" t="n">
        <x:f>IF(E605=0,"해당 없음",L605/E605)</x:f>
        <x:v>0.11650485436893204</x:v>
      </x:c>
      <x:c r="U605" s="15" t="n">
        <x:f>IF(E605=0,"해당 없음",M605/E605)</x:f>
        <x:v>0.1553398058252427</x:v>
      </x:c>
      <x:c r="V605" s="16" t="n">
        <x:f>E605/5</x:f>
        <x:v>20.6</x:v>
      </x:c>
    </x:row>
    <x:row r="606" ht="22" customHeight="1">
      <x:c r="A606" s="2" t="n">
        <x:v>301</x:v>
      </x:c>
      <x:c r="B606" s="2" t="str">
        <x:v>RED</x:v>
      </x:c>
      <x:c r="C606" s="2" t="str">
        <x:v>0만</x:v>
      </x:c>
      <x:c r="D606" s="2" t="str">
        <x:v>40만</x:v>
      </x:c>
      <x:c r="E606" s="14" t="n">
        <x:f>SUM(F606:M606)</x:f>
        <x:v>107</x:v>
      </x:c>
      <x:c r="F606" s="14" t="n">
        <x:v>10</x:v>
      </x:c>
      <x:c r="G606" s="14" t="n">
        <x:v>11</x:v>
      </x:c>
      <x:c r="H606" s="14" t="n">
        <x:v>19</x:v>
      </x:c>
      <x:c r="I606" s="14" t="n">
        <x:v>11</x:v>
      </x:c>
      <x:c r="J606" s="14" t="n">
        <x:v>18</x:v>
      </x:c>
      <x:c r="K606" s="14" t="n">
        <x:v>13</x:v>
      </x:c>
      <x:c r="L606" s="14" t="n">
        <x:v>13</x:v>
      </x:c>
      <x:c r="M606" s="14" t="n">
        <x:v>12</x:v>
      </x:c>
      <x:c r="N606" s="15" t="n">
        <x:f>IF(E606=0,"해당 없음",F606/E606)</x:f>
        <x:v>0.09345794392523364</x:v>
      </x:c>
      <x:c r="O606" s="15" t="n">
        <x:f>IF(E606=0,"해당 없음",G606/E606)</x:f>
        <x:v>0.102803738317757</x:v>
      </x:c>
      <x:c r="P606" s="15" t="n">
        <x:f>IF(E606=0,"해당 없음",H606/E606)</x:f>
        <x:v>0.17757009345794392</x:v>
      </x:c>
      <x:c r="Q606" s="15" t="n">
        <x:f>IF(E606=0,"해당 없음",I606/E606)</x:f>
        <x:v>0.102803738317757</x:v>
      </x:c>
      <x:c r="R606" s="15" t="n">
        <x:f>IF(E606=0,"해당 없음",J606/E606)</x:f>
        <x:v>0.16822429906542055</x:v>
      </x:c>
      <x:c r="S606" s="15" t="n">
        <x:f>IF(E606=0,"해당 없음",K606/E606)</x:f>
        <x:v>0.12149532710280374</x:v>
      </x:c>
      <x:c r="T606" s="15" t="n">
        <x:f>IF(E606=0,"해당 없음",L606/E606)</x:f>
        <x:v>0.12149532710280374</x:v>
      </x:c>
      <x:c r="U606" s="15" t="n">
        <x:f>IF(E606=0,"해당 없음",M606/E606)</x:f>
        <x:v>0.11214953271028037</x:v>
      </x:c>
      <x:c r="V606" s="16" t="n">
        <x:f>E606/5</x:f>
        <x:v>21.4</x:v>
      </x:c>
    </x:row>
    <x:row r="607" ht="22" customHeight="1">
      <x:c r="A607" s="2" t="n">
        <x:v>301</x:v>
      </x:c>
      <x:c r="B607" s="2" t="str">
        <x:v>NAVY</x:v>
      </x:c>
      <x:c r="C607" s="2" t="str">
        <x:v>40만</x:v>
      </x:c>
      <x:c r="D607" s="2" t="str">
        <x:v>0만</x:v>
      </x:c>
      <x:c r="E607" s="14" t="n">
        <x:f>SUM(F607:M607)</x:f>
        <x:v>107</x:v>
      </x:c>
      <x:c r="F607" s="14" t="n">
        <x:v>7</x:v>
      </x:c>
      <x:c r="G607" s="14" t="n">
        <x:v>25</x:v>
      </x:c>
      <x:c r="H607" s="14" t="n">
        <x:v>6</x:v>
      </x:c>
      <x:c r="I607" s="14" t="n">
        <x:v>4</x:v>
      </x:c>
      <x:c r="J607" s="14" t="n">
        <x:v>7</x:v>
      </x:c>
      <x:c r="K607" s="14" t="n">
        <x:v>16</x:v>
      </x:c>
      <x:c r="L607" s="14" t="n">
        <x:v>39</x:v>
      </x:c>
      <x:c r="M607" s="14" t="n">
        <x:v>3</x:v>
      </x:c>
      <x:c r="N607" s="15" t="n">
        <x:f>IF(E607=0,"해당 없음",F607/E607)</x:f>
        <x:v>0.06542056074766354</x:v>
      </x:c>
      <x:c r="O607" s="15" t="n">
        <x:f>IF(E607=0,"해당 없음",G607/E607)</x:f>
        <x:v>0.2336448598130841</x:v>
      </x:c>
      <x:c r="P607" s="15" t="n">
        <x:f>IF(E607=0,"해당 없음",H607/E607)</x:f>
        <x:v>0.056074766355140186</x:v>
      </x:c>
      <x:c r="Q607" s="15" t="n">
        <x:f>IF(E607=0,"해당 없음",I607/E607)</x:f>
        <x:v>0.037383177570093455</x:v>
      </x:c>
      <x:c r="R607" s="15" t="n">
        <x:f>IF(E607=0,"해당 없음",J607/E607)</x:f>
        <x:v>0.06542056074766354</x:v>
      </x:c>
      <x:c r="S607" s="15" t="n">
        <x:f>IF(E607=0,"해당 없음",K607/E607)</x:f>
        <x:v>0.14953271028037382</x:v>
      </x:c>
      <x:c r="T607" s="15" t="n">
        <x:f>IF(E607=0,"해당 없음",L607/E607)</x:f>
        <x:v>0.3644859813084112</x:v>
      </x:c>
      <x:c r="U607" s="15" t="n">
        <x:f>IF(E607=0,"해당 없음",M607/E607)</x:f>
        <x:v>0.028037383177570093</x:v>
      </x:c>
      <x:c r="V607" s="16" t="n">
        <x:f>E607/5</x:f>
        <x:v>21.4</x:v>
      </x:c>
    </x:row>
    <x:row r="608" ht="22" customHeight="1">
      <x:c r="A608" s="2" t="n">
        <x:v>302</x:v>
      </x:c>
      <x:c r="B608" s="2" t="str">
        <x:v>RED</x:v>
      </x:c>
      <x:c r="C608" s="2" t="str">
        <x:v>40만</x:v>
      </x:c>
      <x:c r="D608" s="2" t="str">
        <x:v>0만</x:v>
      </x:c>
      <x:c r="E608" s="14" t="n">
        <x:f>SUM(F608:M608)</x:f>
        <x:v>103</x:v>
      </x:c>
      <x:c r="F608" s="14" t="n">
        <x:v>5</x:v>
      </x:c>
      <x:c r="G608" s="14" t="n">
        <x:v>35</x:v>
      </x:c>
      <x:c r="H608" s="14" t="n">
        <x:v>5</x:v>
      </x:c>
      <x:c r="I608" s="14" t="n">
        <x:v>6</x:v>
      </x:c>
      <x:c r="J608" s="14" t="n">
        <x:v>2</x:v>
      </x:c>
      <x:c r="K608" s="14" t="n">
        <x:v>10</x:v>
      </x:c>
      <x:c r="L608" s="14" t="n">
        <x:v>38</x:v>
      </x:c>
      <x:c r="M608" s="14" t="n">
        <x:v>2</x:v>
      </x:c>
      <x:c r="N608" s="15" t="n">
        <x:f>IF(E608=0,"해당 없음",F608/E608)</x:f>
        <x:v>0.04854368932038835</x:v>
      </x:c>
      <x:c r="O608" s="15" t="n">
        <x:f>IF(E608=0,"해당 없음",G608/E608)</x:f>
        <x:v>0.33980582524271846</x:v>
      </x:c>
      <x:c r="P608" s="15" t="n">
        <x:f>IF(E608=0,"해당 없음",H608/E608)</x:f>
        <x:v>0.04854368932038835</x:v>
      </x:c>
      <x:c r="Q608" s="15" t="n">
        <x:f>IF(E608=0,"해당 없음",I608/E608)</x:f>
        <x:v>0.05825242718446602</x:v>
      </x:c>
      <x:c r="R608" s="15" t="n">
        <x:f>IF(E608=0,"해당 없음",J608/E608)</x:f>
        <x:v>0.019417475728155338</x:v>
      </x:c>
      <x:c r="S608" s="15" t="n">
        <x:f>IF(E608=0,"해당 없음",K608/E608)</x:f>
        <x:v>0.0970873786407767</x:v>
      </x:c>
      <x:c r="T608" s="15" t="n">
        <x:f>IF(E608=0,"해당 없음",L608/E608)</x:f>
        <x:v>0.36893203883495146</x:v>
      </x:c>
      <x:c r="U608" s="15" t="n">
        <x:f>IF(E608=0,"해당 없음",M608/E608)</x:f>
        <x:v>0.019417475728155338</x:v>
      </x:c>
      <x:c r="V608" s="16" t="n">
        <x:f>E608/5</x:f>
        <x:v>20.6</x:v>
      </x:c>
    </x:row>
    <x:row r="609" ht="22" customHeight="1">
      <x:c r="A609" s="2" t="n">
        <x:v>302</x:v>
      </x:c>
      <x:c r="B609" s="2" t="str">
        <x:v>NAVY</x:v>
      </x:c>
      <x:c r="C609" s="2" t="str">
        <x:v>0만</x:v>
      </x:c>
      <x:c r="D609" s="2" t="str">
        <x:v>40만</x:v>
      </x:c>
      <x:c r="E609" s="14" t="n">
        <x:f>SUM(F609:M609)</x:f>
        <x:v>102</x:v>
      </x:c>
      <x:c r="F609" s="14" t="n">
        <x:v>10</x:v>
      </x:c>
      <x:c r="G609" s="14" t="n">
        <x:v>11</x:v>
      </x:c>
      <x:c r="H609" s="14" t="n">
        <x:v>18</x:v>
      </x:c>
      <x:c r="I609" s="14" t="n">
        <x:v>11</x:v>
      </x:c>
      <x:c r="J609" s="14" t="n">
        <x:v>16</x:v>
      </x:c>
      <x:c r="K609" s="14" t="n">
        <x:v>13</x:v>
      </x:c>
      <x:c r="L609" s="14" t="n">
        <x:v>13</x:v>
      </x:c>
      <x:c r="M609" s="14" t="n">
        <x:v>10</x:v>
      </x:c>
      <x:c r="N609" s="15" t="n">
        <x:f>IF(E609=0,"해당 없음",F609/E609)</x:f>
        <x:v>0.09803921568627451</x:v>
      </x:c>
      <x:c r="O609" s="15" t="n">
        <x:f>IF(E609=0,"해당 없음",G609/E609)</x:f>
        <x:v>0.10784313725490197</x:v>
      </x:c>
      <x:c r="P609" s="15" t="n">
        <x:f>IF(E609=0,"해당 없음",H609/E609)</x:f>
        <x:v>0.17647058823529413</x:v>
      </x:c>
      <x:c r="Q609" s="15" t="n">
        <x:f>IF(E609=0,"해당 없음",I609/E609)</x:f>
        <x:v>0.10784313725490197</x:v>
      </x:c>
      <x:c r="R609" s="15" t="n">
        <x:f>IF(E609=0,"해당 없음",J609/E609)</x:f>
        <x:v>0.1568627450980392</x:v>
      </x:c>
      <x:c r="S609" s="15" t="n">
        <x:f>IF(E609=0,"해당 없음",K609/E609)</x:f>
        <x:v>0.12745098039215685</x:v>
      </x:c>
      <x:c r="T609" s="15" t="n">
        <x:f>IF(E609=0,"해당 없음",L609/E609)</x:f>
        <x:v>0.12745098039215685</x:v>
      </x:c>
      <x:c r="U609" s="15" t="n">
        <x:f>IF(E609=0,"해당 없음",M609/E609)</x:f>
        <x:v>0.09803921568627451</x:v>
      </x:c>
      <x:c r="V609" s="16" t="n">
        <x:f>E609/5</x:f>
        <x:v>20.4</x:v>
      </x:c>
    </x:row>
    <x:row r="610" ht="22" customHeight="1">
      <x:c r="A610" s="2" t="n">
        <x:v>303</x:v>
      </x:c>
      <x:c r="B610" s="2" t="str">
        <x:v>RED</x:v>
      </x:c>
      <x:c r="C610" s="2" t="str">
        <x:v>0만</x:v>
      </x:c>
      <x:c r="D610" s="2" t="str">
        <x:v>40만</x:v>
      </x:c>
      <x:c r="E610" s="14" t="n">
        <x:f>SUM(F610:M610)</x:f>
        <x:v>102</x:v>
      </x:c>
      <x:c r="F610" s="14" t="n">
        <x:v>18</x:v>
      </x:c>
      <x:c r="G610" s="14" t="n">
        <x:v>9</x:v>
      </x:c>
      <x:c r="H610" s="14" t="n">
        <x:v>10</x:v>
      </x:c>
      <x:c r="I610" s="14" t="n">
        <x:v>19</x:v>
      </x:c>
      <x:c r="J610" s="14" t="n">
        <x:v>6</x:v>
      </x:c>
      <x:c r="K610" s="14" t="n">
        <x:v>15</x:v>
      </x:c>
      <x:c r="L610" s="14" t="n">
        <x:v>13</x:v>
      </x:c>
      <x:c r="M610" s="14" t="n">
        <x:v>12</x:v>
      </x:c>
      <x:c r="N610" s="15" t="n">
        <x:f>IF(E610=0,"해당 없음",F610/E610)</x:f>
        <x:v>0.17647058823529413</x:v>
      </x:c>
      <x:c r="O610" s="15" t="n">
        <x:f>IF(E610=0,"해당 없음",G610/E610)</x:f>
        <x:v>0.08823529411764706</x:v>
      </x:c>
      <x:c r="P610" s="15" t="n">
        <x:f>IF(E610=0,"해당 없음",H610/E610)</x:f>
        <x:v>0.09803921568627451</x:v>
      </x:c>
      <x:c r="Q610" s="15" t="n">
        <x:f>IF(E610=0,"해당 없음",I610/E610)</x:f>
        <x:v>0.18627450980392157</x:v>
      </x:c>
      <x:c r="R610" s="15" t="n">
        <x:f>IF(E610=0,"해당 없음",J610/E610)</x:f>
        <x:v>0.058823529411764705</x:v>
      </x:c>
      <x:c r="S610" s="15" t="n">
        <x:f>IF(E610=0,"해당 없음",K610/E610)</x:f>
        <x:v>0.14705882352941177</x:v>
      </x:c>
      <x:c r="T610" s="15" t="n">
        <x:f>IF(E610=0,"해당 없음",L610/E610)</x:f>
        <x:v>0.12745098039215685</x:v>
      </x:c>
      <x:c r="U610" s="15" t="n">
        <x:f>IF(E610=0,"해당 없음",M610/E610)</x:f>
        <x:v>0.11764705882352941</x:v>
      </x:c>
      <x:c r="V610" s="16" t="n">
        <x:f>E610/5</x:f>
        <x:v>20.4</x:v>
      </x:c>
    </x:row>
    <x:row r="611" ht="22" customHeight="1">
      <x:c r="A611" s="2" t="n">
        <x:v>303</x:v>
      </x:c>
      <x:c r="B611" s="2" t="str">
        <x:v>NAVY</x:v>
      </x:c>
      <x:c r="C611" s="2" t="str">
        <x:v>40만</x:v>
      </x:c>
      <x:c r="D611" s="2" t="str">
        <x:v>0만</x:v>
      </x:c>
      <x:c r="E611" s="14" t="n">
        <x:f>SUM(F611:M611)</x:f>
        <x:v>101</x:v>
      </x:c>
      <x:c r="F611" s="14" t="n">
        <x:v>10</x:v>
      </x:c>
      <x:c r="G611" s="14" t="n">
        <x:v>20</x:v>
      </x:c>
      <x:c r="H611" s="14" t="n">
        <x:v>5</x:v>
      </x:c>
      <x:c r="I611" s="14" t="n">
        <x:v>5</x:v>
      </x:c>
      <x:c r="J611" s="14" t="n">
        <x:v>5</x:v>
      </x:c>
      <x:c r="K611" s="14" t="n">
        <x:v>14</x:v>
      </x:c>
      <x:c r="L611" s="14" t="n">
        <x:v>37</x:v>
      </x:c>
      <x:c r="M611" s="14" t="n">
        <x:v>5</x:v>
      </x:c>
      <x:c r="N611" s="15" t="n">
        <x:f>IF(E611=0,"해당 없음",F611/E611)</x:f>
        <x:v>0.09900990099009901</x:v>
      </x:c>
      <x:c r="O611" s="15" t="n">
        <x:f>IF(E611=0,"해당 없음",G611/E611)</x:f>
        <x:v>0.19801980198019803</x:v>
      </x:c>
      <x:c r="P611" s="15" t="n">
        <x:f>IF(E611=0,"해당 없음",H611/E611)</x:f>
        <x:v>0.04950495049504951</x:v>
      </x:c>
      <x:c r="Q611" s="15" t="n">
        <x:f>IF(E611=0,"해당 없음",I611/E611)</x:f>
        <x:v>0.04950495049504951</x:v>
      </x:c>
      <x:c r="R611" s="15" t="n">
        <x:f>IF(E611=0,"해당 없음",J611/E611)</x:f>
        <x:v>0.04950495049504951</x:v>
      </x:c>
      <x:c r="S611" s="15" t="n">
        <x:f>IF(E611=0,"해당 없음",K611/E611)</x:f>
        <x:v>0.13861386138613863</x:v>
      </x:c>
      <x:c r="T611" s="15" t="n">
        <x:f>IF(E611=0,"해당 없음",L611/E611)</x:f>
        <x:v>0.36633663366336633</x:v>
      </x:c>
      <x:c r="U611" s="15" t="n">
        <x:f>IF(E611=0,"해당 없음",M611/E611)</x:f>
        <x:v>0.04950495049504951</x:v>
      </x:c>
      <x:c r="V611" s="16" t="n">
        <x:f>E611/5</x:f>
        <x:v>20.2</x:v>
      </x:c>
    </x:row>
    <x:row r="612" ht="22" customHeight="1">
      <x:c r="A612" s="2" t="n">
        <x:v>304</x:v>
      </x:c>
      <x:c r="B612" s="2" t="str">
        <x:v>RED</x:v>
      </x:c>
      <x:c r="C612" s="2" t="str">
        <x:v>40만</x:v>
      </x:c>
      <x:c r="D612" s="2" t="str">
        <x:v>0만</x:v>
      </x:c>
      <x:c r="E612" s="14" t="n">
        <x:f>SUM(F612:M612)</x:f>
        <x:v>104</x:v>
      </x:c>
      <x:c r="F612" s="14" t="n">
        <x:v>3</x:v>
      </x:c>
      <x:c r="G612" s="14" t="n">
        <x:v>33</x:v>
      </x:c>
      <x:c r="H612" s="14" t="n">
        <x:v>11</x:v>
      </x:c>
      <x:c r="I612" s="14" t="n">
        <x:v>3</x:v>
      </x:c>
      <x:c r="J612" s="14" t="n">
        <x:v>5</x:v>
      </x:c>
      <x:c r="K612" s="14" t="n">
        <x:v>7</x:v>
      </x:c>
      <x:c r="L612" s="14" t="n">
        <x:v>38</x:v>
      </x:c>
      <x:c r="M612" s="14" t="n">
        <x:v>4</x:v>
      </x:c>
      <x:c r="N612" s="15" t="n">
        <x:f>IF(E612=0,"해당 없음",F612/E612)</x:f>
        <x:v>0.028846153846153848</x:v>
      </x:c>
      <x:c r="O612" s="15" t="n">
        <x:f>IF(E612=0,"해당 없음",G612/E612)</x:f>
        <x:v>0.3173076923076923</x:v>
      </x:c>
      <x:c r="P612" s="15" t="n">
        <x:f>IF(E612=0,"해당 없음",H612/E612)</x:f>
        <x:v>0.10576923076923077</x:v>
      </x:c>
      <x:c r="Q612" s="15" t="n">
        <x:f>IF(E612=0,"해당 없음",I612/E612)</x:f>
        <x:v>0.028846153846153848</x:v>
      </x:c>
      <x:c r="R612" s="15" t="n">
        <x:f>IF(E612=0,"해당 없음",J612/E612)</x:f>
        <x:v>0.04807692307692308</x:v>
      </x:c>
      <x:c r="S612" s="15" t="n">
        <x:f>IF(E612=0,"해당 없음",K612/E612)</x:f>
        <x:v>0.0673076923076923</x:v>
      </x:c>
      <x:c r="T612" s="15" t="n">
        <x:f>IF(E612=0,"해당 없음",L612/E612)</x:f>
        <x:v>0.36538461538461536</x:v>
      </x:c>
      <x:c r="U612" s="15" t="n">
        <x:f>IF(E612=0,"해당 없음",M612/E612)</x:f>
        <x:v>0.038461538461538464</x:v>
      </x:c>
      <x:c r="V612" s="16" t="n">
        <x:f>E612/5</x:f>
        <x:v>20.8</x:v>
      </x:c>
    </x:row>
    <x:row r="613" ht="22" customHeight="1">
      <x:c r="A613" s="2" t="n">
        <x:v>304</x:v>
      </x:c>
      <x:c r="B613" s="2" t="str">
        <x:v>NAVY</x:v>
      </x:c>
      <x:c r="C613" s="2" t="str">
        <x:v>0만</x:v>
      </x:c>
      <x:c r="D613" s="2" t="str">
        <x:v>40만</x:v>
      </x:c>
      <x:c r="E613" s="14" t="n">
        <x:f>SUM(F613:M613)</x:f>
        <x:v>105</x:v>
      </x:c>
      <x:c r="F613" s="14" t="n">
        <x:v>19</x:v>
      </x:c>
      <x:c r="G613" s="14" t="n">
        <x:v>9</x:v>
      </x:c>
      <x:c r="H613" s="14" t="n">
        <x:v>10</x:v>
      </x:c>
      <x:c r="I613" s="14" t="n">
        <x:v>20</x:v>
      </x:c>
      <x:c r="J613" s="14" t="n">
        <x:v>7</x:v>
      </x:c>
      <x:c r="K613" s="14" t="n">
        <x:v>15</x:v>
      </x:c>
      <x:c r="L613" s="14" t="n">
        <x:v>13</x:v>
      </x:c>
      <x:c r="M613" s="14" t="n">
        <x:v>12</x:v>
      </x:c>
      <x:c r="N613" s="15" t="n">
        <x:f>IF(E613=0,"해당 없음",F613/E613)</x:f>
        <x:v>0.18095238095238095</x:v>
      </x:c>
      <x:c r="O613" s="15" t="n">
        <x:f>IF(E613=0,"해당 없음",G613/E613)</x:f>
        <x:v>0.08571428571428572</x:v>
      </x:c>
      <x:c r="P613" s="15" t="n">
        <x:f>IF(E613=0,"해당 없음",H613/E613)</x:f>
        <x:v>0.09523809523809523</x:v>
      </x:c>
      <x:c r="Q613" s="15" t="n">
        <x:f>IF(E613=0,"해당 없음",I613/E613)</x:f>
        <x:v>0.19047619047619047</x:v>
      </x:c>
      <x:c r="R613" s="15" t="n">
        <x:f>IF(E613=0,"해당 없음",J613/E613)</x:f>
        <x:v>0.06666666666666667</x:v>
      </x:c>
      <x:c r="S613" s="15" t="n">
        <x:f>IF(E613=0,"해당 없음",K613/E613)</x:f>
        <x:v>0.14285714285714285</x:v>
      </x:c>
      <x:c r="T613" s="15" t="n">
        <x:f>IF(E613=0,"해당 없음",L613/E613)</x:f>
        <x:v>0.12380952380952381</x:v>
      </x:c>
      <x:c r="U613" s="15" t="n">
        <x:f>IF(E613=0,"해당 없음",M613/E613)</x:f>
        <x:v>0.11428571428571428</x:v>
      </x:c>
      <x:c r="V613" s="16" t="n">
        <x:f>E613/5</x:f>
        <x:v>21</x:v>
      </x:c>
    </x:row>
    <x:row r="614" ht="22" customHeight="1">
      <x:c r="A614" s="2" t="n">
        <x:v>305</x:v>
      </x:c>
      <x:c r="B614" s="2" t="str">
        <x:v>RED</x:v>
      </x:c>
      <x:c r="C614" s="2" t="str">
        <x:v>0만</x:v>
      </x:c>
      <x:c r="D614" s="2" t="str">
        <x:v>40만</x:v>
      </x:c>
      <x:c r="E614" s="14" t="n">
        <x:f>SUM(F614:M614)</x:f>
        <x:v>104</x:v>
      </x:c>
      <x:c r="F614" s="14" t="n">
        <x:v>11</x:v>
      </x:c>
      <x:c r="G614" s="14" t="n">
        <x:v>14</x:v>
      </x:c>
      <x:c r="H614" s="14" t="n">
        <x:v>14</x:v>
      </x:c>
      <x:c r="I614" s="14" t="n">
        <x:v>11</x:v>
      </x:c>
      <x:c r="J614" s="14" t="n">
        <x:v>17</x:v>
      </x:c>
      <x:c r="K614" s="14" t="n">
        <x:v>13</x:v>
      </x:c>
      <x:c r="L614" s="14" t="n">
        <x:v>16</x:v>
      </x:c>
      <x:c r="M614" s="14" t="n">
        <x:v>8</x:v>
      </x:c>
      <x:c r="N614" s="15" t="n">
        <x:f>IF(E614=0,"해당 없음",F614/E614)</x:f>
        <x:v>0.10576923076923077</x:v>
      </x:c>
      <x:c r="O614" s="15" t="n">
        <x:f>IF(E614=0,"해당 없음",G614/E614)</x:f>
        <x:v>0.1346153846153846</x:v>
      </x:c>
      <x:c r="P614" s="15" t="n">
        <x:f>IF(E614=0,"해당 없음",H614/E614)</x:f>
        <x:v>0.1346153846153846</x:v>
      </x:c>
      <x:c r="Q614" s="15" t="n">
        <x:f>IF(E614=0,"해당 없음",I614/E614)</x:f>
        <x:v>0.10576923076923077</x:v>
      </x:c>
      <x:c r="R614" s="15" t="n">
        <x:f>IF(E614=0,"해당 없음",J614/E614)</x:f>
        <x:v>0.16346153846153846</x:v>
      </x:c>
      <x:c r="S614" s="15" t="n">
        <x:f>IF(E614=0,"해당 없음",K614/E614)</x:f>
        <x:v>0.125</x:v>
      </x:c>
      <x:c r="T614" s="15" t="n">
        <x:f>IF(E614=0,"해당 없음",L614/E614)</x:f>
        <x:v>0.15384615384615385</x:v>
      </x:c>
      <x:c r="U614" s="15" t="n">
        <x:f>IF(E614=0,"해당 없음",M614/E614)</x:f>
        <x:v>0.07692307692307693</x:v>
      </x:c>
      <x:c r="V614" s="16" t="n">
        <x:f>E614/5</x:f>
        <x:v>20.8</x:v>
      </x:c>
    </x:row>
    <x:row r="615" ht="22" customHeight="1">
      <x:c r="A615" s="2" t="n">
        <x:v>305</x:v>
      </x:c>
      <x:c r="B615" s="2" t="str">
        <x:v>NAVY</x:v>
      </x:c>
      <x:c r="C615" s="2" t="str">
        <x:v>40만</x:v>
      </x:c>
      <x:c r="D615" s="2" t="str">
        <x:v>0만</x:v>
      </x:c>
      <x:c r="E615" s="14" t="n">
        <x:f>SUM(F615:M615)</x:f>
        <x:v>104</x:v>
      </x:c>
      <x:c r="F615" s="14" t="n">
        <x:v>4</x:v>
      </x:c>
      <x:c r="G615" s="14" t="n">
        <x:v>35</x:v>
      </x:c>
      <x:c r="H615" s="14" t="n">
        <x:v>5</x:v>
      </x:c>
      <x:c r="I615" s="14" t="n">
        <x:v>3</x:v>
      </x:c>
      <x:c r="J615" s="14" t="n">
        <x:v>6</x:v>
      </x:c>
      <x:c r="K615" s="14" t="n">
        <x:v>7</x:v>
      </x:c>
      <x:c r="L615" s="14" t="n">
        <x:v>40</x:v>
      </x:c>
      <x:c r="M615" s="14" t="n">
        <x:v>4</x:v>
      </x:c>
      <x:c r="N615" s="15" t="n">
        <x:f>IF(E615=0,"해당 없음",F615/E615)</x:f>
        <x:v>0.038461538461538464</x:v>
      </x:c>
      <x:c r="O615" s="15" t="n">
        <x:f>IF(E615=0,"해당 없음",G615/E615)</x:f>
        <x:v>0.33653846153846156</x:v>
      </x:c>
      <x:c r="P615" s="15" t="n">
        <x:f>IF(E615=0,"해당 없음",H615/E615)</x:f>
        <x:v>0.04807692307692308</x:v>
      </x:c>
      <x:c r="Q615" s="15" t="n">
        <x:f>IF(E615=0,"해당 없음",I615/E615)</x:f>
        <x:v>0.028846153846153848</x:v>
      </x:c>
      <x:c r="R615" s="15" t="n">
        <x:f>IF(E615=0,"해당 없음",J615/E615)</x:f>
        <x:v>0.057692307692307696</x:v>
      </x:c>
      <x:c r="S615" s="15" t="n">
        <x:f>IF(E615=0,"해당 없음",K615/E615)</x:f>
        <x:v>0.0673076923076923</x:v>
      </x:c>
      <x:c r="T615" s="15" t="n">
        <x:f>IF(E615=0,"해당 없음",L615/E615)</x:f>
        <x:v>0.38461538461538464</x:v>
      </x:c>
      <x:c r="U615" s="15" t="n">
        <x:f>IF(E615=0,"해당 없음",M615/E615)</x:f>
        <x:v>0.038461538461538464</x:v>
      </x:c>
      <x:c r="V615" s="16" t="n">
        <x:f>E615/5</x:f>
        <x:v>20.8</x:v>
      </x:c>
    </x:row>
    <x:row r="616" ht="22" customHeight="1">
      <x:c r="A616" s="2" t="n">
        <x:v>306</x:v>
      </x:c>
      <x:c r="B616" s="2" t="str">
        <x:v>RED</x:v>
      </x:c>
      <x:c r="C616" s="2" t="str">
        <x:v>40만</x:v>
      </x:c>
      <x:c r="D616" s="2" t="str">
        <x:v>0만</x:v>
      </x:c>
      <x:c r="E616" s="14" t="n">
        <x:f>SUM(F616:M616)</x:f>
        <x:v>103</x:v>
      </x:c>
      <x:c r="F616" s="14" t="n">
        <x:v>6</x:v>
      </x:c>
      <x:c r="G616" s="14" t="n">
        <x:v>29</x:v>
      </x:c>
      <x:c r="H616" s="14" t="n">
        <x:v>9</x:v>
      </x:c>
      <x:c r="I616" s="14" t="n">
        <x:v>6</x:v>
      </x:c>
      <x:c r="J616" s="14" t="n">
        <x:v>5</x:v>
      </x:c>
      <x:c r="K616" s="14" t="n">
        <x:v>4</x:v>
      </x:c>
      <x:c r="L616" s="14" t="n">
        <x:v>39</x:v>
      </x:c>
      <x:c r="M616" s="14" t="n">
        <x:v>5</x:v>
      </x:c>
      <x:c r="N616" s="15" t="n">
        <x:f>IF(E616=0,"해당 없음",F616/E616)</x:f>
        <x:v>0.05825242718446602</x:v>
      </x:c>
      <x:c r="O616" s="15" t="n">
        <x:f>IF(E616=0,"해당 없음",G616/E616)</x:f>
        <x:v>0.2815533980582524</x:v>
      </x:c>
      <x:c r="P616" s="15" t="n">
        <x:f>IF(E616=0,"해당 없음",H616/E616)</x:f>
        <x:v>0.08737864077669903</x:v>
      </x:c>
      <x:c r="Q616" s="15" t="n">
        <x:f>IF(E616=0,"해당 없음",I616/E616)</x:f>
        <x:v>0.05825242718446602</x:v>
      </x:c>
      <x:c r="R616" s="15" t="n">
        <x:f>IF(E616=0,"해당 없음",J616/E616)</x:f>
        <x:v>0.04854368932038835</x:v>
      </x:c>
      <x:c r="S616" s="15" t="n">
        <x:f>IF(E616=0,"해당 없음",K616/E616)</x:f>
        <x:v>0.038834951456310676</x:v>
      </x:c>
      <x:c r="T616" s="15" t="n">
        <x:f>IF(E616=0,"해당 없음",L616/E616)</x:f>
        <x:v>0.3786407766990291</x:v>
      </x:c>
      <x:c r="U616" s="15" t="n">
        <x:f>IF(E616=0,"해당 없음",M616/E616)</x:f>
        <x:v>0.04854368932038835</x:v>
      </x:c>
      <x:c r="V616" s="16" t="n">
        <x:f>E616/5</x:f>
        <x:v>20.6</x:v>
      </x:c>
    </x:row>
    <x:row r="617" ht="22" customHeight="1">
      <x:c r="A617" s="2" t="n">
        <x:v>306</x:v>
      </x:c>
      <x:c r="B617" s="2" t="str">
        <x:v>NAVY</x:v>
      </x:c>
      <x:c r="C617" s="2" t="str">
        <x:v>0만</x:v>
      </x:c>
      <x:c r="D617" s="2" t="str">
        <x:v>40만</x:v>
      </x:c>
      <x:c r="E617" s="14" t="n">
        <x:f>SUM(F617:M617)</x:f>
        <x:v>104</x:v>
      </x:c>
      <x:c r="F617" s="14" t="n">
        <x:v>11</x:v>
      </x:c>
      <x:c r="G617" s="14" t="n">
        <x:v>14</x:v>
      </x:c>
      <x:c r="H617" s="14" t="n">
        <x:v>14</x:v>
      </x:c>
      <x:c r="I617" s="14" t="n">
        <x:v>11</x:v>
      </x:c>
      <x:c r="J617" s="14" t="n">
        <x:v>17</x:v>
      </x:c>
      <x:c r="K617" s="14" t="n">
        <x:v>13</x:v>
      </x:c>
      <x:c r="L617" s="14" t="n">
        <x:v>16</x:v>
      </x:c>
      <x:c r="M617" s="14" t="n">
        <x:v>8</x:v>
      </x:c>
      <x:c r="N617" s="15" t="n">
        <x:f>IF(E617=0,"해당 없음",F617/E617)</x:f>
        <x:v>0.10576923076923077</x:v>
      </x:c>
      <x:c r="O617" s="15" t="n">
        <x:f>IF(E617=0,"해당 없음",G617/E617)</x:f>
        <x:v>0.1346153846153846</x:v>
      </x:c>
      <x:c r="P617" s="15" t="n">
        <x:f>IF(E617=0,"해당 없음",H617/E617)</x:f>
        <x:v>0.1346153846153846</x:v>
      </x:c>
      <x:c r="Q617" s="15" t="n">
        <x:f>IF(E617=0,"해당 없음",I617/E617)</x:f>
        <x:v>0.10576923076923077</x:v>
      </x:c>
      <x:c r="R617" s="15" t="n">
        <x:f>IF(E617=0,"해당 없음",J617/E617)</x:f>
        <x:v>0.16346153846153846</x:v>
      </x:c>
      <x:c r="S617" s="15" t="n">
        <x:f>IF(E617=0,"해당 없음",K617/E617)</x:f>
        <x:v>0.125</x:v>
      </x:c>
      <x:c r="T617" s="15" t="n">
        <x:f>IF(E617=0,"해당 없음",L617/E617)</x:f>
        <x:v>0.15384615384615385</x:v>
      </x:c>
      <x:c r="U617" s="15" t="n">
        <x:f>IF(E617=0,"해당 없음",M617/E617)</x:f>
        <x:v>0.07692307692307693</x:v>
      </x:c>
      <x:c r="V617" s="16" t="n">
        <x:f>E617/5</x:f>
        <x:v>20.8</x:v>
      </x:c>
    </x:row>
    <x:row r="618" ht="22" customHeight="1">
      <x:c r="A618" s="2" t="n">
        <x:v>307</x:v>
      </x:c>
      <x:c r="B618" s="2" t="str">
        <x:v>RED</x:v>
      </x:c>
      <x:c r="C618" s="2" t="str">
        <x:v>0만</x:v>
      </x:c>
      <x:c r="D618" s="2" t="str">
        <x:v>40만</x:v>
      </x:c>
      <x:c r="E618" s="14" t="n">
        <x:f>SUM(F618:M618)</x:f>
        <x:v>104</x:v>
      </x:c>
      <x:c r="F618" s="14" t="n">
        <x:v>9</x:v>
      </x:c>
      <x:c r="G618" s="14" t="n">
        <x:v>11</x:v>
      </x:c>
      <x:c r="H618" s="14" t="n">
        <x:v>11</x:v>
      </x:c>
      <x:c r="I618" s="14" t="n">
        <x:v>17</x:v>
      </x:c>
      <x:c r="J618" s="14" t="n">
        <x:v>13</x:v>
      </x:c>
      <x:c r="K618" s="14" t="n">
        <x:v>12</x:v>
      </x:c>
      <x:c r="L618" s="14" t="n">
        <x:v>14</x:v>
      </x:c>
      <x:c r="M618" s="14" t="n">
        <x:v>17</x:v>
      </x:c>
      <x:c r="N618" s="15" t="n">
        <x:f>IF(E618=0,"해당 없음",F618/E618)</x:f>
        <x:v>0.08653846153846154</x:v>
      </x:c>
      <x:c r="O618" s="15" t="n">
        <x:f>IF(E618=0,"해당 없음",G618/E618)</x:f>
        <x:v>0.10576923076923077</x:v>
      </x:c>
      <x:c r="P618" s="15" t="n">
        <x:f>IF(E618=0,"해당 없음",H618/E618)</x:f>
        <x:v>0.10576923076923077</x:v>
      </x:c>
      <x:c r="Q618" s="15" t="n">
        <x:f>IF(E618=0,"해당 없음",I618/E618)</x:f>
        <x:v>0.16346153846153846</x:v>
      </x:c>
      <x:c r="R618" s="15" t="n">
        <x:f>IF(E618=0,"해당 없음",J618/E618)</x:f>
        <x:v>0.125</x:v>
      </x:c>
      <x:c r="S618" s="15" t="n">
        <x:f>IF(E618=0,"해당 없음",K618/E618)</x:f>
        <x:v>0.11538461538461539</x:v>
      </x:c>
      <x:c r="T618" s="15" t="n">
        <x:f>IF(E618=0,"해당 없음",L618/E618)</x:f>
        <x:v>0.1346153846153846</x:v>
      </x:c>
      <x:c r="U618" s="15" t="n">
        <x:f>IF(E618=0,"해당 없음",M618/E618)</x:f>
        <x:v>0.16346153846153846</x:v>
      </x:c>
      <x:c r="V618" s="16" t="n">
        <x:f>E618/5</x:f>
        <x:v>20.8</x:v>
      </x:c>
    </x:row>
    <x:row r="619" ht="22" customHeight="1">
      <x:c r="A619" s="2" t="n">
        <x:v>307</x:v>
      </x:c>
      <x:c r="B619" s="2" t="str">
        <x:v>NAVY</x:v>
      </x:c>
      <x:c r="C619" s="2" t="str">
        <x:v>40만</x:v>
      </x:c>
      <x:c r="D619" s="2" t="str">
        <x:v>0만</x:v>
      </x:c>
      <x:c r="E619" s="14" t="n">
        <x:f>SUM(F619:M619)</x:f>
        <x:v>105</x:v>
      </x:c>
      <x:c r="F619" s="14" t="n">
        <x:v>6</x:v>
      </x:c>
      <x:c r="G619" s="14" t="n">
        <x:v>24</x:v>
      </x:c>
      <x:c r="H619" s="14" t="n">
        <x:v>5</x:v>
      </x:c>
      <x:c r="I619" s="14" t="n">
        <x:v>8</x:v>
      </x:c>
      <x:c r="J619" s="14" t="n">
        <x:v>7</x:v>
      </x:c>
      <x:c r="K619" s="14" t="n">
        <x:v>9</x:v>
      </x:c>
      <x:c r="L619" s="14" t="n">
        <x:v>40</x:v>
      </x:c>
      <x:c r="M619" s="14" t="n">
        <x:v>6</x:v>
      </x:c>
      <x:c r="N619" s="15" t="n">
        <x:f>IF(E619=0,"해당 없음",F619/E619)</x:f>
        <x:v>0.05714285714285714</x:v>
      </x:c>
      <x:c r="O619" s="15" t="n">
        <x:f>IF(E619=0,"해당 없음",G619/E619)</x:f>
        <x:v>0.22857142857142856</x:v>
      </x:c>
      <x:c r="P619" s="15" t="n">
        <x:f>IF(E619=0,"해당 없음",H619/E619)</x:f>
        <x:v>0.047619047619047616</x:v>
      </x:c>
      <x:c r="Q619" s="15" t="n">
        <x:f>IF(E619=0,"해당 없음",I619/E619)</x:f>
        <x:v>0.0761904761904762</x:v>
      </x:c>
      <x:c r="R619" s="15" t="n">
        <x:f>IF(E619=0,"해당 없음",J619/E619)</x:f>
        <x:v>0.06666666666666667</x:v>
      </x:c>
      <x:c r="S619" s="15" t="n">
        <x:f>IF(E619=0,"해당 없음",K619/E619)</x:f>
        <x:v>0.08571428571428572</x:v>
      </x:c>
      <x:c r="T619" s="15" t="n">
        <x:f>IF(E619=0,"해당 없음",L619/E619)</x:f>
        <x:v>0.38095238095238093</x:v>
      </x:c>
      <x:c r="U619" s="15" t="n">
        <x:f>IF(E619=0,"해당 없음",M619/E619)</x:f>
        <x:v>0.05714285714285714</x:v>
      </x:c>
      <x:c r="V619" s="16" t="n">
        <x:f>E619/5</x:f>
        <x:v>21</x:v>
      </x:c>
    </x:row>
    <x:row r="620" ht="22" customHeight="1">
      <x:c r="A620" s="2" t="n">
        <x:v>308</x:v>
      </x:c>
      <x:c r="B620" s="2" t="str">
        <x:v>RED</x:v>
      </x:c>
      <x:c r="C620" s="2" t="str">
        <x:v>40만</x:v>
      </x:c>
      <x:c r="D620" s="2" t="str">
        <x:v>0만</x:v>
      </x:c>
      <x:c r="E620" s="14" t="n">
        <x:f>SUM(F620:M620)</x:f>
        <x:v>102</x:v>
      </x:c>
      <x:c r="F620" s="14" t="n">
        <x:v>4</x:v>
      </x:c>
      <x:c r="G620" s="14" t="n">
        <x:v>30</x:v>
      </x:c>
      <x:c r="H620" s="14" t="n">
        <x:v>2</x:v>
      </x:c>
      <x:c r="I620" s="14" t="n">
        <x:v>9</x:v>
      </x:c>
      <x:c r="J620" s="14" t="n">
        <x:v>10</x:v>
      </x:c>
      <x:c r="K620" s="14" t="n">
        <x:v>12</x:v>
      </x:c>
      <x:c r="L620" s="14" t="n">
        <x:v>33</x:v>
      </x:c>
      <x:c r="M620" s="14" t="n">
        <x:v>2</x:v>
      </x:c>
      <x:c r="N620" s="15" t="n">
        <x:f>IF(E620=0,"해당 없음",F620/E620)</x:f>
        <x:v>0.0392156862745098</x:v>
      </x:c>
      <x:c r="O620" s="15" t="n">
        <x:f>IF(E620=0,"해당 없음",G620/E620)</x:f>
        <x:v>0.29411764705882354</x:v>
      </x:c>
      <x:c r="P620" s="15" t="n">
        <x:f>IF(E620=0,"해당 없음",H620/E620)</x:f>
        <x:v>0.0196078431372549</x:v>
      </x:c>
      <x:c r="Q620" s="15" t="n">
        <x:f>IF(E620=0,"해당 없음",I620/E620)</x:f>
        <x:v>0.08823529411764706</x:v>
      </x:c>
      <x:c r="R620" s="15" t="n">
        <x:f>IF(E620=0,"해당 없음",J620/E620)</x:f>
        <x:v>0.09803921568627451</x:v>
      </x:c>
      <x:c r="S620" s="15" t="n">
        <x:f>IF(E620=0,"해당 없음",K620/E620)</x:f>
        <x:v>0.11764705882352941</x:v>
      </x:c>
      <x:c r="T620" s="15" t="n">
        <x:f>IF(E620=0,"해당 없음",L620/E620)</x:f>
        <x:v>0.3235294117647059</x:v>
      </x:c>
      <x:c r="U620" s="15" t="n">
        <x:f>IF(E620=0,"해당 없음",M620/E620)</x:f>
        <x:v>0.0196078431372549</x:v>
      </x:c>
      <x:c r="V620" s="16" t="n">
        <x:f>E620/5</x:f>
        <x:v>20.4</x:v>
      </x:c>
    </x:row>
    <x:row r="621" ht="22" customHeight="1">
      <x:c r="A621" s="2" t="n">
        <x:v>308</x:v>
      </x:c>
      <x:c r="B621" s="2" t="str">
        <x:v>NAVY</x:v>
      </x:c>
      <x:c r="C621" s="2" t="str">
        <x:v>0만</x:v>
      </x:c>
      <x:c r="D621" s="2" t="str">
        <x:v>40만</x:v>
      </x:c>
      <x:c r="E621" s="14" t="n">
        <x:f>SUM(F621:M621)</x:f>
        <x:v>104</x:v>
      </x:c>
      <x:c r="F621" s="14" t="n">
        <x:v>9</x:v>
      </x:c>
      <x:c r="G621" s="14" t="n">
        <x:v>11</x:v>
      </x:c>
      <x:c r="H621" s="14" t="n">
        <x:v>11</x:v>
      </x:c>
      <x:c r="I621" s="14" t="n">
        <x:v>17</x:v>
      </x:c>
      <x:c r="J621" s="14" t="n">
        <x:v>13</x:v>
      </x:c>
      <x:c r="K621" s="14" t="n">
        <x:v>12</x:v>
      </x:c>
      <x:c r="L621" s="14" t="n">
        <x:v>13</x:v>
      </x:c>
      <x:c r="M621" s="14" t="n">
        <x:v>18</x:v>
      </x:c>
      <x:c r="N621" s="15" t="n">
        <x:f>IF(E621=0,"해당 없음",F621/E621)</x:f>
        <x:v>0.08653846153846154</x:v>
      </x:c>
      <x:c r="O621" s="15" t="n">
        <x:f>IF(E621=0,"해당 없음",G621/E621)</x:f>
        <x:v>0.10576923076923077</x:v>
      </x:c>
      <x:c r="P621" s="15" t="n">
        <x:f>IF(E621=0,"해당 없음",H621/E621)</x:f>
        <x:v>0.10576923076923077</x:v>
      </x:c>
      <x:c r="Q621" s="15" t="n">
        <x:f>IF(E621=0,"해당 없음",I621/E621)</x:f>
        <x:v>0.16346153846153846</x:v>
      </x:c>
      <x:c r="R621" s="15" t="n">
        <x:f>IF(E621=0,"해당 없음",J621/E621)</x:f>
        <x:v>0.125</x:v>
      </x:c>
      <x:c r="S621" s="15" t="n">
        <x:f>IF(E621=0,"해당 없음",K621/E621)</x:f>
        <x:v>0.11538461538461539</x:v>
      </x:c>
      <x:c r="T621" s="15" t="n">
        <x:f>IF(E621=0,"해당 없음",L621/E621)</x:f>
        <x:v>0.125</x:v>
      </x:c>
      <x:c r="U621" s="15" t="n">
        <x:f>IF(E621=0,"해당 없음",M621/E621)</x:f>
        <x:v>0.17307692307692307</x:v>
      </x:c>
      <x:c r="V621" s="16" t="n">
        <x:f>E621/5</x:f>
        <x:v>20.8</x:v>
      </x:c>
    </x:row>
    <x:row r="622" ht="22" customHeight="1">
      <x:c r="A622" s="2" t="n">
        <x:v>309</x:v>
      </x:c>
      <x:c r="B622" s="2" t="str">
        <x:v>RED</x:v>
      </x:c>
      <x:c r="C622" s="2" t="str">
        <x:v>0만</x:v>
      </x:c>
      <x:c r="D622" s="2" t="str">
        <x:v>40만</x:v>
      </x:c>
      <x:c r="E622" s="14" t="n">
        <x:f>SUM(F622:M622)</x:f>
        <x:v>103</x:v>
      </x:c>
      <x:c r="F622" s="14" t="n">
        <x:v>9</x:v>
      </x:c>
      <x:c r="G622" s="14" t="n">
        <x:v>20</x:v>
      </x:c>
      <x:c r="H622" s="14" t="n">
        <x:v>8</x:v>
      </x:c>
      <x:c r="I622" s="14" t="n">
        <x:v>5</x:v>
      </x:c>
      <x:c r="J622" s="14" t="n">
        <x:v>16</x:v>
      </x:c>
      <x:c r="K622" s="14" t="n">
        <x:v>16</x:v>
      </x:c>
      <x:c r="L622" s="14" t="n">
        <x:v>19</x:v>
      </x:c>
      <x:c r="M622" s="14" t="n">
        <x:v>10</x:v>
      </x:c>
      <x:c r="N622" s="15" t="n">
        <x:f>IF(E622=0,"해당 없음",F622/E622)</x:f>
        <x:v>0.08737864077669903</x:v>
      </x:c>
      <x:c r="O622" s="15" t="n">
        <x:f>IF(E622=0,"해당 없음",G622/E622)</x:f>
        <x:v>0.1941747572815534</x:v>
      </x:c>
      <x:c r="P622" s="15" t="n">
        <x:f>IF(E622=0,"해당 없음",H622/E622)</x:f>
        <x:v>0.07766990291262135</x:v>
      </x:c>
      <x:c r="Q622" s="15" t="n">
        <x:f>IF(E622=0,"해당 없음",I622/E622)</x:f>
        <x:v>0.04854368932038835</x:v>
      </x:c>
      <x:c r="R622" s="15" t="n">
        <x:f>IF(E622=0,"해당 없음",J622/E622)</x:f>
        <x:v>0.1553398058252427</x:v>
      </x:c>
      <x:c r="S622" s="15" t="n">
        <x:f>IF(E622=0,"해당 없음",K622/E622)</x:f>
        <x:v>0.1553398058252427</x:v>
      </x:c>
      <x:c r="T622" s="15" t="n">
        <x:f>IF(E622=0,"해당 없음",L622/E622)</x:f>
        <x:v>0.18446601941747573</x:v>
      </x:c>
      <x:c r="U622" s="15" t="n">
        <x:f>IF(E622=0,"해당 없음",M622/E622)</x:f>
        <x:v>0.0970873786407767</x:v>
      </x:c>
      <x:c r="V622" s="16" t="n">
        <x:f>E622/5</x:f>
        <x:v>20.6</x:v>
      </x:c>
    </x:row>
    <x:row r="623" ht="22" customHeight="1">
      <x:c r="A623" s="2" t="n">
        <x:v>309</x:v>
      </x:c>
      <x:c r="B623" s="2" t="str">
        <x:v>NAVY</x:v>
      </x:c>
      <x:c r="C623" s="2" t="str">
        <x:v>40만</x:v>
      </x:c>
      <x:c r="D623" s="2" t="str">
        <x:v>0만</x:v>
      </x:c>
      <x:c r="E623" s="14" t="n">
        <x:f>SUM(F623:M623)</x:f>
        <x:v>103</x:v>
      </x:c>
      <x:c r="F623" s="14" t="n">
        <x:v>5</x:v>
      </x:c>
      <x:c r="G623" s="14" t="n">
        <x:v>24</x:v>
      </x:c>
      <x:c r="H623" s="14" t="n">
        <x:v>6</x:v>
      </x:c>
      <x:c r="I623" s="14" t="n">
        <x:v>4</x:v>
      </x:c>
      <x:c r="J623" s="14" t="n">
        <x:v>9</x:v>
      </x:c>
      <x:c r="K623" s="14" t="n">
        <x:v>7</x:v>
      </x:c>
      <x:c r="L623" s="14" t="n">
        <x:v>40</x:v>
      </x:c>
      <x:c r="M623" s="14" t="n">
        <x:v>8</x:v>
      </x:c>
      <x:c r="N623" s="15" t="n">
        <x:f>IF(E623=0,"해당 없음",F623/E623)</x:f>
        <x:v>0.04854368932038835</x:v>
      </x:c>
      <x:c r="O623" s="15" t="n">
        <x:f>IF(E623=0,"해당 없음",G623/E623)</x:f>
        <x:v>0.23300970873786409</x:v>
      </x:c>
      <x:c r="P623" s="15" t="n">
        <x:f>IF(E623=0,"해당 없음",H623/E623)</x:f>
        <x:v>0.05825242718446602</x:v>
      </x:c>
      <x:c r="Q623" s="15" t="n">
        <x:f>IF(E623=0,"해당 없음",I623/E623)</x:f>
        <x:v>0.038834951456310676</x:v>
      </x:c>
      <x:c r="R623" s="15" t="n">
        <x:f>IF(E623=0,"해당 없음",J623/E623)</x:f>
        <x:v>0.08737864077669903</x:v>
      </x:c>
      <x:c r="S623" s="15" t="n">
        <x:f>IF(E623=0,"해당 없음",K623/E623)</x:f>
        <x:v>0.06796116504854369</x:v>
      </x:c>
      <x:c r="T623" s="15" t="n">
        <x:f>IF(E623=0,"해당 없음",L623/E623)</x:f>
        <x:v>0.3883495145631068</x:v>
      </x:c>
      <x:c r="U623" s="15" t="n">
        <x:f>IF(E623=0,"해당 없음",M623/E623)</x:f>
        <x:v>0.07766990291262135</x:v>
      </x:c>
      <x:c r="V623" s="16" t="n">
        <x:f>E623/5</x:f>
        <x:v>20.6</x:v>
      </x:c>
    </x:row>
    <x:row r="624" ht="22" customHeight="1">
      <x:c r="A624" s="2" t="n">
        <x:v>310</x:v>
      </x:c>
      <x:c r="B624" s="2" t="str">
        <x:v>RED</x:v>
      </x:c>
      <x:c r="C624" s="2" t="str">
        <x:v>40만</x:v>
      </x:c>
      <x:c r="D624" s="2" t="str">
        <x:v>0만</x:v>
      </x:c>
      <x:c r="E624" s="14" t="n">
        <x:f>SUM(F624:M624)</x:f>
        <x:v>106</x:v>
      </x:c>
      <x:c r="F624" s="14" t="n">
        <x:v>5</x:v>
      </x:c>
      <x:c r="G624" s="14" t="n">
        <x:v>25</x:v>
      </x:c>
      <x:c r="H624" s="14" t="n">
        <x:v>7</x:v>
      </x:c>
      <x:c r="I624" s="14" t="n">
        <x:v>3</x:v>
      </x:c>
      <x:c r="J624" s="14" t="n">
        <x:v>7</x:v>
      </x:c>
      <x:c r="K624" s="14" t="n">
        <x:v>11</x:v>
      </x:c>
      <x:c r="L624" s="14" t="n">
        <x:v>43</x:v>
      </x:c>
      <x:c r="M624" s="14" t="n">
        <x:v>5</x:v>
      </x:c>
      <x:c r="N624" s="15" t="n">
        <x:f>IF(E624=0,"해당 없음",F624/E624)</x:f>
        <x:v>0.04716981132075472</x:v>
      </x:c>
      <x:c r="O624" s="15" t="n">
        <x:f>IF(E624=0,"해당 없음",G624/E624)</x:f>
        <x:v>0.2358490566037736</x:v>
      </x:c>
      <x:c r="P624" s="15" t="n">
        <x:f>IF(E624=0,"해당 없음",H624/E624)</x:f>
        <x:v>0.0660377358490566</x:v>
      </x:c>
      <x:c r="Q624" s="15" t="n">
        <x:f>IF(E624=0,"해당 없음",I624/E624)</x:f>
        <x:v>0.02830188679245283</x:v>
      </x:c>
      <x:c r="R624" s="15" t="n">
        <x:f>IF(E624=0,"해당 없음",J624/E624)</x:f>
        <x:v>0.0660377358490566</x:v>
      </x:c>
      <x:c r="S624" s="15" t="n">
        <x:f>IF(E624=0,"해당 없음",K624/E624)</x:f>
        <x:v>0.10377358490566038</x:v>
      </x:c>
      <x:c r="T624" s="15" t="n">
        <x:f>IF(E624=0,"해당 없음",L624/E624)</x:f>
        <x:v>0.4056603773584906</x:v>
      </x:c>
      <x:c r="U624" s="15" t="n">
        <x:f>IF(E624=0,"해당 없음",M624/E624)</x:f>
        <x:v>0.04716981132075472</x:v>
      </x:c>
      <x:c r="V624" s="16" t="n">
        <x:f>E624/5</x:f>
        <x:v>21.2</x:v>
      </x:c>
    </x:row>
    <x:row r="625" ht="22" customHeight="1">
      <x:c r="A625" s="2" t="n">
        <x:v>310</x:v>
      </x:c>
      <x:c r="B625" s="2" t="str">
        <x:v>NAVY</x:v>
      </x:c>
      <x:c r="C625" s="2" t="str">
        <x:v>0만</x:v>
      </x:c>
      <x:c r="D625" s="2" t="str">
        <x:v>40만</x:v>
      </x:c>
      <x:c r="E625" s="14" t="n">
        <x:f>SUM(F625:M625)</x:f>
        <x:v>106</x:v>
      </x:c>
      <x:c r="F625" s="14" t="n">
        <x:v>11</x:v>
      </x:c>
      <x:c r="G625" s="14" t="n">
        <x:v>20</x:v>
      </x:c>
      <x:c r="H625" s="14" t="n">
        <x:v>9</x:v>
      </x:c>
      <x:c r="I625" s="14" t="n">
        <x:v>5</x:v>
      </x:c>
      <x:c r="J625" s="14" t="n">
        <x:v>16</x:v>
      </x:c>
      <x:c r="K625" s="14" t="n">
        <x:v>16</x:v>
      </x:c>
      <x:c r="L625" s="14" t="n">
        <x:v>19</x:v>
      </x:c>
      <x:c r="M625" s="14" t="n">
        <x:v>10</x:v>
      </x:c>
      <x:c r="N625" s="15" t="n">
        <x:f>IF(E625=0,"해당 없음",F625/E625)</x:f>
        <x:v>0.10377358490566038</x:v>
      </x:c>
      <x:c r="O625" s="15" t="n">
        <x:f>IF(E625=0,"해당 없음",G625/E625)</x:f>
        <x:v>0.18867924528301888</x:v>
      </x:c>
      <x:c r="P625" s="15" t="n">
        <x:f>IF(E625=0,"해당 없음",H625/E625)</x:f>
        <x:v>0.08490566037735849</x:v>
      </x:c>
      <x:c r="Q625" s="15" t="n">
        <x:f>IF(E625=0,"해당 없음",I625/E625)</x:f>
        <x:v>0.04716981132075472</x:v>
      </x:c>
      <x:c r="R625" s="15" t="n">
        <x:f>IF(E625=0,"해당 없음",J625/E625)</x:f>
        <x:v>0.1509433962264151</x:v>
      </x:c>
      <x:c r="S625" s="15" t="n">
        <x:f>IF(E625=0,"해당 없음",K625/E625)</x:f>
        <x:v>0.1509433962264151</x:v>
      </x:c>
      <x:c r="T625" s="15" t="n">
        <x:f>IF(E625=0,"해당 없음",L625/E625)</x:f>
        <x:v>0.1792452830188679</x:v>
      </x:c>
      <x:c r="U625" s="15" t="n">
        <x:f>IF(E625=0,"해당 없음",M625/E625)</x:f>
        <x:v>0.09433962264150944</x:v>
      </x:c>
      <x:c r="V625" s="16" t="n">
        <x:f>E625/5</x:f>
        <x:v>21.2</x:v>
      </x:c>
    </x:row>
    <x:row r="626" ht="22" customHeight="1">
      <x:c r="A626" s="2" t="n">
        <x:v>311</x:v>
      </x:c>
      <x:c r="B626" s="2" t="str">
        <x:v>RED</x:v>
      </x:c>
      <x:c r="C626" s="2" t="str">
        <x:v>0만</x:v>
      </x:c>
      <x:c r="D626" s="2" t="str">
        <x:v>40만</x:v>
      </x:c>
      <x:c r="E626" s="14" t="n">
        <x:f>SUM(F626:M626)</x:f>
        <x:v>107</x:v>
      </x:c>
      <x:c r="F626" s="14" t="n">
        <x:v>13</x:v>
      </x:c>
      <x:c r="G626" s="14" t="n">
        <x:v>15</x:v>
      </x:c>
      <x:c r="H626" s="14" t="n">
        <x:v>13</x:v>
      </x:c>
      <x:c r="I626" s="14" t="n">
        <x:v>13</x:v>
      </x:c>
      <x:c r="J626" s="14" t="n">
        <x:v>12</x:v>
      </x:c>
      <x:c r="K626" s="14" t="n">
        <x:v>9</x:v>
      </x:c>
      <x:c r="L626" s="14" t="n">
        <x:v>15</x:v>
      </x:c>
      <x:c r="M626" s="14" t="n">
        <x:v>17</x:v>
      </x:c>
      <x:c r="N626" s="15" t="n">
        <x:f>IF(E626=0,"해당 없음",F626/E626)</x:f>
        <x:v>0.12149532710280374</x:v>
      </x:c>
      <x:c r="O626" s="15" t="n">
        <x:f>IF(E626=0,"해당 없음",G626/E626)</x:f>
        <x:v>0.14018691588785046</x:v>
      </x:c>
      <x:c r="P626" s="15" t="n">
        <x:f>IF(E626=0,"해당 없음",H626/E626)</x:f>
        <x:v>0.12149532710280374</x:v>
      </x:c>
      <x:c r="Q626" s="15" t="n">
        <x:f>IF(E626=0,"해당 없음",I626/E626)</x:f>
        <x:v>0.12149532710280374</x:v>
      </x:c>
      <x:c r="R626" s="15" t="n">
        <x:f>IF(E626=0,"해당 없음",J626/E626)</x:f>
        <x:v>0.11214953271028037</x:v>
      </x:c>
      <x:c r="S626" s="15" t="n">
        <x:f>IF(E626=0,"해당 없음",K626/E626)</x:f>
        <x:v>0.08411214953271028</x:v>
      </x:c>
      <x:c r="T626" s="15" t="n">
        <x:f>IF(E626=0,"해당 없음",L626/E626)</x:f>
        <x:v>0.14018691588785046</x:v>
      </x:c>
      <x:c r="U626" s="15" t="n">
        <x:f>IF(E626=0,"해당 없음",M626/E626)</x:f>
        <x:v>0.1588785046728972</x:v>
      </x:c>
      <x:c r="V626" s="16" t="n">
        <x:f>E626/5</x:f>
        <x:v>21.4</x:v>
      </x:c>
    </x:row>
    <x:row r="627" ht="22" customHeight="1">
      <x:c r="A627" s="2" t="n">
        <x:v>311</x:v>
      </x:c>
      <x:c r="B627" s="2" t="str">
        <x:v>NAVY</x:v>
      </x:c>
      <x:c r="C627" s="2" t="str">
        <x:v>40만</x:v>
      </x:c>
      <x:c r="D627" s="2" t="str">
        <x:v>0만</x:v>
      </x:c>
      <x:c r="E627" s="14" t="n">
        <x:f>SUM(F627:M627)</x:f>
        <x:v>106</x:v>
      </x:c>
      <x:c r="F627" s="14" t="n">
        <x:v>4</x:v>
      </x:c>
      <x:c r="G627" s="14" t="n">
        <x:v>25</x:v>
      </x:c>
      <x:c r="H627" s="14" t="n">
        <x:v>12</x:v>
      </x:c>
      <x:c r="I627" s="14" t="n">
        <x:v>5</x:v>
      </x:c>
      <x:c r="J627" s="14" t="n">
        <x:v>5</x:v>
      </x:c>
      <x:c r="K627" s="14" t="n">
        <x:v>11</x:v>
      </x:c>
      <x:c r="L627" s="14" t="n">
        <x:v>42</x:v>
      </x:c>
      <x:c r="M627" s="14" t="n">
        <x:v>2</x:v>
      </x:c>
      <x:c r="N627" s="15" t="n">
        <x:f>IF(E627=0,"해당 없음",F627/E627)</x:f>
        <x:v>0.03773584905660377</x:v>
      </x:c>
      <x:c r="O627" s="15" t="n">
        <x:f>IF(E627=0,"해당 없음",G627/E627)</x:f>
        <x:v>0.2358490566037736</x:v>
      </x:c>
      <x:c r="P627" s="15" t="n">
        <x:f>IF(E627=0,"해당 없음",H627/E627)</x:f>
        <x:v>0.11320754716981132</x:v>
      </x:c>
      <x:c r="Q627" s="15" t="n">
        <x:f>IF(E627=0,"해당 없음",I627/E627)</x:f>
        <x:v>0.04716981132075472</x:v>
      </x:c>
      <x:c r="R627" s="15" t="n">
        <x:f>IF(E627=0,"해당 없음",J627/E627)</x:f>
        <x:v>0.04716981132075472</x:v>
      </x:c>
      <x:c r="S627" s="15" t="n">
        <x:f>IF(E627=0,"해당 없음",K627/E627)</x:f>
        <x:v>0.10377358490566038</x:v>
      </x:c>
      <x:c r="T627" s="15" t="n">
        <x:f>IF(E627=0,"해당 없음",L627/E627)</x:f>
        <x:v>0.39622641509433965</x:v>
      </x:c>
      <x:c r="U627" s="15" t="n">
        <x:f>IF(E627=0,"해당 없음",M627/E627)</x:f>
        <x:v>0.018867924528301886</x:v>
      </x:c>
      <x:c r="V627" s="16" t="n">
        <x:f>E627/5</x:f>
        <x:v>21.2</x:v>
      </x:c>
    </x:row>
    <x:row r="628" ht="22" customHeight="1">
      <x:c r="A628" s="2" t="n">
        <x:v>312</x:v>
      </x:c>
      <x:c r="B628" s="2" t="str">
        <x:v>RED</x:v>
      </x:c>
      <x:c r="C628" s="2" t="str">
        <x:v>40만</x:v>
      </x:c>
      <x:c r="D628" s="2" t="str">
        <x:v>0만</x:v>
      </x:c>
      <x:c r="E628" s="14" t="n">
        <x:f>SUM(F628:M628)</x:f>
        <x:v>100</x:v>
      </x:c>
      <x:c r="F628" s="14" t="n">
        <x:v>4</x:v>
      </x:c>
      <x:c r="G628" s="14" t="n">
        <x:v>24</x:v>
      </x:c>
      <x:c r="H628" s="14" t="n">
        <x:v>7</x:v>
      </x:c>
      <x:c r="I628" s="14" t="n">
        <x:v>7</x:v>
      </x:c>
      <x:c r="J628" s="14" t="n">
        <x:v>8</x:v>
      </x:c>
      <x:c r="K628" s="14" t="n">
        <x:v>10</x:v>
      </x:c>
      <x:c r="L628" s="14" t="n">
        <x:v>37</x:v>
      </x:c>
      <x:c r="M628" s="14" t="n">
        <x:v>3</x:v>
      </x:c>
      <x:c r="N628" s="15" t="n">
        <x:f>IF(E628=0,"해당 없음",F628/E628)</x:f>
        <x:v>0.04</x:v>
      </x:c>
      <x:c r="O628" s="15" t="n">
        <x:f>IF(E628=0,"해당 없음",G628/E628)</x:f>
        <x:v>0.24</x:v>
      </x:c>
      <x:c r="P628" s="15" t="n">
        <x:f>IF(E628=0,"해당 없음",H628/E628)</x:f>
        <x:v>0.07</x:v>
      </x:c>
      <x:c r="Q628" s="15" t="n">
        <x:f>IF(E628=0,"해당 없음",I628/E628)</x:f>
        <x:v>0.07</x:v>
      </x:c>
      <x:c r="R628" s="15" t="n">
        <x:f>IF(E628=0,"해당 없음",J628/E628)</x:f>
        <x:v>0.08</x:v>
      </x:c>
      <x:c r="S628" s="15" t="n">
        <x:f>IF(E628=0,"해당 없음",K628/E628)</x:f>
        <x:v>0.1</x:v>
      </x:c>
      <x:c r="T628" s="15" t="n">
        <x:f>IF(E628=0,"해당 없음",L628/E628)</x:f>
        <x:v>0.37</x:v>
      </x:c>
      <x:c r="U628" s="15" t="n">
        <x:f>IF(E628=0,"해당 없음",M628/E628)</x:f>
        <x:v>0.03</x:v>
      </x:c>
      <x:c r="V628" s="16" t="n">
        <x:f>E628/5</x:f>
        <x:v>20</x:v>
      </x:c>
    </x:row>
    <x:row r="629" ht="22" customHeight="1">
      <x:c r="A629" s="2" t="n">
        <x:v>312</x:v>
      </x:c>
      <x:c r="B629" s="2" t="str">
        <x:v>NAVY</x:v>
      </x:c>
      <x:c r="C629" s="2" t="str">
        <x:v>0만</x:v>
      </x:c>
      <x:c r="D629" s="2" t="str">
        <x:v>40만</x:v>
      </x:c>
      <x:c r="E629" s="14" t="n">
        <x:f>SUM(F629:M629)</x:f>
        <x:v>102</x:v>
      </x:c>
      <x:c r="F629" s="14" t="n">
        <x:v>12</x:v>
      </x:c>
      <x:c r="G629" s="14" t="n">
        <x:v>15</x:v>
      </x:c>
      <x:c r="H629" s="14" t="n">
        <x:v>13</x:v>
      </x:c>
      <x:c r="I629" s="14" t="n">
        <x:v>12</x:v>
      </x:c>
      <x:c r="J629" s="14" t="n">
        <x:v>11</x:v>
      </x:c>
      <x:c r="K629" s="14" t="n">
        <x:v>9</x:v>
      </x:c>
      <x:c r="L629" s="14" t="n">
        <x:v>15</x:v>
      </x:c>
      <x:c r="M629" s="14" t="n">
        <x:v>15</x:v>
      </x:c>
      <x:c r="N629" s="15" t="n">
        <x:f>IF(E629=0,"해당 없음",F629/E629)</x:f>
        <x:v>0.11764705882352941</x:v>
      </x:c>
      <x:c r="O629" s="15" t="n">
        <x:f>IF(E629=0,"해당 없음",G629/E629)</x:f>
        <x:v>0.14705882352941177</x:v>
      </x:c>
      <x:c r="P629" s="15" t="n">
        <x:f>IF(E629=0,"해당 없음",H629/E629)</x:f>
        <x:v>0.12745098039215685</x:v>
      </x:c>
      <x:c r="Q629" s="15" t="n">
        <x:f>IF(E629=0,"해당 없음",I629/E629)</x:f>
        <x:v>0.11764705882352941</x:v>
      </x:c>
      <x:c r="R629" s="15" t="n">
        <x:f>IF(E629=0,"해당 없음",J629/E629)</x:f>
        <x:v>0.10784313725490197</x:v>
      </x:c>
      <x:c r="S629" s="15" t="n">
        <x:f>IF(E629=0,"해당 없음",K629/E629)</x:f>
        <x:v>0.08823529411764706</x:v>
      </x:c>
      <x:c r="T629" s="15" t="n">
        <x:f>IF(E629=0,"해당 없음",L629/E629)</x:f>
        <x:v>0.14705882352941177</x:v>
      </x:c>
      <x:c r="U629" s="15" t="n">
        <x:f>IF(E629=0,"해당 없음",M629/E629)</x:f>
        <x:v>0.14705882352941177</x:v>
      </x:c>
      <x:c r="V629" s="16" t="n">
        <x:f>E629/5</x:f>
        <x:v>20.4</x:v>
      </x:c>
    </x:row>
    <x:row r="630" ht="22" customHeight="1">
      <x:c r="A630" s="2" t="n">
        <x:v>313</x:v>
      </x:c>
      <x:c r="B630" s="2" t="str">
        <x:v>RED</x:v>
      </x:c>
      <x:c r="C630" s="2" t="str">
        <x:v>0만</x:v>
      </x:c>
      <x:c r="D630" s="2" t="str">
        <x:v>40만</x:v>
      </x:c>
      <x:c r="E630" s="14" t="n">
        <x:f>SUM(F630:M630)</x:f>
        <x:v>103</x:v>
      </x:c>
      <x:c r="F630" s="14" t="n">
        <x:v>12</x:v>
      </x:c>
      <x:c r="G630" s="14" t="n">
        <x:v>13</x:v>
      </x:c>
      <x:c r="H630" s="14" t="n">
        <x:v>16</x:v>
      </x:c>
      <x:c r="I630" s="14" t="n">
        <x:v>8</x:v>
      </x:c>
      <x:c r="J630" s="14" t="n">
        <x:v>13</x:v>
      </x:c>
      <x:c r="K630" s="14" t="n">
        <x:v>12</x:v>
      </x:c>
      <x:c r="L630" s="14" t="n">
        <x:v>19</x:v>
      </x:c>
      <x:c r="M630" s="14" t="n">
        <x:v>10</x:v>
      </x:c>
      <x:c r="N630" s="15" t="n">
        <x:f>IF(E630=0,"해당 없음",F630/E630)</x:f>
        <x:v>0.11650485436893204</x:v>
      </x:c>
      <x:c r="O630" s="15" t="n">
        <x:f>IF(E630=0,"해당 없음",G630/E630)</x:f>
        <x:v>0.1262135922330097</x:v>
      </x:c>
      <x:c r="P630" s="15" t="n">
        <x:f>IF(E630=0,"해당 없음",H630/E630)</x:f>
        <x:v>0.1553398058252427</x:v>
      </x:c>
      <x:c r="Q630" s="15" t="n">
        <x:f>IF(E630=0,"해당 없음",I630/E630)</x:f>
        <x:v>0.07766990291262135</x:v>
      </x:c>
      <x:c r="R630" s="15" t="n">
        <x:f>IF(E630=0,"해당 없음",J630/E630)</x:f>
        <x:v>0.1262135922330097</x:v>
      </x:c>
      <x:c r="S630" s="15" t="n">
        <x:f>IF(E630=0,"해당 없음",K630/E630)</x:f>
        <x:v>0.11650485436893204</x:v>
      </x:c>
      <x:c r="T630" s="15" t="n">
        <x:f>IF(E630=0,"해당 없음",L630/E630)</x:f>
        <x:v>0.18446601941747573</x:v>
      </x:c>
      <x:c r="U630" s="15" t="n">
        <x:f>IF(E630=0,"해당 없음",M630/E630)</x:f>
        <x:v>0.0970873786407767</x:v>
      </x:c>
      <x:c r="V630" s="16" t="n">
        <x:f>E630/5</x:f>
        <x:v>20.6</x:v>
      </x:c>
    </x:row>
    <x:row r="631" ht="22" customHeight="1">
      <x:c r="A631" s="2" t="n">
        <x:v>313</x:v>
      </x:c>
      <x:c r="B631" s="2" t="str">
        <x:v>NAVY</x:v>
      </x:c>
      <x:c r="C631" s="2" t="str">
        <x:v>40만</x:v>
      </x:c>
      <x:c r="D631" s="2" t="str">
        <x:v>0만</x:v>
      </x:c>
      <x:c r="E631" s="14" t="n">
        <x:f>SUM(F631:M631)</x:f>
        <x:v>103</x:v>
      </x:c>
      <x:c r="F631" s="14" t="n">
        <x:v>2</x:v>
      </x:c>
      <x:c r="G631" s="14" t="n">
        <x:v>33</x:v>
      </x:c>
      <x:c r="H631" s="14" t="n">
        <x:v>4</x:v>
      </x:c>
      <x:c r="I631" s="14" t="n">
        <x:v>5</x:v>
      </x:c>
      <x:c r="J631" s="14" t="n">
        <x:v>4</x:v>
      </x:c>
      <x:c r="K631" s="14" t="n">
        <x:v>6</x:v>
      </x:c>
      <x:c r="L631" s="14" t="n">
        <x:v>44</x:v>
      </x:c>
      <x:c r="M631" s="14" t="n">
        <x:v>5</x:v>
      </x:c>
      <x:c r="N631" s="15" t="n">
        <x:f>IF(E631=0,"해당 없음",F631/E631)</x:f>
        <x:v>0.019417475728155338</x:v>
      </x:c>
      <x:c r="O631" s="15" t="n">
        <x:f>IF(E631=0,"해당 없음",G631/E631)</x:f>
        <x:v>0.32038834951456313</x:v>
      </x:c>
      <x:c r="P631" s="15" t="n">
        <x:f>IF(E631=0,"해당 없음",H631/E631)</x:f>
        <x:v>0.038834951456310676</x:v>
      </x:c>
      <x:c r="Q631" s="15" t="n">
        <x:f>IF(E631=0,"해당 없음",I631/E631)</x:f>
        <x:v>0.04854368932038835</x:v>
      </x:c>
      <x:c r="R631" s="15" t="n">
        <x:f>IF(E631=0,"해당 없음",J631/E631)</x:f>
        <x:v>0.038834951456310676</x:v>
      </x:c>
      <x:c r="S631" s="15" t="n">
        <x:f>IF(E631=0,"해당 없음",K631/E631)</x:f>
        <x:v>0.05825242718446602</x:v>
      </x:c>
      <x:c r="T631" s="15" t="n">
        <x:f>IF(E631=0,"해당 없음",L631/E631)</x:f>
        <x:v>0.42718446601941745</x:v>
      </x:c>
      <x:c r="U631" s="15" t="n">
        <x:f>IF(E631=0,"해당 없음",M631/E631)</x:f>
        <x:v>0.04854368932038835</x:v>
      </x:c>
      <x:c r="V631" s="16" t="n">
        <x:f>E631/5</x:f>
        <x:v>20.6</x:v>
      </x:c>
    </x:row>
    <x:row r="632" ht="22" customHeight="1">
      <x:c r="A632" s="2" t="n">
        <x:v>314</x:v>
      </x:c>
      <x:c r="B632" s="2" t="str">
        <x:v>RED</x:v>
      </x:c>
      <x:c r="C632" s="2" t="str">
        <x:v>40만</x:v>
      </x:c>
      <x:c r="D632" s="2" t="str">
        <x:v>0만</x:v>
      </x:c>
      <x:c r="E632" s="14" t="n">
        <x:f>SUM(F632:M632)</x:f>
        <x:v>105</x:v>
      </x:c>
      <x:c r="F632" s="14" t="n">
        <x:v>4</x:v>
      </x:c>
      <x:c r="G632" s="14" t="n">
        <x:v>33</x:v>
      </x:c>
      <x:c r="H632" s="14" t="n">
        <x:v>6</x:v>
      </x:c>
      <x:c r="I632" s="14" t="n">
        <x:v>4</x:v>
      </x:c>
      <x:c r="J632" s="14" t="n">
        <x:v>3</x:v>
      </x:c>
      <x:c r="K632" s="14" t="n">
        <x:v>14</x:v>
      </x:c>
      <x:c r="L632" s="14" t="n">
        <x:v>38</x:v>
      </x:c>
      <x:c r="M632" s="14" t="n">
        <x:v>3</x:v>
      </x:c>
      <x:c r="N632" s="15" t="n">
        <x:f>IF(E632=0,"해당 없음",F632/E632)</x:f>
        <x:v>0.0380952380952381</x:v>
      </x:c>
      <x:c r="O632" s="15" t="n">
        <x:f>IF(E632=0,"해당 없음",G632/E632)</x:f>
        <x:v>0.3142857142857143</x:v>
      </x:c>
      <x:c r="P632" s="15" t="n">
        <x:f>IF(E632=0,"해당 없음",H632/E632)</x:f>
        <x:v>0.05714285714285714</x:v>
      </x:c>
      <x:c r="Q632" s="15" t="n">
        <x:f>IF(E632=0,"해당 없음",I632/E632)</x:f>
        <x:v>0.0380952380952381</x:v>
      </x:c>
      <x:c r="R632" s="15" t="n">
        <x:f>IF(E632=0,"해당 없음",J632/E632)</x:f>
        <x:v>0.02857142857142857</x:v>
      </x:c>
      <x:c r="S632" s="15" t="n">
        <x:f>IF(E632=0,"해당 없음",K632/E632)</x:f>
        <x:v>0.13333333333333333</x:v>
      </x:c>
      <x:c r="T632" s="15" t="n">
        <x:f>IF(E632=0,"해당 없음",L632/E632)</x:f>
        <x:v>0.3619047619047619</x:v>
      </x:c>
      <x:c r="U632" s="15" t="n">
        <x:f>IF(E632=0,"해당 없음",M632/E632)</x:f>
        <x:v>0.02857142857142857</x:v>
      </x:c>
      <x:c r="V632" s="16" t="n">
        <x:f>E632/5</x:f>
        <x:v>21</x:v>
      </x:c>
    </x:row>
    <x:row r="633" ht="22" customHeight="1">
      <x:c r="A633" s="2" t="n">
        <x:v>314</x:v>
      </x:c>
      <x:c r="B633" s="2" t="str">
        <x:v>NAVY</x:v>
      </x:c>
      <x:c r="C633" s="2" t="str">
        <x:v>0만</x:v>
      </x:c>
      <x:c r="D633" s="2" t="str">
        <x:v>40만</x:v>
      </x:c>
      <x:c r="E633" s="14" t="n">
        <x:f>SUM(F633:M633)</x:f>
        <x:v>104</x:v>
      </x:c>
      <x:c r="F633" s="14" t="n">
        <x:v>12</x:v>
      </x:c>
      <x:c r="G633" s="14" t="n">
        <x:v>14</x:v>
      </x:c>
      <x:c r="H633" s="14" t="n">
        <x:v>16</x:v>
      </x:c>
      <x:c r="I633" s="14" t="n">
        <x:v>8</x:v>
      </x:c>
      <x:c r="J633" s="14" t="n">
        <x:v>13</x:v>
      </x:c>
      <x:c r="K633" s="14" t="n">
        <x:v>12</x:v>
      </x:c>
      <x:c r="L633" s="14" t="n">
        <x:v>19</x:v>
      </x:c>
      <x:c r="M633" s="14" t="n">
        <x:v>10</x:v>
      </x:c>
      <x:c r="N633" s="15" t="n">
        <x:f>IF(E633=0,"해당 없음",F633/E633)</x:f>
        <x:v>0.11538461538461539</x:v>
      </x:c>
      <x:c r="O633" s="15" t="n">
        <x:f>IF(E633=0,"해당 없음",G633/E633)</x:f>
        <x:v>0.1346153846153846</x:v>
      </x:c>
      <x:c r="P633" s="15" t="n">
        <x:f>IF(E633=0,"해당 없음",H633/E633)</x:f>
        <x:v>0.15384615384615385</x:v>
      </x:c>
      <x:c r="Q633" s="15" t="n">
        <x:f>IF(E633=0,"해당 없음",I633/E633)</x:f>
        <x:v>0.07692307692307693</x:v>
      </x:c>
      <x:c r="R633" s="15" t="n">
        <x:f>IF(E633=0,"해당 없음",J633/E633)</x:f>
        <x:v>0.125</x:v>
      </x:c>
      <x:c r="S633" s="15" t="n">
        <x:f>IF(E633=0,"해당 없음",K633/E633)</x:f>
        <x:v>0.11538461538461539</x:v>
      </x:c>
      <x:c r="T633" s="15" t="n">
        <x:f>IF(E633=0,"해당 없음",L633/E633)</x:f>
        <x:v>0.18269230769230768</x:v>
      </x:c>
      <x:c r="U633" s="15" t="n">
        <x:f>IF(E633=0,"해당 없음",M633/E633)</x:f>
        <x:v>0.09615384615384616</x:v>
      </x:c>
      <x:c r="V633" s="16" t="n">
        <x:f>E633/5</x:f>
        <x:v>20.8</x:v>
      </x:c>
    </x:row>
    <x:row r="634" ht="22" customHeight="1">
      <x:c r="A634" s="2" t="n">
        <x:v>315</x:v>
      </x:c>
      <x:c r="B634" s="2" t="str">
        <x:v>RED</x:v>
      </x:c>
      <x:c r="C634" s="2" t="str">
        <x:v>0만</x:v>
      </x:c>
      <x:c r="D634" s="2" t="str">
        <x:v>40만</x:v>
      </x:c>
      <x:c r="E634" s="14" t="n">
        <x:f>SUM(F634:M634)</x:f>
        <x:v>103</x:v>
      </x:c>
      <x:c r="F634" s="14" t="n">
        <x:v>14</x:v>
      </x:c>
      <x:c r="G634" s="14" t="n">
        <x:v>14</x:v>
      </x:c>
      <x:c r="H634" s="14" t="n">
        <x:v>12</x:v>
      </x:c>
      <x:c r="I634" s="14" t="n">
        <x:v>12</x:v>
      </x:c>
      <x:c r="J634" s="14" t="n">
        <x:v>8</x:v>
      </x:c>
      <x:c r="K634" s="14" t="n">
        <x:v>16</x:v>
      </x:c>
      <x:c r="L634" s="14" t="n">
        <x:v>15</x:v>
      </x:c>
      <x:c r="M634" s="14" t="n">
        <x:v>12</x:v>
      </x:c>
      <x:c r="N634" s="15" t="n">
        <x:f>IF(E634=0,"해당 없음",F634/E634)</x:f>
        <x:v>0.13592233009708737</x:v>
      </x:c>
      <x:c r="O634" s="15" t="n">
        <x:f>IF(E634=0,"해당 없음",G634/E634)</x:f>
        <x:v>0.13592233009708737</x:v>
      </x:c>
      <x:c r="P634" s="15" t="n">
        <x:f>IF(E634=0,"해당 없음",H634/E634)</x:f>
        <x:v>0.11650485436893204</x:v>
      </x:c>
      <x:c r="Q634" s="15" t="n">
        <x:f>IF(E634=0,"해당 없음",I634/E634)</x:f>
        <x:v>0.11650485436893204</x:v>
      </x:c>
      <x:c r="R634" s="15" t="n">
        <x:f>IF(E634=0,"해당 없음",J634/E634)</x:f>
        <x:v>0.07766990291262135</x:v>
      </x:c>
      <x:c r="S634" s="15" t="n">
        <x:f>IF(E634=0,"해당 없음",K634/E634)</x:f>
        <x:v>0.1553398058252427</x:v>
      </x:c>
      <x:c r="T634" s="15" t="n">
        <x:f>IF(E634=0,"해당 없음",L634/E634)</x:f>
        <x:v>0.14563106796116504</x:v>
      </x:c>
      <x:c r="U634" s="15" t="n">
        <x:f>IF(E634=0,"해당 없음",M634/E634)</x:f>
        <x:v>0.11650485436893204</x:v>
      </x:c>
      <x:c r="V634" s="16" t="n">
        <x:f>E634/5</x:f>
        <x:v>20.6</x:v>
      </x:c>
    </x:row>
    <x:row r="635" ht="22" customHeight="1">
      <x:c r="A635" s="2" t="n">
        <x:v>315</x:v>
      </x:c>
      <x:c r="B635" s="2" t="str">
        <x:v>NAVY</x:v>
      </x:c>
      <x:c r="C635" s="2" t="str">
        <x:v>40만</x:v>
      </x:c>
      <x:c r="D635" s="2" t="str">
        <x:v>0만</x:v>
      </x:c>
      <x:c r="E635" s="14" t="n">
        <x:f>SUM(F635:M635)</x:f>
        <x:v>102</x:v>
      </x:c>
      <x:c r="F635" s="14" t="n">
        <x:v>7</x:v>
      </x:c>
      <x:c r="G635" s="14" t="n">
        <x:v>25</x:v>
      </x:c>
      <x:c r="H635" s="14" t="n">
        <x:v>5</x:v>
      </x:c>
      <x:c r="I635" s="14" t="n">
        <x:v>10</x:v>
      </x:c>
      <x:c r="J635" s="14" t="n">
        <x:v>4</x:v>
      </x:c>
      <x:c r="K635" s="14" t="n">
        <x:v>13</x:v>
      </x:c>
      <x:c r="L635" s="14" t="n">
        <x:v>34</x:v>
      </x:c>
      <x:c r="M635" s="14" t="n">
        <x:v>4</x:v>
      </x:c>
      <x:c r="N635" s="15" t="n">
        <x:f>IF(E635=0,"해당 없음",F635/E635)</x:f>
        <x:v>0.06862745098039216</x:v>
      </x:c>
      <x:c r="O635" s="15" t="n">
        <x:f>IF(E635=0,"해당 없음",G635/E635)</x:f>
        <x:v>0.24509803921568626</x:v>
      </x:c>
      <x:c r="P635" s="15" t="n">
        <x:f>IF(E635=0,"해당 없음",H635/E635)</x:f>
        <x:v>0.049019607843137254</x:v>
      </x:c>
      <x:c r="Q635" s="15" t="n">
        <x:f>IF(E635=0,"해당 없음",I635/E635)</x:f>
        <x:v>0.09803921568627451</x:v>
      </x:c>
      <x:c r="R635" s="15" t="n">
        <x:f>IF(E635=0,"해당 없음",J635/E635)</x:f>
        <x:v>0.0392156862745098</x:v>
      </x:c>
      <x:c r="S635" s="15" t="n">
        <x:f>IF(E635=0,"해당 없음",K635/E635)</x:f>
        <x:v>0.12745098039215685</x:v>
      </x:c>
      <x:c r="T635" s="15" t="n">
        <x:f>IF(E635=0,"해당 없음",L635/E635)</x:f>
        <x:v>0.3333333333333333</x:v>
      </x:c>
      <x:c r="U635" s="15" t="n">
        <x:f>IF(E635=0,"해당 없음",M635/E635)</x:f>
        <x:v>0.0392156862745098</x:v>
      </x:c>
      <x:c r="V635" s="16" t="n">
        <x:f>E635/5</x:f>
        <x:v>20.4</x:v>
      </x:c>
    </x:row>
    <x:row r="636" ht="22" customHeight="1">
      <x:c r="A636" s="2" t="n">
        <x:v>316</x:v>
      </x:c>
      <x:c r="B636" s="2" t="str">
        <x:v>RED</x:v>
      </x:c>
      <x:c r="C636" s="2" t="str">
        <x:v>40만</x:v>
      </x:c>
      <x:c r="D636" s="2" t="str">
        <x:v>0만</x:v>
      </x:c>
      <x:c r="E636" s="14" t="n">
        <x:f>SUM(F636:M636)</x:f>
        <x:v>104</x:v>
      </x:c>
      <x:c r="F636" s="14" t="n">
        <x:v>5</x:v>
      </x:c>
      <x:c r="G636" s="14" t="n">
        <x:v>22</x:v>
      </x:c>
      <x:c r="H636" s="14" t="n">
        <x:v>9</x:v>
      </x:c>
      <x:c r="I636" s="14" t="n">
        <x:v>6</x:v>
      </x:c>
      <x:c r="J636" s="14" t="n">
        <x:v>3</x:v>
      </x:c>
      <x:c r="K636" s="14" t="n">
        <x:v>12</x:v>
      </x:c>
      <x:c r="L636" s="14" t="n">
        <x:v>44</x:v>
      </x:c>
      <x:c r="M636" s="14" t="n">
        <x:v>3</x:v>
      </x:c>
      <x:c r="N636" s="15" t="n">
        <x:f>IF(E636=0,"해당 없음",F636/E636)</x:f>
        <x:v>0.04807692307692308</x:v>
      </x:c>
      <x:c r="O636" s="15" t="n">
        <x:f>IF(E636=0,"해당 없음",G636/E636)</x:f>
        <x:v>0.21153846153846154</x:v>
      </x:c>
      <x:c r="P636" s="15" t="n">
        <x:f>IF(E636=0,"해당 없음",H636/E636)</x:f>
        <x:v>0.08653846153846154</x:v>
      </x:c>
      <x:c r="Q636" s="15" t="n">
        <x:f>IF(E636=0,"해당 없음",I636/E636)</x:f>
        <x:v>0.057692307692307696</x:v>
      </x:c>
      <x:c r="R636" s="15" t="n">
        <x:f>IF(E636=0,"해당 없음",J636/E636)</x:f>
        <x:v>0.028846153846153848</x:v>
      </x:c>
      <x:c r="S636" s="15" t="n">
        <x:f>IF(E636=0,"해당 없음",K636/E636)</x:f>
        <x:v>0.11538461538461539</x:v>
      </x:c>
      <x:c r="T636" s="15" t="n">
        <x:f>IF(E636=0,"해당 없음",L636/E636)</x:f>
        <x:v>0.4230769230769231</x:v>
      </x:c>
      <x:c r="U636" s="15" t="n">
        <x:f>IF(E636=0,"해당 없음",M636/E636)</x:f>
        <x:v>0.028846153846153848</x:v>
      </x:c>
      <x:c r="V636" s="16" t="n">
        <x:f>E636/5</x:f>
        <x:v>20.8</x:v>
      </x:c>
    </x:row>
    <x:row r="637" ht="22" customHeight="1">
      <x:c r="A637" s="2" t="n">
        <x:v>316</x:v>
      </x:c>
      <x:c r="B637" s="2" t="str">
        <x:v>NAVY</x:v>
      </x:c>
      <x:c r="C637" s="2" t="str">
        <x:v>0만</x:v>
      </x:c>
      <x:c r="D637" s="2" t="str">
        <x:v>40만</x:v>
      </x:c>
      <x:c r="E637" s="14" t="n">
        <x:f>SUM(F637:M637)</x:f>
        <x:v>106</x:v>
      </x:c>
      <x:c r="F637" s="14" t="n">
        <x:v>15</x:v>
      </x:c>
      <x:c r="G637" s="14" t="n">
        <x:v>14</x:v>
      </x:c>
      <x:c r="H637" s="14" t="n">
        <x:v>13</x:v>
      </x:c>
      <x:c r="I637" s="14" t="n">
        <x:v>12</x:v>
      </x:c>
      <x:c r="J637" s="14" t="n">
        <x:v>9</x:v>
      </x:c>
      <x:c r="K637" s="14" t="n">
        <x:v>16</x:v>
      </x:c>
      <x:c r="L637" s="14" t="n">
        <x:v>15</x:v>
      </x:c>
      <x:c r="M637" s="14" t="n">
        <x:v>12</x:v>
      </x:c>
      <x:c r="N637" s="15" t="n">
        <x:f>IF(E637=0,"해당 없음",F637/E637)</x:f>
        <x:v>0.14150943396226415</x:v>
      </x:c>
      <x:c r="O637" s="15" t="n">
        <x:f>IF(E637=0,"해당 없음",G637/E637)</x:f>
        <x:v>0.1320754716981132</x:v>
      </x:c>
      <x:c r="P637" s="15" t="n">
        <x:f>IF(E637=0,"해당 없음",H637/E637)</x:f>
        <x:v>0.12264150943396226</x:v>
      </x:c>
      <x:c r="Q637" s="15" t="n">
        <x:f>IF(E637=0,"해당 없음",I637/E637)</x:f>
        <x:v>0.11320754716981132</x:v>
      </x:c>
      <x:c r="R637" s="15" t="n">
        <x:f>IF(E637=0,"해당 없음",J637/E637)</x:f>
        <x:v>0.08490566037735849</x:v>
      </x:c>
      <x:c r="S637" s="15" t="n">
        <x:f>IF(E637=0,"해당 없음",K637/E637)</x:f>
        <x:v>0.1509433962264151</x:v>
      </x:c>
      <x:c r="T637" s="15" t="n">
        <x:f>IF(E637=0,"해당 없음",L637/E637)</x:f>
        <x:v>0.14150943396226415</x:v>
      </x:c>
      <x:c r="U637" s="15" t="n">
        <x:f>IF(E637=0,"해당 없음",M637/E637)</x:f>
        <x:v>0.11320754716981132</x:v>
      </x:c>
      <x:c r="V637" s="16" t="n">
        <x:f>E637/5</x:f>
        <x:v>21.2</x:v>
      </x:c>
    </x:row>
    <x:row r="638" ht="22" customHeight="1">
      <x:c r="A638" s="2" t="n">
        <x:v>317</x:v>
      </x:c>
      <x:c r="B638" s="2" t="str">
        <x:v>RED</x:v>
      </x:c>
      <x:c r="C638" s="2" t="str">
        <x:v>0만</x:v>
      </x:c>
      <x:c r="D638" s="2" t="str">
        <x:v>40만</x:v>
      </x:c>
      <x:c r="E638" s="14" t="n">
        <x:f>SUM(F638:M638)</x:f>
        <x:v>105</x:v>
      </x:c>
      <x:c r="F638" s="14" t="n">
        <x:v>17</x:v>
      </x:c>
      <x:c r="G638" s="14" t="n">
        <x:v>8</x:v>
      </x:c>
      <x:c r="H638" s="14" t="n">
        <x:v>14</x:v>
      </x:c>
      <x:c r="I638" s="14" t="n">
        <x:v>14</x:v>
      </x:c>
      <x:c r="J638" s="14" t="n">
        <x:v>13</x:v>
      </x:c>
      <x:c r="K638" s="14" t="n">
        <x:v>15</x:v>
      </x:c>
      <x:c r="L638" s="14" t="n">
        <x:v>11</x:v>
      </x:c>
      <x:c r="M638" s="14" t="n">
        <x:v>13</x:v>
      </x:c>
      <x:c r="N638" s="15" t="n">
        <x:f>IF(E638=0,"해당 없음",F638/E638)</x:f>
        <x:v>0.1619047619047619</x:v>
      </x:c>
      <x:c r="O638" s="15" t="n">
        <x:f>IF(E638=0,"해당 없음",G638/E638)</x:f>
        <x:v>0.0761904761904762</x:v>
      </x:c>
      <x:c r="P638" s="15" t="n">
        <x:f>IF(E638=0,"해당 없음",H638/E638)</x:f>
        <x:v>0.13333333333333333</x:v>
      </x:c>
      <x:c r="Q638" s="15" t="n">
        <x:f>IF(E638=0,"해당 없음",I638/E638)</x:f>
        <x:v>0.13333333333333333</x:v>
      </x:c>
      <x:c r="R638" s="15" t="n">
        <x:f>IF(E638=0,"해당 없음",J638/E638)</x:f>
        <x:v>0.12380952380952381</x:v>
      </x:c>
      <x:c r="S638" s="15" t="n">
        <x:f>IF(E638=0,"해당 없음",K638/E638)</x:f>
        <x:v>0.14285714285714285</x:v>
      </x:c>
      <x:c r="T638" s="15" t="n">
        <x:f>IF(E638=0,"해당 없음",L638/E638)</x:f>
        <x:v>0.10476190476190476</x:v>
      </x:c>
      <x:c r="U638" s="15" t="n">
        <x:f>IF(E638=0,"해당 없음",M638/E638)</x:f>
        <x:v>0.12380952380952381</x:v>
      </x:c>
      <x:c r="V638" s="16" t="n">
        <x:f>E638/5</x:f>
        <x:v>21</x:v>
      </x:c>
    </x:row>
    <x:row r="639" ht="22" customHeight="1">
      <x:c r="A639" s="2" t="n">
        <x:v>317</x:v>
      </x:c>
      <x:c r="B639" s="2" t="str">
        <x:v>NAVY</x:v>
      </x:c>
      <x:c r="C639" s="2" t="str">
        <x:v>40만</x:v>
      </x:c>
      <x:c r="D639" s="2" t="str">
        <x:v>0만</x:v>
      </x:c>
      <x:c r="E639" s="14" t="n">
        <x:f>SUM(F639:M639)</x:f>
        <x:v>104</x:v>
      </x:c>
      <x:c r="F639" s="14" t="n">
        <x:v>6</x:v>
      </x:c>
      <x:c r="G639" s="14" t="n">
        <x:v>31</x:v>
      </x:c>
      <x:c r="H639" s="14" t="n">
        <x:v>8</x:v>
      </x:c>
      <x:c r="I639" s="14" t="n">
        <x:v>3</x:v>
      </x:c>
      <x:c r="J639" s="14" t="n">
        <x:v>5</x:v>
      </x:c>
      <x:c r="K639" s="14" t="n">
        <x:v>9</x:v>
      </x:c>
      <x:c r="L639" s="14" t="n">
        <x:v>40</x:v>
      </x:c>
      <x:c r="M639" s="14" t="n">
        <x:v>2</x:v>
      </x:c>
      <x:c r="N639" s="15" t="n">
        <x:f>IF(E639=0,"해당 없음",F639/E639)</x:f>
        <x:v>0.057692307692307696</x:v>
      </x:c>
      <x:c r="O639" s="15" t="n">
        <x:f>IF(E639=0,"해당 없음",G639/E639)</x:f>
        <x:v>0.2980769230769231</x:v>
      </x:c>
      <x:c r="P639" s="15" t="n">
        <x:f>IF(E639=0,"해당 없음",H639/E639)</x:f>
        <x:v>0.07692307692307693</x:v>
      </x:c>
      <x:c r="Q639" s="15" t="n">
        <x:f>IF(E639=0,"해당 없음",I639/E639)</x:f>
        <x:v>0.028846153846153848</x:v>
      </x:c>
      <x:c r="R639" s="15" t="n">
        <x:f>IF(E639=0,"해당 없음",J639/E639)</x:f>
        <x:v>0.04807692307692308</x:v>
      </x:c>
      <x:c r="S639" s="15" t="n">
        <x:f>IF(E639=0,"해당 없음",K639/E639)</x:f>
        <x:v>0.08653846153846154</x:v>
      </x:c>
      <x:c r="T639" s="15" t="n">
        <x:f>IF(E639=0,"해당 없음",L639/E639)</x:f>
        <x:v>0.38461538461538464</x:v>
      </x:c>
      <x:c r="U639" s="15" t="n">
        <x:f>IF(E639=0,"해당 없음",M639/E639)</x:f>
        <x:v>0.019230769230769232</x:v>
      </x:c>
      <x:c r="V639" s="16" t="n">
        <x:f>E639/5</x:f>
        <x:v>20.8</x:v>
      </x:c>
    </x:row>
    <x:row r="640" ht="22" customHeight="1">
      <x:c r="A640" s="2" t="n">
        <x:v>318</x:v>
      </x:c>
      <x:c r="B640" s="2" t="str">
        <x:v>RED</x:v>
      </x:c>
      <x:c r="C640" s="2" t="str">
        <x:v>40만</x:v>
      </x:c>
      <x:c r="D640" s="2" t="str">
        <x:v>0만</x:v>
      </x:c>
      <x:c r="E640" s="14" t="n">
        <x:f>SUM(F640:M640)</x:f>
        <x:v>103</x:v>
      </x:c>
      <x:c r="F640" s="14" t="n">
        <x:v>7</x:v>
      </x:c>
      <x:c r="G640" s="14" t="n">
        <x:v>28</x:v>
      </x:c>
      <x:c r="H640" s="14" t="n">
        <x:v>9</x:v>
      </x:c>
      <x:c r="I640" s="14" t="n">
        <x:v>4</x:v>
      </x:c>
      <x:c r="J640" s="14" t="n">
        <x:v>5</x:v>
      </x:c>
      <x:c r="K640" s="14" t="n">
        <x:v>6</x:v>
      </x:c>
      <x:c r="L640" s="14" t="n">
        <x:v>40</x:v>
      </x:c>
      <x:c r="M640" s="14" t="n">
        <x:v>4</x:v>
      </x:c>
      <x:c r="N640" s="15" t="n">
        <x:f>IF(E640=0,"해당 없음",F640/E640)</x:f>
        <x:v>0.06796116504854369</x:v>
      </x:c>
      <x:c r="O640" s="15" t="n">
        <x:f>IF(E640=0,"해당 없음",G640/E640)</x:f>
        <x:v>0.27184466019417475</x:v>
      </x:c>
      <x:c r="P640" s="15" t="n">
        <x:f>IF(E640=0,"해당 없음",H640/E640)</x:f>
        <x:v>0.08737864077669903</x:v>
      </x:c>
      <x:c r="Q640" s="15" t="n">
        <x:f>IF(E640=0,"해당 없음",I640/E640)</x:f>
        <x:v>0.038834951456310676</x:v>
      </x:c>
      <x:c r="R640" s="15" t="n">
        <x:f>IF(E640=0,"해당 없음",J640/E640)</x:f>
        <x:v>0.04854368932038835</x:v>
      </x:c>
      <x:c r="S640" s="15" t="n">
        <x:f>IF(E640=0,"해당 없음",K640/E640)</x:f>
        <x:v>0.05825242718446602</x:v>
      </x:c>
      <x:c r="T640" s="15" t="n">
        <x:f>IF(E640=0,"해당 없음",L640/E640)</x:f>
        <x:v>0.3883495145631068</x:v>
      </x:c>
      <x:c r="U640" s="15" t="n">
        <x:f>IF(E640=0,"해당 없음",M640/E640)</x:f>
        <x:v>0.038834951456310676</x:v>
      </x:c>
      <x:c r="V640" s="16" t="n">
        <x:f>E640/5</x:f>
        <x:v>20.6</x:v>
      </x:c>
    </x:row>
    <x:row r="641" ht="22" customHeight="1">
      <x:c r="A641" s="2" t="n">
        <x:v>318</x:v>
      </x:c>
      <x:c r="B641" s="2" t="str">
        <x:v>NAVY</x:v>
      </x:c>
      <x:c r="C641" s="2" t="str">
        <x:v>0만</x:v>
      </x:c>
      <x:c r="D641" s="2" t="str">
        <x:v>40만</x:v>
      </x:c>
      <x:c r="E641" s="14" t="n">
        <x:f>SUM(F641:M641)</x:f>
        <x:v>104</x:v>
      </x:c>
      <x:c r="F641" s="14" t="n">
        <x:v>17</x:v>
      </x:c>
      <x:c r="G641" s="14" t="n">
        <x:v>8</x:v>
      </x:c>
      <x:c r="H641" s="14" t="n">
        <x:v>13</x:v>
      </x:c>
      <x:c r="I641" s="14" t="n">
        <x:v>14</x:v>
      </x:c>
      <x:c r="J641" s="14" t="n">
        <x:v>12</x:v>
      </x:c>
      <x:c r="K641" s="14" t="n">
        <x:v>15</x:v>
      </x:c>
      <x:c r="L641" s="14" t="n">
        <x:v>12</x:v>
      </x:c>
      <x:c r="M641" s="14" t="n">
        <x:v>13</x:v>
      </x:c>
      <x:c r="N641" s="15" t="n">
        <x:f>IF(E641=0,"해당 없음",F641/E641)</x:f>
        <x:v>0.16346153846153846</x:v>
      </x:c>
      <x:c r="O641" s="15" t="n">
        <x:f>IF(E641=0,"해당 없음",G641/E641)</x:f>
        <x:v>0.07692307692307693</x:v>
      </x:c>
      <x:c r="P641" s="15" t="n">
        <x:f>IF(E641=0,"해당 없음",H641/E641)</x:f>
        <x:v>0.125</x:v>
      </x:c>
      <x:c r="Q641" s="15" t="n">
        <x:f>IF(E641=0,"해당 없음",I641/E641)</x:f>
        <x:v>0.1346153846153846</x:v>
      </x:c>
      <x:c r="R641" s="15" t="n">
        <x:f>IF(E641=0,"해당 없음",J641/E641)</x:f>
        <x:v>0.11538461538461539</x:v>
      </x:c>
      <x:c r="S641" s="15" t="n">
        <x:f>IF(E641=0,"해당 없음",K641/E641)</x:f>
        <x:v>0.14423076923076922</x:v>
      </x:c>
      <x:c r="T641" s="15" t="n">
        <x:f>IF(E641=0,"해당 없음",L641/E641)</x:f>
        <x:v>0.11538461538461539</x:v>
      </x:c>
      <x:c r="U641" s="15" t="n">
        <x:f>IF(E641=0,"해당 없음",M641/E641)</x:f>
        <x:v>0.125</x:v>
      </x:c>
      <x:c r="V641" s="16" t="n">
        <x:f>E641/5</x:f>
        <x:v>20.8</x:v>
      </x:c>
    </x:row>
    <x:row r="642" ht="22" customHeight="1">
      <x:c r="A642" s="2" t="n">
        <x:v>319</x:v>
      </x:c>
      <x:c r="B642" s="2" t="str">
        <x:v>RED</x:v>
      </x:c>
      <x:c r="C642" s="2" t="str">
        <x:v>0만</x:v>
      </x:c>
      <x:c r="D642" s="2" t="str">
        <x:v>40만</x:v>
      </x:c>
      <x:c r="E642" s="14" t="n">
        <x:f>SUM(F642:M642)</x:f>
        <x:v>105</x:v>
      </x:c>
      <x:c r="F642" s="14" t="n">
        <x:v>13</x:v>
      </x:c>
      <x:c r="G642" s="14" t="n">
        <x:v>11</x:v>
      </x:c>
      <x:c r="H642" s="14" t="n">
        <x:v>18</x:v>
      </x:c>
      <x:c r="I642" s="14" t="n">
        <x:v>10</x:v>
      </x:c>
      <x:c r="J642" s="14" t="n">
        <x:v>22</x:v>
      </x:c>
      <x:c r="K642" s="14" t="n">
        <x:v>9</x:v>
      </x:c>
      <x:c r="L642" s="14" t="n">
        <x:v>12</x:v>
      </x:c>
      <x:c r="M642" s="14" t="n">
        <x:v>10</x:v>
      </x:c>
      <x:c r="N642" s="15" t="n">
        <x:f>IF(E642=0,"해당 없음",F642/E642)</x:f>
        <x:v>0.12380952380952381</x:v>
      </x:c>
      <x:c r="O642" s="15" t="n">
        <x:f>IF(E642=0,"해당 없음",G642/E642)</x:f>
        <x:v>0.10476190476190476</x:v>
      </x:c>
      <x:c r="P642" s="15" t="n">
        <x:f>IF(E642=0,"해당 없음",H642/E642)</x:f>
        <x:v>0.17142857142857143</x:v>
      </x:c>
      <x:c r="Q642" s="15" t="n">
        <x:f>IF(E642=0,"해당 없음",I642/E642)</x:f>
        <x:v>0.09523809523809523</x:v>
      </x:c>
      <x:c r="R642" s="15" t="n">
        <x:f>IF(E642=0,"해당 없음",J642/E642)</x:f>
        <x:v>0.20952380952380953</x:v>
      </x:c>
      <x:c r="S642" s="15" t="n">
        <x:f>IF(E642=0,"해당 없음",K642/E642)</x:f>
        <x:v>0.08571428571428572</x:v>
      </x:c>
      <x:c r="T642" s="15" t="n">
        <x:f>IF(E642=0,"해당 없음",L642/E642)</x:f>
        <x:v>0.11428571428571428</x:v>
      </x:c>
      <x:c r="U642" s="15" t="n">
        <x:f>IF(E642=0,"해당 없음",M642/E642)</x:f>
        <x:v>0.09523809523809523</x:v>
      </x:c>
      <x:c r="V642" s="16" t="n">
        <x:f>E642/5</x:f>
        <x:v>21</x:v>
      </x:c>
    </x:row>
    <x:row r="643" ht="22" customHeight="1">
      <x:c r="A643" s="2" t="n">
        <x:v>319</x:v>
      </x:c>
      <x:c r="B643" s="2" t="str">
        <x:v>NAVY</x:v>
      </x:c>
      <x:c r="C643" s="2" t="str">
        <x:v>40만</x:v>
      </x:c>
      <x:c r="D643" s="2" t="str">
        <x:v>0만</x:v>
      </x:c>
      <x:c r="E643" s="14" t="n">
        <x:f>SUM(F643:M643)</x:f>
        <x:v>105</x:v>
      </x:c>
      <x:c r="F643" s="14" t="n">
        <x:v>4</x:v>
      </x:c>
      <x:c r="G643" s="14" t="n">
        <x:v>32</x:v>
      </x:c>
      <x:c r="H643" s="14" t="n">
        <x:v>7</x:v>
      </x:c>
      <x:c r="I643" s="14" t="n">
        <x:v>2</x:v>
      </x:c>
      <x:c r="J643" s="14" t="n">
        <x:v>5</x:v>
      </x:c>
      <x:c r="K643" s="14" t="n">
        <x:v>15</x:v>
      </x:c>
      <x:c r="L643" s="14" t="n">
        <x:v>39</x:v>
      </x:c>
      <x:c r="M643" s="14" t="n">
        <x:v>1</x:v>
      </x:c>
      <x:c r="N643" s="15" t="n">
        <x:f>IF(E643=0,"해당 없음",F643/E643)</x:f>
        <x:v>0.0380952380952381</x:v>
      </x:c>
      <x:c r="O643" s="15" t="n">
        <x:f>IF(E643=0,"해당 없음",G643/E643)</x:f>
        <x:v>0.3047619047619048</x:v>
      </x:c>
      <x:c r="P643" s="15" t="n">
        <x:f>IF(E643=0,"해당 없음",H643/E643)</x:f>
        <x:v>0.06666666666666667</x:v>
      </x:c>
      <x:c r="Q643" s="15" t="n">
        <x:f>IF(E643=0,"해당 없음",I643/E643)</x:f>
        <x:v>0.01904761904761905</x:v>
      </x:c>
      <x:c r="R643" s="15" t="n">
        <x:f>IF(E643=0,"해당 없음",J643/E643)</x:f>
        <x:v>0.047619047619047616</x:v>
      </x:c>
      <x:c r="S643" s="15" t="n">
        <x:f>IF(E643=0,"해당 없음",K643/E643)</x:f>
        <x:v>0.14285714285714285</x:v>
      </x:c>
      <x:c r="T643" s="15" t="n">
        <x:f>IF(E643=0,"해당 없음",L643/E643)</x:f>
        <x:v>0.37142857142857144</x:v>
      </x:c>
      <x:c r="U643" s="15" t="n">
        <x:f>IF(E643=0,"해당 없음",M643/E643)</x:f>
        <x:v>0.009523809523809525</x:v>
      </x:c>
      <x:c r="V643" s="16" t="n">
        <x:f>E643/5</x:f>
        <x:v>21</x:v>
      </x:c>
    </x:row>
    <x:row r="644" ht="22" customHeight="1">
      <x:c r="A644" s="2" t="n">
        <x:v>320</x:v>
      </x:c>
      <x:c r="B644" s="2" t="str">
        <x:v>RED</x:v>
      </x:c>
      <x:c r="C644" s="2" t="str">
        <x:v>40만</x:v>
      </x:c>
      <x:c r="D644" s="2" t="str">
        <x:v>0만</x:v>
      </x:c>
      <x:c r="E644" s="14" t="n">
        <x:f>SUM(F644:M644)</x:f>
        <x:v>104</x:v>
      </x:c>
      <x:c r="F644" s="14" t="n">
        <x:v>2</x:v>
      </x:c>
      <x:c r="G644" s="14" t="n">
        <x:v>23</x:v>
      </x:c>
      <x:c r="H644" s="14" t="n">
        <x:v>8</x:v>
      </x:c>
      <x:c r="I644" s="14" t="n">
        <x:v>13</x:v>
      </x:c>
      <x:c r="J644" s="14" t="n">
        <x:v>5</x:v>
      </x:c>
      <x:c r="K644" s="14" t="n">
        <x:v>10</x:v>
      </x:c>
      <x:c r="L644" s="14" t="n">
        <x:v>42</x:v>
      </x:c>
      <x:c r="M644" s="14" t="n">
        <x:v>1</x:v>
      </x:c>
      <x:c r="N644" s="15" t="n">
        <x:f>IF(E644=0,"해당 없음",F644/E644)</x:f>
        <x:v>0.019230769230769232</x:v>
      </x:c>
      <x:c r="O644" s="15" t="n">
        <x:f>IF(E644=0,"해당 없음",G644/E644)</x:f>
        <x:v>0.22115384615384615</x:v>
      </x:c>
      <x:c r="P644" s="15" t="n">
        <x:f>IF(E644=0,"해당 없음",H644/E644)</x:f>
        <x:v>0.07692307692307693</x:v>
      </x:c>
      <x:c r="Q644" s="15" t="n">
        <x:f>IF(E644=0,"해당 없음",I644/E644)</x:f>
        <x:v>0.125</x:v>
      </x:c>
      <x:c r="R644" s="15" t="n">
        <x:f>IF(E644=0,"해당 없음",J644/E644)</x:f>
        <x:v>0.04807692307692308</x:v>
      </x:c>
      <x:c r="S644" s="15" t="n">
        <x:f>IF(E644=0,"해당 없음",K644/E644)</x:f>
        <x:v>0.09615384615384616</x:v>
      </x:c>
      <x:c r="T644" s="15" t="n">
        <x:f>IF(E644=0,"해당 없음",L644/E644)</x:f>
        <x:v>0.40384615384615385</x:v>
      </x:c>
      <x:c r="U644" s="15" t="n">
        <x:f>IF(E644=0,"해당 없음",M644/E644)</x:f>
        <x:v>0.009615384615384616</x:v>
      </x:c>
      <x:c r="V644" s="16" t="n">
        <x:f>E644/5</x:f>
        <x:v>20.8</x:v>
      </x:c>
    </x:row>
    <x:row r="645" ht="22" customHeight="1">
      <x:c r="A645" s="2" t="n">
        <x:v>320</x:v>
      </x:c>
      <x:c r="B645" s="2" t="str">
        <x:v>NAVY</x:v>
      </x:c>
      <x:c r="C645" s="2" t="str">
        <x:v>0만</x:v>
      </x:c>
      <x:c r="D645" s="2" t="str">
        <x:v>40만</x:v>
      </x:c>
      <x:c r="E645" s="14" t="n">
        <x:f>SUM(F645:M645)</x:f>
        <x:v>104</x:v>
      </x:c>
      <x:c r="F645" s="14" t="n">
        <x:v>13</x:v>
      </x:c>
      <x:c r="G645" s="14" t="n">
        <x:v>11</x:v>
      </x:c>
      <x:c r="H645" s="14" t="n">
        <x:v>17</x:v>
      </x:c>
      <x:c r="I645" s="14" t="n">
        <x:v>10</x:v>
      </x:c>
      <x:c r="J645" s="14" t="n">
        <x:v>22</x:v>
      </x:c>
      <x:c r="K645" s="14" t="n">
        <x:v>9</x:v>
      </x:c>
      <x:c r="L645" s="14" t="n">
        <x:v>12</x:v>
      </x:c>
      <x:c r="M645" s="14" t="n">
        <x:v>10</x:v>
      </x:c>
      <x:c r="N645" s="15" t="n">
        <x:f>IF(E645=0,"해당 없음",F645/E645)</x:f>
        <x:v>0.125</x:v>
      </x:c>
      <x:c r="O645" s="15" t="n">
        <x:f>IF(E645=0,"해당 없음",G645/E645)</x:f>
        <x:v>0.10576923076923077</x:v>
      </x:c>
      <x:c r="P645" s="15" t="n">
        <x:f>IF(E645=0,"해당 없음",H645/E645)</x:f>
        <x:v>0.16346153846153846</x:v>
      </x:c>
      <x:c r="Q645" s="15" t="n">
        <x:f>IF(E645=0,"해당 없음",I645/E645)</x:f>
        <x:v>0.09615384615384616</x:v>
      </x:c>
      <x:c r="R645" s="15" t="n">
        <x:f>IF(E645=0,"해당 없음",J645/E645)</x:f>
        <x:v>0.21153846153846154</x:v>
      </x:c>
      <x:c r="S645" s="15" t="n">
        <x:f>IF(E645=0,"해당 없음",K645/E645)</x:f>
        <x:v>0.08653846153846154</x:v>
      </x:c>
      <x:c r="T645" s="15" t="n">
        <x:f>IF(E645=0,"해당 없음",L645/E645)</x:f>
        <x:v>0.11538461538461539</x:v>
      </x:c>
      <x:c r="U645" s="15" t="n">
        <x:f>IF(E645=0,"해당 없음",M645/E645)</x:f>
        <x:v>0.09615384615384616</x:v>
      </x:c>
      <x:c r="V645" s="16" t="n">
        <x:f>E645/5</x:f>
        <x:v>20.8</x:v>
      </x:c>
    </x:row>
    <x:row r="646" ht="22" customHeight="1">
      <x:c r="A646" s="2" t="n">
        <x:v>321</x:v>
      </x:c>
      <x:c r="B646" s="2" t="str">
        <x:v>RED</x:v>
      </x:c>
      <x:c r="C646" s="2" t="str">
        <x:v>0만</x:v>
      </x:c>
      <x:c r="D646" s="2" t="str">
        <x:v>80만</x:v>
      </x:c>
      <x:c r="E646" s="14" t="n">
        <x:f>SUM(F646:M646)</x:f>
        <x:v>107</x:v>
      </x:c>
      <x:c r="F646" s="14" t="n">
        <x:v>11</x:v>
      </x:c>
      <x:c r="G646" s="14" t="n">
        <x:v>12</x:v>
      </x:c>
      <x:c r="H646" s="14" t="n">
        <x:v>9</x:v>
      </x:c>
      <x:c r="I646" s="14" t="n">
        <x:v>21</x:v>
      </x:c>
      <x:c r="J646" s="14" t="n">
        <x:v>8</x:v>
      </x:c>
      <x:c r="K646" s="14" t="n">
        <x:v>16</x:v>
      </x:c>
      <x:c r="L646" s="14" t="n">
        <x:v>16</x:v>
      </x:c>
      <x:c r="M646" s="14" t="n">
        <x:v>14</x:v>
      </x:c>
      <x:c r="N646" s="15" t="n">
        <x:f>IF(E646=0,"해당 없음",F646/E646)</x:f>
        <x:v>0.102803738317757</x:v>
      </x:c>
      <x:c r="O646" s="15" t="n">
        <x:f>IF(E646=0,"해당 없음",G646/E646)</x:f>
        <x:v>0.11214953271028037</x:v>
      </x:c>
      <x:c r="P646" s="15" t="n">
        <x:f>IF(E646=0,"해당 없음",H646/E646)</x:f>
        <x:v>0.08411214953271028</x:v>
      </x:c>
      <x:c r="Q646" s="15" t="n">
        <x:f>IF(E646=0,"해당 없음",I646/E646)</x:f>
        <x:v>0.19626168224299065</x:v>
      </x:c>
      <x:c r="R646" s="15" t="n">
        <x:f>IF(E646=0,"해당 없음",J646/E646)</x:f>
        <x:v>0.07476635514018691</x:v>
      </x:c>
      <x:c r="S646" s="15" t="n">
        <x:f>IF(E646=0,"해당 없음",K646/E646)</x:f>
        <x:v>0.14953271028037382</x:v>
      </x:c>
      <x:c r="T646" s="15" t="n">
        <x:f>IF(E646=0,"해당 없음",L646/E646)</x:f>
        <x:v>0.14953271028037382</x:v>
      </x:c>
      <x:c r="U646" s="15" t="n">
        <x:f>IF(E646=0,"해당 없음",M646/E646)</x:f>
        <x:v>0.1308411214953271</x:v>
      </x:c>
      <x:c r="V646" s="16" t="n">
        <x:f>E646/5</x:f>
        <x:v>21.4</x:v>
      </x:c>
    </x:row>
    <x:row r="647" ht="22" customHeight="1">
      <x:c r="A647" s="2" t="n">
        <x:v>321</x:v>
      </x:c>
      <x:c r="B647" s="2" t="str">
        <x:v>NAVY</x:v>
      </x:c>
      <x:c r="C647" s="2" t="str">
        <x:v>80만</x:v>
      </x:c>
      <x:c r="D647" s="2" t="str">
        <x:v>0만</x:v>
      </x:c>
      <x:c r="E647" s="14" t="n">
        <x:f>SUM(F647:M647)</x:f>
        <x:v>105</x:v>
      </x:c>
      <x:c r="F647" s="14" t="n">
        <x:v>3</x:v>
      </x:c>
      <x:c r="G647" s="14" t="n">
        <x:v>23</x:v>
      </x:c>
      <x:c r="H647" s="14" t="n">
        <x:v>11</x:v>
      </x:c>
      <x:c r="I647" s="14" t="n">
        <x:v>4</x:v>
      </x:c>
      <x:c r="J647" s="14" t="n">
        <x:v>1</x:v>
      </x:c>
      <x:c r="K647" s="14" t="n">
        <x:v>8</x:v>
      </x:c>
      <x:c r="L647" s="14" t="n">
        <x:v>39</x:v>
      </x:c>
      <x:c r="M647" s="14" t="n">
        <x:v>16</x:v>
      </x:c>
      <x:c r="N647" s="15" t="n">
        <x:f>IF(E647=0,"해당 없음",F647/E647)</x:f>
        <x:v>0.02857142857142857</x:v>
      </x:c>
      <x:c r="O647" s="15" t="n">
        <x:f>IF(E647=0,"해당 없음",G647/E647)</x:f>
        <x:v>0.21904761904761905</x:v>
      </x:c>
      <x:c r="P647" s="15" t="n">
        <x:f>IF(E647=0,"해당 없음",H647/E647)</x:f>
        <x:v>0.10476190476190476</x:v>
      </x:c>
      <x:c r="Q647" s="15" t="n">
        <x:f>IF(E647=0,"해당 없음",I647/E647)</x:f>
        <x:v>0.0380952380952381</x:v>
      </x:c>
      <x:c r="R647" s="15" t="n">
        <x:f>IF(E647=0,"해당 없음",J647/E647)</x:f>
        <x:v>0.009523809523809525</x:v>
      </x:c>
      <x:c r="S647" s="15" t="n">
        <x:f>IF(E647=0,"해당 없음",K647/E647)</x:f>
        <x:v>0.0761904761904762</x:v>
      </x:c>
      <x:c r="T647" s="15" t="n">
        <x:f>IF(E647=0,"해당 없음",L647/E647)</x:f>
        <x:v>0.37142857142857144</x:v>
      </x:c>
      <x:c r="U647" s="15" t="n">
        <x:f>IF(E647=0,"해당 없음",M647/E647)</x:f>
        <x:v>0.1523809523809524</x:v>
      </x:c>
      <x:c r="V647" s="16" t="n">
        <x:f>E647/5</x:f>
        <x:v>21</x:v>
      </x:c>
    </x:row>
    <x:row r="648" ht="22" customHeight="1">
      <x:c r="A648" s="2" t="n">
        <x:v>322</x:v>
      </x:c>
      <x:c r="B648" s="2" t="str">
        <x:v>RED</x:v>
      </x:c>
      <x:c r="C648" s="2" t="str">
        <x:v>80만</x:v>
      </x:c>
      <x:c r="D648" s="2" t="str">
        <x:v>0만</x:v>
      </x:c>
      <x:c r="E648" s="14" t="n">
        <x:f>SUM(F648:M648)</x:f>
        <x:v>103</x:v>
      </x:c>
      <x:c r="F648" s="14" t="n">
        <x:v>4</x:v>
      </x:c>
      <x:c r="G648" s="14" t="n">
        <x:v>23</x:v>
      </x:c>
      <x:c r="H648" s="14" t="n">
        <x:v>6</x:v>
      </x:c>
      <x:c r="I648" s="14" t="n">
        <x:v>7</x:v>
      </x:c>
      <x:c r="J648" s="14" t="n">
        <x:v>4</x:v>
      </x:c>
      <x:c r="K648" s="14" t="n">
        <x:v>8</x:v>
      </x:c>
      <x:c r="L648" s="14" t="n">
        <x:v>37</x:v>
      </x:c>
      <x:c r="M648" s="14" t="n">
        <x:v>14</x:v>
      </x:c>
      <x:c r="N648" s="15" t="n">
        <x:f>IF(E648=0,"해당 없음",F648/E648)</x:f>
        <x:v>0.038834951456310676</x:v>
      </x:c>
      <x:c r="O648" s="15" t="n">
        <x:f>IF(E648=0,"해당 없음",G648/E648)</x:f>
        <x:v>0.22330097087378642</x:v>
      </x:c>
      <x:c r="P648" s="15" t="n">
        <x:f>IF(E648=0,"해당 없음",H648/E648)</x:f>
        <x:v>0.05825242718446602</x:v>
      </x:c>
      <x:c r="Q648" s="15" t="n">
        <x:f>IF(E648=0,"해당 없음",I648/E648)</x:f>
        <x:v>0.06796116504854369</x:v>
      </x:c>
      <x:c r="R648" s="15" t="n">
        <x:f>IF(E648=0,"해당 없음",J648/E648)</x:f>
        <x:v>0.038834951456310676</x:v>
      </x:c>
      <x:c r="S648" s="15" t="n">
        <x:f>IF(E648=0,"해당 없음",K648/E648)</x:f>
        <x:v>0.07766990291262135</x:v>
      </x:c>
      <x:c r="T648" s="15" t="n">
        <x:f>IF(E648=0,"해당 없음",L648/E648)</x:f>
        <x:v>0.3592233009708738</x:v>
      </x:c>
      <x:c r="U648" s="15" t="n">
        <x:f>IF(E648=0,"해당 없음",M648/E648)</x:f>
        <x:v>0.13592233009708737</x:v>
      </x:c>
      <x:c r="V648" s="16" t="n">
        <x:f>E648/5</x:f>
        <x:v>20.6</x:v>
      </x:c>
    </x:row>
    <x:row r="649" ht="22" customHeight="1">
      <x:c r="A649" s="2" t="n">
        <x:v>322</x:v>
      </x:c>
      <x:c r="B649" s="2" t="str">
        <x:v>NAVY</x:v>
      </x:c>
      <x:c r="C649" s="2" t="str">
        <x:v>0만</x:v>
      </x:c>
      <x:c r="D649" s="2" t="str">
        <x:v>80만</x:v>
      </x:c>
      <x:c r="E649" s="14" t="n">
        <x:f>SUM(F649:M649)</x:f>
        <x:v>102</x:v>
      </x:c>
      <x:c r="F649" s="14" t="n">
        <x:v>11</x:v>
      </x:c>
      <x:c r="G649" s="14" t="n">
        <x:v>12</x:v>
      </x:c>
      <x:c r="H649" s="14" t="n">
        <x:v>9</x:v>
      </x:c>
      <x:c r="I649" s="14" t="n">
        <x:v>21</x:v>
      </x:c>
      <x:c r="J649" s="14" t="n">
        <x:v>7</x:v>
      </x:c>
      <x:c r="K649" s="14" t="n">
        <x:v>14</x:v>
      </x:c>
      <x:c r="L649" s="14" t="n">
        <x:v>14</x:v>
      </x:c>
      <x:c r="M649" s="14" t="n">
        <x:v>14</x:v>
      </x:c>
      <x:c r="N649" s="15" t="n">
        <x:f>IF(E649=0,"해당 없음",F649/E649)</x:f>
        <x:v>0.10784313725490197</x:v>
      </x:c>
      <x:c r="O649" s="15" t="n">
        <x:f>IF(E649=0,"해당 없음",G649/E649)</x:f>
        <x:v>0.11764705882352941</x:v>
      </x:c>
      <x:c r="P649" s="15" t="n">
        <x:f>IF(E649=0,"해당 없음",H649/E649)</x:f>
        <x:v>0.08823529411764706</x:v>
      </x:c>
      <x:c r="Q649" s="15" t="n">
        <x:f>IF(E649=0,"해당 없음",I649/E649)</x:f>
        <x:v>0.20588235294117646</x:v>
      </x:c>
      <x:c r="R649" s="15" t="n">
        <x:f>IF(E649=0,"해당 없음",J649/E649)</x:f>
        <x:v>0.06862745098039216</x:v>
      </x:c>
      <x:c r="S649" s="15" t="n">
        <x:f>IF(E649=0,"해당 없음",K649/E649)</x:f>
        <x:v>0.13725490196078433</x:v>
      </x:c>
      <x:c r="T649" s="15" t="n">
        <x:f>IF(E649=0,"해당 없음",L649/E649)</x:f>
        <x:v>0.13725490196078433</x:v>
      </x:c>
      <x:c r="U649" s="15" t="n">
        <x:f>IF(E649=0,"해당 없음",M649/E649)</x:f>
        <x:v>0.13725490196078433</x:v>
      </x:c>
      <x:c r="V649" s="16" t="n">
        <x:f>E649/5</x:f>
        <x:v>20.4</x:v>
      </x:c>
    </x:row>
    <x:row r="650" ht="22" customHeight="1">
      <x:c r="A650" s="2" t="n">
        <x:v>323</x:v>
      </x:c>
      <x:c r="B650" s="2" t="str">
        <x:v>RED</x:v>
      </x:c>
      <x:c r="C650" s="2" t="str">
        <x:v>0만</x:v>
      </x:c>
      <x:c r="D650" s="2" t="str">
        <x:v>80만</x:v>
      </x:c>
      <x:c r="E650" s="14" t="n">
        <x:f>SUM(F650:M650)</x:f>
        <x:v>104</x:v>
      </x:c>
      <x:c r="F650" s="14" t="n">
        <x:v>12</x:v>
      </x:c>
      <x:c r="G650" s="14" t="n">
        <x:v>17</x:v>
      </x:c>
      <x:c r="H650" s="14" t="n">
        <x:v>17</x:v>
      </x:c>
      <x:c r="I650" s="14" t="n">
        <x:v>13</x:v>
      </x:c>
      <x:c r="J650" s="14" t="n">
        <x:v>11</x:v>
      </x:c>
      <x:c r="K650" s="14" t="n">
        <x:v>15</x:v>
      </x:c>
      <x:c r="L650" s="14" t="n">
        <x:v>7</x:v>
      </x:c>
      <x:c r="M650" s="14" t="n">
        <x:v>12</x:v>
      </x:c>
      <x:c r="N650" s="15" t="n">
        <x:f>IF(E650=0,"해당 없음",F650/E650)</x:f>
        <x:v>0.11538461538461539</x:v>
      </x:c>
      <x:c r="O650" s="15" t="n">
        <x:f>IF(E650=0,"해당 없음",G650/E650)</x:f>
        <x:v>0.16346153846153846</x:v>
      </x:c>
      <x:c r="P650" s="15" t="n">
        <x:f>IF(E650=0,"해당 없음",H650/E650)</x:f>
        <x:v>0.16346153846153846</x:v>
      </x:c>
      <x:c r="Q650" s="15" t="n">
        <x:f>IF(E650=0,"해당 없음",I650/E650)</x:f>
        <x:v>0.125</x:v>
      </x:c>
      <x:c r="R650" s="15" t="n">
        <x:f>IF(E650=0,"해당 없음",J650/E650)</x:f>
        <x:v>0.10576923076923077</x:v>
      </x:c>
      <x:c r="S650" s="15" t="n">
        <x:f>IF(E650=0,"해당 없음",K650/E650)</x:f>
        <x:v>0.14423076923076922</x:v>
      </x:c>
      <x:c r="T650" s="15" t="n">
        <x:f>IF(E650=0,"해당 없음",L650/E650)</x:f>
        <x:v>0.0673076923076923</x:v>
      </x:c>
      <x:c r="U650" s="15" t="n">
        <x:f>IF(E650=0,"해당 없음",M650/E650)</x:f>
        <x:v>0.11538461538461539</x:v>
      </x:c>
      <x:c r="V650" s="16" t="n">
        <x:f>E650/5</x:f>
        <x:v>20.8</x:v>
      </x:c>
    </x:row>
    <x:row r="651" ht="22" customHeight="1">
      <x:c r="A651" s="2" t="n">
        <x:v>323</x:v>
      </x:c>
      <x:c r="B651" s="2" t="str">
        <x:v>NAVY</x:v>
      </x:c>
      <x:c r="C651" s="2" t="str">
        <x:v>80만</x:v>
      </x:c>
      <x:c r="D651" s="2" t="str">
        <x:v>0만</x:v>
      </x:c>
      <x:c r="E651" s="14" t="n">
        <x:f>SUM(F651:M651)</x:f>
        <x:v>104</x:v>
      </x:c>
      <x:c r="F651" s="14" t="n">
        <x:v>2</x:v>
      </x:c>
      <x:c r="G651" s="14" t="n">
        <x:v>22</x:v>
      </x:c>
      <x:c r="H651" s="14" t="n">
        <x:v>11</x:v>
      </x:c>
      <x:c r="I651" s="14" t="n">
        <x:v>3</x:v>
      </x:c>
      <x:c r="J651" s="14" t="n">
        <x:v>3</x:v>
      </x:c>
      <x:c r="K651" s="14" t="n">
        <x:v>10</x:v>
      </x:c>
      <x:c r="L651" s="14" t="n">
        <x:v>37</x:v>
      </x:c>
      <x:c r="M651" s="14" t="n">
        <x:v>16</x:v>
      </x:c>
      <x:c r="N651" s="15" t="n">
        <x:f>IF(E651=0,"해당 없음",F651/E651)</x:f>
        <x:v>0.019230769230769232</x:v>
      </x:c>
      <x:c r="O651" s="15" t="n">
        <x:f>IF(E651=0,"해당 없음",G651/E651)</x:f>
        <x:v>0.21153846153846154</x:v>
      </x:c>
      <x:c r="P651" s="15" t="n">
        <x:f>IF(E651=0,"해당 없음",H651/E651)</x:f>
        <x:v>0.10576923076923077</x:v>
      </x:c>
      <x:c r="Q651" s="15" t="n">
        <x:f>IF(E651=0,"해당 없음",I651/E651)</x:f>
        <x:v>0.028846153846153848</x:v>
      </x:c>
      <x:c r="R651" s="15" t="n">
        <x:f>IF(E651=0,"해당 없음",J651/E651)</x:f>
        <x:v>0.028846153846153848</x:v>
      </x:c>
      <x:c r="S651" s="15" t="n">
        <x:f>IF(E651=0,"해당 없음",K651/E651)</x:f>
        <x:v>0.09615384615384616</x:v>
      </x:c>
      <x:c r="T651" s="15" t="n">
        <x:f>IF(E651=0,"해당 없음",L651/E651)</x:f>
        <x:v>0.3557692307692308</x:v>
      </x:c>
      <x:c r="U651" s="15" t="n">
        <x:f>IF(E651=0,"해당 없음",M651/E651)</x:f>
        <x:v>0.15384615384615385</x:v>
      </x:c>
      <x:c r="V651" s="16" t="n">
        <x:f>E651/5</x:f>
        <x:v>20.8</x:v>
      </x:c>
    </x:row>
    <x:row r="652" ht="22" customHeight="1">
      <x:c r="A652" s="2" t="n">
        <x:v>324</x:v>
      </x:c>
      <x:c r="B652" s="2" t="str">
        <x:v>RED</x:v>
      </x:c>
      <x:c r="C652" s="2" t="str">
        <x:v>80만</x:v>
      </x:c>
      <x:c r="D652" s="2" t="str">
        <x:v>0만</x:v>
      </x:c>
      <x:c r="E652" s="14" t="n">
        <x:f>SUM(F652:M652)</x:f>
        <x:v>104</x:v>
      </x:c>
      <x:c r="F652" s="14" t="n">
        <x:v>3</x:v>
      </x:c>
      <x:c r="G652" s="14" t="n">
        <x:v>12</x:v>
      </x:c>
      <x:c r="H652" s="14" t="n">
        <x:v>10</x:v>
      </x:c>
      <x:c r="I652" s="14" t="n">
        <x:v>7</x:v>
      </x:c>
      <x:c r="J652" s="14" t="n">
        <x:v>3</x:v>
      </x:c>
      <x:c r="K652" s="14" t="n">
        <x:v>11</x:v>
      </x:c>
      <x:c r="L652" s="14" t="n">
        <x:v>41</x:v>
      </x:c>
      <x:c r="M652" s="14" t="n">
        <x:v>17</x:v>
      </x:c>
      <x:c r="N652" s="15" t="n">
        <x:f>IF(E652=0,"해당 없음",F652/E652)</x:f>
        <x:v>0.028846153846153848</x:v>
      </x:c>
      <x:c r="O652" s="15" t="n">
        <x:f>IF(E652=0,"해당 없음",G652/E652)</x:f>
        <x:v>0.11538461538461539</x:v>
      </x:c>
      <x:c r="P652" s="15" t="n">
        <x:f>IF(E652=0,"해당 없음",H652/E652)</x:f>
        <x:v>0.09615384615384616</x:v>
      </x:c>
      <x:c r="Q652" s="15" t="n">
        <x:f>IF(E652=0,"해당 없음",I652/E652)</x:f>
        <x:v>0.0673076923076923</x:v>
      </x:c>
      <x:c r="R652" s="15" t="n">
        <x:f>IF(E652=0,"해당 없음",J652/E652)</x:f>
        <x:v>0.028846153846153848</x:v>
      </x:c>
      <x:c r="S652" s="15" t="n">
        <x:f>IF(E652=0,"해당 없음",K652/E652)</x:f>
        <x:v>0.10576923076923077</x:v>
      </x:c>
      <x:c r="T652" s="15" t="n">
        <x:f>IF(E652=0,"해당 없음",L652/E652)</x:f>
        <x:v>0.3942307692307692</x:v>
      </x:c>
      <x:c r="U652" s="15" t="n">
        <x:f>IF(E652=0,"해당 없음",M652/E652)</x:f>
        <x:v>0.16346153846153846</x:v>
      </x:c>
      <x:c r="V652" s="16" t="n">
        <x:f>E652/5</x:f>
        <x:v>20.8</x:v>
      </x:c>
    </x:row>
    <x:row r="653" ht="22" customHeight="1">
      <x:c r="A653" s="2" t="n">
        <x:v>324</x:v>
      </x:c>
      <x:c r="B653" s="2" t="str">
        <x:v>NAVY</x:v>
      </x:c>
      <x:c r="C653" s="2" t="str">
        <x:v>0만</x:v>
      </x:c>
      <x:c r="D653" s="2" t="str">
        <x:v>80만</x:v>
      </x:c>
      <x:c r="E653" s="14" t="n">
        <x:f>SUM(F653:M653)</x:f>
        <x:v>105</x:v>
      </x:c>
      <x:c r="F653" s="14" t="n">
        <x:v>12</x:v>
      </x:c>
      <x:c r="G653" s="14" t="n">
        <x:v>18</x:v>
      </x:c>
      <x:c r="H653" s="14" t="n">
        <x:v>17</x:v>
      </x:c>
      <x:c r="I653" s="14" t="n">
        <x:v>13</x:v>
      </x:c>
      <x:c r="J653" s="14" t="n">
        <x:v>11</x:v>
      </x:c>
      <x:c r="K653" s="14" t="n">
        <x:v>15</x:v>
      </x:c>
      <x:c r="L653" s="14" t="n">
        <x:v>8</x:v>
      </x:c>
      <x:c r="M653" s="14" t="n">
        <x:v>11</x:v>
      </x:c>
      <x:c r="N653" s="15" t="n">
        <x:f>IF(E653=0,"해당 없음",F653/E653)</x:f>
        <x:v>0.11428571428571428</x:v>
      </x:c>
      <x:c r="O653" s="15" t="n">
        <x:f>IF(E653=0,"해당 없음",G653/E653)</x:f>
        <x:v>0.17142857142857143</x:v>
      </x:c>
      <x:c r="P653" s="15" t="n">
        <x:f>IF(E653=0,"해당 없음",H653/E653)</x:f>
        <x:v>0.1619047619047619</x:v>
      </x:c>
      <x:c r="Q653" s="15" t="n">
        <x:f>IF(E653=0,"해당 없음",I653/E653)</x:f>
        <x:v>0.12380952380952381</x:v>
      </x:c>
      <x:c r="R653" s="15" t="n">
        <x:f>IF(E653=0,"해당 없음",J653/E653)</x:f>
        <x:v>0.10476190476190476</x:v>
      </x:c>
      <x:c r="S653" s="15" t="n">
        <x:f>IF(E653=0,"해당 없음",K653/E653)</x:f>
        <x:v>0.14285714285714285</x:v>
      </x:c>
      <x:c r="T653" s="15" t="n">
        <x:f>IF(E653=0,"해당 없음",L653/E653)</x:f>
        <x:v>0.0761904761904762</x:v>
      </x:c>
      <x:c r="U653" s="15" t="n">
        <x:f>IF(E653=0,"해당 없음",M653/E653)</x:f>
        <x:v>0.10476190476190476</x:v>
      </x:c>
      <x:c r="V653" s="16" t="n">
        <x:f>E653/5</x:f>
        <x:v>21</x:v>
      </x:c>
    </x:row>
    <x:row r="654" ht="22" customHeight="1">
      <x:c r="A654" s="2" t="n">
        <x:v>325</x:v>
      </x:c>
      <x:c r="B654" s="2" t="str">
        <x:v>RED</x:v>
      </x:c>
      <x:c r="C654" s="2" t="str">
        <x:v>0만</x:v>
      </x:c>
      <x:c r="D654" s="2" t="str">
        <x:v>80만</x:v>
      </x:c>
      <x:c r="E654" s="14" t="n">
        <x:f>SUM(F654:M654)</x:f>
        <x:v>104</x:v>
      </x:c>
      <x:c r="F654" s="14" t="n">
        <x:v>11</x:v>
      </x:c>
      <x:c r="G654" s="14" t="n">
        <x:v>17</x:v>
      </x:c>
      <x:c r="H654" s="14" t="n">
        <x:v>15</x:v>
      </x:c>
      <x:c r="I654" s="14" t="n">
        <x:v>17</x:v>
      </x:c>
      <x:c r="J654" s="14" t="n">
        <x:v>14</x:v>
      </x:c>
      <x:c r="K654" s="14" t="n">
        <x:v>10</x:v>
      </x:c>
      <x:c r="L654" s="14" t="n">
        <x:v>12</x:v>
      </x:c>
      <x:c r="M654" s="14" t="n">
        <x:v>8</x:v>
      </x:c>
      <x:c r="N654" s="15" t="n">
        <x:f>IF(E654=0,"해당 없음",F654/E654)</x:f>
        <x:v>0.10576923076923077</x:v>
      </x:c>
      <x:c r="O654" s="15" t="n">
        <x:f>IF(E654=0,"해당 없음",G654/E654)</x:f>
        <x:v>0.16346153846153846</x:v>
      </x:c>
      <x:c r="P654" s="15" t="n">
        <x:f>IF(E654=0,"해당 없음",H654/E654)</x:f>
        <x:v>0.14423076923076922</x:v>
      </x:c>
      <x:c r="Q654" s="15" t="n">
        <x:f>IF(E654=0,"해당 없음",I654/E654)</x:f>
        <x:v>0.16346153846153846</x:v>
      </x:c>
      <x:c r="R654" s="15" t="n">
        <x:f>IF(E654=0,"해당 없음",J654/E654)</x:f>
        <x:v>0.1346153846153846</x:v>
      </x:c>
      <x:c r="S654" s="15" t="n">
        <x:f>IF(E654=0,"해당 없음",K654/E654)</x:f>
        <x:v>0.09615384615384616</x:v>
      </x:c>
      <x:c r="T654" s="15" t="n">
        <x:f>IF(E654=0,"해당 없음",L654/E654)</x:f>
        <x:v>0.11538461538461539</x:v>
      </x:c>
      <x:c r="U654" s="15" t="n">
        <x:f>IF(E654=0,"해당 없음",M654/E654)</x:f>
        <x:v>0.07692307692307693</x:v>
      </x:c>
      <x:c r="V654" s="16" t="n">
        <x:f>E654/5</x:f>
        <x:v>20.8</x:v>
      </x:c>
    </x:row>
    <x:row r="655" ht="22" customHeight="1">
      <x:c r="A655" s="2" t="n">
        <x:v>325</x:v>
      </x:c>
      <x:c r="B655" s="2" t="str">
        <x:v>NAVY</x:v>
      </x:c>
      <x:c r="C655" s="2" t="str">
        <x:v>80만</x:v>
      </x:c>
      <x:c r="D655" s="2" t="str">
        <x:v>0만</x:v>
      </x:c>
      <x:c r="E655" s="14" t="n">
        <x:f>SUM(F655:M655)</x:f>
        <x:v>104</x:v>
      </x:c>
      <x:c r="F655" s="14" t="n">
        <x:v>4</x:v>
      </x:c>
      <x:c r="G655" s="14" t="n">
        <x:v>14</x:v>
      </x:c>
      <x:c r="H655" s="14" t="n">
        <x:v>17</x:v>
      </x:c>
      <x:c r="I655" s="14" t="n">
        <x:v>8</x:v>
      </x:c>
      <x:c r="J655" s="14" t="n">
        <x:v>0</x:v>
      </x:c>
      <x:c r="K655" s="14" t="n">
        <x:v>16</x:v>
      </x:c>
      <x:c r="L655" s="14" t="n">
        <x:v>38</x:v>
      </x:c>
      <x:c r="M655" s="14" t="n">
        <x:v>7</x:v>
      </x:c>
      <x:c r="N655" s="15" t="n">
        <x:f>IF(E655=0,"해당 없음",F655/E655)</x:f>
        <x:v>0.038461538461538464</x:v>
      </x:c>
      <x:c r="O655" s="15" t="n">
        <x:f>IF(E655=0,"해당 없음",G655/E655)</x:f>
        <x:v>0.1346153846153846</x:v>
      </x:c>
      <x:c r="P655" s="15" t="n">
        <x:f>IF(E655=0,"해당 없음",H655/E655)</x:f>
        <x:v>0.16346153846153846</x:v>
      </x:c>
      <x:c r="Q655" s="15" t="n">
        <x:f>IF(E655=0,"해당 없음",I655/E655)</x:f>
        <x:v>0.07692307692307693</x:v>
      </x:c>
      <x:c r="R655" s="15" t="n">
        <x:f>IF(E655=0,"해당 없음",J655/E655)</x:f>
        <x:v>0</x:v>
      </x:c>
      <x:c r="S655" s="15" t="n">
        <x:f>IF(E655=0,"해당 없음",K655/E655)</x:f>
        <x:v>0.15384615384615385</x:v>
      </x:c>
      <x:c r="T655" s="15" t="n">
        <x:f>IF(E655=0,"해당 없음",L655/E655)</x:f>
        <x:v>0.36538461538461536</x:v>
      </x:c>
      <x:c r="U655" s="15" t="n">
        <x:f>IF(E655=0,"해당 없음",M655/E655)</x:f>
        <x:v>0.0673076923076923</x:v>
      </x:c>
      <x:c r="V655" s="16" t="n">
        <x:f>E655/5</x:f>
        <x:v>20.8</x:v>
      </x:c>
    </x:row>
    <x:row r="656" ht="22" customHeight="1">
      <x:c r="A656" s="2" t="n">
        <x:v>326</x:v>
      </x:c>
      <x:c r="B656" s="2" t="str">
        <x:v>RED</x:v>
      </x:c>
      <x:c r="C656" s="2" t="str">
        <x:v>80만</x:v>
      </x:c>
      <x:c r="D656" s="2" t="str">
        <x:v>0만</x:v>
      </x:c>
      <x:c r="E656" s="14" t="n">
        <x:f>SUM(F656:M656)</x:f>
        <x:v>107</x:v>
      </x:c>
      <x:c r="F656" s="14" t="n">
        <x:v>4</x:v>
      </x:c>
      <x:c r="G656" s="14" t="n">
        <x:v>22</x:v>
      </x:c>
      <x:c r="H656" s="14" t="n">
        <x:v>9</x:v>
      </x:c>
      <x:c r="I656" s="14" t="n">
        <x:v>5</x:v>
      </x:c>
      <x:c r="J656" s="14" t="n">
        <x:v>6</x:v>
      </x:c>
      <x:c r="K656" s="14" t="n">
        <x:v>14</x:v>
      </x:c>
      <x:c r="L656" s="14" t="n">
        <x:v>37</x:v>
      </x:c>
      <x:c r="M656" s="14" t="n">
        <x:v>10</x:v>
      </x:c>
      <x:c r="N656" s="15" t="n">
        <x:f>IF(E656=0,"해당 없음",F656/E656)</x:f>
        <x:v>0.037383177570093455</x:v>
      </x:c>
      <x:c r="O656" s="15" t="n">
        <x:f>IF(E656=0,"해당 없음",G656/E656)</x:f>
        <x:v>0.205607476635514</x:v>
      </x:c>
      <x:c r="P656" s="15" t="n">
        <x:f>IF(E656=0,"해당 없음",H656/E656)</x:f>
        <x:v>0.08411214953271028</x:v>
      </x:c>
      <x:c r="Q656" s="15" t="n">
        <x:f>IF(E656=0,"해당 없음",I656/E656)</x:f>
        <x:v>0.04672897196261682</x:v>
      </x:c>
      <x:c r="R656" s="15" t="n">
        <x:f>IF(E656=0,"해당 없음",J656/E656)</x:f>
        <x:v>0.056074766355140186</x:v>
      </x:c>
      <x:c r="S656" s="15" t="n">
        <x:f>IF(E656=0,"해당 없음",K656/E656)</x:f>
        <x:v>0.1308411214953271</x:v>
      </x:c>
      <x:c r="T656" s="15" t="n">
        <x:f>IF(E656=0,"해당 없음",L656/E656)</x:f>
        <x:v>0.34579439252336447</x:v>
      </x:c>
      <x:c r="U656" s="15" t="n">
        <x:f>IF(E656=0,"해당 없음",M656/E656)</x:f>
        <x:v>0.09345794392523364</x:v>
      </x:c>
      <x:c r="V656" s="16" t="n">
        <x:f>E656/5</x:f>
        <x:v>21.4</x:v>
      </x:c>
    </x:row>
    <x:row r="657" ht="22" customHeight="1">
      <x:c r="A657" s="2" t="n">
        <x:v>326</x:v>
      </x:c>
      <x:c r="B657" s="2" t="str">
        <x:v>NAVY</x:v>
      </x:c>
      <x:c r="C657" s="2" t="str">
        <x:v>0만</x:v>
      </x:c>
      <x:c r="D657" s="2" t="str">
        <x:v>80만</x:v>
      </x:c>
      <x:c r="E657" s="14" t="n">
        <x:f>SUM(F657:M657)</x:f>
        <x:v>107</x:v>
      </x:c>
      <x:c r="F657" s="14" t="n">
        <x:v>11</x:v>
      </x:c>
      <x:c r="G657" s="14" t="n">
        <x:v>17</x:v>
      </x:c>
      <x:c r="H657" s="14" t="n">
        <x:v>15</x:v>
      </x:c>
      <x:c r="I657" s="14" t="n">
        <x:v>18</x:v>
      </x:c>
      <x:c r="J657" s="14" t="n">
        <x:v>14</x:v>
      </x:c>
      <x:c r="K657" s="14" t="n">
        <x:v>11</x:v>
      </x:c>
      <x:c r="L657" s="14" t="n">
        <x:v>12</x:v>
      </x:c>
      <x:c r="M657" s="14" t="n">
        <x:v>9</x:v>
      </x:c>
      <x:c r="N657" s="15" t="n">
        <x:f>IF(E657=0,"해당 없음",F657/E657)</x:f>
        <x:v>0.102803738317757</x:v>
      </x:c>
      <x:c r="O657" s="15" t="n">
        <x:f>IF(E657=0,"해당 없음",G657/E657)</x:f>
        <x:v>0.1588785046728972</x:v>
      </x:c>
      <x:c r="P657" s="15" t="n">
        <x:f>IF(E657=0,"해당 없음",H657/E657)</x:f>
        <x:v>0.14018691588785046</x:v>
      </x:c>
      <x:c r="Q657" s="15" t="n">
        <x:f>IF(E657=0,"해당 없음",I657/E657)</x:f>
        <x:v>0.16822429906542055</x:v>
      </x:c>
      <x:c r="R657" s="15" t="n">
        <x:f>IF(E657=0,"해당 없음",J657/E657)</x:f>
        <x:v>0.1308411214953271</x:v>
      </x:c>
      <x:c r="S657" s="15" t="n">
        <x:f>IF(E657=0,"해당 없음",K657/E657)</x:f>
        <x:v>0.102803738317757</x:v>
      </x:c>
      <x:c r="T657" s="15" t="n">
        <x:f>IF(E657=0,"해당 없음",L657/E657)</x:f>
        <x:v>0.11214953271028037</x:v>
      </x:c>
      <x:c r="U657" s="15" t="n">
        <x:f>IF(E657=0,"해당 없음",M657/E657)</x:f>
        <x:v>0.08411214953271028</x:v>
      </x:c>
      <x:c r="V657" s="16" t="n">
        <x:f>E657/5</x:f>
        <x:v>21.4</x:v>
      </x:c>
    </x:row>
    <x:row r="658" ht="22" customHeight="1">
      <x:c r="A658" s="2" t="n">
        <x:v>327</x:v>
      </x:c>
      <x:c r="B658" s="2" t="str">
        <x:v>RED</x:v>
      </x:c>
      <x:c r="C658" s="2" t="str">
        <x:v>0만</x:v>
      </x:c>
      <x:c r="D658" s="2" t="str">
        <x:v>80만</x:v>
      </x:c>
      <x:c r="E658" s="14" t="n">
        <x:f>SUM(F658:M658)</x:f>
        <x:v>105</x:v>
      </x:c>
      <x:c r="F658" s="14" t="n">
        <x:v>9</x:v>
      </x:c>
      <x:c r="G658" s="14" t="n">
        <x:v>13</x:v>
      </x:c>
      <x:c r="H658" s="14" t="n">
        <x:v>16</x:v>
      </x:c>
      <x:c r="I658" s="14" t="n">
        <x:v>17</x:v>
      </x:c>
      <x:c r="J658" s="14" t="n">
        <x:v>11</x:v>
      </x:c>
      <x:c r="K658" s="14" t="n">
        <x:v>18</x:v>
      </x:c>
      <x:c r="L658" s="14" t="n">
        <x:v>8</x:v>
      </x:c>
      <x:c r="M658" s="14" t="n">
        <x:v>13</x:v>
      </x:c>
      <x:c r="N658" s="15" t="n">
        <x:f>IF(E658=0,"해당 없음",F658/E658)</x:f>
        <x:v>0.08571428571428572</x:v>
      </x:c>
      <x:c r="O658" s="15" t="n">
        <x:f>IF(E658=0,"해당 없음",G658/E658)</x:f>
        <x:v>0.12380952380952381</x:v>
      </x:c>
      <x:c r="P658" s="15" t="n">
        <x:f>IF(E658=0,"해당 없음",H658/E658)</x:f>
        <x:v>0.1523809523809524</x:v>
      </x:c>
      <x:c r="Q658" s="15" t="n">
        <x:f>IF(E658=0,"해당 없음",I658/E658)</x:f>
        <x:v>0.1619047619047619</x:v>
      </x:c>
      <x:c r="R658" s="15" t="n">
        <x:f>IF(E658=0,"해당 없음",J658/E658)</x:f>
        <x:v>0.10476190476190476</x:v>
      </x:c>
      <x:c r="S658" s="15" t="n">
        <x:f>IF(E658=0,"해당 없음",K658/E658)</x:f>
        <x:v>0.17142857142857143</x:v>
      </x:c>
      <x:c r="T658" s="15" t="n">
        <x:f>IF(E658=0,"해당 없음",L658/E658)</x:f>
        <x:v>0.0761904761904762</x:v>
      </x:c>
      <x:c r="U658" s="15" t="n">
        <x:f>IF(E658=0,"해당 없음",M658/E658)</x:f>
        <x:v>0.12380952380952381</x:v>
      </x:c>
      <x:c r="V658" s="16" t="n">
        <x:f>E658/5</x:f>
        <x:v>21</x:v>
      </x:c>
    </x:row>
    <x:row r="659" ht="22" customHeight="1">
      <x:c r="A659" s="2" t="n">
        <x:v>327</x:v>
      </x:c>
      <x:c r="B659" s="2" t="str">
        <x:v>NAVY</x:v>
      </x:c>
      <x:c r="C659" s="2" t="str">
        <x:v>80만</x:v>
      </x:c>
      <x:c r="D659" s="2" t="str">
        <x:v>0만</x:v>
      </x:c>
      <x:c r="E659" s="14" t="n">
        <x:f>SUM(F659:M659)</x:f>
        <x:v>106</x:v>
      </x:c>
      <x:c r="F659" s="14" t="n">
        <x:v>5</x:v>
      </x:c>
      <x:c r="G659" s="14" t="n">
        <x:v>18</x:v>
      </x:c>
      <x:c r="H659" s="14" t="n">
        <x:v>11</x:v>
      </x:c>
      <x:c r="I659" s="14" t="n">
        <x:v>8</x:v>
      </x:c>
      <x:c r="J659" s="14" t="n">
        <x:v>2</x:v>
      </x:c>
      <x:c r="K659" s="14" t="n">
        <x:v>12</x:v>
      </x:c>
      <x:c r="L659" s="14" t="n">
        <x:v>38</x:v>
      </x:c>
      <x:c r="M659" s="14" t="n">
        <x:v>12</x:v>
      </x:c>
      <x:c r="N659" s="15" t="n">
        <x:f>IF(E659=0,"해당 없음",F659/E659)</x:f>
        <x:v>0.04716981132075472</x:v>
      </x:c>
      <x:c r="O659" s="15" t="n">
        <x:f>IF(E659=0,"해당 없음",G659/E659)</x:f>
        <x:v>0.16981132075471697</x:v>
      </x:c>
      <x:c r="P659" s="15" t="n">
        <x:f>IF(E659=0,"해당 없음",H659/E659)</x:f>
        <x:v>0.10377358490566038</x:v>
      </x:c>
      <x:c r="Q659" s="15" t="n">
        <x:f>IF(E659=0,"해당 없음",I659/E659)</x:f>
        <x:v>0.07547169811320754</x:v>
      </x:c>
      <x:c r="R659" s="15" t="n">
        <x:f>IF(E659=0,"해당 없음",J659/E659)</x:f>
        <x:v>0.018867924528301886</x:v>
      </x:c>
      <x:c r="S659" s="15" t="n">
        <x:f>IF(E659=0,"해당 없음",K659/E659)</x:f>
        <x:v>0.11320754716981132</x:v>
      </x:c>
      <x:c r="T659" s="15" t="n">
        <x:f>IF(E659=0,"해당 없음",L659/E659)</x:f>
        <x:v>0.3584905660377358</x:v>
      </x:c>
      <x:c r="U659" s="15" t="n">
        <x:f>IF(E659=0,"해당 없음",M659/E659)</x:f>
        <x:v>0.11320754716981132</x:v>
      </x:c>
      <x:c r="V659" s="16" t="n">
        <x:f>E659/5</x:f>
        <x:v>21.2</x:v>
      </x:c>
    </x:row>
    <x:row r="660" ht="22" customHeight="1">
      <x:c r="A660" s="2" t="n">
        <x:v>328</x:v>
      </x:c>
      <x:c r="B660" s="2" t="str">
        <x:v>RED</x:v>
      </x:c>
      <x:c r="C660" s="2" t="str">
        <x:v>80만</x:v>
      </x:c>
      <x:c r="D660" s="2" t="str">
        <x:v>0만</x:v>
      </x:c>
      <x:c r="E660" s="14" t="n">
        <x:f>SUM(F660:M660)</x:f>
        <x:v>104</x:v>
      </x:c>
      <x:c r="F660" s="14" t="n">
        <x:v>1</x:v>
      </x:c>
      <x:c r="G660" s="14" t="n">
        <x:v>21</x:v>
      </x:c>
      <x:c r="H660" s="14" t="n">
        <x:v>9</x:v>
      </x:c>
      <x:c r="I660" s="14" t="n">
        <x:v>12</x:v>
      </x:c>
      <x:c r="J660" s="14" t="n">
        <x:v>1</x:v>
      </x:c>
      <x:c r="K660" s="14" t="n">
        <x:v>14</x:v>
      </x:c>
      <x:c r="L660" s="14" t="n">
        <x:v>35</x:v>
      </x:c>
      <x:c r="M660" s="14" t="n">
        <x:v>11</x:v>
      </x:c>
      <x:c r="N660" s="15" t="n">
        <x:f>IF(E660=0,"해당 없음",F660/E660)</x:f>
        <x:v>0.009615384615384616</x:v>
      </x:c>
      <x:c r="O660" s="15" t="n">
        <x:f>IF(E660=0,"해당 없음",G660/E660)</x:f>
        <x:v>0.20192307692307693</x:v>
      </x:c>
      <x:c r="P660" s="15" t="n">
        <x:f>IF(E660=0,"해당 없음",H660/E660)</x:f>
        <x:v>0.08653846153846154</x:v>
      </x:c>
      <x:c r="Q660" s="15" t="n">
        <x:f>IF(E660=0,"해당 없음",I660/E660)</x:f>
        <x:v>0.11538461538461539</x:v>
      </x:c>
      <x:c r="R660" s="15" t="n">
        <x:f>IF(E660=0,"해당 없음",J660/E660)</x:f>
        <x:v>0.009615384615384616</x:v>
      </x:c>
      <x:c r="S660" s="15" t="n">
        <x:f>IF(E660=0,"해당 없음",K660/E660)</x:f>
        <x:v>0.1346153846153846</x:v>
      </x:c>
      <x:c r="T660" s="15" t="n">
        <x:f>IF(E660=0,"해당 없음",L660/E660)</x:f>
        <x:v>0.33653846153846156</x:v>
      </x:c>
      <x:c r="U660" s="15" t="n">
        <x:f>IF(E660=0,"해당 없음",M660/E660)</x:f>
        <x:v>0.10576923076923077</x:v>
      </x:c>
      <x:c r="V660" s="16" t="n">
        <x:f>E660/5</x:f>
        <x:v>20.8</x:v>
      </x:c>
    </x:row>
    <x:row r="661" ht="22" customHeight="1">
      <x:c r="A661" s="2" t="n">
        <x:v>328</x:v>
      </x:c>
      <x:c r="B661" s="2" t="str">
        <x:v>NAVY</x:v>
      </x:c>
      <x:c r="C661" s="2" t="str">
        <x:v>0만</x:v>
      </x:c>
      <x:c r="D661" s="2" t="str">
        <x:v>80만</x:v>
      </x:c>
      <x:c r="E661" s="14" t="n">
        <x:f>SUM(F661:M661)</x:f>
        <x:v>104</x:v>
      </x:c>
      <x:c r="F661" s="14" t="n">
        <x:v>8</x:v>
      </x:c>
      <x:c r="G661" s="14" t="n">
        <x:v>13</x:v>
      </x:c>
      <x:c r="H661" s="14" t="n">
        <x:v>16</x:v>
      </x:c>
      <x:c r="I661" s="14" t="n">
        <x:v>17</x:v>
      </x:c>
      <x:c r="J661" s="14" t="n">
        <x:v>11</x:v>
      </x:c>
      <x:c r="K661" s="14" t="n">
        <x:v>18</x:v>
      </x:c>
      <x:c r="L661" s="14" t="n">
        <x:v>8</x:v>
      </x:c>
      <x:c r="M661" s="14" t="n">
        <x:v>13</x:v>
      </x:c>
      <x:c r="N661" s="15" t="n">
        <x:f>IF(E661=0,"해당 없음",F661/E661)</x:f>
        <x:v>0.07692307692307693</x:v>
      </x:c>
      <x:c r="O661" s="15" t="n">
        <x:f>IF(E661=0,"해당 없음",G661/E661)</x:f>
        <x:v>0.125</x:v>
      </x:c>
      <x:c r="P661" s="15" t="n">
        <x:f>IF(E661=0,"해당 없음",H661/E661)</x:f>
        <x:v>0.15384615384615385</x:v>
      </x:c>
      <x:c r="Q661" s="15" t="n">
        <x:f>IF(E661=0,"해당 없음",I661/E661)</x:f>
        <x:v>0.16346153846153846</x:v>
      </x:c>
      <x:c r="R661" s="15" t="n">
        <x:f>IF(E661=0,"해당 없음",J661/E661)</x:f>
        <x:v>0.10576923076923077</x:v>
      </x:c>
      <x:c r="S661" s="15" t="n">
        <x:f>IF(E661=0,"해당 없음",K661/E661)</x:f>
        <x:v>0.17307692307692307</x:v>
      </x:c>
      <x:c r="T661" s="15" t="n">
        <x:f>IF(E661=0,"해당 없음",L661/E661)</x:f>
        <x:v>0.07692307692307693</x:v>
      </x:c>
      <x:c r="U661" s="15" t="n">
        <x:f>IF(E661=0,"해당 없음",M661/E661)</x:f>
        <x:v>0.125</x:v>
      </x:c>
      <x:c r="V661" s="16" t="n">
        <x:f>E661/5</x:f>
        <x:v>20.8</x:v>
      </x:c>
    </x:row>
    <x:row r="662" ht="22" customHeight="1">
      <x:c r="A662" s="2" t="n">
        <x:v>329</x:v>
      </x:c>
      <x:c r="B662" s="2" t="str">
        <x:v>RED</x:v>
      </x:c>
      <x:c r="C662" s="2" t="str">
        <x:v>0만</x:v>
      </x:c>
      <x:c r="D662" s="2" t="str">
        <x:v>80만</x:v>
      </x:c>
      <x:c r="E662" s="14" t="n">
        <x:f>SUM(F662:M662)</x:f>
        <x:v>105</x:v>
      </x:c>
      <x:c r="F662" s="14" t="n">
        <x:v>9</x:v>
      </x:c>
      <x:c r="G662" s="14" t="n">
        <x:v>9</x:v>
      </x:c>
      <x:c r="H662" s="14" t="n">
        <x:v>13</x:v>
      </x:c>
      <x:c r="I662" s="14" t="n">
        <x:v>12</x:v>
      </x:c>
      <x:c r="J662" s="14" t="n">
        <x:v>13</x:v>
      </x:c>
      <x:c r="K662" s="14" t="n">
        <x:v>17</x:v>
      </x:c>
      <x:c r="L662" s="14" t="n">
        <x:v>14</x:v>
      </x:c>
      <x:c r="M662" s="14" t="n">
        <x:v>18</x:v>
      </x:c>
      <x:c r="N662" s="15" t="n">
        <x:f>IF(E662=0,"해당 없음",F662/E662)</x:f>
        <x:v>0.08571428571428572</x:v>
      </x:c>
      <x:c r="O662" s="15" t="n">
        <x:f>IF(E662=0,"해당 없음",G662/E662)</x:f>
        <x:v>0.08571428571428572</x:v>
      </x:c>
      <x:c r="P662" s="15" t="n">
        <x:f>IF(E662=0,"해당 없음",H662/E662)</x:f>
        <x:v>0.12380952380952381</x:v>
      </x:c>
      <x:c r="Q662" s="15" t="n">
        <x:f>IF(E662=0,"해당 없음",I662/E662)</x:f>
        <x:v>0.11428571428571428</x:v>
      </x:c>
      <x:c r="R662" s="15" t="n">
        <x:f>IF(E662=0,"해당 없음",J662/E662)</x:f>
        <x:v>0.12380952380952381</x:v>
      </x:c>
      <x:c r="S662" s="15" t="n">
        <x:f>IF(E662=0,"해당 없음",K662/E662)</x:f>
        <x:v>0.1619047619047619</x:v>
      </x:c>
      <x:c r="T662" s="15" t="n">
        <x:f>IF(E662=0,"해당 없음",L662/E662)</x:f>
        <x:v>0.13333333333333333</x:v>
      </x:c>
      <x:c r="U662" s="15" t="n">
        <x:f>IF(E662=0,"해당 없음",M662/E662)</x:f>
        <x:v>0.17142857142857143</x:v>
      </x:c>
      <x:c r="V662" s="16" t="n">
        <x:f>E662/5</x:f>
        <x:v>21</x:v>
      </x:c>
    </x:row>
    <x:row r="663" ht="22" customHeight="1">
      <x:c r="A663" s="2" t="n">
        <x:v>329</x:v>
      </x:c>
      <x:c r="B663" s="2" t="str">
        <x:v>NAVY</x:v>
      </x:c>
      <x:c r="C663" s="2" t="str">
        <x:v>80만</x:v>
      </x:c>
      <x:c r="D663" s="2" t="str">
        <x:v>0만</x:v>
      </x:c>
      <x:c r="E663" s="14" t="n">
        <x:f>SUM(F663:M663)</x:f>
        <x:v>105</x:v>
      </x:c>
      <x:c r="F663" s="14" t="n">
        <x:v>5</x:v>
      </x:c>
      <x:c r="G663" s="14" t="n">
        <x:v>11</x:v>
      </x:c>
      <x:c r="H663" s="14" t="n">
        <x:v>13</x:v>
      </x:c>
      <x:c r="I663" s="14" t="n">
        <x:v>7</x:v>
      </x:c>
      <x:c r="J663" s="14" t="n">
        <x:v>4</x:v>
      </x:c>
      <x:c r="K663" s="14" t="n">
        <x:v>13</x:v>
      </x:c>
      <x:c r="L663" s="14" t="n">
        <x:v>41</x:v>
      </x:c>
      <x:c r="M663" s="14" t="n">
        <x:v>11</x:v>
      </x:c>
      <x:c r="N663" s="15" t="n">
        <x:f>IF(E663=0,"해당 없음",F663/E663)</x:f>
        <x:v>0.047619047619047616</x:v>
      </x:c>
      <x:c r="O663" s="15" t="n">
        <x:f>IF(E663=0,"해당 없음",G663/E663)</x:f>
        <x:v>0.10476190476190476</x:v>
      </x:c>
      <x:c r="P663" s="15" t="n">
        <x:f>IF(E663=0,"해당 없음",H663/E663)</x:f>
        <x:v>0.12380952380952381</x:v>
      </x:c>
      <x:c r="Q663" s="15" t="n">
        <x:f>IF(E663=0,"해당 없음",I663/E663)</x:f>
        <x:v>0.06666666666666667</x:v>
      </x:c>
      <x:c r="R663" s="15" t="n">
        <x:f>IF(E663=0,"해당 없음",J663/E663)</x:f>
        <x:v>0.0380952380952381</x:v>
      </x:c>
      <x:c r="S663" s="15" t="n">
        <x:f>IF(E663=0,"해당 없음",K663/E663)</x:f>
        <x:v>0.12380952380952381</x:v>
      </x:c>
      <x:c r="T663" s="15" t="n">
        <x:f>IF(E663=0,"해당 없음",L663/E663)</x:f>
        <x:v>0.3904761904761905</x:v>
      </x:c>
      <x:c r="U663" s="15" t="n">
        <x:f>IF(E663=0,"해당 없음",M663/E663)</x:f>
        <x:v>0.10476190476190476</x:v>
      </x:c>
      <x:c r="V663" s="16" t="n">
        <x:f>E663/5</x:f>
        <x:v>21</x:v>
      </x:c>
    </x:row>
    <x:row r="664" ht="22" customHeight="1">
      <x:c r="A664" s="2" t="n">
        <x:v>330</x:v>
      </x:c>
      <x:c r="B664" s="2" t="str">
        <x:v>RED</x:v>
      </x:c>
      <x:c r="C664" s="2" t="str">
        <x:v>80만</x:v>
      </x:c>
      <x:c r="D664" s="2" t="str">
        <x:v>0만</x:v>
      </x:c>
      <x:c r="E664" s="14" t="n">
        <x:f>SUM(F664:M664)</x:f>
        <x:v>103</x:v>
      </x:c>
      <x:c r="F664" s="14" t="n">
        <x:v>5</x:v>
      </x:c>
      <x:c r="G664" s="14" t="n">
        <x:v>19</x:v>
      </x:c>
      <x:c r="H664" s="14" t="n">
        <x:v>11</x:v>
      </x:c>
      <x:c r="I664" s="14" t="n">
        <x:v>4</x:v>
      </x:c>
      <x:c r="J664" s="14" t="n">
        <x:v>1</x:v>
      </x:c>
      <x:c r="K664" s="14" t="n">
        <x:v>7</x:v>
      </x:c>
      <x:c r="L664" s="14" t="n">
        <x:v>33</x:v>
      </x:c>
      <x:c r="M664" s="14" t="n">
        <x:v>23</x:v>
      </x:c>
      <x:c r="N664" s="15" t="n">
        <x:f>IF(E664=0,"해당 없음",F664/E664)</x:f>
        <x:v>0.04854368932038835</x:v>
      </x:c>
      <x:c r="O664" s="15" t="n">
        <x:f>IF(E664=0,"해당 없음",G664/E664)</x:f>
        <x:v>0.18446601941747573</x:v>
      </x:c>
      <x:c r="P664" s="15" t="n">
        <x:f>IF(E664=0,"해당 없음",H664/E664)</x:f>
        <x:v>0.10679611650485436</x:v>
      </x:c>
      <x:c r="Q664" s="15" t="n">
        <x:f>IF(E664=0,"해당 없음",I664/E664)</x:f>
        <x:v>0.038834951456310676</x:v>
      </x:c>
      <x:c r="R664" s="15" t="n">
        <x:f>IF(E664=0,"해당 없음",J664/E664)</x:f>
        <x:v>0.009708737864077669</x:v>
      </x:c>
      <x:c r="S664" s="15" t="n">
        <x:f>IF(E664=0,"해당 없음",K664/E664)</x:f>
        <x:v>0.06796116504854369</x:v>
      </x:c>
      <x:c r="T664" s="15" t="n">
        <x:f>IF(E664=0,"해당 없음",L664/E664)</x:f>
        <x:v>0.32038834951456313</x:v>
      </x:c>
      <x:c r="U664" s="15" t="n">
        <x:f>IF(E664=0,"해당 없음",M664/E664)</x:f>
        <x:v>0.22330097087378642</x:v>
      </x:c>
      <x:c r="V664" s="16" t="n">
        <x:f>E664/5</x:f>
        <x:v>20.6</x:v>
      </x:c>
    </x:row>
    <x:row r="665" ht="22" customHeight="1">
      <x:c r="A665" s="2" t="n">
        <x:v>330</x:v>
      </x:c>
      <x:c r="B665" s="2" t="str">
        <x:v>NAVY</x:v>
      </x:c>
      <x:c r="C665" s="2" t="str">
        <x:v>0만</x:v>
      </x:c>
      <x:c r="D665" s="2" t="str">
        <x:v>80만</x:v>
      </x:c>
      <x:c r="E665" s="14" t="n">
        <x:f>SUM(F665:M665)</x:f>
        <x:v>103</x:v>
      </x:c>
      <x:c r="F665" s="14" t="n">
        <x:v>9</x:v>
      </x:c>
      <x:c r="G665" s="14" t="n">
        <x:v>9</x:v>
      </x:c>
      <x:c r="H665" s="14" t="n">
        <x:v>14</x:v>
      </x:c>
      <x:c r="I665" s="14" t="n">
        <x:v>11</x:v>
      </x:c>
      <x:c r="J665" s="14" t="n">
        <x:v>12</x:v>
      </x:c>
      <x:c r="K665" s="14" t="n">
        <x:v>17</x:v>
      </x:c>
      <x:c r="L665" s="14" t="n">
        <x:v>13</x:v>
      </x:c>
      <x:c r="M665" s="14" t="n">
        <x:v>18</x:v>
      </x:c>
      <x:c r="N665" s="15" t="n">
        <x:f>IF(E665=0,"해당 없음",F665/E665)</x:f>
        <x:v>0.08737864077669903</x:v>
      </x:c>
      <x:c r="O665" s="15" t="n">
        <x:f>IF(E665=0,"해당 없음",G665/E665)</x:f>
        <x:v>0.08737864077669903</x:v>
      </x:c>
      <x:c r="P665" s="15" t="n">
        <x:f>IF(E665=0,"해당 없음",H665/E665)</x:f>
        <x:v>0.13592233009708737</x:v>
      </x:c>
      <x:c r="Q665" s="15" t="n">
        <x:f>IF(E665=0,"해당 없음",I665/E665)</x:f>
        <x:v>0.10679611650485436</x:v>
      </x:c>
      <x:c r="R665" s="15" t="n">
        <x:f>IF(E665=0,"해당 없음",J665/E665)</x:f>
        <x:v>0.11650485436893204</x:v>
      </x:c>
      <x:c r="S665" s="15" t="n">
        <x:f>IF(E665=0,"해당 없음",K665/E665)</x:f>
        <x:v>0.1650485436893204</x:v>
      </x:c>
      <x:c r="T665" s="15" t="n">
        <x:f>IF(E665=0,"해당 없음",L665/E665)</x:f>
        <x:v>0.1262135922330097</x:v>
      </x:c>
      <x:c r="U665" s="15" t="n">
        <x:f>IF(E665=0,"해당 없음",M665/E665)</x:f>
        <x:v>0.17475728155339806</x:v>
      </x:c>
      <x:c r="V665" s="16" t="n">
        <x:f>E665/5</x:f>
        <x:v>20.6</x:v>
      </x:c>
    </x:row>
    <x:row r="666" ht="22" customHeight="1">
      <x:c r="A666" s="2" t="n">
        <x:v>331</x:v>
      </x:c>
      <x:c r="B666" s="2" t="str">
        <x:v>RED</x:v>
      </x:c>
      <x:c r="C666" s="2" t="str">
        <x:v>0만</x:v>
      </x:c>
      <x:c r="D666" s="2" t="str">
        <x:v>80만</x:v>
      </x:c>
      <x:c r="E666" s="14" t="n">
        <x:f>SUM(F666:M666)</x:f>
        <x:v>104</x:v>
      </x:c>
      <x:c r="F666" s="14" t="n">
        <x:v>14</x:v>
      </x:c>
      <x:c r="G666" s="14" t="n">
        <x:v>9</x:v>
      </x:c>
      <x:c r="H666" s="14" t="n">
        <x:v>10</x:v>
      </x:c>
      <x:c r="I666" s="14" t="n">
        <x:v>11</x:v>
      </x:c>
      <x:c r="J666" s="14" t="n">
        <x:v>18</x:v>
      </x:c>
      <x:c r="K666" s="14" t="n">
        <x:v>14</x:v>
      </x:c>
      <x:c r="L666" s="14" t="n">
        <x:v>10</x:v>
      </x:c>
      <x:c r="M666" s="14" t="n">
        <x:v>18</x:v>
      </x:c>
      <x:c r="N666" s="15" t="n">
        <x:f>IF(E666=0,"해당 없음",F666/E666)</x:f>
        <x:v>0.1346153846153846</x:v>
      </x:c>
      <x:c r="O666" s="15" t="n">
        <x:f>IF(E666=0,"해당 없음",G666/E666)</x:f>
        <x:v>0.08653846153846154</x:v>
      </x:c>
      <x:c r="P666" s="15" t="n">
        <x:f>IF(E666=0,"해당 없음",H666/E666)</x:f>
        <x:v>0.09615384615384616</x:v>
      </x:c>
      <x:c r="Q666" s="15" t="n">
        <x:f>IF(E666=0,"해당 없음",I666/E666)</x:f>
        <x:v>0.10576923076923077</x:v>
      </x:c>
      <x:c r="R666" s="15" t="n">
        <x:f>IF(E666=0,"해당 없음",J666/E666)</x:f>
        <x:v>0.17307692307692307</x:v>
      </x:c>
      <x:c r="S666" s="15" t="n">
        <x:f>IF(E666=0,"해당 없음",K666/E666)</x:f>
        <x:v>0.1346153846153846</x:v>
      </x:c>
      <x:c r="T666" s="15" t="n">
        <x:f>IF(E666=0,"해당 없음",L666/E666)</x:f>
        <x:v>0.09615384615384616</x:v>
      </x:c>
      <x:c r="U666" s="15" t="n">
        <x:f>IF(E666=0,"해당 없음",M666/E666)</x:f>
        <x:v>0.17307692307692307</x:v>
      </x:c>
      <x:c r="V666" s="16" t="n">
        <x:f>E666/5</x:f>
        <x:v>20.8</x:v>
      </x:c>
    </x:row>
    <x:row r="667" ht="22" customHeight="1">
      <x:c r="A667" s="2" t="n">
        <x:v>331</x:v>
      </x:c>
      <x:c r="B667" s="2" t="str">
        <x:v>NAVY</x:v>
      </x:c>
      <x:c r="C667" s="2" t="str">
        <x:v>80만</x:v>
      </x:c>
      <x:c r="D667" s="2" t="str">
        <x:v>0만</x:v>
      </x:c>
      <x:c r="E667" s="14" t="n">
        <x:f>SUM(F667:M667)</x:f>
        <x:v>105</x:v>
      </x:c>
      <x:c r="F667" s="14" t="n">
        <x:v>3</x:v>
      </x:c>
      <x:c r="G667" s="14" t="n">
        <x:v>18</x:v>
      </x:c>
      <x:c r="H667" s="14" t="n">
        <x:v>13</x:v>
      </x:c>
      <x:c r="I667" s="14" t="n">
        <x:v>5</x:v>
      </x:c>
      <x:c r="J667" s="14" t="n">
        <x:v>1</x:v>
      </x:c>
      <x:c r="K667" s="14" t="n">
        <x:v>14</x:v>
      </x:c>
      <x:c r="L667" s="14" t="n">
        <x:v>39</x:v>
      </x:c>
      <x:c r="M667" s="14" t="n">
        <x:v>12</x:v>
      </x:c>
      <x:c r="N667" s="15" t="n">
        <x:f>IF(E667=0,"해당 없음",F667/E667)</x:f>
        <x:v>0.02857142857142857</x:v>
      </x:c>
      <x:c r="O667" s="15" t="n">
        <x:f>IF(E667=0,"해당 없음",G667/E667)</x:f>
        <x:v>0.17142857142857143</x:v>
      </x:c>
      <x:c r="P667" s="15" t="n">
        <x:f>IF(E667=0,"해당 없음",H667/E667)</x:f>
        <x:v>0.12380952380952381</x:v>
      </x:c>
      <x:c r="Q667" s="15" t="n">
        <x:f>IF(E667=0,"해당 없음",I667/E667)</x:f>
        <x:v>0.047619047619047616</x:v>
      </x:c>
      <x:c r="R667" s="15" t="n">
        <x:f>IF(E667=0,"해당 없음",J667/E667)</x:f>
        <x:v>0.009523809523809525</x:v>
      </x:c>
      <x:c r="S667" s="15" t="n">
        <x:f>IF(E667=0,"해당 없음",K667/E667)</x:f>
        <x:v>0.13333333333333333</x:v>
      </x:c>
      <x:c r="T667" s="15" t="n">
        <x:f>IF(E667=0,"해당 없음",L667/E667)</x:f>
        <x:v>0.37142857142857144</x:v>
      </x:c>
      <x:c r="U667" s="15" t="n">
        <x:f>IF(E667=0,"해당 없음",M667/E667)</x:f>
        <x:v>0.11428571428571428</x:v>
      </x:c>
      <x:c r="V667" s="16" t="n">
        <x:f>E667/5</x:f>
        <x:v>21</x:v>
      </x:c>
    </x:row>
    <x:row r="668" ht="22" customHeight="1">
      <x:c r="A668" s="2" t="n">
        <x:v>332</x:v>
      </x:c>
      <x:c r="B668" s="2" t="str">
        <x:v>RED</x:v>
      </x:c>
      <x:c r="C668" s="2" t="str">
        <x:v>80만</x:v>
      </x:c>
      <x:c r="D668" s="2" t="str">
        <x:v>0만</x:v>
      </x:c>
      <x:c r="E668" s="14" t="n">
        <x:f>SUM(F668:M668)</x:f>
        <x:v>106</x:v>
      </x:c>
      <x:c r="F668" s="14" t="n">
        <x:v>2</x:v>
      </x:c>
      <x:c r="G668" s="14" t="n">
        <x:v>15</x:v>
      </x:c>
      <x:c r="H668" s="14" t="n">
        <x:v>14</x:v>
      </x:c>
      <x:c r="I668" s="14" t="n">
        <x:v>7</x:v>
      </x:c>
      <x:c r="J668" s="14" t="n">
        <x:v>3</x:v>
      </x:c>
      <x:c r="K668" s="14" t="n">
        <x:v>15</x:v>
      </x:c>
      <x:c r="L668" s="14" t="n">
        <x:v>38</x:v>
      </x:c>
      <x:c r="M668" s="14" t="n">
        <x:v>12</x:v>
      </x:c>
      <x:c r="N668" s="15" t="n">
        <x:f>IF(E668=0,"해당 없음",F668/E668)</x:f>
        <x:v>0.018867924528301886</x:v>
      </x:c>
      <x:c r="O668" s="15" t="n">
        <x:f>IF(E668=0,"해당 없음",G668/E668)</x:f>
        <x:v>0.14150943396226415</x:v>
      </x:c>
      <x:c r="P668" s="15" t="n">
        <x:f>IF(E668=0,"해당 없음",H668/E668)</x:f>
        <x:v>0.1320754716981132</x:v>
      </x:c>
      <x:c r="Q668" s="15" t="n">
        <x:f>IF(E668=0,"해당 없음",I668/E668)</x:f>
        <x:v>0.0660377358490566</x:v>
      </x:c>
      <x:c r="R668" s="15" t="n">
        <x:f>IF(E668=0,"해당 없음",J668/E668)</x:f>
        <x:v>0.02830188679245283</x:v>
      </x:c>
      <x:c r="S668" s="15" t="n">
        <x:f>IF(E668=0,"해당 없음",K668/E668)</x:f>
        <x:v>0.14150943396226415</x:v>
      </x:c>
      <x:c r="T668" s="15" t="n">
        <x:f>IF(E668=0,"해당 없음",L668/E668)</x:f>
        <x:v>0.3584905660377358</x:v>
      </x:c>
      <x:c r="U668" s="15" t="n">
        <x:f>IF(E668=0,"해당 없음",M668/E668)</x:f>
        <x:v>0.11320754716981132</x:v>
      </x:c>
      <x:c r="V668" s="16" t="n">
        <x:f>E668/5</x:f>
        <x:v>21.2</x:v>
      </x:c>
    </x:row>
    <x:row r="669" ht="22" customHeight="1">
      <x:c r="A669" s="2" t="n">
        <x:v>332</x:v>
      </x:c>
      <x:c r="B669" s="2" t="str">
        <x:v>NAVY</x:v>
      </x:c>
      <x:c r="C669" s="2" t="str">
        <x:v>0만</x:v>
      </x:c>
      <x:c r="D669" s="2" t="str">
        <x:v>80만</x:v>
      </x:c>
      <x:c r="E669" s="14" t="n">
        <x:f>SUM(F669:M669)</x:f>
        <x:v>106</x:v>
      </x:c>
      <x:c r="F669" s="14" t="n">
        <x:v>14</x:v>
      </x:c>
      <x:c r="G669" s="14" t="n">
        <x:v>9</x:v>
      </x:c>
      <x:c r="H669" s="14" t="n">
        <x:v>10</x:v>
      </x:c>
      <x:c r="I669" s="14" t="n">
        <x:v>11</x:v>
      </x:c>
      <x:c r="J669" s="14" t="n">
        <x:v>18</x:v>
      </x:c>
      <x:c r="K669" s="14" t="n">
        <x:v>15</x:v>
      </x:c>
      <x:c r="L669" s="14" t="n">
        <x:v>10</x:v>
      </x:c>
      <x:c r="M669" s="14" t="n">
        <x:v>19</x:v>
      </x:c>
      <x:c r="N669" s="15" t="n">
        <x:f>IF(E669=0,"해당 없음",F669/E669)</x:f>
        <x:v>0.1320754716981132</x:v>
      </x:c>
      <x:c r="O669" s="15" t="n">
        <x:f>IF(E669=0,"해당 없음",G669/E669)</x:f>
        <x:v>0.08490566037735849</x:v>
      </x:c>
      <x:c r="P669" s="15" t="n">
        <x:f>IF(E669=0,"해당 없음",H669/E669)</x:f>
        <x:v>0.09433962264150944</x:v>
      </x:c>
      <x:c r="Q669" s="15" t="n">
        <x:f>IF(E669=0,"해당 없음",I669/E669)</x:f>
        <x:v>0.10377358490566038</x:v>
      </x:c>
      <x:c r="R669" s="15" t="n">
        <x:f>IF(E669=0,"해당 없음",J669/E669)</x:f>
        <x:v>0.16981132075471697</x:v>
      </x:c>
      <x:c r="S669" s="15" t="n">
        <x:f>IF(E669=0,"해당 없음",K669/E669)</x:f>
        <x:v>0.14150943396226415</x:v>
      </x:c>
      <x:c r="T669" s="15" t="n">
        <x:f>IF(E669=0,"해당 없음",L669/E669)</x:f>
        <x:v>0.09433962264150944</x:v>
      </x:c>
      <x:c r="U669" s="15" t="n">
        <x:f>IF(E669=0,"해당 없음",M669/E669)</x:f>
        <x:v>0.1792452830188679</x:v>
      </x:c>
      <x:c r="V669" s="16" t="n">
        <x:f>E669/5</x:f>
        <x:v>21.2</x:v>
      </x:c>
    </x:row>
    <x:row r="670" ht="22" customHeight="1">
      <x:c r="A670" s="2" t="n">
        <x:v>333</x:v>
      </x:c>
      <x:c r="B670" s="2" t="str">
        <x:v>RED</x:v>
      </x:c>
      <x:c r="C670" s="2" t="str">
        <x:v>0만</x:v>
      </x:c>
      <x:c r="D670" s="2" t="str">
        <x:v>80만</x:v>
      </x:c>
      <x:c r="E670" s="14" t="n">
        <x:f>SUM(F670:M670)</x:f>
        <x:v>103</x:v>
      </x:c>
      <x:c r="F670" s="14" t="n">
        <x:v>20</x:v>
      </x:c>
      <x:c r="G670" s="14" t="n">
        <x:v>14</x:v>
      </x:c>
      <x:c r="H670" s="14" t="n">
        <x:v>11</x:v>
      </x:c>
      <x:c r="I670" s="14" t="n">
        <x:v>15</x:v>
      </x:c>
      <x:c r="J670" s="14" t="n">
        <x:v>11</x:v>
      </x:c>
      <x:c r="K670" s="14" t="n">
        <x:v>11</x:v>
      </x:c>
      <x:c r="L670" s="14" t="n">
        <x:v>11</x:v>
      </x:c>
      <x:c r="M670" s="14" t="n">
        <x:v>10</x:v>
      </x:c>
      <x:c r="N670" s="15" t="n">
        <x:f>IF(E670=0,"해당 없음",F670/E670)</x:f>
        <x:v>0.1941747572815534</x:v>
      </x:c>
      <x:c r="O670" s="15" t="n">
        <x:f>IF(E670=0,"해당 없음",G670/E670)</x:f>
        <x:v>0.13592233009708737</x:v>
      </x:c>
      <x:c r="P670" s="15" t="n">
        <x:f>IF(E670=0,"해당 없음",H670/E670)</x:f>
        <x:v>0.10679611650485436</x:v>
      </x:c>
      <x:c r="Q670" s="15" t="n">
        <x:f>IF(E670=0,"해당 없음",I670/E670)</x:f>
        <x:v>0.14563106796116504</x:v>
      </x:c>
      <x:c r="R670" s="15" t="n">
        <x:f>IF(E670=0,"해당 없음",J670/E670)</x:f>
        <x:v>0.10679611650485436</x:v>
      </x:c>
      <x:c r="S670" s="15" t="n">
        <x:f>IF(E670=0,"해당 없음",K670/E670)</x:f>
        <x:v>0.10679611650485436</x:v>
      </x:c>
      <x:c r="T670" s="15" t="n">
        <x:f>IF(E670=0,"해당 없음",L670/E670)</x:f>
        <x:v>0.10679611650485436</x:v>
      </x:c>
      <x:c r="U670" s="15" t="n">
        <x:f>IF(E670=0,"해당 없음",M670/E670)</x:f>
        <x:v>0.0970873786407767</x:v>
      </x:c>
      <x:c r="V670" s="16" t="n">
        <x:f>E670/5</x:f>
        <x:v>20.6</x:v>
      </x:c>
    </x:row>
    <x:row r="671" ht="22" customHeight="1">
      <x:c r="A671" s="2" t="n">
        <x:v>333</x:v>
      </x:c>
      <x:c r="B671" s="2" t="str">
        <x:v>NAVY</x:v>
      </x:c>
      <x:c r="C671" s="2" t="str">
        <x:v>80만</x:v>
      </x:c>
      <x:c r="D671" s="2" t="str">
        <x:v>0만</x:v>
      </x:c>
      <x:c r="E671" s="14" t="n">
        <x:f>SUM(F671:M671)</x:f>
        <x:v>103</x:v>
      </x:c>
      <x:c r="F671" s="14" t="n">
        <x:v>3</x:v>
      </x:c>
      <x:c r="G671" s="14" t="n">
        <x:v>17</x:v>
      </x:c>
      <x:c r="H671" s="14" t="n">
        <x:v>6</x:v>
      </x:c>
      <x:c r="I671" s="14" t="n">
        <x:v>7</x:v>
      </x:c>
      <x:c r="J671" s="14" t="n">
        <x:v>7</x:v>
      </x:c>
      <x:c r="K671" s="14" t="n">
        <x:v>16</x:v>
      </x:c>
      <x:c r="L671" s="14" t="n">
        <x:v>30</x:v>
      </x:c>
      <x:c r="M671" s="14" t="n">
        <x:v>17</x:v>
      </x:c>
      <x:c r="N671" s="15" t="n">
        <x:f>IF(E671=0,"해당 없음",F671/E671)</x:f>
        <x:v>0.02912621359223301</x:v>
      </x:c>
      <x:c r="O671" s="15" t="n">
        <x:f>IF(E671=0,"해당 없음",G671/E671)</x:f>
        <x:v>0.1650485436893204</x:v>
      </x:c>
      <x:c r="P671" s="15" t="n">
        <x:f>IF(E671=0,"해당 없음",H671/E671)</x:f>
        <x:v>0.05825242718446602</x:v>
      </x:c>
      <x:c r="Q671" s="15" t="n">
        <x:f>IF(E671=0,"해당 없음",I671/E671)</x:f>
        <x:v>0.06796116504854369</x:v>
      </x:c>
      <x:c r="R671" s="15" t="n">
        <x:f>IF(E671=0,"해당 없음",J671/E671)</x:f>
        <x:v>0.06796116504854369</x:v>
      </x:c>
      <x:c r="S671" s="15" t="n">
        <x:f>IF(E671=0,"해당 없음",K671/E671)</x:f>
        <x:v>0.1553398058252427</x:v>
      </x:c>
      <x:c r="T671" s="15" t="n">
        <x:f>IF(E671=0,"해당 없음",L671/E671)</x:f>
        <x:v>0.2912621359223301</x:v>
      </x:c>
      <x:c r="U671" s="15" t="n">
        <x:f>IF(E671=0,"해당 없음",M671/E671)</x:f>
        <x:v>0.1650485436893204</x:v>
      </x:c>
      <x:c r="V671" s="16" t="n">
        <x:f>E671/5</x:f>
        <x:v>20.6</x:v>
      </x:c>
    </x:row>
    <x:row r="672" ht="22" customHeight="1">
      <x:c r="A672" s="2" t="n">
        <x:v>334</x:v>
      </x:c>
      <x:c r="B672" s="2" t="str">
        <x:v>RED</x:v>
      </x:c>
      <x:c r="C672" s="2" t="str">
        <x:v>80만</x:v>
      </x:c>
      <x:c r="D672" s="2" t="str">
        <x:v>0만</x:v>
      </x:c>
      <x:c r="E672" s="14" t="n">
        <x:f>SUM(F672:M672)</x:f>
        <x:v>104</x:v>
      </x:c>
      <x:c r="F672" s="14" t="n">
        <x:v>2</x:v>
      </x:c>
      <x:c r="G672" s="14" t="n">
        <x:v>18</x:v>
      </x:c>
      <x:c r="H672" s="14" t="n">
        <x:v>11</x:v>
      </x:c>
      <x:c r="I672" s="14" t="n">
        <x:v>5</x:v>
      </x:c>
      <x:c r="J672" s="14" t="n">
        <x:v>4</x:v>
      </x:c>
      <x:c r="K672" s="14" t="n">
        <x:v>11</x:v>
      </x:c>
      <x:c r="L672" s="14" t="n">
        <x:v>39</x:v>
      </x:c>
      <x:c r="M672" s="14" t="n">
        <x:v>14</x:v>
      </x:c>
      <x:c r="N672" s="15" t="n">
        <x:f>IF(E672=0,"해당 없음",F672/E672)</x:f>
        <x:v>0.019230769230769232</x:v>
      </x:c>
      <x:c r="O672" s="15" t="n">
        <x:f>IF(E672=0,"해당 없음",G672/E672)</x:f>
        <x:v>0.17307692307692307</x:v>
      </x:c>
      <x:c r="P672" s="15" t="n">
        <x:f>IF(E672=0,"해당 없음",H672/E672)</x:f>
        <x:v>0.10576923076923077</x:v>
      </x:c>
      <x:c r="Q672" s="15" t="n">
        <x:f>IF(E672=0,"해당 없음",I672/E672)</x:f>
        <x:v>0.04807692307692308</x:v>
      </x:c>
      <x:c r="R672" s="15" t="n">
        <x:f>IF(E672=0,"해당 없음",J672/E672)</x:f>
        <x:v>0.038461538461538464</x:v>
      </x:c>
      <x:c r="S672" s="15" t="n">
        <x:f>IF(E672=0,"해당 없음",K672/E672)</x:f>
        <x:v>0.10576923076923077</x:v>
      </x:c>
      <x:c r="T672" s="15" t="n">
        <x:f>IF(E672=0,"해당 없음",L672/E672)</x:f>
        <x:v>0.375</x:v>
      </x:c>
      <x:c r="U672" s="15" t="n">
        <x:f>IF(E672=0,"해당 없음",M672/E672)</x:f>
        <x:v>0.1346153846153846</x:v>
      </x:c>
      <x:c r="V672" s="16" t="n">
        <x:f>E672/5</x:f>
        <x:v>20.8</x:v>
      </x:c>
    </x:row>
    <x:row r="673" ht="22" customHeight="1">
      <x:c r="A673" s="2" t="n">
        <x:v>334</x:v>
      </x:c>
      <x:c r="B673" s="2" t="str">
        <x:v>NAVY</x:v>
      </x:c>
      <x:c r="C673" s="2" t="str">
        <x:v>0만</x:v>
      </x:c>
      <x:c r="D673" s="2" t="str">
        <x:v>80만</x:v>
      </x:c>
      <x:c r="E673" s="14" t="n">
        <x:f>SUM(F673:M673)</x:f>
        <x:v>104</x:v>
      </x:c>
      <x:c r="F673" s="14" t="n">
        <x:v>20</x:v>
      </x:c>
      <x:c r="G673" s="14" t="n">
        <x:v>14</x:v>
      </x:c>
      <x:c r="H673" s="14" t="n">
        <x:v>11</x:v>
      </x:c>
      <x:c r="I673" s="14" t="n">
        <x:v>15</x:v>
      </x:c>
      <x:c r="J673" s="14" t="n">
        <x:v>11</x:v>
      </x:c>
      <x:c r="K673" s="14" t="n">
        <x:v>11</x:v>
      </x:c>
      <x:c r="L673" s="14" t="n">
        <x:v>12</x:v>
      </x:c>
      <x:c r="M673" s="14" t="n">
        <x:v>10</x:v>
      </x:c>
      <x:c r="N673" s="15" t="n">
        <x:f>IF(E673=0,"해당 없음",F673/E673)</x:f>
        <x:v>0.19230769230769232</x:v>
      </x:c>
      <x:c r="O673" s="15" t="n">
        <x:f>IF(E673=0,"해당 없음",G673/E673)</x:f>
        <x:v>0.1346153846153846</x:v>
      </x:c>
      <x:c r="P673" s="15" t="n">
        <x:f>IF(E673=0,"해당 없음",H673/E673)</x:f>
        <x:v>0.10576923076923077</x:v>
      </x:c>
      <x:c r="Q673" s="15" t="n">
        <x:f>IF(E673=0,"해당 없음",I673/E673)</x:f>
        <x:v>0.14423076923076922</x:v>
      </x:c>
      <x:c r="R673" s="15" t="n">
        <x:f>IF(E673=0,"해당 없음",J673/E673)</x:f>
        <x:v>0.10576923076923077</x:v>
      </x:c>
      <x:c r="S673" s="15" t="n">
        <x:f>IF(E673=0,"해당 없음",K673/E673)</x:f>
        <x:v>0.10576923076923077</x:v>
      </x:c>
      <x:c r="T673" s="15" t="n">
        <x:f>IF(E673=0,"해당 없음",L673/E673)</x:f>
        <x:v>0.11538461538461539</x:v>
      </x:c>
      <x:c r="U673" s="15" t="n">
        <x:f>IF(E673=0,"해당 없음",M673/E673)</x:f>
        <x:v>0.09615384615384616</x:v>
      </x:c>
      <x:c r="V673" s="16" t="n">
        <x:f>E673/5</x:f>
        <x:v>20.8</x:v>
      </x:c>
    </x:row>
    <x:row r="674" ht="22" customHeight="1">
      <x:c r="A674" s="2" t="n">
        <x:v>335</x:v>
      </x:c>
      <x:c r="B674" s="2" t="str">
        <x:v>RED</x:v>
      </x:c>
      <x:c r="C674" s="2" t="str">
        <x:v>0만</x:v>
      </x:c>
      <x:c r="D674" s="2" t="str">
        <x:v>80만</x:v>
      </x:c>
      <x:c r="E674" s="14" t="n">
        <x:f>SUM(F674:M674)</x:f>
        <x:v>104</x:v>
      </x:c>
      <x:c r="F674" s="14" t="n">
        <x:v>11</x:v>
      </x:c>
      <x:c r="G674" s="14" t="n">
        <x:v>13</x:v>
      </x:c>
      <x:c r="H674" s="14" t="n">
        <x:v>9</x:v>
      </x:c>
      <x:c r="I674" s="14" t="n">
        <x:v>11</x:v>
      </x:c>
      <x:c r="J674" s="14" t="n">
        <x:v>11</x:v>
      </x:c>
      <x:c r="K674" s="14" t="n">
        <x:v>22</x:v>
      </x:c>
      <x:c r="L674" s="14" t="n">
        <x:v>10</x:v>
      </x:c>
      <x:c r="M674" s="14" t="n">
        <x:v>17</x:v>
      </x:c>
      <x:c r="N674" s="15" t="n">
        <x:f>IF(E674=0,"해당 없음",F674/E674)</x:f>
        <x:v>0.10576923076923077</x:v>
      </x:c>
      <x:c r="O674" s="15" t="n">
        <x:f>IF(E674=0,"해당 없음",G674/E674)</x:f>
        <x:v>0.125</x:v>
      </x:c>
      <x:c r="P674" s="15" t="n">
        <x:f>IF(E674=0,"해당 없음",H674/E674)</x:f>
        <x:v>0.08653846153846154</x:v>
      </x:c>
      <x:c r="Q674" s="15" t="n">
        <x:f>IF(E674=0,"해당 없음",I674/E674)</x:f>
        <x:v>0.10576923076923077</x:v>
      </x:c>
      <x:c r="R674" s="15" t="n">
        <x:f>IF(E674=0,"해당 없음",J674/E674)</x:f>
        <x:v>0.10576923076923077</x:v>
      </x:c>
      <x:c r="S674" s="15" t="n">
        <x:f>IF(E674=0,"해당 없음",K674/E674)</x:f>
        <x:v>0.21153846153846154</x:v>
      </x:c>
      <x:c r="T674" s="15" t="n">
        <x:f>IF(E674=0,"해당 없음",L674/E674)</x:f>
        <x:v>0.09615384615384616</x:v>
      </x:c>
      <x:c r="U674" s="15" t="n">
        <x:f>IF(E674=0,"해당 없음",M674/E674)</x:f>
        <x:v>0.16346153846153846</x:v>
      </x:c>
      <x:c r="V674" s="16" t="n">
        <x:f>E674/5</x:f>
        <x:v>20.8</x:v>
      </x:c>
    </x:row>
    <x:row r="675" ht="22" customHeight="1">
      <x:c r="A675" s="2" t="n">
        <x:v>335</x:v>
      </x:c>
      <x:c r="B675" s="2" t="str">
        <x:v>NAVY</x:v>
      </x:c>
      <x:c r="C675" s="2" t="str">
        <x:v>80만</x:v>
      </x:c>
      <x:c r="D675" s="2" t="str">
        <x:v>0만</x:v>
      </x:c>
      <x:c r="E675" s="14" t="n">
        <x:f>SUM(F675:M675)</x:f>
        <x:v>102</x:v>
      </x:c>
      <x:c r="F675" s="14" t="n">
        <x:v>2</x:v>
      </x:c>
      <x:c r="G675" s="14" t="n">
        <x:v>19</x:v>
      </x:c>
      <x:c r="H675" s="14" t="n">
        <x:v>12</x:v>
      </x:c>
      <x:c r="I675" s="14" t="n">
        <x:v>12</x:v>
      </x:c>
      <x:c r="J675" s="14" t="n">
        <x:v>1</x:v>
      </x:c>
      <x:c r="K675" s="14" t="n">
        <x:v>14</x:v>
      </x:c>
      <x:c r="L675" s="14" t="n">
        <x:v>34</x:v>
      </x:c>
      <x:c r="M675" s="14" t="n">
        <x:v>8</x:v>
      </x:c>
      <x:c r="N675" s="15" t="n">
        <x:f>IF(E675=0,"해당 없음",F675/E675)</x:f>
        <x:v>0.0196078431372549</x:v>
      </x:c>
      <x:c r="O675" s="15" t="n">
        <x:f>IF(E675=0,"해당 없음",G675/E675)</x:f>
        <x:v>0.18627450980392157</x:v>
      </x:c>
      <x:c r="P675" s="15" t="n">
        <x:f>IF(E675=0,"해당 없음",H675/E675)</x:f>
        <x:v>0.11764705882352941</x:v>
      </x:c>
      <x:c r="Q675" s="15" t="n">
        <x:f>IF(E675=0,"해당 없음",I675/E675)</x:f>
        <x:v>0.11764705882352941</x:v>
      </x:c>
      <x:c r="R675" s="15" t="n">
        <x:f>IF(E675=0,"해당 없음",J675/E675)</x:f>
        <x:v>0.00980392156862745</x:v>
      </x:c>
      <x:c r="S675" s="15" t="n">
        <x:f>IF(E675=0,"해당 없음",K675/E675)</x:f>
        <x:v>0.13725490196078433</x:v>
      </x:c>
      <x:c r="T675" s="15" t="n">
        <x:f>IF(E675=0,"해당 없음",L675/E675)</x:f>
        <x:v>0.3333333333333333</x:v>
      </x:c>
      <x:c r="U675" s="15" t="n">
        <x:f>IF(E675=0,"해당 없음",M675/E675)</x:f>
        <x:v>0.0784313725490196</x:v>
      </x:c>
      <x:c r="V675" s="16" t="n">
        <x:f>E675/5</x:f>
        <x:v>20.4</x:v>
      </x:c>
    </x:row>
    <x:row r="676" ht="22" customHeight="1">
      <x:c r="A676" s="2" t="n">
        <x:v>336</x:v>
      </x:c>
      <x:c r="B676" s="2" t="str">
        <x:v>RED</x:v>
      </x:c>
      <x:c r="C676" s="2" t="str">
        <x:v>80만</x:v>
      </x:c>
      <x:c r="D676" s="2" t="str">
        <x:v>0만</x:v>
      </x:c>
      <x:c r="E676" s="14" t="n">
        <x:f>SUM(F676:M676)</x:f>
        <x:v>103</x:v>
      </x:c>
      <x:c r="F676" s="14" t="n">
        <x:v>3</x:v>
      </x:c>
      <x:c r="G676" s="14" t="n">
        <x:v>19</x:v>
      </x:c>
      <x:c r="H676" s="14" t="n">
        <x:v>14</x:v>
      </x:c>
      <x:c r="I676" s="14" t="n">
        <x:v>6</x:v>
      </x:c>
      <x:c r="J676" s="14" t="n">
        <x:v>3</x:v>
      </x:c>
      <x:c r="K676" s="14" t="n">
        <x:v>17</x:v>
      </x:c>
      <x:c r="L676" s="14" t="n">
        <x:v>35</x:v>
      </x:c>
      <x:c r="M676" s="14" t="n">
        <x:v>6</x:v>
      </x:c>
      <x:c r="N676" s="15" t="n">
        <x:f>IF(E676=0,"해당 없음",F676/E676)</x:f>
        <x:v>0.02912621359223301</x:v>
      </x:c>
      <x:c r="O676" s="15" t="n">
        <x:f>IF(E676=0,"해당 없음",G676/E676)</x:f>
        <x:v>0.18446601941747573</x:v>
      </x:c>
      <x:c r="P676" s="15" t="n">
        <x:f>IF(E676=0,"해당 없음",H676/E676)</x:f>
        <x:v>0.13592233009708737</x:v>
      </x:c>
      <x:c r="Q676" s="15" t="n">
        <x:f>IF(E676=0,"해당 없음",I676/E676)</x:f>
        <x:v>0.05825242718446602</x:v>
      </x:c>
      <x:c r="R676" s="15" t="n">
        <x:f>IF(E676=0,"해당 없음",J676/E676)</x:f>
        <x:v>0.02912621359223301</x:v>
      </x:c>
      <x:c r="S676" s="15" t="n">
        <x:f>IF(E676=0,"해당 없음",K676/E676)</x:f>
        <x:v>0.1650485436893204</x:v>
      </x:c>
      <x:c r="T676" s="15" t="n">
        <x:f>IF(E676=0,"해당 없음",L676/E676)</x:f>
        <x:v>0.33980582524271846</x:v>
      </x:c>
      <x:c r="U676" s="15" t="n">
        <x:f>IF(E676=0,"해당 없음",M676/E676)</x:f>
        <x:v>0.05825242718446602</x:v>
      </x:c>
      <x:c r="V676" s="16" t="n">
        <x:f>E676/5</x:f>
        <x:v>20.6</x:v>
      </x:c>
    </x:row>
    <x:row r="677" ht="22" customHeight="1">
      <x:c r="A677" s="2" t="n">
        <x:v>336</x:v>
      </x:c>
      <x:c r="B677" s="2" t="str">
        <x:v>NAVY</x:v>
      </x:c>
      <x:c r="C677" s="2" t="str">
        <x:v>0만</x:v>
      </x:c>
      <x:c r="D677" s="2" t="str">
        <x:v>80만</x:v>
      </x:c>
      <x:c r="E677" s="14" t="n">
        <x:f>SUM(F677:M677)</x:f>
        <x:v>103</x:v>
      </x:c>
      <x:c r="F677" s="14" t="n">
        <x:v>11</x:v>
      </x:c>
      <x:c r="G677" s="14" t="n">
        <x:v>13</x:v>
      </x:c>
      <x:c r="H677" s="14" t="n">
        <x:v>9</x:v>
      </x:c>
      <x:c r="I677" s="14" t="n">
        <x:v>11</x:v>
      </x:c>
      <x:c r="J677" s="14" t="n">
        <x:v>11</x:v>
      </x:c>
      <x:c r="K677" s="14" t="n">
        <x:v>22</x:v>
      </x:c>
      <x:c r="L677" s="14" t="n">
        <x:v>10</x:v>
      </x:c>
      <x:c r="M677" s="14" t="n">
        <x:v>16</x:v>
      </x:c>
      <x:c r="N677" s="15" t="n">
        <x:f>IF(E677=0,"해당 없음",F677/E677)</x:f>
        <x:v>0.10679611650485436</x:v>
      </x:c>
      <x:c r="O677" s="15" t="n">
        <x:f>IF(E677=0,"해당 없음",G677/E677)</x:f>
        <x:v>0.1262135922330097</x:v>
      </x:c>
      <x:c r="P677" s="15" t="n">
        <x:f>IF(E677=0,"해당 없음",H677/E677)</x:f>
        <x:v>0.08737864077669903</x:v>
      </x:c>
      <x:c r="Q677" s="15" t="n">
        <x:f>IF(E677=0,"해당 없음",I677/E677)</x:f>
        <x:v>0.10679611650485436</x:v>
      </x:c>
      <x:c r="R677" s="15" t="n">
        <x:f>IF(E677=0,"해당 없음",J677/E677)</x:f>
        <x:v>0.10679611650485436</x:v>
      </x:c>
      <x:c r="S677" s="15" t="n">
        <x:f>IF(E677=0,"해당 없음",K677/E677)</x:f>
        <x:v>0.21359223300970873</x:v>
      </x:c>
      <x:c r="T677" s="15" t="n">
        <x:f>IF(E677=0,"해당 없음",L677/E677)</x:f>
        <x:v>0.0970873786407767</x:v>
      </x:c>
      <x:c r="U677" s="15" t="n">
        <x:f>IF(E677=0,"해당 없음",M677/E677)</x:f>
        <x:v>0.1553398058252427</x:v>
      </x:c>
      <x:c r="V677" s="16" t="n">
        <x:f>E677/5</x:f>
        <x:v>20.6</x:v>
      </x:c>
    </x:row>
    <x:row r="678" ht="22" customHeight="1">
      <x:c r="A678" s="2" t="n">
        <x:v>337</x:v>
      </x:c>
      <x:c r="B678" s="2" t="str">
        <x:v>RED</x:v>
      </x:c>
      <x:c r="C678" s="2" t="str">
        <x:v>0만</x:v>
      </x:c>
      <x:c r="D678" s="2" t="str">
        <x:v>80만</x:v>
      </x:c>
      <x:c r="E678" s="14" t="n">
        <x:f>SUM(F678:M678)</x:f>
        <x:v>105</x:v>
      </x:c>
      <x:c r="F678" s="14" t="n">
        <x:v>13</x:v>
      </x:c>
      <x:c r="G678" s="14" t="n">
        <x:v>13</x:v>
      </x:c>
      <x:c r="H678" s="14" t="n">
        <x:v>12</x:v>
      </x:c>
      <x:c r="I678" s="14" t="n">
        <x:v>16</x:v>
      </x:c>
      <x:c r="J678" s="14" t="n">
        <x:v>13</x:v>
      </x:c>
      <x:c r="K678" s="14" t="n">
        <x:v>12</x:v>
      </x:c>
      <x:c r="L678" s="14" t="n">
        <x:v>8</x:v>
      </x:c>
      <x:c r="M678" s="14" t="n">
        <x:v>18</x:v>
      </x:c>
      <x:c r="N678" s="15" t="n">
        <x:f>IF(E678=0,"해당 없음",F678/E678)</x:f>
        <x:v>0.12380952380952381</x:v>
      </x:c>
      <x:c r="O678" s="15" t="n">
        <x:f>IF(E678=0,"해당 없음",G678/E678)</x:f>
        <x:v>0.12380952380952381</x:v>
      </x:c>
      <x:c r="P678" s="15" t="n">
        <x:f>IF(E678=0,"해당 없음",H678/E678)</x:f>
        <x:v>0.11428571428571428</x:v>
      </x:c>
      <x:c r="Q678" s="15" t="n">
        <x:f>IF(E678=0,"해당 없음",I678/E678)</x:f>
        <x:v>0.1523809523809524</x:v>
      </x:c>
      <x:c r="R678" s="15" t="n">
        <x:f>IF(E678=0,"해당 없음",J678/E678)</x:f>
        <x:v>0.12380952380952381</x:v>
      </x:c>
      <x:c r="S678" s="15" t="n">
        <x:f>IF(E678=0,"해당 없음",K678/E678)</x:f>
        <x:v>0.11428571428571428</x:v>
      </x:c>
      <x:c r="T678" s="15" t="n">
        <x:f>IF(E678=0,"해당 없음",L678/E678)</x:f>
        <x:v>0.0761904761904762</x:v>
      </x:c>
      <x:c r="U678" s="15" t="n">
        <x:f>IF(E678=0,"해당 없음",M678/E678)</x:f>
        <x:v>0.17142857142857143</x:v>
      </x:c>
      <x:c r="V678" s="16" t="n">
        <x:f>E678/5</x:f>
        <x:v>21</x:v>
      </x:c>
    </x:row>
    <x:row r="679" ht="22" customHeight="1">
      <x:c r="A679" s="2" t="n">
        <x:v>337</x:v>
      </x:c>
      <x:c r="B679" s="2" t="str">
        <x:v>NAVY</x:v>
      </x:c>
      <x:c r="C679" s="2" t="str">
        <x:v>80만</x:v>
      </x:c>
      <x:c r="D679" s="2" t="str">
        <x:v>0만</x:v>
      </x:c>
      <x:c r="E679" s="14" t="n">
        <x:f>SUM(F679:M679)</x:f>
        <x:v>104</x:v>
      </x:c>
      <x:c r="F679" s="14" t="n">
        <x:v>0</x:v>
      </x:c>
      <x:c r="G679" s="14" t="n">
        <x:v>17</x:v>
      </x:c>
      <x:c r="H679" s="14" t="n">
        <x:v>13</x:v>
      </x:c>
      <x:c r="I679" s="14" t="n">
        <x:v>7</x:v>
      </x:c>
      <x:c r="J679" s="14" t="n">
        <x:v>0</x:v>
      </x:c>
      <x:c r="K679" s="14" t="n">
        <x:v>18</x:v>
      </x:c>
      <x:c r="L679" s="14" t="n">
        <x:v>37</x:v>
      </x:c>
      <x:c r="M679" s="14" t="n">
        <x:v>12</x:v>
      </x:c>
      <x:c r="N679" s="15" t="n">
        <x:f>IF(E679=0,"해당 없음",F679/E679)</x:f>
        <x:v>0</x:v>
      </x:c>
      <x:c r="O679" s="15" t="n">
        <x:f>IF(E679=0,"해당 없음",G679/E679)</x:f>
        <x:v>0.16346153846153846</x:v>
      </x:c>
      <x:c r="P679" s="15" t="n">
        <x:f>IF(E679=0,"해당 없음",H679/E679)</x:f>
        <x:v>0.125</x:v>
      </x:c>
      <x:c r="Q679" s="15" t="n">
        <x:f>IF(E679=0,"해당 없음",I679/E679)</x:f>
        <x:v>0.0673076923076923</x:v>
      </x:c>
      <x:c r="R679" s="15" t="n">
        <x:f>IF(E679=0,"해당 없음",J679/E679)</x:f>
        <x:v>0</x:v>
      </x:c>
      <x:c r="S679" s="15" t="n">
        <x:f>IF(E679=0,"해당 없음",K679/E679)</x:f>
        <x:v>0.17307692307692307</x:v>
      </x:c>
      <x:c r="T679" s="15" t="n">
        <x:f>IF(E679=0,"해당 없음",L679/E679)</x:f>
        <x:v>0.3557692307692308</x:v>
      </x:c>
      <x:c r="U679" s="15" t="n">
        <x:f>IF(E679=0,"해당 없음",M679/E679)</x:f>
        <x:v>0.11538461538461539</x:v>
      </x:c>
      <x:c r="V679" s="16" t="n">
        <x:f>E679/5</x:f>
        <x:v>20.8</x:v>
      </x:c>
    </x:row>
    <x:row r="680" ht="22" customHeight="1">
      <x:c r="A680" s="2" t="n">
        <x:v>338</x:v>
      </x:c>
      <x:c r="B680" s="2" t="str">
        <x:v>RED</x:v>
      </x:c>
      <x:c r="C680" s="2" t="str">
        <x:v>80만</x:v>
      </x:c>
      <x:c r="D680" s="2" t="str">
        <x:v>0만</x:v>
      </x:c>
      <x:c r="E680" s="14" t="n">
        <x:f>SUM(F680:M680)</x:f>
        <x:v>105</x:v>
      </x:c>
      <x:c r="F680" s="14" t="n">
        <x:v>2</x:v>
      </x:c>
      <x:c r="G680" s="14" t="n">
        <x:v>22</x:v>
      </x:c>
      <x:c r="H680" s="14" t="n">
        <x:v>10</x:v>
      </x:c>
      <x:c r="I680" s="14" t="n">
        <x:v>6</x:v>
      </x:c>
      <x:c r="J680" s="14" t="n">
        <x:v>3</x:v>
      </x:c>
      <x:c r="K680" s="14" t="n">
        <x:v>13</x:v>
      </x:c>
      <x:c r="L680" s="14" t="n">
        <x:v>32</x:v>
      </x:c>
      <x:c r="M680" s="14" t="n">
        <x:v>17</x:v>
      </x:c>
      <x:c r="N680" s="15" t="n">
        <x:f>IF(E680=0,"해당 없음",F680/E680)</x:f>
        <x:v>0.01904761904761905</x:v>
      </x:c>
      <x:c r="O680" s="15" t="n">
        <x:f>IF(E680=0,"해당 없음",G680/E680)</x:f>
        <x:v>0.20952380952380953</x:v>
      </x:c>
      <x:c r="P680" s="15" t="n">
        <x:f>IF(E680=0,"해당 없음",H680/E680)</x:f>
        <x:v>0.09523809523809523</x:v>
      </x:c>
      <x:c r="Q680" s="15" t="n">
        <x:f>IF(E680=0,"해당 없음",I680/E680)</x:f>
        <x:v>0.05714285714285714</x:v>
      </x:c>
      <x:c r="R680" s="15" t="n">
        <x:f>IF(E680=0,"해당 없음",J680/E680)</x:f>
        <x:v>0.02857142857142857</x:v>
      </x:c>
      <x:c r="S680" s="15" t="n">
        <x:f>IF(E680=0,"해당 없음",K680/E680)</x:f>
        <x:v>0.12380952380952381</x:v>
      </x:c>
      <x:c r="T680" s="15" t="n">
        <x:f>IF(E680=0,"해당 없음",L680/E680)</x:f>
        <x:v>0.3047619047619048</x:v>
      </x:c>
      <x:c r="U680" s="15" t="n">
        <x:f>IF(E680=0,"해당 없음",M680/E680)</x:f>
        <x:v>0.1619047619047619</x:v>
      </x:c>
      <x:c r="V680" s="16" t="n">
        <x:f>E680/5</x:f>
        <x:v>21</x:v>
      </x:c>
    </x:row>
    <x:row r="681" ht="22" customHeight="1">
      <x:c r="A681" s="2" t="n">
        <x:v>338</x:v>
      </x:c>
      <x:c r="B681" s="2" t="str">
        <x:v>NAVY</x:v>
      </x:c>
      <x:c r="C681" s="2" t="str">
        <x:v>0만</x:v>
      </x:c>
      <x:c r="D681" s="2" t="str">
        <x:v>80만</x:v>
      </x:c>
      <x:c r="E681" s="14" t="n">
        <x:f>SUM(F681:M681)</x:f>
        <x:v>105</x:v>
      </x:c>
      <x:c r="F681" s="14" t="n">
        <x:v>13</x:v>
      </x:c>
      <x:c r="G681" s="14" t="n">
        <x:v>13</x:v>
      </x:c>
      <x:c r="H681" s="14" t="n">
        <x:v>12</x:v>
      </x:c>
      <x:c r="I681" s="14" t="n">
        <x:v>16</x:v>
      </x:c>
      <x:c r="J681" s="14" t="n">
        <x:v>13</x:v>
      </x:c>
      <x:c r="K681" s="14" t="n">
        <x:v>12</x:v>
      </x:c>
      <x:c r="L681" s="14" t="n">
        <x:v>8</x:v>
      </x:c>
      <x:c r="M681" s="14" t="n">
        <x:v>18</x:v>
      </x:c>
      <x:c r="N681" s="15" t="n">
        <x:f>IF(E681=0,"해당 없음",F681/E681)</x:f>
        <x:v>0.12380952380952381</x:v>
      </x:c>
      <x:c r="O681" s="15" t="n">
        <x:f>IF(E681=0,"해당 없음",G681/E681)</x:f>
        <x:v>0.12380952380952381</x:v>
      </x:c>
      <x:c r="P681" s="15" t="n">
        <x:f>IF(E681=0,"해당 없음",H681/E681)</x:f>
        <x:v>0.11428571428571428</x:v>
      </x:c>
      <x:c r="Q681" s="15" t="n">
        <x:f>IF(E681=0,"해당 없음",I681/E681)</x:f>
        <x:v>0.1523809523809524</x:v>
      </x:c>
      <x:c r="R681" s="15" t="n">
        <x:f>IF(E681=0,"해당 없음",J681/E681)</x:f>
        <x:v>0.12380952380952381</x:v>
      </x:c>
      <x:c r="S681" s="15" t="n">
        <x:f>IF(E681=0,"해당 없음",K681/E681)</x:f>
        <x:v>0.11428571428571428</x:v>
      </x:c>
      <x:c r="T681" s="15" t="n">
        <x:f>IF(E681=0,"해당 없음",L681/E681)</x:f>
        <x:v>0.0761904761904762</x:v>
      </x:c>
      <x:c r="U681" s="15" t="n">
        <x:f>IF(E681=0,"해당 없음",M681/E681)</x:f>
        <x:v>0.17142857142857143</x:v>
      </x:c>
      <x:c r="V681" s="16" t="n">
        <x:f>E681/5</x:f>
        <x:v>21</x:v>
      </x:c>
    </x:row>
    <x:row r="682" ht="22" customHeight="1">
      <x:c r="A682" s="2" t="n">
        <x:v>339</x:v>
      </x:c>
      <x:c r="B682" s="2" t="str">
        <x:v>RED</x:v>
      </x:c>
      <x:c r="C682" s="2" t="str">
        <x:v>0만</x:v>
      </x:c>
      <x:c r="D682" s="2" t="str">
        <x:v>80만</x:v>
      </x:c>
      <x:c r="E682" s="14" t="n">
        <x:f>SUM(F682:M682)</x:f>
        <x:v>107</x:v>
      </x:c>
      <x:c r="F682" s="14" t="n">
        <x:v>16</x:v>
      </x:c>
      <x:c r="G682" s="14" t="n">
        <x:v>6</x:v>
      </x:c>
      <x:c r="H682" s="14" t="n">
        <x:v>17</x:v>
      </x:c>
      <x:c r="I682" s="14" t="n">
        <x:v>11</x:v>
      </x:c>
      <x:c r="J682" s="14" t="n">
        <x:v>12</x:v>
      </x:c>
      <x:c r="K682" s="14" t="n">
        <x:v>16</x:v>
      </x:c>
      <x:c r="L682" s="14" t="n">
        <x:v>12</x:v>
      </x:c>
      <x:c r="M682" s="14" t="n">
        <x:v>17</x:v>
      </x:c>
      <x:c r="N682" s="15" t="n">
        <x:f>IF(E682=0,"해당 없음",F682/E682)</x:f>
        <x:v>0.14953271028037382</x:v>
      </x:c>
      <x:c r="O682" s="15" t="n">
        <x:f>IF(E682=0,"해당 없음",G682/E682)</x:f>
        <x:v>0.056074766355140186</x:v>
      </x:c>
      <x:c r="P682" s="15" t="n">
        <x:f>IF(E682=0,"해당 없음",H682/E682)</x:f>
        <x:v>0.1588785046728972</x:v>
      </x:c>
      <x:c r="Q682" s="15" t="n">
        <x:f>IF(E682=0,"해당 없음",I682/E682)</x:f>
        <x:v>0.102803738317757</x:v>
      </x:c>
      <x:c r="R682" s="15" t="n">
        <x:f>IF(E682=0,"해당 없음",J682/E682)</x:f>
        <x:v>0.11214953271028037</x:v>
      </x:c>
      <x:c r="S682" s="15" t="n">
        <x:f>IF(E682=0,"해당 없음",K682/E682)</x:f>
        <x:v>0.14953271028037382</x:v>
      </x:c>
      <x:c r="T682" s="15" t="n">
        <x:f>IF(E682=0,"해당 없음",L682/E682)</x:f>
        <x:v>0.11214953271028037</x:v>
      </x:c>
      <x:c r="U682" s="15" t="n">
        <x:f>IF(E682=0,"해당 없음",M682/E682)</x:f>
        <x:v>0.1588785046728972</x:v>
      </x:c>
      <x:c r="V682" s="16" t="n">
        <x:f>E682/5</x:f>
        <x:v>21.4</x:v>
      </x:c>
    </x:row>
    <x:row r="683" ht="22" customHeight="1">
      <x:c r="A683" s="2" t="n">
        <x:v>339</x:v>
      </x:c>
      <x:c r="B683" s="2" t="str">
        <x:v>NAVY</x:v>
      </x:c>
      <x:c r="C683" s="2" t="str">
        <x:v>80만</x:v>
      </x:c>
      <x:c r="D683" s="2" t="str">
        <x:v>0만</x:v>
      </x:c>
      <x:c r="E683" s="14" t="n">
        <x:f>SUM(F683:M683)</x:f>
        <x:v>107</x:v>
      </x:c>
      <x:c r="F683" s="14" t="n">
        <x:v>7</x:v>
      </x:c>
      <x:c r="G683" s="14" t="n">
        <x:v>9</x:v>
      </x:c>
      <x:c r="H683" s="14" t="n">
        <x:v>16</x:v>
      </x:c>
      <x:c r="I683" s="14" t="n">
        <x:v>10</x:v>
      </x:c>
      <x:c r="J683" s="14" t="n">
        <x:v>0</x:v>
      </x:c>
      <x:c r="K683" s="14" t="n">
        <x:v>14</x:v>
      </x:c>
      <x:c r="L683" s="14" t="n">
        <x:v>39</x:v>
      </x:c>
      <x:c r="M683" s="14" t="n">
        <x:v>12</x:v>
      </x:c>
      <x:c r="N683" s="15" t="n">
        <x:f>IF(E683=0,"해당 없음",F683/E683)</x:f>
        <x:v>0.06542056074766354</x:v>
      </x:c>
      <x:c r="O683" s="15" t="n">
        <x:f>IF(E683=0,"해당 없음",G683/E683)</x:f>
        <x:v>0.08411214953271028</x:v>
      </x:c>
      <x:c r="P683" s="15" t="n">
        <x:f>IF(E683=0,"해당 없음",H683/E683)</x:f>
        <x:v>0.14953271028037382</x:v>
      </x:c>
      <x:c r="Q683" s="15" t="n">
        <x:f>IF(E683=0,"해당 없음",I683/E683)</x:f>
        <x:v>0.09345794392523364</x:v>
      </x:c>
      <x:c r="R683" s="15" t="n">
        <x:f>IF(E683=0,"해당 없음",J683/E683)</x:f>
        <x:v>0</x:v>
      </x:c>
      <x:c r="S683" s="15" t="n">
        <x:f>IF(E683=0,"해당 없음",K683/E683)</x:f>
        <x:v>0.1308411214953271</x:v>
      </x:c>
      <x:c r="T683" s="15" t="n">
        <x:f>IF(E683=0,"해당 없음",L683/E683)</x:f>
        <x:v>0.3644859813084112</x:v>
      </x:c>
      <x:c r="U683" s="15" t="n">
        <x:f>IF(E683=0,"해당 없음",M683/E683)</x:f>
        <x:v>0.11214953271028037</x:v>
      </x:c>
      <x:c r="V683" s="16" t="n">
        <x:f>E683/5</x:f>
        <x:v>21.4</x:v>
      </x:c>
    </x:row>
    <x:row r="684" ht="22" customHeight="1">
      <x:c r="A684" s="2" t="n">
        <x:v>340</x:v>
      </x:c>
      <x:c r="B684" s="2" t="str">
        <x:v>RED</x:v>
      </x:c>
      <x:c r="C684" s="2" t="str">
        <x:v>80만</x:v>
      </x:c>
      <x:c r="D684" s="2" t="str">
        <x:v>0만</x:v>
      </x:c>
      <x:c r="E684" s="14" t="n">
        <x:f>SUM(F684:M684)</x:f>
        <x:v>108</x:v>
      </x:c>
      <x:c r="F684" s="14" t="n">
        <x:v>7</x:v>
      </x:c>
      <x:c r="G684" s="14" t="n">
        <x:v>13</x:v>
      </x:c>
      <x:c r="H684" s="14" t="n">
        <x:v>16</x:v>
      </x:c>
      <x:c r="I684" s="14" t="n">
        <x:v>7</x:v>
      </x:c>
      <x:c r="J684" s="14" t="n">
        <x:v>1</x:v>
      </x:c>
      <x:c r="K684" s="14" t="n">
        <x:v>10</x:v>
      </x:c>
      <x:c r="L684" s="14" t="n">
        <x:v>41</x:v>
      </x:c>
      <x:c r="M684" s="14" t="n">
        <x:v>13</x:v>
      </x:c>
      <x:c r="N684" s="15" t="n">
        <x:f>IF(E684=0,"해당 없음",F684/E684)</x:f>
        <x:v>0.06481481481481481</x:v>
      </x:c>
      <x:c r="O684" s="15" t="n">
        <x:f>IF(E684=0,"해당 없음",G684/E684)</x:f>
        <x:v>0.12037037037037036</x:v>
      </x:c>
      <x:c r="P684" s="15" t="n">
        <x:f>IF(E684=0,"해당 없음",H684/E684)</x:f>
        <x:v>0.14814814814814814</x:v>
      </x:c>
      <x:c r="Q684" s="15" t="n">
        <x:f>IF(E684=0,"해당 없음",I684/E684)</x:f>
        <x:v>0.06481481481481481</x:v>
      </x:c>
      <x:c r="R684" s="15" t="n">
        <x:f>IF(E684=0,"해당 없음",J684/E684)</x:f>
        <x:v>0.009259259259259259</x:v>
      </x:c>
      <x:c r="S684" s="15" t="n">
        <x:f>IF(E684=0,"해당 없음",K684/E684)</x:f>
        <x:v>0.09259259259259259</x:v>
      </x:c>
      <x:c r="T684" s="15" t="n">
        <x:f>IF(E684=0,"해당 없음",L684/E684)</x:f>
        <x:v>0.37962962962962965</x:v>
      </x:c>
      <x:c r="U684" s="15" t="n">
        <x:f>IF(E684=0,"해당 없음",M684/E684)</x:f>
        <x:v>0.12037037037037036</x:v>
      </x:c>
      <x:c r="V684" s="16" t="n">
        <x:f>E684/5</x:f>
        <x:v>21.6</x:v>
      </x:c>
    </x:row>
    <x:row r="685" ht="22" customHeight="1">
      <x:c r="A685" s="2" t="n">
        <x:v>340</x:v>
      </x:c>
      <x:c r="B685" s="2" t="str">
        <x:v>NAVY</x:v>
      </x:c>
      <x:c r="C685" s="2" t="str">
        <x:v>0만</x:v>
      </x:c>
      <x:c r="D685" s="2" t="str">
        <x:v>80만</x:v>
      </x:c>
      <x:c r="E685" s="14" t="n">
        <x:f>SUM(F685:M685)</x:f>
        <x:v>107</x:v>
      </x:c>
      <x:c r="F685" s="14" t="n">
        <x:v>16</x:v>
      </x:c>
      <x:c r="G685" s="14" t="n">
        <x:v>7</x:v>
      </x:c>
      <x:c r="H685" s="14" t="n">
        <x:v>16</x:v>
      </x:c>
      <x:c r="I685" s="14" t="n">
        <x:v>12</x:v>
      </x:c>
      <x:c r="J685" s="14" t="n">
        <x:v>10</x:v>
      </x:c>
      <x:c r="K685" s="14" t="n">
        <x:v>17</x:v>
      </x:c>
      <x:c r="L685" s="14" t="n">
        <x:v>12</x:v>
      </x:c>
      <x:c r="M685" s="14" t="n">
        <x:v>17</x:v>
      </x:c>
      <x:c r="N685" s="15" t="n">
        <x:f>IF(E685=0,"해당 없음",F685/E685)</x:f>
        <x:v>0.14953271028037382</x:v>
      </x:c>
      <x:c r="O685" s="15" t="n">
        <x:f>IF(E685=0,"해당 없음",G685/E685)</x:f>
        <x:v>0.06542056074766354</x:v>
      </x:c>
      <x:c r="P685" s="15" t="n">
        <x:f>IF(E685=0,"해당 없음",H685/E685)</x:f>
        <x:v>0.14953271028037382</x:v>
      </x:c>
      <x:c r="Q685" s="15" t="n">
        <x:f>IF(E685=0,"해당 없음",I685/E685)</x:f>
        <x:v>0.11214953271028037</x:v>
      </x:c>
      <x:c r="R685" s="15" t="n">
        <x:f>IF(E685=0,"해당 없음",J685/E685)</x:f>
        <x:v>0.09345794392523364</x:v>
      </x:c>
      <x:c r="S685" s="15" t="n">
        <x:f>IF(E685=0,"해당 없음",K685/E685)</x:f>
        <x:v>0.1588785046728972</x:v>
      </x:c>
      <x:c r="T685" s="15" t="n">
        <x:f>IF(E685=0,"해당 없음",L685/E685)</x:f>
        <x:v>0.11214953271028037</x:v>
      </x:c>
      <x:c r="U685" s="15" t="n">
        <x:f>IF(E685=0,"해당 없음",M685/E685)</x:f>
        <x:v>0.1588785046728972</x:v>
      </x:c>
      <x:c r="V685" s="16" t="n">
        <x:f>E685/5</x:f>
        <x:v>21.4</x:v>
      </x:c>
    </x:row>
    <x:row r="686" ht="22" customHeight="1">
      <x:c r="A686" s="2" t="n">
        <x:v>341</x:v>
      </x:c>
      <x:c r="B686" s="2" t="str">
        <x:v>RED</x:v>
      </x:c>
      <x:c r="C686" s="2" t="str">
        <x:v>0만</x:v>
      </x:c>
      <x:c r="D686" s="2" t="str">
        <x:v>80만</x:v>
      </x:c>
      <x:c r="E686" s="14" t="n">
        <x:f>SUM(F686:M686)</x:f>
        <x:v>104</x:v>
      </x:c>
      <x:c r="F686" s="14" t="n">
        <x:v>10</x:v>
      </x:c>
      <x:c r="G686" s="14" t="n">
        <x:v>11</x:v>
      </x:c>
      <x:c r="H686" s="14" t="n">
        <x:v>19</x:v>
      </x:c>
      <x:c r="I686" s="14" t="n">
        <x:v>11</x:v>
      </x:c>
      <x:c r="J686" s="14" t="n">
        <x:v>16</x:v>
      </x:c>
      <x:c r="K686" s="14" t="n">
        <x:v>13</x:v>
      </x:c>
      <x:c r="L686" s="14" t="n">
        <x:v>13</x:v>
      </x:c>
      <x:c r="M686" s="14" t="n">
        <x:v>11</x:v>
      </x:c>
      <x:c r="N686" s="15" t="n">
        <x:f>IF(E686=0,"해당 없음",F686/E686)</x:f>
        <x:v>0.09615384615384616</x:v>
      </x:c>
      <x:c r="O686" s="15" t="n">
        <x:f>IF(E686=0,"해당 없음",G686/E686)</x:f>
        <x:v>0.10576923076923077</x:v>
      </x:c>
      <x:c r="P686" s="15" t="n">
        <x:f>IF(E686=0,"해당 없음",H686/E686)</x:f>
        <x:v>0.18269230769230768</x:v>
      </x:c>
      <x:c r="Q686" s="15" t="n">
        <x:f>IF(E686=0,"해당 없음",I686/E686)</x:f>
        <x:v>0.10576923076923077</x:v>
      </x:c>
      <x:c r="R686" s="15" t="n">
        <x:f>IF(E686=0,"해당 없음",J686/E686)</x:f>
        <x:v>0.15384615384615385</x:v>
      </x:c>
      <x:c r="S686" s="15" t="n">
        <x:f>IF(E686=0,"해당 없음",K686/E686)</x:f>
        <x:v>0.125</x:v>
      </x:c>
      <x:c r="T686" s="15" t="n">
        <x:f>IF(E686=0,"해당 없음",L686/E686)</x:f>
        <x:v>0.125</x:v>
      </x:c>
      <x:c r="U686" s="15" t="n">
        <x:f>IF(E686=0,"해당 없음",M686/E686)</x:f>
        <x:v>0.10576923076923077</x:v>
      </x:c>
      <x:c r="V686" s="16" t="n">
        <x:f>E686/5</x:f>
        <x:v>20.8</x:v>
      </x:c>
    </x:row>
    <x:row r="687" ht="22" customHeight="1">
      <x:c r="A687" s="2" t="n">
        <x:v>341</x:v>
      </x:c>
      <x:c r="B687" s="2" t="str">
        <x:v>NAVY</x:v>
      </x:c>
      <x:c r="C687" s="2" t="str">
        <x:v>80만</x:v>
      </x:c>
      <x:c r="D687" s="2" t="str">
        <x:v>0만</x:v>
      </x:c>
      <x:c r="E687" s="14" t="n">
        <x:f>SUM(F687:M687)</x:f>
        <x:v>105</x:v>
      </x:c>
      <x:c r="F687" s="14" t="n">
        <x:v>3</x:v>
      </x:c>
      <x:c r="G687" s="14" t="n">
        <x:v>24</x:v>
      </x:c>
      <x:c r="H687" s="14" t="n">
        <x:v>14</x:v>
      </x:c>
      <x:c r="I687" s="14" t="n">
        <x:v>6</x:v>
      </x:c>
      <x:c r="J687" s="14" t="n">
        <x:v>1</x:v>
      </x:c>
      <x:c r="K687" s="14" t="n">
        <x:v>11</x:v>
      </x:c>
      <x:c r="L687" s="14" t="n">
        <x:v>35</x:v>
      </x:c>
      <x:c r="M687" s="14" t="n">
        <x:v>11</x:v>
      </x:c>
      <x:c r="N687" s="15" t="n">
        <x:f>IF(E687=0,"해당 없음",F687/E687)</x:f>
        <x:v>0.02857142857142857</x:v>
      </x:c>
      <x:c r="O687" s="15" t="n">
        <x:f>IF(E687=0,"해당 없음",G687/E687)</x:f>
        <x:v>0.22857142857142856</x:v>
      </x:c>
      <x:c r="P687" s="15" t="n">
        <x:f>IF(E687=0,"해당 없음",H687/E687)</x:f>
        <x:v>0.13333333333333333</x:v>
      </x:c>
      <x:c r="Q687" s="15" t="n">
        <x:f>IF(E687=0,"해당 없음",I687/E687)</x:f>
        <x:v>0.05714285714285714</x:v>
      </x:c>
      <x:c r="R687" s="15" t="n">
        <x:f>IF(E687=0,"해당 없음",J687/E687)</x:f>
        <x:v>0.009523809523809525</x:v>
      </x:c>
      <x:c r="S687" s="15" t="n">
        <x:f>IF(E687=0,"해당 없음",K687/E687)</x:f>
        <x:v>0.10476190476190476</x:v>
      </x:c>
      <x:c r="T687" s="15" t="n">
        <x:f>IF(E687=0,"해당 없음",L687/E687)</x:f>
        <x:v>0.3333333333333333</x:v>
      </x:c>
      <x:c r="U687" s="15" t="n">
        <x:f>IF(E687=0,"해당 없음",M687/E687)</x:f>
        <x:v>0.10476190476190476</x:v>
      </x:c>
      <x:c r="V687" s="16" t="n">
        <x:f>E687/5</x:f>
        <x:v>21</x:v>
      </x:c>
    </x:row>
    <x:row r="688" ht="22" customHeight="1">
      <x:c r="A688" s="2" t="n">
        <x:v>342</x:v>
      </x:c>
      <x:c r="B688" s="2" t="str">
        <x:v>RED</x:v>
      </x:c>
      <x:c r="C688" s="2" t="str">
        <x:v>80만</x:v>
      </x:c>
      <x:c r="D688" s="2" t="str">
        <x:v>0만</x:v>
      </x:c>
      <x:c r="E688" s="14" t="n">
        <x:f>SUM(F688:M688)</x:f>
        <x:v>103</x:v>
      </x:c>
      <x:c r="F688" s="14" t="n">
        <x:v>5</x:v>
      </x:c>
      <x:c r="G688" s="14" t="n">
        <x:v>19</x:v>
      </x:c>
      <x:c r="H688" s="14" t="n">
        <x:v>12</x:v>
      </x:c>
      <x:c r="I688" s="14" t="n">
        <x:v>9</x:v>
      </x:c>
      <x:c r="J688" s="14" t="n">
        <x:v>1</x:v>
      </x:c>
      <x:c r="K688" s="14" t="n">
        <x:v>10</x:v>
      </x:c>
      <x:c r="L688" s="14" t="n">
        <x:v>34</x:v>
      </x:c>
      <x:c r="M688" s="14" t="n">
        <x:v>13</x:v>
      </x:c>
      <x:c r="N688" s="15" t="n">
        <x:f>IF(E688=0,"해당 없음",F688/E688)</x:f>
        <x:v>0.04854368932038835</x:v>
      </x:c>
      <x:c r="O688" s="15" t="n">
        <x:f>IF(E688=0,"해당 없음",G688/E688)</x:f>
        <x:v>0.18446601941747573</x:v>
      </x:c>
      <x:c r="P688" s="15" t="n">
        <x:f>IF(E688=0,"해당 없음",H688/E688)</x:f>
        <x:v>0.11650485436893204</x:v>
      </x:c>
      <x:c r="Q688" s="15" t="n">
        <x:f>IF(E688=0,"해당 없음",I688/E688)</x:f>
        <x:v>0.08737864077669903</x:v>
      </x:c>
      <x:c r="R688" s="15" t="n">
        <x:f>IF(E688=0,"해당 없음",J688/E688)</x:f>
        <x:v>0.009708737864077669</x:v>
      </x:c>
      <x:c r="S688" s="15" t="n">
        <x:f>IF(E688=0,"해당 없음",K688/E688)</x:f>
        <x:v>0.0970873786407767</x:v>
      </x:c>
      <x:c r="T688" s="15" t="n">
        <x:f>IF(E688=0,"해당 없음",L688/E688)</x:f>
        <x:v>0.3300970873786408</x:v>
      </x:c>
      <x:c r="U688" s="15" t="n">
        <x:f>IF(E688=0,"해당 없음",M688/E688)</x:f>
        <x:v>0.1262135922330097</x:v>
      </x:c>
      <x:c r="V688" s="16" t="n">
        <x:f>E688/5</x:f>
        <x:v>20.6</x:v>
      </x:c>
    </x:row>
    <x:row r="689" ht="22" customHeight="1">
      <x:c r="A689" s="2" t="n">
        <x:v>342</x:v>
      </x:c>
      <x:c r="B689" s="2" t="str">
        <x:v>NAVY</x:v>
      </x:c>
      <x:c r="C689" s="2" t="str">
        <x:v>0만</x:v>
      </x:c>
      <x:c r="D689" s="2" t="str">
        <x:v>80만</x:v>
      </x:c>
      <x:c r="E689" s="14" t="n">
        <x:f>SUM(F689:M689)</x:f>
        <x:v>104</x:v>
      </x:c>
      <x:c r="F689" s="14" t="n">
        <x:v>10</x:v>
      </x:c>
      <x:c r="G689" s="14" t="n">
        <x:v>11</x:v>
      </x:c>
      <x:c r="H689" s="14" t="n">
        <x:v>19</x:v>
      </x:c>
      <x:c r="I689" s="14" t="n">
        <x:v>11</x:v>
      </x:c>
      <x:c r="J689" s="14" t="n">
        <x:v>16</x:v>
      </x:c>
      <x:c r="K689" s="14" t="n">
        <x:v>13</x:v>
      </x:c>
      <x:c r="L689" s="14" t="n">
        <x:v>13</x:v>
      </x:c>
      <x:c r="M689" s="14" t="n">
        <x:v>11</x:v>
      </x:c>
      <x:c r="N689" s="15" t="n">
        <x:f>IF(E689=0,"해당 없음",F689/E689)</x:f>
        <x:v>0.09615384615384616</x:v>
      </x:c>
      <x:c r="O689" s="15" t="n">
        <x:f>IF(E689=0,"해당 없음",G689/E689)</x:f>
        <x:v>0.10576923076923077</x:v>
      </x:c>
      <x:c r="P689" s="15" t="n">
        <x:f>IF(E689=0,"해당 없음",H689/E689)</x:f>
        <x:v>0.18269230769230768</x:v>
      </x:c>
      <x:c r="Q689" s="15" t="n">
        <x:f>IF(E689=0,"해당 없음",I689/E689)</x:f>
        <x:v>0.10576923076923077</x:v>
      </x:c>
      <x:c r="R689" s="15" t="n">
        <x:f>IF(E689=0,"해당 없음",J689/E689)</x:f>
        <x:v>0.15384615384615385</x:v>
      </x:c>
      <x:c r="S689" s="15" t="n">
        <x:f>IF(E689=0,"해당 없음",K689/E689)</x:f>
        <x:v>0.125</x:v>
      </x:c>
      <x:c r="T689" s="15" t="n">
        <x:f>IF(E689=0,"해당 없음",L689/E689)</x:f>
        <x:v>0.125</x:v>
      </x:c>
      <x:c r="U689" s="15" t="n">
        <x:f>IF(E689=0,"해당 없음",M689/E689)</x:f>
        <x:v>0.10576923076923077</x:v>
      </x:c>
      <x:c r="V689" s="16" t="n">
        <x:f>E689/5</x:f>
        <x:v>20.8</x:v>
      </x:c>
    </x:row>
    <x:row r="690" ht="22" customHeight="1">
      <x:c r="A690" s="2" t="n">
        <x:v>343</x:v>
      </x:c>
      <x:c r="B690" s="2" t="str">
        <x:v>RED</x:v>
      </x:c>
      <x:c r="C690" s="2" t="str">
        <x:v>0만</x:v>
      </x:c>
      <x:c r="D690" s="2" t="str">
        <x:v>80만</x:v>
      </x:c>
      <x:c r="E690" s="14" t="n">
        <x:f>SUM(F690:M690)</x:f>
        <x:v>104</x:v>
      </x:c>
      <x:c r="F690" s="14" t="n">
        <x:v>18</x:v>
      </x:c>
      <x:c r="G690" s="14" t="n">
        <x:v>9</x:v>
      </x:c>
      <x:c r="H690" s="14" t="n">
        <x:v>10</x:v>
      </x:c>
      <x:c r="I690" s="14" t="n">
        <x:v>20</x:v>
      </x:c>
      <x:c r="J690" s="14" t="n">
        <x:v>7</x:v>
      </x:c>
      <x:c r="K690" s="14" t="n">
        <x:v>15</x:v>
      </x:c>
      <x:c r="L690" s="14" t="n">
        <x:v>13</x:v>
      </x:c>
      <x:c r="M690" s="14" t="n">
        <x:v>12</x:v>
      </x:c>
      <x:c r="N690" s="15" t="n">
        <x:f>IF(E690=0,"해당 없음",F690/E690)</x:f>
        <x:v>0.17307692307692307</x:v>
      </x:c>
      <x:c r="O690" s="15" t="n">
        <x:f>IF(E690=0,"해당 없음",G690/E690)</x:f>
        <x:v>0.08653846153846154</x:v>
      </x:c>
      <x:c r="P690" s="15" t="n">
        <x:f>IF(E690=0,"해당 없음",H690/E690)</x:f>
        <x:v>0.09615384615384616</x:v>
      </x:c>
      <x:c r="Q690" s="15" t="n">
        <x:f>IF(E690=0,"해당 없음",I690/E690)</x:f>
        <x:v>0.19230769230769232</x:v>
      </x:c>
      <x:c r="R690" s="15" t="n">
        <x:f>IF(E690=0,"해당 없음",J690/E690)</x:f>
        <x:v>0.0673076923076923</x:v>
      </x:c>
      <x:c r="S690" s="15" t="n">
        <x:f>IF(E690=0,"해당 없음",K690/E690)</x:f>
        <x:v>0.14423076923076922</x:v>
      </x:c>
      <x:c r="T690" s="15" t="n">
        <x:f>IF(E690=0,"해당 없음",L690/E690)</x:f>
        <x:v>0.125</x:v>
      </x:c>
      <x:c r="U690" s="15" t="n">
        <x:f>IF(E690=0,"해당 없음",M690/E690)</x:f>
        <x:v>0.11538461538461539</x:v>
      </x:c>
      <x:c r="V690" s="16" t="n">
        <x:f>E690/5</x:f>
        <x:v>20.8</x:v>
      </x:c>
    </x:row>
    <x:row r="691" ht="22" customHeight="1">
      <x:c r="A691" s="2" t="n">
        <x:v>343</x:v>
      </x:c>
      <x:c r="B691" s="2" t="str">
        <x:v>NAVY</x:v>
      </x:c>
      <x:c r="C691" s="2" t="str">
        <x:v>80만</x:v>
      </x:c>
      <x:c r="D691" s="2" t="str">
        <x:v>0만</x:v>
      </x:c>
      <x:c r="E691" s="14" t="n">
        <x:f>SUM(F691:M691)</x:f>
        <x:v>104</x:v>
      </x:c>
      <x:c r="F691" s="14" t="n">
        <x:v>5</x:v>
      </x:c>
      <x:c r="G691" s="14" t="n">
        <x:v>26</x:v>
      </x:c>
      <x:c r="H691" s="14" t="n">
        <x:v>11</x:v>
      </x:c>
      <x:c r="I691" s="14" t="n">
        <x:v>3</x:v>
      </x:c>
      <x:c r="J691" s="14" t="n">
        <x:v>4</x:v>
      </x:c>
      <x:c r="K691" s="14" t="n">
        <x:v>11</x:v>
      </x:c>
      <x:c r="L691" s="14" t="n">
        <x:v>33</x:v>
      </x:c>
      <x:c r="M691" s="14" t="n">
        <x:v>11</x:v>
      </x:c>
      <x:c r="N691" s="15" t="n">
        <x:f>IF(E691=0,"해당 없음",F691/E691)</x:f>
        <x:v>0.04807692307692308</x:v>
      </x:c>
      <x:c r="O691" s="15" t="n">
        <x:f>IF(E691=0,"해당 없음",G691/E691)</x:f>
        <x:v>0.25</x:v>
      </x:c>
      <x:c r="P691" s="15" t="n">
        <x:f>IF(E691=0,"해당 없음",H691/E691)</x:f>
        <x:v>0.10576923076923077</x:v>
      </x:c>
      <x:c r="Q691" s="15" t="n">
        <x:f>IF(E691=0,"해당 없음",I691/E691)</x:f>
        <x:v>0.028846153846153848</x:v>
      </x:c>
      <x:c r="R691" s="15" t="n">
        <x:f>IF(E691=0,"해당 없음",J691/E691)</x:f>
        <x:v>0.038461538461538464</x:v>
      </x:c>
      <x:c r="S691" s="15" t="n">
        <x:f>IF(E691=0,"해당 없음",K691/E691)</x:f>
        <x:v>0.10576923076923077</x:v>
      </x:c>
      <x:c r="T691" s="15" t="n">
        <x:f>IF(E691=0,"해당 없음",L691/E691)</x:f>
        <x:v>0.3173076923076923</x:v>
      </x:c>
      <x:c r="U691" s="15" t="n">
        <x:f>IF(E691=0,"해당 없음",M691/E691)</x:f>
        <x:v>0.10576923076923077</x:v>
      </x:c>
      <x:c r="V691" s="16" t="n">
        <x:f>E691/5</x:f>
        <x:v>20.8</x:v>
      </x:c>
    </x:row>
    <x:row r="692" ht="22" customHeight="1">
      <x:c r="A692" s="2" t="n">
        <x:v>344</x:v>
      </x:c>
      <x:c r="B692" s="2" t="str">
        <x:v>RED</x:v>
      </x:c>
      <x:c r="C692" s="2" t="str">
        <x:v>80만</x:v>
      </x:c>
      <x:c r="D692" s="2" t="str">
        <x:v>0만</x:v>
      </x:c>
      <x:c r="E692" s="14" t="n">
        <x:f>SUM(F692:M692)</x:f>
        <x:v>103</x:v>
      </x:c>
      <x:c r="F692" s="14" t="n">
        <x:v>6</x:v>
      </x:c>
      <x:c r="G692" s="14" t="n">
        <x:v>13</x:v>
      </x:c>
      <x:c r="H692" s="14" t="n">
        <x:v>8</x:v>
      </x:c>
      <x:c r="I692" s="14" t="n">
        <x:v>7</x:v>
      </x:c>
      <x:c r="J692" s="14" t="n">
        <x:v>1</x:v>
      </x:c>
      <x:c r="K692" s="14" t="n">
        <x:v>13</x:v>
      </x:c>
      <x:c r="L692" s="14" t="n">
        <x:v>37</x:v>
      </x:c>
      <x:c r="M692" s="14" t="n">
        <x:v>18</x:v>
      </x:c>
      <x:c r="N692" s="15" t="n">
        <x:f>IF(E692=0,"해당 없음",F692/E692)</x:f>
        <x:v>0.05825242718446602</x:v>
      </x:c>
      <x:c r="O692" s="15" t="n">
        <x:f>IF(E692=0,"해당 없음",G692/E692)</x:f>
        <x:v>0.1262135922330097</x:v>
      </x:c>
      <x:c r="P692" s="15" t="n">
        <x:f>IF(E692=0,"해당 없음",H692/E692)</x:f>
        <x:v>0.07766990291262135</x:v>
      </x:c>
      <x:c r="Q692" s="15" t="n">
        <x:f>IF(E692=0,"해당 없음",I692/E692)</x:f>
        <x:v>0.06796116504854369</x:v>
      </x:c>
      <x:c r="R692" s="15" t="n">
        <x:f>IF(E692=0,"해당 없음",J692/E692)</x:f>
        <x:v>0.009708737864077669</x:v>
      </x:c>
      <x:c r="S692" s="15" t="n">
        <x:f>IF(E692=0,"해당 없음",K692/E692)</x:f>
        <x:v>0.1262135922330097</x:v>
      </x:c>
      <x:c r="T692" s="15" t="n">
        <x:f>IF(E692=0,"해당 없음",L692/E692)</x:f>
        <x:v>0.3592233009708738</x:v>
      </x:c>
      <x:c r="U692" s="15" t="n">
        <x:f>IF(E692=0,"해당 없음",M692/E692)</x:f>
        <x:v>0.17475728155339806</x:v>
      </x:c>
      <x:c r="V692" s="16" t="n">
        <x:f>E692/5</x:f>
        <x:v>20.6</x:v>
      </x:c>
    </x:row>
    <x:row r="693" ht="22" customHeight="1">
      <x:c r="A693" s="2" t="n">
        <x:v>344</x:v>
      </x:c>
      <x:c r="B693" s="2" t="str">
        <x:v>NAVY</x:v>
      </x:c>
      <x:c r="C693" s="2" t="str">
        <x:v>0만</x:v>
      </x:c>
      <x:c r="D693" s="2" t="str">
        <x:v>80만</x:v>
      </x:c>
      <x:c r="E693" s="14" t="n">
        <x:f>SUM(F693:M693)</x:f>
        <x:v>103</x:v>
      </x:c>
      <x:c r="F693" s="14" t="n">
        <x:v>18</x:v>
      </x:c>
      <x:c r="G693" s="14" t="n">
        <x:v>9</x:v>
      </x:c>
      <x:c r="H693" s="14" t="n">
        <x:v>10</x:v>
      </x:c>
      <x:c r="I693" s="14" t="n">
        <x:v>19</x:v>
      </x:c>
      <x:c r="J693" s="14" t="n">
        <x:v>7</x:v>
      </x:c>
      <x:c r="K693" s="14" t="n">
        <x:v>15</x:v>
      </x:c>
      <x:c r="L693" s="14" t="n">
        <x:v>13</x:v>
      </x:c>
      <x:c r="M693" s="14" t="n">
        <x:v>12</x:v>
      </x:c>
      <x:c r="N693" s="15" t="n">
        <x:f>IF(E693=0,"해당 없음",F693/E693)</x:f>
        <x:v>0.17475728155339806</x:v>
      </x:c>
      <x:c r="O693" s="15" t="n">
        <x:f>IF(E693=0,"해당 없음",G693/E693)</x:f>
        <x:v>0.08737864077669903</x:v>
      </x:c>
      <x:c r="P693" s="15" t="n">
        <x:f>IF(E693=0,"해당 없음",H693/E693)</x:f>
        <x:v>0.0970873786407767</x:v>
      </x:c>
      <x:c r="Q693" s="15" t="n">
        <x:f>IF(E693=0,"해당 없음",I693/E693)</x:f>
        <x:v>0.18446601941747573</x:v>
      </x:c>
      <x:c r="R693" s="15" t="n">
        <x:f>IF(E693=0,"해당 없음",J693/E693)</x:f>
        <x:v>0.06796116504854369</x:v>
      </x:c>
      <x:c r="S693" s="15" t="n">
        <x:f>IF(E693=0,"해당 없음",K693/E693)</x:f>
        <x:v>0.14563106796116504</x:v>
      </x:c>
      <x:c r="T693" s="15" t="n">
        <x:f>IF(E693=0,"해당 없음",L693/E693)</x:f>
        <x:v>0.1262135922330097</x:v>
      </x:c>
      <x:c r="U693" s="15" t="n">
        <x:f>IF(E693=0,"해당 없음",M693/E693)</x:f>
        <x:v>0.11650485436893204</x:v>
      </x:c>
      <x:c r="V693" s="16" t="n">
        <x:f>E693/5</x:f>
        <x:v>20.6</x:v>
      </x:c>
    </x:row>
    <x:row r="694" ht="22" customHeight="1">
      <x:c r="A694" s="2" t="n">
        <x:v>345</x:v>
      </x:c>
      <x:c r="B694" s="2" t="str">
        <x:v>RED</x:v>
      </x:c>
      <x:c r="C694" s="2" t="str">
        <x:v>0만</x:v>
      </x:c>
      <x:c r="D694" s="2" t="str">
        <x:v>80만</x:v>
      </x:c>
      <x:c r="E694" s="14" t="n">
        <x:f>SUM(F694:M694)</x:f>
        <x:v>102</x:v>
      </x:c>
      <x:c r="F694" s="14" t="n">
        <x:v>11</x:v>
      </x:c>
      <x:c r="G694" s="14" t="n">
        <x:v>14</x:v>
      </x:c>
      <x:c r="H694" s="14" t="n">
        <x:v>14</x:v>
      </x:c>
      <x:c r="I694" s="14" t="n">
        <x:v>9</x:v>
      </x:c>
      <x:c r="J694" s="14" t="n">
        <x:v>17</x:v>
      </x:c>
      <x:c r="K694" s="14" t="n">
        <x:v>13</x:v>
      </x:c>
      <x:c r="L694" s="14" t="n">
        <x:v>16</x:v>
      </x:c>
      <x:c r="M694" s="14" t="n">
        <x:v>8</x:v>
      </x:c>
      <x:c r="N694" s="15" t="n">
        <x:f>IF(E694=0,"해당 없음",F694/E694)</x:f>
        <x:v>0.10784313725490197</x:v>
      </x:c>
      <x:c r="O694" s="15" t="n">
        <x:f>IF(E694=0,"해당 없음",G694/E694)</x:f>
        <x:v>0.13725490196078433</x:v>
      </x:c>
      <x:c r="P694" s="15" t="n">
        <x:f>IF(E694=0,"해당 없음",H694/E694)</x:f>
        <x:v>0.13725490196078433</x:v>
      </x:c>
      <x:c r="Q694" s="15" t="n">
        <x:f>IF(E694=0,"해당 없음",I694/E694)</x:f>
        <x:v>0.08823529411764706</x:v>
      </x:c>
      <x:c r="R694" s="15" t="n">
        <x:f>IF(E694=0,"해당 없음",J694/E694)</x:f>
        <x:v>0.16666666666666666</x:v>
      </x:c>
      <x:c r="S694" s="15" t="n">
        <x:f>IF(E694=0,"해당 없음",K694/E694)</x:f>
        <x:v>0.12745098039215685</x:v>
      </x:c>
      <x:c r="T694" s="15" t="n">
        <x:f>IF(E694=0,"해당 없음",L694/E694)</x:f>
        <x:v>0.1568627450980392</x:v>
      </x:c>
      <x:c r="U694" s="15" t="n">
        <x:f>IF(E694=0,"해당 없음",M694/E694)</x:f>
        <x:v>0.0784313725490196</x:v>
      </x:c>
      <x:c r="V694" s="16" t="n">
        <x:f>E694/5</x:f>
        <x:v>20.4</x:v>
      </x:c>
    </x:row>
    <x:row r="695" ht="22" customHeight="1">
      <x:c r="A695" s="2" t="n">
        <x:v>345</x:v>
      </x:c>
      <x:c r="B695" s="2" t="str">
        <x:v>NAVY</x:v>
      </x:c>
      <x:c r="C695" s="2" t="str">
        <x:v>80만</x:v>
      </x:c>
      <x:c r="D695" s="2" t="str">
        <x:v>0만</x:v>
      </x:c>
      <x:c r="E695" s="14" t="n">
        <x:f>SUM(F695:M695)</x:f>
        <x:v>105</x:v>
      </x:c>
      <x:c r="F695" s="14" t="n">
        <x:v>5</x:v>
      </x:c>
      <x:c r="G695" s="14" t="n">
        <x:v>25</x:v>
      </x:c>
      <x:c r="H695" s="14" t="n">
        <x:v>10</x:v>
      </x:c>
      <x:c r="I695" s="14" t="n">
        <x:v>4</x:v>
      </x:c>
      <x:c r="J695" s="14" t="n">
        <x:v>3</x:v>
      </x:c>
      <x:c r="K695" s="14" t="n">
        <x:v>13</x:v>
      </x:c>
      <x:c r="L695" s="14" t="n">
        <x:v>34</x:v>
      </x:c>
      <x:c r="M695" s="14" t="n">
        <x:v>11</x:v>
      </x:c>
      <x:c r="N695" s="15" t="n">
        <x:f>IF(E695=0,"해당 없음",F695/E695)</x:f>
        <x:v>0.047619047619047616</x:v>
      </x:c>
      <x:c r="O695" s="15" t="n">
        <x:f>IF(E695=0,"해당 없음",G695/E695)</x:f>
        <x:v>0.23809523809523808</x:v>
      </x:c>
      <x:c r="P695" s="15" t="n">
        <x:f>IF(E695=0,"해당 없음",H695/E695)</x:f>
        <x:v>0.09523809523809523</x:v>
      </x:c>
      <x:c r="Q695" s="15" t="n">
        <x:f>IF(E695=0,"해당 없음",I695/E695)</x:f>
        <x:v>0.0380952380952381</x:v>
      </x:c>
      <x:c r="R695" s="15" t="n">
        <x:f>IF(E695=0,"해당 없음",J695/E695)</x:f>
        <x:v>0.02857142857142857</x:v>
      </x:c>
      <x:c r="S695" s="15" t="n">
        <x:f>IF(E695=0,"해당 없음",K695/E695)</x:f>
        <x:v>0.12380952380952381</x:v>
      </x:c>
      <x:c r="T695" s="15" t="n">
        <x:f>IF(E695=0,"해당 없음",L695/E695)</x:f>
        <x:v>0.3238095238095238</x:v>
      </x:c>
      <x:c r="U695" s="15" t="n">
        <x:f>IF(E695=0,"해당 없음",M695/E695)</x:f>
        <x:v>0.10476190476190476</x:v>
      </x:c>
      <x:c r="V695" s="16" t="n">
        <x:f>E695/5</x:f>
        <x:v>21</x:v>
      </x:c>
    </x:row>
    <x:row r="696" ht="22" customHeight="1">
      <x:c r="A696" s="2" t="n">
        <x:v>346</x:v>
      </x:c>
      <x:c r="B696" s="2" t="str">
        <x:v>RED</x:v>
      </x:c>
      <x:c r="C696" s="2" t="str">
        <x:v>80만</x:v>
      </x:c>
      <x:c r="D696" s="2" t="str">
        <x:v>0만</x:v>
      </x:c>
      <x:c r="E696" s="14" t="n">
        <x:f>SUM(F696:M696)</x:f>
        <x:v>106</x:v>
      </x:c>
      <x:c r="F696" s="14" t="n">
        <x:v>5</x:v>
      </x:c>
      <x:c r="G696" s="14" t="n">
        <x:v>22</x:v>
      </x:c>
      <x:c r="H696" s="14" t="n">
        <x:v>15</x:v>
      </x:c>
      <x:c r="I696" s="14" t="n">
        <x:v>2</x:v>
      </x:c>
      <x:c r="J696" s="14" t="n">
        <x:v>4</x:v>
      </x:c>
      <x:c r="K696" s="14" t="n">
        <x:v>12</x:v>
      </x:c>
      <x:c r="L696" s="14" t="n">
        <x:v>39</x:v>
      </x:c>
      <x:c r="M696" s="14" t="n">
        <x:v>7</x:v>
      </x:c>
      <x:c r="N696" s="15" t="n">
        <x:f>IF(E696=0,"해당 없음",F696/E696)</x:f>
        <x:v>0.04716981132075472</x:v>
      </x:c>
      <x:c r="O696" s="15" t="n">
        <x:f>IF(E696=0,"해당 없음",G696/E696)</x:f>
        <x:v>0.20754716981132076</x:v>
      </x:c>
      <x:c r="P696" s="15" t="n">
        <x:f>IF(E696=0,"해당 없음",H696/E696)</x:f>
        <x:v>0.14150943396226415</x:v>
      </x:c>
      <x:c r="Q696" s="15" t="n">
        <x:f>IF(E696=0,"해당 없음",I696/E696)</x:f>
        <x:v>0.018867924528301886</x:v>
      </x:c>
      <x:c r="R696" s="15" t="n">
        <x:f>IF(E696=0,"해당 없음",J696/E696)</x:f>
        <x:v>0.03773584905660377</x:v>
      </x:c>
      <x:c r="S696" s="15" t="n">
        <x:f>IF(E696=0,"해당 없음",K696/E696)</x:f>
        <x:v>0.11320754716981132</x:v>
      </x:c>
      <x:c r="T696" s="15" t="n">
        <x:f>IF(E696=0,"해당 없음",L696/E696)</x:f>
        <x:v>0.36792452830188677</x:v>
      </x:c>
      <x:c r="U696" s="15" t="n">
        <x:f>IF(E696=0,"해당 없음",M696/E696)</x:f>
        <x:v>0.0660377358490566</x:v>
      </x:c>
      <x:c r="V696" s="16" t="n">
        <x:f>E696/5</x:f>
        <x:v>21.2</x:v>
      </x:c>
    </x:row>
    <x:row r="697" ht="22" customHeight="1">
      <x:c r="A697" s="2" t="n">
        <x:v>346</x:v>
      </x:c>
      <x:c r="B697" s="2" t="str">
        <x:v>NAVY</x:v>
      </x:c>
      <x:c r="C697" s="2" t="str">
        <x:v>0만</x:v>
      </x:c>
      <x:c r="D697" s="2" t="str">
        <x:v>80만</x:v>
      </x:c>
      <x:c r="E697" s="14" t="n">
        <x:f>SUM(F697:M697)</x:f>
        <x:v>106</x:v>
      </x:c>
      <x:c r="F697" s="14" t="n">
        <x:v>11</x:v>
      </x:c>
      <x:c r="G697" s="14" t="n">
        <x:v>14</x:v>
      </x:c>
      <x:c r="H697" s="14" t="n">
        <x:v>14</x:v>
      </x:c>
      <x:c r="I697" s="14" t="n">
        <x:v>13</x:v>
      </x:c>
      <x:c r="J697" s="14" t="n">
        <x:v>17</x:v>
      </x:c>
      <x:c r="K697" s="14" t="n">
        <x:v>13</x:v>
      </x:c>
      <x:c r="L697" s="14" t="n">
        <x:v>16</x:v>
      </x:c>
      <x:c r="M697" s="14" t="n">
        <x:v>8</x:v>
      </x:c>
      <x:c r="N697" s="15" t="n">
        <x:f>IF(E697=0,"해당 없음",F697/E697)</x:f>
        <x:v>0.10377358490566038</x:v>
      </x:c>
      <x:c r="O697" s="15" t="n">
        <x:f>IF(E697=0,"해당 없음",G697/E697)</x:f>
        <x:v>0.1320754716981132</x:v>
      </x:c>
      <x:c r="P697" s="15" t="n">
        <x:f>IF(E697=0,"해당 없음",H697/E697)</x:f>
        <x:v>0.1320754716981132</x:v>
      </x:c>
      <x:c r="Q697" s="15" t="n">
        <x:f>IF(E697=0,"해당 없음",I697/E697)</x:f>
        <x:v>0.12264150943396226</x:v>
      </x:c>
      <x:c r="R697" s="15" t="n">
        <x:f>IF(E697=0,"해당 없음",J697/E697)</x:f>
        <x:v>0.16037735849056603</x:v>
      </x:c>
      <x:c r="S697" s="15" t="n">
        <x:f>IF(E697=0,"해당 없음",K697/E697)</x:f>
        <x:v>0.12264150943396226</x:v>
      </x:c>
      <x:c r="T697" s="15" t="n">
        <x:f>IF(E697=0,"해당 없음",L697/E697)</x:f>
        <x:v>0.1509433962264151</x:v>
      </x:c>
      <x:c r="U697" s="15" t="n">
        <x:f>IF(E697=0,"해당 없음",M697/E697)</x:f>
        <x:v>0.07547169811320754</x:v>
      </x:c>
      <x:c r="V697" s="16" t="n">
        <x:f>E697/5</x:f>
        <x:v>21.2</x:v>
      </x:c>
    </x:row>
    <x:row r="698" ht="22" customHeight="1">
      <x:c r="A698" s="2" t="n">
        <x:v>347</x:v>
      </x:c>
      <x:c r="B698" s="2" t="str">
        <x:v>RED</x:v>
      </x:c>
      <x:c r="C698" s="2" t="str">
        <x:v>0만</x:v>
      </x:c>
      <x:c r="D698" s="2" t="str">
        <x:v>80만</x:v>
      </x:c>
      <x:c r="E698" s="14" t="n">
        <x:f>SUM(F698:M698)</x:f>
        <x:v>103</x:v>
      </x:c>
      <x:c r="F698" s="14" t="n">
        <x:v>9</x:v>
      </x:c>
      <x:c r="G698" s="14" t="n">
        <x:v>11</x:v>
      </x:c>
      <x:c r="H698" s="14" t="n">
        <x:v>11</x:v>
      </x:c>
      <x:c r="I698" s="14" t="n">
        <x:v>17</x:v>
      </x:c>
      <x:c r="J698" s="14" t="n">
        <x:v>13</x:v>
      </x:c>
      <x:c r="K698" s="14" t="n">
        <x:v>11</x:v>
      </x:c>
      <x:c r="L698" s="14" t="n">
        <x:v>14</x:v>
      </x:c>
      <x:c r="M698" s="14" t="n">
        <x:v>17</x:v>
      </x:c>
      <x:c r="N698" s="15" t="n">
        <x:f>IF(E698=0,"해당 없음",F698/E698)</x:f>
        <x:v>0.08737864077669903</x:v>
      </x:c>
      <x:c r="O698" s="15" t="n">
        <x:f>IF(E698=0,"해당 없음",G698/E698)</x:f>
        <x:v>0.10679611650485436</x:v>
      </x:c>
      <x:c r="P698" s="15" t="n">
        <x:f>IF(E698=0,"해당 없음",H698/E698)</x:f>
        <x:v>0.10679611650485436</x:v>
      </x:c>
      <x:c r="Q698" s="15" t="n">
        <x:f>IF(E698=0,"해당 없음",I698/E698)</x:f>
        <x:v>0.1650485436893204</x:v>
      </x:c>
      <x:c r="R698" s="15" t="n">
        <x:f>IF(E698=0,"해당 없음",J698/E698)</x:f>
        <x:v>0.1262135922330097</x:v>
      </x:c>
      <x:c r="S698" s="15" t="n">
        <x:f>IF(E698=0,"해당 없음",K698/E698)</x:f>
        <x:v>0.10679611650485436</x:v>
      </x:c>
      <x:c r="T698" s="15" t="n">
        <x:f>IF(E698=0,"해당 없음",L698/E698)</x:f>
        <x:v>0.13592233009708737</x:v>
      </x:c>
      <x:c r="U698" s="15" t="n">
        <x:f>IF(E698=0,"해당 없음",M698/E698)</x:f>
        <x:v>0.1650485436893204</x:v>
      </x:c>
      <x:c r="V698" s="16" t="n">
        <x:f>E698/5</x:f>
        <x:v>20.6</x:v>
      </x:c>
    </x:row>
    <x:row r="699" ht="22" customHeight="1">
      <x:c r="A699" s="2" t="n">
        <x:v>347</x:v>
      </x:c>
      <x:c r="B699" s="2" t="str">
        <x:v>NAVY</x:v>
      </x:c>
      <x:c r="C699" s="2" t="str">
        <x:v>80만</x:v>
      </x:c>
      <x:c r="D699" s="2" t="str">
        <x:v>0만</x:v>
      </x:c>
      <x:c r="E699" s="14" t="n">
        <x:f>SUM(F699:M699)</x:f>
        <x:v>103</x:v>
      </x:c>
      <x:c r="F699" s="14" t="n">
        <x:v>4</x:v>
      </x:c>
      <x:c r="G699" s="14" t="n">
        <x:v>15</x:v>
      </x:c>
      <x:c r="H699" s="14" t="n">
        <x:v>13</x:v>
      </x:c>
      <x:c r="I699" s="14" t="n">
        <x:v>4</x:v>
      </x:c>
      <x:c r="J699" s="14" t="n">
        <x:v>1</x:v>
      </x:c>
      <x:c r="K699" s="14" t="n">
        <x:v>12</x:v>
      </x:c>
      <x:c r="L699" s="14" t="n">
        <x:v>38</x:v>
      </x:c>
      <x:c r="M699" s="14" t="n">
        <x:v>16</x:v>
      </x:c>
      <x:c r="N699" s="15" t="n">
        <x:f>IF(E699=0,"해당 없음",F699/E699)</x:f>
        <x:v>0.038834951456310676</x:v>
      </x:c>
      <x:c r="O699" s="15" t="n">
        <x:f>IF(E699=0,"해당 없음",G699/E699)</x:f>
        <x:v>0.14563106796116504</x:v>
      </x:c>
      <x:c r="P699" s="15" t="n">
        <x:f>IF(E699=0,"해당 없음",H699/E699)</x:f>
        <x:v>0.1262135922330097</x:v>
      </x:c>
      <x:c r="Q699" s="15" t="n">
        <x:f>IF(E699=0,"해당 없음",I699/E699)</x:f>
        <x:v>0.038834951456310676</x:v>
      </x:c>
      <x:c r="R699" s="15" t="n">
        <x:f>IF(E699=0,"해당 없음",J699/E699)</x:f>
        <x:v>0.009708737864077669</x:v>
      </x:c>
      <x:c r="S699" s="15" t="n">
        <x:f>IF(E699=0,"해당 없음",K699/E699)</x:f>
        <x:v>0.11650485436893204</x:v>
      </x:c>
      <x:c r="T699" s="15" t="n">
        <x:f>IF(E699=0,"해당 없음",L699/E699)</x:f>
        <x:v>0.36893203883495146</x:v>
      </x:c>
      <x:c r="U699" s="15" t="n">
        <x:f>IF(E699=0,"해당 없음",M699/E699)</x:f>
        <x:v>0.1553398058252427</x:v>
      </x:c>
      <x:c r="V699" s="16" t="n">
        <x:f>E699/5</x:f>
        <x:v>20.6</x:v>
      </x:c>
    </x:row>
    <x:row r="700" ht="22" customHeight="1">
      <x:c r="A700" s="2" t="n">
        <x:v>348</x:v>
      </x:c>
      <x:c r="B700" s="2" t="str">
        <x:v>RED</x:v>
      </x:c>
      <x:c r="C700" s="2" t="str">
        <x:v>80만</x:v>
      </x:c>
      <x:c r="D700" s="2" t="str">
        <x:v>0만</x:v>
      </x:c>
      <x:c r="E700" s="14" t="n">
        <x:f>SUM(F700:M700)</x:f>
        <x:v>104</x:v>
      </x:c>
      <x:c r="F700" s="14" t="n">
        <x:v>5</x:v>
      </x:c>
      <x:c r="G700" s="14" t="n">
        <x:v>20</x:v>
      </x:c>
      <x:c r="H700" s="14" t="n">
        <x:v>6</x:v>
      </x:c>
      <x:c r="I700" s="14" t="n">
        <x:v>4</x:v>
      </x:c>
      <x:c r="J700" s="14" t="n">
        <x:v>3</x:v>
      </x:c>
      <x:c r="K700" s="14" t="n">
        <x:v>11</x:v>
      </x:c>
      <x:c r="L700" s="14" t="n">
        <x:v>36</x:v>
      </x:c>
      <x:c r="M700" s="14" t="n">
        <x:v>19</x:v>
      </x:c>
      <x:c r="N700" s="15" t="n">
        <x:f>IF(E700=0,"해당 없음",F700/E700)</x:f>
        <x:v>0.04807692307692308</x:v>
      </x:c>
      <x:c r="O700" s="15" t="n">
        <x:f>IF(E700=0,"해당 없음",G700/E700)</x:f>
        <x:v>0.19230769230769232</x:v>
      </x:c>
      <x:c r="P700" s="15" t="n">
        <x:f>IF(E700=0,"해당 없음",H700/E700)</x:f>
        <x:v>0.057692307692307696</x:v>
      </x:c>
      <x:c r="Q700" s="15" t="n">
        <x:f>IF(E700=0,"해당 없음",I700/E700)</x:f>
        <x:v>0.038461538461538464</x:v>
      </x:c>
      <x:c r="R700" s="15" t="n">
        <x:f>IF(E700=0,"해당 없음",J700/E700)</x:f>
        <x:v>0.028846153846153848</x:v>
      </x:c>
      <x:c r="S700" s="15" t="n">
        <x:f>IF(E700=0,"해당 없음",K700/E700)</x:f>
        <x:v>0.10576923076923077</x:v>
      </x:c>
      <x:c r="T700" s="15" t="n">
        <x:f>IF(E700=0,"해당 없음",L700/E700)</x:f>
        <x:v>0.34615384615384615</x:v>
      </x:c>
      <x:c r="U700" s="15" t="n">
        <x:f>IF(E700=0,"해당 없음",M700/E700)</x:f>
        <x:v>0.18269230769230768</x:v>
      </x:c>
      <x:c r="V700" s="16" t="n">
        <x:f>E700/5</x:f>
        <x:v>20.8</x:v>
      </x:c>
    </x:row>
    <x:row r="701" ht="22" customHeight="1">
      <x:c r="A701" s="2" t="n">
        <x:v>348</x:v>
      </x:c>
      <x:c r="B701" s="2" t="str">
        <x:v>NAVY</x:v>
      </x:c>
      <x:c r="C701" s="2" t="str">
        <x:v>0만</x:v>
      </x:c>
      <x:c r="D701" s="2" t="str">
        <x:v>80만</x:v>
      </x:c>
      <x:c r="E701" s="14" t="n">
        <x:f>SUM(F701:M701)</x:f>
        <x:v>106</x:v>
      </x:c>
      <x:c r="F701" s="14" t="n">
        <x:v>10</x:v>
      </x:c>
      <x:c r="G701" s="14" t="n">
        <x:v>12</x:v>
      </x:c>
      <x:c r="H701" s="14" t="n">
        <x:v>11</x:v>
      </x:c>
      <x:c r="I701" s="14" t="n">
        <x:v>17</x:v>
      </x:c>
      <x:c r="J701" s="14" t="n">
        <x:v>13</x:v>
      </x:c>
      <x:c r="K701" s="14" t="n">
        <x:v>12</x:v>
      </x:c>
      <x:c r="L701" s="14" t="n">
        <x:v>13</x:v>
      </x:c>
      <x:c r="M701" s="14" t="n">
        <x:v>18</x:v>
      </x:c>
      <x:c r="N701" s="15" t="n">
        <x:f>IF(E701=0,"해당 없음",F701/E701)</x:f>
        <x:v>0.09433962264150944</x:v>
      </x:c>
      <x:c r="O701" s="15" t="n">
        <x:f>IF(E701=0,"해당 없음",G701/E701)</x:f>
        <x:v>0.11320754716981132</x:v>
      </x:c>
      <x:c r="P701" s="15" t="n">
        <x:f>IF(E701=0,"해당 없음",H701/E701)</x:f>
        <x:v>0.10377358490566038</x:v>
      </x:c>
      <x:c r="Q701" s="15" t="n">
        <x:f>IF(E701=0,"해당 없음",I701/E701)</x:f>
        <x:v>0.16037735849056603</x:v>
      </x:c>
      <x:c r="R701" s="15" t="n">
        <x:f>IF(E701=0,"해당 없음",J701/E701)</x:f>
        <x:v>0.12264150943396226</x:v>
      </x:c>
      <x:c r="S701" s="15" t="n">
        <x:f>IF(E701=0,"해당 없음",K701/E701)</x:f>
        <x:v>0.11320754716981132</x:v>
      </x:c>
      <x:c r="T701" s="15" t="n">
        <x:f>IF(E701=0,"해당 없음",L701/E701)</x:f>
        <x:v>0.12264150943396226</x:v>
      </x:c>
      <x:c r="U701" s="15" t="n">
        <x:f>IF(E701=0,"해당 없음",M701/E701)</x:f>
        <x:v>0.16981132075471697</x:v>
      </x:c>
      <x:c r="V701" s="16" t="n">
        <x:f>E701/5</x:f>
        <x:v>21.2</x:v>
      </x:c>
    </x:row>
    <x:row r="702" ht="22" customHeight="1">
      <x:c r="A702" s="2" t="n">
        <x:v>349</x:v>
      </x:c>
      <x:c r="B702" s="2" t="str">
        <x:v>RED</x:v>
      </x:c>
      <x:c r="C702" s="2" t="str">
        <x:v>0만</x:v>
      </x:c>
      <x:c r="D702" s="2" t="str">
        <x:v>80만</x:v>
      </x:c>
      <x:c r="E702" s="14" t="n">
        <x:f>SUM(F702:M702)</x:f>
        <x:v>104</x:v>
      </x:c>
      <x:c r="F702" s="14" t="n">
        <x:v>10</x:v>
      </x:c>
      <x:c r="G702" s="14" t="n">
        <x:v>20</x:v>
      </x:c>
      <x:c r="H702" s="14" t="n">
        <x:v>9</x:v>
      </x:c>
      <x:c r="I702" s="14" t="n">
        <x:v>5</x:v>
      </x:c>
      <x:c r="J702" s="14" t="n">
        <x:v>15</x:v>
      </x:c>
      <x:c r="K702" s="14" t="n">
        <x:v>16</x:v>
      </x:c>
      <x:c r="L702" s="14" t="n">
        <x:v>19</x:v>
      </x:c>
      <x:c r="M702" s="14" t="n">
        <x:v>10</x:v>
      </x:c>
      <x:c r="N702" s="15" t="n">
        <x:f>IF(E702=0,"해당 없음",F702/E702)</x:f>
        <x:v>0.09615384615384616</x:v>
      </x:c>
      <x:c r="O702" s="15" t="n">
        <x:f>IF(E702=0,"해당 없음",G702/E702)</x:f>
        <x:v>0.19230769230769232</x:v>
      </x:c>
      <x:c r="P702" s="15" t="n">
        <x:f>IF(E702=0,"해당 없음",H702/E702)</x:f>
        <x:v>0.08653846153846154</x:v>
      </x:c>
      <x:c r="Q702" s="15" t="n">
        <x:f>IF(E702=0,"해당 없음",I702/E702)</x:f>
        <x:v>0.04807692307692308</x:v>
      </x:c>
      <x:c r="R702" s="15" t="n">
        <x:f>IF(E702=0,"해당 없음",J702/E702)</x:f>
        <x:v>0.14423076923076922</x:v>
      </x:c>
      <x:c r="S702" s="15" t="n">
        <x:f>IF(E702=0,"해당 없음",K702/E702)</x:f>
        <x:v>0.15384615384615385</x:v>
      </x:c>
      <x:c r="T702" s="15" t="n">
        <x:f>IF(E702=0,"해당 없음",L702/E702)</x:f>
        <x:v>0.18269230769230768</x:v>
      </x:c>
      <x:c r="U702" s="15" t="n">
        <x:f>IF(E702=0,"해당 없음",M702/E702)</x:f>
        <x:v>0.09615384615384616</x:v>
      </x:c>
      <x:c r="V702" s="16" t="n">
        <x:f>E702/5</x:f>
        <x:v>20.8</x:v>
      </x:c>
    </x:row>
    <x:row r="703" ht="22" customHeight="1">
      <x:c r="A703" s="2" t="n">
        <x:v>349</x:v>
      </x:c>
      <x:c r="B703" s="2" t="str">
        <x:v>NAVY</x:v>
      </x:c>
      <x:c r="C703" s="2" t="str">
        <x:v>80만</x:v>
      </x:c>
      <x:c r="D703" s="2" t="str">
        <x:v>0만</x:v>
      </x:c>
      <x:c r="E703" s="14" t="n">
        <x:f>SUM(F703:M703)</x:f>
        <x:v>104</x:v>
      </x:c>
      <x:c r="F703" s="14" t="n">
        <x:v>3</x:v>
      </x:c>
      <x:c r="G703" s="14" t="n">
        <x:v>20</x:v>
      </x:c>
      <x:c r="H703" s="14" t="n">
        <x:v>6</x:v>
      </x:c>
      <x:c r="I703" s="14" t="n">
        <x:v>6</x:v>
      </x:c>
      <x:c r="J703" s="14" t="n">
        <x:v>1</x:v>
      </x:c>
      <x:c r="K703" s="14" t="n">
        <x:v>13</x:v>
      </x:c>
      <x:c r="L703" s="14" t="n">
        <x:v>35</x:v>
      </x:c>
      <x:c r="M703" s="14" t="n">
        <x:v>20</x:v>
      </x:c>
      <x:c r="N703" s="15" t="n">
        <x:f>IF(E703=0,"해당 없음",F703/E703)</x:f>
        <x:v>0.028846153846153848</x:v>
      </x:c>
      <x:c r="O703" s="15" t="n">
        <x:f>IF(E703=0,"해당 없음",G703/E703)</x:f>
        <x:v>0.19230769230769232</x:v>
      </x:c>
      <x:c r="P703" s="15" t="n">
        <x:f>IF(E703=0,"해당 없음",H703/E703)</x:f>
        <x:v>0.057692307692307696</x:v>
      </x:c>
      <x:c r="Q703" s="15" t="n">
        <x:f>IF(E703=0,"해당 없음",I703/E703)</x:f>
        <x:v>0.057692307692307696</x:v>
      </x:c>
      <x:c r="R703" s="15" t="n">
        <x:f>IF(E703=0,"해당 없음",J703/E703)</x:f>
        <x:v>0.009615384615384616</x:v>
      </x:c>
      <x:c r="S703" s="15" t="n">
        <x:f>IF(E703=0,"해당 없음",K703/E703)</x:f>
        <x:v>0.125</x:v>
      </x:c>
      <x:c r="T703" s="15" t="n">
        <x:f>IF(E703=0,"해당 없음",L703/E703)</x:f>
        <x:v>0.33653846153846156</x:v>
      </x:c>
      <x:c r="U703" s="15" t="n">
        <x:f>IF(E703=0,"해당 없음",M703/E703)</x:f>
        <x:v>0.19230769230769232</x:v>
      </x:c>
      <x:c r="V703" s="16" t="n">
        <x:f>E703/5</x:f>
        <x:v>20.8</x:v>
      </x:c>
    </x:row>
    <x:row r="704" ht="22" customHeight="1">
      <x:c r="A704" s="2" t="n">
        <x:v>350</x:v>
      </x:c>
      <x:c r="B704" s="2" t="str">
        <x:v>RED</x:v>
      </x:c>
      <x:c r="C704" s="2" t="str">
        <x:v>80만</x:v>
      </x:c>
      <x:c r="D704" s="2" t="str">
        <x:v>0만</x:v>
      </x:c>
      <x:c r="E704" s="14" t="n">
        <x:f>SUM(F704:M704)</x:f>
        <x:v>103</x:v>
      </x:c>
      <x:c r="F704" s="14" t="n">
        <x:v>8</x:v>
      </x:c>
      <x:c r="G704" s="14" t="n">
        <x:v>13</x:v>
      </x:c>
      <x:c r="H704" s="14" t="n">
        <x:v>11</x:v>
      </x:c>
      <x:c r="I704" s="14" t="n">
        <x:v>2</x:v>
      </x:c>
      <x:c r="J704" s="14" t="n">
        <x:v>0</x:v>
      </x:c>
      <x:c r="K704" s="14" t="n">
        <x:v>6</x:v>
      </x:c>
      <x:c r="L704" s="14" t="n">
        <x:v>38</x:v>
      </x:c>
      <x:c r="M704" s="14" t="n">
        <x:v>25</x:v>
      </x:c>
      <x:c r="N704" s="15" t="n">
        <x:f>IF(E704=0,"해당 없음",F704/E704)</x:f>
        <x:v>0.07766990291262135</x:v>
      </x:c>
      <x:c r="O704" s="15" t="n">
        <x:f>IF(E704=0,"해당 없음",G704/E704)</x:f>
        <x:v>0.1262135922330097</x:v>
      </x:c>
      <x:c r="P704" s="15" t="n">
        <x:f>IF(E704=0,"해당 없음",H704/E704)</x:f>
        <x:v>0.10679611650485436</x:v>
      </x:c>
      <x:c r="Q704" s="15" t="n">
        <x:f>IF(E704=0,"해당 없음",I704/E704)</x:f>
        <x:v>0.019417475728155338</x:v>
      </x:c>
      <x:c r="R704" s="15" t="n">
        <x:f>IF(E704=0,"해당 없음",J704/E704)</x:f>
        <x:v>0</x:v>
      </x:c>
      <x:c r="S704" s="15" t="n">
        <x:f>IF(E704=0,"해당 없음",K704/E704)</x:f>
        <x:v>0.05825242718446602</x:v>
      </x:c>
      <x:c r="T704" s="15" t="n">
        <x:f>IF(E704=0,"해당 없음",L704/E704)</x:f>
        <x:v>0.36893203883495146</x:v>
      </x:c>
      <x:c r="U704" s="15" t="n">
        <x:f>IF(E704=0,"해당 없음",M704/E704)</x:f>
        <x:v>0.24271844660194175</x:v>
      </x:c>
      <x:c r="V704" s="16" t="n">
        <x:f>E704/5</x:f>
        <x:v>20.6</x:v>
      </x:c>
    </x:row>
    <x:row r="705" ht="22" customHeight="1">
      <x:c r="A705" s="2" t="n">
        <x:v>350</x:v>
      </x:c>
      <x:c r="B705" s="2" t="str">
        <x:v>NAVY</x:v>
      </x:c>
      <x:c r="C705" s="2" t="str">
        <x:v>0만</x:v>
      </x:c>
      <x:c r="D705" s="2" t="str">
        <x:v>80만</x:v>
      </x:c>
      <x:c r="E705" s="14" t="n">
        <x:f>SUM(F705:M705)</x:f>
        <x:v>103</x:v>
      </x:c>
      <x:c r="F705" s="14" t="n">
        <x:v>9</x:v>
      </x:c>
      <x:c r="G705" s="14" t="n">
        <x:v>20</x:v>
      </x:c>
      <x:c r="H705" s="14" t="n">
        <x:v>9</x:v>
      </x:c>
      <x:c r="I705" s="14" t="n">
        <x:v>5</x:v>
      </x:c>
      <x:c r="J705" s="14" t="n">
        <x:v>15</x:v>
      </x:c>
      <x:c r="K705" s="14" t="n">
        <x:v>17</x:v>
      </x:c>
      <x:c r="L705" s="14" t="n">
        <x:v>18</x:v>
      </x:c>
      <x:c r="M705" s="14" t="n">
        <x:v>10</x:v>
      </x:c>
      <x:c r="N705" s="15" t="n">
        <x:f>IF(E705=0,"해당 없음",F705/E705)</x:f>
        <x:v>0.08737864077669903</x:v>
      </x:c>
      <x:c r="O705" s="15" t="n">
        <x:f>IF(E705=0,"해당 없음",G705/E705)</x:f>
        <x:v>0.1941747572815534</x:v>
      </x:c>
      <x:c r="P705" s="15" t="n">
        <x:f>IF(E705=0,"해당 없음",H705/E705)</x:f>
        <x:v>0.08737864077669903</x:v>
      </x:c>
      <x:c r="Q705" s="15" t="n">
        <x:f>IF(E705=0,"해당 없음",I705/E705)</x:f>
        <x:v>0.04854368932038835</x:v>
      </x:c>
      <x:c r="R705" s="15" t="n">
        <x:f>IF(E705=0,"해당 없음",J705/E705)</x:f>
        <x:v>0.14563106796116504</x:v>
      </x:c>
      <x:c r="S705" s="15" t="n">
        <x:f>IF(E705=0,"해당 없음",K705/E705)</x:f>
        <x:v>0.1650485436893204</x:v>
      </x:c>
      <x:c r="T705" s="15" t="n">
        <x:f>IF(E705=0,"해당 없음",L705/E705)</x:f>
        <x:v>0.17475728155339806</x:v>
      </x:c>
      <x:c r="U705" s="15" t="n">
        <x:f>IF(E705=0,"해당 없음",M705/E705)</x:f>
        <x:v>0.0970873786407767</x:v>
      </x:c>
      <x:c r="V705" s="16" t="n">
        <x:f>E705/5</x:f>
        <x:v>20.6</x:v>
      </x:c>
    </x:row>
    <x:row r="706" ht="22" customHeight="1">
      <x:c r="A706" s="2" t="n">
        <x:v>351</x:v>
      </x:c>
      <x:c r="B706" s="2" t="str">
        <x:v>RED</x:v>
      </x:c>
      <x:c r="C706" s="2" t="str">
        <x:v>0만</x:v>
      </x:c>
      <x:c r="D706" s="2" t="str">
        <x:v>80만</x:v>
      </x:c>
      <x:c r="E706" s="14" t="n">
        <x:f>SUM(F706:M706)</x:f>
        <x:v>104</x:v>
      </x:c>
      <x:c r="F706" s="14" t="n">
        <x:v>14</x:v>
      </x:c>
      <x:c r="G706" s="14" t="n">
        <x:v>14</x:v>
      </x:c>
      <x:c r="H706" s="14" t="n">
        <x:v>13</x:v>
      </x:c>
      <x:c r="I706" s="14" t="n">
        <x:v>12</x:v>
      </x:c>
      <x:c r="J706" s="14" t="n">
        <x:v>11</x:v>
      </x:c>
      <x:c r="K706" s="14" t="n">
        <x:v>9</x:v>
      </x:c>
      <x:c r="L706" s="14" t="n">
        <x:v>15</x:v>
      </x:c>
      <x:c r="M706" s="14" t="n">
        <x:v>16</x:v>
      </x:c>
      <x:c r="N706" s="15" t="n">
        <x:f>IF(E706=0,"해당 없음",F706/E706)</x:f>
        <x:v>0.1346153846153846</x:v>
      </x:c>
      <x:c r="O706" s="15" t="n">
        <x:f>IF(E706=0,"해당 없음",G706/E706)</x:f>
        <x:v>0.1346153846153846</x:v>
      </x:c>
      <x:c r="P706" s="15" t="n">
        <x:f>IF(E706=0,"해당 없음",H706/E706)</x:f>
        <x:v>0.125</x:v>
      </x:c>
      <x:c r="Q706" s="15" t="n">
        <x:f>IF(E706=0,"해당 없음",I706/E706)</x:f>
        <x:v>0.11538461538461539</x:v>
      </x:c>
      <x:c r="R706" s="15" t="n">
        <x:f>IF(E706=0,"해당 없음",J706/E706)</x:f>
        <x:v>0.10576923076923077</x:v>
      </x:c>
      <x:c r="S706" s="15" t="n">
        <x:f>IF(E706=0,"해당 없음",K706/E706)</x:f>
        <x:v>0.08653846153846154</x:v>
      </x:c>
      <x:c r="T706" s="15" t="n">
        <x:f>IF(E706=0,"해당 없음",L706/E706)</x:f>
        <x:v>0.14423076923076922</x:v>
      </x:c>
      <x:c r="U706" s="15" t="n">
        <x:f>IF(E706=0,"해당 없음",M706/E706)</x:f>
        <x:v>0.15384615384615385</x:v>
      </x:c>
      <x:c r="V706" s="16" t="n">
        <x:f>E706/5</x:f>
        <x:v>20.8</x:v>
      </x:c>
    </x:row>
    <x:row r="707" ht="22" customHeight="1">
      <x:c r="A707" s="2" t="n">
        <x:v>351</x:v>
      </x:c>
      <x:c r="B707" s="2" t="str">
        <x:v>NAVY</x:v>
      </x:c>
      <x:c r="C707" s="2" t="str">
        <x:v>80만</x:v>
      </x:c>
      <x:c r="D707" s="2" t="str">
        <x:v>0만</x:v>
      </x:c>
      <x:c r="E707" s="14" t="n">
        <x:f>SUM(F707:M707)</x:f>
        <x:v>103</x:v>
      </x:c>
      <x:c r="F707" s="14" t="n">
        <x:v>3</x:v>
      </x:c>
      <x:c r="G707" s="14" t="n">
        <x:v>20</x:v>
      </x:c>
      <x:c r="H707" s="14" t="n">
        <x:v>10</x:v>
      </x:c>
      <x:c r="I707" s="14" t="n">
        <x:v>5</x:v>
      </x:c>
      <x:c r="J707" s="14" t="n">
        <x:v>4</x:v>
      </x:c>
      <x:c r="K707" s="14" t="n">
        <x:v>13</x:v>
      </x:c>
      <x:c r="L707" s="14" t="n">
        <x:v>37</x:v>
      </x:c>
      <x:c r="M707" s="14" t="n">
        <x:v>11</x:v>
      </x:c>
      <x:c r="N707" s="15" t="n">
        <x:f>IF(E707=0,"해당 없음",F707/E707)</x:f>
        <x:v>0.02912621359223301</x:v>
      </x:c>
      <x:c r="O707" s="15" t="n">
        <x:f>IF(E707=0,"해당 없음",G707/E707)</x:f>
        <x:v>0.1941747572815534</x:v>
      </x:c>
      <x:c r="P707" s="15" t="n">
        <x:f>IF(E707=0,"해당 없음",H707/E707)</x:f>
        <x:v>0.0970873786407767</x:v>
      </x:c>
      <x:c r="Q707" s="15" t="n">
        <x:f>IF(E707=0,"해당 없음",I707/E707)</x:f>
        <x:v>0.04854368932038835</x:v>
      </x:c>
      <x:c r="R707" s="15" t="n">
        <x:f>IF(E707=0,"해당 없음",J707/E707)</x:f>
        <x:v>0.038834951456310676</x:v>
      </x:c>
      <x:c r="S707" s="15" t="n">
        <x:f>IF(E707=0,"해당 없음",K707/E707)</x:f>
        <x:v>0.1262135922330097</x:v>
      </x:c>
      <x:c r="T707" s="15" t="n">
        <x:f>IF(E707=0,"해당 없음",L707/E707)</x:f>
        <x:v>0.3592233009708738</x:v>
      </x:c>
      <x:c r="U707" s="15" t="n">
        <x:f>IF(E707=0,"해당 없음",M707/E707)</x:f>
        <x:v>0.10679611650485436</x:v>
      </x:c>
      <x:c r="V707" s="16" t="n">
        <x:f>E707/5</x:f>
        <x:v>20.6</x:v>
      </x:c>
    </x:row>
    <x:row r="708" ht="22" customHeight="1">
      <x:c r="A708" s="2" t="n">
        <x:v>352</x:v>
      </x:c>
      <x:c r="B708" s="2" t="str">
        <x:v>RED</x:v>
      </x:c>
      <x:c r="C708" s="2" t="str">
        <x:v>80만</x:v>
      </x:c>
      <x:c r="D708" s="2" t="str">
        <x:v>0만</x:v>
      </x:c>
      <x:c r="E708" s="14" t="n">
        <x:f>SUM(F708:M708)</x:f>
        <x:v>105</x:v>
      </x:c>
      <x:c r="F708" s="14" t="n">
        <x:v>4</x:v>
      </x:c>
      <x:c r="G708" s="14" t="n">
        <x:v>15</x:v>
      </x:c>
      <x:c r="H708" s="14" t="n">
        <x:v>11</x:v>
      </x:c>
      <x:c r="I708" s="14" t="n">
        <x:v>4</x:v>
      </x:c>
      <x:c r="J708" s="14" t="n">
        <x:v>2</x:v>
      </x:c>
      <x:c r="K708" s="14" t="n">
        <x:v>21</x:v>
      </x:c>
      <x:c r="L708" s="14" t="n">
        <x:v>34</x:v>
      </x:c>
      <x:c r="M708" s="14" t="n">
        <x:v>14</x:v>
      </x:c>
      <x:c r="N708" s="15" t="n">
        <x:f>IF(E708=0,"해당 없음",F708/E708)</x:f>
        <x:v>0.0380952380952381</x:v>
      </x:c>
      <x:c r="O708" s="15" t="n">
        <x:f>IF(E708=0,"해당 없음",G708/E708)</x:f>
        <x:v>0.14285714285714285</x:v>
      </x:c>
      <x:c r="P708" s="15" t="n">
        <x:f>IF(E708=0,"해당 없음",H708/E708)</x:f>
        <x:v>0.10476190476190476</x:v>
      </x:c>
      <x:c r="Q708" s="15" t="n">
        <x:f>IF(E708=0,"해당 없음",I708/E708)</x:f>
        <x:v>0.0380952380952381</x:v>
      </x:c>
      <x:c r="R708" s="15" t="n">
        <x:f>IF(E708=0,"해당 없음",J708/E708)</x:f>
        <x:v>0.01904761904761905</x:v>
      </x:c>
      <x:c r="S708" s="15" t="n">
        <x:f>IF(E708=0,"해당 없음",K708/E708)</x:f>
        <x:v>0.2</x:v>
      </x:c>
      <x:c r="T708" s="15" t="n">
        <x:f>IF(E708=0,"해당 없음",L708/E708)</x:f>
        <x:v>0.3238095238095238</x:v>
      </x:c>
      <x:c r="U708" s="15" t="n">
        <x:f>IF(E708=0,"해당 없음",M708/E708)</x:f>
        <x:v>0.13333333333333333</x:v>
      </x:c>
      <x:c r="V708" s="16" t="n">
        <x:f>E708/5</x:f>
        <x:v>21</x:v>
      </x:c>
    </x:row>
    <x:row r="709" ht="22" customHeight="1">
      <x:c r="A709" s="2" t="n">
        <x:v>352</x:v>
      </x:c>
      <x:c r="B709" s="2" t="str">
        <x:v>NAVY</x:v>
      </x:c>
      <x:c r="C709" s="2" t="str">
        <x:v>0만</x:v>
      </x:c>
      <x:c r="D709" s="2" t="str">
        <x:v>80만</x:v>
      </x:c>
      <x:c r="E709" s="14" t="n">
        <x:f>SUM(F709:M709)</x:f>
        <x:v>105</x:v>
      </x:c>
      <x:c r="F709" s="14" t="n">
        <x:v>13</x:v>
      </x:c>
      <x:c r="G709" s="14" t="n">
        <x:v>15</x:v>
      </x:c>
      <x:c r="H709" s="14" t="n">
        <x:v>13</x:v>
      </x:c>
      <x:c r="I709" s="14" t="n">
        <x:v>12</x:v>
      </x:c>
      <x:c r="J709" s="14" t="n">
        <x:v>12</x:v>
      </x:c>
      <x:c r="K709" s="14" t="n">
        <x:v>9</x:v>
      </x:c>
      <x:c r="L709" s="14" t="n">
        <x:v>15</x:v>
      </x:c>
      <x:c r="M709" s="14" t="n">
        <x:v>16</x:v>
      </x:c>
      <x:c r="N709" s="15" t="n">
        <x:f>IF(E709=0,"해당 없음",F709/E709)</x:f>
        <x:v>0.12380952380952381</x:v>
      </x:c>
      <x:c r="O709" s="15" t="n">
        <x:f>IF(E709=0,"해당 없음",G709/E709)</x:f>
        <x:v>0.14285714285714285</x:v>
      </x:c>
      <x:c r="P709" s="15" t="n">
        <x:f>IF(E709=0,"해당 없음",H709/E709)</x:f>
        <x:v>0.12380952380952381</x:v>
      </x:c>
      <x:c r="Q709" s="15" t="n">
        <x:f>IF(E709=0,"해당 없음",I709/E709)</x:f>
        <x:v>0.11428571428571428</x:v>
      </x:c>
      <x:c r="R709" s="15" t="n">
        <x:f>IF(E709=0,"해당 없음",J709/E709)</x:f>
        <x:v>0.11428571428571428</x:v>
      </x:c>
      <x:c r="S709" s="15" t="n">
        <x:f>IF(E709=0,"해당 없음",K709/E709)</x:f>
        <x:v>0.08571428571428572</x:v>
      </x:c>
      <x:c r="T709" s="15" t="n">
        <x:f>IF(E709=0,"해당 없음",L709/E709)</x:f>
        <x:v>0.14285714285714285</x:v>
      </x:c>
      <x:c r="U709" s="15" t="n">
        <x:f>IF(E709=0,"해당 없음",M709/E709)</x:f>
        <x:v>0.1523809523809524</x:v>
      </x:c>
      <x:c r="V709" s="16" t="n">
        <x:f>E709/5</x:f>
        <x:v>21</x:v>
      </x:c>
    </x:row>
    <x:row r="710" ht="22" customHeight="1">
      <x:c r="A710" s="2" t="n">
        <x:v>353</x:v>
      </x:c>
      <x:c r="B710" s="2" t="str">
        <x:v>RED</x:v>
      </x:c>
      <x:c r="C710" s="2" t="str">
        <x:v>0만</x:v>
      </x:c>
      <x:c r="D710" s="2" t="str">
        <x:v>80만</x:v>
      </x:c>
      <x:c r="E710" s="14" t="n">
        <x:f>SUM(F710:M710)</x:f>
        <x:v>108</x:v>
      </x:c>
      <x:c r="F710" s="14" t="n">
        <x:v>13</x:v>
      </x:c>
      <x:c r="G710" s="14" t="n">
        <x:v>15</x:v>
      </x:c>
      <x:c r="H710" s="14" t="n">
        <x:v>17</x:v>
      </x:c>
      <x:c r="I710" s="14" t="n">
        <x:v>7</x:v>
      </x:c>
      <x:c r="J710" s="14" t="n">
        <x:v>14</x:v>
      </x:c>
      <x:c r="K710" s="14" t="n">
        <x:v>12</x:v>
      </x:c>
      <x:c r="L710" s="14" t="n">
        <x:v>20</x:v>
      </x:c>
      <x:c r="M710" s="14" t="n">
        <x:v>10</x:v>
      </x:c>
      <x:c r="N710" s="15" t="n">
        <x:f>IF(E710=0,"해당 없음",F710/E710)</x:f>
        <x:v>0.12037037037037036</x:v>
      </x:c>
      <x:c r="O710" s="15" t="n">
        <x:f>IF(E710=0,"해당 없음",G710/E710)</x:f>
        <x:v>0.1388888888888889</x:v>
      </x:c>
      <x:c r="P710" s="15" t="n">
        <x:f>IF(E710=0,"해당 없음",H710/E710)</x:f>
        <x:v>0.1574074074074074</x:v>
      </x:c>
      <x:c r="Q710" s="15" t="n">
        <x:f>IF(E710=0,"해당 없음",I710/E710)</x:f>
        <x:v>0.06481481481481481</x:v>
      </x:c>
      <x:c r="R710" s="15" t="n">
        <x:f>IF(E710=0,"해당 없음",J710/E710)</x:f>
        <x:v>0.12962962962962962</x:v>
      </x:c>
      <x:c r="S710" s="15" t="n">
        <x:f>IF(E710=0,"해당 없음",K710/E710)</x:f>
        <x:v>0.1111111111111111</x:v>
      </x:c>
      <x:c r="T710" s="15" t="n">
        <x:f>IF(E710=0,"해당 없음",L710/E710)</x:f>
        <x:v>0.18518518518518517</x:v>
      </x:c>
      <x:c r="U710" s="15" t="n">
        <x:f>IF(E710=0,"해당 없음",M710/E710)</x:f>
        <x:v>0.09259259259259259</x:v>
      </x:c>
      <x:c r="V710" s="16" t="n">
        <x:f>E710/5</x:f>
        <x:v>21.6</x:v>
      </x:c>
    </x:row>
    <x:row r="711" ht="22" customHeight="1">
      <x:c r="A711" s="2" t="n">
        <x:v>353</x:v>
      </x:c>
      <x:c r="B711" s="2" t="str">
        <x:v>NAVY</x:v>
      </x:c>
      <x:c r="C711" s="2" t="str">
        <x:v>80만</x:v>
      </x:c>
      <x:c r="D711" s="2" t="str">
        <x:v>0만</x:v>
      </x:c>
      <x:c r="E711" s="14" t="n">
        <x:f>SUM(F711:M711)</x:f>
        <x:v>107</x:v>
      </x:c>
      <x:c r="F711" s="14" t="n">
        <x:v>1</x:v>
      </x:c>
      <x:c r="G711" s="14" t="n">
        <x:v>19</x:v>
      </x:c>
      <x:c r="H711" s="14" t="n">
        <x:v>6</x:v>
      </x:c>
      <x:c r="I711" s="14" t="n">
        <x:v>7</x:v>
      </x:c>
      <x:c r="J711" s="14" t="n">
        <x:v>5</x:v>
      </x:c>
      <x:c r="K711" s="14" t="n">
        <x:v>15</x:v>
      </x:c>
      <x:c r="L711" s="14" t="n">
        <x:v>42</x:v>
      </x:c>
      <x:c r="M711" s="14" t="n">
        <x:v>12</x:v>
      </x:c>
      <x:c r="N711" s="15" t="n">
        <x:f>IF(E711=0,"해당 없음",F711/E711)</x:f>
        <x:v>0.009345794392523364</x:v>
      </x:c>
      <x:c r="O711" s="15" t="n">
        <x:f>IF(E711=0,"해당 없음",G711/E711)</x:f>
        <x:v>0.17757009345794392</x:v>
      </x:c>
      <x:c r="P711" s="15" t="n">
        <x:f>IF(E711=0,"해당 없음",H711/E711)</x:f>
        <x:v>0.056074766355140186</x:v>
      </x:c>
      <x:c r="Q711" s="15" t="n">
        <x:f>IF(E711=0,"해당 없음",I711/E711)</x:f>
        <x:v>0.06542056074766354</x:v>
      </x:c>
      <x:c r="R711" s="15" t="n">
        <x:f>IF(E711=0,"해당 없음",J711/E711)</x:f>
        <x:v>0.04672897196261682</x:v>
      </x:c>
      <x:c r="S711" s="15" t="n">
        <x:f>IF(E711=0,"해당 없음",K711/E711)</x:f>
        <x:v>0.14018691588785046</x:v>
      </x:c>
      <x:c r="T711" s="15" t="n">
        <x:f>IF(E711=0,"해당 없음",L711/E711)</x:f>
        <x:v>0.3925233644859813</x:v>
      </x:c>
      <x:c r="U711" s="15" t="n">
        <x:f>IF(E711=0,"해당 없음",M711/E711)</x:f>
        <x:v>0.11214953271028037</x:v>
      </x:c>
      <x:c r="V711" s="16" t="n">
        <x:f>E711/5</x:f>
        <x:v>21.4</x:v>
      </x:c>
    </x:row>
    <x:row r="712" ht="22" customHeight="1">
      <x:c r="A712" s="2" t="n">
        <x:v>354</x:v>
      </x:c>
      <x:c r="B712" s="2" t="str">
        <x:v>RED</x:v>
      </x:c>
      <x:c r="C712" s="2" t="str">
        <x:v>80만</x:v>
      </x:c>
      <x:c r="D712" s="2" t="str">
        <x:v>0만</x:v>
      </x:c>
      <x:c r="E712" s="14" t="n">
        <x:f>SUM(F712:M712)</x:f>
        <x:v>105</x:v>
      </x:c>
      <x:c r="F712" s="14" t="n">
        <x:v>4</x:v>
      </x:c>
      <x:c r="G712" s="14" t="n">
        <x:v>19</x:v>
      </x:c>
      <x:c r="H712" s="14" t="n">
        <x:v>8</x:v>
      </x:c>
      <x:c r="I712" s="14" t="n">
        <x:v>5</x:v>
      </x:c>
      <x:c r="J712" s="14" t="n">
        <x:v>8</x:v>
      </x:c>
      <x:c r="K712" s="14" t="n">
        <x:v>8</x:v>
      </x:c>
      <x:c r="L712" s="14" t="n">
        <x:v>36</x:v>
      </x:c>
      <x:c r="M712" s="14" t="n">
        <x:v>17</x:v>
      </x:c>
      <x:c r="N712" s="15" t="n">
        <x:f>IF(E712=0,"해당 없음",F712/E712)</x:f>
        <x:v>0.0380952380952381</x:v>
      </x:c>
      <x:c r="O712" s="15" t="n">
        <x:f>IF(E712=0,"해당 없음",G712/E712)</x:f>
        <x:v>0.18095238095238095</x:v>
      </x:c>
      <x:c r="P712" s="15" t="n">
        <x:f>IF(E712=0,"해당 없음",H712/E712)</x:f>
        <x:v>0.0761904761904762</x:v>
      </x:c>
      <x:c r="Q712" s="15" t="n">
        <x:f>IF(E712=0,"해당 없음",I712/E712)</x:f>
        <x:v>0.047619047619047616</x:v>
      </x:c>
      <x:c r="R712" s="15" t="n">
        <x:f>IF(E712=0,"해당 없음",J712/E712)</x:f>
        <x:v>0.0761904761904762</x:v>
      </x:c>
      <x:c r="S712" s="15" t="n">
        <x:f>IF(E712=0,"해당 없음",K712/E712)</x:f>
        <x:v>0.0761904761904762</x:v>
      </x:c>
      <x:c r="T712" s="15" t="n">
        <x:f>IF(E712=0,"해당 없음",L712/E712)</x:f>
        <x:v>0.34285714285714286</x:v>
      </x:c>
      <x:c r="U712" s="15" t="n">
        <x:f>IF(E712=0,"해당 없음",M712/E712)</x:f>
        <x:v>0.1619047619047619</x:v>
      </x:c>
      <x:c r="V712" s="16" t="n">
        <x:f>E712/5</x:f>
        <x:v>21</x:v>
      </x:c>
    </x:row>
    <x:row r="713" ht="22" customHeight="1">
      <x:c r="A713" s="2" t="n">
        <x:v>354</x:v>
      </x:c>
      <x:c r="B713" s="2" t="str">
        <x:v>NAVY</x:v>
      </x:c>
      <x:c r="C713" s="2" t="str">
        <x:v>0만</x:v>
      </x:c>
      <x:c r="D713" s="2" t="str">
        <x:v>80만</x:v>
      </x:c>
      <x:c r="E713" s="14" t="n">
        <x:f>SUM(F713:M713)</x:f>
        <x:v>106</x:v>
      </x:c>
      <x:c r="F713" s="14" t="n">
        <x:v>13</x:v>
      </x:c>
      <x:c r="G713" s="14" t="n">
        <x:v>14</x:v>
      </x:c>
      <x:c r="H713" s="14" t="n">
        <x:v>17</x:v>
      </x:c>
      <x:c r="I713" s="14" t="n">
        <x:v>8</x:v>
      </x:c>
      <x:c r="J713" s="14" t="n">
        <x:v>13</x:v>
      </x:c>
      <x:c r="K713" s="14" t="n">
        <x:v>12</x:v>
      </x:c>
      <x:c r="L713" s="14" t="n">
        <x:v>19</x:v>
      </x:c>
      <x:c r="M713" s="14" t="n">
        <x:v>10</x:v>
      </x:c>
      <x:c r="N713" s="15" t="n">
        <x:f>IF(E713=0,"해당 없음",F713/E713)</x:f>
        <x:v>0.12264150943396226</x:v>
      </x:c>
      <x:c r="O713" s="15" t="n">
        <x:f>IF(E713=0,"해당 없음",G713/E713)</x:f>
        <x:v>0.1320754716981132</x:v>
      </x:c>
      <x:c r="P713" s="15" t="n">
        <x:f>IF(E713=0,"해당 없음",H713/E713)</x:f>
        <x:v>0.16037735849056603</x:v>
      </x:c>
      <x:c r="Q713" s="15" t="n">
        <x:f>IF(E713=0,"해당 없음",I713/E713)</x:f>
        <x:v>0.07547169811320754</x:v>
      </x:c>
      <x:c r="R713" s="15" t="n">
        <x:f>IF(E713=0,"해당 없음",J713/E713)</x:f>
        <x:v>0.12264150943396226</x:v>
      </x:c>
      <x:c r="S713" s="15" t="n">
        <x:f>IF(E713=0,"해당 없음",K713/E713)</x:f>
        <x:v>0.11320754716981132</x:v>
      </x:c>
      <x:c r="T713" s="15" t="n">
        <x:f>IF(E713=0,"해당 없음",L713/E713)</x:f>
        <x:v>0.1792452830188679</x:v>
      </x:c>
      <x:c r="U713" s="15" t="n">
        <x:f>IF(E713=0,"해당 없음",M713/E713)</x:f>
        <x:v>0.09433962264150944</x:v>
      </x:c>
      <x:c r="V713" s="16" t="n">
        <x:f>E713/5</x:f>
        <x:v>21.2</x:v>
      </x:c>
    </x:row>
    <x:row r="714" ht="22" customHeight="1">
      <x:c r="A714" s="2" t="n">
        <x:v>355</x:v>
      </x:c>
      <x:c r="B714" s="2" t="str">
        <x:v>RED</x:v>
      </x:c>
      <x:c r="C714" s="2" t="str">
        <x:v>0만</x:v>
      </x:c>
      <x:c r="D714" s="2" t="str">
        <x:v>80만</x:v>
      </x:c>
      <x:c r="E714" s="14" t="n">
        <x:f>SUM(F714:M714)</x:f>
        <x:v>104</x:v>
      </x:c>
      <x:c r="F714" s="14" t="n">
        <x:v>15</x:v>
      </x:c>
      <x:c r="G714" s="14" t="n">
        <x:v>14</x:v>
      </x:c>
      <x:c r="H714" s="14" t="n">
        <x:v>12</x:v>
      </x:c>
      <x:c r="I714" s="14" t="n">
        <x:v>11</x:v>
      </x:c>
      <x:c r="J714" s="14" t="n">
        <x:v>9</x:v>
      </x:c>
      <x:c r="K714" s="14" t="n">
        <x:v>16</x:v>
      </x:c>
      <x:c r="L714" s="14" t="n">
        <x:v>15</x:v>
      </x:c>
      <x:c r="M714" s="14" t="n">
        <x:v>12</x:v>
      </x:c>
      <x:c r="N714" s="15" t="n">
        <x:f>IF(E714=0,"해당 없음",F714/E714)</x:f>
        <x:v>0.14423076923076922</x:v>
      </x:c>
      <x:c r="O714" s="15" t="n">
        <x:f>IF(E714=0,"해당 없음",G714/E714)</x:f>
        <x:v>0.1346153846153846</x:v>
      </x:c>
      <x:c r="P714" s="15" t="n">
        <x:f>IF(E714=0,"해당 없음",H714/E714)</x:f>
        <x:v>0.11538461538461539</x:v>
      </x:c>
      <x:c r="Q714" s="15" t="n">
        <x:f>IF(E714=0,"해당 없음",I714/E714)</x:f>
        <x:v>0.10576923076923077</x:v>
      </x:c>
      <x:c r="R714" s="15" t="n">
        <x:f>IF(E714=0,"해당 없음",J714/E714)</x:f>
        <x:v>0.08653846153846154</x:v>
      </x:c>
      <x:c r="S714" s="15" t="n">
        <x:f>IF(E714=0,"해당 없음",K714/E714)</x:f>
        <x:v>0.15384615384615385</x:v>
      </x:c>
      <x:c r="T714" s="15" t="n">
        <x:f>IF(E714=0,"해당 없음",L714/E714)</x:f>
        <x:v>0.14423076923076922</x:v>
      </x:c>
      <x:c r="U714" s="15" t="n">
        <x:f>IF(E714=0,"해당 없음",M714/E714)</x:f>
        <x:v>0.11538461538461539</x:v>
      </x:c>
      <x:c r="V714" s="16" t="n">
        <x:f>E714/5</x:f>
        <x:v>20.8</x:v>
      </x:c>
    </x:row>
    <x:row r="715" ht="22" customHeight="1">
      <x:c r="A715" s="2" t="n">
        <x:v>355</x:v>
      </x:c>
      <x:c r="B715" s="2" t="str">
        <x:v>NAVY</x:v>
      </x:c>
      <x:c r="C715" s="2" t="str">
        <x:v>80만</x:v>
      </x:c>
      <x:c r="D715" s="2" t="str">
        <x:v>0만</x:v>
      </x:c>
      <x:c r="E715" s="14" t="n">
        <x:f>SUM(F715:M715)</x:f>
        <x:v>105</x:v>
      </x:c>
      <x:c r="F715" s="14" t="n">
        <x:v>4</x:v>
      </x:c>
      <x:c r="G715" s="14" t="n">
        <x:v>17</x:v>
      </x:c>
      <x:c r="H715" s="14" t="n">
        <x:v>12</x:v>
      </x:c>
      <x:c r="I715" s="14" t="n">
        <x:v>6</x:v>
      </x:c>
      <x:c r="J715" s="14" t="n">
        <x:v>0</x:v>
      </x:c>
      <x:c r="K715" s="14" t="n">
        <x:v>13</x:v>
      </x:c>
      <x:c r="L715" s="14" t="n">
        <x:v>41</x:v>
      </x:c>
      <x:c r="M715" s="14" t="n">
        <x:v>12</x:v>
      </x:c>
      <x:c r="N715" s="15" t="n">
        <x:f>IF(E715=0,"해당 없음",F715/E715)</x:f>
        <x:v>0.0380952380952381</x:v>
      </x:c>
      <x:c r="O715" s="15" t="n">
        <x:f>IF(E715=0,"해당 없음",G715/E715)</x:f>
        <x:v>0.1619047619047619</x:v>
      </x:c>
      <x:c r="P715" s="15" t="n">
        <x:f>IF(E715=0,"해당 없음",H715/E715)</x:f>
        <x:v>0.11428571428571428</x:v>
      </x:c>
      <x:c r="Q715" s="15" t="n">
        <x:f>IF(E715=0,"해당 없음",I715/E715)</x:f>
        <x:v>0.05714285714285714</x:v>
      </x:c>
      <x:c r="R715" s="15" t="n">
        <x:f>IF(E715=0,"해당 없음",J715/E715)</x:f>
        <x:v>0</x:v>
      </x:c>
      <x:c r="S715" s="15" t="n">
        <x:f>IF(E715=0,"해당 없음",K715/E715)</x:f>
        <x:v>0.12380952380952381</x:v>
      </x:c>
      <x:c r="T715" s="15" t="n">
        <x:f>IF(E715=0,"해당 없음",L715/E715)</x:f>
        <x:v>0.3904761904761905</x:v>
      </x:c>
      <x:c r="U715" s="15" t="n">
        <x:f>IF(E715=0,"해당 없음",M715/E715)</x:f>
        <x:v>0.11428571428571428</x:v>
      </x:c>
      <x:c r="V715" s="16" t="n">
        <x:f>E715/5</x:f>
        <x:v>21</x:v>
      </x:c>
    </x:row>
    <x:row r="716" ht="22" customHeight="1">
      <x:c r="A716" s="2" t="n">
        <x:v>356</x:v>
      </x:c>
      <x:c r="B716" s="2" t="str">
        <x:v>RED</x:v>
      </x:c>
      <x:c r="C716" s="2" t="str">
        <x:v>80만</x:v>
      </x:c>
      <x:c r="D716" s="2" t="str">
        <x:v>0만</x:v>
      </x:c>
      <x:c r="E716" s="14" t="n">
        <x:f>SUM(F716:M716)</x:f>
        <x:v>103</x:v>
      </x:c>
      <x:c r="F716" s="14" t="n">
        <x:v>3</x:v>
      </x:c>
      <x:c r="G716" s="14" t="n">
        <x:v>16</x:v>
      </x:c>
      <x:c r="H716" s="14" t="n">
        <x:v>15</x:v>
      </x:c>
      <x:c r="I716" s="14" t="n">
        <x:v>7</x:v>
      </x:c>
      <x:c r="J716" s="14" t="n">
        <x:v>1</x:v>
      </x:c>
      <x:c r="K716" s="14" t="n">
        <x:v>8</x:v>
      </x:c>
      <x:c r="L716" s="14" t="n">
        <x:v>39</x:v>
      </x:c>
      <x:c r="M716" s="14" t="n">
        <x:v>14</x:v>
      </x:c>
      <x:c r="N716" s="15" t="n">
        <x:f>IF(E716=0,"해당 없음",F716/E716)</x:f>
        <x:v>0.02912621359223301</x:v>
      </x:c>
      <x:c r="O716" s="15" t="n">
        <x:f>IF(E716=0,"해당 없음",G716/E716)</x:f>
        <x:v>0.1553398058252427</x:v>
      </x:c>
      <x:c r="P716" s="15" t="n">
        <x:f>IF(E716=0,"해당 없음",H716/E716)</x:f>
        <x:v>0.14563106796116504</x:v>
      </x:c>
      <x:c r="Q716" s="15" t="n">
        <x:f>IF(E716=0,"해당 없음",I716/E716)</x:f>
        <x:v>0.06796116504854369</x:v>
      </x:c>
      <x:c r="R716" s="15" t="n">
        <x:f>IF(E716=0,"해당 없음",J716/E716)</x:f>
        <x:v>0.009708737864077669</x:v>
      </x:c>
      <x:c r="S716" s="15" t="n">
        <x:f>IF(E716=0,"해당 없음",K716/E716)</x:f>
        <x:v>0.07766990291262135</x:v>
      </x:c>
      <x:c r="T716" s="15" t="n">
        <x:f>IF(E716=0,"해당 없음",L716/E716)</x:f>
        <x:v>0.3786407766990291</x:v>
      </x:c>
      <x:c r="U716" s="15" t="n">
        <x:f>IF(E716=0,"해당 없음",M716/E716)</x:f>
        <x:v>0.13592233009708737</x:v>
      </x:c>
      <x:c r="V716" s="16" t="n">
        <x:f>E716/5</x:f>
        <x:v>20.6</x:v>
      </x:c>
    </x:row>
    <x:row r="717" ht="22" customHeight="1">
      <x:c r="A717" s="2" t="n">
        <x:v>356</x:v>
      </x:c>
      <x:c r="B717" s="2" t="str">
        <x:v>NAVY</x:v>
      </x:c>
      <x:c r="C717" s="2" t="str">
        <x:v>0만</x:v>
      </x:c>
      <x:c r="D717" s="2" t="str">
        <x:v>80만</x:v>
      </x:c>
      <x:c r="E717" s="14" t="n">
        <x:f>SUM(F717:M717)</x:f>
        <x:v>104</x:v>
      </x:c>
      <x:c r="F717" s="14" t="n">
        <x:v>15</x:v>
      </x:c>
      <x:c r="G717" s="14" t="n">
        <x:v>14</x:v>
      </x:c>
      <x:c r="H717" s="14" t="n">
        <x:v>12</x:v>
      </x:c>
      <x:c r="I717" s="14" t="n">
        <x:v>11</x:v>
      </x:c>
      <x:c r="J717" s="14" t="n">
        <x:v>9</x:v>
      </x:c>
      <x:c r="K717" s="14" t="n">
        <x:v>16</x:v>
      </x:c>
      <x:c r="L717" s="14" t="n">
        <x:v>15</x:v>
      </x:c>
      <x:c r="M717" s="14" t="n">
        <x:v>12</x:v>
      </x:c>
      <x:c r="N717" s="15" t="n">
        <x:f>IF(E717=0,"해당 없음",F717/E717)</x:f>
        <x:v>0.14423076923076922</x:v>
      </x:c>
      <x:c r="O717" s="15" t="n">
        <x:f>IF(E717=0,"해당 없음",G717/E717)</x:f>
        <x:v>0.1346153846153846</x:v>
      </x:c>
      <x:c r="P717" s="15" t="n">
        <x:f>IF(E717=0,"해당 없음",H717/E717)</x:f>
        <x:v>0.11538461538461539</x:v>
      </x:c>
      <x:c r="Q717" s="15" t="n">
        <x:f>IF(E717=0,"해당 없음",I717/E717)</x:f>
        <x:v>0.10576923076923077</x:v>
      </x:c>
      <x:c r="R717" s="15" t="n">
        <x:f>IF(E717=0,"해당 없음",J717/E717)</x:f>
        <x:v>0.08653846153846154</x:v>
      </x:c>
      <x:c r="S717" s="15" t="n">
        <x:f>IF(E717=0,"해당 없음",K717/E717)</x:f>
        <x:v>0.15384615384615385</x:v>
      </x:c>
      <x:c r="T717" s="15" t="n">
        <x:f>IF(E717=0,"해당 없음",L717/E717)</x:f>
        <x:v>0.14423076923076922</x:v>
      </x:c>
      <x:c r="U717" s="15" t="n">
        <x:f>IF(E717=0,"해당 없음",M717/E717)</x:f>
        <x:v>0.11538461538461539</x:v>
      </x:c>
      <x:c r="V717" s="16" t="n">
        <x:f>E717/5</x:f>
        <x:v>20.8</x:v>
      </x:c>
    </x:row>
    <x:row r="718" ht="22" customHeight="1">
      <x:c r="A718" s="2" t="n">
        <x:v>357</x:v>
      </x:c>
      <x:c r="B718" s="2" t="str">
        <x:v>RED</x:v>
      </x:c>
      <x:c r="C718" s="2" t="str">
        <x:v>0만</x:v>
      </x:c>
      <x:c r="D718" s="2" t="str">
        <x:v>80만</x:v>
      </x:c>
      <x:c r="E718" s="14" t="n">
        <x:f>SUM(F718:M718)</x:f>
        <x:v>106</x:v>
      </x:c>
      <x:c r="F718" s="14" t="n">
        <x:v>17</x:v>
      </x:c>
      <x:c r="G718" s="14" t="n">
        <x:v>8</x:v>
      </x:c>
      <x:c r="H718" s="14" t="n">
        <x:v>14</x:v>
      </x:c>
      <x:c r="I718" s="14" t="n">
        <x:v>14</x:v>
      </x:c>
      <x:c r="J718" s="14" t="n">
        <x:v>13</x:v>
      </x:c>
      <x:c r="K718" s="14" t="n">
        <x:v>16</x:v>
      </x:c>
      <x:c r="L718" s="14" t="n">
        <x:v>11</x:v>
      </x:c>
      <x:c r="M718" s="14" t="n">
        <x:v>13</x:v>
      </x:c>
      <x:c r="N718" s="15" t="n">
        <x:f>IF(E718=0,"해당 없음",F718/E718)</x:f>
        <x:v>0.16037735849056603</x:v>
      </x:c>
      <x:c r="O718" s="15" t="n">
        <x:f>IF(E718=0,"해당 없음",G718/E718)</x:f>
        <x:v>0.07547169811320754</x:v>
      </x:c>
      <x:c r="P718" s="15" t="n">
        <x:f>IF(E718=0,"해당 없음",H718/E718)</x:f>
        <x:v>0.1320754716981132</x:v>
      </x:c>
      <x:c r="Q718" s="15" t="n">
        <x:f>IF(E718=0,"해당 없음",I718/E718)</x:f>
        <x:v>0.1320754716981132</x:v>
      </x:c>
      <x:c r="R718" s="15" t="n">
        <x:f>IF(E718=0,"해당 없음",J718/E718)</x:f>
        <x:v>0.12264150943396226</x:v>
      </x:c>
      <x:c r="S718" s="15" t="n">
        <x:f>IF(E718=0,"해당 없음",K718/E718)</x:f>
        <x:v>0.1509433962264151</x:v>
      </x:c>
      <x:c r="T718" s="15" t="n">
        <x:f>IF(E718=0,"해당 없음",L718/E718)</x:f>
        <x:v>0.10377358490566038</x:v>
      </x:c>
      <x:c r="U718" s="15" t="n">
        <x:f>IF(E718=0,"해당 없음",M718/E718)</x:f>
        <x:v>0.12264150943396226</x:v>
      </x:c>
      <x:c r="V718" s="16" t="n">
        <x:f>E718/5</x:f>
        <x:v>21.2</x:v>
      </x:c>
    </x:row>
    <x:row r="719" ht="22" customHeight="1">
      <x:c r="A719" s="2" t="n">
        <x:v>357</x:v>
      </x:c>
      <x:c r="B719" s="2" t="str">
        <x:v>NAVY</x:v>
      </x:c>
      <x:c r="C719" s="2" t="str">
        <x:v>80만</x:v>
      </x:c>
      <x:c r="D719" s="2" t="str">
        <x:v>0만</x:v>
      </x:c>
      <x:c r="E719" s="14" t="n">
        <x:f>SUM(F719:M719)</x:f>
        <x:v>106</x:v>
      </x:c>
      <x:c r="F719" s="14" t="n">
        <x:v>7</x:v>
      </x:c>
      <x:c r="G719" s="14" t="n">
        <x:v>23</x:v>
      </x:c>
      <x:c r="H719" s="14" t="n">
        <x:v>11</x:v>
      </x:c>
      <x:c r="I719" s="14" t="n">
        <x:v>3</x:v>
      </x:c>
      <x:c r="J719" s="14" t="n">
        <x:v>6</x:v>
      </x:c>
      <x:c r="K719" s="14" t="n">
        <x:v>8</x:v>
      </x:c>
      <x:c r="L719" s="14" t="n">
        <x:v>36</x:v>
      </x:c>
      <x:c r="M719" s="14" t="n">
        <x:v>12</x:v>
      </x:c>
      <x:c r="N719" s="15" t="n">
        <x:f>IF(E719=0,"해당 없음",F719/E719)</x:f>
        <x:v>0.0660377358490566</x:v>
      </x:c>
      <x:c r="O719" s="15" t="n">
        <x:f>IF(E719=0,"해당 없음",G719/E719)</x:f>
        <x:v>0.2169811320754717</x:v>
      </x:c>
      <x:c r="P719" s="15" t="n">
        <x:f>IF(E719=0,"해당 없음",H719/E719)</x:f>
        <x:v>0.10377358490566038</x:v>
      </x:c>
      <x:c r="Q719" s="15" t="n">
        <x:f>IF(E719=0,"해당 없음",I719/E719)</x:f>
        <x:v>0.02830188679245283</x:v>
      </x:c>
      <x:c r="R719" s="15" t="n">
        <x:f>IF(E719=0,"해당 없음",J719/E719)</x:f>
        <x:v>0.05660377358490566</x:v>
      </x:c>
      <x:c r="S719" s="15" t="n">
        <x:f>IF(E719=0,"해당 없음",K719/E719)</x:f>
        <x:v>0.07547169811320754</x:v>
      </x:c>
      <x:c r="T719" s="15" t="n">
        <x:f>IF(E719=0,"해당 없음",L719/E719)</x:f>
        <x:v>0.33962264150943394</x:v>
      </x:c>
      <x:c r="U719" s="15" t="n">
        <x:f>IF(E719=0,"해당 없음",M719/E719)</x:f>
        <x:v>0.11320754716981132</x:v>
      </x:c>
      <x:c r="V719" s="16" t="n">
        <x:f>E719/5</x:f>
        <x:v>21.2</x:v>
      </x:c>
    </x:row>
    <x:row r="720" ht="22" customHeight="1">
      <x:c r="A720" s="2" t="n">
        <x:v>358</x:v>
      </x:c>
      <x:c r="B720" s="2" t="str">
        <x:v>RED</x:v>
      </x:c>
      <x:c r="C720" s="2" t="str">
        <x:v>80만</x:v>
      </x:c>
      <x:c r="D720" s="2" t="str">
        <x:v>0만</x:v>
      </x:c>
      <x:c r="E720" s="14" t="n">
        <x:f>SUM(F720:M720)</x:f>
        <x:v>104</x:v>
      </x:c>
      <x:c r="F720" s="14" t="n">
        <x:v>5</x:v>
      </x:c>
      <x:c r="G720" s="14" t="n">
        <x:v>22</x:v>
      </x:c>
      <x:c r="H720" s="14" t="n">
        <x:v>14</x:v>
      </x:c>
      <x:c r="I720" s="14" t="n">
        <x:v>6</x:v>
      </x:c>
      <x:c r="J720" s="14" t="n">
        <x:v>3</x:v>
      </x:c>
      <x:c r="K720" s="14" t="n">
        <x:v>12</x:v>
      </x:c>
      <x:c r="L720" s="14" t="n">
        <x:v>36</x:v>
      </x:c>
      <x:c r="M720" s="14" t="n">
        <x:v>6</x:v>
      </x:c>
      <x:c r="N720" s="15" t="n">
        <x:f>IF(E720=0,"해당 없음",F720/E720)</x:f>
        <x:v>0.04807692307692308</x:v>
      </x:c>
      <x:c r="O720" s="15" t="n">
        <x:f>IF(E720=0,"해당 없음",G720/E720)</x:f>
        <x:v>0.21153846153846154</x:v>
      </x:c>
      <x:c r="P720" s="15" t="n">
        <x:f>IF(E720=0,"해당 없음",H720/E720)</x:f>
        <x:v>0.1346153846153846</x:v>
      </x:c>
      <x:c r="Q720" s="15" t="n">
        <x:f>IF(E720=0,"해당 없음",I720/E720)</x:f>
        <x:v>0.057692307692307696</x:v>
      </x:c>
      <x:c r="R720" s="15" t="n">
        <x:f>IF(E720=0,"해당 없음",J720/E720)</x:f>
        <x:v>0.028846153846153848</x:v>
      </x:c>
      <x:c r="S720" s="15" t="n">
        <x:f>IF(E720=0,"해당 없음",K720/E720)</x:f>
        <x:v>0.11538461538461539</x:v>
      </x:c>
      <x:c r="T720" s="15" t="n">
        <x:f>IF(E720=0,"해당 없음",L720/E720)</x:f>
        <x:v>0.34615384615384615</x:v>
      </x:c>
      <x:c r="U720" s="15" t="n">
        <x:f>IF(E720=0,"해당 없음",M720/E720)</x:f>
        <x:v>0.057692307692307696</x:v>
      </x:c>
      <x:c r="V720" s="16" t="n">
        <x:f>E720/5</x:f>
        <x:v>20.8</x:v>
      </x:c>
    </x:row>
    <x:row r="721" ht="22" customHeight="1">
      <x:c r="A721" s="2" t="n">
        <x:v>358</x:v>
      </x:c>
      <x:c r="B721" s="2" t="str">
        <x:v>NAVY</x:v>
      </x:c>
      <x:c r="C721" s="2" t="str">
        <x:v>0만</x:v>
      </x:c>
      <x:c r="D721" s="2" t="str">
        <x:v>80만</x:v>
      </x:c>
      <x:c r="E721" s="14" t="n">
        <x:f>SUM(F721:M721)</x:f>
        <x:v>104</x:v>
      </x:c>
      <x:c r="F721" s="14" t="n">
        <x:v>17</x:v>
      </x:c>
      <x:c r="G721" s="14" t="n">
        <x:v>8</x:v>
      </x:c>
      <x:c r="H721" s="14" t="n">
        <x:v>13</x:v>
      </x:c>
      <x:c r="I721" s="14" t="n">
        <x:v>14</x:v>
      </x:c>
      <x:c r="J721" s="14" t="n">
        <x:v>13</x:v>
      </x:c>
      <x:c r="K721" s="14" t="n">
        <x:v>14</x:v>
      </x:c>
      <x:c r="L721" s="14" t="n">
        <x:v>12</x:v>
      </x:c>
      <x:c r="M721" s="14" t="n">
        <x:v>13</x:v>
      </x:c>
      <x:c r="N721" s="15" t="n">
        <x:f>IF(E721=0,"해당 없음",F721/E721)</x:f>
        <x:v>0.16346153846153846</x:v>
      </x:c>
      <x:c r="O721" s="15" t="n">
        <x:f>IF(E721=0,"해당 없음",G721/E721)</x:f>
        <x:v>0.07692307692307693</x:v>
      </x:c>
      <x:c r="P721" s="15" t="n">
        <x:f>IF(E721=0,"해당 없음",H721/E721)</x:f>
        <x:v>0.125</x:v>
      </x:c>
      <x:c r="Q721" s="15" t="n">
        <x:f>IF(E721=0,"해당 없음",I721/E721)</x:f>
        <x:v>0.1346153846153846</x:v>
      </x:c>
      <x:c r="R721" s="15" t="n">
        <x:f>IF(E721=0,"해당 없음",J721/E721)</x:f>
        <x:v>0.125</x:v>
      </x:c>
      <x:c r="S721" s="15" t="n">
        <x:f>IF(E721=0,"해당 없음",K721/E721)</x:f>
        <x:v>0.1346153846153846</x:v>
      </x:c>
      <x:c r="T721" s="15" t="n">
        <x:f>IF(E721=0,"해당 없음",L721/E721)</x:f>
        <x:v>0.11538461538461539</x:v>
      </x:c>
      <x:c r="U721" s="15" t="n">
        <x:f>IF(E721=0,"해당 없음",M721/E721)</x:f>
        <x:v>0.125</x:v>
      </x:c>
      <x:c r="V721" s="16" t="n">
        <x:f>E721/5</x:f>
        <x:v>20.8</x:v>
      </x:c>
    </x:row>
    <x:row r="722" ht="22" customHeight="1">
      <x:c r="A722" s="2" t="n">
        <x:v>359</x:v>
      </x:c>
      <x:c r="B722" s="2" t="str">
        <x:v>RED</x:v>
      </x:c>
      <x:c r="C722" s="2" t="str">
        <x:v>0만</x:v>
      </x:c>
      <x:c r="D722" s="2" t="str">
        <x:v>80만</x:v>
      </x:c>
      <x:c r="E722" s="14" t="n">
        <x:f>SUM(F722:M722)</x:f>
        <x:v>105</x:v>
      </x:c>
      <x:c r="F722" s="14" t="n">
        <x:v>13</x:v>
      </x:c>
      <x:c r="G722" s="14" t="n">
        <x:v>11</x:v>
      </x:c>
      <x:c r="H722" s="14" t="n">
        <x:v>18</x:v>
      </x:c>
      <x:c r="I722" s="14" t="n">
        <x:v>10</x:v>
      </x:c>
      <x:c r="J722" s="14" t="n">
        <x:v>22</x:v>
      </x:c>
      <x:c r="K722" s="14" t="n">
        <x:v>9</x:v>
      </x:c>
      <x:c r="L722" s="14" t="n">
        <x:v>12</x:v>
      </x:c>
      <x:c r="M722" s="14" t="n">
        <x:v>10</x:v>
      </x:c>
      <x:c r="N722" s="15" t="n">
        <x:f>IF(E722=0,"해당 없음",F722/E722)</x:f>
        <x:v>0.12380952380952381</x:v>
      </x:c>
      <x:c r="O722" s="15" t="n">
        <x:f>IF(E722=0,"해당 없음",G722/E722)</x:f>
        <x:v>0.10476190476190476</x:v>
      </x:c>
      <x:c r="P722" s="15" t="n">
        <x:f>IF(E722=0,"해당 없음",H722/E722)</x:f>
        <x:v>0.17142857142857143</x:v>
      </x:c>
      <x:c r="Q722" s="15" t="n">
        <x:f>IF(E722=0,"해당 없음",I722/E722)</x:f>
        <x:v>0.09523809523809523</x:v>
      </x:c>
      <x:c r="R722" s="15" t="n">
        <x:f>IF(E722=0,"해당 없음",J722/E722)</x:f>
        <x:v>0.20952380952380953</x:v>
      </x:c>
      <x:c r="S722" s="15" t="n">
        <x:f>IF(E722=0,"해당 없음",K722/E722)</x:f>
        <x:v>0.08571428571428572</x:v>
      </x:c>
      <x:c r="T722" s="15" t="n">
        <x:f>IF(E722=0,"해당 없음",L722/E722)</x:f>
        <x:v>0.11428571428571428</x:v>
      </x:c>
      <x:c r="U722" s="15" t="n">
        <x:f>IF(E722=0,"해당 없음",M722/E722)</x:f>
        <x:v>0.09523809523809523</x:v>
      </x:c>
      <x:c r="V722" s="16" t="n">
        <x:f>E722/5</x:f>
        <x:v>21</x:v>
      </x:c>
    </x:row>
    <x:row r="723" ht="22" customHeight="1">
      <x:c r="A723" s="2" t="n">
        <x:v>359</x:v>
      </x:c>
      <x:c r="B723" s="2" t="str">
        <x:v>NAVY</x:v>
      </x:c>
      <x:c r="C723" s="2" t="str">
        <x:v>80만</x:v>
      </x:c>
      <x:c r="D723" s="2" t="str">
        <x:v>0만</x:v>
      </x:c>
      <x:c r="E723" s="14" t="n">
        <x:f>SUM(F723:M723)</x:f>
        <x:v>102</x:v>
      </x:c>
      <x:c r="F723" s="14" t="n">
        <x:v>3</x:v>
      </x:c>
      <x:c r="G723" s="14" t="n">
        <x:v>13</x:v>
      </x:c>
      <x:c r="H723" s="14" t="n">
        <x:v>18</x:v>
      </x:c>
      <x:c r="I723" s="14" t="n">
        <x:v>5</x:v>
      </x:c>
      <x:c r="J723" s="14" t="n">
        <x:v>0</x:v>
      </x:c>
      <x:c r="K723" s="14" t="n">
        <x:v>16</x:v>
      </x:c>
      <x:c r="L723" s="14" t="n">
        <x:v>34</x:v>
      </x:c>
      <x:c r="M723" s="14" t="n">
        <x:v>13</x:v>
      </x:c>
      <x:c r="N723" s="15" t="n">
        <x:f>IF(E723=0,"해당 없음",F723/E723)</x:f>
        <x:v>0.029411764705882353</x:v>
      </x:c>
      <x:c r="O723" s="15" t="n">
        <x:f>IF(E723=0,"해당 없음",G723/E723)</x:f>
        <x:v>0.12745098039215685</x:v>
      </x:c>
      <x:c r="P723" s="15" t="n">
        <x:f>IF(E723=0,"해당 없음",H723/E723)</x:f>
        <x:v>0.17647058823529413</x:v>
      </x:c>
      <x:c r="Q723" s="15" t="n">
        <x:f>IF(E723=0,"해당 없음",I723/E723)</x:f>
        <x:v>0.049019607843137254</x:v>
      </x:c>
      <x:c r="R723" s="15" t="n">
        <x:f>IF(E723=0,"해당 없음",J723/E723)</x:f>
        <x:v>0</x:v>
      </x:c>
      <x:c r="S723" s="15" t="n">
        <x:f>IF(E723=0,"해당 없음",K723/E723)</x:f>
        <x:v>0.1568627450980392</x:v>
      </x:c>
      <x:c r="T723" s="15" t="n">
        <x:f>IF(E723=0,"해당 없음",L723/E723)</x:f>
        <x:v>0.3333333333333333</x:v>
      </x:c>
      <x:c r="U723" s="15" t="n">
        <x:f>IF(E723=0,"해당 없음",M723/E723)</x:f>
        <x:v>0.12745098039215685</x:v>
      </x:c>
      <x:c r="V723" s="16" t="n">
        <x:f>E723/5</x:f>
        <x:v>20.4</x:v>
      </x:c>
    </x:row>
    <x:row r="724" ht="22" customHeight="1">
      <x:c r="A724" s="2" t="n">
        <x:v>360</x:v>
      </x:c>
      <x:c r="B724" s="2" t="str">
        <x:v>RED</x:v>
      </x:c>
      <x:c r="C724" s="2" t="str">
        <x:v>80만</x:v>
      </x:c>
      <x:c r="D724" s="2" t="str">
        <x:v>0만</x:v>
      </x:c>
      <x:c r="E724" s="14" t="n">
        <x:f>SUM(F724:M724)</x:f>
        <x:v>103</x:v>
      </x:c>
      <x:c r="F724" s="14" t="n">
        <x:v>4</x:v>
      </x:c>
      <x:c r="G724" s="14" t="n">
        <x:v>23</x:v>
      </x:c>
      <x:c r="H724" s="14" t="n">
        <x:v>9</x:v>
      </x:c>
      <x:c r="I724" s="14" t="n">
        <x:v>6</x:v>
      </x:c>
      <x:c r="J724" s="14" t="n">
        <x:v>4</x:v>
      </x:c>
      <x:c r="K724" s="14" t="n">
        <x:v>7</x:v>
      </x:c>
      <x:c r="L724" s="14" t="n">
        <x:v>29</x:v>
      </x:c>
      <x:c r="M724" s="14" t="n">
        <x:v>21</x:v>
      </x:c>
      <x:c r="N724" s="15" t="n">
        <x:f>IF(E724=0,"해당 없음",F724/E724)</x:f>
        <x:v>0.038834951456310676</x:v>
      </x:c>
      <x:c r="O724" s="15" t="n">
        <x:f>IF(E724=0,"해당 없음",G724/E724)</x:f>
        <x:v>0.22330097087378642</x:v>
      </x:c>
      <x:c r="P724" s="15" t="n">
        <x:f>IF(E724=0,"해당 없음",H724/E724)</x:f>
        <x:v>0.08737864077669903</x:v>
      </x:c>
      <x:c r="Q724" s="15" t="n">
        <x:f>IF(E724=0,"해당 없음",I724/E724)</x:f>
        <x:v>0.05825242718446602</x:v>
      </x:c>
      <x:c r="R724" s="15" t="n">
        <x:f>IF(E724=0,"해당 없음",J724/E724)</x:f>
        <x:v>0.038834951456310676</x:v>
      </x:c>
      <x:c r="S724" s="15" t="n">
        <x:f>IF(E724=0,"해당 없음",K724/E724)</x:f>
        <x:v>0.06796116504854369</x:v>
      </x:c>
      <x:c r="T724" s="15" t="n">
        <x:f>IF(E724=0,"해당 없음",L724/E724)</x:f>
        <x:v>0.2815533980582524</x:v>
      </x:c>
      <x:c r="U724" s="15" t="n">
        <x:f>IF(E724=0,"해당 없음",M724/E724)</x:f>
        <x:v>0.20388349514563106</x:v>
      </x:c>
      <x:c r="V724" s="16" t="n">
        <x:f>E724/5</x:f>
        <x:v>20.6</x:v>
      </x:c>
    </x:row>
    <x:row r="725" ht="22" customHeight="1">
      <x:c r="A725" s="2" t="n">
        <x:v>360</x:v>
      </x:c>
      <x:c r="B725" s="2" t="str">
        <x:v>NAVY</x:v>
      </x:c>
      <x:c r="C725" s="2" t="str">
        <x:v>0만</x:v>
      </x:c>
      <x:c r="D725" s="2" t="str">
        <x:v>80만</x:v>
      </x:c>
      <x:c r="E725" s="14" t="n">
        <x:f>SUM(F725:M725)</x:f>
        <x:v>102</x:v>
      </x:c>
      <x:c r="F725" s="14" t="n">
        <x:v>13</x:v>
      </x:c>
      <x:c r="G725" s="14" t="n">
        <x:v>11</x:v>
      </x:c>
      <x:c r="H725" s="14" t="n">
        <x:v>17</x:v>
      </x:c>
      <x:c r="I725" s="14" t="n">
        <x:v>10</x:v>
      </x:c>
      <x:c r="J725" s="14" t="n">
        <x:v>21</x:v>
      </x:c>
      <x:c r="K725" s="14" t="n">
        <x:v>9</x:v>
      </x:c>
      <x:c r="L725" s="14" t="n">
        <x:v>12</x:v>
      </x:c>
      <x:c r="M725" s="14" t="n">
        <x:v>9</x:v>
      </x:c>
      <x:c r="N725" s="15" t="n">
        <x:f>IF(E725=0,"해당 없음",F725/E725)</x:f>
        <x:v>0.12745098039215685</x:v>
      </x:c>
      <x:c r="O725" s="15" t="n">
        <x:f>IF(E725=0,"해당 없음",G725/E725)</x:f>
        <x:v>0.10784313725490197</x:v>
      </x:c>
      <x:c r="P725" s="15" t="n">
        <x:f>IF(E725=0,"해당 없음",H725/E725)</x:f>
        <x:v>0.16666666666666666</x:v>
      </x:c>
      <x:c r="Q725" s="15" t="n">
        <x:f>IF(E725=0,"해당 없음",I725/E725)</x:f>
        <x:v>0.09803921568627451</x:v>
      </x:c>
      <x:c r="R725" s="15" t="n">
        <x:f>IF(E725=0,"해당 없음",J725/E725)</x:f>
        <x:v>0.20588235294117646</x:v>
      </x:c>
      <x:c r="S725" s="15" t="n">
        <x:f>IF(E725=0,"해당 없음",K725/E725)</x:f>
        <x:v>0.08823529411764706</x:v>
      </x:c>
      <x:c r="T725" s="15" t="n">
        <x:f>IF(E725=0,"해당 없음",L725/E725)</x:f>
        <x:v>0.11764705882352941</x:v>
      </x:c>
      <x:c r="U725" s="15" t="n">
        <x:f>IF(E725=0,"해당 없음",M725/E725)</x:f>
        <x:v>0.08823529411764706</x:v>
      </x:c>
      <x:c r="V725" s="16" t="n">
        <x:f>E725/5</x:f>
        <x:v>20.4</x:v>
      </x:c>
    </x:row>
    <x:row r="726" ht="22" customHeight="1">
      <x:c r="A726" s="2" t="n">
        <x:v>361</x:v>
      </x:c>
      <x:c r="B726" s="2" t="str">
        <x:v>RED</x:v>
      </x:c>
      <x:c r="C726" s="2" t="str">
        <x:v>0만</x:v>
      </x:c>
      <x:c r="D726" s="2" t="str">
        <x:v>120만</x:v>
      </x:c>
      <x:c r="E726" s="14" t="n">
        <x:f>SUM(F726:M726)</x:f>
        <x:v>105</x:v>
      </x:c>
      <x:c r="F726" s="14" t="n">
        <x:v>11</x:v>
      </x:c>
      <x:c r="G726" s="14" t="n">
        <x:v>12</x:v>
      </x:c>
      <x:c r="H726" s="14" t="n">
        <x:v>9</x:v>
      </x:c>
      <x:c r="I726" s="14" t="n">
        <x:v>21</x:v>
      </x:c>
      <x:c r="J726" s="14" t="n">
        <x:v>7</x:v>
      </x:c>
      <x:c r="K726" s="14" t="n">
        <x:v>15</x:v>
      </x:c>
      <x:c r="L726" s="14" t="n">
        <x:v>16</x:v>
      </x:c>
      <x:c r="M726" s="14" t="n">
        <x:v>14</x:v>
      </x:c>
      <x:c r="N726" s="15" t="n">
        <x:f>IF(E726=0,"해당 없음",F726/E726)</x:f>
        <x:v>0.10476190476190476</x:v>
      </x:c>
      <x:c r="O726" s="15" t="n">
        <x:f>IF(E726=0,"해당 없음",G726/E726)</x:f>
        <x:v>0.11428571428571428</x:v>
      </x:c>
      <x:c r="P726" s="15" t="n">
        <x:f>IF(E726=0,"해당 없음",H726/E726)</x:f>
        <x:v>0.08571428571428572</x:v>
      </x:c>
      <x:c r="Q726" s="15" t="n">
        <x:f>IF(E726=0,"해당 없음",I726/E726)</x:f>
        <x:v>0.2</x:v>
      </x:c>
      <x:c r="R726" s="15" t="n">
        <x:f>IF(E726=0,"해당 없음",J726/E726)</x:f>
        <x:v>0.06666666666666667</x:v>
      </x:c>
      <x:c r="S726" s="15" t="n">
        <x:f>IF(E726=0,"해당 없음",K726/E726)</x:f>
        <x:v>0.14285714285714285</x:v>
      </x:c>
      <x:c r="T726" s="15" t="n">
        <x:f>IF(E726=0,"해당 없음",L726/E726)</x:f>
        <x:v>0.1523809523809524</x:v>
      </x:c>
      <x:c r="U726" s="15" t="n">
        <x:f>IF(E726=0,"해당 없음",M726/E726)</x:f>
        <x:v>0.13333333333333333</x:v>
      </x:c>
      <x:c r="V726" s="16" t="n">
        <x:f>E726/5</x:f>
        <x:v>21</x:v>
      </x:c>
    </x:row>
    <x:row r="727" ht="22" customHeight="1">
      <x:c r="A727" s="2" t="n">
        <x:v>361</x:v>
      </x:c>
      <x:c r="B727" s="2" t="str">
        <x:v>NAVY</x:v>
      </x:c>
      <x:c r="C727" s="2" t="str">
        <x:v>120만</x:v>
      </x:c>
      <x:c r="D727" s="2" t="str">
        <x:v>0만</x:v>
      </x:c>
      <x:c r="E727" s="14" t="n">
        <x:f>SUM(F727:M727)</x:f>
        <x:v>104</x:v>
      </x:c>
      <x:c r="F727" s="14" t="n">
        <x:v>2</x:v>
      </x:c>
      <x:c r="G727" s="14" t="n">
        <x:v>10</x:v>
      </x:c>
      <x:c r="H727" s="14" t="n">
        <x:v>15</x:v>
      </x:c>
      <x:c r="I727" s="14" t="n">
        <x:v>9</x:v>
      </x:c>
      <x:c r="J727" s="14" t="n">
        <x:v>1</x:v>
      </x:c>
      <x:c r="K727" s="14" t="n">
        <x:v>8</x:v>
      </x:c>
      <x:c r="L727" s="14" t="n">
        <x:v>39</x:v>
      </x:c>
      <x:c r="M727" s="14" t="n">
        <x:v>20</x:v>
      </x:c>
      <x:c r="N727" s="15" t="n">
        <x:f>IF(E727=0,"해당 없음",F727/E727)</x:f>
        <x:v>0.019230769230769232</x:v>
      </x:c>
      <x:c r="O727" s="15" t="n">
        <x:f>IF(E727=0,"해당 없음",G727/E727)</x:f>
        <x:v>0.09615384615384616</x:v>
      </x:c>
      <x:c r="P727" s="15" t="n">
        <x:f>IF(E727=0,"해당 없음",H727/E727)</x:f>
        <x:v>0.14423076923076922</x:v>
      </x:c>
      <x:c r="Q727" s="15" t="n">
        <x:f>IF(E727=0,"해당 없음",I727/E727)</x:f>
        <x:v>0.08653846153846154</x:v>
      </x:c>
      <x:c r="R727" s="15" t="n">
        <x:f>IF(E727=0,"해당 없음",J727/E727)</x:f>
        <x:v>0.009615384615384616</x:v>
      </x:c>
      <x:c r="S727" s="15" t="n">
        <x:f>IF(E727=0,"해당 없음",K727/E727)</x:f>
        <x:v>0.07692307692307693</x:v>
      </x:c>
      <x:c r="T727" s="15" t="n">
        <x:f>IF(E727=0,"해당 없음",L727/E727)</x:f>
        <x:v>0.375</x:v>
      </x:c>
      <x:c r="U727" s="15" t="n">
        <x:f>IF(E727=0,"해당 없음",M727/E727)</x:f>
        <x:v>0.19230769230769232</x:v>
      </x:c>
      <x:c r="V727" s="16" t="n">
        <x:f>E727/5</x:f>
        <x:v>20.8</x:v>
      </x:c>
    </x:row>
    <x:row r="728" ht="22" customHeight="1">
      <x:c r="A728" s="2" t="n">
        <x:v>362</x:v>
      </x:c>
      <x:c r="B728" s="2" t="str">
        <x:v>RED</x:v>
      </x:c>
      <x:c r="C728" s="2" t="str">
        <x:v>120만</x:v>
      </x:c>
      <x:c r="D728" s="2" t="str">
        <x:v>0만</x:v>
      </x:c>
      <x:c r="E728" s="14" t="n">
        <x:f>SUM(F728:M728)</x:f>
        <x:v>107</x:v>
      </x:c>
      <x:c r="F728" s="14" t="n">
        <x:v>0</x:v>
      </x:c>
      <x:c r="G728" s="14" t="n">
        <x:v>16</x:v>
      </x:c>
      <x:c r="H728" s="14" t="n">
        <x:v>10</x:v>
      </x:c>
      <x:c r="I728" s="14" t="n">
        <x:v>12</x:v>
      </x:c>
      <x:c r="J728" s="14" t="n">
        <x:v>2</x:v>
      </x:c>
      <x:c r="K728" s="14" t="n">
        <x:v>13</x:v>
      </x:c>
      <x:c r="L728" s="14" t="n">
        <x:v>40</x:v>
      </x:c>
      <x:c r="M728" s="14" t="n">
        <x:v>14</x:v>
      </x:c>
      <x:c r="N728" s="15" t="n">
        <x:f>IF(E728=0,"해당 없음",F728/E728)</x:f>
        <x:v>0</x:v>
      </x:c>
      <x:c r="O728" s="15" t="n">
        <x:f>IF(E728=0,"해당 없음",G728/E728)</x:f>
        <x:v>0.14953271028037382</x:v>
      </x:c>
      <x:c r="P728" s="15" t="n">
        <x:f>IF(E728=0,"해당 없음",H728/E728)</x:f>
        <x:v>0.09345794392523364</x:v>
      </x:c>
      <x:c r="Q728" s="15" t="n">
        <x:f>IF(E728=0,"해당 없음",I728/E728)</x:f>
        <x:v>0.11214953271028037</x:v>
      </x:c>
      <x:c r="R728" s="15" t="n">
        <x:f>IF(E728=0,"해당 없음",J728/E728)</x:f>
        <x:v>0.018691588785046728</x:v>
      </x:c>
      <x:c r="S728" s="15" t="n">
        <x:f>IF(E728=0,"해당 없음",K728/E728)</x:f>
        <x:v>0.12149532710280374</x:v>
      </x:c>
      <x:c r="T728" s="15" t="n">
        <x:f>IF(E728=0,"해당 없음",L728/E728)</x:f>
        <x:v>0.37383177570093457</x:v>
      </x:c>
      <x:c r="U728" s="15" t="n">
        <x:f>IF(E728=0,"해당 없음",M728/E728)</x:f>
        <x:v>0.1308411214953271</x:v>
      </x:c>
      <x:c r="V728" s="16" t="n">
        <x:f>E728/5</x:f>
        <x:v>21.4</x:v>
      </x:c>
    </x:row>
    <x:row r="729" ht="22" customHeight="1">
      <x:c r="A729" s="2" t="n">
        <x:v>362</x:v>
      </x:c>
      <x:c r="B729" s="2" t="str">
        <x:v>NAVY</x:v>
      </x:c>
      <x:c r="C729" s="2" t="str">
        <x:v>0만</x:v>
      </x:c>
      <x:c r="D729" s="2" t="str">
        <x:v>120만</x:v>
      </x:c>
      <x:c r="E729" s="14" t="n">
        <x:f>SUM(F729:M729)</x:f>
        <x:v>107</x:v>
      </x:c>
      <x:c r="F729" s="14" t="n">
        <x:v>11</x:v>
      </x:c>
      <x:c r="G729" s="14" t="n">
        <x:v>12</x:v>
      </x:c>
      <x:c r="H729" s="14" t="n">
        <x:v>9</x:v>
      </x:c>
      <x:c r="I729" s="14" t="n">
        <x:v>21</x:v>
      </x:c>
      <x:c r="J729" s="14" t="n">
        <x:v>9</x:v>
      </x:c>
      <x:c r="K729" s="14" t="n">
        <x:v>15</x:v>
      </x:c>
      <x:c r="L729" s="14" t="n">
        <x:v>16</x:v>
      </x:c>
      <x:c r="M729" s="14" t="n">
        <x:v>14</x:v>
      </x:c>
      <x:c r="N729" s="15" t="n">
        <x:f>IF(E729=0,"해당 없음",F729/E729)</x:f>
        <x:v>0.102803738317757</x:v>
      </x:c>
      <x:c r="O729" s="15" t="n">
        <x:f>IF(E729=0,"해당 없음",G729/E729)</x:f>
        <x:v>0.11214953271028037</x:v>
      </x:c>
      <x:c r="P729" s="15" t="n">
        <x:f>IF(E729=0,"해당 없음",H729/E729)</x:f>
        <x:v>0.08411214953271028</x:v>
      </x:c>
      <x:c r="Q729" s="15" t="n">
        <x:f>IF(E729=0,"해당 없음",I729/E729)</x:f>
        <x:v>0.19626168224299065</x:v>
      </x:c>
      <x:c r="R729" s="15" t="n">
        <x:f>IF(E729=0,"해당 없음",J729/E729)</x:f>
        <x:v>0.08411214953271028</x:v>
      </x:c>
      <x:c r="S729" s="15" t="n">
        <x:f>IF(E729=0,"해당 없음",K729/E729)</x:f>
        <x:v>0.14018691588785046</x:v>
      </x:c>
      <x:c r="T729" s="15" t="n">
        <x:f>IF(E729=0,"해당 없음",L729/E729)</x:f>
        <x:v>0.14953271028037382</x:v>
      </x:c>
      <x:c r="U729" s="15" t="n">
        <x:f>IF(E729=0,"해당 없음",M729/E729)</x:f>
        <x:v>0.1308411214953271</x:v>
      </x:c>
      <x:c r="V729" s="16" t="n">
        <x:f>E729/5</x:f>
        <x:v>21.4</x:v>
      </x:c>
    </x:row>
    <x:row r="730" ht="22" customHeight="1">
      <x:c r="A730" s="2" t="n">
        <x:v>363</x:v>
      </x:c>
      <x:c r="B730" s="2" t="str">
        <x:v>RED</x:v>
      </x:c>
      <x:c r="C730" s="2" t="str">
        <x:v>0만</x:v>
      </x:c>
      <x:c r="D730" s="2" t="str">
        <x:v>120만</x:v>
      </x:c>
      <x:c r="E730" s="14" t="n">
        <x:f>SUM(F730:M730)</x:f>
        <x:v>104</x:v>
      </x:c>
      <x:c r="F730" s="14" t="n">
        <x:v>12</x:v>
      </x:c>
      <x:c r="G730" s="14" t="n">
        <x:v>17</x:v>
      </x:c>
      <x:c r="H730" s="14" t="n">
        <x:v>17</x:v>
      </x:c>
      <x:c r="I730" s="14" t="n">
        <x:v>13</x:v>
      </x:c>
      <x:c r="J730" s="14" t="n">
        <x:v>11</x:v>
      </x:c>
      <x:c r="K730" s="14" t="n">
        <x:v>15</x:v>
      </x:c>
      <x:c r="L730" s="14" t="n">
        <x:v>8</x:v>
      </x:c>
      <x:c r="M730" s="14" t="n">
        <x:v>11</x:v>
      </x:c>
      <x:c r="N730" s="15" t="n">
        <x:f>IF(E730=0,"해당 없음",F730/E730)</x:f>
        <x:v>0.11538461538461539</x:v>
      </x:c>
      <x:c r="O730" s="15" t="n">
        <x:f>IF(E730=0,"해당 없음",G730/E730)</x:f>
        <x:v>0.16346153846153846</x:v>
      </x:c>
      <x:c r="P730" s="15" t="n">
        <x:f>IF(E730=0,"해당 없음",H730/E730)</x:f>
        <x:v>0.16346153846153846</x:v>
      </x:c>
      <x:c r="Q730" s="15" t="n">
        <x:f>IF(E730=0,"해당 없음",I730/E730)</x:f>
        <x:v>0.125</x:v>
      </x:c>
      <x:c r="R730" s="15" t="n">
        <x:f>IF(E730=0,"해당 없음",J730/E730)</x:f>
        <x:v>0.10576923076923077</x:v>
      </x:c>
      <x:c r="S730" s="15" t="n">
        <x:f>IF(E730=0,"해당 없음",K730/E730)</x:f>
        <x:v>0.14423076923076922</x:v>
      </x:c>
      <x:c r="T730" s="15" t="n">
        <x:f>IF(E730=0,"해당 없음",L730/E730)</x:f>
        <x:v>0.07692307692307693</x:v>
      </x:c>
      <x:c r="U730" s="15" t="n">
        <x:f>IF(E730=0,"해당 없음",M730/E730)</x:f>
        <x:v>0.10576923076923077</x:v>
      </x:c>
      <x:c r="V730" s="16" t="n">
        <x:f>E730/5</x:f>
        <x:v>20.8</x:v>
      </x:c>
    </x:row>
    <x:row r="731" ht="22" customHeight="1">
      <x:c r="A731" s="2" t="n">
        <x:v>363</x:v>
      </x:c>
      <x:c r="B731" s="2" t="str">
        <x:v>NAVY</x:v>
      </x:c>
      <x:c r="C731" s="2" t="str">
        <x:v>120만</x:v>
      </x:c>
      <x:c r="D731" s="2" t="str">
        <x:v>0만</x:v>
      </x:c>
      <x:c r="E731" s="14" t="n">
        <x:f>SUM(F731:M731)</x:f>
        <x:v>103</x:v>
      </x:c>
      <x:c r="F731" s="14" t="n">
        <x:v>1</x:v>
      </x:c>
      <x:c r="G731" s="14" t="n">
        <x:v>10</x:v>
      </x:c>
      <x:c r="H731" s="14" t="n">
        <x:v>14</x:v>
      </x:c>
      <x:c r="I731" s="14" t="n">
        <x:v>9</x:v>
      </x:c>
      <x:c r="J731" s="14" t="n">
        <x:v>3</x:v>
      </x:c>
      <x:c r="K731" s="14" t="n">
        <x:v>8</x:v>
      </x:c>
      <x:c r="L731" s="14" t="n">
        <x:v>37</x:v>
      </x:c>
      <x:c r="M731" s="14" t="n">
        <x:v>21</x:v>
      </x:c>
      <x:c r="N731" s="15" t="n">
        <x:f>IF(E731=0,"해당 없음",F731/E731)</x:f>
        <x:v>0.009708737864077669</x:v>
      </x:c>
      <x:c r="O731" s="15" t="n">
        <x:f>IF(E731=0,"해당 없음",G731/E731)</x:f>
        <x:v>0.0970873786407767</x:v>
      </x:c>
      <x:c r="P731" s="15" t="n">
        <x:f>IF(E731=0,"해당 없음",H731/E731)</x:f>
        <x:v>0.13592233009708737</x:v>
      </x:c>
      <x:c r="Q731" s="15" t="n">
        <x:f>IF(E731=0,"해당 없음",I731/E731)</x:f>
        <x:v>0.08737864077669903</x:v>
      </x:c>
      <x:c r="R731" s="15" t="n">
        <x:f>IF(E731=0,"해당 없음",J731/E731)</x:f>
        <x:v>0.02912621359223301</x:v>
      </x:c>
      <x:c r="S731" s="15" t="n">
        <x:f>IF(E731=0,"해당 없음",K731/E731)</x:f>
        <x:v>0.07766990291262135</x:v>
      </x:c>
      <x:c r="T731" s="15" t="n">
        <x:f>IF(E731=0,"해당 없음",L731/E731)</x:f>
        <x:v>0.3592233009708738</x:v>
      </x:c>
      <x:c r="U731" s="15" t="n">
        <x:f>IF(E731=0,"해당 없음",M731/E731)</x:f>
        <x:v>0.20388349514563106</x:v>
      </x:c>
      <x:c r="V731" s="16" t="n">
        <x:f>E731/5</x:f>
        <x:v>20.6</x:v>
      </x:c>
    </x:row>
    <x:row r="732" ht="22" customHeight="1">
      <x:c r="A732" s="2" t="n">
        <x:v>364</x:v>
      </x:c>
      <x:c r="B732" s="2" t="str">
        <x:v>RED</x:v>
      </x:c>
      <x:c r="C732" s="2" t="str">
        <x:v>120만</x:v>
      </x:c>
      <x:c r="D732" s="2" t="str">
        <x:v>0만</x:v>
      </x:c>
      <x:c r="E732" s="14" t="n">
        <x:f>SUM(F732:M732)</x:f>
        <x:v>102</x:v>
      </x:c>
      <x:c r="F732" s="14" t="n">
        <x:v>1</x:v>
      </x:c>
      <x:c r="G732" s="14" t="n">
        <x:v>14</x:v>
      </x:c>
      <x:c r="H732" s="14" t="n">
        <x:v>7</x:v>
      </x:c>
      <x:c r="I732" s="14" t="n">
        <x:v>7</x:v>
      </x:c>
      <x:c r="J732" s="14" t="n">
        <x:v>2</x:v>
      </x:c>
      <x:c r="K732" s="14" t="n">
        <x:v>8</x:v>
      </x:c>
      <x:c r="L732" s="14" t="n">
        <x:v>40</x:v>
      </x:c>
      <x:c r="M732" s="14" t="n">
        <x:v>23</x:v>
      </x:c>
      <x:c r="N732" s="15" t="n">
        <x:f>IF(E732=0,"해당 없음",F732/E732)</x:f>
        <x:v>0.00980392156862745</x:v>
      </x:c>
      <x:c r="O732" s="15" t="n">
        <x:f>IF(E732=0,"해당 없음",G732/E732)</x:f>
        <x:v>0.13725490196078433</x:v>
      </x:c>
      <x:c r="P732" s="15" t="n">
        <x:f>IF(E732=0,"해당 없음",H732/E732)</x:f>
        <x:v>0.06862745098039216</x:v>
      </x:c>
      <x:c r="Q732" s="15" t="n">
        <x:f>IF(E732=0,"해당 없음",I732/E732)</x:f>
        <x:v>0.06862745098039216</x:v>
      </x:c>
      <x:c r="R732" s="15" t="n">
        <x:f>IF(E732=0,"해당 없음",J732/E732)</x:f>
        <x:v>0.0196078431372549</x:v>
      </x:c>
      <x:c r="S732" s="15" t="n">
        <x:f>IF(E732=0,"해당 없음",K732/E732)</x:f>
        <x:v>0.0784313725490196</x:v>
      </x:c>
      <x:c r="T732" s="15" t="n">
        <x:f>IF(E732=0,"해당 없음",L732/E732)</x:f>
        <x:v>0.39215686274509803</x:v>
      </x:c>
      <x:c r="U732" s="15" t="n">
        <x:f>IF(E732=0,"해당 없음",M732/E732)</x:f>
        <x:v>0.22549019607843138</x:v>
      </x:c>
      <x:c r="V732" s="16" t="n">
        <x:f>E732/5</x:f>
        <x:v>20.4</x:v>
      </x:c>
    </x:row>
    <x:row r="733" ht="22" customHeight="1">
      <x:c r="A733" s="2" t="n">
        <x:v>364</x:v>
      </x:c>
      <x:c r="B733" s="2" t="str">
        <x:v>NAVY</x:v>
      </x:c>
      <x:c r="C733" s="2" t="str">
        <x:v>0만</x:v>
      </x:c>
      <x:c r="D733" s="2" t="str">
        <x:v>120만</x:v>
      </x:c>
      <x:c r="E733" s="14" t="n">
        <x:f>SUM(F733:M733)</x:f>
        <x:v>105</x:v>
      </x:c>
      <x:c r="F733" s="14" t="n">
        <x:v>12</x:v>
      </x:c>
      <x:c r="G733" s="14" t="n">
        <x:v>18</x:v>
      </x:c>
      <x:c r="H733" s="14" t="n">
        <x:v>17</x:v>
      </x:c>
      <x:c r="I733" s="14" t="n">
        <x:v>13</x:v>
      </x:c>
      <x:c r="J733" s="14" t="n">
        <x:v>11</x:v>
      </x:c>
      <x:c r="K733" s="14" t="n">
        <x:v>15</x:v>
      </x:c>
      <x:c r="L733" s="14" t="n">
        <x:v>7</x:v>
      </x:c>
      <x:c r="M733" s="14" t="n">
        <x:v>12</x:v>
      </x:c>
      <x:c r="N733" s="15" t="n">
        <x:f>IF(E733=0,"해당 없음",F733/E733)</x:f>
        <x:v>0.11428571428571428</x:v>
      </x:c>
      <x:c r="O733" s="15" t="n">
        <x:f>IF(E733=0,"해당 없음",G733/E733)</x:f>
        <x:v>0.17142857142857143</x:v>
      </x:c>
      <x:c r="P733" s="15" t="n">
        <x:f>IF(E733=0,"해당 없음",H733/E733)</x:f>
        <x:v>0.1619047619047619</x:v>
      </x:c>
      <x:c r="Q733" s="15" t="n">
        <x:f>IF(E733=0,"해당 없음",I733/E733)</x:f>
        <x:v>0.12380952380952381</x:v>
      </x:c>
      <x:c r="R733" s="15" t="n">
        <x:f>IF(E733=0,"해당 없음",J733/E733)</x:f>
        <x:v>0.10476190476190476</x:v>
      </x:c>
      <x:c r="S733" s="15" t="n">
        <x:f>IF(E733=0,"해당 없음",K733/E733)</x:f>
        <x:v>0.14285714285714285</x:v>
      </x:c>
      <x:c r="T733" s="15" t="n">
        <x:f>IF(E733=0,"해당 없음",L733/E733)</x:f>
        <x:v>0.06666666666666667</x:v>
      </x:c>
      <x:c r="U733" s="15" t="n">
        <x:f>IF(E733=0,"해당 없음",M733/E733)</x:f>
        <x:v>0.11428571428571428</x:v>
      </x:c>
      <x:c r="V733" s="16" t="n">
        <x:f>E733/5</x:f>
        <x:v>21</x:v>
      </x:c>
    </x:row>
    <x:row r="734" ht="22" customHeight="1">
      <x:c r="A734" s="2" t="n">
        <x:v>365</x:v>
      </x:c>
      <x:c r="B734" s="2" t="str">
        <x:v>RED</x:v>
      </x:c>
      <x:c r="C734" s="2" t="str">
        <x:v>0만</x:v>
      </x:c>
      <x:c r="D734" s="2" t="str">
        <x:v>120만</x:v>
      </x:c>
      <x:c r="E734" s="14" t="n">
        <x:f>SUM(F734:M734)</x:f>
        <x:v>104</x:v>
      </x:c>
      <x:c r="F734" s="14" t="n">
        <x:v>11</x:v>
      </x:c>
      <x:c r="G734" s="14" t="n">
        <x:v>17</x:v>
      </x:c>
      <x:c r="H734" s="14" t="n">
        <x:v>15</x:v>
      </x:c>
      <x:c r="I734" s="14" t="n">
        <x:v>17</x:v>
      </x:c>
      <x:c r="J734" s="14" t="n">
        <x:v>14</x:v>
      </x:c>
      <x:c r="K734" s="14" t="n">
        <x:v>10</x:v>
      </x:c>
      <x:c r="L734" s="14" t="n">
        <x:v>12</x:v>
      </x:c>
      <x:c r="M734" s="14" t="n">
        <x:v>8</x:v>
      </x:c>
      <x:c r="N734" s="15" t="n">
        <x:f>IF(E734=0,"해당 없음",F734/E734)</x:f>
        <x:v>0.10576923076923077</x:v>
      </x:c>
      <x:c r="O734" s="15" t="n">
        <x:f>IF(E734=0,"해당 없음",G734/E734)</x:f>
        <x:v>0.16346153846153846</x:v>
      </x:c>
      <x:c r="P734" s="15" t="n">
        <x:f>IF(E734=0,"해당 없음",H734/E734)</x:f>
        <x:v>0.14423076923076922</x:v>
      </x:c>
      <x:c r="Q734" s="15" t="n">
        <x:f>IF(E734=0,"해당 없음",I734/E734)</x:f>
        <x:v>0.16346153846153846</x:v>
      </x:c>
      <x:c r="R734" s="15" t="n">
        <x:f>IF(E734=0,"해당 없음",J734/E734)</x:f>
        <x:v>0.1346153846153846</x:v>
      </x:c>
      <x:c r="S734" s="15" t="n">
        <x:f>IF(E734=0,"해당 없음",K734/E734)</x:f>
        <x:v>0.09615384615384616</x:v>
      </x:c>
      <x:c r="T734" s="15" t="n">
        <x:f>IF(E734=0,"해당 없음",L734/E734)</x:f>
        <x:v>0.11538461538461539</x:v>
      </x:c>
      <x:c r="U734" s="15" t="n">
        <x:f>IF(E734=0,"해당 없음",M734/E734)</x:f>
        <x:v>0.07692307692307693</x:v>
      </x:c>
      <x:c r="V734" s="16" t="n">
        <x:f>E734/5</x:f>
        <x:v>20.8</x:v>
      </x:c>
    </x:row>
    <x:row r="735" ht="22" customHeight="1">
      <x:c r="A735" s="2" t="n">
        <x:v>365</x:v>
      </x:c>
      <x:c r="B735" s="2" t="str">
        <x:v>NAVY</x:v>
      </x:c>
      <x:c r="C735" s="2" t="str">
        <x:v>120만</x:v>
      </x:c>
      <x:c r="D735" s="2" t="str">
        <x:v>0만</x:v>
      </x:c>
      <x:c r="E735" s="14" t="n">
        <x:f>SUM(F735:M735)</x:f>
        <x:v>105</x:v>
      </x:c>
      <x:c r="F735" s="14" t="n">
        <x:v>2</x:v>
      </x:c>
      <x:c r="G735" s="14" t="n">
        <x:v>19</x:v>
      </x:c>
      <x:c r="H735" s="14" t="n">
        <x:v>11</x:v>
      </x:c>
      <x:c r="I735" s="14" t="n">
        <x:v>8</x:v>
      </x:c>
      <x:c r="J735" s="14" t="n">
        <x:v>5</x:v>
      </x:c>
      <x:c r="K735" s="14" t="n">
        <x:v>11</x:v>
      </x:c>
      <x:c r="L735" s="14" t="n">
        <x:v>38</x:v>
      </x:c>
      <x:c r="M735" s="14" t="n">
        <x:v>11</x:v>
      </x:c>
      <x:c r="N735" s="15" t="n">
        <x:f>IF(E735=0,"해당 없음",F735/E735)</x:f>
        <x:v>0.01904761904761905</x:v>
      </x:c>
      <x:c r="O735" s="15" t="n">
        <x:f>IF(E735=0,"해당 없음",G735/E735)</x:f>
        <x:v>0.18095238095238095</x:v>
      </x:c>
      <x:c r="P735" s="15" t="n">
        <x:f>IF(E735=0,"해당 없음",H735/E735)</x:f>
        <x:v>0.10476190476190476</x:v>
      </x:c>
      <x:c r="Q735" s="15" t="n">
        <x:f>IF(E735=0,"해당 없음",I735/E735)</x:f>
        <x:v>0.0761904761904762</x:v>
      </x:c>
      <x:c r="R735" s="15" t="n">
        <x:f>IF(E735=0,"해당 없음",J735/E735)</x:f>
        <x:v>0.047619047619047616</x:v>
      </x:c>
      <x:c r="S735" s="15" t="n">
        <x:f>IF(E735=0,"해당 없음",K735/E735)</x:f>
        <x:v>0.10476190476190476</x:v>
      </x:c>
      <x:c r="T735" s="15" t="n">
        <x:f>IF(E735=0,"해당 없음",L735/E735)</x:f>
        <x:v>0.3619047619047619</x:v>
      </x:c>
      <x:c r="U735" s="15" t="n">
        <x:f>IF(E735=0,"해당 없음",M735/E735)</x:f>
        <x:v>0.10476190476190476</x:v>
      </x:c>
      <x:c r="V735" s="16" t="n">
        <x:f>E735/5</x:f>
        <x:v>21</x:v>
      </x:c>
    </x:row>
    <x:row r="736" ht="22" customHeight="1">
      <x:c r="A736" s="2" t="n">
        <x:v>366</x:v>
      </x:c>
      <x:c r="B736" s="2" t="str">
        <x:v>RED</x:v>
      </x:c>
      <x:c r="C736" s="2" t="str">
        <x:v>120만</x:v>
      </x:c>
      <x:c r="D736" s="2" t="str">
        <x:v>0만</x:v>
      </x:c>
      <x:c r="E736" s="14" t="n">
        <x:f>SUM(F736:M736)</x:f>
        <x:v>104</x:v>
      </x:c>
      <x:c r="F736" s="14" t="n">
        <x:v>2</x:v>
      </x:c>
      <x:c r="G736" s="14" t="n">
        <x:v>20</x:v>
      </x:c>
      <x:c r="H736" s="14" t="n">
        <x:v>12</x:v>
      </x:c>
      <x:c r="I736" s="14" t="n">
        <x:v>4</x:v>
      </x:c>
      <x:c r="J736" s="14" t="n">
        <x:v>4</x:v>
      </x:c>
      <x:c r="K736" s="14" t="n">
        <x:v>9</x:v>
      </x:c>
      <x:c r="L736" s="14" t="n">
        <x:v>35</x:v>
      </x:c>
      <x:c r="M736" s="14" t="n">
        <x:v>18</x:v>
      </x:c>
      <x:c r="N736" s="15" t="n">
        <x:f>IF(E736=0,"해당 없음",F736/E736)</x:f>
        <x:v>0.019230769230769232</x:v>
      </x:c>
      <x:c r="O736" s="15" t="n">
        <x:f>IF(E736=0,"해당 없음",G736/E736)</x:f>
        <x:v>0.19230769230769232</x:v>
      </x:c>
      <x:c r="P736" s="15" t="n">
        <x:f>IF(E736=0,"해당 없음",H736/E736)</x:f>
        <x:v>0.11538461538461539</x:v>
      </x:c>
      <x:c r="Q736" s="15" t="n">
        <x:f>IF(E736=0,"해당 없음",I736/E736)</x:f>
        <x:v>0.038461538461538464</x:v>
      </x:c>
      <x:c r="R736" s="15" t="n">
        <x:f>IF(E736=0,"해당 없음",J736/E736)</x:f>
        <x:v>0.038461538461538464</x:v>
      </x:c>
      <x:c r="S736" s="15" t="n">
        <x:f>IF(E736=0,"해당 없음",K736/E736)</x:f>
        <x:v>0.08653846153846154</x:v>
      </x:c>
      <x:c r="T736" s="15" t="n">
        <x:f>IF(E736=0,"해당 없음",L736/E736)</x:f>
        <x:v>0.33653846153846156</x:v>
      </x:c>
      <x:c r="U736" s="15" t="n">
        <x:f>IF(E736=0,"해당 없음",M736/E736)</x:f>
        <x:v>0.17307692307692307</x:v>
      </x:c>
      <x:c r="V736" s="16" t="n">
        <x:f>E736/5</x:f>
        <x:v>20.8</x:v>
      </x:c>
    </x:row>
    <x:row r="737" ht="22" customHeight="1">
      <x:c r="A737" s="2" t="n">
        <x:v>366</x:v>
      </x:c>
      <x:c r="B737" s="2" t="str">
        <x:v>NAVY</x:v>
      </x:c>
      <x:c r="C737" s="2" t="str">
        <x:v>0만</x:v>
      </x:c>
      <x:c r="D737" s="2" t="str">
        <x:v>120만</x:v>
      </x:c>
      <x:c r="E737" s="14" t="n">
        <x:f>SUM(F737:M737)</x:f>
        <x:v>104</x:v>
      </x:c>
      <x:c r="F737" s="14" t="n">
        <x:v>11</x:v>
      </x:c>
      <x:c r="G737" s="14" t="n">
        <x:v>17</x:v>
      </x:c>
      <x:c r="H737" s="14" t="n">
        <x:v>15</x:v>
      </x:c>
      <x:c r="I737" s="14" t="n">
        <x:v>17</x:v>
      </x:c>
      <x:c r="J737" s="14" t="n">
        <x:v>14</x:v>
      </x:c>
      <x:c r="K737" s="14" t="n">
        <x:v>10</x:v>
      </x:c>
      <x:c r="L737" s="14" t="n">
        <x:v>12</x:v>
      </x:c>
      <x:c r="M737" s="14" t="n">
        <x:v>8</x:v>
      </x:c>
      <x:c r="N737" s="15" t="n">
        <x:f>IF(E737=0,"해당 없음",F737/E737)</x:f>
        <x:v>0.10576923076923077</x:v>
      </x:c>
      <x:c r="O737" s="15" t="n">
        <x:f>IF(E737=0,"해당 없음",G737/E737)</x:f>
        <x:v>0.16346153846153846</x:v>
      </x:c>
      <x:c r="P737" s="15" t="n">
        <x:f>IF(E737=0,"해당 없음",H737/E737)</x:f>
        <x:v>0.14423076923076922</x:v>
      </x:c>
      <x:c r="Q737" s="15" t="n">
        <x:f>IF(E737=0,"해당 없음",I737/E737)</x:f>
        <x:v>0.16346153846153846</x:v>
      </x:c>
      <x:c r="R737" s="15" t="n">
        <x:f>IF(E737=0,"해당 없음",J737/E737)</x:f>
        <x:v>0.1346153846153846</x:v>
      </x:c>
      <x:c r="S737" s="15" t="n">
        <x:f>IF(E737=0,"해당 없음",K737/E737)</x:f>
        <x:v>0.09615384615384616</x:v>
      </x:c>
      <x:c r="T737" s="15" t="n">
        <x:f>IF(E737=0,"해당 없음",L737/E737)</x:f>
        <x:v>0.11538461538461539</x:v>
      </x:c>
      <x:c r="U737" s="15" t="n">
        <x:f>IF(E737=0,"해당 없음",M737/E737)</x:f>
        <x:v>0.07692307692307693</x:v>
      </x:c>
      <x:c r="V737" s="16" t="n">
        <x:f>E737/5</x:f>
        <x:v>20.8</x:v>
      </x:c>
    </x:row>
    <x:row r="738" ht="22" customHeight="1">
      <x:c r="A738" s="2" t="n">
        <x:v>367</x:v>
      </x:c>
      <x:c r="B738" s="2" t="str">
        <x:v>RED</x:v>
      </x:c>
      <x:c r="C738" s="2" t="str">
        <x:v>0만</x:v>
      </x:c>
      <x:c r="D738" s="2" t="str">
        <x:v>120만</x:v>
      </x:c>
      <x:c r="E738" s="14" t="n">
        <x:f>SUM(F738:M738)</x:f>
        <x:v>105</x:v>
      </x:c>
      <x:c r="F738" s="14" t="n">
        <x:v>9</x:v>
      </x:c>
      <x:c r="G738" s="14" t="n">
        <x:v>13</x:v>
      </x:c>
      <x:c r="H738" s="14" t="n">
        <x:v>17</x:v>
      </x:c>
      <x:c r="I738" s="14" t="n">
        <x:v>16</x:v>
      </x:c>
      <x:c r="J738" s="14" t="n">
        <x:v>11</x:v>
      </x:c>
      <x:c r="K738" s="14" t="n">
        <x:v>18</x:v>
      </x:c>
      <x:c r="L738" s="14" t="n">
        <x:v>8</x:v>
      </x:c>
      <x:c r="M738" s="14" t="n">
        <x:v>13</x:v>
      </x:c>
      <x:c r="N738" s="15" t="n">
        <x:f>IF(E738=0,"해당 없음",F738/E738)</x:f>
        <x:v>0.08571428571428572</x:v>
      </x:c>
      <x:c r="O738" s="15" t="n">
        <x:f>IF(E738=0,"해당 없음",G738/E738)</x:f>
        <x:v>0.12380952380952381</x:v>
      </x:c>
      <x:c r="P738" s="15" t="n">
        <x:f>IF(E738=0,"해당 없음",H738/E738)</x:f>
        <x:v>0.1619047619047619</x:v>
      </x:c>
      <x:c r="Q738" s="15" t="n">
        <x:f>IF(E738=0,"해당 없음",I738/E738)</x:f>
        <x:v>0.1523809523809524</x:v>
      </x:c>
      <x:c r="R738" s="15" t="n">
        <x:f>IF(E738=0,"해당 없음",J738/E738)</x:f>
        <x:v>0.10476190476190476</x:v>
      </x:c>
      <x:c r="S738" s="15" t="n">
        <x:f>IF(E738=0,"해당 없음",K738/E738)</x:f>
        <x:v>0.17142857142857143</x:v>
      </x:c>
      <x:c r="T738" s="15" t="n">
        <x:f>IF(E738=0,"해당 없음",L738/E738)</x:f>
        <x:v>0.0761904761904762</x:v>
      </x:c>
      <x:c r="U738" s="15" t="n">
        <x:f>IF(E738=0,"해당 없음",M738/E738)</x:f>
        <x:v>0.12380952380952381</x:v>
      </x:c>
      <x:c r="V738" s="16" t="n">
        <x:f>E738/5</x:f>
        <x:v>21</x:v>
      </x:c>
    </x:row>
    <x:row r="739" ht="22" customHeight="1">
      <x:c r="A739" s="2" t="n">
        <x:v>367</x:v>
      </x:c>
      <x:c r="B739" s="2" t="str">
        <x:v>NAVY</x:v>
      </x:c>
      <x:c r="C739" s="2" t="str">
        <x:v>120만</x:v>
      </x:c>
      <x:c r="D739" s="2" t="str">
        <x:v>0만</x:v>
      </x:c>
      <x:c r="E739" s="14" t="n">
        <x:f>SUM(F739:M739)</x:f>
        <x:v>103</x:v>
      </x:c>
      <x:c r="F739" s="14" t="n">
        <x:v>3</x:v>
      </x:c>
      <x:c r="G739" s="14" t="n">
        <x:v>17</x:v>
      </x:c>
      <x:c r="H739" s="14" t="n">
        <x:v>10</x:v>
      </x:c>
      <x:c r="I739" s="14" t="n">
        <x:v>8</x:v>
      </x:c>
      <x:c r="J739" s="14" t="n">
        <x:v>6</x:v>
      </x:c>
      <x:c r="K739" s="14" t="n">
        <x:v>9</x:v>
      </x:c>
      <x:c r="L739" s="14" t="n">
        <x:v>36</x:v>
      </x:c>
      <x:c r="M739" s="14" t="n">
        <x:v>14</x:v>
      </x:c>
      <x:c r="N739" s="15" t="n">
        <x:f>IF(E739=0,"해당 없음",F739/E739)</x:f>
        <x:v>0.02912621359223301</x:v>
      </x:c>
      <x:c r="O739" s="15" t="n">
        <x:f>IF(E739=0,"해당 없음",G739/E739)</x:f>
        <x:v>0.1650485436893204</x:v>
      </x:c>
      <x:c r="P739" s="15" t="n">
        <x:f>IF(E739=0,"해당 없음",H739/E739)</x:f>
        <x:v>0.0970873786407767</x:v>
      </x:c>
      <x:c r="Q739" s="15" t="n">
        <x:f>IF(E739=0,"해당 없음",I739/E739)</x:f>
        <x:v>0.07766990291262135</x:v>
      </x:c>
      <x:c r="R739" s="15" t="n">
        <x:f>IF(E739=0,"해당 없음",J739/E739)</x:f>
        <x:v>0.05825242718446602</x:v>
      </x:c>
      <x:c r="S739" s="15" t="n">
        <x:f>IF(E739=0,"해당 없음",K739/E739)</x:f>
        <x:v>0.08737864077669903</x:v>
      </x:c>
      <x:c r="T739" s="15" t="n">
        <x:f>IF(E739=0,"해당 없음",L739/E739)</x:f>
        <x:v>0.34951456310679613</x:v>
      </x:c>
      <x:c r="U739" s="15" t="n">
        <x:f>IF(E739=0,"해당 없음",M739/E739)</x:f>
        <x:v>0.13592233009708737</x:v>
      </x:c>
      <x:c r="V739" s="16" t="n">
        <x:f>E739/5</x:f>
        <x:v>20.6</x:v>
      </x:c>
    </x:row>
    <x:row r="740" ht="22" customHeight="1">
      <x:c r="A740" s="2" t="n">
        <x:v>368</x:v>
      </x:c>
      <x:c r="B740" s="2" t="str">
        <x:v>RED</x:v>
      </x:c>
      <x:c r="C740" s="2" t="str">
        <x:v>120만</x:v>
      </x:c>
      <x:c r="D740" s="2" t="str">
        <x:v>0만</x:v>
      </x:c>
      <x:c r="E740" s="14" t="n">
        <x:f>SUM(F740:M740)</x:f>
        <x:v>102</x:v>
      </x:c>
      <x:c r="F740" s="14" t="n">
        <x:v>1</x:v>
      </x:c>
      <x:c r="G740" s="14" t="n">
        <x:v>12</x:v>
      </x:c>
      <x:c r="H740" s="14" t="n">
        <x:v>11</x:v>
      </x:c>
      <x:c r="I740" s="14" t="n">
        <x:v>10</x:v>
      </x:c>
      <x:c r="J740" s="14" t="n">
        <x:v>4</x:v>
      </x:c>
      <x:c r="K740" s="14" t="n">
        <x:v>7</x:v>
      </x:c>
      <x:c r="L740" s="14" t="n">
        <x:v>39</x:v>
      </x:c>
      <x:c r="M740" s="14" t="n">
        <x:v>18</x:v>
      </x:c>
      <x:c r="N740" s="15" t="n">
        <x:f>IF(E740=0,"해당 없음",F740/E740)</x:f>
        <x:v>0.00980392156862745</x:v>
      </x:c>
      <x:c r="O740" s="15" t="n">
        <x:f>IF(E740=0,"해당 없음",G740/E740)</x:f>
        <x:v>0.11764705882352941</x:v>
      </x:c>
      <x:c r="P740" s="15" t="n">
        <x:f>IF(E740=0,"해당 없음",H740/E740)</x:f>
        <x:v>0.10784313725490197</x:v>
      </x:c>
      <x:c r="Q740" s="15" t="n">
        <x:f>IF(E740=0,"해당 없음",I740/E740)</x:f>
        <x:v>0.09803921568627451</x:v>
      </x:c>
      <x:c r="R740" s="15" t="n">
        <x:f>IF(E740=0,"해당 없음",J740/E740)</x:f>
        <x:v>0.0392156862745098</x:v>
      </x:c>
      <x:c r="S740" s="15" t="n">
        <x:f>IF(E740=0,"해당 없음",K740/E740)</x:f>
        <x:v>0.06862745098039216</x:v>
      </x:c>
      <x:c r="T740" s="15" t="n">
        <x:f>IF(E740=0,"해당 없음",L740/E740)</x:f>
        <x:v>0.38235294117647056</x:v>
      </x:c>
      <x:c r="U740" s="15" t="n">
        <x:f>IF(E740=0,"해당 없음",M740/E740)</x:f>
        <x:v>0.17647058823529413</x:v>
      </x:c>
      <x:c r="V740" s="16" t="n">
        <x:f>E740/5</x:f>
        <x:v>20.4</x:v>
      </x:c>
    </x:row>
    <x:row r="741" ht="22" customHeight="1">
      <x:c r="A741" s="2" t="n">
        <x:v>368</x:v>
      </x:c>
      <x:c r="B741" s="2" t="str">
        <x:v>NAVY</x:v>
      </x:c>
      <x:c r="C741" s="2" t="str">
        <x:v>0만</x:v>
      </x:c>
      <x:c r="D741" s="2" t="str">
        <x:v>120만</x:v>
      </x:c>
      <x:c r="E741" s="14" t="n">
        <x:f>SUM(F741:M741)</x:f>
        <x:v>104</x:v>
      </x:c>
      <x:c r="F741" s="14" t="n">
        <x:v>8</x:v>
      </x:c>
      <x:c r="G741" s="14" t="n">
        <x:v>13</x:v>
      </x:c>
      <x:c r="H741" s="14" t="n">
        <x:v>16</x:v>
      </x:c>
      <x:c r="I741" s="14" t="n">
        <x:v>17</x:v>
      </x:c>
      <x:c r="J741" s="14" t="n">
        <x:v>11</x:v>
      </x:c>
      <x:c r="K741" s="14" t="n">
        <x:v>18</x:v>
      </x:c>
      <x:c r="L741" s="14" t="n">
        <x:v>8</x:v>
      </x:c>
      <x:c r="M741" s="14" t="n">
        <x:v>13</x:v>
      </x:c>
      <x:c r="N741" s="15" t="n">
        <x:f>IF(E741=0,"해당 없음",F741/E741)</x:f>
        <x:v>0.07692307692307693</x:v>
      </x:c>
      <x:c r="O741" s="15" t="n">
        <x:f>IF(E741=0,"해당 없음",G741/E741)</x:f>
        <x:v>0.125</x:v>
      </x:c>
      <x:c r="P741" s="15" t="n">
        <x:f>IF(E741=0,"해당 없음",H741/E741)</x:f>
        <x:v>0.15384615384615385</x:v>
      </x:c>
      <x:c r="Q741" s="15" t="n">
        <x:f>IF(E741=0,"해당 없음",I741/E741)</x:f>
        <x:v>0.16346153846153846</x:v>
      </x:c>
      <x:c r="R741" s="15" t="n">
        <x:f>IF(E741=0,"해당 없음",J741/E741)</x:f>
        <x:v>0.10576923076923077</x:v>
      </x:c>
      <x:c r="S741" s="15" t="n">
        <x:f>IF(E741=0,"해당 없음",K741/E741)</x:f>
        <x:v>0.17307692307692307</x:v>
      </x:c>
      <x:c r="T741" s="15" t="n">
        <x:f>IF(E741=0,"해당 없음",L741/E741)</x:f>
        <x:v>0.07692307692307693</x:v>
      </x:c>
      <x:c r="U741" s="15" t="n">
        <x:f>IF(E741=0,"해당 없음",M741/E741)</x:f>
        <x:v>0.125</x:v>
      </x:c>
      <x:c r="V741" s="16" t="n">
        <x:f>E741/5</x:f>
        <x:v>20.8</x:v>
      </x:c>
    </x:row>
    <x:row r="742" ht="22" customHeight="1">
      <x:c r="A742" s="2" t="n">
        <x:v>369</x:v>
      </x:c>
      <x:c r="B742" s="2" t="str">
        <x:v>RED</x:v>
      </x:c>
      <x:c r="C742" s="2" t="str">
        <x:v>0만</x:v>
      </x:c>
      <x:c r="D742" s="2" t="str">
        <x:v>120만</x:v>
      </x:c>
      <x:c r="E742" s="14" t="n">
        <x:f>SUM(F742:M742)</x:f>
        <x:v>105</x:v>
      </x:c>
      <x:c r="F742" s="14" t="n">
        <x:v>9</x:v>
      </x:c>
      <x:c r="G742" s="14" t="n">
        <x:v>9</x:v>
      </x:c>
      <x:c r="H742" s="14" t="n">
        <x:v>14</x:v>
      </x:c>
      <x:c r="I742" s="14" t="n">
        <x:v>11</x:v>
      </x:c>
      <x:c r="J742" s="14" t="n">
        <x:v>13</x:v>
      </x:c>
      <x:c r="K742" s="14" t="n">
        <x:v>16</x:v>
      </x:c>
      <x:c r="L742" s="14" t="n">
        <x:v>15</x:v>
      </x:c>
      <x:c r="M742" s="14" t="n">
        <x:v>18</x:v>
      </x:c>
      <x:c r="N742" s="15" t="n">
        <x:f>IF(E742=0,"해당 없음",F742/E742)</x:f>
        <x:v>0.08571428571428572</x:v>
      </x:c>
      <x:c r="O742" s="15" t="n">
        <x:f>IF(E742=0,"해당 없음",G742/E742)</x:f>
        <x:v>0.08571428571428572</x:v>
      </x:c>
      <x:c r="P742" s="15" t="n">
        <x:f>IF(E742=0,"해당 없음",H742/E742)</x:f>
        <x:v>0.13333333333333333</x:v>
      </x:c>
      <x:c r="Q742" s="15" t="n">
        <x:f>IF(E742=0,"해당 없음",I742/E742)</x:f>
        <x:v>0.10476190476190476</x:v>
      </x:c>
      <x:c r="R742" s="15" t="n">
        <x:f>IF(E742=0,"해당 없음",J742/E742)</x:f>
        <x:v>0.12380952380952381</x:v>
      </x:c>
      <x:c r="S742" s="15" t="n">
        <x:f>IF(E742=0,"해당 없음",K742/E742)</x:f>
        <x:v>0.1523809523809524</x:v>
      </x:c>
      <x:c r="T742" s="15" t="n">
        <x:f>IF(E742=0,"해당 없음",L742/E742)</x:f>
        <x:v>0.14285714285714285</x:v>
      </x:c>
      <x:c r="U742" s="15" t="n">
        <x:f>IF(E742=0,"해당 없음",M742/E742)</x:f>
        <x:v>0.17142857142857143</x:v>
      </x:c>
      <x:c r="V742" s="16" t="n">
        <x:f>E742/5</x:f>
        <x:v>21</x:v>
      </x:c>
    </x:row>
    <x:row r="743" ht="22" customHeight="1">
      <x:c r="A743" s="2" t="n">
        <x:v>369</x:v>
      </x:c>
      <x:c r="B743" s="2" t="str">
        <x:v>NAVY</x:v>
      </x:c>
      <x:c r="C743" s="2" t="str">
        <x:v>120만</x:v>
      </x:c>
      <x:c r="D743" s="2" t="str">
        <x:v>0만</x:v>
      </x:c>
      <x:c r="E743" s="14" t="n">
        <x:f>SUM(F743:M743)</x:f>
        <x:v>104</x:v>
      </x:c>
      <x:c r="F743" s="14" t="n">
        <x:v>2</x:v>
      </x:c>
      <x:c r="G743" s="14" t="n">
        <x:v>12</x:v>
      </x:c>
      <x:c r="H743" s="14" t="n">
        <x:v>11</x:v>
      </x:c>
      <x:c r="I743" s="14" t="n">
        <x:v>11</x:v>
      </x:c>
      <x:c r="J743" s="14" t="n">
        <x:v>3</x:v>
      </x:c>
      <x:c r="K743" s="14" t="n">
        <x:v>8</x:v>
      </x:c>
      <x:c r="L743" s="14" t="n">
        <x:v>40</x:v>
      </x:c>
      <x:c r="M743" s="14" t="n">
        <x:v>17</x:v>
      </x:c>
      <x:c r="N743" s="15" t="n">
        <x:f>IF(E743=0,"해당 없음",F743/E743)</x:f>
        <x:v>0.019230769230769232</x:v>
      </x:c>
      <x:c r="O743" s="15" t="n">
        <x:f>IF(E743=0,"해당 없음",G743/E743)</x:f>
        <x:v>0.11538461538461539</x:v>
      </x:c>
      <x:c r="P743" s="15" t="n">
        <x:f>IF(E743=0,"해당 없음",H743/E743)</x:f>
        <x:v>0.10576923076923077</x:v>
      </x:c>
      <x:c r="Q743" s="15" t="n">
        <x:f>IF(E743=0,"해당 없음",I743/E743)</x:f>
        <x:v>0.10576923076923077</x:v>
      </x:c>
      <x:c r="R743" s="15" t="n">
        <x:f>IF(E743=0,"해당 없음",J743/E743)</x:f>
        <x:v>0.028846153846153848</x:v>
      </x:c>
      <x:c r="S743" s="15" t="n">
        <x:f>IF(E743=0,"해당 없음",K743/E743)</x:f>
        <x:v>0.07692307692307693</x:v>
      </x:c>
      <x:c r="T743" s="15" t="n">
        <x:f>IF(E743=0,"해당 없음",L743/E743)</x:f>
        <x:v>0.38461538461538464</x:v>
      </x:c>
      <x:c r="U743" s="15" t="n">
        <x:f>IF(E743=0,"해당 없음",M743/E743)</x:f>
        <x:v>0.16346153846153846</x:v>
      </x:c>
      <x:c r="V743" s="16" t="n">
        <x:f>E743/5</x:f>
        <x:v>20.8</x:v>
      </x:c>
    </x:row>
    <x:row r="744" ht="22" customHeight="1">
      <x:c r="A744" s="2" t="n">
        <x:v>370</x:v>
      </x:c>
      <x:c r="B744" s="2" t="str">
        <x:v>RED</x:v>
      </x:c>
      <x:c r="C744" s="2" t="str">
        <x:v>120만</x:v>
      </x:c>
      <x:c r="D744" s="2" t="str">
        <x:v>0만</x:v>
      </x:c>
      <x:c r="E744" s="14" t="n">
        <x:f>SUM(F744:M744)</x:f>
        <x:v>103</x:v>
      </x:c>
      <x:c r="F744" s="14" t="n">
        <x:v>2</x:v>
      </x:c>
      <x:c r="G744" s="14" t="n">
        <x:v>11</x:v>
      </x:c>
      <x:c r="H744" s="14" t="n">
        <x:v>6</x:v>
      </x:c>
      <x:c r="I744" s="14" t="n">
        <x:v>5</x:v>
      </x:c>
      <x:c r="J744" s="14" t="n">
        <x:v>3</x:v>
      </x:c>
      <x:c r="K744" s="14" t="n">
        <x:v>10</x:v>
      </x:c>
      <x:c r="L744" s="14" t="n">
        <x:v>36</x:v>
      </x:c>
      <x:c r="M744" s="14" t="n">
        <x:v>30</x:v>
      </x:c>
      <x:c r="N744" s="15" t="n">
        <x:f>IF(E744=0,"해당 없음",F744/E744)</x:f>
        <x:v>0.019417475728155338</x:v>
      </x:c>
      <x:c r="O744" s="15" t="n">
        <x:f>IF(E744=0,"해당 없음",G744/E744)</x:f>
        <x:v>0.10679611650485436</x:v>
      </x:c>
      <x:c r="P744" s="15" t="n">
        <x:f>IF(E744=0,"해당 없음",H744/E744)</x:f>
        <x:v>0.05825242718446602</x:v>
      </x:c>
      <x:c r="Q744" s="15" t="n">
        <x:f>IF(E744=0,"해당 없음",I744/E744)</x:f>
        <x:v>0.04854368932038835</x:v>
      </x:c>
      <x:c r="R744" s="15" t="n">
        <x:f>IF(E744=0,"해당 없음",J744/E744)</x:f>
        <x:v>0.02912621359223301</x:v>
      </x:c>
      <x:c r="S744" s="15" t="n">
        <x:f>IF(E744=0,"해당 없음",K744/E744)</x:f>
        <x:v>0.0970873786407767</x:v>
      </x:c>
      <x:c r="T744" s="15" t="n">
        <x:f>IF(E744=0,"해당 없음",L744/E744)</x:f>
        <x:v>0.34951456310679613</x:v>
      </x:c>
      <x:c r="U744" s="15" t="n">
        <x:f>IF(E744=0,"해당 없음",M744/E744)</x:f>
        <x:v>0.2912621359223301</x:v>
      </x:c>
      <x:c r="V744" s="16" t="n">
        <x:f>E744/5</x:f>
        <x:v>20.6</x:v>
      </x:c>
    </x:row>
    <x:row r="745" ht="22" customHeight="1">
      <x:c r="A745" s="2" t="n">
        <x:v>370</x:v>
      </x:c>
      <x:c r="B745" s="2" t="str">
        <x:v>NAVY</x:v>
      </x:c>
      <x:c r="C745" s="2" t="str">
        <x:v>0만</x:v>
      </x:c>
      <x:c r="D745" s="2" t="str">
        <x:v>120만</x:v>
      </x:c>
      <x:c r="E745" s="14" t="n">
        <x:f>SUM(F745:M745)</x:f>
        <x:v>104</x:v>
      </x:c>
      <x:c r="F745" s="14" t="n">
        <x:v>9</x:v>
      </x:c>
      <x:c r="G745" s="14" t="n">
        <x:v>9</x:v>
      </x:c>
      <x:c r="H745" s="14" t="n">
        <x:v>14</x:v>
      </x:c>
      <x:c r="I745" s="14" t="n">
        <x:v>11</x:v>
      </x:c>
      <x:c r="J745" s="14" t="n">
        <x:v>13</x:v>
      </x:c>
      <x:c r="K745" s="14" t="n">
        <x:v>17</x:v>
      </x:c>
      <x:c r="L745" s="14" t="n">
        <x:v>13</x:v>
      </x:c>
      <x:c r="M745" s="14" t="n">
        <x:v>18</x:v>
      </x:c>
      <x:c r="N745" s="15" t="n">
        <x:f>IF(E745=0,"해당 없음",F745/E745)</x:f>
        <x:v>0.08653846153846154</x:v>
      </x:c>
      <x:c r="O745" s="15" t="n">
        <x:f>IF(E745=0,"해당 없음",G745/E745)</x:f>
        <x:v>0.08653846153846154</x:v>
      </x:c>
      <x:c r="P745" s="15" t="n">
        <x:f>IF(E745=0,"해당 없음",H745/E745)</x:f>
        <x:v>0.1346153846153846</x:v>
      </x:c>
      <x:c r="Q745" s="15" t="n">
        <x:f>IF(E745=0,"해당 없음",I745/E745)</x:f>
        <x:v>0.10576923076923077</x:v>
      </x:c>
      <x:c r="R745" s="15" t="n">
        <x:f>IF(E745=0,"해당 없음",J745/E745)</x:f>
        <x:v>0.125</x:v>
      </x:c>
      <x:c r="S745" s="15" t="n">
        <x:f>IF(E745=0,"해당 없음",K745/E745)</x:f>
        <x:v>0.16346153846153846</x:v>
      </x:c>
      <x:c r="T745" s="15" t="n">
        <x:f>IF(E745=0,"해당 없음",L745/E745)</x:f>
        <x:v>0.125</x:v>
      </x:c>
      <x:c r="U745" s="15" t="n">
        <x:f>IF(E745=0,"해당 없음",M745/E745)</x:f>
        <x:v>0.17307692307692307</x:v>
      </x:c>
      <x:c r="V745" s="16" t="n">
        <x:f>E745/5</x:f>
        <x:v>20.8</x:v>
      </x:c>
    </x:row>
    <x:row r="746" ht="22" customHeight="1">
      <x:c r="A746" s="2" t="n">
        <x:v>371</x:v>
      </x:c>
      <x:c r="B746" s="2" t="str">
        <x:v>RED</x:v>
      </x:c>
      <x:c r="C746" s="2" t="str">
        <x:v>0만</x:v>
      </x:c>
      <x:c r="D746" s="2" t="str">
        <x:v>120만</x:v>
      </x:c>
      <x:c r="E746" s="14" t="n">
        <x:f>SUM(F746:M746)</x:f>
        <x:v>108</x:v>
      </x:c>
      <x:c r="F746" s="14" t="n">
        <x:v>14</x:v>
      </x:c>
      <x:c r="G746" s="14" t="n">
        <x:v>9</x:v>
      </x:c>
      <x:c r="H746" s="14" t="n">
        <x:v>11</x:v>
      </x:c>
      <x:c r="I746" s="14" t="n">
        <x:v>12</x:v>
      </x:c>
      <x:c r="J746" s="14" t="n">
        <x:v>18</x:v>
      </x:c>
      <x:c r="K746" s="14" t="n">
        <x:v>15</x:v>
      </x:c>
      <x:c r="L746" s="14" t="n">
        <x:v>10</x:v>
      </x:c>
      <x:c r="M746" s="14" t="n">
        <x:v>19</x:v>
      </x:c>
      <x:c r="N746" s="15" t="n">
        <x:f>IF(E746=0,"해당 없음",F746/E746)</x:f>
        <x:v>0.12962962962962962</x:v>
      </x:c>
      <x:c r="O746" s="15" t="n">
        <x:f>IF(E746=0,"해당 없음",G746/E746)</x:f>
        <x:v>0.08333333333333333</x:v>
      </x:c>
      <x:c r="P746" s="15" t="n">
        <x:f>IF(E746=0,"해당 없음",H746/E746)</x:f>
        <x:v>0.10185185185185185</x:v>
      </x:c>
      <x:c r="Q746" s="15" t="n">
        <x:f>IF(E746=0,"해당 없음",I746/E746)</x:f>
        <x:v>0.1111111111111111</x:v>
      </x:c>
      <x:c r="R746" s="15" t="n">
        <x:f>IF(E746=0,"해당 없음",J746/E746)</x:f>
        <x:v>0.16666666666666666</x:v>
      </x:c>
      <x:c r="S746" s="15" t="n">
        <x:f>IF(E746=0,"해당 없음",K746/E746)</x:f>
        <x:v>0.1388888888888889</x:v>
      </x:c>
      <x:c r="T746" s="15" t="n">
        <x:f>IF(E746=0,"해당 없음",L746/E746)</x:f>
        <x:v>0.09259259259259259</x:v>
      </x:c>
      <x:c r="U746" s="15" t="n">
        <x:f>IF(E746=0,"해당 없음",M746/E746)</x:f>
        <x:v>0.17592592592592593</x:v>
      </x:c>
      <x:c r="V746" s="16" t="n">
        <x:f>E746/5</x:f>
        <x:v>21.6</x:v>
      </x:c>
    </x:row>
    <x:row r="747" ht="22" customHeight="1">
      <x:c r="A747" s="2" t="n">
        <x:v>371</x:v>
      </x:c>
      <x:c r="B747" s="2" t="str">
        <x:v>NAVY</x:v>
      </x:c>
      <x:c r="C747" s="2" t="str">
        <x:v>120만</x:v>
      </x:c>
      <x:c r="D747" s="2" t="str">
        <x:v>0만</x:v>
      </x:c>
      <x:c r="E747" s="14" t="n">
        <x:f>SUM(F747:M747)</x:f>
        <x:v>107</x:v>
      </x:c>
      <x:c r="F747" s="14" t="n">
        <x:v>0</x:v>
      </x:c>
      <x:c r="G747" s="14" t="n">
        <x:v>5</x:v>
      </x:c>
      <x:c r="H747" s="14" t="n">
        <x:v>11</x:v>
      </x:c>
      <x:c r="I747" s="14" t="n">
        <x:v>11</x:v>
      </x:c>
      <x:c r="J747" s="14" t="n">
        <x:v>5</x:v>
      </x:c>
      <x:c r="K747" s="14" t="n">
        <x:v>18</x:v>
      </x:c>
      <x:c r="L747" s="14" t="n">
        <x:v>37</x:v>
      </x:c>
      <x:c r="M747" s="14" t="n">
        <x:v>20</x:v>
      </x:c>
      <x:c r="N747" s="15" t="n">
        <x:f>IF(E747=0,"해당 없음",F747/E747)</x:f>
        <x:v>0</x:v>
      </x:c>
      <x:c r="O747" s="15" t="n">
        <x:f>IF(E747=0,"해당 없음",G747/E747)</x:f>
        <x:v>0.04672897196261682</x:v>
      </x:c>
      <x:c r="P747" s="15" t="n">
        <x:f>IF(E747=0,"해당 없음",H747/E747)</x:f>
        <x:v>0.102803738317757</x:v>
      </x:c>
      <x:c r="Q747" s="15" t="n">
        <x:f>IF(E747=0,"해당 없음",I747/E747)</x:f>
        <x:v>0.102803738317757</x:v>
      </x:c>
      <x:c r="R747" s="15" t="n">
        <x:f>IF(E747=0,"해당 없음",J747/E747)</x:f>
        <x:v>0.04672897196261682</x:v>
      </x:c>
      <x:c r="S747" s="15" t="n">
        <x:f>IF(E747=0,"해당 없음",K747/E747)</x:f>
        <x:v>0.16822429906542055</x:v>
      </x:c>
      <x:c r="T747" s="15" t="n">
        <x:f>IF(E747=0,"해당 없음",L747/E747)</x:f>
        <x:v>0.34579439252336447</x:v>
      </x:c>
      <x:c r="U747" s="15" t="n">
        <x:f>IF(E747=0,"해당 없음",M747/E747)</x:f>
        <x:v>0.18691588785046728</x:v>
      </x:c>
      <x:c r="V747" s="16" t="n">
        <x:f>E747/5</x:f>
        <x:v>21.4</x:v>
      </x:c>
    </x:row>
    <x:row r="748" ht="22" customHeight="1">
      <x:c r="A748" s="2" t="n">
        <x:v>372</x:v>
      </x:c>
      <x:c r="B748" s="2" t="str">
        <x:v>RED</x:v>
      </x:c>
      <x:c r="C748" s="2" t="str">
        <x:v>120만</x:v>
      </x:c>
      <x:c r="D748" s="2" t="str">
        <x:v>0만</x:v>
      </x:c>
      <x:c r="E748" s="14" t="n">
        <x:f>SUM(F748:M748)</x:f>
        <x:v>104</x:v>
      </x:c>
      <x:c r="F748" s="14" t="n">
        <x:v>1</x:v>
      </x:c>
      <x:c r="G748" s="14" t="n">
        <x:v>5</x:v>
      </x:c>
      <x:c r="H748" s="14" t="n">
        <x:v>9</x:v>
      </x:c>
      <x:c r="I748" s="14" t="n">
        <x:v>8</x:v>
      </x:c>
      <x:c r="J748" s="14" t="n">
        <x:v>4</x:v>
      </x:c>
      <x:c r="K748" s="14" t="n">
        <x:v>14</x:v>
      </x:c>
      <x:c r="L748" s="14" t="n">
        <x:v>40</x:v>
      </x:c>
      <x:c r="M748" s="14" t="n">
        <x:v>23</x:v>
      </x:c>
      <x:c r="N748" s="15" t="n">
        <x:f>IF(E748=0,"해당 없음",F748/E748)</x:f>
        <x:v>0.009615384615384616</x:v>
      </x:c>
      <x:c r="O748" s="15" t="n">
        <x:f>IF(E748=0,"해당 없음",G748/E748)</x:f>
        <x:v>0.04807692307692308</x:v>
      </x:c>
      <x:c r="P748" s="15" t="n">
        <x:f>IF(E748=0,"해당 없음",H748/E748)</x:f>
        <x:v>0.08653846153846154</x:v>
      </x:c>
      <x:c r="Q748" s="15" t="n">
        <x:f>IF(E748=0,"해당 없음",I748/E748)</x:f>
        <x:v>0.07692307692307693</x:v>
      </x:c>
      <x:c r="R748" s="15" t="n">
        <x:f>IF(E748=0,"해당 없음",J748/E748)</x:f>
        <x:v>0.038461538461538464</x:v>
      </x:c>
      <x:c r="S748" s="15" t="n">
        <x:f>IF(E748=0,"해당 없음",K748/E748)</x:f>
        <x:v>0.1346153846153846</x:v>
      </x:c>
      <x:c r="T748" s="15" t="n">
        <x:f>IF(E748=0,"해당 없음",L748/E748)</x:f>
        <x:v>0.38461538461538464</x:v>
      </x:c>
      <x:c r="U748" s="15" t="n">
        <x:f>IF(E748=0,"해당 없음",M748/E748)</x:f>
        <x:v>0.22115384615384615</x:v>
      </x:c>
      <x:c r="V748" s="16" t="n">
        <x:f>E748/5</x:f>
        <x:v>20.8</x:v>
      </x:c>
    </x:row>
    <x:row r="749" ht="22" customHeight="1">
      <x:c r="A749" s="2" t="n">
        <x:v>372</x:v>
      </x:c>
      <x:c r="B749" s="2" t="str">
        <x:v>NAVY</x:v>
      </x:c>
      <x:c r="C749" s="2" t="str">
        <x:v>0만</x:v>
      </x:c>
      <x:c r="D749" s="2" t="str">
        <x:v>120만</x:v>
      </x:c>
      <x:c r="E749" s="14" t="n">
        <x:f>SUM(F749:M749)</x:f>
        <x:v>103</x:v>
      </x:c>
      <x:c r="F749" s="14" t="n">
        <x:v>14</x:v>
      </x:c>
      <x:c r="G749" s="14" t="n">
        <x:v>9</x:v>
      </x:c>
      <x:c r="H749" s="14" t="n">
        <x:v>10</x:v>
      </x:c>
      <x:c r="I749" s="14" t="n">
        <x:v>11</x:v>
      </x:c>
      <x:c r="J749" s="14" t="n">
        <x:v>18</x:v>
      </x:c>
      <x:c r="K749" s="14" t="n">
        <x:v>14</x:v>
      </x:c>
      <x:c r="L749" s="14" t="n">
        <x:v>10</x:v>
      </x:c>
      <x:c r="M749" s="14" t="n">
        <x:v>17</x:v>
      </x:c>
      <x:c r="N749" s="15" t="n">
        <x:f>IF(E749=0,"해당 없음",F749/E749)</x:f>
        <x:v>0.13592233009708737</x:v>
      </x:c>
      <x:c r="O749" s="15" t="n">
        <x:f>IF(E749=0,"해당 없음",G749/E749)</x:f>
        <x:v>0.08737864077669903</x:v>
      </x:c>
      <x:c r="P749" s="15" t="n">
        <x:f>IF(E749=0,"해당 없음",H749/E749)</x:f>
        <x:v>0.0970873786407767</x:v>
      </x:c>
      <x:c r="Q749" s="15" t="n">
        <x:f>IF(E749=0,"해당 없음",I749/E749)</x:f>
        <x:v>0.10679611650485436</x:v>
      </x:c>
      <x:c r="R749" s="15" t="n">
        <x:f>IF(E749=0,"해당 없음",J749/E749)</x:f>
        <x:v>0.17475728155339806</x:v>
      </x:c>
      <x:c r="S749" s="15" t="n">
        <x:f>IF(E749=0,"해당 없음",K749/E749)</x:f>
        <x:v>0.13592233009708737</x:v>
      </x:c>
      <x:c r="T749" s="15" t="n">
        <x:f>IF(E749=0,"해당 없음",L749/E749)</x:f>
        <x:v>0.0970873786407767</x:v>
      </x:c>
      <x:c r="U749" s="15" t="n">
        <x:f>IF(E749=0,"해당 없음",M749/E749)</x:f>
        <x:v>0.1650485436893204</x:v>
      </x:c>
      <x:c r="V749" s="16" t="n">
        <x:f>E749/5</x:f>
        <x:v>20.6</x:v>
      </x:c>
    </x:row>
    <x:row r="750" ht="22" customHeight="1">
      <x:c r="A750" s="2" t="n">
        <x:v>373</x:v>
      </x:c>
      <x:c r="B750" s="2" t="str">
        <x:v>RED</x:v>
      </x:c>
      <x:c r="C750" s="2" t="str">
        <x:v>0만</x:v>
      </x:c>
      <x:c r="D750" s="2" t="str">
        <x:v>120만</x:v>
      </x:c>
      <x:c r="E750" s="14" t="n">
        <x:f>SUM(F750:M750)</x:f>
        <x:v>105</x:v>
      </x:c>
      <x:c r="F750" s="14" t="n">
        <x:v>21</x:v>
      </x:c>
      <x:c r="G750" s="14" t="n">
        <x:v>13</x:v>
      </x:c>
      <x:c r="H750" s="14" t="n">
        <x:v>11</x:v>
      </x:c>
      <x:c r="I750" s="14" t="n">
        <x:v>14</x:v>
      </x:c>
      <x:c r="J750" s="14" t="n">
        <x:v>13</x:v>
      </x:c>
      <x:c r="K750" s="14" t="n">
        <x:v>11</x:v>
      </x:c>
      <x:c r="L750" s="14" t="n">
        <x:v>11</x:v>
      </x:c>
      <x:c r="M750" s="14" t="n">
        <x:v>11</x:v>
      </x:c>
      <x:c r="N750" s="15" t="n">
        <x:f>IF(E750=0,"해당 없음",F750/E750)</x:f>
        <x:v>0.2</x:v>
      </x:c>
      <x:c r="O750" s="15" t="n">
        <x:f>IF(E750=0,"해당 없음",G750/E750)</x:f>
        <x:v>0.12380952380952381</x:v>
      </x:c>
      <x:c r="P750" s="15" t="n">
        <x:f>IF(E750=0,"해당 없음",H750/E750)</x:f>
        <x:v>0.10476190476190476</x:v>
      </x:c>
      <x:c r="Q750" s="15" t="n">
        <x:f>IF(E750=0,"해당 없음",I750/E750)</x:f>
        <x:v>0.13333333333333333</x:v>
      </x:c>
      <x:c r="R750" s="15" t="n">
        <x:f>IF(E750=0,"해당 없음",J750/E750)</x:f>
        <x:v>0.12380952380952381</x:v>
      </x:c>
      <x:c r="S750" s="15" t="n">
        <x:f>IF(E750=0,"해당 없음",K750/E750)</x:f>
        <x:v>0.10476190476190476</x:v>
      </x:c>
      <x:c r="T750" s="15" t="n">
        <x:f>IF(E750=0,"해당 없음",L750/E750)</x:f>
        <x:v>0.10476190476190476</x:v>
      </x:c>
      <x:c r="U750" s="15" t="n">
        <x:f>IF(E750=0,"해당 없음",M750/E750)</x:f>
        <x:v>0.10476190476190476</x:v>
      </x:c>
      <x:c r="V750" s="16" t="n">
        <x:f>E750/5</x:f>
        <x:v>21</x:v>
      </x:c>
    </x:row>
    <x:row r="751" ht="22" customHeight="1">
      <x:c r="A751" s="2" t="n">
        <x:v>373</x:v>
      </x:c>
      <x:c r="B751" s="2" t="str">
        <x:v>NAVY</x:v>
      </x:c>
      <x:c r="C751" s="2" t="str">
        <x:v>120만</x:v>
      </x:c>
      <x:c r="D751" s="2" t="str">
        <x:v>0만</x:v>
      </x:c>
      <x:c r="E751" s="14" t="n">
        <x:f>SUM(F751:M751)</x:f>
        <x:v>105</x:v>
      </x:c>
      <x:c r="F751" s="14" t="n">
        <x:v>0</x:v>
      </x:c>
      <x:c r="G751" s="14" t="n">
        <x:v>16</x:v>
      </x:c>
      <x:c r="H751" s="14" t="n">
        <x:v>5</x:v>
      </x:c>
      <x:c r="I751" s="14" t="n">
        <x:v>12</x:v>
      </x:c>
      <x:c r="J751" s="14" t="n">
        <x:v>5</x:v>
      </x:c>
      <x:c r="K751" s="14" t="n">
        <x:v>8</x:v>
      </x:c>
      <x:c r="L751" s="14" t="n">
        <x:v>42</x:v>
      </x:c>
      <x:c r="M751" s="14" t="n">
        <x:v>17</x:v>
      </x:c>
      <x:c r="N751" s="15" t="n">
        <x:f>IF(E751=0,"해당 없음",F751/E751)</x:f>
        <x:v>0</x:v>
      </x:c>
      <x:c r="O751" s="15" t="n">
        <x:f>IF(E751=0,"해당 없음",G751/E751)</x:f>
        <x:v>0.1523809523809524</x:v>
      </x:c>
      <x:c r="P751" s="15" t="n">
        <x:f>IF(E751=0,"해당 없음",H751/E751)</x:f>
        <x:v>0.047619047619047616</x:v>
      </x:c>
      <x:c r="Q751" s="15" t="n">
        <x:f>IF(E751=0,"해당 없음",I751/E751)</x:f>
        <x:v>0.11428571428571428</x:v>
      </x:c>
      <x:c r="R751" s="15" t="n">
        <x:f>IF(E751=0,"해당 없음",J751/E751)</x:f>
        <x:v>0.047619047619047616</x:v>
      </x:c>
      <x:c r="S751" s="15" t="n">
        <x:f>IF(E751=0,"해당 없음",K751/E751)</x:f>
        <x:v>0.0761904761904762</x:v>
      </x:c>
      <x:c r="T751" s="15" t="n">
        <x:f>IF(E751=0,"해당 없음",L751/E751)</x:f>
        <x:v>0.4</x:v>
      </x:c>
      <x:c r="U751" s="15" t="n">
        <x:f>IF(E751=0,"해당 없음",M751/E751)</x:f>
        <x:v>0.1619047619047619</x:v>
      </x:c>
      <x:c r="V751" s="16" t="n">
        <x:f>E751/5</x:f>
        <x:v>21</x:v>
      </x:c>
    </x:row>
    <x:row r="752" ht="22" customHeight="1">
      <x:c r="A752" s="2" t="n">
        <x:v>374</x:v>
      </x:c>
      <x:c r="B752" s="2" t="str">
        <x:v>RED</x:v>
      </x:c>
      <x:c r="C752" s="2" t="str">
        <x:v>120만</x:v>
      </x:c>
      <x:c r="D752" s="2" t="str">
        <x:v>0만</x:v>
      </x:c>
      <x:c r="E752" s="14" t="n">
        <x:f>SUM(F752:M752)</x:f>
        <x:v>106</x:v>
      </x:c>
      <x:c r="F752" s="14" t="n">
        <x:v>0</x:v>
      </x:c>
      <x:c r="G752" s="14" t="n">
        <x:v>15</x:v>
      </x:c>
      <x:c r="H752" s="14" t="n">
        <x:v>13</x:v>
      </x:c>
      <x:c r="I752" s="14" t="n">
        <x:v>6</x:v>
      </x:c>
      <x:c r="J752" s="14" t="n">
        <x:v>2</x:v>
      </x:c>
      <x:c r="K752" s="14" t="n">
        <x:v>8</x:v>
      </x:c>
      <x:c r="L752" s="14" t="n">
        <x:v>42</x:v>
      </x:c>
      <x:c r="M752" s="14" t="n">
        <x:v>20</x:v>
      </x:c>
      <x:c r="N752" s="15" t="n">
        <x:f>IF(E752=0,"해당 없음",F752/E752)</x:f>
        <x:v>0</x:v>
      </x:c>
      <x:c r="O752" s="15" t="n">
        <x:f>IF(E752=0,"해당 없음",G752/E752)</x:f>
        <x:v>0.14150943396226415</x:v>
      </x:c>
      <x:c r="P752" s="15" t="n">
        <x:f>IF(E752=0,"해당 없음",H752/E752)</x:f>
        <x:v>0.12264150943396226</x:v>
      </x:c>
      <x:c r="Q752" s="15" t="n">
        <x:f>IF(E752=0,"해당 없음",I752/E752)</x:f>
        <x:v>0.05660377358490566</x:v>
      </x:c>
      <x:c r="R752" s="15" t="n">
        <x:f>IF(E752=0,"해당 없음",J752/E752)</x:f>
        <x:v>0.018867924528301886</x:v>
      </x:c>
      <x:c r="S752" s="15" t="n">
        <x:f>IF(E752=0,"해당 없음",K752/E752)</x:f>
        <x:v>0.07547169811320754</x:v>
      </x:c>
      <x:c r="T752" s="15" t="n">
        <x:f>IF(E752=0,"해당 없음",L752/E752)</x:f>
        <x:v>0.39622641509433965</x:v>
      </x:c>
      <x:c r="U752" s="15" t="n">
        <x:f>IF(E752=0,"해당 없음",M752/E752)</x:f>
        <x:v>0.18867924528301888</x:v>
      </x:c>
      <x:c r="V752" s="16" t="n">
        <x:f>E752/5</x:f>
        <x:v>21.2</x:v>
      </x:c>
    </x:row>
    <x:row r="753" ht="22" customHeight="1">
      <x:c r="A753" s="2" t="n">
        <x:v>374</x:v>
      </x:c>
      <x:c r="B753" s="2" t="str">
        <x:v>NAVY</x:v>
      </x:c>
      <x:c r="C753" s="2" t="str">
        <x:v>0만</x:v>
      </x:c>
      <x:c r="D753" s="2" t="str">
        <x:v>120만</x:v>
      </x:c>
      <x:c r="E753" s="14" t="n">
        <x:f>SUM(F753:M753)</x:f>
        <x:v>105</x:v>
      </x:c>
      <x:c r="F753" s="14" t="n">
        <x:v>20</x:v>
      </x:c>
      <x:c r="G753" s="14" t="n">
        <x:v>14</x:v>
      </x:c>
      <x:c r="H753" s="14" t="n">
        <x:v>11</x:v>
      </x:c>
      <x:c r="I753" s="14" t="n">
        <x:v>15</x:v>
      </x:c>
      <x:c r="J753" s="14" t="n">
        <x:v>12</x:v>
      </x:c>
      <x:c r="K753" s="14" t="n">
        <x:v>11</x:v>
      </x:c>
      <x:c r="L753" s="14" t="n">
        <x:v>11</x:v>
      </x:c>
      <x:c r="M753" s="14" t="n">
        <x:v>11</x:v>
      </x:c>
      <x:c r="N753" s="15" t="n">
        <x:f>IF(E753=0,"해당 없음",F753/E753)</x:f>
        <x:v>0.19047619047619047</x:v>
      </x:c>
      <x:c r="O753" s="15" t="n">
        <x:f>IF(E753=0,"해당 없음",G753/E753)</x:f>
        <x:v>0.13333333333333333</x:v>
      </x:c>
      <x:c r="P753" s="15" t="n">
        <x:f>IF(E753=0,"해당 없음",H753/E753)</x:f>
        <x:v>0.10476190476190476</x:v>
      </x:c>
      <x:c r="Q753" s="15" t="n">
        <x:f>IF(E753=0,"해당 없음",I753/E753)</x:f>
        <x:v>0.14285714285714285</x:v>
      </x:c>
      <x:c r="R753" s="15" t="n">
        <x:f>IF(E753=0,"해당 없음",J753/E753)</x:f>
        <x:v>0.11428571428571428</x:v>
      </x:c>
      <x:c r="S753" s="15" t="n">
        <x:f>IF(E753=0,"해당 없음",K753/E753)</x:f>
        <x:v>0.10476190476190476</x:v>
      </x:c>
      <x:c r="T753" s="15" t="n">
        <x:f>IF(E753=0,"해당 없음",L753/E753)</x:f>
        <x:v>0.10476190476190476</x:v>
      </x:c>
      <x:c r="U753" s="15" t="n">
        <x:f>IF(E753=0,"해당 없음",M753/E753)</x:f>
        <x:v>0.10476190476190476</x:v>
      </x:c>
      <x:c r="V753" s="16" t="n">
        <x:f>E753/5</x:f>
        <x:v>21</x:v>
      </x:c>
    </x:row>
    <x:row r="754" ht="22" customHeight="1">
      <x:c r="A754" s="2" t="n">
        <x:v>375</x:v>
      </x:c>
      <x:c r="B754" s="2" t="str">
        <x:v>RED</x:v>
      </x:c>
      <x:c r="C754" s="2" t="str">
        <x:v>0만</x:v>
      </x:c>
      <x:c r="D754" s="2" t="str">
        <x:v>120만</x:v>
      </x:c>
      <x:c r="E754" s="14" t="n">
        <x:f>SUM(F754:M754)</x:f>
        <x:v>107</x:v>
      </x:c>
      <x:c r="F754" s="14" t="n">
        <x:v>12</x:v>
      </x:c>
      <x:c r="G754" s="14" t="n">
        <x:v>13</x:v>
      </x:c>
      <x:c r="H754" s="14" t="n">
        <x:v>10</x:v>
      </x:c>
      <x:c r="I754" s="14" t="n">
        <x:v>11</x:v>
      </x:c>
      <x:c r="J754" s="14" t="n">
        <x:v>11</x:v>
      </x:c>
      <x:c r="K754" s="14" t="n">
        <x:v>23</x:v>
      </x:c>
      <x:c r="L754" s="14" t="n">
        <x:v>10</x:v>
      </x:c>
      <x:c r="M754" s="14" t="n">
        <x:v>17</x:v>
      </x:c>
      <x:c r="N754" s="15" t="n">
        <x:f>IF(E754=0,"해당 없음",F754/E754)</x:f>
        <x:v>0.11214953271028037</x:v>
      </x:c>
      <x:c r="O754" s="15" t="n">
        <x:f>IF(E754=0,"해당 없음",G754/E754)</x:f>
        <x:v>0.12149532710280374</x:v>
      </x:c>
      <x:c r="P754" s="15" t="n">
        <x:f>IF(E754=0,"해당 없음",H754/E754)</x:f>
        <x:v>0.09345794392523364</x:v>
      </x:c>
      <x:c r="Q754" s="15" t="n">
        <x:f>IF(E754=0,"해당 없음",I754/E754)</x:f>
        <x:v>0.102803738317757</x:v>
      </x:c>
      <x:c r="R754" s="15" t="n">
        <x:f>IF(E754=0,"해당 없음",J754/E754)</x:f>
        <x:v>0.102803738317757</x:v>
      </x:c>
      <x:c r="S754" s="15" t="n">
        <x:f>IF(E754=0,"해당 없음",K754/E754)</x:f>
        <x:v>0.21495327102803738</x:v>
      </x:c>
      <x:c r="T754" s="15" t="n">
        <x:f>IF(E754=0,"해당 없음",L754/E754)</x:f>
        <x:v>0.09345794392523364</x:v>
      </x:c>
      <x:c r="U754" s="15" t="n">
        <x:f>IF(E754=0,"해당 없음",M754/E754)</x:f>
        <x:v>0.1588785046728972</x:v>
      </x:c>
      <x:c r="V754" s="16" t="n">
        <x:f>E754/5</x:f>
        <x:v>21.4</x:v>
      </x:c>
    </x:row>
    <x:row r="755" ht="22" customHeight="1">
      <x:c r="A755" s="2" t="n">
        <x:v>375</x:v>
      </x:c>
      <x:c r="B755" s="2" t="str">
        <x:v>NAVY</x:v>
      </x:c>
      <x:c r="C755" s="2" t="str">
        <x:v>120만</x:v>
      </x:c>
      <x:c r="D755" s="2" t="str">
        <x:v>0만</x:v>
      </x:c>
      <x:c r="E755" s="14" t="n">
        <x:f>SUM(F755:M755)</x:f>
        <x:v>108</x:v>
      </x:c>
      <x:c r="F755" s="14" t="n">
        <x:v>0</x:v>
      </x:c>
      <x:c r="G755" s="14" t="n">
        <x:v>17</x:v>
      </x:c>
      <x:c r="H755" s="14" t="n">
        <x:v>13</x:v>
      </x:c>
      <x:c r="I755" s="14" t="n">
        <x:v>9</x:v>
      </x:c>
      <x:c r="J755" s="14" t="n">
        <x:v>3</x:v>
      </x:c>
      <x:c r="K755" s="14" t="n">
        <x:v>10</x:v>
      </x:c>
      <x:c r="L755" s="14" t="n">
        <x:v>42</x:v>
      </x:c>
      <x:c r="M755" s="14" t="n">
        <x:v>14</x:v>
      </x:c>
      <x:c r="N755" s="15" t="n">
        <x:f>IF(E755=0,"해당 없음",F755/E755)</x:f>
        <x:v>0</x:v>
      </x:c>
      <x:c r="O755" s="15" t="n">
        <x:f>IF(E755=0,"해당 없음",G755/E755)</x:f>
        <x:v>0.1574074074074074</x:v>
      </x:c>
      <x:c r="P755" s="15" t="n">
        <x:f>IF(E755=0,"해당 없음",H755/E755)</x:f>
        <x:v>0.12037037037037036</x:v>
      </x:c>
      <x:c r="Q755" s="15" t="n">
        <x:f>IF(E755=0,"해당 없음",I755/E755)</x:f>
        <x:v>0.08333333333333333</x:v>
      </x:c>
      <x:c r="R755" s="15" t="n">
        <x:f>IF(E755=0,"해당 없음",J755/E755)</x:f>
        <x:v>0.027777777777777776</x:v>
      </x:c>
      <x:c r="S755" s="15" t="n">
        <x:f>IF(E755=0,"해당 없음",K755/E755)</x:f>
        <x:v>0.09259259259259259</x:v>
      </x:c>
      <x:c r="T755" s="15" t="n">
        <x:f>IF(E755=0,"해당 없음",L755/E755)</x:f>
        <x:v>0.3888888888888889</x:v>
      </x:c>
      <x:c r="U755" s="15" t="n">
        <x:f>IF(E755=0,"해당 없음",M755/E755)</x:f>
        <x:v>0.12962962962962962</x:v>
      </x:c>
      <x:c r="V755" s="16" t="n">
        <x:f>E755/5</x:f>
        <x:v>21.6</x:v>
      </x:c>
    </x:row>
    <x:row r="756" ht="22" customHeight="1">
      <x:c r="A756" s="2" t="n">
        <x:v>376</x:v>
      </x:c>
      <x:c r="B756" s="2" t="str">
        <x:v>RED</x:v>
      </x:c>
      <x:c r="C756" s="2" t="str">
        <x:v>120만</x:v>
      </x:c>
      <x:c r="D756" s="2" t="str">
        <x:v>0만</x:v>
      </x:c>
      <x:c r="E756" s="14" t="n">
        <x:f>SUM(F756:M756)</x:f>
        <x:v>106</x:v>
      </x:c>
      <x:c r="F756" s="14" t="n">
        <x:v>0</x:v>
      </x:c>
      <x:c r="G756" s="14" t="n">
        <x:v>13</x:v>
      </x:c>
      <x:c r="H756" s="14" t="n">
        <x:v>15</x:v>
      </x:c>
      <x:c r="I756" s="14" t="n">
        <x:v>12</x:v>
      </x:c>
      <x:c r="J756" s="14" t="n">
        <x:v>2</x:v>
      </x:c>
      <x:c r="K756" s="14" t="n">
        <x:v>7</x:v>
      </x:c>
      <x:c r="L756" s="14" t="n">
        <x:v>42</x:v>
      </x:c>
      <x:c r="M756" s="14" t="n">
        <x:v>15</x:v>
      </x:c>
      <x:c r="N756" s="15" t="n">
        <x:f>IF(E756=0,"해당 없음",F756/E756)</x:f>
        <x:v>0</x:v>
      </x:c>
      <x:c r="O756" s="15" t="n">
        <x:f>IF(E756=0,"해당 없음",G756/E756)</x:f>
        <x:v>0.12264150943396226</x:v>
      </x:c>
      <x:c r="P756" s="15" t="n">
        <x:f>IF(E756=0,"해당 없음",H756/E756)</x:f>
        <x:v>0.14150943396226415</x:v>
      </x:c>
      <x:c r="Q756" s="15" t="n">
        <x:f>IF(E756=0,"해당 없음",I756/E756)</x:f>
        <x:v>0.11320754716981132</x:v>
      </x:c>
      <x:c r="R756" s="15" t="n">
        <x:f>IF(E756=0,"해당 없음",J756/E756)</x:f>
        <x:v>0.018867924528301886</x:v>
      </x:c>
      <x:c r="S756" s="15" t="n">
        <x:f>IF(E756=0,"해당 없음",K756/E756)</x:f>
        <x:v>0.0660377358490566</x:v>
      </x:c>
      <x:c r="T756" s="15" t="n">
        <x:f>IF(E756=0,"해당 없음",L756/E756)</x:f>
        <x:v>0.39622641509433965</x:v>
      </x:c>
      <x:c r="U756" s="15" t="n">
        <x:f>IF(E756=0,"해당 없음",M756/E756)</x:f>
        <x:v>0.14150943396226415</x:v>
      </x:c>
      <x:c r="V756" s="16" t="n">
        <x:f>E756/5</x:f>
        <x:v>21.2</x:v>
      </x:c>
    </x:row>
    <x:row r="757" ht="22" customHeight="1">
      <x:c r="A757" s="2" t="n">
        <x:v>376</x:v>
      </x:c>
      <x:c r="B757" s="2" t="str">
        <x:v>NAVY</x:v>
      </x:c>
      <x:c r="C757" s="2" t="str">
        <x:v>0만</x:v>
      </x:c>
      <x:c r="D757" s="2" t="str">
        <x:v>120만</x:v>
      </x:c>
      <x:c r="E757" s="14" t="n">
        <x:f>SUM(F757:M757)</x:f>
        <x:v>105</x:v>
      </x:c>
      <x:c r="F757" s="14" t="n">
        <x:v>12</x:v>
      </x:c>
      <x:c r="G757" s="14" t="n">
        <x:v>13</x:v>
      </x:c>
      <x:c r="H757" s="14" t="n">
        <x:v>8</x:v>
      </x:c>
      <x:c r="I757" s="14" t="n">
        <x:v>12</x:v>
      </x:c>
      <x:c r="J757" s="14" t="n">
        <x:v>11</x:v>
      </x:c>
      <x:c r="K757" s="14" t="n">
        <x:v>22</x:v>
      </x:c>
      <x:c r="L757" s="14" t="n">
        <x:v>10</x:v>
      </x:c>
      <x:c r="M757" s="14" t="n">
        <x:v>17</x:v>
      </x:c>
      <x:c r="N757" s="15" t="n">
        <x:f>IF(E757=0,"해당 없음",F757/E757)</x:f>
        <x:v>0.11428571428571428</x:v>
      </x:c>
      <x:c r="O757" s="15" t="n">
        <x:f>IF(E757=0,"해당 없음",G757/E757)</x:f>
        <x:v>0.12380952380952381</x:v>
      </x:c>
      <x:c r="P757" s="15" t="n">
        <x:f>IF(E757=0,"해당 없음",H757/E757)</x:f>
        <x:v>0.0761904761904762</x:v>
      </x:c>
      <x:c r="Q757" s="15" t="n">
        <x:f>IF(E757=0,"해당 없음",I757/E757)</x:f>
        <x:v>0.11428571428571428</x:v>
      </x:c>
      <x:c r="R757" s="15" t="n">
        <x:f>IF(E757=0,"해당 없음",J757/E757)</x:f>
        <x:v>0.10476190476190476</x:v>
      </x:c>
      <x:c r="S757" s="15" t="n">
        <x:f>IF(E757=0,"해당 없음",K757/E757)</x:f>
        <x:v>0.20952380952380953</x:v>
      </x:c>
      <x:c r="T757" s="15" t="n">
        <x:f>IF(E757=0,"해당 없음",L757/E757)</x:f>
        <x:v>0.09523809523809523</x:v>
      </x:c>
      <x:c r="U757" s="15" t="n">
        <x:f>IF(E757=0,"해당 없음",M757/E757)</x:f>
        <x:v>0.1619047619047619</x:v>
      </x:c>
      <x:c r="V757" s="16" t="n">
        <x:f>E757/5</x:f>
        <x:v>21</x:v>
      </x:c>
    </x:row>
    <x:row r="758" ht="22" customHeight="1">
      <x:c r="A758" s="2" t="n">
        <x:v>377</x:v>
      </x:c>
      <x:c r="B758" s="2" t="str">
        <x:v>RED</x:v>
      </x:c>
      <x:c r="C758" s="2" t="str">
        <x:v>0만</x:v>
      </x:c>
      <x:c r="D758" s="2" t="str">
        <x:v>120만</x:v>
      </x:c>
      <x:c r="E758" s="14" t="n">
        <x:f>SUM(F758:M758)</x:f>
        <x:v>104</x:v>
      </x:c>
      <x:c r="F758" s="14" t="n">
        <x:v>13</x:v>
      </x:c>
      <x:c r="G758" s="14" t="n">
        <x:v>12</x:v>
      </x:c>
      <x:c r="H758" s="14" t="n">
        <x:v>12</x:v>
      </x:c>
      <x:c r="I758" s="14" t="n">
        <x:v>16</x:v>
      </x:c>
      <x:c r="J758" s="14" t="n">
        <x:v>13</x:v>
      </x:c>
      <x:c r="K758" s="14" t="n">
        <x:v>12</x:v>
      </x:c>
      <x:c r="L758" s="14" t="n">
        <x:v>8</x:v>
      </x:c>
      <x:c r="M758" s="14" t="n">
        <x:v>18</x:v>
      </x:c>
      <x:c r="N758" s="15" t="n">
        <x:f>IF(E758=0,"해당 없음",F758/E758)</x:f>
        <x:v>0.125</x:v>
      </x:c>
      <x:c r="O758" s="15" t="n">
        <x:f>IF(E758=0,"해당 없음",G758/E758)</x:f>
        <x:v>0.11538461538461539</x:v>
      </x:c>
      <x:c r="P758" s="15" t="n">
        <x:f>IF(E758=0,"해당 없음",H758/E758)</x:f>
        <x:v>0.11538461538461539</x:v>
      </x:c>
      <x:c r="Q758" s="15" t="n">
        <x:f>IF(E758=0,"해당 없음",I758/E758)</x:f>
        <x:v>0.15384615384615385</x:v>
      </x:c>
      <x:c r="R758" s="15" t="n">
        <x:f>IF(E758=0,"해당 없음",J758/E758)</x:f>
        <x:v>0.125</x:v>
      </x:c>
      <x:c r="S758" s="15" t="n">
        <x:f>IF(E758=0,"해당 없음",K758/E758)</x:f>
        <x:v>0.11538461538461539</x:v>
      </x:c>
      <x:c r="T758" s="15" t="n">
        <x:f>IF(E758=0,"해당 없음",L758/E758)</x:f>
        <x:v>0.07692307692307693</x:v>
      </x:c>
      <x:c r="U758" s="15" t="n">
        <x:f>IF(E758=0,"해당 없음",M758/E758)</x:f>
        <x:v>0.17307692307692307</x:v>
      </x:c>
      <x:c r="V758" s="16" t="n">
        <x:f>E758/5</x:f>
        <x:v>20.8</x:v>
      </x:c>
    </x:row>
    <x:row r="759" ht="22" customHeight="1">
      <x:c r="A759" s="2" t="n">
        <x:v>377</x:v>
      </x:c>
      <x:c r="B759" s="2" t="str">
        <x:v>NAVY</x:v>
      </x:c>
      <x:c r="C759" s="2" t="str">
        <x:v>120만</x:v>
      </x:c>
      <x:c r="D759" s="2" t="str">
        <x:v>0만</x:v>
      </x:c>
      <x:c r="E759" s="14" t="n">
        <x:f>SUM(F759:M759)</x:f>
        <x:v>103</x:v>
      </x:c>
      <x:c r="F759" s="14" t="n">
        <x:v>2</x:v>
      </x:c>
      <x:c r="G759" s="14" t="n">
        <x:v>12</x:v>
      </x:c>
      <x:c r="H759" s="14" t="n">
        <x:v>5</x:v>
      </x:c>
      <x:c r="I759" s="14" t="n">
        <x:v>7</x:v>
      </x:c>
      <x:c r="J759" s="14" t="n">
        <x:v>5</x:v>
      </x:c>
      <x:c r="K759" s="14" t="n">
        <x:v>14</x:v>
      </x:c>
      <x:c r="L759" s="14" t="n">
        <x:v>39</x:v>
      </x:c>
      <x:c r="M759" s="14" t="n">
        <x:v>19</x:v>
      </x:c>
      <x:c r="N759" s="15" t="n">
        <x:f>IF(E759=0,"해당 없음",F759/E759)</x:f>
        <x:v>0.019417475728155338</x:v>
      </x:c>
      <x:c r="O759" s="15" t="n">
        <x:f>IF(E759=0,"해당 없음",G759/E759)</x:f>
        <x:v>0.11650485436893204</x:v>
      </x:c>
      <x:c r="P759" s="15" t="n">
        <x:f>IF(E759=0,"해당 없음",H759/E759)</x:f>
        <x:v>0.04854368932038835</x:v>
      </x:c>
      <x:c r="Q759" s="15" t="n">
        <x:f>IF(E759=0,"해당 없음",I759/E759)</x:f>
        <x:v>0.06796116504854369</x:v>
      </x:c>
      <x:c r="R759" s="15" t="n">
        <x:f>IF(E759=0,"해당 없음",J759/E759)</x:f>
        <x:v>0.04854368932038835</x:v>
      </x:c>
      <x:c r="S759" s="15" t="n">
        <x:f>IF(E759=0,"해당 없음",K759/E759)</x:f>
        <x:v>0.13592233009708737</x:v>
      </x:c>
      <x:c r="T759" s="15" t="n">
        <x:f>IF(E759=0,"해당 없음",L759/E759)</x:f>
        <x:v>0.3786407766990291</x:v>
      </x:c>
      <x:c r="U759" s="15" t="n">
        <x:f>IF(E759=0,"해당 없음",M759/E759)</x:f>
        <x:v>0.18446601941747573</x:v>
      </x:c>
      <x:c r="V759" s="16" t="n">
        <x:f>E759/5</x:f>
        <x:v>20.6</x:v>
      </x:c>
    </x:row>
    <x:row r="760" ht="22" customHeight="1">
      <x:c r="A760" s="2" t="n">
        <x:v>378</x:v>
      </x:c>
      <x:c r="B760" s="2" t="str">
        <x:v>RED</x:v>
      </x:c>
      <x:c r="C760" s="2" t="str">
        <x:v>120만</x:v>
      </x:c>
      <x:c r="D760" s="2" t="str">
        <x:v>0만</x:v>
      </x:c>
      <x:c r="E760" s="14" t="n">
        <x:f>SUM(F760:M760)</x:f>
        <x:v>106</x:v>
      </x:c>
      <x:c r="F760" s="14" t="n">
        <x:v>2</x:v>
      </x:c>
      <x:c r="G760" s="14" t="n">
        <x:v>14</x:v>
      </x:c>
      <x:c r="H760" s="14" t="n">
        <x:v>12</x:v>
      </x:c>
      <x:c r="I760" s="14" t="n">
        <x:v>9</x:v>
      </x:c>
      <x:c r="J760" s="14" t="n">
        <x:v>5</x:v>
      </x:c>
      <x:c r="K760" s="14" t="n">
        <x:v>17</x:v>
      </x:c>
      <x:c r="L760" s="14" t="n">
        <x:v>35</x:v>
      </x:c>
      <x:c r="M760" s="14" t="n">
        <x:v>12</x:v>
      </x:c>
      <x:c r="N760" s="15" t="n">
        <x:f>IF(E760=0,"해당 없음",F760/E760)</x:f>
        <x:v>0.018867924528301886</x:v>
      </x:c>
      <x:c r="O760" s="15" t="n">
        <x:f>IF(E760=0,"해당 없음",G760/E760)</x:f>
        <x:v>0.1320754716981132</x:v>
      </x:c>
      <x:c r="P760" s="15" t="n">
        <x:f>IF(E760=0,"해당 없음",H760/E760)</x:f>
        <x:v>0.11320754716981132</x:v>
      </x:c>
      <x:c r="Q760" s="15" t="n">
        <x:f>IF(E760=0,"해당 없음",I760/E760)</x:f>
        <x:v>0.08490566037735849</x:v>
      </x:c>
      <x:c r="R760" s="15" t="n">
        <x:f>IF(E760=0,"해당 없음",J760/E760)</x:f>
        <x:v>0.04716981132075472</x:v>
      </x:c>
      <x:c r="S760" s="15" t="n">
        <x:f>IF(E760=0,"해당 없음",K760/E760)</x:f>
        <x:v>0.16037735849056603</x:v>
      </x:c>
      <x:c r="T760" s="15" t="n">
        <x:f>IF(E760=0,"해당 없음",L760/E760)</x:f>
        <x:v>0.330188679245283</x:v>
      </x:c>
      <x:c r="U760" s="15" t="n">
        <x:f>IF(E760=0,"해당 없음",M760/E760)</x:f>
        <x:v>0.11320754716981132</x:v>
      </x:c>
      <x:c r="V760" s="16" t="n">
        <x:f>E760/5</x:f>
        <x:v>21.2</x:v>
      </x:c>
    </x:row>
    <x:row r="761" ht="22" customHeight="1">
      <x:c r="A761" s="2" t="n">
        <x:v>378</x:v>
      </x:c>
      <x:c r="B761" s="2" t="str">
        <x:v>NAVY</x:v>
      </x:c>
      <x:c r="C761" s="2" t="str">
        <x:v>0만</x:v>
      </x:c>
      <x:c r="D761" s="2" t="str">
        <x:v>120만</x:v>
      </x:c>
      <x:c r="E761" s="14" t="n">
        <x:f>SUM(F761:M761)</x:f>
        <x:v>103</x:v>
      </x:c>
      <x:c r="F761" s="14" t="n">
        <x:v>13</x:v>
      </x:c>
      <x:c r="G761" s="14" t="n">
        <x:v>12</x:v>
      </x:c>
      <x:c r="H761" s="14" t="n">
        <x:v>11</x:v>
      </x:c>
      <x:c r="I761" s="14" t="n">
        <x:v>17</x:v>
      </x:c>
      <x:c r="J761" s="14" t="n">
        <x:v>13</x:v>
      </x:c>
      <x:c r="K761" s="14" t="n">
        <x:v>11</x:v>
      </x:c>
      <x:c r="L761" s="14" t="n">
        <x:v>8</x:v>
      </x:c>
      <x:c r="M761" s="14" t="n">
        <x:v>18</x:v>
      </x:c>
      <x:c r="N761" s="15" t="n">
        <x:f>IF(E761=0,"해당 없음",F761/E761)</x:f>
        <x:v>0.1262135922330097</x:v>
      </x:c>
      <x:c r="O761" s="15" t="n">
        <x:f>IF(E761=0,"해당 없음",G761/E761)</x:f>
        <x:v>0.11650485436893204</x:v>
      </x:c>
      <x:c r="P761" s="15" t="n">
        <x:f>IF(E761=0,"해당 없음",H761/E761)</x:f>
        <x:v>0.10679611650485436</x:v>
      </x:c>
      <x:c r="Q761" s="15" t="n">
        <x:f>IF(E761=0,"해당 없음",I761/E761)</x:f>
        <x:v>0.1650485436893204</x:v>
      </x:c>
      <x:c r="R761" s="15" t="n">
        <x:f>IF(E761=0,"해당 없음",J761/E761)</x:f>
        <x:v>0.1262135922330097</x:v>
      </x:c>
      <x:c r="S761" s="15" t="n">
        <x:f>IF(E761=0,"해당 없음",K761/E761)</x:f>
        <x:v>0.10679611650485436</x:v>
      </x:c>
      <x:c r="T761" s="15" t="n">
        <x:f>IF(E761=0,"해당 없음",L761/E761)</x:f>
        <x:v>0.07766990291262135</x:v>
      </x:c>
      <x:c r="U761" s="15" t="n">
        <x:f>IF(E761=0,"해당 없음",M761/E761)</x:f>
        <x:v>0.17475728155339806</x:v>
      </x:c>
      <x:c r="V761" s="16" t="n">
        <x:f>E761/5</x:f>
        <x:v>20.6</x:v>
      </x:c>
    </x:row>
    <x:row r="762" ht="22" customHeight="1">
      <x:c r="A762" s="2" t="n">
        <x:v>379</x:v>
      </x:c>
      <x:c r="B762" s="2" t="str">
        <x:v>RED</x:v>
      </x:c>
      <x:c r="C762" s="2" t="str">
        <x:v>0만</x:v>
      </x:c>
      <x:c r="D762" s="2" t="str">
        <x:v>120만</x:v>
      </x:c>
      <x:c r="E762" s="14" t="n">
        <x:f>SUM(F762:M762)</x:f>
        <x:v>102</x:v>
      </x:c>
      <x:c r="F762" s="14" t="n">
        <x:v>14</x:v>
      </x:c>
      <x:c r="G762" s="14" t="n">
        <x:v>7</x:v>
      </x:c>
      <x:c r="H762" s="14" t="n">
        <x:v>15</x:v>
      </x:c>
      <x:c r="I762" s="14" t="n">
        <x:v>10</x:v>
      </x:c>
      <x:c r="J762" s="14" t="n">
        <x:v>12</x:v>
      </x:c>
      <x:c r="K762" s="14" t="n">
        <x:v>16</x:v>
      </x:c>
      <x:c r="L762" s="14" t="n">
        <x:v>12</x:v>
      </x:c>
      <x:c r="M762" s="14" t="n">
        <x:v>16</x:v>
      </x:c>
      <x:c r="N762" s="15" t="n">
        <x:f>IF(E762=0,"해당 없음",F762/E762)</x:f>
        <x:v>0.13725490196078433</x:v>
      </x:c>
      <x:c r="O762" s="15" t="n">
        <x:f>IF(E762=0,"해당 없음",G762/E762)</x:f>
        <x:v>0.06862745098039216</x:v>
      </x:c>
      <x:c r="P762" s="15" t="n">
        <x:f>IF(E762=0,"해당 없음",H762/E762)</x:f>
        <x:v>0.14705882352941177</x:v>
      </x:c>
      <x:c r="Q762" s="15" t="n">
        <x:f>IF(E762=0,"해당 없음",I762/E762)</x:f>
        <x:v>0.09803921568627451</x:v>
      </x:c>
      <x:c r="R762" s="15" t="n">
        <x:f>IF(E762=0,"해당 없음",J762/E762)</x:f>
        <x:v>0.11764705882352941</x:v>
      </x:c>
      <x:c r="S762" s="15" t="n">
        <x:f>IF(E762=0,"해당 없음",K762/E762)</x:f>
        <x:v>0.1568627450980392</x:v>
      </x:c>
      <x:c r="T762" s="15" t="n">
        <x:f>IF(E762=0,"해당 없음",L762/E762)</x:f>
        <x:v>0.11764705882352941</x:v>
      </x:c>
      <x:c r="U762" s="15" t="n">
        <x:f>IF(E762=0,"해당 없음",M762/E762)</x:f>
        <x:v>0.1568627450980392</x:v>
      </x:c>
      <x:c r="V762" s="16" t="n">
        <x:f>E762/5</x:f>
        <x:v>20.4</x:v>
      </x:c>
    </x:row>
    <x:row r="763" ht="22" customHeight="1">
      <x:c r="A763" s="2" t="n">
        <x:v>379</x:v>
      </x:c>
      <x:c r="B763" s="2" t="str">
        <x:v>NAVY</x:v>
      </x:c>
      <x:c r="C763" s="2" t="str">
        <x:v>120만</x:v>
      </x:c>
      <x:c r="D763" s="2" t="str">
        <x:v>0만</x:v>
      </x:c>
      <x:c r="E763" s="14" t="n">
        <x:f>SUM(F763:M763)</x:f>
        <x:v>101</x:v>
      </x:c>
      <x:c r="F763" s="14" t="n">
        <x:v>2</x:v>
      </x:c>
      <x:c r="G763" s="14" t="n">
        <x:v>17</x:v>
      </x:c>
      <x:c r="H763" s="14" t="n">
        <x:v>13</x:v>
      </x:c>
      <x:c r="I763" s="14" t="n">
        <x:v>10</x:v>
      </x:c>
      <x:c r="J763" s="14" t="n">
        <x:v>5</x:v>
      </x:c>
      <x:c r="K763" s="14" t="n">
        <x:v>16</x:v>
      </x:c>
      <x:c r="L763" s="14" t="n">
        <x:v>31</x:v>
      </x:c>
      <x:c r="M763" s="14" t="n">
        <x:v>7</x:v>
      </x:c>
      <x:c r="N763" s="15" t="n">
        <x:f>IF(E763=0,"해당 없음",F763/E763)</x:f>
        <x:v>0.019801980198019802</x:v>
      </x:c>
      <x:c r="O763" s="15" t="n">
        <x:f>IF(E763=0,"해당 없음",G763/E763)</x:f>
        <x:v>0.16831683168316833</x:v>
      </x:c>
      <x:c r="P763" s="15" t="n">
        <x:f>IF(E763=0,"해당 없음",H763/E763)</x:f>
        <x:v>0.12871287128712872</x:v>
      </x:c>
      <x:c r="Q763" s="15" t="n">
        <x:f>IF(E763=0,"해당 없음",I763/E763)</x:f>
        <x:v>0.09900990099009901</x:v>
      </x:c>
      <x:c r="R763" s="15" t="n">
        <x:f>IF(E763=0,"해당 없음",J763/E763)</x:f>
        <x:v>0.04950495049504951</x:v>
      </x:c>
      <x:c r="S763" s="15" t="n">
        <x:f>IF(E763=0,"해당 없음",K763/E763)</x:f>
        <x:v>0.15841584158415842</x:v>
      </x:c>
      <x:c r="T763" s="15" t="n">
        <x:f>IF(E763=0,"해당 없음",L763/E763)</x:f>
        <x:v>0.3069306930693069</x:v>
      </x:c>
      <x:c r="U763" s="15" t="n">
        <x:f>IF(E763=0,"해당 없음",M763/E763)</x:f>
        <x:v>0.06930693069306931</x:v>
      </x:c>
      <x:c r="V763" s="16" t="n">
        <x:f>E763/5</x:f>
        <x:v>20.2</x:v>
      </x:c>
    </x:row>
    <x:row r="764" ht="22" customHeight="1">
      <x:c r="A764" s="2" t="n">
        <x:v>380</x:v>
      </x:c>
      <x:c r="B764" s="2" t="str">
        <x:v>RED</x:v>
      </x:c>
      <x:c r="C764" s="2" t="str">
        <x:v>120만</x:v>
      </x:c>
      <x:c r="D764" s="2" t="str">
        <x:v>0만</x:v>
      </x:c>
      <x:c r="E764" s="14" t="n">
        <x:f>SUM(F764:M764)</x:f>
        <x:v>107</x:v>
      </x:c>
      <x:c r="F764" s="14" t="n">
        <x:v>4</x:v>
      </x:c>
      <x:c r="G764" s="14" t="n">
        <x:v>17</x:v>
      </x:c>
      <x:c r="H764" s="14" t="n">
        <x:v>14</x:v>
      </x:c>
      <x:c r="I764" s="14" t="n">
        <x:v>7</x:v>
      </x:c>
      <x:c r="J764" s="14" t="n">
        <x:v>3</x:v>
      </x:c>
      <x:c r="K764" s="14" t="n">
        <x:v>12</x:v>
      </x:c>
      <x:c r="L764" s="14" t="n">
        <x:v>39</x:v>
      </x:c>
      <x:c r="M764" s="14" t="n">
        <x:v>11</x:v>
      </x:c>
      <x:c r="N764" s="15" t="n">
        <x:f>IF(E764=0,"해당 없음",F764/E764)</x:f>
        <x:v>0.037383177570093455</x:v>
      </x:c>
      <x:c r="O764" s="15" t="n">
        <x:f>IF(E764=0,"해당 없음",G764/E764)</x:f>
        <x:v>0.1588785046728972</x:v>
      </x:c>
      <x:c r="P764" s="15" t="n">
        <x:f>IF(E764=0,"해당 없음",H764/E764)</x:f>
        <x:v>0.1308411214953271</x:v>
      </x:c>
      <x:c r="Q764" s="15" t="n">
        <x:f>IF(E764=0,"해당 없음",I764/E764)</x:f>
        <x:v>0.06542056074766354</x:v>
      </x:c>
      <x:c r="R764" s="15" t="n">
        <x:f>IF(E764=0,"해당 없음",J764/E764)</x:f>
        <x:v>0.028037383177570093</x:v>
      </x:c>
      <x:c r="S764" s="15" t="n">
        <x:f>IF(E764=0,"해당 없음",K764/E764)</x:f>
        <x:v>0.11214953271028037</x:v>
      </x:c>
      <x:c r="T764" s="15" t="n">
        <x:f>IF(E764=0,"해당 없음",L764/E764)</x:f>
        <x:v>0.3644859813084112</x:v>
      </x:c>
      <x:c r="U764" s="15" t="n">
        <x:f>IF(E764=0,"해당 없음",M764/E764)</x:f>
        <x:v>0.102803738317757</x:v>
      </x:c>
      <x:c r="V764" s="16" t="n">
        <x:f>E764/5</x:f>
        <x:v>21.4</x:v>
      </x:c>
    </x:row>
    <x:row r="765" ht="22" customHeight="1">
      <x:c r="A765" s="2" t="n">
        <x:v>380</x:v>
      </x:c>
      <x:c r="B765" s="2" t="str">
        <x:v>NAVY</x:v>
      </x:c>
      <x:c r="C765" s="2" t="str">
        <x:v>0만</x:v>
      </x:c>
      <x:c r="D765" s="2" t="str">
        <x:v>120만</x:v>
      </x:c>
      <x:c r="E765" s="14" t="n">
        <x:f>SUM(F765:M765)</x:f>
        <x:v>106</x:v>
      </x:c>
      <x:c r="F765" s="14" t="n">
        <x:v>15</x:v>
      </x:c>
      <x:c r="G765" s="14" t="n">
        <x:v>6</x:v>
      </x:c>
      <x:c r="H765" s="14" t="n">
        <x:v>17</x:v>
      </x:c>
      <x:c r="I765" s="14" t="n">
        <x:v>11</x:v>
      </x:c>
      <x:c r="J765" s="14" t="n">
        <x:v>11</x:v>
      </x:c>
      <x:c r="K765" s="14" t="n">
        <x:v>17</x:v>
      </x:c>
      <x:c r="L765" s="14" t="n">
        <x:v>12</x:v>
      </x:c>
      <x:c r="M765" s="14" t="n">
        <x:v>17</x:v>
      </x:c>
      <x:c r="N765" s="15" t="n">
        <x:f>IF(E765=0,"해당 없음",F765/E765)</x:f>
        <x:v>0.14150943396226415</x:v>
      </x:c>
      <x:c r="O765" s="15" t="n">
        <x:f>IF(E765=0,"해당 없음",G765/E765)</x:f>
        <x:v>0.05660377358490566</x:v>
      </x:c>
      <x:c r="P765" s="15" t="n">
        <x:f>IF(E765=0,"해당 없음",H765/E765)</x:f>
        <x:v>0.16037735849056603</x:v>
      </x:c>
      <x:c r="Q765" s="15" t="n">
        <x:f>IF(E765=0,"해당 없음",I765/E765)</x:f>
        <x:v>0.10377358490566038</x:v>
      </x:c>
      <x:c r="R765" s="15" t="n">
        <x:f>IF(E765=0,"해당 없음",J765/E765)</x:f>
        <x:v>0.10377358490566038</x:v>
      </x:c>
      <x:c r="S765" s="15" t="n">
        <x:f>IF(E765=0,"해당 없음",K765/E765)</x:f>
        <x:v>0.16037735849056603</x:v>
      </x:c>
      <x:c r="T765" s="15" t="n">
        <x:f>IF(E765=0,"해당 없음",L765/E765)</x:f>
        <x:v>0.11320754716981132</x:v>
      </x:c>
      <x:c r="U765" s="15" t="n">
        <x:f>IF(E765=0,"해당 없음",M765/E765)</x:f>
        <x:v>0.16037735849056603</x:v>
      </x:c>
      <x:c r="V765" s="16" t="n">
        <x:f>E765/5</x:f>
        <x:v>21.2</x:v>
      </x:c>
    </x:row>
    <x:row r="766" ht="22" customHeight="1">
      <x:c r="A766" s="2" t="n">
        <x:v>381</x:v>
      </x:c>
      <x:c r="B766" s="2" t="str">
        <x:v>RED</x:v>
      </x:c>
      <x:c r="C766" s="2" t="str">
        <x:v>0만</x:v>
      </x:c>
      <x:c r="D766" s="2" t="str">
        <x:v>120만</x:v>
      </x:c>
      <x:c r="E766" s="14" t="n">
        <x:f>SUM(F766:M766)</x:f>
        <x:v>106</x:v>
      </x:c>
      <x:c r="F766" s="14" t="n">
        <x:v>10</x:v>
      </x:c>
      <x:c r="G766" s="14" t="n">
        <x:v>11</x:v>
      </x:c>
      <x:c r="H766" s="14" t="n">
        <x:v>19</x:v>
      </x:c>
      <x:c r="I766" s="14" t="n">
        <x:v>11</x:v>
      </x:c>
      <x:c r="J766" s="14" t="n">
        <x:v>18</x:v>
      </x:c>
      <x:c r="K766" s="14" t="n">
        <x:v>13</x:v>
      </x:c>
      <x:c r="L766" s="14" t="n">
        <x:v>13</x:v>
      </x:c>
      <x:c r="M766" s="14" t="n">
        <x:v>11</x:v>
      </x:c>
      <x:c r="N766" s="15" t="n">
        <x:f>IF(E766=0,"해당 없음",F766/E766)</x:f>
        <x:v>0.09433962264150944</x:v>
      </x:c>
      <x:c r="O766" s="15" t="n">
        <x:f>IF(E766=0,"해당 없음",G766/E766)</x:f>
        <x:v>0.10377358490566038</x:v>
      </x:c>
      <x:c r="P766" s="15" t="n">
        <x:f>IF(E766=0,"해당 없음",H766/E766)</x:f>
        <x:v>0.1792452830188679</x:v>
      </x:c>
      <x:c r="Q766" s="15" t="n">
        <x:f>IF(E766=0,"해당 없음",I766/E766)</x:f>
        <x:v>0.10377358490566038</x:v>
      </x:c>
      <x:c r="R766" s="15" t="n">
        <x:f>IF(E766=0,"해당 없음",J766/E766)</x:f>
        <x:v>0.16981132075471697</x:v>
      </x:c>
      <x:c r="S766" s="15" t="n">
        <x:f>IF(E766=0,"해당 없음",K766/E766)</x:f>
        <x:v>0.12264150943396226</x:v>
      </x:c>
      <x:c r="T766" s="15" t="n">
        <x:f>IF(E766=0,"해당 없음",L766/E766)</x:f>
        <x:v>0.12264150943396226</x:v>
      </x:c>
      <x:c r="U766" s="15" t="n">
        <x:f>IF(E766=0,"해당 없음",M766/E766)</x:f>
        <x:v>0.10377358490566038</x:v>
      </x:c>
      <x:c r="V766" s="16" t="n">
        <x:f>E766/5</x:f>
        <x:v>21.2</x:v>
      </x:c>
    </x:row>
    <x:row r="767" ht="22" customHeight="1">
      <x:c r="A767" s="2" t="n">
        <x:v>381</x:v>
      </x:c>
      <x:c r="B767" s="2" t="str">
        <x:v>NAVY</x:v>
      </x:c>
      <x:c r="C767" s="2" t="str">
        <x:v>120만</x:v>
      </x:c>
      <x:c r="D767" s="2" t="str">
        <x:v>0만</x:v>
      </x:c>
      <x:c r="E767" s="14" t="n">
        <x:f>SUM(F767:M767)</x:f>
        <x:v>106</x:v>
      </x:c>
      <x:c r="F767" s="14" t="n">
        <x:v>3</x:v>
      </x:c>
      <x:c r="G767" s="14" t="n">
        <x:v>16</x:v>
      </x:c>
      <x:c r="H767" s="14" t="n">
        <x:v>8</x:v>
      </x:c>
      <x:c r="I767" s="14" t="n">
        <x:v>9</x:v>
      </x:c>
      <x:c r="J767" s="14" t="n">
        <x:v>5</x:v>
      </x:c>
      <x:c r="K767" s="14" t="n">
        <x:v>13</x:v>
      </x:c>
      <x:c r="L767" s="14" t="n">
        <x:v>35</x:v>
      </x:c>
      <x:c r="M767" s="14" t="n">
        <x:v>17</x:v>
      </x:c>
      <x:c r="N767" s="15" t="n">
        <x:f>IF(E767=0,"해당 없음",F767/E767)</x:f>
        <x:v>0.02830188679245283</x:v>
      </x:c>
      <x:c r="O767" s="15" t="n">
        <x:f>IF(E767=0,"해당 없음",G767/E767)</x:f>
        <x:v>0.1509433962264151</x:v>
      </x:c>
      <x:c r="P767" s="15" t="n">
        <x:f>IF(E767=0,"해당 없음",H767/E767)</x:f>
        <x:v>0.07547169811320754</x:v>
      </x:c>
      <x:c r="Q767" s="15" t="n">
        <x:f>IF(E767=0,"해당 없음",I767/E767)</x:f>
        <x:v>0.08490566037735849</x:v>
      </x:c>
      <x:c r="R767" s="15" t="n">
        <x:f>IF(E767=0,"해당 없음",J767/E767)</x:f>
        <x:v>0.04716981132075472</x:v>
      </x:c>
      <x:c r="S767" s="15" t="n">
        <x:f>IF(E767=0,"해당 없음",K767/E767)</x:f>
        <x:v>0.12264150943396226</x:v>
      </x:c>
      <x:c r="T767" s="15" t="n">
        <x:f>IF(E767=0,"해당 없음",L767/E767)</x:f>
        <x:v>0.330188679245283</x:v>
      </x:c>
      <x:c r="U767" s="15" t="n">
        <x:f>IF(E767=0,"해당 없음",M767/E767)</x:f>
        <x:v>0.16037735849056603</x:v>
      </x:c>
      <x:c r="V767" s="16" t="n">
        <x:f>E767/5</x:f>
        <x:v>21.2</x:v>
      </x:c>
    </x:row>
    <x:row r="768" ht="22" customHeight="1">
      <x:c r="A768" s="2" t="n">
        <x:v>382</x:v>
      </x:c>
      <x:c r="B768" s="2" t="str">
        <x:v>RED</x:v>
      </x:c>
      <x:c r="C768" s="2" t="str">
        <x:v>120만</x:v>
      </x:c>
      <x:c r="D768" s="2" t="str">
        <x:v>0만</x:v>
      </x:c>
      <x:c r="E768" s="14" t="n">
        <x:f>SUM(F768:M768)</x:f>
        <x:v>104</x:v>
      </x:c>
      <x:c r="F768" s="14" t="n">
        <x:v>2</x:v>
      </x:c>
      <x:c r="G768" s="14" t="n">
        <x:v>15</x:v>
      </x:c>
      <x:c r="H768" s="14" t="n">
        <x:v>8</x:v>
      </x:c>
      <x:c r="I768" s="14" t="n">
        <x:v>11</x:v>
      </x:c>
      <x:c r="J768" s="14" t="n">
        <x:v>3</x:v>
      </x:c>
      <x:c r="K768" s="14" t="n">
        <x:v>10</x:v>
      </x:c>
      <x:c r="L768" s="14" t="n">
        <x:v>37</x:v>
      </x:c>
      <x:c r="M768" s="14" t="n">
        <x:v>18</x:v>
      </x:c>
      <x:c r="N768" s="15" t="n">
        <x:f>IF(E768=0,"해당 없음",F768/E768)</x:f>
        <x:v>0.019230769230769232</x:v>
      </x:c>
      <x:c r="O768" s="15" t="n">
        <x:f>IF(E768=0,"해당 없음",G768/E768)</x:f>
        <x:v>0.14423076923076922</x:v>
      </x:c>
      <x:c r="P768" s="15" t="n">
        <x:f>IF(E768=0,"해당 없음",H768/E768)</x:f>
        <x:v>0.07692307692307693</x:v>
      </x:c>
      <x:c r="Q768" s="15" t="n">
        <x:f>IF(E768=0,"해당 없음",I768/E768)</x:f>
        <x:v>0.10576923076923077</x:v>
      </x:c>
      <x:c r="R768" s="15" t="n">
        <x:f>IF(E768=0,"해당 없음",J768/E768)</x:f>
        <x:v>0.028846153846153848</x:v>
      </x:c>
      <x:c r="S768" s="15" t="n">
        <x:f>IF(E768=0,"해당 없음",K768/E768)</x:f>
        <x:v>0.09615384615384616</x:v>
      </x:c>
      <x:c r="T768" s="15" t="n">
        <x:f>IF(E768=0,"해당 없음",L768/E768)</x:f>
        <x:v>0.3557692307692308</x:v>
      </x:c>
      <x:c r="U768" s="15" t="n">
        <x:f>IF(E768=0,"해당 없음",M768/E768)</x:f>
        <x:v>0.17307692307692307</x:v>
      </x:c>
      <x:c r="V768" s="16" t="n">
        <x:f>E768/5</x:f>
        <x:v>20.8</x:v>
      </x:c>
    </x:row>
    <x:row r="769" ht="22" customHeight="1">
      <x:c r="A769" s="2" t="n">
        <x:v>382</x:v>
      </x:c>
      <x:c r="B769" s="2" t="str">
        <x:v>NAVY</x:v>
      </x:c>
      <x:c r="C769" s="2" t="str">
        <x:v>0만</x:v>
      </x:c>
      <x:c r="D769" s="2" t="str">
        <x:v>120만</x:v>
      </x:c>
      <x:c r="E769" s="14" t="n">
        <x:f>SUM(F769:M769)</x:f>
        <x:v>104</x:v>
      </x:c>
      <x:c r="F769" s="14" t="n">
        <x:v>10</x:v>
      </x:c>
      <x:c r="G769" s="14" t="n">
        <x:v>11</x:v>
      </x:c>
      <x:c r="H769" s="14" t="n">
        <x:v>19</x:v>
      </x:c>
      <x:c r="I769" s="14" t="n">
        <x:v>11</x:v>
      </x:c>
      <x:c r="J769" s="14" t="n">
        <x:v>16</x:v>
      </x:c>
      <x:c r="K769" s="14" t="n">
        <x:v>13</x:v>
      </x:c>
      <x:c r="L769" s="14" t="n">
        <x:v>13</x:v>
      </x:c>
      <x:c r="M769" s="14" t="n">
        <x:v>11</x:v>
      </x:c>
      <x:c r="N769" s="15" t="n">
        <x:f>IF(E769=0,"해당 없음",F769/E769)</x:f>
        <x:v>0.09615384615384616</x:v>
      </x:c>
      <x:c r="O769" s="15" t="n">
        <x:f>IF(E769=0,"해당 없음",G769/E769)</x:f>
        <x:v>0.10576923076923077</x:v>
      </x:c>
      <x:c r="P769" s="15" t="n">
        <x:f>IF(E769=0,"해당 없음",H769/E769)</x:f>
        <x:v>0.18269230769230768</x:v>
      </x:c>
      <x:c r="Q769" s="15" t="n">
        <x:f>IF(E769=0,"해당 없음",I769/E769)</x:f>
        <x:v>0.10576923076923077</x:v>
      </x:c>
      <x:c r="R769" s="15" t="n">
        <x:f>IF(E769=0,"해당 없음",J769/E769)</x:f>
        <x:v>0.15384615384615385</x:v>
      </x:c>
      <x:c r="S769" s="15" t="n">
        <x:f>IF(E769=0,"해당 없음",K769/E769)</x:f>
        <x:v>0.125</x:v>
      </x:c>
      <x:c r="T769" s="15" t="n">
        <x:f>IF(E769=0,"해당 없음",L769/E769)</x:f>
        <x:v>0.125</x:v>
      </x:c>
      <x:c r="U769" s="15" t="n">
        <x:f>IF(E769=0,"해당 없음",M769/E769)</x:f>
        <x:v>0.10576923076923077</x:v>
      </x:c>
      <x:c r="V769" s="16" t="n">
        <x:f>E769/5</x:f>
        <x:v>20.8</x:v>
      </x:c>
    </x:row>
    <x:row r="770" ht="22" customHeight="1">
      <x:c r="A770" s="2" t="n">
        <x:v>383</x:v>
      </x:c>
      <x:c r="B770" s="2" t="str">
        <x:v>RED</x:v>
      </x:c>
      <x:c r="C770" s="2" t="str">
        <x:v>0만</x:v>
      </x:c>
      <x:c r="D770" s="2" t="str">
        <x:v>120만</x:v>
      </x:c>
      <x:c r="E770" s="14" t="n">
        <x:f>SUM(F770:M770)</x:f>
        <x:v>106</x:v>
      </x:c>
      <x:c r="F770" s="14" t="n">
        <x:v>20</x:v>
      </x:c>
      <x:c r="G770" s="14" t="n">
        <x:v>9</x:v>
      </x:c>
      <x:c r="H770" s="14" t="n">
        <x:v>9</x:v>
      </x:c>
      <x:c r="I770" s="14" t="n">
        <x:v>21</x:v>
      </x:c>
      <x:c r="J770" s="14" t="n">
        <x:v>7</x:v>
      </x:c>
      <x:c r="K770" s="14" t="n">
        <x:v>15</x:v>
      </x:c>
      <x:c r="L770" s="14" t="n">
        <x:v>13</x:v>
      </x:c>
      <x:c r="M770" s="14" t="n">
        <x:v>12</x:v>
      </x:c>
      <x:c r="N770" s="15" t="n">
        <x:f>IF(E770=0,"해당 없음",F770/E770)</x:f>
        <x:v>0.18867924528301888</x:v>
      </x:c>
      <x:c r="O770" s="15" t="n">
        <x:f>IF(E770=0,"해당 없음",G770/E770)</x:f>
        <x:v>0.08490566037735849</x:v>
      </x:c>
      <x:c r="P770" s="15" t="n">
        <x:f>IF(E770=0,"해당 없음",H770/E770)</x:f>
        <x:v>0.08490566037735849</x:v>
      </x:c>
      <x:c r="Q770" s="15" t="n">
        <x:f>IF(E770=0,"해당 없음",I770/E770)</x:f>
        <x:v>0.19811320754716982</x:v>
      </x:c>
      <x:c r="R770" s="15" t="n">
        <x:f>IF(E770=0,"해당 없음",J770/E770)</x:f>
        <x:v>0.0660377358490566</x:v>
      </x:c>
      <x:c r="S770" s="15" t="n">
        <x:f>IF(E770=0,"해당 없음",K770/E770)</x:f>
        <x:v>0.14150943396226415</x:v>
      </x:c>
      <x:c r="T770" s="15" t="n">
        <x:f>IF(E770=0,"해당 없음",L770/E770)</x:f>
        <x:v>0.12264150943396226</x:v>
      </x:c>
      <x:c r="U770" s="15" t="n">
        <x:f>IF(E770=0,"해당 없음",M770/E770)</x:f>
        <x:v>0.11320754716981132</x:v>
      </x:c>
      <x:c r="V770" s="16" t="n">
        <x:f>E770/5</x:f>
        <x:v>21.2</x:v>
      </x:c>
    </x:row>
    <x:row r="771" ht="22" customHeight="1">
      <x:c r="A771" s="2" t="n">
        <x:v>383</x:v>
      </x:c>
      <x:c r="B771" s="2" t="str">
        <x:v>NAVY</x:v>
      </x:c>
      <x:c r="C771" s="2" t="str">
        <x:v>120만</x:v>
      </x:c>
      <x:c r="D771" s="2" t="str">
        <x:v>0만</x:v>
      </x:c>
      <x:c r="E771" s="14" t="n">
        <x:f>SUM(F771:M771)</x:f>
        <x:v>106</x:v>
      </x:c>
      <x:c r="F771" s="14" t="n">
        <x:v>6</x:v>
      </x:c>
      <x:c r="G771" s="14" t="n">
        <x:v>15</x:v>
      </x:c>
      <x:c r="H771" s="14" t="n">
        <x:v>12</x:v>
      </x:c>
      <x:c r="I771" s="14" t="n">
        <x:v>5</x:v>
      </x:c>
      <x:c r="J771" s="14" t="n">
        <x:v>2</x:v>
      </x:c>
      <x:c r="K771" s="14" t="n">
        <x:v>7</x:v>
      </x:c>
      <x:c r="L771" s="14" t="n">
        <x:v>42</x:v>
      </x:c>
      <x:c r="M771" s="14" t="n">
        <x:v>17</x:v>
      </x:c>
      <x:c r="N771" s="15" t="n">
        <x:f>IF(E771=0,"해당 없음",F771/E771)</x:f>
        <x:v>0.05660377358490566</x:v>
      </x:c>
      <x:c r="O771" s="15" t="n">
        <x:f>IF(E771=0,"해당 없음",G771/E771)</x:f>
        <x:v>0.14150943396226415</x:v>
      </x:c>
      <x:c r="P771" s="15" t="n">
        <x:f>IF(E771=0,"해당 없음",H771/E771)</x:f>
        <x:v>0.11320754716981132</x:v>
      </x:c>
      <x:c r="Q771" s="15" t="n">
        <x:f>IF(E771=0,"해당 없음",I771/E771)</x:f>
        <x:v>0.04716981132075472</x:v>
      </x:c>
      <x:c r="R771" s="15" t="n">
        <x:f>IF(E771=0,"해당 없음",J771/E771)</x:f>
        <x:v>0.018867924528301886</x:v>
      </x:c>
      <x:c r="S771" s="15" t="n">
        <x:f>IF(E771=0,"해당 없음",K771/E771)</x:f>
        <x:v>0.0660377358490566</x:v>
      </x:c>
      <x:c r="T771" s="15" t="n">
        <x:f>IF(E771=0,"해당 없음",L771/E771)</x:f>
        <x:v>0.39622641509433965</x:v>
      </x:c>
      <x:c r="U771" s="15" t="n">
        <x:f>IF(E771=0,"해당 없음",M771/E771)</x:f>
        <x:v>0.16037735849056603</x:v>
      </x:c>
      <x:c r="V771" s="16" t="n">
        <x:f>E771/5</x:f>
        <x:v>21.2</x:v>
      </x:c>
    </x:row>
    <x:row r="772" ht="22" customHeight="1">
      <x:c r="A772" s="2" t="n">
        <x:v>384</x:v>
      </x:c>
      <x:c r="B772" s="2" t="str">
        <x:v>RED</x:v>
      </x:c>
      <x:c r="C772" s="2" t="str">
        <x:v>120만</x:v>
      </x:c>
      <x:c r="D772" s="2" t="str">
        <x:v>0만</x:v>
      </x:c>
      <x:c r="E772" s="14" t="n">
        <x:f>SUM(F772:M772)</x:f>
        <x:v>103</x:v>
      </x:c>
      <x:c r="F772" s="14" t="n">
        <x:v>1</x:v>
      </x:c>
      <x:c r="G772" s="14" t="n">
        <x:v>15</x:v>
      </x:c>
      <x:c r="H772" s="14" t="n">
        <x:v>7</x:v>
      </x:c>
      <x:c r="I772" s="14" t="n">
        <x:v>15</x:v>
      </x:c>
      <x:c r="J772" s="14" t="n">
        <x:v>6</x:v>
      </x:c>
      <x:c r="K772" s="14" t="n">
        <x:v>15</x:v>
      </x:c>
      <x:c r="L772" s="14" t="n">
        <x:v>36</x:v>
      </x:c>
      <x:c r="M772" s="14" t="n">
        <x:v>8</x:v>
      </x:c>
      <x:c r="N772" s="15" t="n">
        <x:f>IF(E772=0,"해당 없음",F772/E772)</x:f>
        <x:v>0.009708737864077669</x:v>
      </x:c>
      <x:c r="O772" s="15" t="n">
        <x:f>IF(E772=0,"해당 없음",G772/E772)</x:f>
        <x:v>0.14563106796116504</x:v>
      </x:c>
      <x:c r="P772" s="15" t="n">
        <x:f>IF(E772=0,"해당 없음",H772/E772)</x:f>
        <x:v>0.06796116504854369</x:v>
      </x:c>
      <x:c r="Q772" s="15" t="n">
        <x:f>IF(E772=0,"해당 없음",I772/E772)</x:f>
        <x:v>0.14563106796116504</x:v>
      </x:c>
      <x:c r="R772" s="15" t="n">
        <x:f>IF(E772=0,"해당 없음",J772/E772)</x:f>
        <x:v>0.05825242718446602</x:v>
      </x:c>
      <x:c r="S772" s="15" t="n">
        <x:f>IF(E772=0,"해당 없음",K772/E772)</x:f>
        <x:v>0.14563106796116504</x:v>
      </x:c>
      <x:c r="T772" s="15" t="n">
        <x:f>IF(E772=0,"해당 없음",L772/E772)</x:f>
        <x:v>0.34951456310679613</x:v>
      </x:c>
      <x:c r="U772" s="15" t="n">
        <x:f>IF(E772=0,"해당 없음",M772/E772)</x:f>
        <x:v>0.07766990291262135</x:v>
      </x:c>
      <x:c r="V772" s="16" t="n">
        <x:f>E772/5</x:f>
        <x:v>20.6</x:v>
      </x:c>
    </x:row>
    <x:row r="773" ht="22" customHeight="1">
      <x:c r="A773" s="2" t="n">
        <x:v>384</x:v>
      </x:c>
      <x:c r="B773" s="2" t="str">
        <x:v>NAVY</x:v>
      </x:c>
      <x:c r="C773" s="2" t="str">
        <x:v>0만</x:v>
      </x:c>
      <x:c r="D773" s="2" t="str">
        <x:v>120만</x:v>
      </x:c>
      <x:c r="E773" s="14" t="n">
        <x:f>SUM(F773:M773)</x:f>
        <x:v>104</x:v>
      </x:c>
      <x:c r="F773" s="14" t="n">
        <x:v>18</x:v>
      </x:c>
      <x:c r="G773" s="14" t="n">
        <x:v>9</x:v>
      </x:c>
      <x:c r="H773" s="14" t="n">
        <x:v>10</x:v>
      </x:c>
      <x:c r="I773" s="14" t="n">
        <x:v>20</x:v>
      </x:c>
      <x:c r="J773" s="14" t="n">
        <x:v>7</x:v>
      </x:c>
      <x:c r="K773" s="14" t="n">
        <x:v>15</x:v>
      </x:c>
      <x:c r="L773" s="14" t="n">
        <x:v>13</x:v>
      </x:c>
      <x:c r="M773" s="14" t="n">
        <x:v>12</x:v>
      </x:c>
      <x:c r="N773" s="15" t="n">
        <x:f>IF(E773=0,"해당 없음",F773/E773)</x:f>
        <x:v>0.17307692307692307</x:v>
      </x:c>
      <x:c r="O773" s="15" t="n">
        <x:f>IF(E773=0,"해당 없음",G773/E773)</x:f>
        <x:v>0.08653846153846154</x:v>
      </x:c>
      <x:c r="P773" s="15" t="n">
        <x:f>IF(E773=0,"해당 없음",H773/E773)</x:f>
        <x:v>0.09615384615384616</x:v>
      </x:c>
      <x:c r="Q773" s="15" t="n">
        <x:f>IF(E773=0,"해당 없음",I773/E773)</x:f>
        <x:v>0.19230769230769232</x:v>
      </x:c>
      <x:c r="R773" s="15" t="n">
        <x:f>IF(E773=0,"해당 없음",J773/E773)</x:f>
        <x:v>0.0673076923076923</x:v>
      </x:c>
      <x:c r="S773" s="15" t="n">
        <x:f>IF(E773=0,"해당 없음",K773/E773)</x:f>
        <x:v>0.14423076923076922</x:v>
      </x:c>
      <x:c r="T773" s="15" t="n">
        <x:f>IF(E773=0,"해당 없음",L773/E773)</x:f>
        <x:v>0.125</x:v>
      </x:c>
      <x:c r="U773" s="15" t="n">
        <x:f>IF(E773=0,"해당 없음",M773/E773)</x:f>
        <x:v>0.11538461538461539</x:v>
      </x:c>
      <x:c r="V773" s="16" t="n">
        <x:f>E773/5</x:f>
        <x:v>20.8</x:v>
      </x:c>
    </x:row>
    <x:row r="774" ht="22" customHeight="1">
      <x:c r="A774" s="2" t="n">
        <x:v>385</x:v>
      </x:c>
      <x:c r="B774" s="2" t="str">
        <x:v>RED</x:v>
      </x:c>
      <x:c r="C774" s="2" t="str">
        <x:v>0만</x:v>
      </x:c>
      <x:c r="D774" s="2" t="str">
        <x:v>120만</x:v>
      </x:c>
      <x:c r="E774" s="14" t="n">
        <x:f>SUM(F774:M774)</x:f>
        <x:v>106</x:v>
      </x:c>
      <x:c r="F774" s="14" t="n">
        <x:v>11</x:v>
      </x:c>
      <x:c r="G774" s="14" t="n">
        <x:v>14</x:v>
      </x:c>
      <x:c r="H774" s="14" t="n">
        <x:v>14</x:v>
      </x:c>
      <x:c r="I774" s="14" t="n">
        <x:v>13</x:v>
      </x:c>
      <x:c r="J774" s="14" t="n">
        <x:v>17</x:v>
      </x:c>
      <x:c r="K774" s="14" t="n">
        <x:v>13</x:v>
      </x:c>
      <x:c r="L774" s="14" t="n">
        <x:v>16</x:v>
      </x:c>
      <x:c r="M774" s="14" t="n">
        <x:v>8</x:v>
      </x:c>
      <x:c r="N774" s="15" t="n">
        <x:f>IF(E774=0,"해당 없음",F774/E774)</x:f>
        <x:v>0.10377358490566038</x:v>
      </x:c>
      <x:c r="O774" s="15" t="n">
        <x:f>IF(E774=0,"해당 없음",G774/E774)</x:f>
        <x:v>0.1320754716981132</x:v>
      </x:c>
      <x:c r="P774" s="15" t="n">
        <x:f>IF(E774=0,"해당 없음",H774/E774)</x:f>
        <x:v>0.1320754716981132</x:v>
      </x:c>
      <x:c r="Q774" s="15" t="n">
        <x:f>IF(E774=0,"해당 없음",I774/E774)</x:f>
        <x:v>0.12264150943396226</x:v>
      </x:c>
      <x:c r="R774" s="15" t="n">
        <x:f>IF(E774=0,"해당 없음",J774/E774)</x:f>
        <x:v>0.16037735849056603</x:v>
      </x:c>
      <x:c r="S774" s="15" t="n">
        <x:f>IF(E774=0,"해당 없음",K774/E774)</x:f>
        <x:v>0.12264150943396226</x:v>
      </x:c>
      <x:c r="T774" s="15" t="n">
        <x:f>IF(E774=0,"해당 없음",L774/E774)</x:f>
        <x:v>0.1509433962264151</x:v>
      </x:c>
      <x:c r="U774" s="15" t="n">
        <x:f>IF(E774=0,"해당 없음",M774/E774)</x:f>
        <x:v>0.07547169811320754</x:v>
      </x:c>
      <x:c r="V774" s="16" t="n">
        <x:f>E774/5</x:f>
        <x:v>21.2</x:v>
      </x:c>
    </x:row>
    <x:row r="775" ht="22" customHeight="1">
      <x:c r="A775" s="2" t="n">
        <x:v>385</x:v>
      </x:c>
      <x:c r="B775" s="2" t="str">
        <x:v>NAVY</x:v>
      </x:c>
      <x:c r="C775" s="2" t="str">
        <x:v>120만</x:v>
      </x:c>
      <x:c r="D775" s="2" t="str">
        <x:v>0만</x:v>
      </x:c>
      <x:c r="E775" s="14" t="n">
        <x:f>SUM(F775:M775)</x:f>
        <x:v>104</x:v>
      </x:c>
      <x:c r="F775" s="14" t="n">
        <x:v>2</x:v>
      </x:c>
      <x:c r="G775" s="14" t="n">
        <x:v>15</x:v>
      </x:c>
      <x:c r="H775" s="14" t="n">
        <x:v>8</x:v>
      </x:c>
      <x:c r="I775" s="14" t="n">
        <x:v>7</x:v>
      </x:c>
      <x:c r="J775" s="14" t="n">
        <x:v>2</x:v>
      </x:c>
      <x:c r="K775" s="14" t="n">
        <x:v>16</x:v>
      </x:c>
      <x:c r="L775" s="14" t="n">
        <x:v>38</x:v>
      </x:c>
      <x:c r="M775" s="14" t="n">
        <x:v>16</x:v>
      </x:c>
      <x:c r="N775" s="15" t="n">
        <x:f>IF(E775=0,"해당 없음",F775/E775)</x:f>
        <x:v>0.019230769230769232</x:v>
      </x:c>
      <x:c r="O775" s="15" t="n">
        <x:f>IF(E775=0,"해당 없음",G775/E775)</x:f>
        <x:v>0.14423076923076922</x:v>
      </x:c>
      <x:c r="P775" s="15" t="n">
        <x:f>IF(E775=0,"해당 없음",H775/E775)</x:f>
        <x:v>0.07692307692307693</x:v>
      </x:c>
      <x:c r="Q775" s="15" t="n">
        <x:f>IF(E775=0,"해당 없음",I775/E775)</x:f>
        <x:v>0.0673076923076923</x:v>
      </x:c>
      <x:c r="R775" s="15" t="n">
        <x:f>IF(E775=0,"해당 없음",J775/E775)</x:f>
        <x:v>0.019230769230769232</x:v>
      </x:c>
      <x:c r="S775" s="15" t="n">
        <x:f>IF(E775=0,"해당 없음",K775/E775)</x:f>
        <x:v>0.15384615384615385</x:v>
      </x:c>
      <x:c r="T775" s="15" t="n">
        <x:f>IF(E775=0,"해당 없음",L775/E775)</x:f>
        <x:v>0.36538461538461536</x:v>
      </x:c>
      <x:c r="U775" s="15" t="n">
        <x:f>IF(E775=0,"해당 없음",M775/E775)</x:f>
        <x:v>0.15384615384615385</x:v>
      </x:c>
      <x:c r="V775" s="16" t="n">
        <x:f>E775/5</x:f>
        <x:v>20.8</x:v>
      </x:c>
    </x:row>
    <x:row r="776" ht="22" customHeight="1">
      <x:c r="A776" s="2" t="n">
        <x:v>386</x:v>
      </x:c>
      <x:c r="B776" s="2" t="str">
        <x:v>RED</x:v>
      </x:c>
      <x:c r="C776" s="2" t="str">
        <x:v>120만</x:v>
      </x:c>
      <x:c r="D776" s="2" t="str">
        <x:v>0만</x:v>
      </x:c>
      <x:c r="E776" s="14" t="n">
        <x:f>SUM(F776:M776)</x:f>
        <x:v>107</x:v>
      </x:c>
      <x:c r="F776" s="14" t="n">
        <x:v>2</x:v>
      </x:c>
      <x:c r="G776" s="14" t="n">
        <x:v>11</x:v>
      </x:c>
      <x:c r="H776" s="14" t="n">
        <x:v>10</x:v>
      </x:c>
      <x:c r="I776" s="14" t="n">
        <x:v>11</x:v>
      </x:c>
      <x:c r="J776" s="14" t="n">
        <x:v>2</x:v>
      </x:c>
      <x:c r="K776" s="14" t="n">
        <x:v>16</x:v>
      </x:c>
      <x:c r="L776" s="14" t="n">
        <x:v>38</x:v>
      </x:c>
      <x:c r="M776" s="14" t="n">
        <x:v>17</x:v>
      </x:c>
      <x:c r="N776" s="15" t="n">
        <x:f>IF(E776=0,"해당 없음",F776/E776)</x:f>
        <x:v>0.018691588785046728</x:v>
      </x:c>
      <x:c r="O776" s="15" t="n">
        <x:f>IF(E776=0,"해당 없음",G776/E776)</x:f>
        <x:v>0.102803738317757</x:v>
      </x:c>
      <x:c r="P776" s="15" t="n">
        <x:f>IF(E776=0,"해당 없음",H776/E776)</x:f>
        <x:v>0.09345794392523364</x:v>
      </x:c>
      <x:c r="Q776" s="15" t="n">
        <x:f>IF(E776=0,"해당 없음",I776/E776)</x:f>
        <x:v>0.102803738317757</x:v>
      </x:c>
      <x:c r="R776" s="15" t="n">
        <x:f>IF(E776=0,"해당 없음",J776/E776)</x:f>
        <x:v>0.018691588785046728</x:v>
      </x:c>
      <x:c r="S776" s="15" t="n">
        <x:f>IF(E776=0,"해당 없음",K776/E776)</x:f>
        <x:v>0.14953271028037382</x:v>
      </x:c>
      <x:c r="T776" s="15" t="n">
        <x:f>IF(E776=0,"해당 없음",L776/E776)</x:f>
        <x:v>0.35514018691588783</x:v>
      </x:c>
      <x:c r="U776" s="15" t="n">
        <x:f>IF(E776=0,"해당 없음",M776/E776)</x:f>
        <x:v>0.1588785046728972</x:v>
      </x:c>
      <x:c r="V776" s="16" t="n">
        <x:f>E776/5</x:f>
        <x:v>21.4</x:v>
      </x:c>
    </x:row>
    <x:row r="777" ht="22" customHeight="1">
      <x:c r="A777" s="2" t="n">
        <x:v>386</x:v>
      </x:c>
      <x:c r="B777" s="2" t="str">
        <x:v>NAVY</x:v>
      </x:c>
      <x:c r="C777" s="2" t="str">
        <x:v>0만</x:v>
      </x:c>
      <x:c r="D777" s="2" t="str">
        <x:v>120만</x:v>
      </x:c>
      <x:c r="E777" s="14" t="n">
        <x:f>SUM(F777:M777)</x:f>
        <x:v>105</x:v>
      </x:c>
      <x:c r="F777" s="14" t="n">
        <x:v>11</x:v>
      </x:c>
      <x:c r="G777" s="14" t="n">
        <x:v>14</x:v>
      </x:c>
      <x:c r="H777" s="14" t="n">
        <x:v>14</x:v>
      </x:c>
      <x:c r="I777" s="14" t="n">
        <x:v>12</x:v>
      </x:c>
      <x:c r="J777" s="14" t="n">
        <x:v>18</x:v>
      </x:c>
      <x:c r="K777" s="14" t="n">
        <x:v>12</x:v>
      </x:c>
      <x:c r="L777" s="14" t="n">
        <x:v>16</x:v>
      </x:c>
      <x:c r="M777" s="14" t="n">
        <x:v>8</x:v>
      </x:c>
      <x:c r="N777" s="15" t="n">
        <x:f>IF(E777=0,"해당 없음",F777/E777)</x:f>
        <x:v>0.10476190476190476</x:v>
      </x:c>
      <x:c r="O777" s="15" t="n">
        <x:f>IF(E777=0,"해당 없음",G777/E777)</x:f>
        <x:v>0.13333333333333333</x:v>
      </x:c>
      <x:c r="P777" s="15" t="n">
        <x:f>IF(E777=0,"해당 없음",H777/E777)</x:f>
        <x:v>0.13333333333333333</x:v>
      </x:c>
      <x:c r="Q777" s="15" t="n">
        <x:f>IF(E777=0,"해당 없음",I777/E777)</x:f>
        <x:v>0.11428571428571428</x:v>
      </x:c>
      <x:c r="R777" s="15" t="n">
        <x:f>IF(E777=0,"해당 없음",J777/E777)</x:f>
        <x:v>0.17142857142857143</x:v>
      </x:c>
      <x:c r="S777" s="15" t="n">
        <x:f>IF(E777=0,"해당 없음",K777/E777)</x:f>
        <x:v>0.11428571428571428</x:v>
      </x:c>
      <x:c r="T777" s="15" t="n">
        <x:f>IF(E777=0,"해당 없음",L777/E777)</x:f>
        <x:v>0.1523809523809524</x:v>
      </x:c>
      <x:c r="U777" s="15" t="n">
        <x:f>IF(E777=0,"해당 없음",M777/E777)</x:f>
        <x:v>0.0761904761904762</x:v>
      </x:c>
      <x:c r="V777" s="16" t="n">
        <x:f>E777/5</x:f>
        <x:v>21</x:v>
      </x:c>
    </x:row>
    <x:row r="778" ht="22" customHeight="1">
      <x:c r="A778" s="2" t="n">
        <x:v>387</x:v>
      </x:c>
      <x:c r="B778" s="2" t="str">
        <x:v>RED</x:v>
      </x:c>
      <x:c r="C778" s="2" t="str">
        <x:v>0만</x:v>
      </x:c>
      <x:c r="D778" s="2" t="str">
        <x:v>120만</x:v>
      </x:c>
      <x:c r="E778" s="14" t="n">
        <x:f>SUM(F778:M778)</x:f>
        <x:v>102</x:v>
      </x:c>
      <x:c r="F778" s="14" t="n">
        <x:v>9</x:v>
      </x:c>
      <x:c r="G778" s="14" t="n">
        <x:v>11</x:v>
      </x:c>
      <x:c r="H778" s="14" t="n">
        <x:v>11</x:v>
      </x:c>
      <x:c r="I778" s="14" t="n">
        <x:v>16</x:v>
      </x:c>
      <x:c r="J778" s="14" t="n">
        <x:v>13</x:v>
      </x:c>
      <x:c r="K778" s="14" t="n">
        <x:v>11</x:v>
      </x:c>
      <x:c r="L778" s="14" t="n">
        <x:v>14</x:v>
      </x:c>
      <x:c r="M778" s="14" t="n">
        <x:v>17</x:v>
      </x:c>
      <x:c r="N778" s="15" t="n">
        <x:f>IF(E778=0,"해당 없음",F778/E778)</x:f>
        <x:v>0.08823529411764706</x:v>
      </x:c>
      <x:c r="O778" s="15" t="n">
        <x:f>IF(E778=0,"해당 없음",G778/E778)</x:f>
        <x:v>0.10784313725490197</x:v>
      </x:c>
      <x:c r="P778" s="15" t="n">
        <x:f>IF(E778=0,"해당 없음",H778/E778)</x:f>
        <x:v>0.10784313725490197</x:v>
      </x:c>
      <x:c r="Q778" s="15" t="n">
        <x:f>IF(E778=0,"해당 없음",I778/E778)</x:f>
        <x:v>0.1568627450980392</x:v>
      </x:c>
      <x:c r="R778" s="15" t="n">
        <x:f>IF(E778=0,"해당 없음",J778/E778)</x:f>
        <x:v>0.12745098039215685</x:v>
      </x:c>
      <x:c r="S778" s="15" t="n">
        <x:f>IF(E778=0,"해당 없음",K778/E778)</x:f>
        <x:v>0.10784313725490197</x:v>
      </x:c>
      <x:c r="T778" s="15" t="n">
        <x:f>IF(E778=0,"해당 없음",L778/E778)</x:f>
        <x:v>0.13725490196078433</x:v>
      </x:c>
      <x:c r="U778" s="15" t="n">
        <x:f>IF(E778=0,"해당 없음",M778/E778)</x:f>
        <x:v>0.16666666666666666</x:v>
      </x:c>
      <x:c r="V778" s="16" t="n">
        <x:f>E778/5</x:f>
        <x:v>20.4</x:v>
      </x:c>
    </x:row>
    <x:row r="779" ht="22" customHeight="1">
      <x:c r="A779" s="2" t="n">
        <x:v>387</x:v>
      </x:c>
      <x:c r="B779" s="2" t="str">
        <x:v>NAVY</x:v>
      </x:c>
      <x:c r="C779" s="2" t="str">
        <x:v>120만</x:v>
      </x:c>
      <x:c r="D779" s="2" t="str">
        <x:v>0만</x:v>
      </x:c>
      <x:c r="E779" s="14" t="n">
        <x:f>SUM(F779:M779)</x:f>
        <x:v>105</x:v>
      </x:c>
      <x:c r="F779" s="14" t="n">
        <x:v>2</x:v>
      </x:c>
      <x:c r="G779" s="14" t="n">
        <x:v>20</x:v>
      </x:c>
      <x:c r="H779" s="14" t="n">
        <x:v>14</x:v>
      </x:c>
      <x:c r="I779" s="14" t="n">
        <x:v>9</x:v>
      </x:c>
      <x:c r="J779" s="14" t="n">
        <x:v>2</x:v>
      </x:c>
      <x:c r="K779" s="14" t="n">
        <x:v>6</x:v>
      </x:c>
      <x:c r="L779" s="14" t="n">
        <x:v>29</x:v>
      </x:c>
      <x:c r="M779" s="14" t="n">
        <x:v>23</x:v>
      </x:c>
      <x:c r="N779" s="15" t="n">
        <x:f>IF(E779=0,"해당 없음",F779/E779)</x:f>
        <x:v>0.01904761904761905</x:v>
      </x:c>
      <x:c r="O779" s="15" t="n">
        <x:f>IF(E779=0,"해당 없음",G779/E779)</x:f>
        <x:v>0.19047619047619047</x:v>
      </x:c>
      <x:c r="P779" s="15" t="n">
        <x:f>IF(E779=0,"해당 없음",H779/E779)</x:f>
        <x:v>0.13333333333333333</x:v>
      </x:c>
      <x:c r="Q779" s="15" t="n">
        <x:f>IF(E779=0,"해당 없음",I779/E779)</x:f>
        <x:v>0.08571428571428572</x:v>
      </x:c>
      <x:c r="R779" s="15" t="n">
        <x:f>IF(E779=0,"해당 없음",J779/E779)</x:f>
        <x:v>0.01904761904761905</x:v>
      </x:c>
      <x:c r="S779" s="15" t="n">
        <x:f>IF(E779=0,"해당 없음",K779/E779)</x:f>
        <x:v>0.05714285714285714</x:v>
      </x:c>
      <x:c r="T779" s="15" t="n">
        <x:f>IF(E779=0,"해당 없음",L779/E779)</x:f>
        <x:v>0.2761904761904762</x:v>
      </x:c>
      <x:c r="U779" s="15" t="n">
        <x:f>IF(E779=0,"해당 없음",M779/E779)</x:f>
        <x:v>0.21904761904761905</x:v>
      </x:c>
      <x:c r="V779" s="16" t="n">
        <x:f>E779/5</x:f>
        <x:v>21</x:v>
      </x:c>
    </x:row>
    <x:row r="780" ht="22" customHeight="1">
      <x:c r="A780" s="2" t="n">
        <x:v>388</x:v>
      </x:c>
      <x:c r="B780" s="2" t="str">
        <x:v>RED</x:v>
      </x:c>
      <x:c r="C780" s="2" t="str">
        <x:v>120만</x:v>
      </x:c>
      <x:c r="D780" s="2" t="str">
        <x:v>0만</x:v>
      </x:c>
      <x:c r="E780" s="14" t="n">
        <x:f>SUM(F780:M780)</x:f>
        <x:v>105</x:v>
      </x:c>
      <x:c r="F780" s="14" t="n">
        <x:v>1</x:v>
      </x:c>
      <x:c r="G780" s="14" t="n">
        <x:v>13</x:v>
      </x:c>
      <x:c r="H780" s="14" t="n">
        <x:v>4</x:v>
      </x:c>
      <x:c r="I780" s="14" t="n">
        <x:v>5</x:v>
      </x:c>
      <x:c r="J780" s="14" t="n">
        <x:v>3</x:v>
      </x:c>
      <x:c r="K780" s="14" t="n">
        <x:v>8</x:v>
      </x:c>
      <x:c r="L780" s="14" t="n">
        <x:v>41</x:v>
      </x:c>
      <x:c r="M780" s="14" t="n">
        <x:v>30</x:v>
      </x:c>
      <x:c r="N780" s="15" t="n">
        <x:f>IF(E780=0,"해당 없음",F780/E780)</x:f>
        <x:v>0.009523809523809525</x:v>
      </x:c>
      <x:c r="O780" s="15" t="n">
        <x:f>IF(E780=0,"해당 없음",G780/E780)</x:f>
        <x:v>0.12380952380952381</x:v>
      </x:c>
      <x:c r="P780" s="15" t="n">
        <x:f>IF(E780=0,"해당 없음",H780/E780)</x:f>
        <x:v>0.0380952380952381</x:v>
      </x:c>
      <x:c r="Q780" s="15" t="n">
        <x:f>IF(E780=0,"해당 없음",I780/E780)</x:f>
        <x:v>0.047619047619047616</x:v>
      </x:c>
      <x:c r="R780" s="15" t="n">
        <x:f>IF(E780=0,"해당 없음",J780/E780)</x:f>
        <x:v>0.02857142857142857</x:v>
      </x:c>
      <x:c r="S780" s="15" t="n">
        <x:f>IF(E780=0,"해당 없음",K780/E780)</x:f>
        <x:v>0.0761904761904762</x:v>
      </x:c>
      <x:c r="T780" s="15" t="n">
        <x:f>IF(E780=0,"해당 없음",L780/E780)</x:f>
        <x:v>0.3904761904761905</x:v>
      </x:c>
      <x:c r="U780" s="15" t="n">
        <x:f>IF(E780=0,"해당 없음",M780/E780)</x:f>
        <x:v>0.2857142857142857</x:v>
      </x:c>
      <x:c r="V780" s="16" t="n">
        <x:f>E780/5</x:f>
        <x:v>21</x:v>
      </x:c>
    </x:row>
    <x:row r="781" ht="22" customHeight="1">
      <x:c r="A781" s="2" t="n">
        <x:v>388</x:v>
      </x:c>
      <x:c r="B781" s="2" t="str">
        <x:v>NAVY</x:v>
      </x:c>
      <x:c r="C781" s="2" t="str">
        <x:v>0만</x:v>
      </x:c>
      <x:c r="D781" s="2" t="str">
        <x:v>120만</x:v>
      </x:c>
      <x:c r="E781" s="14" t="n">
        <x:f>SUM(F781:M781)</x:f>
        <x:v>105</x:v>
      </x:c>
      <x:c r="F781" s="14" t="n">
        <x:v>10</x:v>
      </x:c>
      <x:c r="G781" s="14" t="n">
        <x:v>11</x:v>
      </x:c>
      <x:c r="H781" s="14" t="n">
        <x:v>11</x:v>
      </x:c>
      <x:c r="I781" s="14" t="n">
        <x:v>17</x:v>
      </x:c>
      <x:c r="J781" s="14" t="n">
        <x:v>13</x:v>
      </x:c>
      <x:c r="K781" s="14" t="n">
        <x:v>12</x:v>
      </x:c>
      <x:c r="L781" s="14" t="n">
        <x:v>13</x:v>
      </x:c>
      <x:c r="M781" s="14" t="n">
        <x:v>18</x:v>
      </x:c>
      <x:c r="N781" s="15" t="n">
        <x:f>IF(E781=0,"해당 없음",F781/E781)</x:f>
        <x:v>0.09523809523809523</x:v>
      </x:c>
      <x:c r="O781" s="15" t="n">
        <x:f>IF(E781=0,"해당 없음",G781/E781)</x:f>
        <x:v>0.10476190476190476</x:v>
      </x:c>
      <x:c r="P781" s="15" t="n">
        <x:f>IF(E781=0,"해당 없음",H781/E781)</x:f>
        <x:v>0.10476190476190476</x:v>
      </x:c>
      <x:c r="Q781" s="15" t="n">
        <x:f>IF(E781=0,"해당 없음",I781/E781)</x:f>
        <x:v>0.1619047619047619</x:v>
      </x:c>
      <x:c r="R781" s="15" t="n">
        <x:f>IF(E781=0,"해당 없음",J781/E781)</x:f>
        <x:v>0.12380952380952381</x:v>
      </x:c>
      <x:c r="S781" s="15" t="n">
        <x:f>IF(E781=0,"해당 없음",K781/E781)</x:f>
        <x:v>0.11428571428571428</x:v>
      </x:c>
      <x:c r="T781" s="15" t="n">
        <x:f>IF(E781=0,"해당 없음",L781/E781)</x:f>
        <x:v>0.12380952380952381</x:v>
      </x:c>
      <x:c r="U781" s="15" t="n">
        <x:f>IF(E781=0,"해당 없음",M781/E781)</x:f>
        <x:v>0.17142857142857143</x:v>
      </x:c>
      <x:c r="V781" s="16" t="n">
        <x:f>E781/5</x:f>
        <x:v>21</x:v>
      </x:c>
    </x:row>
    <x:row r="782" ht="22" customHeight="1">
      <x:c r="A782" s="2" t="n">
        <x:v>389</x:v>
      </x:c>
      <x:c r="B782" s="2" t="str">
        <x:v>RED</x:v>
      </x:c>
      <x:c r="C782" s="2" t="str">
        <x:v>0만</x:v>
      </x:c>
      <x:c r="D782" s="2" t="str">
        <x:v>120만</x:v>
      </x:c>
      <x:c r="E782" s="14" t="n">
        <x:f>SUM(F782:M782)</x:f>
        <x:v>103</x:v>
      </x:c>
      <x:c r="F782" s="14" t="n">
        <x:v>9</x:v>
      </x:c>
      <x:c r="G782" s="14" t="n">
        <x:v>20</x:v>
      </x:c>
      <x:c r="H782" s="14" t="n">
        <x:v>9</x:v>
      </x:c>
      <x:c r="I782" s="14" t="n">
        <x:v>4</x:v>
      </x:c>
      <x:c r="J782" s="14" t="n">
        <x:v>16</x:v>
      </x:c>
      <x:c r="K782" s="14" t="n">
        <x:v>17</x:v>
      </x:c>
      <x:c r="L782" s="14" t="n">
        <x:v>18</x:v>
      </x:c>
      <x:c r="M782" s="14" t="n">
        <x:v>10</x:v>
      </x:c>
      <x:c r="N782" s="15" t="n">
        <x:f>IF(E782=0,"해당 없음",F782/E782)</x:f>
        <x:v>0.08737864077669903</x:v>
      </x:c>
      <x:c r="O782" s="15" t="n">
        <x:f>IF(E782=0,"해당 없음",G782/E782)</x:f>
        <x:v>0.1941747572815534</x:v>
      </x:c>
      <x:c r="P782" s="15" t="n">
        <x:f>IF(E782=0,"해당 없음",H782/E782)</x:f>
        <x:v>0.08737864077669903</x:v>
      </x:c>
      <x:c r="Q782" s="15" t="n">
        <x:f>IF(E782=0,"해당 없음",I782/E782)</x:f>
        <x:v>0.038834951456310676</x:v>
      </x:c>
      <x:c r="R782" s="15" t="n">
        <x:f>IF(E782=0,"해당 없음",J782/E782)</x:f>
        <x:v>0.1553398058252427</x:v>
      </x:c>
      <x:c r="S782" s="15" t="n">
        <x:f>IF(E782=0,"해당 없음",K782/E782)</x:f>
        <x:v>0.1650485436893204</x:v>
      </x:c>
      <x:c r="T782" s="15" t="n">
        <x:f>IF(E782=0,"해당 없음",L782/E782)</x:f>
        <x:v>0.17475728155339806</x:v>
      </x:c>
      <x:c r="U782" s="15" t="n">
        <x:f>IF(E782=0,"해당 없음",M782/E782)</x:f>
        <x:v>0.0970873786407767</x:v>
      </x:c>
      <x:c r="V782" s="16" t="n">
        <x:f>E782/5</x:f>
        <x:v>20.6</x:v>
      </x:c>
    </x:row>
    <x:row r="783" ht="22" customHeight="1">
      <x:c r="A783" s="2" t="n">
        <x:v>389</x:v>
      </x:c>
      <x:c r="B783" s="2" t="str">
        <x:v>NAVY</x:v>
      </x:c>
      <x:c r="C783" s="2" t="str">
        <x:v>120만</x:v>
      </x:c>
      <x:c r="D783" s="2" t="str">
        <x:v>0만</x:v>
      </x:c>
      <x:c r="E783" s="14" t="n">
        <x:f>SUM(F783:M783)</x:f>
        <x:v>103</x:v>
      </x:c>
      <x:c r="F783" s="14" t="n">
        <x:v>2</x:v>
      </x:c>
      <x:c r="G783" s="14" t="n">
        <x:v>10</x:v>
      </x:c>
      <x:c r="H783" s="14" t="n">
        <x:v>8</x:v>
      </x:c>
      <x:c r="I783" s="14" t="n">
        <x:v>9</x:v>
      </x:c>
      <x:c r="J783" s="14" t="n">
        <x:v>3</x:v>
      </x:c>
      <x:c r="K783" s="14" t="n">
        <x:v>15</x:v>
      </x:c>
      <x:c r="L783" s="14" t="n">
        <x:v>37</x:v>
      </x:c>
      <x:c r="M783" s="14" t="n">
        <x:v>19</x:v>
      </x:c>
      <x:c r="N783" s="15" t="n">
        <x:f>IF(E783=0,"해당 없음",F783/E783)</x:f>
        <x:v>0.019417475728155338</x:v>
      </x:c>
      <x:c r="O783" s="15" t="n">
        <x:f>IF(E783=0,"해당 없음",G783/E783)</x:f>
        <x:v>0.0970873786407767</x:v>
      </x:c>
      <x:c r="P783" s="15" t="n">
        <x:f>IF(E783=0,"해당 없음",H783/E783)</x:f>
        <x:v>0.07766990291262135</x:v>
      </x:c>
      <x:c r="Q783" s="15" t="n">
        <x:f>IF(E783=0,"해당 없음",I783/E783)</x:f>
        <x:v>0.08737864077669903</x:v>
      </x:c>
      <x:c r="R783" s="15" t="n">
        <x:f>IF(E783=0,"해당 없음",J783/E783)</x:f>
        <x:v>0.02912621359223301</x:v>
      </x:c>
      <x:c r="S783" s="15" t="n">
        <x:f>IF(E783=0,"해당 없음",K783/E783)</x:f>
        <x:v>0.14563106796116504</x:v>
      </x:c>
      <x:c r="T783" s="15" t="n">
        <x:f>IF(E783=0,"해당 없음",L783/E783)</x:f>
        <x:v>0.3592233009708738</x:v>
      </x:c>
      <x:c r="U783" s="15" t="n">
        <x:f>IF(E783=0,"해당 없음",M783/E783)</x:f>
        <x:v>0.18446601941747573</x:v>
      </x:c>
      <x:c r="V783" s="16" t="n">
        <x:f>E783/5</x:f>
        <x:v>20.6</x:v>
      </x:c>
    </x:row>
    <x:row r="784" ht="22" customHeight="1">
      <x:c r="A784" s="2" t="n">
        <x:v>390</x:v>
      </x:c>
      <x:c r="B784" s="2" t="str">
        <x:v>RED</x:v>
      </x:c>
      <x:c r="C784" s="2" t="str">
        <x:v>120만</x:v>
      </x:c>
      <x:c r="D784" s="2" t="str">
        <x:v>0만</x:v>
      </x:c>
      <x:c r="E784" s="14" t="n">
        <x:f>SUM(F784:M784)</x:f>
        <x:v>106</x:v>
      </x:c>
      <x:c r="F784" s="14" t="n">
        <x:v>2</x:v>
      </x:c>
      <x:c r="G784" s="14" t="n">
        <x:v>16</x:v>
      </x:c>
      <x:c r="H784" s="14" t="n">
        <x:v>8</x:v>
      </x:c>
      <x:c r="I784" s="14" t="n">
        <x:v>3</x:v>
      </x:c>
      <x:c r="J784" s="14" t="n">
        <x:v>2</x:v>
      </x:c>
      <x:c r="K784" s="14" t="n">
        <x:v>11</x:v>
      </x:c>
      <x:c r="L784" s="14" t="n">
        <x:v>41</x:v>
      </x:c>
      <x:c r="M784" s="14" t="n">
        <x:v>23</x:v>
      </x:c>
      <x:c r="N784" s="15" t="n">
        <x:f>IF(E784=0,"해당 없음",F784/E784)</x:f>
        <x:v>0.018867924528301886</x:v>
      </x:c>
      <x:c r="O784" s="15" t="n">
        <x:f>IF(E784=0,"해당 없음",G784/E784)</x:f>
        <x:v>0.1509433962264151</x:v>
      </x:c>
      <x:c r="P784" s="15" t="n">
        <x:f>IF(E784=0,"해당 없음",H784/E784)</x:f>
        <x:v>0.07547169811320754</x:v>
      </x:c>
      <x:c r="Q784" s="15" t="n">
        <x:f>IF(E784=0,"해당 없음",I784/E784)</x:f>
        <x:v>0.02830188679245283</x:v>
      </x:c>
      <x:c r="R784" s="15" t="n">
        <x:f>IF(E784=0,"해당 없음",J784/E784)</x:f>
        <x:v>0.018867924528301886</x:v>
      </x:c>
      <x:c r="S784" s="15" t="n">
        <x:f>IF(E784=0,"해당 없음",K784/E784)</x:f>
        <x:v>0.10377358490566038</x:v>
      </x:c>
      <x:c r="T784" s="15" t="n">
        <x:f>IF(E784=0,"해당 없음",L784/E784)</x:f>
        <x:v>0.3867924528301887</x:v>
      </x:c>
      <x:c r="U784" s="15" t="n">
        <x:f>IF(E784=0,"해당 없음",M784/E784)</x:f>
        <x:v>0.2169811320754717</x:v>
      </x:c>
      <x:c r="V784" s="16" t="n">
        <x:f>E784/5</x:f>
        <x:v>21.2</x:v>
      </x:c>
    </x:row>
    <x:row r="785" ht="22" customHeight="1">
      <x:c r="A785" s="2" t="n">
        <x:v>390</x:v>
      </x:c>
      <x:c r="B785" s="2" t="str">
        <x:v>NAVY</x:v>
      </x:c>
      <x:c r="C785" s="2" t="str">
        <x:v>0만</x:v>
      </x:c>
      <x:c r="D785" s="2" t="str">
        <x:v>120만</x:v>
      </x:c>
      <x:c r="E785" s="14" t="n">
        <x:f>SUM(F785:M785)</x:f>
        <x:v>107</x:v>
      </x:c>
      <x:c r="F785" s="14" t="n">
        <x:v>11</x:v>
      </x:c>
      <x:c r="G785" s="14" t="n">
        <x:v>21</x:v>
      </x:c>
      <x:c r="H785" s="14" t="n">
        <x:v>8</x:v>
      </x:c>
      <x:c r="I785" s="14" t="n">
        <x:v>5</x:v>
      </x:c>
      <x:c r="J785" s="14" t="n">
        <x:v>15</x:v>
      </x:c>
      <x:c r="K785" s="14" t="n">
        <x:v>18</x:v>
      </x:c>
      <x:c r="L785" s="14" t="n">
        <x:v>19</x:v>
      </x:c>
      <x:c r="M785" s="14" t="n">
        <x:v>10</x:v>
      </x:c>
      <x:c r="N785" s="15" t="n">
        <x:f>IF(E785=0,"해당 없음",F785/E785)</x:f>
        <x:v>0.102803738317757</x:v>
      </x:c>
      <x:c r="O785" s="15" t="n">
        <x:f>IF(E785=0,"해당 없음",G785/E785)</x:f>
        <x:v>0.19626168224299065</x:v>
      </x:c>
      <x:c r="P785" s="15" t="n">
        <x:f>IF(E785=0,"해당 없음",H785/E785)</x:f>
        <x:v>0.07476635514018691</x:v>
      </x:c>
      <x:c r="Q785" s="15" t="n">
        <x:f>IF(E785=0,"해당 없음",I785/E785)</x:f>
        <x:v>0.04672897196261682</x:v>
      </x:c>
      <x:c r="R785" s="15" t="n">
        <x:f>IF(E785=0,"해당 없음",J785/E785)</x:f>
        <x:v>0.14018691588785046</x:v>
      </x:c>
      <x:c r="S785" s="15" t="n">
        <x:f>IF(E785=0,"해당 없음",K785/E785)</x:f>
        <x:v>0.16822429906542055</x:v>
      </x:c>
      <x:c r="T785" s="15" t="n">
        <x:f>IF(E785=0,"해당 없음",L785/E785)</x:f>
        <x:v>0.17757009345794392</x:v>
      </x:c>
      <x:c r="U785" s="15" t="n">
        <x:f>IF(E785=0,"해당 없음",M785/E785)</x:f>
        <x:v>0.09345794392523364</x:v>
      </x:c>
      <x:c r="V785" s="16" t="n">
        <x:f>E785/5</x:f>
        <x:v>21.4</x:v>
      </x:c>
    </x:row>
    <x:row r="786" ht="22" customHeight="1">
      <x:c r="A786" s="2" t="n">
        <x:v>391</x:v>
      </x:c>
      <x:c r="B786" s="2" t="str">
        <x:v>RED</x:v>
      </x:c>
      <x:c r="C786" s="2" t="str">
        <x:v>0만</x:v>
      </x:c>
      <x:c r="D786" s="2" t="str">
        <x:v>120만</x:v>
      </x:c>
      <x:c r="E786" s="14" t="n">
        <x:f>SUM(F786:M786)</x:f>
        <x:v>103</x:v>
      </x:c>
      <x:c r="F786" s="14" t="n">
        <x:v>13</x:v>
      </x:c>
      <x:c r="G786" s="14" t="n">
        <x:v>15</x:v>
      </x:c>
      <x:c r="H786" s="14" t="n">
        <x:v>13</x:v>
      </x:c>
      <x:c r="I786" s="14" t="n">
        <x:v>12</x:v>
      </x:c>
      <x:c r="J786" s="14" t="n">
        <x:v>11</x:v>
      </x:c>
      <x:c r="K786" s="14" t="n">
        <x:v>9</x:v>
      </x:c>
      <x:c r="L786" s="14" t="n">
        <x:v>15</x:v>
      </x:c>
      <x:c r="M786" s="14" t="n">
        <x:v>15</x:v>
      </x:c>
      <x:c r="N786" s="15" t="n">
        <x:f>IF(E786=0,"해당 없음",F786/E786)</x:f>
        <x:v>0.1262135922330097</x:v>
      </x:c>
      <x:c r="O786" s="15" t="n">
        <x:f>IF(E786=0,"해당 없음",G786/E786)</x:f>
        <x:v>0.14563106796116504</x:v>
      </x:c>
      <x:c r="P786" s="15" t="n">
        <x:f>IF(E786=0,"해당 없음",H786/E786)</x:f>
        <x:v>0.1262135922330097</x:v>
      </x:c>
      <x:c r="Q786" s="15" t="n">
        <x:f>IF(E786=0,"해당 없음",I786/E786)</x:f>
        <x:v>0.11650485436893204</x:v>
      </x:c>
      <x:c r="R786" s="15" t="n">
        <x:f>IF(E786=0,"해당 없음",J786/E786)</x:f>
        <x:v>0.10679611650485436</x:v>
      </x:c>
      <x:c r="S786" s="15" t="n">
        <x:f>IF(E786=0,"해당 없음",K786/E786)</x:f>
        <x:v>0.08737864077669903</x:v>
      </x:c>
      <x:c r="T786" s="15" t="n">
        <x:f>IF(E786=0,"해당 없음",L786/E786)</x:f>
        <x:v>0.14563106796116504</x:v>
      </x:c>
      <x:c r="U786" s="15" t="n">
        <x:f>IF(E786=0,"해당 없음",M786/E786)</x:f>
        <x:v>0.14563106796116504</x:v>
      </x:c>
      <x:c r="V786" s="16" t="n">
        <x:f>E786/5</x:f>
        <x:v>20.6</x:v>
      </x:c>
    </x:row>
    <x:row r="787" ht="22" customHeight="1">
      <x:c r="A787" s="2" t="n">
        <x:v>391</x:v>
      </x:c>
      <x:c r="B787" s="2" t="str">
        <x:v>NAVY</x:v>
      </x:c>
      <x:c r="C787" s="2" t="str">
        <x:v>120만</x:v>
      </x:c>
      <x:c r="D787" s="2" t="str">
        <x:v>0만</x:v>
      </x:c>
      <x:c r="E787" s="14" t="n">
        <x:f>SUM(F787:M787)</x:f>
        <x:v>103</x:v>
      </x:c>
      <x:c r="F787" s="14" t="n">
        <x:v>1</x:v>
      </x:c>
      <x:c r="G787" s="14" t="n">
        <x:v>7</x:v>
      </x:c>
      <x:c r="H787" s="14" t="n">
        <x:v>13</x:v>
      </x:c>
      <x:c r="I787" s="14" t="n">
        <x:v>9</x:v>
      </x:c>
      <x:c r="J787" s="14" t="n">
        <x:v>4</x:v>
      </x:c>
      <x:c r="K787" s="14" t="n">
        <x:v>7</x:v>
      </x:c>
      <x:c r="L787" s="14" t="n">
        <x:v>42</x:v>
      </x:c>
      <x:c r="M787" s="14" t="n">
        <x:v>20</x:v>
      </x:c>
      <x:c r="N787" s="15" t="n">
        <x:f>IF(E787=0,"해당 없음",F787/E787)</x:f>
        <x:v>0.009708737864077669</x:v>
      </x:c>
      <x:c r="O787" s="15" t="n">
        <x:f>IF(E787=0,"해당 없음",G787/E787)</x:f>
        <x:v>0.06796116504854369</x:v>
      </x:c>
      <x:c r="P787" s="15" t="n">
        <x:f>IF(E787=0,"해당 없음",H787/E787)</x:f>
        <x:v>0.1262135922330097</x:v>
      </x:c>
      <x:c r="Q787" s="15" t="n">
        <x:f>IF(E787=0,"해당 없음",I787/E787)</x:f>
        <x:v>0.08737864077669903</x:v>
      </x:c>
      <x:c r="R787" s="15" t="n">
        <x:f>IF(E787=0,"해당 없음",J787/E787)</x:f>
        <x:v>0.038834951456310676</x:v>
      </x:c>
      <x:c r="S787" s="15" t="n">
        <x:f>IF(E787=0,"해당 없음",K787/E787)</x:f>
        <x:v>0.06796116504854369</x:v>
      </x:c>
      <x:c r="T787" s="15" t="n">
        <x:f>IF(E787=0,"해당 없음",L787/E787)</x:f>
        <x:v>0.4077669902912621</x:v>
      </x:c>
      <x:c r="U787" s="15" t="n">
        <x:f>IF(E787=0,"해당 없음",M787/E787)</x:f>
        <x:v>0.1941747572815534</x:v>
      </x:c>
      <x:c r="V787" s="16" t="n">
        <x:f>E787/5</x:f>
        <x:v>20.6</x:v>
      </x:c>
    </x:row>
    <x:row r="788" ht="22" customHeight="1">
      <x:c r="A788" s="2" t="n">
        <x:v>392</x:v>
      </x:c>
      <x:c r="B788" s="2" t="str">
        <x:v>RED</x:v>
      </x:c>
      <x:c r="C788" s="2" t="str">
        <x:v>120만</x:v>
      </x:c>
      <x:c r="D788" s="2" t="str">
        <x:v>0만</x:v>
      </x:c>
      <x:c r="E788" s="14" t="n">
        <x:f>SUM(F788:M788)</x:f>
        <x:v>106</x:v>
      </x:c>
      <x:c r="F788" s="14" t="n">
        <x:v>0</x:v>
      </x:c>
      <x:c r="G788" s="14" t="n">
        <x:v>5</x:v>
      </x:c>
      <x:c r="H788" s="14" t="n">
        <x:v>9</x:v>
      </x:c>
      <x:c r="I788" s="14" t="n">
        <x:v>11</x:v>
      </x:c>
      <x:c r="J788" s="14" t="n">
        <x:v>6</x:v>
      </x:c>
      <x:c r="K788" s="14" t="n">
        <x:v>11</x:v>
      </x:c>
      <x:c r="L788" s="14" t="n">
        <x:v>47</x:v>
      </x:c>
      <x:c r="M788" s="14" t="n">
        <x:v>17</x:v>
      </x:c>
      <x:c r="N788" s="15" t="n">
        <x:f>IF(E788=0,"해당 없음",F788/E788)</x:f>
        <x:v>0</x:v>
      </x:c>
      <x:c r="O788" s="15" t="n">
        <x:f>IF(E788=0,"해당 없음",G788/E788)</x:f>
        <x:v>0.04716981132075472</x:v>
      </x:c>
      <x:c r="P788" s="15" t="n">
        <x:f>IF(E788=0,"해당 없음",H788/E788)</x:f>
        <x:v>0.08490566037735849</x:v>
      </x:c>
      <x:c r="Q788" s="15" t="n">
        <x:f>IF(E788=0,"해당 없음",I788/E788)</x:f>
        <x:v>0.10377358490566038</x:v>
      </x:c>
      <x:c r="R788" s="15" t="n">
        <x:f>IF(E788=0,"해당 없음",J788/E788)</x:f>
        <x:v>0.05660377358490566</x:v>
      </x:c>
      <x:c r="S788" s="15" t="n">
        <x:f>IF(E788=0,"해당 없음",K788/E788)</x:f>
        <x:v>0.10377358490566038</x:v>
      </x:c>
      <x:c r="T788" s="15" t="n">
        <x:f>IF(E788=0,"해당 없음",L788/E788)</x:f>
        <x:v>0.44339622641509435</x:v>
      </x:c>
      <x:c r="U788" s="15" t="n">
        <x:f>IF(E788=0,"해당 없음",M788/E788)</x:f>
        <x:v>0.16037735849056603</x:v>
      </x:c>
      <x:c r="V788" s="16" t="n">
        <x:f>E788/5</x:f>
        <x:v>21.2</x:v>
      </x:c>
    </x:row>
    <x:row r="789" ht="22" customHeight="1">
      <x:c r="A789" s="2" t="n">
        <x:v>392</x:v>
      </x:c>
      <x:c r="B789" s="2" t="str">
        <x:v>NAVY</x:v>
      </x:c>
      <x:c r="C789" s="2" t="str">
        <x:v>0만</x:v>
      </x:c>
      <x:c r="D789" s="2" t="str">
        <x:v>120만</x:v>
      </x:c>
      <x:c r="E789" s="14" t="n">
        <x:f>SUM(F789:M789)</x:f>
        <x:v>105</x:v>
      </x:c>
      <x:c r="F789" s="14" t="n">
        <x:v>13</x:v>
      </x:c>
      <x:c r="G789" s="14" t="n">
        <x:v>16</x:v>
      </x:c>
      <x:c r="H789" s="14" t="n">
        <x:v>12</x:v>
      </x:c>
      <x:c r="I789" s="14" t="n">
        <x:v>12</x:v>
      </x:c>
      <x:c r="J789" s="14" t="n">
        <x:v>12</x:v>
      </x:c>
      <x:c r="K789" s="14" t="n">
        <x:v>9</x:v>
      </x:c>
      <x:c r="L789" s="14" t="n">
        <x:v>15</x:v>
      </x:c>
      <x:c r="M789" s="14" t="n">
        <x:v>16</x:v>
      </x:c>
      <x:c r="N789" s="15" t="n">
        <x:f>IF(E789=0,"해당 없음",F789/E789)</x:f>
        <x:v>0.12380952380952381</x:v>
      </x:c>
      <x:c r="O789" s="15" t="n">
        <x:f>IF(E789=0,"해당 없음",G789/E789)</x:f>
        <x:v>0.1523809523809524</x:v>
      </x:c>
      <x:c r="P789" s="15" t="n">
        <x:f>IF(E789=0,"해당 없음",H789/E789)</x:f>
        <x:v>0.11428571428571428</x:v>
      </x:c>
      <x:c r="Q789" s="15" t="n">
        <x:f>IF(E789=0,"해당 없음",I789/E789)</x:f>
        <x:v>0.11428571428571428</x:v>
      </x:c>
      <x:c r="R789" s="15" t="n">
        <x:f>IF(E789=0,"해당 없음",J789/E789)</x:f>
        <x:v>0.11428571428571428</x:v>
      </x:c>
      <x:c r="S789" s="15" t="n">
        <x:f>IF(E789=0,"해당 없음",K789/E789)</x:f>
        <x:v>0.08571428571428572</x:v>
      </x:c>
      <x:c r="T789" s="15" t="n">
        <x:f>IF(E789=0,"해당 없음",L789/E789)</x:f>
        <x:v>0.14285714285714285</x:v>
      </x:c>
      <x:c r="U789" s="15" t="n">
        <x:f>IF(E789=0,"해당 없음",M789/E789)</x:f>
        <x:v>0.1523809523809524</x:v>
      </x:c>
      <x:c r="V789" s="16" t="n">
        <x:f>E789/5</x:f>
        <x:v>21</x:v>
      </x:c>
    </x:row>
    <x:row r="790" ht="22" customHeight="1">
      <x:c r="A790" s="2" t="n">
        <x:v>393</x:v>
      </x:c>
      <x:c r="B790" s="2" t="str">
        <x:v>RED</x:v>
      </x:c>
      <x:c r="C790" s="2" t="str">
        <x:v>0만</x:v>
      </x:c>
      <x:c r="D790" s="2" t="str">
        <x:v>120만</x:v>
      </x:c>
      <x:c r="E790" s="14" t="n">
        <x:f>SUM(F790:M790)</x:f>
        <x:v>106</x:v>
      </x:c>
      <x:c r="F790" s="14" t="n">
        <x:v>13</x:v>
      </x:c>
      <x:c r="G790" s="14" t="n">
        <x:v>14</x:v>
      </x:c>
      <x:c r="H790" s="14" t="n">
        <x:v>17</x:v>
      </x:c>
      <x:c r="I790" s="14" t="n">
        <x:v>8</x:v>
      </x:c>
      <x:c r="J790" s="14" t="n">
        <x:v>13</x:v>
      </x:c>
      <x:c r="K790" s="14" t="n">
        <x:v>12</x:v>
      </x:c>
      <x:c r="L790" s="14" t="n">
        <x:v>19</x:v>
      </x:c>
      <x:c r="M790" s="14" t="n">
        <x:v>10</x:v>
      </x:c>
      <x:c r="N790" s="15" t="n">
        <x:f>IF(E790=0,"해당 없음",F790/E790)</x:f>
        <x:v>0.12264150943396226</x:v>
      </x:c>
      <x:c r="O790" s="15" t="n">
        <x:f>IF(E790=0,"해당 없음",G790/E790)</x:f>
        <x:v>0.1320754716981132</x:v>
      </x:c>
      <x:c r="P790" s="15" t="n">
        <x:f>IF(E790=0,"해당 없음",H790/E790)</x:f>
        <x:v>0.16037735849056603</x:v>
      </x:c>
      <x:c r="Q790" s="15" t="n">
        <x:f>IF(E790=0,"해당 없음",I790/E790)</x:f>
        <x:v>0.07547169811320754</x:v>
      </x:c>
      <x:c r="R790" s="15" t="n">
        <x:f>IF(E790=0,"해당 없음",J790/E790)</x:f>
        <x:v>0.12264150943396226</x:v>
      </x:c>
      <x:c r="S790" s="15" t="n">
        <x:f>IF(E790=0,"해당 없음",K790/E790)</x:f>
        <x:v>0.11320754716981132</x:v>
      </x:c>
      <x:c r="T790" s="15" t="n">
        <x:f>IF(E790=0,"해당 없음",L790/E790)</x:f>
        <x:v>0.1792452830188679</x:v>
      </x:c>
      <x:c r="U790" s="15" t="n">
        <x:f>IF(E790=0,"해당 없음",M790/E790)</x:f>
        <x:v>0.09433962264150944</x:v>
      </x:c>
      <x:c r="V790" s="16" t="n">
        <x:f>E790/5</x:f>
        <x:v>21.2</x:v>
      </x:c>
    </x:row>
    <x:row r="791" ht="22" customHeight="1">
      <x:c r="A791" s="2" t="n">
        <x:v>393</x:v>
      </x:c>
      <x:c r="B791" s="2" t="str">
        <x:v>NAVY</x:v>
      </x:c>
      <x:c r="C791" s="2" t="str">
        <x:v>120만</x:v>
      </x:c>
      <x:c r="D791" s="2" t="str">
        <x:v>0만</x:v>
      </x:c>
      <x:c r="E791" s="14" t="n">
        <x:f>SUM(F791:M791)</x:f>
        <x:v>105</x:v>
      </x:c>
      <x:c r="F791" s="14" t="n">
        <x:v>0</x:v>
      </x:c>
      <x:c r="G791" s="14" t="n">
        <x:v>15</x:v>
      </x:c>
      <x:c r="H791" s="14" t="n">
        <x:v>7</x:v>
      </x:c>
      <x:c r="I791" s="14" t="n">
        <x:v>8</x:v>
      </x:c>
      <x:c r="J791" s="14" t="n">
        <x:v>3</x:v>
      </x:c>
      <x:c r="K791" s="14" t="n">
        <x:v>7</x:v>
      </x:c>
      <x:c r="L791" s="14" t="n">
        <x:v>38</x:v>
      </x:c>
      <x:c r="M791" s="14" t="n">
        <x:v>27</x:v>
      </x:c>
      <x:c r="N791" s="15" t="n">
        <x:f>IF(E791=0,"해당 없음",F791/E791)</x:f>
        <x:v>0</x:v>
      </x:c>
      <x:c r="O791" s="15" t="n">
        <x:f>IF(E791=0,"해당 없음",G791/E791)</x:f>
        <x:v>0.14285714285714285</x:v>
      </x:c>
      <x:c r="P791" s="15" t="n">
        <x:f>IF(E791=0,"해당 없음",H791/E791)</x:f>
        <x:v>0.06666666666666667</x:v>
      </x:c>
      <x:c r="Q791" s="15" t="n">
        <x:f>IF(E791=0,"해당 없음",I791/E791)</x:f>
        <x:v>0.0761904761904762</x:v>
      </x:c>
      <x:c r="R791" s="15" t="n">
        <x:f>IF(E791=0,"해당 없음",J791/E791)</x:f>
        <x:v>0.02857142857142857</x:v>
      </x:c>
      <x:c r="S791" s="15" t="n">
        <x:f>IF(E791=0,"해당 없음",K791/E791)</x:f>
        <x:v>0.06666666666666667</x:v>
      </x:c>
      <x:c r="T791" s="15" t="n">
        <x:f>IF(E791=0,"해당 없음",L791/E791)</x:f>
        <x:v>0.3619047619047619</x:v>
      </x:c>
      <x:c r="U791" s="15" t="n">
        <x:f>IF(E791=0,"해당 없음",M791/E791)</x:f>
        <x:v>0.2571428571428571</x:v>
      </x:c>
      <x:c r="V791" s="16" t="n">
        <x:f>E791/5</x:f>
        <x:v>21</x:v>
      </x:c>
    </x:row>
    <x:row r="792" ht="22" customHeight="1">
      <x:c r="A792" s="2" t="n">
        <x:v>394</x:v>
      </x:c>
      <x:c r="B792" s="2" t="str">
        <x:v>RED</x:v>
      </x:c>
      <x:c r="C792" s="2" t="str">
        <x:v>120만</x:v>
      </x:c>
      <x:c r="D792" s="2" t="str">
        <x:v>0만</x:v>
      </x:c>
      <x:c r="E792" s="14" t="n">
        <x:f>SUM(F792:M792)</x:f>
        <x:v>105</x:v>
      </x:c>
      <x:c r="F792" s="14" t="n">
        <x:v>1</x:v>
      </x:c>
      <x:c r="G792" s="14" t="n">
        <x:v>6</x:v>
      </x:c>
      <x:c r="H792" s="14" t="n">
        <x:v>9</x:v>
      </x:c>
      <x:c r="I792" s="14" t="n">
        <x:v>15</x:v>
      </x:c>
      <x:c r="J792" s="14" t="n">
        <x:v>4</x:v>
      </x:c>
      <x:c r="K792" s="14" t="n">
        <x:v>11</x:v>
      </x:c>
      <x:c r="L792" s="14" t="n">
        <x:v>43</x:v>
      </x:c>
      <x:c r="M792" s="14" t="n">
        <x:v>16</x:v>
      </x:c>
      <x:c r="N792" s="15" t="n">
        <x:f>IF(E792=0,"해당 없음",F792/E792)</x:f>
        <x:v>0.009523809523809525</x:v>
      </x:c>
      <x:c r="O792" s="15" t="n">
        <x:f>IF(E792=0,"해당 없음",G792/E792)</x:f>
        <x:v>0.05714285714285714</x:v>
      </x:c>
      <x:c r="P792" s="15" t="n">
        <x:f>IF(E792=0,"해당 없음",H792/E792)</x:f>
        <x:v>0.08571428571428572</x:v>
      </x:c>
      <x:c r="Q792" s="15" t="n">
        <x:f>IF(E792=0,"해당 없음",I792/E792)</x:f>
        <x:v>0.14285714285714285</x:v>
      </x:c>
      <x:c r="R792" s="15" t="n">
        <x:f>IF(E792=0,"해당 없음",J792/E792)</x:f>
        <x:v>0.0380952380952381</x:v>
      </x:c>
      <x:c r="S792" s="15" t="n">
        <x:f>IF(E792=0,"해당 없음",K792/E792)</x:f>
        <x:v>0.10476190476190476</x:v>
      </x:c>
      <x:c r="T792" s="15" t="n">
        <x:f>IF(E792=0,"해당 없음",L792/E792)</x:f>
        <x:v>0.4095238095238095</x:v>
      </x:c>
      <x:c r="U792" s="15" t="n">
        <x:f>IF(E792=0,"해당 없음",M792/E792)</x:f>
        <x:v>0.1523809523809524</x:v>
      </x:c>
      <x:c r="V792" s="16" t="n">
        <x:f>E792/5</x:f>
        <x:v>21</x:v>
      </x:c>
    </x:row>
    <x:row r="793" ht="22" customHeight="1">
      <x:c r="A793" s="2" t="n">
        <x:v>394</x:v>
      </x:c>
      <x:c r="B793" s="2" t="str">
        <x:v>NAVY</x:v>
      </x:c>
      <x:c r="C793" s="2" t="str">
        <x:v>0만</x:v>
      </x:c>
      <x:c r="D793" s="2" t="str">
        <x:v>120만</x:v>
      </x:c>
      <x:c r="E793" s="14" t="n">
        <x:f>SUM(F793:M793)</x:f>
        <x:v>106</x:v>
      </x:c>
      <x:c r="F793" s="14" t="n">
        <x:v>13</x:v>
      </x:c>
      <x:c r="G793" s="14" t="n">
        <x:v>14</x:v>
      </x:c>
      <x:c r="H793" s="14" t="n">
        <x:v>18</x:v>
      </x:c>
      <x:c r="I793" s="14" t="n">
        <x:v>7</x:v>
      </x:c>
      <x:c r="J793" s="14" t="n">
        <x:v>13</x:v>
      </x:c>
      <x:c r="K793" s="14" t="n">
        <x:v>12</x:v>
      </x:c>
      <x:c r="L793" s="14" t="n">
        <x:v>19</x:v>
      </x:c>
      <x:c r="M793" s="14" t="n">
        <x:v>10</x:v>
      </x:c>
      <x:c r="N793" s="15" t="n">
        <x:f>IF(E793=0,"해당 없음",F793/E793)</x:f>
        <x:v>0.12264150943396226</x:v>
      </x:c>
      <x:c r="O793" s="15" t="n">
        <x:f>IF(E793=0,"해당 없음",G793/E793)</x:f>
        <x:v>0.1320754716981132</x:v>
      </x:c>
      <x:c r="P793" s="15" t="n">
        <x:f>IF(E793=0,"해당 없음",H793/E793)</x:f>
        <x:v>0.16981132075471697</x:v>
      </x:c>
      <x:c r="Q793" s="15" t="n">
        <x:f>IF(E793=0,"해당 없음",I793/E793)</x:f>
        <x:v>0.0660377358490566</x:v>
      </x:c>
      <x:c r="R793" s="15" t="n">
        <x:f>IF(E793=0,"해당 없음",J793/E793)</x:f>
        <x:v>0.12264150943396226</x:v>
      </x:c>
      <x:c r="S793" s="15" t="n">
        <x:f>IF(E793=0,"해당 없음",K793/E793)</x:f>
        <x:v>0.11320754716981132</x:v>
      </x:c>
      <x:c r="T793" s="15" t="n">
        <x:f>IF(E793=0,"해당 없음",L793/E793)</x:f>
        <x:v>0.1792452830188679</x:v>
      </x:c>
      <x:c r="U793" s="15" t="n">
        <x:f>IF(E793=0,"해당 없음",M793/E793)</x:f>
        <x:v>0.09433962264150944</x:v>
      </x:c>
      <x:c r="V793" s="16" t="n">
        <x:f>E793/5</x:f>
        <x:v>21.2</x:v>
      </x:c>
    </x:row>
    <x:row r="794" ht="22" customHeight="1">
      <x:c r="A794" s="2" t="n">
        <x:v>395</x:v>
      </x:c>
      <x:c r="B794" s="2" t="str">
        <x:v>RED</x:v>
      </x:c>
      <x:c r="C794" s="2" t="str">
        <x:v>0만</x:v>
      </x:c>
      <x:c r="D794" s="2" t="str">
        <x:v>120만</x:v>
      </x:c>
      <x:c r="E794" s="14" t="n">
        <x:f>SUM(F794:M794)</x:f>
        <x:v>102</x:v>
      </x:c>
      <x:c r="F794" s="14" t="n">
        <x:v>13</x:v>
      </x:c>
      <x:c r="G794" s="14" t="n">
        <x:v>14</x:v>
      </x:c>
      <x:c r="H794" s="14" t="n">
        <x:v>12</x:v>
      </x:c>
      <x:c r="I794" s="14" t="n">
        <x:v>12</x:v>
      </x:c>
      <x:c r="J794" s="14" t="n">
        <x:v>8</x:v>
      </x:c>
      <x:c r="K794" s="14" t="n">
        <x:v>16</x:v>
      </x:c>
      <x:c r="L794" s="14" t="n">
        <x:v>15</x:v>
      </x:c>
      <x:c r="M794" s="14" t="n">
        <x:v>12</x:v>
      </x:c>
      <x:c r="N794" s="15" t="n">
        <x:f>IF(E794=0,"해당 없음",F794/E794)</x:f>
        <x:v>0.12745098039215685</x:v>
      </x:c>
      <x:c r="O794" s="15" t="n">
        <x:f>IF(E794=0,"해당 없음",G794/E794)</x:f>
        <x:v>0.13725490196078433</x:v>
      </x:c>
      <x:c r="P794" s="15" t="n">
        <x:f>IF(E794=0,"해당 없음",H794/E794)</x:f>
        <x:v>0.11764705882352941</x:v>
      </x:c>
      <x:c r="Q794" s="15" t="n">
        <x:f>IF(E794=0,"해당 없음",I794/E794)</x:f>
        <x:v>0.11764705882352941</x:v>
      </x:c>
      <x:c r="R794" s="15" t="n">
        <x:f>IF(E794=0,"해당 없음",J794/E794)</x:f>
        <x:v>0.0784313725490196</x:v>
      </x:c>
      <x:c r="S794" s="15" t="n">
        <x:f>IF(E794=0,"해당 없음",K794/E794)</x:f>
        <x:v>0.1568627450980392</x:v>
      </x:c>
      <x:c r="T794" s="15" t="n">
        <x:f>IF(E794=0,"해당 없음",L794/E794)</x:f>
        <x:v>0.14705882352941177</x:v>
      </x:c>
      <x:c r="U794" s="15" t="n">
        <x:f>IF(E794=0,"해당 없음",M794/E794)</x:f>
        <x:v>0.11764705882352941</x:v>
      </x:c>
      <x:c r="V794" s="16" t="n">
        <x:f>E794/5</x:f>
        <x:v>20.4</x:v>
      </x:c>
    </x:row>
    <x:row r="795" ht="22" customHeight="1">
      <x:c r="A795" s="2" t="n">
        <x:v>395</x:v>
      </x:c>
      <x:c r="B795" s="2" t="str">
        <x:v>NAVY</x:v>
      </x:c>
      <x:c r="C795" s="2" t="str">
        <x:v>120만</x:v>
      </x:c>
      <x:c r="D795" s="2" t="str">
        <x:v>0만</x:v>
      </x:c>
      <x:c r="E795" s="14" t="n">
        <x:f>SUM(F795:M795)</x:f>
        <x:v>103</x:v>
      </x:c>
      <x:c r="F795" s="14" t="n">
        <x:v>0</x:v>
      </x:c>
      <x:c r="G795" s="14" t="n">
        <x:v>16</x:v>
      </x:c>
      <x:c r="H795" s="14" t="n">
        <x:v>7</x:v>
      </x:c>
      <x:c r="I795" s="14" t="n">
        <x:v>12</x:v>
      </x:c>
      <x:c r="J795" s="14" t="n">
        <x:v>3</x:v>
      </x:c>
      <x:c r="K795" s="14" t="n">
        <x:v>8</x:v>
      </x:c>
      <x:c r="L795" s="14" t="n">
        <x:v>41</x:v>
      </x:c>
      <x:c r="M795" s="14" t="n">
        <x:v>16</x:v>
      </x:c>
      <x:c r="N795" s="15" t="n">
        <x:f>IF(E795=0,"해당 없음",F795/E795)</x:f>
        <x:v>0</x:v>
      </x:c>
      <x:c r="O795" s="15" t="n">
        <x:f>IF(E795=0,"해당 없음",G795/E795)</x:f>
        <x:v>0.1553398058252427</x:v>
      </x:c>
      <x:c r="P795" s="15" t="n">
        <x:f>IF(E795=0,"해당 없음",H795/E795)</x:f>
        <x:v>0.06796116504854369</x:v>
      </x:c>
      <x:c r="Q795" s="15" t="n">
        <x:f>IF(E795=0,"해당 없음",I795/E795)</x:f>
        <x:v>0.11650485436893204</x:v>
      </x:c>
      <x:c r="R795" s="15" t="n">
        <x:f>IF(E795=0,"해당 없음",J795/E795)</x:f>
        <x:v>0.02912621359223301</x:v>
      </x:c>
      <x:c r="S795" s="15" t="n">
        <x:f>IF(E795=0,"해당 없음",K795/E795)</x:f>
        <x:v>0.07766990291262135</x:v>
      </x:c>
      <x:c r="T795" s="15" t="n">
        <x:f>IF(E795=0,"해당 없음",L795/E795)</x:f>
        <x:v>0.39805825242718446</x:v>
      </x:c>
      <x:c r="U795" s="15" t="n">
        <x:f>IF(E795=0,"해당 없음",M795/E795)</x:f>
        <x:v>0.1553398058252427</x:v>
      </x:c>
      <x:c r="V795" s="16" t="n">
        <x:f>E795/5</x:f>
        <x:v>20.6</x:v>
      </x:c>
    </x:row>
    <x:row r="796" ht="22" customHeight="1">
      <x:c r="A796" s="2" t="n">
        <x:v>396</x:v>
      </x:c>
      <x:c r="B796" s="2" t="str">
        <x:v>RED</x:v>
      </x:c>
      <x:c r="C796" s="2" t="str">
        <x:v>120만</x:v>
      </x:c>
      <x:c r="D796" s="2" t="str">
        <x:v>0만</x:v>
      </x:c>
      <x:c r="E796" s="14" t="n">
        <x:f>SUM(F796:M796)</x:f>
        <x:v>103</x:v>
      </x:c>
      <x:c r="F796" s="14" t="n">
        <x:v>0</x:v>
      </x:c>
      <x:c r="G796" s="14" t="n">
        <x:v>9</x:v>
      </x:c>
      <x:c r="H796" s="14" t="n">
        <x:v>5</x:v>
      </x:c>
      <x:c r="I796" s="14" t="n">
        <x:v>9</x:v>
      </x:c>
      <x:c r="J796" s="14" t="n">
        <x:v>3</x:v>
      </x:c>
      <x:c r="K796" s="14" t="n">
        <x:v>16</x:v>
      </x:c>
      <x:c r="L796" s="14" t="n">
        <x:v>40</x:v>
      </x:c>
      <x:c r="M796" s="14" t="n">
        <x:v>21</x:v>
      </x:c>
      <x:c r="N796" s="15" t="n">
        <x:f>IF(E796=0,"해당 없음",F796/E796)</x:f>
        <x:v>0</x:v>
      </x:c>
      <x:c r="O796" s="15" t="n">
        <x:f>IF(E796=0,"해당 없음",G796/E796)</x:f>
        <x:v>0.08737864077669903</x:v>
      </x:c>
      <x:c r="P796" s="15" t="n">
        <x:f>IF(E796=0,"해당 없음",H796/E796)</x:f>
        <x:v>0.04854368932038835</x:v>
      </x:c>
      <x:c r="Q796" s="15" t="n">
        <x:f>IF(E796=0,"해당 없음",I796/E796)</x:f>
        <x:v>0.08737864077669903</x:v>
      </x:c>
      <x:c r="R796" s="15" t="n">
        <x:f>IF(E796=0,"해당 없음",J796/E796)</x:f>
        <x:v>0.02912621359223301</x:v>
      </x:c>
      <x:c r="S796" s="15" t="n">
        <x:f>IF(E796=0,"해당 없음",K796/E796)</x:f>
        <x:v>0.1553398058252427</x:v>
      </x:c>
      <x:c r="T796" s="15" t="n">
        <x:f>IF(E796=0,"해당 없음",L796/E796)</x:f>
        <x:v>0.3883495145631068</x:v>
      </x:c>
      <x:c r="U796" s="15" t="n">
        <x:f>IF(E796=0,"해당 없음",M796/E796)</x:f>
        <x:v>0.20388349514563106</x:v>
      </x:c>
      <x:c r="V796" s="16" t="n">
        <x:f>E796/5</x:f>
        <x:v>20.6</x:v>
      </x:c>
    </x:row>
    <x:row r="797" ht="22" customHeight="1">
      <x:c r="A797" s="2" t="n">
        <x:v>396</x:v>
      </x:c>
      <x:c r="B797" s="2" t="str">
        <x:v>NAVY</x:v>
      </x:c>
      <x:c r="C797" s="2" t="str">
        <x:v>0만</x:v>
      </x:c>
      <x:c r="D797" s="2" t="str">
        <x:v>120만</x:v>
      </x:c>
      <x:c r="E797" s="14" t="n">
        <x:f>SUM(F797:M797)</x:f>
        <x:v>103</x:v>
      </x:c>
      <x:c r="F797" s="14" t="n">
        <x:v>14</x:v>
      </x:c>
      <x:c r="G797" s="14" t="n">
        <x:v>13</x:v>
      </x:c>
      <x:c r="H797" s="14" t="n">
        <x:v>13</x:v>
      </x:c>
      <x:c r="I797" s="14" t="n">
        <x:v>12</x:v>
      </x:c>
      <x:c r="J797" s="14" t="n">
        <x:v>8</x:v>
      </x:c>
      <x:c r="K797" s="14" t="n">
        <x:v>16</x:v>
      </x:c>
      <x:c r="L797" s="14" t="n">
        <x:v>15</x:v>
      </x:c>
      <x:c r="M797" s="14" t="n">
        <x:v>12</x:v>
      </x:c>
      <x:c r="N797" s="15" t="n">
        <x:f>IF(E797=0,"해당 없음",F797/E797)</x:f>
        <x:v>0.13592233009708737</x:v>
      </x:c>
      <x:c r="O797" s="15" t="n">
        <x:f>IF(E797=0,"해당 없음",G797/E797)</x:f>
        <x:v>0.1262135922330097</x:v>
      </x:c>
      <x:c r="P797" s="15" t="n">
        <x:f>IF(E797=0,"해당 없음",H797/E797)</x:f>
        <x:v>0.1262135922330097</x:v>
      </x:c>
      <x:c r="Q797" s="15" t="n">
        <x:f>IF(E797=0,"해당 없음",I797/E797)</x:f>
        <x:v>0.11650485436893204</x:v>
      </x:c>
      <x:c r="R797" s="15" t="n">
        <x:f>IF(E797=0,"해당 없음",J797/E797)</x:f>
        <x:v>0.07766990291262135</x:v>
      </x:c>
      <x:c r="S797" s="15" t="n">
        <x:f>IF(E797=0,"해당 없음",K797/E797)</x:f>
        <x:v>0.1553398058252427</x:v>
      </x:c>
      <x:c r="T797" s="15" t="n">
        <x:f>IF(E797=0,"해당 없음",L797/E797)</x:f>
        <x:v>0.14563106796116504</x:v>
      </x:c>
      <x:c r="U797" s="15" t="n">
        <x:f>IF(E797=0,"해당 없음",M797/E797)</x:f>
        <x:v>0.11650485436893204</x:v>
      </x:c>
      <x:c r="V797" s="16" t="n">
        <x:f>E797/5</x:f>
        <x:v>20.6</x:v>
      </x:c>
    </x:row>
    <x:row r="798" ht="22" customHeight="1">
      <x:c r="A798" s="2" t="n">
        <x:v>397</x:v>
      </x:c>
      <x:c r="B798" s="2" t="str">
        <x:v>RED</x:v>
      </x:c>
      <x:c r="C798" s="2" t="str">
        <x:v>0만</x:v>
      </x:c>
      <x:c r="D798" s="2" t="str">
        <x:v>120만</x:v>
      </x:c>
      <x:c r="E798" s="14" t="n">
        <x:f>SUM(F798:M798)</x:f>
        <x:v>106</x:v>
      </x:c>
      <x:c r="F798" s="14" t="n">
        <x:v>17</x:v>
      </x:c>
      <x:c r="G798" s="14" t="n">
        <x:v>8</x:v>
      </x:c>
      <x:c r="H798" s="14" t="n">
        <x:v>14</x:v>
      </x:c>
      <x:c r="I798" s="14" t="n">
        <x:v>14</x:v>
      </x:c>
      <x:c r="J798" s="14" t="n">
        <x:v>14</x:v>
      </x:c>
      <x:c r="K798" s="14" t="n">
        <x:v>15</x:v>
      </x:c>
      <x:c r="L798" s="14" t="n">
        <x:v>11</x:v>
      </x:c>
      <x:c r="M798" s="14" t="n">
        <x:v>13</x:v>
      </x:c>
      <x:c r="N798" s="15" t="n">
        <x:f>IF(E798=0,"해당 없음",F798/E798)</x:f>
        <x:v>0.16037735849056603</x:v>
      </x:c>
      <x:c r="O798" s="15" t="n">
        <x:f>IF(E798=0,"해당 없음",G798/E798)</x:f>
        <x:v>0.07547169811320754</x:v>
      </x:c>
      <x:c r="P798" s="15" t="n">
        <x:f>IF(E798=0,"해당 없음",H798/E798)</x:f>
        <x:v>0.1320754716981132</x:v>
      </x:c>
      <x:c r="Q798" s="15" t="n">
        <x:f>IF(E798=0,"해당 없음",I798/E798)</x:f>
        <x:v>0.1320754716981132</x:v>
      </x:c>
      <x:c r="R798" s="15" t="n">
        <x:f>IF(E798=0,"해당 없음",J798/E798)</x:f>
        <x:v>0.1320754716981132</x:v>
      </x:c>
      <x:c r="S798" s="15" t="n">
        <x:f>IF(E798=0,"해당 없음",K798/E798)</x:f>
        <x:v>0.14150943396226415</x:v>
      </x:c>
      <x:c r="T798" s="15" t="n">
        <x:f>IF(E798=0,"해당 없음",L798/E798)</x:f>
        <x:v>0.10377358490566038</x:v>
      </x:c>
      <x:c r="U798" s="15" t="n">
        <x:f>IF(E798=0,"해당 없음",M798/E798)</x:f>
        <x:v>0.12264150943396226</x:v>
      </x:c>
      <x:c r="V798" s="16" t="n">
        <x:f>E798/5</x:f>
        <x:v>21.2</x:v>
      </x:c>
    </x:row>
    <x:row r="799" ht="22" customHeight="1">
      <x:c r="A799" s="2" t="n">
        <x:v>397</x:v>
      </x:c>
      <x:c r="B799" s="2" t="str">
        <x:v>NAVY</x:v>
      </x:c>
      <x:c r="C799" s="2" t="str">
        <x:v>120만</x:v>
      </x:c>
      <x:c r="D799" s="2" t="str">
        <x:v>0만</x:v>
      </x:c>
      <x:c r="E799" s="14" t="n">
        <x:f>SUM(F799:M799)</x:f>
        <x:v>105</x:v>
      </x:c>
      <x:c r="F799" s="14" t="n">
        <x:v>2</x:v>
      </x:c>
      <x:c r="G799" s="14" t="n">
        <x:v>15</x:v>
      </x:c>
      <x:c r="H799" s="14" t="n">
        <x:v>8</x:v>
      </x:c>
      <x:c r="I799" s="14" t="n">
        <x:v>15</x:v>
      </x:c>
      <x:c r="J799" s="14" t="n">
        <x:v>2</x:v>
      </x:c>
      <x:c r="K799" s="14" t="n">
        <x:v>10</x:v>
      </x:c>
      <x:c r="L799" s="14" t="n">
        <x:v>41</x:v>
      </x:c>
      <x:c r="M799" s="14" t="n">
        <x:v>12</x:v>
      </x:c>
      <x:c r="N799" s="15" t="n">
        <x:f>IF(E799=0,"해당 없음",F799/E799)</x:f>
        <x:v>0.01904761904761905</x:v>
      </x:c>
      <x:c r="O799" s="15" t="n">
        <x:f>IF(E799=0,"해당 없음",G799/E799)</x:f>
        <x:v>0.14285714285714285</x:v>
      </x:c>
      <x:c r="P799" s="15" t="n">
        <x:f>IF(E799=0,"해당 없음",H799/E799)</x:f>
        <x:v>0.0761904761904762</x:v>
      </x:c>
      <x:c r="Q799" s="15" t="n">
        <x:f>IF(E799=0,"해당 없음",I799/E799)</x:f>
        <x:v>0.14285714285714285</x:v>
      </x:c>
      <x:c r="R799" s="15" t="n">
        <x:f>IF(E799=0,"해당 없음",J799/E799)</x:f>
        <x:v>0.01904761904761905</x:v>
      </x:c>
      <x:c r="S799" s="15" t="n">
        <x:f>IF(E799=0,"해당 없음",K799/E799)</x:f>
        <x:v>0.09523809523809523</x:v>
      </x:c>
      <x:c r="T799" s="15" t="n">
        <x:f>IF(E799=0,"해당 없음",L799/E799)</x:f>
        <x:v>0.3904761904761905</x:v>
      </x:c>
      <x:c r="U799" s="15" t="n">
        <x:f>IF(E799=0,"해당 없음",M799/E799)</x:f>
        <x:v>0.11428571428571428</x:v>
      </x:c>
      <x:c r="V799" s="16" t="n">
        <x:f>E799/5</x:f>
        <x:v>21</x:v>
      </x:c>
    </x:row>
    <x:row r="800" ht="22" customHeight="1">
      <x:c r="A800" s="2" t="n">
        <x:v>398</x:v>
      </x:c>
      <x:c r="B800" s="2" t="str">
        <x:v>RED</x:v>
      </x:c>
      <x:c r="C800" s="2" t="str">
        <x:v>120만</x:v>
      </x:c>
      <x:c r="D800" s="2" t="str">
        <x:v>0만</x:v>
      </x:c>
      <x:c r="E800" s="14" t="n">
        <x:f>SUM(F800:M800)</x:f>
        <x:v>107</x:v>
      </x:c>
      <x:c r="F800" s="14" t="n">
        <x:v>1</x:v>
      </x:c>
      <x:c r="G800" s="14" t="n">
        <x:v>16</x:v>
      </x:c>
      <x:c r="H800" s="14" t="n">
        <x:v>7</x:v>
      </x:c>
      <x:c r="I800" s="14" t="n">
        <x:v>14</x:v>
      </x:c>
      <x:c r="J800" s="14" t="n">
        <x:v>2</x:v>
      </x:c>
      <x:c r="K800" s="14" t="n">
        <x:v>6</x:v>
      </x:c>
      <x:c r="L800" s="14" t="n">
        <x:v>44</x:v>
      </x:c>
      <x:c r="M800" s="14" t="n">
        <x:v>17</x:v>
      </x:c>
      <x:c r="N800" s="15" t="n">
        <x:f>IF(E800=0,"해당 없음",F800/E800)</x:f>
        <x:v>0.009345794392523364</x:v>
      </x:c>
      <x:c r="O800" s="15" t="n">
        <x:f>IF(E800=0,"해당 없음",G800/E800)</x:f>
        <x:v>0.14953271028037382</x:v>
      </x:c>
      <x:c r="P800" s="15" t="n">
        <x:f>IF(E800=0,"해당 없음",H800/E800)</x:f>
        <x:v>0.06542056074766354</x:v>
      </x:c>
      <x:c r="Q800" s="15" t="n">
        <x:f>IF(E800=0,"해당 없음",I800/E800)</x:f>
        <x:v>0.1308411214953271</x:v>
      </x:c>
      <x:c r="R800" s="15" t="n">
        <x:f>IF(E800=0,"해당 없음",J800/E800)</x:f>
        <x:v>0.018691588785046728</x:v>
      </x:c>
      <x:c r="S800" s="15" t="n">
        <x:f>IF(E800=0,"해당 없음",K800/E800)</x:f>
        <x:v>0.056074766355140186</x:v>
      </x:c>
      <x:c r="T800" s="15" t="n">
        <x:f>IF(E800=0,"해당 없음",L800/E800)</x:f>
        <x:v>0.411214953271028</x:v>
      </x:c>
      <x:c r="U800" s="15" t="n">
        <x:f>IF(E800=0,"해당 없음",M800/E800)</x:f>
        <x:v>0.1588785046728972</x:v>
      </x:c>
      <x:c r="V800" s="16" t="n">
        <x:f>E800/5</x:f>
        <x:v>21.4</x:v>
      </x:c>
    </x:row>
    <x:row r="801" ht="22" customHeight="1">
      <x:c r="A801" s="2" t="n">
        <x:v>398</x:v>
      </x:c>
      <x:c r="B801" s="2" t="str">
        <x:v>NAVY</x:v>
      </x:c>
      <x:c r="C801" s="2" t="str">
        <x:v>0만</x:v>
      </x:c>
      <x:c r="D801" s="2" t="str">
        <x:v>120만</x:v>
      </x:c>
      <x:c r="E801" s="14" t="n">
        <x:f>SUM(F801:M801)</x:f>
        <x:v>106</x:v>
      </x:c>
      <x:c r="F801" s="14" t="n">
        <x:v>17</x:v>
      </x:c>
      <x:c r="G801" s="14" t="n">
        <x:v>8</x:v>
      </x:c>
      <x:c r="H801" s="14" t="n">
        <x:v>14</x:v>
      </x:c>
      <x:c r="I801" s="14" t="n">
        <x:v>14</x:v>
      </x:c>
      <x:c r="J801" s="14" t="n">
        <x:v>13</x:v>
      </x:c>
      <x:c r="K801" s="14" t="n">
        <x:v>16</x:v>
      </x:c>
      <x:c r="L801" s="14" t="n">
        <x:v>11</x:v>
      </x:c>
      <x:c r="M801" s="14" t="n">
        <x:v>13</x:v>
      </x:c>
      <x:c r="N801" s="15" t="n">
        <x:f>IF(E801=0,"해당 없음",F801/E801)</x:f>
        <x:v>0.16037735849056603</x:v>
      </x:c>
      <x:c r="O801" s="15" t="n">
        <x:f>IF(E801=0,"해당 없음",G801/E801)</x:f>
        <x:v>0.07547169811320754</x:v>
      </x:c>
      <x:c r="P801" s="15" t="n">
        <x:f>IF(E801=0,"해당 없음",H801/E801)</x:f>
        <x:v>0.1320754716981132</x:v>
      </x:c>
      <x:c r="Q801" s="15" t="n">
        <x:f>IF(E801=0,"해당 없음",I801/E801)</x:f>
        <x:v>0.1320754716981132</x:v>
      </x:c>
      <x:c r="R801" s="15" t="n">
        <x:f>IF(E801=0,"해당 없음",J801/E801)</x:f>
        <x:v>0.12264150943396226</x:v>
      </x:c>
      <x:c r="S801" s="15" t="n">
        <x:f>IF(E801=0,"해당 없음",K801/E801)</x:f>
        <x:v>0.1509433962264151</x:v>
      </x:c>
      <x:c r="T801" s="15" t="n">
        <x:f>IF(E801=0,"해당 없음",L801/E801)</x:f>
        <x:v>0.10377358490566038</x:v>
      </x:c>
      <x:c r="U801" s="15" t="n">
        <x:f>IF(E801=0,"해당 없음",M801/E801)</x:f>
        <x:v>0.12264150943396226</x:v>
      </x:c>
      <x:c r="V801" s="16" t="n">
        <x:f>E801/5</x:f>
        <x:v>21.2</x:v>
      </x:c>
    </x:row>
    <x:row r="802" ht="22" customHeight="1">
      <x:c r="A802" s="2" t="n">
        <x:v>399</x:v>
      </x:c>
      <x:c r="B802" s="2" t="str">
        <x:v>RED</x:v>
      </x:c>
      <x:c r="C802" s="2" t="str">
        <x:v>0만</x:v>
      </x:c>
      <x:c r="D802" s="2" t="str">
        <x:v>120만</x:v>
      </x:c>
      <x:c r="E802" s="14" t="n">
        <x:f>SUM(F802:M802)</x:f>
        <x:v>103</x:v>
      </x:c>
      <x:c r="F802" s="14" t="n">
        <x:v>12</x:v>
      </x:c>
      <x:c r="G802" s="14" t="n">
        <x:v>12</x:v>
      </x:c>
      <x:c r="H802" s="14" t="n">
        <x:v>17</x:v>
      </x:c>
      <x:c r="I802" s="14" t="n">
        <x:v>10</x:v>
      </x:c>
      <x:c r="J802" s="14" t="n">
        <x:v>21</x:v>
      </x:c>
      <x:c r="K802" s="14" t="n">
        <x:v>10</x:v>
      </x:c>
      <x:c r="L802" s="14" t="n">
        <x:v>12</x:v>
      </x:c>
      <x:c r="M802" s="14" t="n">
        <x:v>9</x:v>
      </x:c>
      <x:c r="N802" s="15" t="n">
        <x:f>IF(E802=0,"해당 없음",F802/E802)</x:f>
        <x:v>0.11650485436893204</x:v>
      </x:c>
      <x:c r="O802" s="15" t="n">
        <x:f>IF(E802=0,"해당 없음",G802/E802)</x:f>
        <x:v>0.11650485436893204</x:v>
      </x:c>
      <x:c r="P802" s="15" t="n">
        <x:f>IF(E802=0,"해당 없음",H802/E802)</x:f>
        <x:v>0.1650485436893204</x:v>
      </x:c>
      <x:c r="Q802" s="15" t="n">
        <x:f>IF(E802=0,"해당 없음",I802/E802)</x:f>
        <x:v>0.0970873786407767</x:v>
      </x:c>
      <x:c r="R802" s="15" t="n">
        <x:f>IF(E802=0,"해당 없음",J802/E802)</x:f>
        <x:v>0.20388349514563106</x:v>
      </x:c>
      <x:c r="S802" s="15" t="n">
        <x:f>IF(E802=0,"해당 없음",K802/E802)</x:f>
        <x:v>0.0970873786407767</x:v>
      </x:c>
      <x:c r="T802" s="15" t="n">
        <x:f>IF(E802=0,"해당 없음",L802/E802)</x:f>
        <x:v>0.11650485436893204</x:v>
      </x:c>
      <x:c r="U802" s="15" t="n">
        <x:f>IF(E802=0,"해당 없음",M802/E802)</x:f>
        <x:v>0.08737864077669903</x:v>
      </x:c>
      <x:c r="V802" s="16" t="n">
        <x:f>E802/5</x:f>
        <x:v>20.6</x:v>
      </x:c>
    </x:row>
    <x:row r="803" ht="22" customHeight="1">
      <x:c r="A803" s="2" t="n">
        <x:v>399</x:v>
      </x:c>
      <x:c r="B803" s="2" t="str">
        <x:v>NAVY</x:v>
      </x:c>
      <x:c r="C803" s="2" t="str">
        <x:v>120만</x:v>
      </x:c>
      <x:c r="D803" s="2" t="str">
        <x:v>0만</x:v>
      </x:c>
      <x:c r="E803" s="14" t="n">
        <x:f>SUM(F803:M803)</x:f>
        <x:v>103</x:v>
      </x:c>
      <x:c r="F803" s="14" t="n">
        <x:v>1</x:v>
      </x:c>
      <x:c r="G803" s="14" t="n">
        <x:v>22</x:v>
      </x:c>
      <x:c r="H803" s="14" t="n">
        <x:v>8</x:v>
      </x:c>
      <x:c r="I803" s="14" t="n">
        <x:v>10</x:v>
      </x:c>
      <x:c r="J803" s="14" t="n">
        <x:v>5</x:v>
      </x:c>
      <x:c r="K803" s="14" t="n">
        <x:v>16</x:v>
      </x:c>
      <x:c r="L803" s="14" t="n">
        <x:v>32</x:v>
      </x:c>
      <x:c r="M803" s="14" t="n">
        <x:v>9</x:v>
      </x:c>
      <x:c r="N803" s="15" t="n">
        <x:f>IF(E803=0,"해당 없음",F803/E803)</x:f>
        <x:v>0.009708737864077669</x:v>
      </x:c>
      <x:c r="O803" s="15" t="n">
        <x:f>IF(E803=0,"해당 없음",G803/E803)</x:f>
        <x:v>0.21359223300970873</x:v>
      </x:c>
      <x:c r="P803" s="15" t="n">
        <x:f>IF(E803=0,"해당 없음",H803/E803)</x:f>
        <x:v>0.07766990291262135</x:v>
      </x:c>
      <x:c r="Q803" s="15" t="n">
        <x:f>IF(E803=0,"해당 없음",I803/E803)</x:f>
        <x:v>0.0970873786407767</x:v>
      </x:c>
      <x:c r="R803" s="15" t="n">
        <x:f>IF(E803=0,"해당 없음",J803/E803)</x:f>
        <x:v>0.04854368932038835</x:v>
      </x:c>
      <x:c r="S803" s="15" t="n">
        <x:f>IF(E803=0,"해당 없음",K803/E803)</x:f>
        <x:v>0.1553398058252427</x:v>
      </x:c>
      <x:c r="T803" s="15" t="n">
        <x:f>IF(E803=0,"해당 없음",L803/E803)</x:f>
        <x:v>0.3106796116504854</x:v>
      </x:c>
      <x:c r="U803" s="15" t="n">
        <x:f>IF(E803=0,"해당 없음",M803/E803)</x:f>
        <x:v>0.08737864077669903</x:v>
      </x:c>
      <x:c r="V803" s="16" t="n">
        <x:f>E803/5</x:f>
        <x:v>20.6</x:v>
      </x:c>
    </x:row>
    <x:row r="804" ht="22" customHeight="1">
      <x:c r="A804" s="2" t="n">
        <x:v>400</x:v>
      </x:c>
      <x:c r="B804" s="2" t="str">
        <x:v>RED</x:v>
      </x:c>
      <x:c r="C804" s="2" t="str">
        <x:v>120만</x:v>
      </x:c>
      <x:c r="D804" s="2" t="str">
        <x:v>0만</x:v>
      </x:c>
      <x:c r="E804" s="14" t="n">
        <x:f>SUM(F804:M804)</x:f>
        <x:v>103</x:v>
      </x:c>
      <x:c r="F804" s="14" t="n">
        <x:v>1</x:v>
      </x:c>
      <x:c r="G804" s="14" t="n">
        <x:v>14</x:v>
      </x:c>
      <x:c r="H804" s="14" t="n">
        <x:v>11</x:v>
      </x:c>
      <x:c r="I804" s="14" t="n">
        <x:v>9</x:v>
      </x:c>
      <x:c r="J804" s="14" t="n">
        <x:v>2</x:v>
      </x:c>
      <x:c r="K804" s="14" t="n">
        <x:v>8</x:v>
      </x:c>
      <x:c r="L804" s="14" t="n">
        <x:v>36</x:v>
      </x:c>
      <x:c r="M804" s="14" t="n">
        <x:v>22</x:v>
      </x:c>
      <x:c r="N804" s="15" t="n">
        <x:f>IF(E804=0,"해당 없음",F804/E804)</x:f>
        <x:v>0.009708737864077669</x:v>
      </x:c>
      <x:c r="O804" s="15" t="n">
        <x:f>IF(E804=0,"해당 없음",G804/E804)</x:f>
        <x:v>0.13592233009708737</x:v>
      </x:c>
      <x:c r="P804" s="15" t="n">
        <x:f>IF(E804=0,"해당 없음",H804/E804)</x:f>
        <x:v>0.10679611650485436</x:v>
      </x:c>
      <x:c r="Q804" s="15" t="n">
        <x:f>IF(E804=0,"해당 없음",I804/E804)</x:f>
        <x:v>0.08737864077669903</x:v>
      </x:c>
      <x:c r="R804" s="15" t="n">
        <x:f>IF(E804=0,"해당 없음",J804/E804)</x:f>
        <x:v>0.019417475728155338</x:v>
      </x:c>
      <x:c r="S804" s="15" t="n">
        <x:f>IF(E804=0,"해당 없음",K804/E804)</x:f>
        <x:v>0.07766990291262135</x:v>
      </x:c>
      <x:c r="T804" s="15" t="n">
        <x:f>IF(E804=0,"해당 없음",L804/E804)</x:f>
        <x:v>0.34951456310679613</x:v>
      </x:c>
      <x:c r="U804" s="15" t="n">
        <x:f>IF(E804=0,"해당 없음",M804/E804)</x:f>
        <x:v>0.21359223300970873</x:v>
      </x:c>
      <x:c r="V804" s="16" t="n">
        <x:f>E804/5</x:f>
        <x:v>20.6</x:v>
      </x:c>
    </x:row>
    <x:row r="805" ht="22" customHeight="1">
      <x:c r="A805" s="2" t="n">
        <x:v>400</x:v>
      </x:c>
      <x:c r="B805" s="2" t="str">
        <x:v>NAVY</x:v>
      </x:c>
      <x:c r="C805" s="2" t="str">
        <x:v>0만</x:v>
      </x:c>
      <x:c r="D805" s="2" t="str">
        <x:v>120만</x:v>
      </x:c>
      <x:c r="E805" s="14" t="n">
        <x:f>SUM(F805:M805)</x:f>
        <x:v>103</x:v>
      </x:c>
      <x:c r="F805" s="14" t="n">
        <x:v>13</x:v>
      </x:c>
      <x:c r="G805" s="14" t="n">
        <x:v>12</x:v>
      </x:c>
      <x:c r="H805" s="14" t="n">
        <x:v>16</x:v>
      </x:c>
      <x:c r="I805" s="14" t="n">
        <x:v>10</x:v>
      </x:c>
      <x:c r="J805" s="14" t="n">
        <x:v>22</x:v>
      </x:c>
      <x:c r="K805" s="14" t="n">
        <x:v>9</x:v>
      </x:c>
      <x:c r="L805" s="14" t="n">
        <x:v>12</x:v>
      </x:c>
      <x:c r="M805" s="14" t="n">
        <x:v>9</x:v>
      </x:c>
      <x:c r="N805" s="15" t="n">
        <x:f>IF(E805=0,"해당 없음",F805/E805)</x:f>
        <x:v>0.1262135922330097</x:v>
      </x:c>
      <x:c r="O805" s="15" t="n">
        <x:f>IF(E805=0,"해당 없음",G805/E805)</x:f>
        <x:v>0.11650485436893204</x:v>
      </x:c>
      <x:c r="P805" s="15" t="n">
        <x:f>IF(E805=0,"해당 없음",H805/E805)</x:f>
        <x:v>0.1553398058252427</x:v>
      </x:c>
      <x:c r="Q805" s="15" t="n">
        <x:f>IF(E805=0,"해당 없음",I805/E805)</x:f>
        <x:v>0.0970873786407767</x:v>
      </x:c>
      <x:c r="R805" s="15" t="n">
        <x:f>IF(E805=0,"해당 없음",J805/E805)</x:f>
        <x:v>0.21359223300970873</x:v>
      </x:c>
      <x:c r="S805" s="15" t="n">
        <x:f>IF(E805=0,"해당 없음",K805/E805)</x:f>
        <x:v>0.08737864077669903</x:v>
      </x:c>
      <x:c r="T805" s="15" t="n">
        <x:f>IF(E805=0,"해당 없음",L805/E805)</x:f>
        <x:v>0.11650485436893204</x:v>
      </x:c>
      <x:c r="U805" s="15" t="n">
        <x:f>IF(E805=0,"해당 없음",M805/E805)</x:f>
        <x:v>0.08737864077669903</x:v>
      </x:c>
      <x:c r="V805" s="16" t="n">
        <x:f>E805/5</x:f>
        <x:v>20.6</x:v>
      </x:c>
    </x:row>
    <x:row r="806" ht="22" customHeight="1">
      <x:c r="A806" s="2" t="n">
        <x:v>401</x:v>
      </x:c>
      <x:c r="B806" s="2" t="str">
        <x:v>RED</x:v>
      </x:c>
      <x:c r="C806" s="2" t="str">
        <x:v>0만</x:v>
      </x:c>
      <x:c r="D806" s="2" t="str">
        <x:v>160만</x:v>
      </x:c>
      <x:c r="E806" s="14" t="n">
        <x:f>SUM(F806:M806)</x:f>
        <x:v>105</x:v>
      </x:c>
      <x:c r="F806" s="14" t="n">
        <x:v>11</x:v>
      </x:c>
      <x:c r="G806" s="14" t="n">
        <x:v>12</x:v>
      </x:c>
      <x:c r="H806" s="14" t="n">
        <x:v>9</x:v>
      </x:c>
      <x:c r="I806" s="14" t="n">
        <x:v>21</x:v>
      </x:c>
      <x:c r="J806" s="14" t="n">
        <x:v>7</x:v>
      </x:c>
      <x:c r="K806" s="14" t="n">
        <x:v>15</x:v>
      </x:c>
      <x:c r="L806" s="14" t="n">
        <x:v>16</x:v>
      </x:c>
      <x:c r="M806" s="14" t="n">
        <x:v>14</x:v>
      </x:c>
      <x:c r="N806" s="15" t="n">
        <x:f>IF(E806=0,"해당 없음",F806/E806)</x:f>
        <x:v>0.10476190476190476</x:v>
      </x:c>
      <x:c r="O806" s="15" t="n">
        <x:f>IF(E806=0,"해당 없음",G806/E806)</x:f>
        <x:v>0.11428571428571428</x:v>
      </x:c>
      <x:c r="P806" s="15" t="n">
        <x:f>IF(E806=0,"해당 없음",H806/E806)</x:f>
        <x:v>0.08571428571428572</x:v>
      </x:c>
      <x:c r="Q806" s="15" t="n">
        <x:f>IF(E806=0,"해당 없음",I806/E806)</x:f>
        <x:v>0.2</x:v>
      </x:c>
      <x:c r="R806" s="15" t="n">
        <x:f>IF(E806=0,"해당 없음",J806/E806)</x:f>
        <x:v>0.06666666666666667</x:v>
      </x:c>
      <x:c r="S806" s="15" t="n">
        <x:f>IF(E806=0,"해당 없음",K806/E806)</x:f>
        <x:v>0.14285714285714285</x:v>
      </x:c>
      <x:c r="T806" s="15" t="n">
        <x:f>IF(E806=0,"해당 없음",L806/E806)</x:f>
        <x:v>0.1523809523809524</x:v>
      </x:c>
      <x:c r="U806" s="15" t="n">
        <x:f>IF(E806=0,"해당 없음",M806/E806)</x:f>
        <x:v>0.13333333333333333</x:v>
      </x:c>
      <x:c r="V806" s="16" t="n">
        <x:f>E806/5</x:f>
        <x:v>21</x:v>
      </x:c>
    </x:row>
    <x:row r="807" ht="22" customHeight="1">
      <x:c r="A807" s="2" t="n">
        <x:v>401</x:v>
      </x:c>
      <x:c r="B807" s="2" t="str">
        <x:v>NAVY</x:v>
      </x:c>
      <x:c r="C807" s="2" t="str">
        <x:v>160만</x:v>
      </x:c>
      <x:c r="D807" s="2" t="str">
        <x:v>0만</x:v>
      </x:c>
      <x:c r="E807" s="14" t="n">
        <x:f>SUM(F807:M807)</x:f>
        <x:v>104</x:v>
      </x:c>
      <x:c r="F807" s="14" t="n">
        <x:v>2</x:v>
      </x:c>
      <x:c r="G807" s="14" t="n">
        <x:v>24</x:v>
      </x:c>
      <x:c r="H807" s="14" t="n">
        <x:v>10</x:v>
      </x:c>
      <x:c r="I807" s="14" t="n">
        <x:v>9</x:v>
      </x:c>
      <x:c r="J807" s="14" t="n">
        <x:v>1</x:v>
      </x:c>
      <x:c r="K807" s="14" t="n">
        <x:v>4</x:v>
      </x:c>
      <x:c r="L807" s="14" t="n">
        <x:v>36</x:v>
      </x:c>
      <x:c r="M807" s="14" t="n">
        <x:v>18</x:v>
      </x:c>
      <x:c r="N807" s="15" t="n">
        <x:f>IF(E807=0,"해당 없음",F807/E807)</x:f>
        <x:v>0.019230769230769232</x:v>
      </x:c>
      <x:c r="O807" s="15" t="n">
        <x:f>IF(E807=0,"해당 없음",G807/E807)</x:f>
        <x:v>0.23076923076923078</x:v>
      </x:c>
      <x:c r="P807" s="15" t="n">
        <x:f>IF(E807=0,"해당 없음",H807/E807)</x:f>
        <x:v>0.09615384615384616</x:v>
      </x:c>
      <x:c r="Q807" s="15" t="n">
        <x:f>IF(E807=0,"해당 없음",I807/E807)</x:f>
        <x:v>0.08653846153846154</x:v>
      </x:c>
      <x:c r="R807" s="15" t="n">
        <x:f>IF(E807=0,"해당 없음",J807/E807)</x:f>
        <x:v>0.009615384615384616</x:v>
      </x:c>
      <x:c r="S807" s="15" t="n">
        <x:f>IF(E807=0,"해당 없음",K807/E807)</x:f>
        <x:v>0.038461538461538464</x:v>
      </x:c>
      <x:c r="T807" s="15" t="n">
        <x:f>IF(E807=0,"해당 없음",L807/E807)</x:f>
        <x:v>0.34615384615384615</x:v>
      </x:c>
      <x:c r="U807" s="15" t="n">
        <x:f>IF(E807=0,"해당 없음",M807/E807)</x:f>
        <x:v>0.17307692307692307</x:v>
      </x:c>
      <x:c r="V807" s="16" t="n">
        <x:f>E807/5</x:f>
        <x:v>20.8</x:v>
      </x:c>
    </x:row>
    <x:row r="808" ht="22" customHeight="1">
      <x:c r="A808" s="2" t="n">
        <x:v>402</x:v>
      </x:c>
      <x:c r="B808" s="2" t="str">
        <x:v>RED</x:v>
      </x:c>
      <x:c r="C808" s="2" t="str">
        <x:v>160만</x:v>
      </x:c>
      <x:c r="D808" s="2" t="str">
        <x:v>0만</x:v>
      </x:c>
      <x:c r="E808" s="14" t="n">
        <x:f>SUM(F808:M808)</x:f>
        <x:v>104</x:v>
      </x:c>
      <x:c r="F808" s="14" t="n">
        <x:v>6</x:v>
      </x:c>
      <x:c r="G808" s="14" t="n">
        <x:v>22</x:v>
      </x:c>
      <x:c r="H808" s="14" t="n">
        <x:v>2</x:v>
      </x:c>
      <x:c r="I808" s="14" t="n">
        <x:v>7</x:v>
      </x:c>
      <x:c r="J808" s="14" t="n">
        <x:v>2</x:v>
      </x:c>
      <x:c r="K808" s="14" t="n">
        <x:v>8</x:v>
      </x:c>
      <x:c r="L808" s="14" t="n">
        <x:v>29</x:v>
      </x:c>
      <x:c r="M808" s="14" t="n">
        <x:v>28</x:v>
      </x:c>
      <x:c r="N808" s="15" t="n">
        <x:f>IF(E808=0,"해당 없음",F808/E808)</x:f>
        <x:v>0.057692307692307696</x:v>
      </x:c>
      <x:c r="O808" s="15" t="n">
        <x:f>IF(E808=0,"해당 없음",G808/E808)</x:f>
        <x:v>0.21153846153846154</x:v>
      </x:c>
      <x:c r="P808" s="15" t="n">
        <x:f>IF(E808=0,"해당 없음",H808/E808)</x:f>
        <x:v>0.019230769230769232</x:v>
      </x:c>
      <x:c r="Q808" s="15" t="n">
        <x:f>IF(E808=0,"해당 없음",I808/E808)</x:f>
        <x:v>0.0673076923076923</x:v>
      </x:c>
      <x:c r="R808" s="15" t="n">
        <x:f>IF(E808=0,"해당 없음",J808/E808)</x:f>
        <x:v>0.019230769230769232</x:v>
      </x:c>
      <x:c r="S808" s="15" t="n">
        <x:f>IF(E808=0,"해당 없음",K808/E808)</x:f>
        <x:v>0.07692307692307693</x:v>
      </x:c>
      <x:c r="T808" s="15" t="n">
        <x:f>IF(E808=0,"해당 없음",L808/E808)</x:f>
        <x:v>0.27884615384615385</x:v>
      </x:c>
      <x:c r="U808" s="15" t="n">
        <x:f>IF(E808=0,"해당 없음",M808/E808)</x:f>
        <x:v>0.2692307692307692</x:v>
      </x:c>
      <x:c r="V808" s="16" t="n">
        <x:f>E808/5</x:f>
        <x:v>20.8</x:v>
      </x:c>
    </x:row>
    <x:row r="809" ht="22" customHeight="1">
      <x:c r="A809" s="2" t="n">
        <x:v>402</x:v>
      </x:c>
      <x:c r="B809" s="2" t="str">
        <x:v>NAVY</x:v>
      </x:c>
      <x:c r="C809" s="2" t="str">
        <x:v>0만</x:v>
      </x:c>
      <x:c r="D809" s="2" t="str">
        <x:v>160만</x:v>
      </x:c>
      <x:c r="E809" s="14" t="n">
        <x:f>SUM(F809:M809)</x:f>
        <x:v>105</x:v>
      </x:c>
      <x:c r="F809" s="14" t="n">
        <x:v>11</x:v>
      </x:c>
      <x:c r="G809" s="14" t="n">
        <x:v>12</x:v>
      </x:c>
      <x:c r="H809" s="14" t="n">
        <x:v>9</x:v>
      </x:c>
      <x:c r="I809" s="14" t="n">
        <x:v>21</x:v>
      </x:c>
      <x:c r="J809" s="14" t="n">
        <x:v>7</x:v>
      </x:c>
      <x:c r="K809" s="14" t="n">
        <x:v>15</x:v>
      </x:c>
      <x:c r="L809" s="14" t="n">
        <x:v>16</x:v>
      </x:c>
      <x:c r="M809" s="14" t="n">
        <x:v>14</x:v>
      </x:c>
      <x:c r="N809" s="15" t="n">
        <x:f>IF(E809=0,"해당 없음",F809/E809)</x:f>
        <x:v>0.10476190476190476</x:v>
      </x:c>
      <x:c r="O809" s="15" t="n">
        <x:f>IF(E809=0,"해당 없음",G809/E809)</x:f>
        <x:v>0.11428571428571428</x:v>
      </x:c>
      <x:c r="P809" s="15" t="n">
        <x:f>IF(E809=0,"해당 없음",H809/E809)</x:f>
        <x:v>0.08571428571428572</x:v>
      </x:c>
      <x:c r="Q809" s="15" t="n">
        <x:f>IF(E809=0,"해당 없음",I809/E809)</x:f>
        <x:v>0.2</x:v>
      </x:c>
      <x:c r="R809" s="15" t="n">
        <x:f>IF(E809=0,"해당 없음",J809/E809)</x:f>
        <x:v>0.06666666666666667</x:v>
      </x:c>
      <x:c r="S809" s="15" t="n">
        <x:f>IF(E809=0,"해당 없음",K809/E809)</x:f>
        <x:v>0.14285714285714285</x:v>
      </x:c>
      <x:c r="T809" s="15" t="n">
        <x:f>IF(E809=0,"해당 없음",L809/E809)</x:f>
        <x:v>0.1523809523809524</x:v>
      </x:c>
      <x:c r="U809" s="15" t="n">
        <x:f>IF(E809=0,"해당 없음",M809/E809)</x:f>
        <x:v>0.13333333333333333</x:v>
      </x:c>
      <x:c r="V809" s="16" t="n">
        <x:f>E809/5</x:f>
        <x:v>21</x:v>
      </x:c>
    </x:row>
    <x:row r="810" ht="22" customHeight="1">
      <x:c r="A810" s="2" t="n">
        <x:v>403</x:v>
      </x:c>
      <x:c r="B810" s="2" t="str">
        <x:v>RED</x:v>
      </x:c>
      <x:c r="C810" s="2" t="str">
        <x:v>0만</x:v>
      </x:c>
      <x:c r="D810" s="2" t="str">
        <x:v>160만</x:v>
      </x:c>
      <x:c r="E810" s="14" t="n">
        <x:f>SUM(F810:M810)</x:f>
        <x:v>103</x:v>
      </x:c>
      <x:c r="F810" s="14" t="n">
        <x:v>12</x:v>
      </x:c>
      <x:c r="G810" s="14" t="n">
        <x:v>17</x:v>
      </x:c>
      <x:c r="H810" s="14" t="n">
        <x:v>17</x:v>
      </x:c>
      <x:c r="I810" s="14" t="n">
        <x:v>13</x:v>
      </x:c>
      <x:c r="J810" s="14" t="n">
        <x:v>11</x:v>
      </x:c>
      <x:c r="K810" s="14" t="n">
        <x:v>14</x:v>
      </x:c>
      <x:c r="L810" s="14" t="n">
        <x:v>7</x:v>
      </x:c>
      <x:c r="M810" s="14" t="n">
        <x:v>12</x:v>
      </x:c>
      <x:c r="N810" s="15" t="n">
        <x:f>IF(E810=0,"해당 없음",F810/E810)</x:f>
        <x:v>0.11650485436893204</x:v>
      </x:c>
      <x:c r="O810" s="15" t="n">
        <x:f>IF(E810=0,"해당 없음",G810/E810)</x:f>
        <x:v>0.1650485436893204</x:v>
      </x:c>
      <x:c r="P810" s="15" t="n">
        <x:f>IF(E810=0,"해당 없음",H810/E810)</x:f>
        <x:v>0.1650485436893204</x:v>
      </x:c>
      <x:c r="Q810" s="15" t="n">
        <x:f>IF(E810=0,"해당 없음",I810/E810)</x:f>
        <x:v>0.1262135922330097</x:v>
      </x:c>
      <x:c r="R810" s="15" t="n">
        <x:f>IF(E810=0,"해당 없음",J810/E810)</x:f>
        <x:v>0.10679611650485436</x:v>
      </x:c>
      <x:c r="S810" s="15" t="n">
        <x:f>IF(E810=0,"해당 없음",K810/E810)</x:f>
        <x:v>0.13592233009708737</x:v>
      </x:c>
      <x:c r="T810" s="15" t="n">
        <x:f>IF(E810=0,"해당 없음",L810/E810)</x:f>
        <x:v>0.06796116504854369</x:v>
      </x:c>
      <x:c r="U810" s="15" t="n">
        <x:f>IF(E810=0,"해당 없음",M810/E810)</x:f>
        <x:v>0.11650485436893204</x:v>
      </x:c>
      <x:c r="V810" s="16" t="n">
        <x:f>E810/5</x:f>
        <x:v>20.6</x:v>
      </x:c>
    </x:row>
    <x:row r="811" ht="22" customHeight="1">
      <x:c r="A811" s="2" t="n">
        <x:v>403</x:v>
      </x:c>
      <x:c r="B811" s="2" t="str">
        <x:v>NAVY</x:v>
      </x:c>
      <x:c r="C811" s="2" t="str">
        <x:v>160만</x:v>
      </x:c>
      <x:c r="D811" s="2" t="str">
        <x:v>0만</x:v>
      </x:c>
      <x:c r="E811" s="14" t="n">
        <x:f>SUM(F811:M811)</x:f>
        <x:v>104</x:v>
      </x:c>
      <x:c r="F811" s="14" t="n">
        <x:v>3</x:v>
      </x:c>
      <x:c r="G811" s="14" t="n">
        <x:v>22</x:v>
      </x:c>
      <x:c r="H811" s="14" t="n">
        <x:v>7</x:v>
      </x:c>
      <x:c r="I811" s="14" t="n">
        <x:v>11</x:v>
      </x:c>
      <x:c r="J811" s="14" t="n">
        <x:v>3</x:v>
      </x:c>
      <x:c r="K811" s="14" t="n">
        <x:v>5</x:v>
      </x:c>
      <x:c r="L811" s="14" t="n">
        <x:v>32</x:v>
      </x:c>
      <x:c r="M811" s="14" t="n">
        <x:v>21</x:v>
      </x:c>
      <x:c r="N811" s="15" t="n">
        <x:f>IF(E811=0,"해당 없음",F811/E811)</x:f>
        <x:v>0.028846153846153848</x:v>
      </x:c>
      <x:c r="O811" s="15" t="n">
        <x:f>IF(E811=0,"해당 없음",G811/E811)</x:f>
        <x:v>0.21153846153846154</x:v>
      </x:c>
      <x:c r="P811" s="15" t="n">
        <x:f>IF(E811=0,"해당 없음",H811/E811)</x:f>
        <x:v>0.0673076923076923</x:v>
      </x:c>
      <x:c r="Q811" s="15" t="n">
        <x:f>IF(E811=0,"해당 없음",I811/E811)</x:f>
        <x:v>0.10576923076923077</x:v>
      </x:c>
      <x:c r="R811" s="15" t="n">
        <x:f>IF(E811=0,"해당 없음",J811/E811)</x:f>
        <x:v>0.028846153846153848</x:v>
      </x:c>
      <x:c r="S811" s="15" t="n">
        <x:f>IF(E811=0,"해당 없음",K811/E811)</x:f>
        <x:v>0.04807692307692308</x:v>
      </x:c>
      <x:c r="T811" s="15" t="n">
        <x:f>IF(E811=0,"해당 없음",L811/E811)</x:f>
        <x:v>0.3076923076923077</x:v>
      </x:c>
      <x:c r="U811" s="15" t="n">
        <x:f>IF(E811=0,"해당 없음",M811/E811)</x:f>
        <x:v>0.20192307692307693</x:v>
      </x:c>
      <x:c r="V811" s="16" t="n">
        <x:f>E811/5</x:f>
        <x:v>20.8</x:v>
      </x:c>
    </x:row>
    <x:row r="812" ht="22" customHeight="1">
      <x:c r="A812" s="2" t="n">
        <x:v>404</x:v>
      </x:c>
      <x:c r="B812" s="2" t="str">
        <x:v>RED</x:v>
      </x:c>
      <x:c r="C812" s="2" t="str">
        <x:v>160만</x:v>
      </x:c>
      <x:c r="D812" s="2" t="str">
        <x:v>0만</x:v>
      </x:c>
      <x:c r="E812" s="14" t="n">
        <x:f>SUM(F812:M812)</x:f>
        <x:v>102</x:v>
      </x:c>
      <x:c r="F812" s="14" t="n">
        <x:v>2</x:v>
      </x:c>
      <x:c r="G812" s="14" t="n">
        <x:v>13</x:v>
      </x:c>
      <x:c r="H812" s="14" t="n">
        <x:v>7</x:v>
      </x:c>
      <x:c r="I812" s="14" t="n">
        <x:v>7</x:v>
      </x:c>
      <x:c r="J812" s="14" t="n">
        <x:v>0</x:v>
      </x:c>
      <x:c r="K812" s="14" t="n">
        <x:v>10</x:v>
      </x:c>
      <x:c r="L812" s="14" t="n">
        <x:v>39</x:v>
      </x:c>
      <x:c r="M812" s="14" t="n">
        <x:v>24</x:v>
      </x:c>
      <x:c r="N812" s="15" t="n">
        <x:f>IF(E812=0,"해당 없음",F812/E812)</x:f>
        <x:v>0.0196078431372549</x:v>
      </x:c>
      <x:c r="O812" s="15" t="n">
        <x:f>IF(E812=0,"해당 없음",G812/E812)</x:f>
        <x:v>0.12745098039215685</x:v>
      </x:c>
      <x:c r="P812" s="15" t="n">
        <x:f>IF(E812=0,"해당 없음",H812/E812)</x:f>
        <x:v>0.06862745098039216</x:v>
      </x:c>
      <x:c r="Q812" s="15" t="n">
        <x:f>IF(E812=0,"해당 없음",I812/E812)</x:f>
        <x:v>0.06862745098039216</x:v>
      </x:c>
      <x:c r="R812" s="15" t="n">
        <x:f>IF(E812=0,"해당 없음",J812/E812)</x:f>
        <x:v>0</x:v>
      </x:c>
      <x:c r="S812" s="15" t="n">
        <x:f>IF(E812=0,"해당 없음",K812/E812)</x:f>
        <x:v>0.09803921568627451</x:v>
      </x:c>
      <x:c r="T812" s="15" t="n">
        <x:f>IF(E812=0,"해당 없음",L812/E812)</x:f>
        <x:v>0.38235294117647056</x:v>
      </x:c>
      <x:c r="U812" s="15" t="n">
        <x:f>IF(E812=0,"해당 없음",M812/E812)</x:f>
        <x:v>0.23529411764705882</x:v>
      </x:c>
      <x:c r="V812" s="16" t="n">
        <x:f>E812/5</x:f>
        <x:v>20.4</x:v>
      </x:c>
    </x:row>
    <x:row r="813" ht="22" customHeight="1">
      <x:c r="A813" s="2" t="n">
        <x:v>404</x:v>
      </x:c>
      <x:c r="B813" s="2" t="str">
        <x:v>NAVY</x:v>
      </x:c>
      <x:c r="C813" s="2" t="str">
        <x:v>0만</x:v>
      </x:c>
      <x:c r="D813" s="2" t="str">
        <x:v>160만</x:v>
      </x:c>
      <x:c r="E813" s="14" t="n">
        <x:f>SUM(F813:M813)</x:f>
        <x:v>105</x:v>
      </x:c>
      <x:c r="F813" s="14" t="n">
        <x:v>12</x:v>
      </x:c>
      <x:c r="G813" s="14" t="n">
        <x:v>18</x:v>
      </x:c>
      <x:c r="H813" s="14" t="n">
        <x:v>17</x:v>
      </x:c>
      <x:c r="I813" s="14" t="n">
        <x:v>13</x:v>
      </x:c>
      <x:c r="J813" s="14" t="n">
        <x:v>11</x:v>
      </x:c>
      <x:c r="K813" s="14" t="n">
        <x:v>15</x:v>
      </x:c>
      <x:c r="L813" s="14" t="n">
        <x:v>7</x:v>
      </x:c>
      <x:c r="M813" s="14" t="n">
        <x:v>12</x:v>
      </x:c>
      <x:c r="N813" s="15" t="n">
        <x:f>IF(E813=0,"해당 없음",F813/E813)</x:f>
        <x:v>0.11428571428571428</x:v>
      </x:c>
      <x:c r="O813" s="15" t="n">
        <x:f>IF(E813=0,"해당 없음",G813/E813)</x:f>
        <x:v>0.17142857142857143</x:v>
      </x:c>
      <x:c r="P813" s="15" t="n">
        <x:f>IF(E813=0,"해당 없음",H813/E813)</x:f>
        <x:v>0.1619047619047619</x:v>
      </x:c>
      <x:c r="Q813" s="15" t="n">
        <x:f>IF(E813=0,"해당 없음",I813/E813)</x:f>
        <x:v>0.12380952380952381</x:v>
      </x:c>
      <x:c r="R813" s="15" t="n">
        <x:f>IF(E813=0,"해당 없음",J813/E813)</x:f>
        <x:v>0.10476190476190476</x:v>
      </x:c>
      <x:c r="S813" s="15" t="n">
        <x:f>IF(E813=0,"해당 없음",K813/E813)</x:f>
        <x:v>0.14285714285714285</x:v>
      </x:c>
      <x:c r="T813" s="15" t="n">
        <x:f>IF(E813=0,"해당 없음",L813/E813)</x:f>
        <x:v>0.06666666666666667</x:v>
      </x:c>
      <x:c r="U813" s="15" t="n">
        <x:f>IF(E813=0,"해당 없음",M813/E813)</x:f>
        <x:v>0.11428571428571428</x:v>
      </x:c>
      <x:c r="V813" s="16" t="n">
        <x:f>E813/5</x:f>
        <x:v>21</x:v>
      </x:c>
    </x:row>
    <x:row r="814" ht="22" customHeight="1">
      <x:c r="A814" s="2" t="n">
        <x:v>405</x:v>
      </x:c>
      <x:c r="B814" s="2" t="str">
        <x:v>RED</x:v>
      </x:c>
      <x:c r="C814" s="2" t="str">
        <x:v>0만</x:v>
      </x:c>
      <x:c r="D814" s="2" t="str">
        <x:v>160만</x:v>
      </x:c>
      <x:c r="E814" s="14" t="n">
        <x:f>SUM(F814:M814)</x:f>
        <x:v>105</x:v>
      </x:c>
      <x:c r="F814" s="14" t="n">
        <x:v>11</x:v>
      </x:c>
      <x:c r="G814" s="14" t="n">
        <x:v>17</x:v>
      </x:c>
      <x:c r="H814" s="14" t="n">
        <x:v>15</x:v>
      </x:c>
      <x:c r="I814" s="14" t="n">
        <x:v>18</x:v>
      </x:c>
      <x:c r="J814" s="14" t="n">
        <x:v>14</x:v>
      </x:c>
      <x:c r="K814" s="14" t="n">
        <x:v>10</x:v>
      </x:c>
      <x:c r="L814" s="14" t="n">
        <x:v>12</x:v>
      </x:c>
      <x:c r="M814" s="14" t="n">
        <x:v>8</x:v>
      </x:c>
      <x:c r="N814" s="15" t="n">
        <x:f>IF(E814=0,"해당 없음",F814/E814)</x:f>
        <x:v>0.10476190476190476</x:v>
      </x:c>
      <x:c r="O814" s="15" t="n">
        <x:f>IF(E814=0,"해당 없음",G814/E814)</x:f>
        <x:v>0.1619047619047619</x:v>
      </x:c>
      <x:c r="P814" s="15" t="n">
        <x:f>IF(E814=0,"해당 없음",H814/E814)</x:f>
        <x:v>0.14285714285714285</x:v>
      </x:c>
      <x:c r="Q814" s="15" t="n">
        <x:f>IF(E814=0,"해당 없음",I814/E814)</x:f>
        <x:v>0.17142857142857143</x:v>
      </x:c>
      <x:c r="R814" s="15" t="n">
        <x:f>IF(E814=0,"해당 없음",J814/E814)</x:f>
        <x:v>0.13333333333333333</x:v>
      </x:c>
      <x:c r="S814" s="15" t="n">
        <x:f>IF(E814=0,"해당 없음",K814/E814)</x:f>
        <x:v>0.09523809523809523</x:v>
      </x:c>
      <x:c r="T814" s="15" t="n">
        <x:f>IF(E814=0,"해당 없음",L814/E814)</x:f>
        <x:v>0.11428571428571428</x:v>
      </x:c>
      <x:c r="U814" s="15" t="n">
        <x:f>IF(E814=0,"해당 없음",M814/E814)</x:f>
        <x:v>0.0761904761904762</x:v>
      </x:c>
      <x:c r="V814" s="16" t="n">
        <x:f>E814/5</x:f>
        <x:v>21</x:v>
      </x:c>
    </x:row>
    <x:row r="815" ht="22" customHeight="1">
      <x:c r="A815" s="2" t="n">
        <x:v>405</x:v>
      </x:c>
      <x:c r="B815" s="2" t="str">
        <x:v>NAVY</x:v>
      </x:c>
      <x:c r="C815" s="2" t="str">
        <x:v>160만</x:v>
      </x:c>
      <x:c r="D815" s="2" t="str">
        <x:v>0만</x:v>
      </x:c>
      <x:c r="E815" s="14" t="n">
        <x:f>SUM(F815:M815)</x:f>
        <x:v>105</x:v>
      </x:c>
      <x:c r="F815" s="14" t="n">
        <x:v>7</x:v>
      </x:c>
      <x:c r="G815" s="14" t="n">
        <x:v>17</x:v>
      </x:c>
      <x:c r="H815" s="14" t="n">
        <x:v>11</x:v>
      </x:c>
      <x:c r="I815" s="14" t="n">
        <x:v>5</x:v>
      </x:c>
      <x:c r="J815" s="14" t="n">
        <x:v>0</x:v>
      </x:c>
      <x:c r="K815" s="14" t="n">
        <x:v>4</x:v>
      </x:c>
      <x:c r="L815" s="14" t="n">
        <x:v>37</x:v>
      </x:c>
      <x:c r="M815" s="14" t="n">
        <x:v>24</x:v>
      </x:c>
      <x:c r="N815" s="15" t="n">
        <x:f>IF(E815=0,"해당 없음",F815/E815)</x:f>
        <x:v>0.06666666666666667</x:v>
      </x:c>
      <x:c r="O815" s="15" t="n">
        <x:f>IF(E815=0,"해당 없음",G815/E815)</x:f>
        <x:v>0.1619047619047619</x:v>
      </x:c>
      <x:c r="P815" s="15" t="n">
        <x:f>IF(E815=0,"해당 없음",H815/E815)</x:f>
        <x:v>0.10476190476190476</x:v>
      </x:c>
      <x:c r="Q815" s="15" t="n">
        <x:f>IF(E815=0,"해당 없음",I815/E815)</x:f>
        <x:v>0.047619047619047616</x:v>
      </x:c>
      <x:c r="R815" s="15" t="n">
        <x:f>IF(E815=0,"해당 없음",J815/E815)</x:f>
        <x:v>0</x:v>
      </x:c>
      <x:c r="S815" s="15" t="n">
        <x:f>IF(E815=0,"해당 없음",K815/E815)</x:f>
        <x:v>0.0380952380952381</x:v>
      </x:c>
      <x:c r="T815" s="15" t="n">
        <x:f>IF(E815=0,"해당 없음",L815/E815)</x:f>
        <x:v>0.3523809523809524</x:v>
      </x:c>
      <x:c r="U815" s="15" t="n">
        <x:f>IF(E815=0,"해당 없음",M815/E815)</x:f>
        <x:v>0.22857142857142856</x:v>
      </x:c>
      <x:c r="V815" s="16" t="n">
        <x:f>E815/5</x:f>
        <x:v>21</x:v>
      </x:c>
    </x:row>
    <x:row r="816" ht="22" customHeight="1">
      <x:c r="A816" s="2" t="n">
        <x:v>406</x:v>
      </x:c>
      <x:c r="B816" s="2" t="str">
        <x:v>RED</x:v>
      </x:c>
      <x:c r="C816" s="2" t="str">
        <x:v>160만</x:v>
      </x:c>
      <x:c r="D816" s="2" t="str">
        <x:v>0만</x:v>
      </x:c>
      <x:c r="E816" s="14" t="n">
        <x:f>SUM(F816:M816)</x:f>
        <x:v>105</x:v>
      </x:c>
      <x:c r="F816" s="14" t="n">
        <x:v>5</x:v>
      </x:c>
      <x:c r="G816" s="14" t="n">
        <x:v>25</x:v>
      </x:c>
      <x:c r="H816" s="14" t="n">
        <x:v>5</x:v>
      </x:c>
      <x:c r="I816" s="14" t="n">
        <x:v>4</x:v>
      </x:c>
      <x:c r="J816" s="14" t="n">
        <x:v>3</x:v>
      </x:c>
      <x:c r="K816" s="14" t="n">
        <x:v>6</x:v>
      </x:c>
      <x:c r="L816" s="14" t="n">
        <x:v>31</x:v>
      </x:c>
      <x:c r="M816" s="14" t="n">
        <x:v>26</x:v>
      </x:c>
      <x:c r="N816" s="15" t="n">
        <x:f>IF(E816=0,"해당 없음",F816/E816)</x:f>
        <x:v>0.047619047619047616</x:v>
      </x:c>
      <x:c r="O816" s="15" t="n">
        <x:f>IF(E816=0,"해당 없음",G816/E816)</x:f>
        <x:v>0.23809523809523808</x:v>
      </x:c>
      <x:c r="P816" s="15" t="n">
        <x:f>IF(E816=0,"해당 없음",H816/E816)</x:f>
        <x:v>0.047619047619047616</x:v>
      </x:c>
      <x:c r="Q816" s="15" t="n">
        <x:f>IF(E816=0,"해당 없음",I816/E816)</x:f>
        <x:v>0.0380952380952381</x:v>
      </x:c>
      <x:c r="R816" s="15" t="n">
        <x:f>IF(E816=0,"해당 없음",J816/E816)</x:f>
        <x:v>0.02857142857142857</x:v>
      </x:c>
      <x:c r="S816" s="15" t="n">
        <x:f>IF(E816=0,"해당 없음",K816/E816)</x:f>
        <x:v>0.05714285714285714</x:v>
      </x:c>
      <x:c r="T816" s="15" t="n">
        <x:f>IF(E816=0,"해당 없음",L816/E816)</x:f>
        <x:v>0.29523809523809524</x:v>
      </x:c>
      <x:c r="U816" s="15" t="n">
        <x:f>IF(E816=0,"해당 없음",M816/E816)</x:f>
        <x:v>0.24761904761904763</x:v>
      </x:c>
      <x:c r="V816" s="16" t="n">
        <x:f>E816/5</x:f>
        <x:v>21</x:v>
      </x:c>
    </x:row>
    <x:row r="817" ht="22" customHeight="1">
      <x:c r="A817" s="2" t="n">
        <x:v>406</x:v>
      </x:c>
      <x:c r="B817" s="2" t="str">
        <x:v>NAVY</x:v>
      </x:c>
      <x:c r="C817" s="2" t="str">
        <x:v>0만</x:v>
      </x:c>
      <x:c r="D817" s="2" t="str">
        <x:v>160만</x:v>
      </x:c>
      <x:c r="E817" s="14" t="n">
        <x:f>SUM(F817:M817)</x:f>
        <x:v>105</x:v>
      </x:c>
      <x:c r="F817" s="14" t="n">
        <x:v>11</x:v>
      </x:c>
      <x:c r="G817" s="14" t="n">
        <x:v>17</x:v>
      </x:c>
      <x:c r="H817" s="14" t="n">
        <x:v>15</x:v>
      </x:c>
      <x:c r="I817" s="14" t="n">
        <x:v>18</x:v>
      </x:c>
      <x:c r="J817" s="14" t="n">
        <x:v>14</x:v>
      </x:c>
      <x:c r="K817" s="14" t="n">
        <x:v>10</x:v>
      </x:c>
      <x:c r="L817" s="14" t="n">
        <x:v>12</x:v>
      </x:c>
      <x:c r="M817" s="14" t="n">
        <x:v>8</x:v>
      </x:c>
      <x:c r="N817" s="15" t="n">
        <x:f>IF(E817=0,"해당 없음",F817/E817)</x:f>
        <x:v>0.10476190476190476</x:v>
      </x:c>
      <x:c r="O817" s="15" t="n">
        <x:f>IF(E817=0,"해당 없음",G817/E817)</x:f>
        <x:v>0.1619047619047619</x:v>
      </x:c>
      <x:c r="P817" s="15" t="n">
        <x:f>IF(E817=0,"해당 없음",H817/E817)</x:f>
        <x:v>0.14285714285714285</x:v>
      </x:c>
      <x:c r="Q817" s="15" t="n">
        <x:f>IF(E817=0,"해당 없음",I817/E817)</x:f>
        <x:v>0.17142857142857143</x:v>
      </x:c>
      <x:c r="R817" s="15" t="n">
        <x:f>IF(E817=0,"해당 없음",J817/E817)</x:f>
        <x:v>0.13333333333333333</x:v>
      </x:c>
      <x:c r="S817" s="15" t="n">
        <x:f>IF(E817=0,"해당 없음",K817/E817)</x:f>
        <x:v>0.09523809523809523</x:v>
      </x:c>
      <x:c r="T817" s="15" t="n">
        <x:f>IF(E817=0,"해당 없음",L817/E817)</x:f>
        <x:v>0.11428571428571428</x:v>
      </x:c>
      <x:c r="U817" s="15" t="n">
        <x:f>IF(E817=0,"해당 없음",M817/E817)</x:f>
        <x:v>0.0761904761904762</x:v>
      </x:c>
      <x:c r="V817" s="16" t="n">
        <x:f>E817/5</x:f>
        <x:v>21</x:v>
      </x:c>
    </x:row>
    <x:row r="818" ht="22" customHeight="1">
      <x:c r="A818" s="2" t="n">
        <x:v>407</x:v>
      </x:c>
      <x:c r="B818" s="2" t="str">
        <x:v>RED</x:v>
      </x:c>
      <x:c r="C818" s="2" t="str">
        <x:v>0만</x:v>
      </x:c>
      <x:c r="D818" s="2" t="str">
        <x:v>160만</x:v>
      </x:c>
      <x:c r="E818" s="14" t="n">
        <x:f>SUM(F818:M818)</x:f>
        <x:v>104</x:v>
      </x:c>
      <x:c r="F818" s="14" t="n">
        <x:v>8</x:v>
      </x:c>
      <x:c r="G818" s="14" t="n">
        <x:v>12</x:v>
      </x:c>
      <x:c r="H818" s="14" t="n">
        <x:v>17</x:v>
      </x:c>
      <x:c r="I818" s="14" t="n">
        <x:v>17</x:v>
      </x:c>
      <x:c r="J818" s="14" t="n">
        <x:v>11</x:v>
      </x:c>
      <x:c r="K818" s="14" t="n">
        <x:v>19</x:v>
      </x:c>
      <x:c r="L818" s="14" t="n">
        <x:v>7</x:v>
      </x:c>
      <x:c r="M818" s="14" t="n">
        <x:v>13</x:v>
      </x:c>
      <x:c r="N818" s="15" t="n">
        <x:f>IF(E818=0,"해당 없음",F818/E818)</x:f>
        <x:v>0.07692307692307693</x:v>
      </x:c>
      <x:c r="O818" s="15" t="n">
        <x:f>IF(E818=0,"해당 없음",G818/E818)</x:f>
        <x:v>0.11538461538461539</x:v>
      </x:c>
      <x:c r="P818" s="15" t="n">
        <x:f>IF(E818=0,"해당 없음",H818/E818)</x:f>
        <x:v>0.16346153846153846</x:v>
      </x:c>
      <x:c r="Q818" s="15" t="n">
        <x:f>IF(E818=0,"해당 없음",I818/E818)</x:f>
        <x:v>0.16346153846153846</x:v>
      </x:c>
      <x:c r="R818" s="15" t="n">
        <x:f>IF(E818=0,"해당 없음",J818/E818)</x:f>
        <x:v>0.10576923076923077</x:v>
      </x:c>
      <x:c r="S818" s="15" t="n">
        <x:f>IF(E818=0,"해당 없음",K818/E818)</x:f>
        <x:v>0.18269230769230768</x:v>
      </x:c>
      <x:c r="T818" s="15" t="n">
        <x:f>IF(E818=0,"해당 없음",L818/E818)</x:f>
        <x:v>0.0673076923076923</x:v>
      </x:c>
      <x:c r="U818" s="15" t="n">
        <x:f>IF(E818=0,"해당 없음",M818/E818)</x:f>
        <x:v>0.125</x:v>
      </x:c>
      <x:c r="V818" s="16" t="n">
        <x:f>E818/5</x:f>
        <x:v>20.8</x:v>
      </x:c>
    </x:row>
    <x:row r="819" ht="22" customHeight="1">
      <x:c r="A819" s="2" t="n">
        <x:v>407</x:v>
      </x:c>
      <x:c r="B819" s="2" t="str">
        <x:v>NAVY</x:v>
      </x:c>
      <x:c r="C819" s="2" t="str">
        <x:v>160만</x:v>
      </x:c>
      <x:c r="D819" s="2" t="str">
        <x:v>0만</x:v>
      </x:c>
      <x:c r="E819" s="14" t="n">
        <x:f>SUM(F819:M819)</x:f>
        <x:v>105</x:v>
      </x:c>
      <x:c r="F819" s="14" t="n">
        <x:v>5</x:v>
      </x:c>
      <x:c r="G819" s="14" t="n">
        <x:v>18</x:v>
      </x:c>
      <x:c r="H819" s="14" t="n">
        <x:v>6</x:v>
      </x:c>
      <x:c r="I819" s="14" t="n">
        <x:v>10</x:v>
      </x:c>
      <x:c r="J819" s="14" t="n">
        <x:v>1</x:v>
      </x:c>
      <x:c r="K819" s="14" t="n">
        <x:v>11</x:v>
      </x:c>
      <x:c r="L819" s="14" t="n">
        <x:v>39</x:v>
      </x:c>
      <x:c r="M819" s="14" t="n">
        <x:v>15</x:v>
      </x:c>
      <x:c r="N819" s="15" t="n">
        <x:f>IF(E819=0,"해당 없음",F819/E819)</x:f>
        <x:v>0.047619047619047616</x:v>
      </x:c>
      <x:c r="O819" s="15" t="n">
        <x:f>IF(E819=0,"해당 없음",G819/E819)</x:f>
        <x:v>0.17142857142857143</x:v>
      </x:c>
      <x:c r="P819" s="15" t="n">
        <x:f>IF(E819=0,"해당 없음",H819/E819)</x:f>
        <x:v>0.05714285714285714</x:v>
      </x:c>
      <x:c r="Q819" s="15" t="n">
        <x:f>IF(E819=0,"해당 없음",I819/E819)</x:f>
        <x:v>0.09523809523809523</x:v>
      </x:c>
      <x:c r="R819" s="15" t="n">
        <x:f>IF(E819=0,"해당 없음",J819/E819)</x:f>
        <x:v>0.009523809523809525</x:v>
      </x:c>
      <x:c r="S819" s="15" t="n">
        <x:f>IF(E819=0,"해당 없음",K819/E819)</x:f>
        <x:v>0.10476190476190476</x:v>
      </x:c>
      <x:c r="T819" s="15" t="n">
        <x:f>IF(E819=0,"해당 없음",L819/E819)</x:f>
        <x:v>0.37142857142857144</x:v>
      </x:c>
      <x:c r="U819" s="15" t="n">
        <x:f>IF(E819=0,"해당 없음",M819/E819)</x:f>
        <x:v>0.14285714285714285</x:v>
      </x:c>
      <x:c r="V819" s="16" t="n">
        <x:f>E819/5</x:f>
        <x:v>21</x:v>
      </x:c>
    </x:row>
    <x:row r="820" ht="22" customHeight="1">
      <x:c r="A820" s="2" t="n">
        <x:v>408</x:v>
      </x:c>
      <x:c r="B820" s="2" t="str">
        <x:v>RED</x:v>
      </x:c>
      <x:c r="C820" s="2" t="str">
        <x:v>160만</x:v>
      </x:c>
      <x:c r="D820" s="2" t="str">
        <x:v>0만</x:v>
      </x:c>
      <x:c r="E820" s="14" t="n">
        <x:f>SUM(F820:M820)</x:f>
        <x:v>107</x:v>
      </x:c>
      <x:c r="F820" s="14" t="n">
        <x:v>1</x:v>
      </x:c>
      <x:c r="G820" s="14" t="n">
        <x:v>21</x:v>
      </x:c>
      <x:c r="H820" s="14" t="n">
        <x:v>8</x:v>
      </x:c>
      <x:c r="I820" s="14" t="n">
        <x:v>6</x:v>
      </x:c>
      <x:c r="J820" s="14" t="n">
        <x:v>4</x:v>
      </x:c>
      <x:c r="K820" s="14" t="n">
        <x:v>8</x:v>
      </x:c>
      <x:c r="L820" s="14" t="n">
        <x:v>35</x:v>
      </x:c>
      <x:c r="M820" s="14" t="n">
        <x:v>24</x:v>
      </x:c>
      <x:c r="N820" s="15" t="n">
        <x:f>IF(E820=0,"해당 없음",F820/E820)</x:f>
        <x:v>0.009345794392523364</x:v>
      </x:c>
      <x:c r="O820" s="15" t="n">
        <x:f>IF(E820=0,"해당 없음",G820/E820)</x:f>
        <x:v>0.19626168224299065</x:v>
      </x:c>
      <x:c r="P820" s="15" t="n">
        <x:f>IF(E820=0,"해당 없음",H820/E820)</x:f>
        <x:v>0.07476635514018691</x:v>
      </x:c>
      <x:c r="Q820" s="15" t="n">
        <x:f>IF(E820=0,"해당 없음",I820/E820)</x:f>
        <x:v>0.056074766355140186</x:v>
      </x:c>
      <x:c r="R820" s="15" t="n">
        <x:f>IF(E820=0,"해당 없음",J820/E820)</x:f>
        <x:v>0.037383177570093455</x:v>
      </x:c>
      <x:c r="S820" s="15" t="n">
        <x:f>IF(E820=0,"해당 없음",K820/E820)</x:f>
        <x:v>0.07476635514018691</x:v>
      </x:c>
      <x:c r="T820" s="15" t="n">
        <x:f>IF(E820=0,"해당 없음",L820/E820)</x:f>
        <x:v>0.32710280373831774</x:v>
      </x:c>
      <x:c r="U820" s="15" t="n">
        <x:f>IF(E820=0,"해당 없음",M820/E820)</x:f>
        <x:v>0.22429906542056074</x:v>
      </x:c>
      <x:c r="V820" s="16" t="n">
        <x:f>E820/5</x:f>
        <x:v>21.4</x:v>
      </x:c>
    </x:row>
    <x:row r="821" ht="22" customHeight="1">
      <x:c r="A821" s="2" t="n">
        <x:v>408</x:v>
      </x:c>
      <x:c r="B821" s="2" t="str">
        <x:v>NAVY</x:v>
      </x:c>
      <x:c r="C821" s="2" t="str">
        <x:v>0만</x:v>
      </x:c>
      <x:c r="D821" s="2" t="str">
        <x:v>160만</x:v>
      </x:c>
      <x:c r="E821" s="14" t="n">
        <x:f>SUM(F821:M821)</x:f>
        <x:v>107</x:v>
      </x:c>
      <x:c r="F821" s="14" t="n">
        <x:v>11</x:v>
      </x:c>
      <x:c r="G821" s="14" t="n">
        <x:v>12</x:v>
      </x:c>
      <x:c r="H821" s="14" t="n">
        <x:v>17</x:v>
      </x:c>
      <x:c r="I821" s="14" t="n">
        <x:v>17</x:v>
      </x:c>
      <x:c r="J821" s="14" t="n">
        <x:v>11</x:v>
      </x:c>
      <x:c r="K821" s="14" t="n">
        <x:v>18</x:v>
      </x:c>
      <x:c r="L821" s="14" t="n">
        <x:v>8</x:v>
      </x:c>
      <x:c r="M821" s="14" t="n">
        <x:v>13</x:v>
      </x:c>
      <x:c r="N821" s="15" t="n">
        <x:f>IF(E821=0,"해당 없음",F821/E821)</x:f>
        <x:v>0.102803738317757</x:v>
      </x:c>
      <x:c r="O821" s="15" t="n">
        <x:f>IF(E821=0,"해당 없음",G821/E821)</x:f>
        <x:v>0.11214953271028037</x:v>
      </x:c>
      <x:c r="P821" s="15" t="n">
        <x:f>IF(E821=0,"해당 없음",H821/E821)</x:f>
        <x:v>0.1588785046728972</x:v>
      </x:c>
      <x:c r="Q821" s="15" t="n">
        <x:f>IF(E821=0,"해당 없음",I821/E821)</x:f>
        <x:v>0.1588785046728972</x:v>
      </x:c>
      <x:c r="R821" s="15" t="n">
        <x:f>IF(E821=0,"해당 없음",J821/E821)</x:f>
        <x:v>0.102803738317757</x:v>
      </x:c>
      <x:c r="S821" s="15" t="n">
        <x:f>IF(E821=0,"해당 없음",K821/E821)</x:f>
        <x:v>0.16822429906542055</x:v>
      </x:c>
      <x:c r="T821" s="15" t="n">
        <x:f>IF(E821=0,"해당 없음",L821/E821)</x:f>
        <x:v>0.07476635514018691</x:v>
      </x:c>
      <x:c r="U821" s="15" t="n">
        <x:f>IF(E821=0,"해당 없음",M821/E821)</x:f>
        <x:v>0.12149532710280374</x:v>
      </x:c>
      <x:c r="V821" s="16" t="n">
        <x:f>E821/5</x:f>
        <x:v>21.4</x:v>
      </x:c>
    </x:row>
    <x:row r="822" ht="22" customHeight="1">
      <x:c r="A822" s="2" t="n">
        <x:v>409</x:v>
      </x:c>
      <x:c r="B822" s="2" t="str">
        <x:v>RED</x:v>
      </x:c>
      <x:c r="C822" s="2" t="str">
        <x:v>0만</x:v>
      </x:c>
      <x:c r="D822" s="2" t="str">
        <x:v>160만</x:v>
      </x:c>
      <x:c r="E822" s="14" t="n">
        <x:f>SUM(F822:M822)</x:f>
        <x:v>108</x:v>
      </x:c>
      <x:c r="F822" s="14" t="n">
        <x:v>10</x:v>
      </x:c>
      <x:c r="G822" s="14" t="n">
        <x:v>9</x:v>
      </x:c>
      <x:c r="H822" s="14" t="n">
        <x:v>15</x:v>
      </x:c>
      <x:c r="I822" s="14" t="n">
        <x:v>11</x:v>
      </x:c>
      <x:c r="J822" s="14" t="n">
        <x:v>13</x:v>
      </x:c>
      <x:c r="K822" s="14" t="n">
        <x:v>17</x:v>
      </x:c>
      <x:c r="L822" s="14" t="n">
        <x:v>15</x:v>
      </x:c>
      <x:c r="M822" s="14" t="n">
        <x:v>18</x:v>
      </x:c>
      <x:c r="N822" s="15" t="n">
        <x:f>IF(E822=0,"해당 없음",F822/E822)</x:f>
        <x:v>0.09259259259259259</x:v>
      </x:c>
      <x:c r="O822" s="15" t="n">
        <x:f>IF(E822=0,"해당 없음",G822/E822)</x:f>
        <x:v>0.08333333333333333</x:v>
      </x:c>
      <x:c r="P822" s="15" t="n">
        <x:f>IF(E822=0,"해당 없음",H822/E822)</x:f>
        <x:v>0.1388888888888889</x:v>
      </x:c>
      <x:c r="Q822" s="15" t="n">
        <x:f>IF(E822=0,"해당 없음",I822/E822)</x:f>
        <x:v>0.10185185185185185</x:v>
      </x:c>
      <x:c r="R822" s="15" t="n">
        <x:f>IF(E822=0,"해당 없음",J822/E822)</x:f>
        <x:v>0.12037037037037036</x:v>
      </x:c>
      <x:c r="S822" s="15" t="n">
        <x:f>IF(E822=0,"해당 없음",K822/E822)</x:f>
        <x:v>0.1574074074074074</x:v>
      </x:c>
      <x:c r="T822" s="15" t="n">
        <x:f>IF(E822=0,"해당 없음",L822/E822)</x:f>
        <x:v>0.1388888888888889</x:v>
      </x:c>
      <x:c r="U822" s="15" t="n">
        <x:f>IF(E822=0,"해당 없음",M822/E822)</x:f>
        <x:v>0.16666666666666666</x:v>
      </x:c>
      <x:c r="V822" s="16" t="n">
        <x:f>E822/5</x:f>
        <x:v>21.6</x:v>
      </x:c>
    </x:row>
    <x:row r="823" ht="22" customHeight="1">
      <x:c r="A823" s="2" t="n">
        <x:v>409</x:v>
      </x:c>
      <x:c r="B823" s="2" t="str">
        <x:v>NAVY</x:v>
      </x:c>
      <x:c r="C823" s="2" t="str">
        <x:v>160만</x:v>
      </x:c>
      <x:c r="D823" s="2" t="str">
        <x:v>0만</x:v>
      </x:c>
      <x:c r="E823" s="14" t="n">
        <x:f>SUM(F823:M823)</x:f>
        <x:v>108</x:v>
      </x:c>
      <x:c r="F823" s="14" t="n">
        <x:v>4</x:v>
      </x:c>
      <x:c r="G823" s="14" t="n">
        <x:v>19</x:v>
      </x:c>
      <x:c r="H823" s="14" t="n">
        <x:v>10</x:v>
      </x:c>
      <x:c r="I823" s="14" t="n">
        <x:v>4</x:v>
      </x:c>
      <x:c r="J823" s="14" t="n">
        <x:v>5</x:v>
      </x:c>
      <x:c r="K823" s="14" t="n">
        <x:v>3</x:v>
      </x:c>
      <x:c r="L823" s="14" t="n">
        <x:v>36</x:v>
      </x:c>
      <x:c r="M823" s="14" t="n">
        <x:v>27</x:v>
      </x:c>
      <x:c r="N823" s="15" t="n">
        <x:f>IF(E823=0,"해당 없음",F823/E823)</x:f>
        <x:v>0.037037037037037035</x:v>
      </x:c>
      <x:c r="O823" s="15" t="n">
        <x:f>IF(E823=0,"해당 없음",G823/E823)</x:f>
        <x:v>0.17592592592592593</x:v>
      </x:c>
      <x:c r="P823" s="15" t="n">
        <x:f>IF(E823=0,"해당 없음",H823/E823)</x:f>
        <x:v>0.09259259259259259</x:v>
      </x:c>
      <x:c r="Q823" s="15" t="n">
        <x:f>IF(E823=0,"해당 없음",I823/E823)</x:f>
        <x:v>0.037037037037037035</x:v>
      </x:c>
      <x:c r="R823" s="15" t="n">
        <x:f>IF(E823=0,"해당 없음",J823/E823)</x:f>
        <x:v>0.046296296296296294</x:v>
      </x:c>
      <x:c r="S823" s="15" t="n">
        <x:f>IF(E823=0,"해당 없음",K823/E823)</x:f>
        <x:v>0.027777777777777776</x:v>
      </x:c>
      <x:c r="T823" s="15" t="n">
        <x:f>IF(E823=0,"해당 없음",L823/E823)</x:f>
        <x:v>0.3333333333333333</x:v>
      </x:c>
      <x:c r="U823" s="15" t="n">
        <x:f>IF(E823=0,"해당 없음",M823/E823)</x:f>
        <x:v>0.25</x:v>
      </x:c>
      <x:c r="V823" s="16" t="n">
        <x:f>E823/5</x:f>
        <x:v>21.6</x:v>
      </x:c>
    </x:row>
    <x:row r="824" ht="22" customHeight="1">
      <x:c r="A824" s="2" t="n">
        <x:v>410</x:v>
      </x:c>
      <x:c r="B824" s="2" t="str">
        <x:v>RED</x:v>
      </x:c>
      <x:c r="C824" s="2" t="str">
        <x:v>160만</x:v>
      </x:c>
      <x:c r="D824" s="2" t="str">
        <x:v>0만</x:v>
      </x:c>
      <x:c r="E824" s="14" t="n">
        <x:f>SUM(F824:M824)</x:f>
        <x:v>106</x:v>
      </x:c>
      <x:c r="F824" s="14" t="n">
        <x:v>2</x:v>
      </x:c>
      <x:c r="G824" s="14" t="n">
        <x:v>16</x:v>
      </x:c>
      <x:c r="H824" s="14" t="n">
        <x:v>8</x:v>
      </x:c>
      <x:c r="I824" s="14" t="n">
        <x:v>10</x:v>
      </x:c>
      <x:c r="J824" s="14" t="n">
        <x:v>4</x:v>
      </x:c>
      <x:c r="K824" s="14" t="n">
        <x:v>6</x:v>
      </x:c>
      <x:c r="L824" s="14" t="n">
        <x:v>37</x:v>
      </x:c>
      <x:c r="M824" s="14" t="n">
        <x:v>23</x:v>
      </x:c>
      <x:c r="N824" s="15" t="n">
        <x:f>IF(E824=0,"해당 없음",F824/E824)</x:f>
        <x:v>0.018867924528301886</x:v>
      </x:c>
      <x:c r="O824" s="15" t="n">
        <x:f>IF(E824=0,"해당 없음",G824/E824)</x:f>
        <x:v>0.1509433962264151</x:v>
      </x:c>
      <x:c r="P824" s="15" t="n">
        <x:f>IF(E824=0,"해당 없음",H824/E824)</x:f>
        <x:v>0.07547169811320754</x:v>
      </x:c>
      <x:c r="Q824" s="15" t="n">
        <x:f>IF(E824=0,"해당 없음",I824/E824)</x:f>
        <x:v>0.09433962264150944</x:v>
      </x:c>
      <x:c r="R824" s="15" t="n">
        <x:f>IF(E824=0,"해당 없음",J824/E824)</x:f>
        <x:v>0.03773584905660377</x:v>
      </x:c>
      <x:c r="S824" s="15" t="n">
        <x:f>IF(E824=0,"해당 없음",K824/E824)</x:f>
        <x:v>0.05660377358490566</x:v>
      </x:c>
      <x:c r="T824" s="15" t="n">
        <x:f>IF(E824=0,"해당 없음",L824/E824)</x:f>
        <x:v>0.3490566037735849</x:v>
      </x:c>
      <x:c r="U824" s="15" t="n">
        <x:f>IF(E824=0,"해당 없음",M824/E824)</x:f>
        <x:v>0.2169811320754717</x:v>
      </x:c>
      <x:c r="V824" s="16" t="n">
        <x:f>E824/5</x:f>
        <x:v>21.2</x:v>
      </x:c>
    </x:row>
    <x:row r="825" ht="22" customHeight="1">
      <x:c r="A825" s="2" t="n">
        <x:v>410</x:v>
      </x:c>
      <x:c r="B825" s="2" t="str">
        <x:v>NAVY</x:v>
      </x:c>
      <x:c r="C825" s="2" t="str">
        <x:v>0만</x:v>
      </x:c>
      <x:c r="D825" s="2" t="str">
        <x:v>160만</x:v>
      </x:c>
      <x:c r="E825" s="14" t="n">
        <x:f>SUM(F825:M825)</x:f>
        <x:v>106</x:v>
      </x:c>
      <x:c r="F825" s="14" t="n">
        <x:v>9</x:v>
      </x:c>
      <x:c r="G825" s="14" t="n">
        <x:v>9</x:v>
      </x:c>
      <x:c r="H825" s="14" t="n">
        <x:v>15</x:v>
      </x:c>
      <x:c r="I825" s="14" t="n">
        <x:v>10</x:v>
      </x:c>
      <x:c r="J825" s="14" t="n">
        <x:v>13</x:v>
      </x:c>
      <x:c r="K825" s="14" t="n">
        <x:v>17</x:v>
      </x:c>
      <x:c r="L825" s="14" t="n">
        <x:v>15</x:v>
      </x:c>
      <x:c r="M825" s="14" t="n">
        <x:v>18</x:v>
      </x:c>
      <x:c r="N825" s="15" t="n">
        <x:f>IF(E825=0,"해당 없음",F825/E825)</x:f>
        <x:v>0.08490566037735849</x:v>
      </x:c>
      <x:c r="O825" s="15" t="n">
        <x:f>IF(E825=0,"해당 없음",G825/E825)</x:f>
        <x:v>0.08490566037735849</x:v>
      </x:c>
      <x:c r="P825" s="15" t="n">
        <x:f>IF(E825=0,"해당 없음",H825/E825)</x:f>
        <x:v>0.14150943396226415</x:v>
      </x:c>
      <x:c r="Q825" s="15" t="n">
        <x:f>IF(E825=0,"해당 없음",I825/E825)</x:f>
        <x:v>0.09433962264150944</x:v>
      </x:c>
      <x:c r="R825" s="15" t="n">
        <x:f>IF(E825=0,"해당 없음",J825/E825)</x:f>
        <x:v>0.12264150943396226</x:v>
      </x:c>
      <x:c r="S825" s="15" t="n">
        <x:f>IF(E825=0,"해당 없음",K825/E825)</x:f>
        <x:v>0.16037735849056603</x:v>
      </x:c>
      <x:c r="T825" s="15" t="n">
        <x:f>IF(E825=0,"해당 없음",L825/E825)</x:f>
        <x:v>0.14150943396226415</x:v>
      </x:c>
      <x:c r="U825" s="15" t="n">
        <x:f>IF(E825=0,"해당 없음",M825/E825)</x:f>
        <x:v>0.16981132075471697</x:v>
      </x:c>
      <x:c r="V825" s="16" t="n">
        <x:f>E825/5</x:f>
        <x:v>21.2</x:v>
      </x:c>
    </x:row>
    <x:row r="826" ht="22" customHeight="1">
      <x:c r="A826" s="2" t="n">
        <x:v>411</x:v>
      </x:c>
      <x:c r="B826" s="2" t="str">
        <x:v>RED</x:v>
      </x:c>
      <x:c r="C826" s="2" t="str">
        <x:v>0만</x:v>
      </x:c>
      <x:c r="D826" s="2" t="str">
        <x:v>160만</x:v>
      </x:c>
      <x:c r="E826" s="14" t="n">
        <x:f>SUM(F826:M826)</x:f>
        <x:v>103</x:v>
      </x:c>
      <x:c r="F826" s="14" t="n">
        <x:v>14</x:v>
      </x:c>
      <x:c r="G826" s="14" t="n">
        <x:v>9</x:v>
      </x:c>
      <x:c r="H826" s="14" t="n">
        <x:v>10</x:v>
      </x:c>
      <x:c r="I826" s="14" t="n">
        <x:v>11</x:v>
      </x:c>
      <x:c r="J826" s="14" t="n">
        <x:v>18</x:v>
      </x:c>
      <x:c r="K826" s="14" t="n">
        <x:v>14</x:v>
      </x:c>
      <x:c r="L826" s="14" t="n">
        <x:v>10</x:v>
      </x:c>
      <x:c r="M826" s="14" t="n">
        <x:v>17</x:v>
      </x:c>
      <x:c r="N826" s="15" t="n">
        <x:f>IF(E826=0,"해당 없음",F826/E826)</x:f>
        <x:v>0.13592233009708737</x:v>
      </x:c>
      <x:c r="O826" s="15" t="n">
        <x:f>IF(E826=0,"해당 없음",G826/E826)</x:f>
        <x:v>0.08737864077669903</x:v>
      </x:c>
      <x:c r="P826" s="15" t="n">
        <x:f>IF(E826=0,"해당 없음",H826/E826)</x:f>
        <x:v>0.0970873786407767</x:v>
      </x:c>
      <x:c r="Q826" s="15" t="n">
        <x:f>IF(E826=0,"해당 없음",I826/E826)</x:f>
        <x:v>0.10679611650485436</x:v>
      </x:c>
      <x:c r="R826" s="15" t="n">
        <x:f>IF(E826=0,"해당 없음",J826/E826)</x:f>
        <x:v>0.17475728155339806</x:v>
      </x:c>
      <x:c r="S826" s="15" t="n">
        <x:f>IF(E826=0,"해당 없음",K826/E826)</x:f>
        <x:v>0.13592233009708737</x:v>
      </x:c>
      <x:c r="T826" s="15" t="n">
        <x:f>IF(E826=0,"해당 없음",L826/E826)</x:f>
        <x:v>0.0970873786407767</x:v>
      </x:c>
      <x:c r="U826" s="15" t="n">
        <x:f>IF(E826=0,"해당 없음",M826/E826)</x:f>
        <x:v>0.1650485436893204</x:v>
      </x:c>
      <x:c r="V826" s="16" t="n">
        <x:f>E826/5</x:f>
        <x:v>20.6</x:v>
      </x:c>
    </x:row>
    <x:row r="827" ht="22" customHeight="1">
      <x:c r="A827" s="2" t="n">
        <x:v>411</x:v>
      </x:c>
      <x:c r="B827" s="2" t="str">
        <x:v>NAVY</x:v>
      </x:c>
      <x:c r="C827" s="2" t="str">
        <x:v>160만</x:v>
      </x:c>
      <x:c r="D827" s="2" t="str">
        <x:v>0만</x:v>
      </x:c>
      <x:c r="E827" s="14" t="n">
        <x:f>SUM(F827:M827)</x:f>
        <x:v>101</x:v>
      </x:c>
      <x:c r="F827" s="14" t="n">
        <x:v>3</x:v>
      </x:c>
      <x:c r="G827" s="14" t="n">
        <x:v>18</x:v>
      </x:c>
      <x:c r="H827" s="14" t="n">
        <x:v>4</x:v>
      </x:c>
      <x:c r="I827" s="14" t="n">
        <x:v>6</x:v>
      </x:c>
      <x:c r="J827" s="14" t="n">
        <x:v>3</x:v>
      </x:c>
      <x:c r="K827" s="14" t="n">
        <x:v>7</x:v>
      </x:c>
      <x:c r="L827" s="14" t="n">
        <x:v>28</x:v>
      </x:c>
      <x:c r="M827" s="14" t="n">
        <x:v>32</x:v>
      </x:c>
      <x:c r="N827" s="15" t="n">
        <x:f>IF(E827=0,"해당 없음",F827/E827)</x:f>
        <x:v>0.0297029702970297</x:v>
      </x:c>
      <x:c r="O827" s="15" t="n">
        <x:f>IF(E827=0,"해당 없음",G827/E827)</x:f>
        <x:v>0.1782178217821782</x:v>
      </x:c>
      <x:c r="P827" s="15" t="n">
        <x:f>IF(E827=0,"해당 없음",H827/E827)</x:f>
        <x:v>0.039603960396039604</x:v>
      </x:c>
      <x:c r="Q827" s="15" t="n">
        <x:f>IF(E827=0,"해당 없음",I827/E827)</x:f>
        <x:v>0.0594059405940594</x:v>
      </x:c>
      <x:c r="R827" s="15" t="n">
        <x:f>IF(E827=0,"해당 없음",J827/E827)</x:f>
        <x:v>0.0297029702970297</x:v>
      </x:c>
      <x:c r="S827" s="15" t="n">
        <x:f>IF(E827=0,"해당 없음",K827/E827)</x:f>
        <x:v>0.06930693069306931</x:v>
      </x:c>
      <x:c r="T827" s="15" t="n">
        <x:f>IF(E827=0,"해당 없음",L827/E827)</x:f>
        <x:v>0.27722772277227725</x:v>
      </x:c>
      <x:c r="U827" s="15" t="n">
        <x:f>IF(E827=0,"해당 없음",M827/E827)</x:f>
        <x:v>0.31683168316831684</x:v>
      </x:c>
      <x:c r="V827" s="16" t="n">
        <x:f>E827/5</x:f>
        <x:v>20.2</x:v>
      </x:c>
    </x:row>
    <x:row r="828" ht="22" customHeight="1">
      <x:c r="A828" s="2" t="n">
        <x:v>412</x:v>
      </x:c>
      <x:c r="B828" s="2" t="str">
        <x:v>RED</x:v>
      </x:c>
      <x:c r="C828" s="2" t="str">
        <x:v>160만</x:v>
      </x:c>
      <x:c r="D828" s="2" t="str">
        <x:v>0만</x:v>
      </x:c>
      <x:c r="E828" s="14" t="n">
        <x:f>SUM(F828:M828)</x:f>
        <x:v>107</x:v>
      </x:c>
      <x:c r="F828" s="14" t="n">
        <x:v>5</x:v>
      </x:c>
      <x:c r="G828" s="14" t="n">
        <x:v>28</x:v>
      </x:c>
      <x:c r="H828" s="14" t="n">
        <x:v>10</x:v>
      </x:c>
      <x:c r="I828" s="14" t="n">
        <x:v>7</x:v>
      </x:c>
      <x:c r="J828" s="14" t="n">
        <x:v>3</x:v>
      </x:c>
      <x:c r="K828" s="14" t="n">
        <x:v>8</x:v>
      </x:c>
      <x:c r="L828" s="14" t="n">
        <x:v>28</x:v>
      </x:c>
      <x:c r="M828" s="14" t="n">
        <x:v>18</x:v>
      </x:c>
      <x:c r="N828" s="15" t="n">
        <x:f>IF(E828=0,"해당 없음",F828/E828)</x:f>
        <x:v>0.04672897196261682</x:v>
      </x:c>
      <x:c r="O828" s="15" t="n">
        <x:f>IF(E828=0,"해당 없음",G828/E828)</x:f>
        <x:v>0.2616822429906542</x:v>
      </x:c>
      <x:c r="P828" s="15" t="n">
        <x:f>IF(E828=0,"해당 없음",H828/E828)</x:f>
        <x:v>0.09345794392523364</x:v>
      </x:c>
      <x:c r="Q828" s="15" t="n">
        <x:f>IF(E828=0,"해당 없음",I828/E828)</x:f>
        <x:v>0.06542056074766354</x:v>
      </x:c>
      <x:c r="R828" s="15" t="n">
        <x:f>IF(E828=0,"해당 없음",J828/E828)</x:f>
        <x:v>0.028037383177570093</x:v>
      </x:c>
      <x:c r="S828" s="15" t="n">
        <x:f>IF(E828=0,"해당 없음",K828/E828)</x:f>
        <x:v>0.07476635514018691</x:v>
      </x:c>
      <x:c r="T828" s="15" t="n">
        <x:f>IF(E828=0,"해당 없음",L828/E828)</x:f>
        <x:v>0.2616822429906542</x:v>
      </x:c>
      <x:c r="U828" s="15" t="n">
        <x:f>IF(E828=0,"해당 없음",M828/E828)</x:f>
        <x:v>0.16822429906542055</x:v>
      </x:c>
      <x:c r="V828" s="16" t="n">
        <x:f>E828/5</x:f>
        <x:v>21.4</x:v>
      </x:c>
    </x:row>
    <x:row r="829" ht="22" customHeight="1">
      <x:c r="A829" s="2" t="n">
        <x:v>412</x:v>
      </x:c>
      <x:c r="B829" s="2" t="str">
        <x:v>NAVY</x:v>
      </x:c>
      <x:c r="C829" s="2" t="str">
        <x:v>0만</x:v>
      </x:c>
      <x:c r="D829" s="2" t="str">
        <x:v>160만</x:v>
      </x:c>
      <x:c r="E829" s="14" t="n">
        <x:f>SUM(F829:M829)</x:f>
        <x:v>106</x:v>
      </x:c>
      <x:c r="F829" s="14" t="n">
        <x:v>14</x:v>
      </x:c>
      <x:c r="G829" s="14" t="n">
        <x:v>9</x:v>
      </x:c>
      <x:c r="H829" s="14" t="n">
        <x:v>10</x:v>
      </x:c>
      <x:c r="I829" s="14" t="n">
        <x:v>11</x:v>
      </x:c>
      <x:c r="J829" s="14" t="n">
        <x:v>18</x:v>
      </x:c>
      <x:c r="K829" s="14" t="n">
        <x:v>15</x:v>
      </x:c>
      <x:c r="L829" s="14" t="n">
        <x:v>10</x:v>
      </x:c>
      <x:c r="M829" s="14" t="n">
        <x:v>19</x:v>
      </x:c>
      <x:c r="N829" s="15" t="n">
        <x:f>IF(E829=0,"해당 없음",F829/E829)</x:f>
        <x:v>0.1320754716981132</x:v>
      </x:c>
      <x:c r="O829" s="15" t="n">
        <x:f>IF(E829=0,"해당 없음",G829/E829)</x:f>
        <x:v>0.08490566037735849</x:v>
      </x:c>
      <x:c r="P829" s="15" t="n">
        <x:f>IF(E829=0,"해당 없음",H829/E829)</x:f>
        <x:v>0.09433962264150944</x:v>
      </x:c>
      <x:c r="Q829" s="15" t="n">
        <x:f>IF(E829=0,"해당 없음",I829/E829)</x:f>
        <x:v>0.10377358490566038</x:v>
      </x:c>
      <x:c r="R829" s="15" t="n">
        <x:f>IF(E829=0,"해당 없음",J829/E829)</x:f>
        <x:v>0.16981132075471697</x:v>
      </x:c>
      <x:c r="S829" s="15" t="n">
        <x:f>IF(E829=0,"해당 없음",K829/E829)</x:f>
        <x:v>0.14150943396226415</x:v>
      </x:c>
      <x:c r="T829" s="15" t="n">
        <x:f>IF(E829=0,"해당 없음",L829/E829)</x:f>
        <x:v>0.09433962264150944</x:v>
      </x:c>
      <x:c r="U829" s="15" t="n">
        <x:f>IF(E829=0,"해당 없음",M829/E829)</x:f>
        <x:v>0.1792452830188679</x:v>
      </x:c>
      <x:c r="V829" s="16" t="n">
        <x:f>E829/5</x:f>
        <x:v>21.2</x:v>
      </x:c>
    </x:row>
    <x:row r="830" ht="22" customHeight="1">
      <x:c r="A830" s="2" t="n">
        <x:v>413</x:v>
      </x:c>
      <x:c r="B830" s="2" t="str">
        <x:v>RED</x:v>
      </x:c>
      <x:c r="C830" s="2" t="str">
        <x:v>0만</x:v>
      </x:c>
      <x:c r="D830" s="2" t="str">
        <x:v>160만</x:v>
      </x:c>
      <x:c r="E830" s="14" t="n">
        <x:f>SUM(F830:M830)</x:f>
        <x:v>103</x:v>
      </x:c>
      <x:c r="F830" s="14" t="n">
        <x:v>20</x:v>
      </x:c>
      <x:c r="G830" s="14" t="n">
        <x:v>14</x:v>
      </x:c>
      <x:c r="H830" s="14" t="n">
        <x:v>11</x:v>
      </x:c>
      <x:c r="I830" s="14" t="n">
        <x:v>15</x:v>
      </x:c>
      <x:c r="J830" s="14" t="n">
        <x:v>11</x:v>
      </x:c>
      <x:c r="K830" s="14" t="n">
        <x:v>11</x:v>
      </x:c>
      <x:c r="L830" s="14" t="n">
        <x:v>11</x:v>
      </x:c>
      <x:c r="M830" s="14" t="n">
        <x:v>10</x:v>
      </x:c>
      <x:c r="N830" s="15" t="n">
        <x:f>IF(E830=0,"해당 없음",F830/E830)</x:f>
        <x:v>0.1941747572815534</x:v>
      </x:c>
      <x:c r="O830" s="15" t="n">
        <x:f>IF(E830=0,"해당 없음",G830/E830)</x:f>
        <x:v>0.13592233009708737</x:v>
      </x:c>
      <x:c r="P830" s="15" t="n">
        <x:f>IF(E830=0,"해당 없음",H830/E830)</x:f>
        <x:v>0.10679611650485436</x:v>
      </x:c>
      <x:c r="Q830" s="15" t="n">
        <x:f>IF(E830=0,"해당 없음",I830/E830)</x:f>
        <x:v>0.14563106796116504</x:v>
      </x:c>
      <x:c r="R830" s="15" t="n">
        <x:f>IF(E830=0,"해당 없음",J830/E830)</x:f>
        <x:v>0.10679611650485436</x:v>
      </x:c>
      <x:c r="S830" s="15" t="n">
        <x:f>IF(E830=0,"해당 없음",K830/E830)</x:f>
        <x:v>0.10679611650485436</x:v>
      </x:c>
      <x:c r="T830" s="15" t="n">
        <x:f>IF(E830=0,"해당 없음",L830/E830)</x:f>
        <x:v>0.10679611650485436</x:v>
      </x:c>
      <x:c r="U830" s="15" t="n">
        <x:f>IF(E830=0,"해당 없음",M830/E830)</x:f>
        <x:v>0.0970873786407767</x:v>
      </x:c>
      <x:c r="V830" s="16" t="n">
        <x:f>E830/5</x:f>
        <x:v>20.6</x:v>
      </x:c>
    </x:row>
    <x:row r="831" ht="22" customHeight="1">
      <x:c r="A831" s="2" t="n">
        <x:v>413</x:v>
      </x:c>
      <x:c r="B831" s="2" t="str">
        <x:v>NAVY</x:v>
      </x:c>
      <x:c r="C831" s="2" t="str">
        <x:v>160만</x:v>
      </x:c>
      <x:c r="D831" s="2" t="str">
        <x:v>0만</x:v>
      </x:c>
      <x:c r="E831" s="14" t="n">
        <x:f>SUM(F831:M831)</x:f>
        <x:v>102</x:v>
      </x:c>
      <x:c r="F831" s="14" t="n">
        <x:v>1</x:v>
      </x:c>
      <x:c r="G831" s="14" t="n">
        <x:v>18</x:v>
      </x:c>
      <x:c r="H831" s="14" t="n">
        <x:v>9</x:v>
      </x:c>
      <x:c r="I831" s="14" t="n">
        <x:v>5</x:v>
      </x:c>
      <x:c r="J831" s="14" t="n">
        <x:v>2</x:v>
      </x:c>
      <x:c r="K831" s="14" t="n">
        <x:v>11</x:v>
      </x:c>
      <x:c r="L831" s="14" t="n">
        <x:v>32</x:v>
      </x:c>
      <x:c r="M831" s="14" t="n">
        <x:v>24</x:v>
      </x:c>
      <x:c r="N831" s="15" t="n">
        <x:f>IF(E831=0,"해당 없음",F831/E831)</x:f>
        <x:v>0.00980392156862745</x:v>
      </x:c>
      <x:c r="O831" s="15" t="n">
        <x:f>IF(E831=0,"해당 없음",G831/E831)</x:f>
        <x:v>0.17647058823529413</x:v>
      </x:c>
      <x:c r="P831" s="15" t="n">
        <x:f>IF(E831=0,"해당 없음",H831/E831)</x:f>
        <x:v>0.08823529411764706</x:v>
      </x:c>
      <x:c r="Q831" s="15" t="n">
        <x:f>IF(E831=0,"해당 없음",I831/E831)</x:f>
        <x:v>0.049019607843137254</x:v>
      </x:c>
      <x:c r="R831" s="15" t="n">
        <x:f>IF(E831=0,"해당 없음",J831/E831)</x:f>
        <x:v>0.0196078431372549</x:v>
      </x:c>
      <x:c r="S831" s="15" t="n">
        <x:f>IF(E831=0,"해당 없음",K831/E831)</x:f>
        <x:v>0.10784313725490197</x:v>
      </x:c>
      <x:c r="T831" s="15" t="n">
        <x:f>IF(E831=0,"해당 없음",L831/E831)</x:f>
        <x:v>0.3137254901960784</x:v>
      </x:c>
      <x:c r="U831" s="15" t="n">
        <x:f>IF(E831=0,"해당 없음",M831/E831)</x:f>
        <x:v>0.23529411764705882</x:v>
      </x:c>
      <x:c r="V831" s="16" t="n">
        <x:f>E831/5</x:f>
        <x:v>20.4</x:v>
      </x:c>
    </x:row>
    <x:row r="832" ht="22" customHeight="1">
      <x:c r="A832" s="2" t="n">
        <x:v>414</x:v>
      </x:c>
      <x:c r="B832" s="2" t="str">
        <x:v>RED</x:v>
      </x:c>
      <x:c r="C832" s="2" t="str">
        <x:v>160만</x:v>
      </x:c>
      <x:c r="D832" s="2" t="str">
        <x:v>0만</x:v>
      </x:c>
      <x:c r="E832" s="14" t="n">
        <x:f>SUM(F832:M832)</x:f>
        <x:v>105</x:v>
      </x:c>
      <x:c r="F832" s="14" t="n">
        <x:v>1</x:v>
      </x:c>
      <x:c r="G832" s="14" t="n">
        <x:v>25</x:v>
      </x:c>
      <x:c r="H832" s="14" t="n">
        <x:v>8</x:v>
      </x:c>
      <x:c r="I832" s="14" t="n">
        <x:v>5</x:v>
      </x:c>
      <x:c r="J832" s="14" t="n">
        <x:v>1</x:v>
      </x:c>
      <x:c r="K832" s="14" t="n">
        <x:v>11</x:v>
      </x:c>
      <x:c r="L832" s="14" t="n">
        <x:v>38</x:v>
      </x:c>
      <x:c r="M832" s="14" t="n">
        <x:v>16</x:v>
      </x:c>
      <x:c r="N832" s="15" t="n">
        <x:f>IF(E832=0,"해당 없음",F832/E832)</x:f>
        <x:v>0.009523809523809525</x:v>
      </x:c>
      <x:c r="O832" s="15" t="n">
        <x:f>IF(E832=0,"해당 없음",G832/E832)</x:f>
        <x:v>0.23809523809523808</x:v>
      </x:c>
      <x:c r="P832" s="15" t="n">
        <x:f>IF(E832=0,"해당 없음",H832/E832)</x:f>
        <x:v>0.0761904761904762</x:v>
      </x:c>
      <x:c r="Q832" s="15" t="n">
        <x:f>IF(E832=0,"해당 없음",I832/E832)</x:f>
        <x:v>0.047619047619047616</x:v>
      </x:c>
      <x:c r="R832" s="15" t="n">
        <x:f>IF(E832=0,"해당 없음",J832/E832)</x:f>
        <x:v>0.009523809523809525</x:v>
      </x:c>
      <x:c r="S832" s="15" t="n">
        <x:f>IF(E832=0,"해당 없음",K832/E832)</x:f>
        <x:v>0.10476190476190476</x:v>
      </x:c>
      <x:c r="T832" s="15" t="n">
        <x:f>IF(E832=0,"해당 없음",L832/E832)</x:f>
        <x:v>0.3619047619047619</x:v>
      </x:c>
      <x:c r="U832" s="15" t="n">
        <x:f>IF(E832=0,"해당 없음",M832/E832)</x:f>
        <x:v>0.1523809523809524</x:v>
      </x:c>
      <x:c r="V832" s="16" t="n">
        <x:f>E832/5</x:f>
        <x:v>21</x:v>
      </x:c>
    </x:row>
    <x:row r="833" ht="22" customHeight="1">
      <x:c r="A833" s="2" t="n">
        <x:v>414</x:v>
      </x:c>
      <x:c r="B833" s="2" t="str">
        <x:v>NAVY</x:v>
      </x:c>
      <x:c r="C833" s="2" t="str">
        <x:v>0만</x:v>
      </x:c>
      <x:c r="D833" s="2" t="str">
        <x:v>160만</x:v>
      </x:c>
      <x:c r="E833" s="14" t="n">
        <x:f>SUM(F833:M833)</x:f>
        <x:v>106</x:v>
      </x:c>
      <x:c r="F833" s="14" t="n">
        <x:v>20</x:v>
      </x:c>
      <x:c r="G833" s="14" t="n">
        <x:v>14</x:v>
      </x:c>
      <x:c r="H833" s="14" t="n">
        <x:v>11</x:v>
      </x:c>
      <x:c r="I833" s="14" t="n">
        <x:v>15</x:v>
      </x:c>
      <x:c r="J833" s="14" t="n">
        <x:v>12</x:v>
      </x:c>
      <x:c r="K833" s="14" t="n">
        <x:v>12</x:v>
      </x:c>
      <x:c r="L833" s="14" t="n">
        <x:v>11</x:v>
      </x:c>
      <x:c r="M833" s="14" t="n">
        <x:v>11</x:v>
      </x:c>
      <x:c r="N833" s="15" t="n">
        <x:f>IF(E833=0,"해당 없음",F833/E833)</x:f>
        <x:v>0.18867924528301888</x:v>
      </x:c>
      <x:c r="O833" s="15" t="n">
        <x:f>IF(E833=0,"해당 없음",G833/E833)</x:f>
        <x:v>0.1320754716981132</x:v>
      </x:c>
      <x:c r="P833" s="15" t="n">
        <x:f>IF(E833=0,"해당 없음",H833/E833)</x:f>
        <x:v>0.10377358490566038</x:v>
      </x:c>
      <x:c r="Q833" s="15" t="n">
        <x:f>IF(E833=0,"해당 없음",I833/E833)</x:f>
        <x:v>0.14150943396226415</x:v>
      </x:c>
      <x:c r="R833" s="15" t="n">
        <x:f>IF(E833=0,"해당 없음",J833/E833)</x:f>
        <x:v>0.11320754716981132</x:v>
      </x:c>
      <x:c r="S833" s="15" t="n">
        <x:f>IF(E833=0,"해당 없음",K833/E833)</x:f>
        <x:v>0.11320754716981132</x:v>
      </x:c>
      <x:c r="T833" s="15" t="n">
        <x:f>IF(E833=0,"해당 없음",L833/E833)</x:f>
        <x:v>0.10377358490566038</x:v>
      </x:c>
      <x:c r="U833" s="15" t="n">
        <x:f>IF(E833=0,"해당 없음",M833/E833)</x:f>
        <x:v>0.10377358490566038</x:v>
      </x:c>
      <x:c r="V833" s="16" t="n">
        <x:f>E833/5</x:f>
        <x:v>21.2</x:v>
      </x:c>
    </x:row>
    <x:row r="834" ht="22" customHeight="1">
      <x:c r="A834" s="2" t="n">
        <x:v>415</x:v>
      </x:c>
      <x:c r="B834" s="2" t="str">
        <x:v>RED</x:v>
      </x:c>
      <x:c r="C834" s="2" t="str">
        <x:v>0만</x:v>
      </x:c>
      <x:c r="D834" s="2" t="str">
        <x:v>160만</x:v>
      </x:c>
      <x:c r="E834" s="14" t="n">
        <x:f>SUM(F834:M834)</x:f>
        <x:v>105</x:v>
      </x:c>
      <x:c r="F834" s="14" t="n">
        <x:v>12</x:v>
      </x:c>
      <x:c r="G834" s="14" t="n">
        <x:v>13</x:v>
      </x:c>
      <x:c r="H834" s="14" t="n">
        <x:v>9</x:v>
      </x:c>
      <x:c r="I834" s="14" t="n">
        <x:v>11</x:v>
      </x:c>
      <x:c r="J834" s="14" t="n">
        <x:v>11</x:v>
      </x:c>
      <x:c r="K834" s="14" t="n">
        <x:v>22</x:v>
      </x:c>
      <x:c r="L834" s="14" t="n">
        <x:v>10</x:v>
      </x:c>
      <x:c r="M834" s="14" t="n">
        <x:v>17</x:v>
      </x:c>
      <x:c r="N834" s="15" t="n">
        <x:f>IF(E834=0,"해당 없음",F834/E834)</x:f>
        <x:v>0.11428571428571428</x:v>
      </x:c>
      <x:c r="O834" s="15" t="n">
        <x:f>IF(E834=0,"해당 없음",G834/E834)</x:f>
        <x:v>0.12380952380952381</x:v>
      </x:c>
      <x:c r="P834" s="15" t="n">
        <x:f>IF(E834=0,"해당 없음",H834/E834)</x:f>
        <x:v>0.08571428571428572</x:v>
      </x:c>
      <x:c r="Q834" s="15" t="n">
        <x:f>IF(E834=0,"해당 없음",I834/E834)</x:f>
        <x:v>0.10476190476190476</x:v>
      </x:c>
      <x:c r="R834" s="15" t="n">
        <x:f>IF(E834=0,"해당 없음",J834/E834)</x:f>
        <x:v>0.10476190476190476</x:v>
      </x:c>
      <x:c r="S834" s="15" t="n">
        <x:f>IF(E834=0,"해당 없음",K834/E834)</x:f>
        <x:v>0.20952380952380953</x:v>
      </x:c>
      <x:c r="T834" s="15" t="n">
        <x:f>IF(E834=0,"해당 없음",L834/E834)</x:f>
        <x:v>0.09523809523809523</x:v>
      </x:c>
      <x:c r="U834" s="15" t="n">
        <x:f>IF(E834=0,"해당 없음",M834/E834)</x:f>
        <x:v>0.1619047619047619</x:v>
      </x:c>
      <x:c r="V834" s="16" t="n">
        <x:f>E834/5</x:f>
        <x:v>21</x:v>
      </x:c>
    </x:row>
    <x:row r="835" ht="22" customHeight="1">
      <x:c r="A835" s="2" t="n">
        <x:v>415</x:v>
      </x:c>
      <x:c r="B835" s="2" t="str">
        <x:v>NAVY</x:v>
      </x:c>
      <x:c r="C835" s="2" t="str">
        <x:v>160만</x:v>
      </x:c>
      <x:c r="D835" s="2" t="str">
        <x:v>0만</x:v>
      </x:c>
      <x:c r="E835" s="14" t="n">
        <x:f>SUM(F835:M835)</x:f>
        <x:v>104</x:v>
      </x:c>
      <x:c r="F835" s="14" t="n">
        <x:v>0</x:v>
      </x:c>
      <x:c r="G835" s="14" t="n">
        <x:v>12</x:v>
      </x:c>
      <x:c r="H835" s="14" t="n">
        <x:v>13</x:v>
      </x:c>
      <x:c r="I835" s="14" t="n">
        <x:v>5</x:v>
      </x:c>
      <x:c r="J835" s="14" t="n">
        <x:v>2</x:v>
      </x:c>
      <x:c r="K835" s="14" t="n">
        <x:v>6</x:v>
      </x:c>
      <x:c r="L835" s="14" t="n">
        <x:v>37</x:v>
      </x:c>
      <x:c r="M835" s="14" t="n">
        <x:v>29</x:v>
      </x:c>
      <x:c r="N835" s="15" t="n">
        <x:f>IF(E835=0,"해당 없음",F835/E835)</x:f>
        <x:v>0</x:v>
      </x:c>
      <x:c r="O835" s="15" t="n">
        <x:f>IF(E835=0,"해당 없음",G835/E835)</x:f>
        <x:v>0.11538461538461539</x:v>
      </x:c>
      <x:c r="P835" s="15" t="n">
        <x:f>IF(E835=0,"해당 없음",H835/E835)</x:f>
        <x:v>0.125</x:v>
      </x:c>
      <x:c r="Q835" s="15" t="n">
        <x:f>IF(E835=0,"해당 없음",I835/E835)</x:f>
        <x:v>0.04807692307692308</x:v>
      </x:c>
      <x:c r="R835" s="15" t="n">
        <x:f>IF(E835=0,"해당 없음",J835/E835)</x:f>
        <x:v>0.019230769230769232</x:v>
      </x:c>
      <x:c r="S835" s="15" t="n">
        <x:f>IF(E835=0,"해당 없음",K835/E835)</x:f>
        <x:v>0.057692307692307696</x:v>
      </x:c>
      <x:c r="T835" s="15" t="n">
        <x:f>IF(E835=0,"해당 없음",L835/E835)</x:f>
        <x:v>0.3557692307692308</x:v>
      </x:c>
      <x:c r="U835" s="15" t="n">
        <x:f>IF(E835=0,"해당 없음",M835/E835)</x:f>
        <x:v>0.27884615384615385</x:v>
      </x:c>
      <x:c r="V835" s="16" t="n">
        <x:f>E835/5</x:f>
        <x:v>20.8</x:v>
      </x:c>
    </x:row>
    <x:row r="836" ht="22" customHeight="1">
      <x:c r="A836" s="2" t="n">
        <x:v>416</x:v>
      </x:c>
      <x:c r="B836" s="2" t="str">
        <x:v>RED</x:v>
      </x:c>
      <x:c r="C836" s="2" t="str">
        <x:v>160만</x:v>
      </x:c>
      <x:c r="D836" s="2" t="str">
        <x:v>0만</x:v>
      </x:c>
      <x:c r="E836" s="14" t="n">
        <x:f>SUM(F836:M836)</x:f>
        <x:v>105</x:v>
      </x:c>
      <x:c r="F836" s="14" t="n">
        <x:v>5</x:v>
      </x:c>
      <x:c r="G836" s="14" t="n">
        <x:v>15</x:v>
      </x:c>
      <x:c r="H836" s="14" t="n">
        <x:v>9</x:v>
      </x:c>
      <x:c r="I836" s="14" t="n">
        <x:v>7</x:v>
      </x:c>
      <x:c r="J836" s="14" t="n">
        <x:v>1</x:v>
      </x:c>
      <x:c r="K836" s="14" t="n">
        <x:v>6</x:v>
      </x:c>
      <x:c r="L836" s="14" t="n">
        <x:v>36</x:v>
      </x:c>
      <x:c r="M836" s="14" t="n">
        <x:v>26</x:v>
      </x:c>
      <x:c r="N836" s="15" t="n">
        <x:f>IF(E836=0,"해당 없음",F836/E836)</x:f>
        <x:v>0.047619047619047616</x:v>
      </x:c>
      <x:c r="O836" s="15" t="n">
        <x:f>IF(E836=0,"해당 없음",G836/E836)</x:f>
        <x:v>0.14285714285714285</x:v>
      </x:c>
      <x:c r="P836" s="15" t="n">
        <x:f>IF(E836=0,"해당 없음",H836/E836)</x:f>
        <x:v>0.08571428571428572</x:v>
      </x:c>
      <x:c r="Q836" s="15" t="n">
        <x:f>IF(E836=0,"해당 없음",I836/E836)</x:f>
        <x:v>0.06666666666666667</x:v>
      </x:c>
      <x:c r="R836" s="15" t="n">
        <x:f>IF(E836=0,"해당 없음",J836/E836)</x:f>
        <x:v>0.009523809523809525</x:v>
      </x:c>
      <x:c r="S836" s="15" t="n">
        <x:f>IF(E836=0,"해당 없음",K836/E836)</x:f>
        <x:v>0.05714285714285714</x:v>
      </x:c>
      <x:c r="T836" s="15" t="n">
        <x:f>IF(E836=0,"해당 없음",L836/E836)</x:f>
        <x:v>0.34285714285714286</x:v>
      </x:c>
      <x:c r="U836" s="15" t="n">
        <x:f>IF(E836=0,"해당 없음",M836/E836)</x:f>
        <x:v>0.24761904761904763</x:v>
      </x:c>
      <x:c r="V836" s="16" t="n">
        <x:f>E836/5</x:f>
        <x:v>21</x:v>
      </x:c>
    </x:row>
    <x:row r="837" ht="22" customHeight="1">
      <x:c r="A837" s="2" t="n">
        <x:v>416</x:v>
      </x:c>
      <x:c r="B837" s="2" t="str">
        <x:v>NAVY</x:v>
      </x:c>
      <x:c r="C837" s="2" t="str">
        <x:v>0만</x:v>
      </x:c>
      <x:c r="D837" s="2" t="str">
        <x:v>160만</x:v>
      </x:c>
      <x:c r="E837" s="14" t="n">
        <x:f>SUM(F837:M837)</x:f>
        <x:v>106</x:v>
      </x:c>
      <x:c r="F837" s="14" t="n">
        <x:v>12</x:v>
      </x:c>
      <x:c r="G837" s="14" t="n">
        <x:v>13</x:v>
      </x:c>
      <x:c r="H837" s="14" t="n">
        <x:v>10</x:v>
      </x:c>
      <x:c r="I837" s="14" t="n">
        <x:v>11</x:v>
      </x:c>
      <x:c r="J837" s="14" t="n">
        <x:v>11</x:v>
      </x:c>
      <x:c r="K837" s="14" t="n">
        <x:v>22</x:v>
      </x:c>
      <x:c r="L837" s="14" t="n">
        <x:v>10</x:v>
      </x:c>
      <x:c r="M837" s="14" t="n">
        <x:v>17</x:v>
      </x:c>
      <x:c r="N837" s="15" t="n">
        <x:f>IF(E837=0,"해당 없음",F837/E837)</x:f>
        <x:v>0.11320754716981132</x:v>
      </x:c>
      <x:c r="O837" s="15" t="n">
        <x:f>IF(E837=0,"해당 없음",G837/E837)</x:f>
        <x:v>0.12264150943396226</x:v>
      </x:c>
      <x:c r="P837" s="15" t="n">
        <x:f>IF(E837=0,"해당 없음",H837/E837)</x:f>
        <x:v>0.09433962264150944</x:v>
      </x:c>
      <x:c r="Q837" s="15" t="n">
        <x:f>IF(E837=0,"해당 없음",I837/E837)</x:f>
        <x:v>0.10377358490566038</x:v>
      </x:c>
      <x:c r="R837" s="15" t="n">
        <x:f>IF(E837=0,"해당 없음",J837/E837)</x:f>
        <x:v>0.10377358490566038</x:v>
      </x:c>
      <x:c r="S837" s="15" t="n">
        <x:f>IF(E837=0,"해당 없음",K837/E837)</x:f>
        <x:v>0.20754716981132076</x:v>
      </x:c>
      <x:c r="T837" s="15" t="n">
        <x:f>IF(E837=0,"해당 없음",L837/E837)</x:f>
        <x:v>0.09433962264150944</x:v>
      </x:c>
      <x:c r="U837" s="15" t="n">
        <x:f>IF(E837=0,"해당 없음",M837/E837)</x:f>
        <x:v>0.16037735849056603</x:v>
      </x:c>
      <x:c r="V837" s="16" t="n">
        <x:f>E837/5</x:f>
        <x:v>21.2</x:v>
      </x:c>
    </x:row>
    <x:row r="838" ht="22" customHeight="1">
      <x:c r="A838" s="2" t="n">
        <x:v>417</x:v>
      </x:c>
      <x:c r="B838" s="2" t="str">
        <x:v>RED</x:v>
      </x:c>
      <x:c r="C838" s="2" t="str">
        <x:v>0만</x:v>
      </x:c>
      <x:c r="D838" s="2" t="str">
        <x:v>160만</x:v>
      </x:c>
      <x:c r="E838" s="14" t="n">
        <x:f>SUM(F838:M838)</x:f>
        <x:v>103</x:v>
      </x:c>
      <x:c r="F838" s="14" t="n">
        <x:v>13</x:v>
      </x:c>
      <x:c r="G838" s="14" t="n">
        <x:v>12</x:v>
      </x:c>
      <x:c r="H838" s="14" t="n">
        <x:v>12</x:v>
      </x:c>
      <x:c r="I838" s="14" t="n">
        <x:v>16</x:v>
      </x:c>
      <x:c r="J838" s="14" t="n">
        <x:v>13</x:v>
      </x:c>
      <x:c r="K838" s="14" t="n">
        <x:v>11</x:v>
      </x:c>
      <x:c r="L838" s="14" t="n">
        <x:v>8</x:v>
      </x:c>
      <x:c r="M838" s="14" t="n">
        <x:v>18</x:v>
      </x:c>
      <x:c r="N838" s="15" t="n">
        <x:f>IF(E838=0,"해당 없음",F838/E838)</x:f>
        <x:v>0.1262135922330097</x:v>
      </x:c>
      <x:c r="O838" s="15" t="n">
        <x:f>IF(E838=0,"해당 없음",G838/E838)</x:f>
        <x:v>0.11650485436893204</x:v>
      </x:c>
      <x:c r="P838" s="15" t="n">
        <x:f>IF(E838=0,"해당 없음",H838/E838)</x:f>
        <x:v>0.11650485436893204</x:v>
      </x:c>
      <x:c r="Q838" s="15" t="n">
        <x:f>IF(E838=0,"해당 없음",I838/E838)</x:f>
        <x:v>0.1553398058252427</x:v>
      </x:c>
      <x:c r="R838" s="15" t="n">
        <x:f>IF(E838=0,"해당 없음",J838/E838)</x:f>
        <x:v>0.1262135922330097</x:v>
      </x:c>
      <x:c r="S838" s="15" t="n">
        <x:f>IF(E838=0,"해당 없음",K838/E838)</x:f>
        <x:v>0.10679611650485436</x:v>
      </x:c>
      <x:c r="T838" s="15" t="n">
        <x:f>IF(E838=0,"해당 없음",L838/E838)</x:f>
        <x:v>0.07766990291262135</x:v>
      </x:c>
      <x:c r="U838" s="15" t="n">
        <x:f>IF(E838=0,"해당 없음",M838/E838)</x:f>
        <x:v>0.17475728155339806</x:v>
      </x:c>
      <x:c r="V838" s="16" t="n">
        <x:f>E838/5</x:f>
        <x:v>20.6</x:v>
      </x:c>
    </x:row>
    <x:row r="839" ht="22" customHeight="1">
      <x:c r="A839" s="2" t="n">
        <x:v>417</x:v>
      </x:c>
      <x:c r="B839" s="2" t="str">
        <x:v>NAVY</x:v>
      </x:c>
      <x:c r="C839" s="2" t="str">
        <x:v>160만</x:v>
      </x:c>
      <x:c r="D839" s="2" t="str">
        <x:v>0만</x:v>
      </x:c>
      <x:c r="E839" s="14" t="n">
        <x:f>SUM(F839:M839)</x:f>
        <x:v>103</x:v>
      </x:c>
      <x:c r="F839" s="14" t="n">
        <x:v>3</x:v>
      </x:c>
      <x:c r="G839" s="14" t="n">
        <x:v>17</x:v>
      </x:c>
      <x:c r="H839" s="14" t="n">
        <x:v>6</x:v>
      </x:c>
      <x:c r="I839" s="14" t="n">
        <x:v>7</x:v>
      </x:c>
      <x:c r="J839" s="14" t="n">
        <x:v>2</x:v>
      </x:c>
      <x:c r="K839" s="14" t="n">
        <x:v>7</x:v>
      </x:c>
      <x:c r="L839" s="14" t="n">
        <x:v>34</x:v>
      </x:c>
      <x:c r="M839" s="14" t="n">
        <x:v>27</x:v>
      </x:c>
      <x:c r="N839" s="15" t="n">
        <x:f>IF(E839=0,"해당 없음",F839/E839)</x:f>
        <x:v>0.02912621359223301</x:v>
      </x:c>
      <x:c r="O839" s="15" t="n">
        <x:f>IF(E839=0,"해당 없음",G839/E839)</x:f>
        <x:v>0.1650485436893204</x:v>
      </x:c>
      <x:c r="P839" s="15" t="n">
        <x:f>IF(E839=0,"해당 없음",H839/E839)</x:f>
        <x:v>0.05825242718446602</x:v>
      </x:c>
      <x:c r="Q839" s="15" t="n">
        <x:f>IF(E839=0,"해당 없음",I839/E839)</x:f>
        <x:v>0.06796116504854369</x:v>
      </x:c>
      <x:c r="R839" s="15" t="n">
        <x:f>IF(E839=0,"해당 없음",J839/E839)</x:f>
        <x:v>0.019417475728155338</x:v>
      </x:c>
      <x:c r="S839" s="15" t="n">
        <x:f>IF(E839=0,"해당 없음",K839/E839)</x:f>
        <x:v>0.06796116504854369</x:v>
      </x:c>
      <x:c r="T839" s="15" t="n">
        <x:f>IF(E839=0,"해당 없음",L839/E839)</x:f>
        <x:v>0.3300970873786408</x:v>
      </x:c>
      <x:c r="U839" s="15" t="n">
        <x:f>IF(E839=0,"해당 없음",M839/E839)</x:f>
        <x:v>0.2621359223300971</x:v>
      </x:c>
      <x:c r="V839" s="16" t="n">
        <x:f>E839/5</x:f>
        <x:v>20.6</x:v>
      </x:c>
    </x:row>
    <x:row r="840" ht="22" customHeight="1">
      <x:c r="A840" s="2" t="n">
        <x:v>418</x:v>
      </x:c>
      <x:c r="B840" s="2" t="str">
        <x:v>RED</x:v>
      </x:c>
      <x:c r="C840" s="2" t="str">
        <x:v>160만</x:v>
      </x:c>
      <x:c r="D840" s="2" t="str">
        <x:v>0만</x:v>
      </x:c>
      <x:c r="E840" s="14" t="n">
        <x:f>SUM(F840:M840)</x:f>
        <x:v>102</x:v>
      </x:c>
      <x:c r="F840" s="14" t="n">
        <x:v>5</x:v>
      </x:c>
      <x:c r="G840" s="14" t="n">
        <x:v>16</x:v>
      </x:c>
      <x:c r="H840" s="14" t="n">
        <x:v>8</x:v>
      </x:c>
      <x:c r="I840" s="14" t="n">
        <x:v>7</x:v>
      </x:c>
      <x:c r="J840" s="14" t="n">
        <x:v>3</x:v>
      </x:c>
      <x:c r="K840" s="14" t="n">
        <x:v>7</x:v>
      </x:c>
      <x:c r="L840" s="14" t="n">
        <x:v>39</x:v>
      </x:c>
      <x:c r="M840" s="14" t="n">
        <x:v>17</x:v>
      </x:c>
      <x:c r="N840" s="15" t="n">
        <x:f>IF(E840=0,"해당 없음",F840/E840)</x:f>
        <x:v>0.049019607843137254</x:v>
      </x:c>
      <x:c r="O840" s="15" t="n">
        <x:f>IF(E840=0,"해당 없음",G840/E840)</x:f>
        <x:v>0.1568627450980392</x:v>
      </x:c>
      <x:c r="P840" s="15" t="n">
        <x:f>IF(E840=0,"해당 없음",H840/E840)</x:f>
        <x:v>0.0784313725490196</x:v>
      </x:c>
      <x:c r="Q840" s="15" t="n">
        <x:f>IF(E840=0,"해당 없음",I840/E840)</x:f>
        <x:v>0.06862745098039216</x:v>
      </x:c>
      <x:c r="R840" s="15" t="n">
        <x:f>IF(E840=0,"해당 없음",J840/E840)</x:f>
        <x:v>0.029411764705882353</x:v>
      </x:c>
      <x:c r="S840" s="15" t="n">
        <x:f>IF(E840=0,"해당 없음",K840/E840)</x:f>
        <x:v>0.06862745098039216</x:v>
      </x:c>
      <x:c r="T840" s="15" t="n">
        <x:f>IF(E840=0,"해당 없음",L840/E840)</x:f>
        <x:v>0.38235294117647056</x:v>
      </x:c>
      <x:c r="U840" s="15" t="n">
        <x:f>IF(E840=0,"해당 없음",M840/E840)</x:f>
        <x:v>0.16666666666666666</x:v>
      </x:c>
      <x:c r="V840" s="16" t="n">
        <x:f>E840/5</x:f>
        <x:v>20.4</x:v>
      </x:c>
    </x:row>
    <x:row r="841" ht="22" customHeight="1">
      <x:c r="A841" s="2" t="n">
        <x:v>418</x:v>
      </x:c>
      <x:c r="B841" s="2" t="str">
        <x:v>NAVY</x:v>
      </x:c>
      <x:c r="C841" s="2" t="str">
        <x:v>0만</x:v>
      </x:c>
      <x:c r="D841" s="2" t="str">
        <x:v>160만</x:v>
      </x:c>
      <x:c r="E841" s="14" t="n">
        <x:f>SUM(F841:M841)</x:f>
        <x:v>102</x:v>
      </x:c>
      <x:c r="F841" s="14" t="n">
        <x:v>13</x:v>
      </x:c>
      <x:c r="G841" s="14" t="n">
        <x:v>12</x:v>
      </x:c>
      <x:c r="H841" s="14" t="n">
        <x:v>11</x:v>
      </x:c>
      <x:c r="I841" s="14" t="n">
        <x:v>16</x:v>
      </x:c>
      <x:c r="J841" s="14" t="n">
        <x:v>13</x:v>
      </x:c>
      <x:c r="K841" s="14" t="n">
        <x:v>10</x:v>
      </x:c>
      <x:c r="L841" s="14" t="n">
        <x:v>8</x:v>
      </x:c>
      <x:c r="M841" s="14" t="n">
        <x:v>19</x:v>
      </x:c>
      <x:c r="N841" s="15" t="n">
        <x:f>IF(E841=0,"해당 없음",F841/E841)</x:f>
        <x:v>0.12745098039215685</x:v>
      </x:c>
      <x:c r="O841" s="15" t="n">
        <x:f>IF(E841=0,"해당 없음",G841/E841)</x:f>
        <x:v>0.11764705882352941</x:v>
      </x:c>
      <x:c r="P841" s="15" t="n">
        <x:f>IF(E841=0,"해당 없음",H841/E841)</x:f>
        <x:v>0.10784313725490197</x:v>
      </x:c>
      <x:c r="Q841" s="15" t="n">
        <x:f>IF(E841=0,"해당 없음",I841/E841)</x:f>
        <x:v>0.1568627450980392</x:v>
      </x:c>
      <x:c r="R841" s="15" t="n">
        <x:f>IF(E841=0,"해당 없음",J841/E841)</x:f>
        <x:v>0.12745098039215685</x:v>
      </x:c>
      <x:c r="S841" s="15" t="n">
        <x:f>IF(E841=0,"해당 없음",K841/E841)</x:f>
        <x:v>0.09803921568627451</x:v>
      </x:c>
      <x:c r="T841" s="15" t="n">
        <x:f>IF(E841=0,"해당 없음",L841/E841)</x:f>
        <x:v>0.0784313725490196</x:v>
      </x:c>
      <x:c r="U841" s="15" t="n">
        <x:f>IF(E841=0,"해당 없음",M841/E841)</x:f>
        <x:v>0.18627450980392157</x:v>
      </x:c>
      <x:c r="V841" s="16" t="n">
        <x:f>E841/5</x:f>
        <x:v>20.4</x:v>
      </x:c>
    </x:row>
    <x:row r="842" ht="22" customHeight="1">
      <x:c r="A842" s="2" t="n">
        <x:v>419</x:v>
      </x:c>
      <x:c r="B842" s="2" t="str">
        <x:v>RED</x:v>
      </x:c>
      <x:c r="C842" s="2" t="str">
        <x:v>0만</x:v>
      </x:c>
      <x:c r="D842" s="2" t="str">
        <x:v>160만</x:v>
      </x:c>
      <x:c r="E842" s="14" t="n">
        <x:f>SUM(F842:M842)</x:f>
        <x:v>103</x:v>
      </x:c>
      <x:c r="F842" s="14" t="n">
        <x:v>14</x:v>
      </x:c>
      <x:c r="G842" s="14" t="n">
        <x:v>6</x:v>
      </x:c>
      <x:c r="H842" s="14" t="n">
        <x:v>17</x:v>
      </x:c>
      <x:c r="I842" s="14" t="n">
        <x:v>10</x:v>
      </x:c>
      <x:c r="J842" s="14" t="n">
        <x:v>11</x:v>
      </x:c>
      <x:c r="K842" s="14" t="n">
        <x:v>17</x:v>
      </x:c>
      <x:c r="L842" s="14" t="n">
        <x:v>12</x:v>
      </x:c>
      <x:c r="M842" s="14" t="n">
        <x:v>16</x:v>
      </x:c>
      <x:c r="N842" s="15" t="n">
        <x:f>IF(E842=0,"해당 없음",F842/E842)</x:f>
        <x:v>0.13592233009708737</x:v>
      </x:c>
      <x:c r="O842" s="15" t="n">
        <x:f>IF(E842=0,"해당 없음",G842/E842)</x:f>
        <x:v>0.05825242718446602</x:v>
      </x:c>
      <x:c r="P842" s="15" t="n">
        <x:f>IF(E842=0,"해당 없음",H842/E842)</x:f>
        <x:v>0.1650485436893204</x:v>
      </x:c>
      <x:c r="Q842" s="15" t="n">
        <x:f>IF(E842=0,"해당 없음",I842/E842)</x:f>
        <x:v>0.0970873786407767</x:v>
      </x:c>
      <x:c r="R842" s="15" t="n">
        <x:f>IF(E842=0,"해당 없음",J842/E842)</x:f>
        <x:v>0.10679611650485436</x:v>
      </x:c>
      <x:c r="S842" s="15" t="n">
        <x:f>IF(E842=0,"해당 없음",K842/E842)</x:f>
        <x:v>0.1650485436893204</x:v>
      </x:c>
      <x:c r="T842" s="15" t="n">
        <x:f>IF(E842=0,"해당 없음",L842/E842)</x:f>
        <x:v>0.11650485436893204</x:v>
      </x:c>
      <x:c r="U842" s="15" t="n">
        <x:f>IF(E842=0,"해당 없음",M842/E842)</x:f>
        <x:v>0.1553398058252427</x:v>
      </x:c>
      <x:c r="V842" s="16" t="n">
        <x:f>E842/5</x:f>
        <x:v>20.6</x:v>
      </x:c>
    </x:row>
    <x:row r="843" ht="22" customHeight="1">
      <x:c r="A843" s="2" t="n">
        <x:v>419</x:v>
      </x:c>
      <x:c r="B843" s="2" t="str">
        <x:v>NAVY</x:v>
      </x:c>
      <x:c r="C843" s="2" t="str">
        <x:v>160만</x:v>
      </x:c>
      <x:c r="D843" s="2" t="str">
        <x:v>0만</x:v>
      </x:c>
      <x:c r="E843" s="14" t="n">
        <x:f>SUM(F843:M843)</x:f>
        <x:v>104</x:v>
      </x:c>
      <x:c r="F843" s="14" t="n">
        <x:v>6</x:v>
      </x:c>
      <x:c r="G843" s="14" t="n">
        <x:v>13</x:v>
      </x:c>
      <x:c r="H843" s="14" t="n">
        <x:v>8</x:v>
      </x:c>
      <x:c r="I843" s="14" t="n">
        <x:v>10</x:v>
      </x:c>
      <x:c r="J843" s="14" t="n">
        <x:v>2</x:v>
      </x:c>
      <x:c r="K843" s="14" t="n">
        <x:v>8</x:v>
      </x:c>
      <x:c r="L843" s="14" t="n">
        <x:v>31</x:v>
      </x:c>
      <x:c r="M843" s="14" t="n">
        <x:v>26</x:v>
      </x:c>
      <x:c r="N843" s="15" t="n">
        <x:f>IF(E843=0,"해당 없음",F843/E843)</x:f>
        <x:v>0.057692307692307696</x:v>
      </x:c>
      <x:c r="O843" s="15" t="n">
        <x:f>IF(E843=0,"해당 없음",G843/E843)</x:f>
        <x:v>0.125</x:v>
      </x:c>
      <x:c r="P843" s="15" t="n">
        <x:f>IF(E843=0,"해당 없음",H843/E843)</x:f>
        <x:v>0.07692307692307693</x:v>
      </x:c>
      <x:c r="Q843" s="15" t="n">
        <x:f>IF(E843=0,"해당 없음",I843/E843)</x:f>
        <x:v>0.09615384615384616</x:v>
      </x:c>
      <x:c r="R843" s="15" t="n">
        <x:f>IF(E843=0,"해당 없음",J843/E843)</x:f>
        <x:v>0.019230769230769232</x:v>
      </x:c>
      <x:c r="S843" s="15" t="n">
        <x:f>IF(E843=0,"해당 없음",K843/E843)</x:f>
        <x:v>0.07692307692307693</x:v>
      </x:c>
      <x:c r="T843" s="15" t="n">
        <x:f>IF(E843=0,"해당 없음",L843/E843)</x:f>
        <x:v>0.2980769230769231</x:v>
      </x:c>
      <x:c r="U843" s="15" t="n">
        <x:f>IF(E843=0,"해당 없음",M843/E843)</x:f>
        <x:v>0.25</x:v>
      </x:c>
      <x:c r="V843" s="16" t="n">
        <x:f>E843/5</x:f>
        <x:v>20.8</x:v>
      </x:c>
    </x:row>
    <x:row r="844" ht="22" customHeight="1">
      <x:c r="A844" s="2" t="n">
        <x:v>420</x:v>
      </x:c>
      <x:c r="B844" s="2" t="str">
        <x:v>RED</x:v>
      </x:c>
      <x:c r="C844" s="2" t="str">
        <x:v>160만</x:v>
      </x:c>
      <x:c r="D844" s="2" t="str">
        <x:v>0만</x:v>
      </x:c>
      <x:c r="E844" s="14" t="n">
        <x:f>SUM(F844:M844)</x:f>
        <x:v>102</x:v>
      </x:c>
      <x:c r="F844" s="14" t="n">
        <x:v>6</x:v>
      </x:c>
      <x:c r="G844" s="14" t="n">
        <x:v>25</x:v>
      </x:c>
      <x:c r="H844" s="14" t="n">
        <x:v>7</x:v>
      </x:c>
      <x:c r="I844" s="14" t="n">
        <x:v>7</x:v>
      </x:c>
      <x:c r="J844" s="14" t="n">
        <x:v>5</x:v>
      </x:c>
      <x:c r="K844" s="14" t="n">
        <x:v>5</x:v>
      </x:c>
      <x:c r="L844" s="14" t="n">
        <x:v>33</x:v>
      </x:c>
      <x:c r="M844" s="14" t="n">
        <x:v>14</x:v>
      </x:c>
      <x:c r="N844" s="15" t="n">
        <x:f>IF(E844=0,"해당 없음",F844/E844)</x:f>
        <x:v>0.058823529411764705</x:v>
      </x:c>
      <x:c r="O844" s="15" t="n">
        <x:f>IF(E844=0,"해당 없음",G844/E844)</x:f>
        <x:v>0.24509803921568626</x:v>
      </x:c>
      <x:c r="P844" s="15" t="n">
        <x:f>IF(E844=0,"해당 없음",H844/E844)</x:f>
        <x:v>0.06862745098039216</x:v>
      </x:c>
      <x:c r="Q844" s="15" t="n">
        <x:f>IF(E844=0,"해당 없음",I844/E844)</x:f>
        <x:v>0.06862745098039216</x:v>
      </x:c>
      <x:c r="R844" s="15" t="n">
        <x:f>IF(E844=0,"해당 없음",J844/E844)</x:f>
        <x:v>0.049019607843137254</x:v>
      </x:c>
      <x:c r="S844" s="15" t="n">
        <x:f>IF(E844=0,"해당 없음",K844/E844)</x:f>
        <x:v>0.049019607843137254</x:v>
      </x:c>
      <x:c r="T844" s="15" t="n">
        <x:f>IF(E844=0,"해당 없음",L844/E844)</x:f>
        <x:v>0.3235294117647059</x:v>
      </x:c>
      <x:c r="U844" s="15" t="n">
        <x:f>IF(E844=0,"해당 없음",M844/E844)</x:f>
        <x:v>0.13725490196078433</x:v>
      </x:c>
      <x:c r="V844" s="16" t="n">
        <x:f>E844/5</x:f>
        <x:v>20.4</x:v>
      </x:c>
    </x:row>
    <x:row r="845" ht="22" customHeight="1">
      <x:c r="A845" s="2" t="n">
        <x:v>420</x:v>
      </x:c>
      <x:c r="B845" s="2" t="str">
        <x:v>NAVY</x:v>
      </x:c>
      <x:c r="C845" s="2" t="str">
        <x:v>0만</x:v>
      </x:c>
      <x:c r="D845" s="2" t="str">
        <x:v>160만</x:v>
      </x:c>
      <x:c r="E845" s="14" t="n">
        <x:f>SUM(F845:M845)</x:f>
        <x:v>104</x:v>
      </x:c>
      <x:c r="F845" s="14" t="n">
        <x:v>14</x:v>
      </x:c>
      <x:c r="G845" s="14" t="n">
        <x:v>6</x:v>
      </x:c>
      <x:c r="H845" s="14" t="n">
        <x:v>17</x:v>
      </x:c>
      <x:c r="I845" s="14" t="n">
        <x:v>10</x:v>
      </x:c>
      <x:c r="J845" s="14" t="n">
        <x:v>11</x:v>
      </x:c>
      <x:c r="K845" s="14" t="n">
        <x:v>17</x:v>
      </x:c>
      <x:c r="L845" s="14" t="n">
        <x:v>12</x:v>
      </x:c>
      <x:c r="M845" s="14" t="n">
        <x:v>17</x:v>
      </x:c>
      <x:c r="N845" s="15" t="n">
        <x:f>IF(E845=0,"해당 없음",F845/E845)</x:f>
        <x:v>0.1346153846153846</x:v>
      </x:c>
      <x:c r="O845" s="15" t="n">
        <x:f>IF(E845=0,"해당 없음",G845/E845)</x:f>
        <x:v>0.057692307692307696</x:v>
      </x:c>
      <x:c r="P845" s="15" t="n">
        <x:f>IF(E845=0,"해당 없음",H845/E845)</x:f>
        <x:v>0.16346153846153846</x:v>
      </x:c>
      <x:c r="Q845" s="15" t="n">
        <x:f>IF(E845=0,"해당 없음",I845/E845)</x:f>
        <x:v>0.09615384615384616</x:v>
      </x:c>
      <x:c r="R845" s="15" t="n">
        <x:f>IF(E845=0,"해당 없음",J845/E845)</x:f>
        <x:v>0.10576923076923077</x:v>
      </x:c>
      <x:c r="S845" s="15" t="n">
        <x:f>IF(E845=0,"해당 없음",K845/E845)</x:f>
        <x:v>0.16346153846153846</x:v>
      </x:c>
      <x:c r="T845" s="15" t="n">
        <x:f>IF(E845=0,"해당 없음",L845/E845)</x:f>
        <x:v>0.11538461538461539</x:v>
      </x:c>
      <x:c r="U845" s="15" t="n">
        <x:f>IF(E845=0,"해당 없음",M845/E845)</x:f>
        <x:v>0.16346153846153846</x:v>
      </x:c>
      <x:c r="V845" s="16" t="n">
        <x:f>E845/5</x:f>
        <x:v>20.8</x:v>
      </x:c>
    </x:row>
    <x:row r="846" ht="22" customHeight="1">
      <x:c r="A846" s="2" t="n">
        <x:v>421</x:v>
      </x:c>
      <x:c r="B846" s="2" t="str">
        <x:v>RED</x:v>
      </x:c>
      <x:c r="C846" s="2" t="str">
        <x:v>0만</x:v>
      </x:c>
      <x:c r="D846" s="2" t="str">
        <x:v>160만</x:v>
      </x:c>
      <x:c r="E846" s="14" t="n">
        <x:f>SUM(F846:M846)</x:f>
        <x:v>106</x:v>
      </x:c>
      <x:c r="F846" s="14" t="n">
        <x:v>10</x:v>
      </x:c>
      <x:c r="G846" s="14" t="n">
        <x:v>11</x:v>
      </x:c>
      <x:c r="H846" s="14" t="n">
        <x:v>19</x:v>
      </x:c>
      <x:c r="I846" s="14" t="n">
        <x:v>11</x:v>
      </x:c>
      <x:c r="J846" s="14" t="n">
        <x:v>18</x:v>
      </x:c>
      <x:c r="K846" s="14" t="n">
        <x:v>13</x:v>
      </x:c>
      <x:c r="L846" s="14" t="n">
        <x:v>13</x:v>
      </x:c>
      <x:c r="M846" s="14" t="n">
        <x:v>11</x:v>
      </x:c>
      <x:c r="N846" s="15" t="n">
        <x:f>IF(E846=0,"해당 없음",F846/E846)</x:f>
        <x:v>0.09433962264150944</x:v>
      </x:c>
      <x:c r="O846" s="15" t="n">
        <x:f>IF(E846=0,"해당 없음",G846/E846)</x:f>
        <x:v>0.10377358490566038</x:v>
      </x:c>
      <x:c r="P846" s="15" t="n">
        <x:f>IF(E846=0,"해당 없음",H846/E846)</x:f>
        <x:v>0.1792452830188679</x:v>
      </x:c>
      <x:c r="Q846" s="15" t="n">
        <x:f>IF(E846=0,"해당 없음",I846/E846)</x:f>
        <x:v>0.10377358490566038</x:v>
      </x:c>
      <x:c r="R846" s="15" t="n">
        <x:f>IF(E846=0,"해당 없음",J846/E846)</x:f>
        <x:v>0.16981132075471697</x:v>
      </x:c>
      <x:c r="S846" s="15" t="n">
        <x:f>IF(E846=0,"해당 없음",K846/E846)</x:f>
        <x:v>0.12264150943396226</x:v>
      </x:c>
      <x:c r="T846" s="15" t="n">
        <x:f>IF(E846=0,"해당 없음",L846/E846)</x:f>
        <x:v>0.12264150943396226</x:v>
      </x:c>
      <x:c r="U846" s="15" t="n">
        <x:f>IF(E846=0,"해당 없음",M846/E846)</x:f>
        <x:v>0.10377358490566038</x:v>
      </x:c>
      <x:c r="V846" s="16" t="n">
        <x:f>E846/5</x:f>
        <x:v>21.2</x:v>
      </x:c>
    </x:row>
    <x:row r="847" ht="22" customHeight="1">
      <x:c r="A847" s="2" t="n">
        <x:v>421</x:v>
      </x:c>
      <x:c r="B847" s="2" t="str">
        <x:v>NAVY</x:v>
      </x:c>
      <x:c r="C847" s="2" t="str">
        <x:v>160만</x:v>
      </x:c>
      <x:c r="D847" s="2" t="str">
        <x:v>0만</x:v>
      </x:c>
      <x:c r="E847" s="14" t="n">
        <x:f>SUM(F847:M847)</x:f>
        <x:v>106</x:v>
      </x:c>
      <x:c r="F847" s="14" t="n">
        <x:v>3</x:v>
      </x:c>
      <x:c r="G847" s="14" t="n">
        <x:v>12</x:v>
      </x:c>
      <x:c r="H847" s="14" t="n">
        <x:v>10</x:v>
      </x:c>
      <x:c r="I847" s="14" t="n">
        <x:v>7</x:v>
      </x:c>
      <x:c r="J847" s="14" t="n">
        <x:v>4</x:v>
      </x:c>
      <x:c r="K847" s="14" t="n">
        <x:v>5</x:v>
      </x:c>
      <x:c r="L847" s="14" t="n">
        <x:v>31</x:v>
      </x:c>
      <x:c r="M847" s="14" t="n">
        <x:v>34</x:v>
      </x:c>
      <x:c r="N847" s="15" t="n">
        <x:f>IF(E847=0,"해당 없음",F847/E847)</x:f>
        <x:v>0.02830188679245283</x:v>
      </x:c>
      <x:c r="O847" s="15" t="n">
        <x:f>IF(E847=0,"해당 없음",G847/E847)</x:f>
        <x:v>0.11320754716981132</x:v>
      </x:c>
      <x:c r="P847" s="15" t="n">
        <x:f>IF(E847=0,"해당 없음",H847/E847)</x:f>
        <x:v>0.09433962264150944</x:v>
      </x:c>
      <x:c r="Q847" s="15" t="n">
        <x:f>IF(E847=0,"해당 없음",I847/E847)</x:f>
        <x:v>0.0660377358490566</x:v>
      </x:c>
      <x:c r="R847" s="15" t="n">
        <x:f>IF(E847=0,"해당 없음",J847/E847)</x:f>
        <x:v>0.03773584905660377</x:v>
      </x:c>
      <x:c r="S847" s="15" t="n">
        <x:f>IF(E847=0,"해당 없음",K847/E847)</x:f>
        <x:v>0.04716981132075472</x:v>
      </x:c>
      <x:c r="T847" s="15" t="n">
        <x:f>IF(E847=0,"해당 없음",L847/E847)</x:f>
        <x:v>0.29245283018867924</x:v>
      </x:c>
      <x:c r="U847" s="15" t="n">
        <x:f>IF(E847=0,"해당 없음",M847/E847)</x:f>
        <x:v>0.32075471698113206</x:v>
      </x:c>
      <x:c r="V847" s="16" t="n">
        <x:f>E847/5</x:f>
        <x:v>21.2</x:v>
      </x:c>
    </x:row>
    <x:row r="848" ht="22" customHeight="1">
      <x:c r="A848" s="2" t="n">
        <x:v>422</x:v>
      </x:c>
      <x:c r="B848" s="2" t="str">
        <x:v>RED</x:v>
      </x:c>
      <x:c r="C848" s="2" t="str">
        <x:v>160만</x:v>
      </x:c>
      <x:c r="D848" s="2" t="str">
        <x:v>0만</x:v>
      </x:c>
      <x:c r="E848" s="14" t="n">
        <x:f>SUM(F848:M848)</x:f>
        <x:v>100</x:v>
      </x:c>
      <x:c r="F848" s="14" t="n">
        <x:v>1</x:v>
      </x:c>
      <x:c r="G848" s="14" t="n">
        <x:v>27</x:v>
      </x:c>
      <x:c r="H848" s="14" t="n">
        <x:v>8</x:v>
      </x:c>
      <x:c r="I848" s="14" t="n">
        <x:v>1</x:v>
      </x:c>
      <x:c r="J848" s="14" t="n">
        <x:v>4</x:v>
      </x:c>
      <x:c r="K848" s="14" t="n">
        <x:v>8</x:v>
      </x:c>
      <x:c r="L848" s="14" t="n">
        <x:v>29</x:v>
      </x:c>
      <x:c r="M848" s="14" t="n">
        <x:v>22</x:v>
      </x:c>
      <x:c r="N848" s="15" t="n">
        <x:f>IF(E848=0,"해당 없음",F848/E848)</x:f>
        <x:v>0.01</x:v>
      </x:c>
      <x:c r="O848" s="15" t="n">
        <x:f>IF(E848=0,"해당 없음",G848/E848)</x:f>
        <x:v>0.27</x:v>
      </x:c>
      <x:c r="P848" s="15" t="n">
        <x:f>IF(E848=0,"해당 없음",H848/E848)</x:f>
        <x:v>0.08</x:v>
      </x:c>
      <x:c r="Q848" s="15" t="n">
        <x:f>IF(E848=0,"해당 없음",I848/E848)</x:f>
        <x:v>0.01</x:v>
      </x:c>
      <x:c r="R848" s="15" t="n">
        <x:f>IF(E848=0,"해당 없음",J848/E848)</x:f>
        <x:v>0.04</x:v>
      </x:c>
      <x:c r="S848" s="15" t="n">
        <x:f>IF(E848=0,"해당 없음",K848/E848)</x:f>
        <x:v>0.08</x:v>
      </x:c>
      <x:c r="T848" s="15" t="n">
        <x:f>IF(E848=0,"해당 없음",L848/E848)</x:f>
        <x:v>0.29</x:v>
      </x:c>
      <x:c r="U848" s="15" t="n">
        <x:f>IF(E848=0,"해당 없음",M848/E848)</x:f>
        <x:v>0.22</x:v>
      </x:c>
      <x:c r="V848" s="16" t="n">
        <x:f>E848/5</x:f>
        <x:v>20</x:v>
      </x:c>
    </x:row>
    <x:row r="849" ht="22" customHeight="1">
      <x:c r="A849" s="2" t="n">
        <x:v>422</x:v>
      </x:c>
      <x:c r="B849" s="2" t="str">
        <x:v>NAVY</x:v>
      </x:c>
      <x:c r="C849" s="2" t="str">
        <x:v>0만</x:v>
      </x:c>
      <x:c r="D849" s="2" t="str">
        <x:v>160만</x:v>
      </x:c>
      <x:c r="E849" s="14" t="n">
        <x:f>SUM(F849:M849)</x:f>
        <x:v>102</x:v>
      </x:c>
      <x:c r="F849" s="14" t="n">
        <x:v>10</x:v>
      </x:c>
      <x:c r="G849" s="14" t="n">
        <x:v>11</x:v>
      </x:c>
      <x:c r="H849" s="14" t="n">
        <x:v>18</x:v>
      </x:c>
      <x:c r="I849" s="14" t="n">
        <x:v>11</x:v>
      </x:c>
      <x:c r="J849" s="14" t="n">
        <x:v>16</x:v>
      </x:c>
      <x:c r="K849" s="14" t="n">
        <x:v>13</x:v>
      </x:c>
      <x:c r="L849" s="14" t="n">
        <x:v>13</x:v>
      </x:c>
      <x:c r="M849" s="14" t="n">
        <x:v>10</x:v>
      </x:c>
      <x:c r="N849" s="15" t="n">
        <x:f>IF(E849=0,"해당 없음",F849/E849)</x:f>
        <x:v>0.09803921568627451</x:v>
      </x:c>
      <x:c r="O849" s="15" t="n">
        <x:f>IF(E849=0,"해당 없음",G849/E849)</x:f>
        <x:v>0.10784313725490197</x:v>
      </x:c>
      <x:c r="P849" s="15" t="n">
        <x:f>IF(E849=0,"해당 없음",H849/E849)</x:f>
        <x:v>0.17647058823529413</x:v>
      </x:c>
      <x:c r="Q849" s="15" t="n">
        <x:f>IF(E849=0,"해당 없음",I849/E849)</x:f>
        <x:v>0.10784313725490197</x:v>
      </x:c>
      <x:c r="R849" s="15" t="n">
        <x:f>IF(E849=0,"해당 없음",J849/E849)</x:f>
        <x:v>0.1568627450980392</x:v>
      </x:c>
      <x:c r="S849" s="15" t="n">
        <x:f>IF(E849=0,"해당 없음",K849/E849)</x:f>
        <x:v>0.12745098039215685</x:v>
      </x:c>
      <x:c r="T849" s="15" t="n">
        <x:f>IF(E849=0,"해당 없음",L849/E849)</x:f>
        <x:v>0.12745098039215685</x:v>
      </x:c>
      <x:c r="U849" s="15" t="n">
        <x:f>IF(E849=0,"해당 없음",M849/E849)</x:f>
        <x:v>0.09803921568627451</x:v>
      </x:c>
      <x:c r="V849" s="16" t="n">
        <x:f>E849/5</x:f>
        <x:v>20.4</x:v>
      </x:c>
    </x:row>
    <x:row r="850" ht="22" customHeight="1">
      <x:c r="A850" s="2" t="n">
        <x:v>423</x:v>
      </x:c>
      <x:c r="B850" s="2" t="str">
        <x:v>RED</x:v>
      </x:c>
      <x:c r="C850" s="2" t="str">
        <x:v>0만</x:v>
      </x:c>
      <x:c r="D850" s="2" t="str">
        <x:v>160만</x:v>
      </x:c>
      <x:c r="E850" s="14" t="n">
        <x:f>SUM(F850:M850)</x:f>
        <x:v>103</x:v>
      </x:c>
      <x:c r="F850" s="14" t="n">
        <x:v>18</x:v>
      </x:c>
      <x:c r="G850" s="14" t="n">
        <x:v>9</x:v>
      </x:c>
      <x:c r="H850" s="14" t="n">
        <x:v>10</x:v>
      </x:c>
      <x:c r="I850" s="14" t="n">
        <x:v>19</x:v>
      </x:c>
      <x:c r="J850" s="14" t="n">
        <x:v>7</x:v>
      </x:c>
      <x:c r="K850" s="14" t="n">
        <x:v>15</x:v>
      </x:c>
      <x:c r="L850" s="14" t="n">
        <x:v>13</x:v>
      </x:c>
      <x:c r="M850" s="14" t="n">
        <x:v>12</x:v>
      </x:c>
      <x:c r="N850" s="15" t="n">
        <x:f>IF(E850=0,"해당 없음",F850/E850)</x:f>
        <x:v>0.17475728155339806</x:v>
      </x:c>
      <x:c r="O850" s="15" t="n">
        <x:f>IF(E850=0,"해당 없음",G850/E850)</x:f>
        <x:v>0.08737864077669903</x:v>
      </x:c>
      <x:c r="P850" s="15" t="n">
        <x:f>IF(E850=0,"해당 없음",H850/E850)</x:f>
        <x:v>0.0970873786407767</x:v>
      </x:c>
      <x:c r="Q850" s="15" t="n">
        <x:f>IF(E850=0,"해당 없음",I850/E850)</x:f>
        <x:v>0.18446601941747573</x:v>
      </x:c>
      <x:c r="R850" s="15" t="n">
        <x:f>IF(E850=0,"해당 없음",J850/E850)</x:f>
        <x:v>0.06796116504854369</x:v>
      </x:c>
      <x:c r="S850" s="15" t="n">
        <x:f>IF(E850=0,"해당 없음",K850/E850)</x:f>
        <x:v>0.14563106796116504</x:v>
      </x:c>
      <x:c r="T850" s="15" t="n">
        <x:f>IF(E850=0,"해당 없음",L850/E850)</x:f>
        <x:v>0.1262135922330097</x:v>
      </x:c>
      <x:c r="U850" s="15" t="n">
        <x:f>IF(E850=0,"해당 없음",M850/E850)</x:f>
        <x:v>0.11650485436893204</x:v>
      </x:c>
      <x:c r="V850" s="16" t="n">
        <x:f>E850/5</x:f>
        <x:v>20.6</x:v>
      </x:c>
    </x:row>
    <x:row r="851" ht="22" customHeight="1">
      <x:c r="A851" s="2" t="n">
        <x:v>423</x:v>
      </x:c>
      <x:c r="B851" s="2" t="str">
        <x:v>NAVY</x:v>
      </x:c>
      <x:c r="C851" s="2" t="str">
        <x:v>160만</x:v>
      </x:c>
      <x:c r="D851" s="2" t="str">
        <x:v>0만</x:v>
      </x:c>
      <x:c r="E851" s="14" t="n">
        <x:f>SUM(F851:M851)</x:f>
        <x:v>105</x:v>
      </x:c>
      <x:c r="F851" s="14" t="n">
        <x:v>4</x:v>
      </x:c>
      <x:c r="G851" s="14" t="n">
        <x:v>18</x:v>
      </x:c>
      <x:c r="H851" s="14" t="n">
        <x:v>9</x:v>
      </x:c>
      <x:c r="I851" s="14" t="n">
        <x:v>6</x:v>
      </x:c>
      <x:c r="J851" s="14" t="n">
        <x:v>2</x:v>
      </x:c>
      <x:c r="K851" s="14" t="n">
        <x:v>10</x:v>
      </x:c>
      <x:c r="L851" s="14" t="n">
        <x:v>35</x:v>
      </x:c>
      <x:c r="M851" s="14" t="n">
        <x:v>21</x:v>
      </x:c>
      <x:c r="N851" s="15" t="n">
        <x:f>IF(E851=0,"해당 없음",F851/E851)</x:f>
        <x:v>0.0380952380952381</x:v>
      </x:c>
      <x:c r="O851" s="15" t="n">
        <x:f>IF(E851=0,"해당 없음",G851/E851)</x:f>
        <x:v>0.17142857142857143</x:v>
      </x:c>
      <x:c r="P851" s="15" t="n">
        <x:f>IF(E851=0,"해당 없음",H851/E851)</x:f>
        <x:v>0.08571428571428572</x:v>
      </x:c>
      <x:c r="Q851" s="15" t="n">
        <x:f>IF(E851=0,"해당 없음",I851/E851)</x:f>
        <x:v>0.05714285714285714</x:v>
      </x:c>
      <x:c r="R851" s="15" t="n">
        <x:f>IF(E851=0,"해당 없음",J851/E851)</x:f>
        <x:v>0.01904761904761905</x:v>
      </x:c>
      <x:c r="S851" s="15" t="n">
        <x:f>IF(E851=0,"해당 없음",K851/E851)</x:f>
        <x:v>0.09523809523809523</x:v>
      </x:c>
      <x:c r="T851" s="15" t="n">
        <x:f>IF(E851=0,"해당 없음",L851/E851)</x:f>
        <x:v>0.3333333333333333</x:v>
      </x:c>
      <x:c r="U851" s="15" t="n">
        <x:f>IF(E851=0,"해당 없음",M851/E851)</x:f>
        <x:v>0.2</x:v>
      </x:c>
      <x:c r="V851" s="16" t="n">
        <x:f>E851/5</x:f>
        <x:v>21</x:v>
      </x:c>
    </x:row>
    <x:row r="852" ht="22" customHeight="1">
      <x:c r="A852" s="2" t="n">
        <x:v>424</x:v>
      </x:c>
      <x:c r="B852" s="2" t="str">
        <x:v>RED</x:v>
      </x:c>
      <x:c r="C852" s="2" t="str">
        <x:v>160만</x:v>
      </x:c>
      <x:c r="D852" s="2" t="str">
        <x:v>0만</x:v>
      </x:c>
      <x:c r="E852" s="14" t="n">
        <x:f>SUM(F852:M852)</x:f>
        <x:v>105</x:v>
      </x:c>
      <x:c r="F852" s="14" t="n">
        <x:v>3</x:v>
      </x:c>
      <x:c r="G852" s="14" t="n">
        <x:v>17</x:v>
      </x:c>
      <x:c r="H852" s="14" t="n">
        <x:v>7</x:v>
      </x:c>
      <x:c r="I852" s="14" t="n">
        <x:v>7</x:v>
      </x:c>
      <x:c r="J852" s="14" t="n">
        <x:v>4</x:v>
      </x:c>
      <x:c r="K852" s="14" t="n">
        <x:v>8</x:v>
      </x:c>
      <x:c r="L852" s="14" t="n">
        <x:v>34</x:v>
      </x:c>
      <x:c r="M852" s="14" t="n">
        <x:v>25</x:v>
      </x:c>
      <x:c r="N852" s="15" t="n">
        <x:f>IF(E852=0,"해당 없음",F852/E852)</x:f>
        <x:v>0.02857142857142857</x:v>
      </x:c>
      <x:c r="O852" s="15" t="n">
        <x:f>IF(E852=0,"해당 없음",G852/E852)</x:f>
        <x:v>0.1619047619047619</x:v>
      </x:c>
      <x:c r="P852" s="15" t="n">
        <x:f>IF(E852=0,"해당 없음",H852/E852)</x:f>
        <x:v>0.06666666666666667</x:v>
      </x:c>
      <x:c r="Q852" s="15" t="n">
        <x:f>IF(E852=0,"해당 없음",I852/E852)</x:f>
        <x:v>0.06666666666666667</x:v>
      </x:c>
      <x:c r="R852" s="15" t="n">
        <x:f>IF(E852=0,"해당 없음",J852/E852)</x:f>
        <x:v>0.0380952380952381</x:v>
      </x:c>
      <x:c r="S852" s="15" t="n">
        <x:f>IF(E852=0,"해당 없음",K852/E852)</x:f>
        <x:v>0.0761904761904762</x:v>
      </x:c>
      <x:c r="T852" s="15" t="n">
        <x:f>IF(E852=0,"해당 없음",L852/E852)</x:f>
        <x:v>0.3238095238095238</x:v>
      </x:c>
      <x:c r="U852" s="15" t="n">
        <x:f>IF(E852=0,"해당 없음",M852/E852)</x:f>
        <x:v>0.23809523809523808</x:v>
      </x:c>
      <x:c r="V852" s="16" t="n">
        <x:f>E852/5</x:f>
        <x:v>21</x:v>
      </x:c>
    </x:row>
    <x:row r="853" ht="22" customHeight="1">
      <x:c r="A853" s="2" t="n">
        <x:v>424</x:v>
      </x:c>
      <x:c r="B853" s="2" t="str">
        <x:v>NAVY</x:v>
      </x:c>
      <x:c r="C853" s="2" t="str">
        <x:v>0만</x:v>
      </x:c>
      <x:c r="D853" s="2" t="str">
        <x:v>160만</x:v>
      </x:c>
      <x:c r="E853" s="14" t="n">
        <x:f>SUM(F853:M853)</x:f>
        <x:v>105</x:v>
      </x:c>
      <x:c r="F853" s="14" t="n">
        <x:v>19</x:v>
      </x:c>
      <x:c r="G853" s="14" t="n">
        <x:v>9</x:v>
      </x:c>
      <x:c r="H853" s="14" t="n">
        <x:v>10</x:v>
      </x:c>
      <x:c r="I853" s="14" t="n">
        <x:v>20</x:v>
      </x:c>
      <x:c r="J853" s="14" t="n">
        <x:v>7</x:v>
      </x:c>
      <x:c r="K853" s="14" t="n">
        <x:v>15</x:v>
      </x:c>
      <x:c r="L853" s="14" t="n">
        <x:v>13</x:v>
      </x:c>
      <x:c r="M853" s="14" t="n">
        <x:v>12</x:v>
      </x:c>
      <x:c r="N853" s="15" t="n">
        <x:f>IF(E853=0,"해당 없음",F853/E853)</x:f>
        <x:v>0.18095238095238095</x:v>
      </x:c>
      <x:c r="O853" s="15" t="n">
        <x:f>IF(E853=0,"해당 없음",G853/E853)</x:f>
        <x:v>0.08571428571428572</x:v>
      </x:c>
      <x:c r="P853" s="15" t="n">
        <x:f>IF(E853=0,"해당 없음",H853/E853)</x:f>
        <x:v>0.09523809523809523</x:v>
      </x:c>
      <x:c r="Q853" s="15" t="n">
        <x:f>IF(E853=0,"해당 없음",I853/E853)</x:f>
        <x:v>0.19047619047619047</x:v>
      </x:c>
      <x:c r="R853" s="15" t="n">
        <x:f>IF(E853=0,"해당 없음",J853/E853)</x:f>
        <x:v>0.06666666666666667</x:v>
      </x:c>
      <x:c r="S853" s="15" t="n">
        <x:f>IF(E853=0,"해당 없음",K853/E853)</x:f>
        <x:v>0.14285714285714285</x:v>
      </x:c>
      <x:c r="T853" s="15" t="n">
        <x:f>IF(E853=0,"해당 없음",L853/E853)</x:f>
        <x:v>0.12380952380952381</x:v>
      </x:c>
      <x:c r="U853" s="15" t="n">
        <x:f>IF(E853=0,"해당 없음",M853/E853)</x:f>
        <x:v>0.11428571428571428</x:v>
      </x:c>
      <x:c r="V853" s="16" t="n">
        <x:f>E853/5</x:f>
        <x:v>21</x:v>
      </x:c>
    </x:row>
    <x:row r="854" ht="22" customHeight="1">
      <x:c r="A854" s="2" t="n">
        <x:v>425</x:v>
      </x:c>
      <x:c r="B854" s="2" t="str">
        <x:v>RED</x:v>
      </x:c>
      <x:c r="C854" s="2" t="str">
        <x:v>0만</x:v>
      </x:c>
      <x:c r="D854" s="2" t="str">
        <x:v>160만</x:v>
      </x:c>
      <x:c r="E854" s="14" t="n">
        <x:f>SUM(F854:M854)</x:f>
        <x:v>103</x:v>
      </x:c>
      <x:c r="F854" s="14" t="n">
        <x:v>11</x:v>
      </x:c>
      <x:c r="G854" s="14" t="n">
        <x:v>14</x:v>
      </x:c>
      <x:c r="H854" s="14" t="n">
        <x:v>14</x:v>
      </x:c>
      <x:c r="I854" s="14" t="n">
        <x:v>10</x:v>
      </x:c>
      <x:c r="J854" s="14" t="n">
        <x:v>17</x:v>
      </x:c>
      <x:c r="K854" s="14" t="n">
        <x:v>13</x:v>
      </x:c>
      <x:c r="L854" s="14" t="n">
        <x:v>16</x:v>
      </x:c>
      <x:c r="M854" s="14" t="n">
        <x:v>8</x:v>
      </x:c>
      <x:c r="N854" s="15" t="n">
        <x:f>IF(E854=0,"해당 없음",F854/E854)</x:f>
        <x:v>0.10679611650485436</x:v>
      </x:c>
      <x:c r="O854" s="15" t="n">
        <x:f>IF(E854=0,"해당 없음",G854/E854)</x:f>
        <x:v>0.13592233009708737</x:v>
      </x:c>
      <x:c r="P854" s="15" t="n">
        <x:f>IF(E854=0,"해당 없음",H854/E854)</x:f>
        <x:v>0.13592233009708737</x:v>
      </x:c>
      <x:c r="Q854" s="15" t="n">
        <x:f>IF(E854=0,"해당 없음",I854/E854)</x:f>
        <x:v>0.0970873786407767</x:v>
      </x:c>
      <x:c r="R854" s="15" t="n">
        <x:f>IF(E854=0,"해당 없음",J854/E854)</x:f>
        <x:v>0.1650485436893204</x:v>
      </x:c>
      <x:c r="S854" s="15" t="n">
        <x:f>IF(E854=0,"해당 없음",K854/E854)</x:f>
        <x:v>0.1262135922330097</x:v>
      </x:c>
      <x:c r="T854" s="15" t="n">
        <x:f>IF(E854=0,"해당 없음",L854/E854)</x:f>
        <x:v>0.1553398058252427</x:v>
      </x:c>
      <x:c r="U854" s="15" t="n">
        <x:f>IF(E854=0,"해당 없음",M854/E854)</x:f>
        <x:v>0.07766990291262135</x:v>
      </x:c>
      <x:c r="V854" s="16" t="n">
        <x:f>E854/5</x:f>
        <x:v>20.6</x:v>
      </x:c>
    </x:row>
    <x:row r="855" ht="22" customHeight="1">
      <x:c r="A855" s="2" t="n">
        <x:v>425</x:v>
      </x:c>
      <x:c r="B855" s="2" t="str">
        <x:v>NAVY</x:v>
      </x:c>
      <x:c r="C855" s="2" t="str">
        <x:v>160만</x:v>
      </x:c>
      <x:c r="D855" s="2" t="str">
        <x:v>0만</x:v>
      </x:c>
      <x:c r="E855" s="14" t="n">
        <x:f>SUM(F855:M855)</x:f>
        <x:v>103</x:v>
      </x:c>
      <x:c r="F855" s="14" t="n">
        <x:v>2</x:v>
      </x:c>
      <x:c r="G855" s="14" t="n">
        <x:v>18</x:v>
      </x:c>
      <x:c r="H855" s="14" t="n">
        <x:v>6</x:v>
      </x:c>
      <x:c r="I855" s="14" t="n">
        <x:v>7</x:v>
      </x:c>
      <x:c r="J855" s="14" t="n">
        <x:v>3</x:v>
      </x:c>
      <x:c r="K855" s="14" t="n">
        <x:v>18</x:v>
      </x:c>
      <x:c r="L855" s="14" t="n">
        <x:v>33</x:v>
      </x:c>
      <x:c r="M855" s="14" t="n">
        <x:v>16</x:v>
      </x:c>
      <x:c r="N855" s="15" t="n">
        <x:f>IF(E855=0,"해당 없음",F855/E855)</x:f>
        <x:v>0.019417475728155338</x:v>
      </x:c>
      <x:c r="O855" s="15" t="n">
        <x:f>IF(E855=0,"해당 없음",G855/E855)</x:f>
        <x:v>0.17475728155339806</x:v>
      </x:c>
      <x:c r="P855" s="15" t="n">
        <x:f>IF(E855=0,"해당 없음",H855/E855)</x:f>
        <x:v>0.05825242718446602</x:v>
      </x:c>
      <x:c r="Q855" s="15" t="n">
        <x:f>IF(E855=0,"해당 없음",I855/E855)</x:f>
        <x:v>0.06796116504854369</x:v>
      </x:c>
      <x:c r="R855" s="15" t="n">
        <x:f>IF(E855=0,"해당 없음",J855/E855)</x:f>
        <x:v>0.02912621359223301</x:v>
      </x:c>
      <x:c r="S855" s="15" t="n">
        <x:f>IF(E855=0,"해당 없음",K855/E855)</x:f>
        <x:v>0.17475728155339806</x:v>
      </x:c>
      <x:c r="T855" s="15" t="n">
        <x:f>IF(E855=0,"해당 없음",L855/E855)</x:f>
        <x:v>0.32038834951456313</x:v>
      </x:c>
      <x:c r="U855" s="15" t="n">
        <x:f>IF(E855=0,"해당 없음",M855/E855)</x:f>
        <x:v>0.1553398058252427</x:v>
      </x:c>
      <x:c r="V855" s="16" t="n">
        <x:f>E855/5</x:f>
        <x:v>20.6</x:v>
      </x:c>
    </x:row>
    <x:row r="856" ht="22" customHeight="1">
      <x:c r="A856" s="2" t="n">
        <x:v>426</x:v>
      </x:c>
      <x:c r="B856" s="2" t="str">
        <x:v>RED</x:v>
      </x:c>
      <x:c r="C856" s="2" t="str">
        <x:v>160만</x:v>
      </x:c>
      <x:c r="D856" s="2" t="str">
        <x:v>0만</x:v>
      </x:c>
      <x:c r="E856" s="14" t="n">
        <x:f>SUM(F856:M856)</x:f>
        <x:v>101</x:v>
      </x:c>
      <x:c r="F856" s="14" t="n">
        <x:v>7</x:v>
      </x:c>
      <x:c r="G856" s="14" t="n">
        <x:v>20</x:v>
      </x:c>
      <x:c r="H856" s="14" t="n">
        <x:v>7</x:v>
      </x:c>
      <x:c r="I856" s="14" t="n">
        <x:v>7</x:v>
      </x:c>
      <x:c r="J856" s="14" t="n">
        <x:v>1</x:v>
      </x:c>
      <x:c r="K856" s="14" t="n">
        <x:v>7</x:v>
      </x:c>
      <x:c r="L856" s="14" t="n">
        <x:v>33</x:v>
      </x:c>
      <x:c r="M856" s="14" t="n">
        <x:v>19</x:v>
      </x:c>
      <x:c r="N856" s="15" t="n">
        <x:f>IF(E856=0,"해당 없음",F856/E856)</x:f>
        <x:v>0.06930693069306931</x:v>
      </x:c>
      <x:c r="O856" s="15" t="n">
        <x:f>IF(E856=0,"해당 없음",G856/E856)</x:f>
        <x:v>0.19801980198019803</x:v>
      </x:c>
      <x:c r="P856" s="15" t="n">
        <x:f>IF(E856=0,"해당 없음",H856/E856)</x:f>
        <x:v>0.06930693069306931</x:v>
      </x:c>
      <x:c r="Q856" s="15" t="n">
        <x:f>IF(E856=0,"해당 없음",I856/E856)</x:f>
        <x:v>0.06930693069306931</x:v>
      </x:c>
      <x:c r="R856" s="15" t="n">
        <x:f>IF(E856=0,"해당 없음",J856/E856)</x:f>
        <x:v>0.009900990099009901</x:v>
      </x:c>
      <x:c r="S856" s="15" t="n">
        <x:f>IF(E856=0,"해당 없음",K856/E856)</x:f>
        <x:v>0.06930693069306931</x:v>
      </x:c>
      <x:c r="T856" s="15" t="n">
        <x:f>IF(E856=0,"해당 없음",L856/E856)</x:f>
        <x:v>0.32673267326732675</x:v>
      </x:c>
      <x:c r="U856" s="15" t="n">
        <x:f>IF(E856=0,"해당 없음",M856/E856)</x:f>
        <x:v>0.18811881188118812</x:v>
      </x:c>
      <x:c r="V856" s="16" t="n">
        <x:f>E856/5</x:f>
        <x:v>20.2</x:v>
      </x:c>
    </x:row>
    <x:row r="857" ht="22" customHeight="1">
      <x:c r="A857" s="2" t="n">
        <x:v>426</x:v>
      </x:c>
      <x:c r="B857" s="2" t="str">
        <x:v>NAVY</x:v>
      </x:c>
      <x:c r="C857" s="2" t="str">
        <x:v>0만</x:v>
      </x:c>
      <x:c r="D857" s="2" t="str">
        <x:v>160만</x:v>
      </x:c>
      <x:c r="E857" s="14" t="n">
        <x:f>SUM(F857:M857)</x:f>
        <x:v>103</x:v>
      </x:c>
      <x:c r="F857" s="14" t="n">
        <x:v>11</x:v>
      </x:c>
      <x:c r="G857" s="14" t="n">
        <x:v>14</x:v>
      </x:c>
      <x:c r="H857" s="14" t="n">
        <x:v>14</x:v>
      </x:c>
      <x:c r="I857" s="14" t="n">
        <x:v>10</x:v>
      </x:c>
      <x:c r="J857" s="14" t="n">
        <x:v>17</x:v>
      </x:c>
      <x:c r="K857" s="14" t="n">
        <x:v>13</x:v>
      </x:c>
      <x:c r="L857" s="14" t="n">
        <x:v>16</x:v>
      </x:c>
      <x:c r="M857" s="14" t="n">
        <x:v>8</x:v>
      </x:c>
      <x:c r="N857" s="15" t="n">
        <x:f>IF(E857=0,"해당 없음",F857/E857)</x:f>
        <x:v>0.10679611650485436</x:v>
      </x:c>
      <x:c r="O857" s="15" t="n">
        <x:f>IF(E857=0,"해당 없음",G857/E857)</x:f>
        <x:v>0.13592233009708737</x:v>
      </x:c>
      <x:c r="P857" s="15" t="n">
        <x:f>IF(E857=0,"해당 없음",H857/E857)</x:f>
        <x:v>0.13592233009708737</x:v>
      </x:c>
      <x:c r="Q857" s="15" t="n">
        <x:f>IF(E857=0,"해당 없음",I857/E857)</x:f>
        <x:v>0.0970873786407767</x:v>
      </x:c>
      <x:c r="R857" s="15" t="n">
        <x:f>IF(E857=0,"해당 없음",J857/E857)</x:f>
        <x:v>0.1650485436893204</x:v>
      </x:c>
      <x:c r="S857" s="15" t="n">
        <x:f>IF(E857=0,"해당 없음",K857/E857)</x:f>
        <x:v>0.1262135922330097</x:v>
      </x:c>
      <x:c r="T857" s="15" t="n">
        <x:f>IF(E857=0,"해당 없음",L857/E857)</x:f>
        <x:v>0.1553398058252427</x:v>
      </x:c>
      <x:c r="U857" s="15" t="n">
        <x:f>IF(E857=0,"해당 없음",M857/E857)</x:f>
        <x:v>0.07766990291262135</x:v>
      </x:c>
      <x:c r="V857" s="16" t="n">
        <x:f>E857/5</x:f>
        <x:v>20.6</x:v>
      </x:c>
    </x:row>
    <x:row r="858" ht="22" customHeight="1">
      <x:c r="A858" s="2" t="n">
        <x:v>427</x:v>
      </x:c>
      <x:c r="B858" s="2" t="str">
        <x:v>RED</x:v>
      </x:c>
      <x:c r="C858" s="2" t="str">
        <x:v>0만</x:v>
      </x:c>
      <x:c r="D858" s="2" t="str">
        <x:v>160만</x:v>
      </x:c>
      <x:c r="E858" s="14" t="n">
        <x:f>SUM(F858:M858)</x:f>
        <x:v>103</x:v>
      </x:c>
      <x:c r="F858" s="14" t="n">
        <x:v>9</x:v>
      </x:c>
      <x:c r="G858" s="14" t="n">
        <x:v>11</x:v>
      </x:c>
      <x:c r="H858" s="14" t="n">
        <x:v>11</x:v>
      </x:c>
      <x:c r="I858" s="14" t="n">
        <x:v>17</x:v>
      </x:c>
      <x:c r="J858" s="14" t="n">
        <x:v>13</x:v>
      </x:c>
      <x:c r="K858" s="14" t="n">
        <x:v>11</x:v>
      </x:c>
      <x:c r="L858" s="14" t="n">
        <x:v>14</x:v>
      </x:c>
      <x:c r="M858" s="14" t="n">
        <x:v>17</x:v>
      </x:c>
      <x:c r="N858" s="15" t="n">
        <x:f>IF(E858=0,"해당 없음",F858/E858)</x:f>
        <x:v>0.08737864077669903</x:v>
      </x:c>
      <x:c r="O858" s="15" t="n">
        <x:f>IF(E858=0,"해당 없음",G858/E858)</x:f>
        <x:v>0.10679611650485436</x:v>
      </x:c>
      <x:c r="P858" s="15" t="n">
        <x:f>IF(E858=0,"해당 없음",H858/E858)</x:f>
        <x:v>0.10679611650485436</x:v>
      </x:c>
      <x:c r="Q858" s="15" t="n">
        <x:f>IF(E858=0,"해당 없음",I858/E858)</x:f>
        <x:v>0.1650485436893204</x:v>
      </x:c>
      <x:c r="R858" s="15" t="n">
        <x:f>IF(E858=0,"해당 없음",J858/E858)</x:f>
        <x:v>0.1262135922330097</x:v>
      </x:c>
      <x:c r="S858" s="15" t="n">
        <x:f>IF(E858=0,"해당 없음",K858/E858)</x:f>
        <x:v>0.10679611650485436</x:v>
      </x:c>
      <x:c r="T858" s="15" t="n">
        <x:f>IF(E858=0,"해당 없음",L858/E858)</x:f>
        <x:v>0.13592233009708737</x:v>
      </x:c>
      <x:c r="U858" s="15" t="n">
        <x:f>IF(E858=0,"해당 없음",M858/E858)</x:f>
        <x:v>0.1650485436893204</x:v>
      </x:c>
      <x:c r="V858" s="16" t="n">
        <x:f>E858/5</x:f>
        <x:v>20.6</x:v>
      </x:c>
    </x:row>
    <x:row r="859" ht="22" customHeight="1">
      <x:c r="A859" s="2" t="n">
        <x:v>427</x:v>
      </x:c>
      <x:c r="B859" s="2" t="str">
        <x:v>NAVY</x:v>
      </x:c>
      <x:c r="C859" s="2" t="str">
        <x:v>160만</x:v>
      </x:c>
      <x:c r="D859" s="2" t="str">
        <x:v>0만</x:v>
      </x:c>
      <x:c r="E859" s="14" t="n">
        <x:f>SUM(F859:M859)</x:f>
        <x:v>105</x:v>
      </x:c>
      <x:c r="F859" s="14" t="n">
        <x:v>5</x:v>
      </x:c>
      <x:c r="G859" s="14" t="n">
        <x:v>19</x:v>
      </x:c>
      <x:c r="H859" s="14" t="n">
        <x:v>6</x:v>
      </x:c>
      <x:c r="I859" s="14" t="n">
        <x:v>6</x:v>
      </x:c>
      <x:c r="J859" s="14" t="n">
        <x:v>2</x:v>
      </x:c>
      <x:c r="K859" s="14" t="n">
        <x:v>10</x:v>
      </x:c>
      <x:c r="L859" s="14" t="n">
        <x:v>33</x:v>
      </x:c>
      <x:c r="M859" s="14" t="n">
        <x:v>24</x:v>
      </x:c>
      <x:c r="N859" s="15" t="n">
        <x:f>IF(E859=0,"해당 없음",F859/E859)</x:f>
        <x:v>0.047619047619047616</x:v>
      </x:c>
      <x:c r="O859" s="15" t="n">
        <x:f>IF(E859=0,"해당 없음",G859/E859)</x:f>
        <x:v>0.18095238095238095</x:v>
      </x:c>
      <x:c r="P859" s="15" t="n">
        <x:f>IF(E859=0,"해당 없음",H859/E859)</x:f>
        <x:v>0.05714285714285714</x:v>
      </x:c>
      <x:c r="Q859" s="15" t="n">
        <x:f>IF(E859=0,"해당 없음",I859/E859)</x:f>
        <x:v>0.05714285714285714</x:v>
      </x:c>
      <x:c r="R859" s="15" t="n">
        <x:f>IF(E859=0,"해당 없음",J859/E859)</x:f>
        <x:v>0.01904761904761905</x:v>
      </x:c>
      <x:c r="S859" s="15" t="n">
        <x:f>IF(E859=0,"해당 없음",K859/E859)</x:f>
        <x:v>0.09523809523809523</x:v>
      </x:c>
      <x:c r="T859" s="15" t="n">
        <x:f>IF(E859=0,"해당 없음",L859/E859)</x:f>
        <x:v>0.3142857142857143</x:v>
      </x:c>
      <x:c r="U859" s="15" t="n">
        <x:f>IF(E859=0,"해당 없음",M859/E859)</x:f>
        <x:v>0.22857142857142856</x:v>
      </x:c>
      <x:c r="V859" s="16" t="n">
        <x:f>E859/5</x:f>
        <x:v>21</x:v>
      </x:c>
    </x:row>
    <x:row r="860" ht="22" customHeight="1">
      <x:c r="A860" s="2" t="n">
        <x:v>428</x:v>
      </x:c>
      <x:c r="B860" s="2" t="str">
        <x:v>RED</x:v>
      </x:c>
      <x:c r="C860" s="2" t="str">
        <x:v>160만</x:v>
      </x:c>
      <x:c r="D860" s="2" t="str">
        <x:v>0만</x:v>
      </x:c>
      <x:c r="E860" s="14" t="n">
        <x:f>SUM(F860:M860)</x:f>
        <x:v>105</x:v>
      </x:c>
      <x:c r="F860" s="14" t="n">
        <x:v>3</x:v>
      </x:c>
      <x:c r="G860" s="14" t="n">
        <x:v>12</x:v>
      </x:c>
      <x:c r="H860" s="14" t="n">
        <x:v>7</x:v>
      </x:c>
      <x:c r="I860" s="14" t="n">
        <x:v>4</x:v>
      </x:c>
      <x:c r="J860" s="14" t="n">
        <x:v>5</x:v>
      </x:c>
      <x:c r="K860" s="14" t="n">
        <x:v>5</x:v>
      </x:c>
      <x:c r="L860" s="14" t="n">
        <x:v>42</x:v>
      </x:c>
      <x:c r="M860" s="14" t="n">
        <x:v>27</x:v>
      </x:c>
      <x:c r="N860" s="15" t="n">
        <x:f>IF(E860=0,"해당 없음",F860/E860)</x:f>
        <x:v>0.02857142857142857</x:v>
      </x:c>
      <x:c r="O860" s="15" t="n">
        <x:f>IF(E860=0,"해당 없음",G860/E860)</x:f>
        <x:v>0.11428571428571428</x:v>
      </x:c>
      <x:c r="P860" s="15" t="n">
        <x:f>IF(E860=0,"해당 없음",H860/E860)</x:f>
        <x:v>0.06666666666666667</x:v>
      </x:c>
      <x:c r="Q860" s="15" t="n">
        <x:f>IF(E860=0,"해당 없음",I860/E860)</x:f>
        <x:v>0.0380952380952381</x:v>
      </x:c>
      <x:c r="R860" s="15" t="n">
        <x:f>IF(E860=0,"해당 없음",J860/E860)</x:f>
        <x:v>0.047619047619047616</x:v>
      </x:c>
      <x:c r="S860" s="15" t="n">
        <x:f>IF(E860=0,"해당 없음",K860/E860)</x:f>
        <x:v>0.047619047619047616</x:v>
      </x:c>
      <x:c r="T860" s="15" t="n">
        <x:f>IF(E860=0,"해당 없음",L860/E860)</x:f>
        <x:v>0.4</x:v>
      </x:c>
      <x:c r="U860" s="15" t="n">
        <x:f>IF(E860=0,"해당 없음",M860/E860)</x:f>
        <x:v>0.2571428571428571</x:v>
      </x:c>
      <x:c r="V860" s="16" t="n">
        <x:f>E860/5</x:f>
        <x:v>21</x:v>
      </x:c>
    </x:row>
    <x:row r="861" ht="22" customHeight="1">
      <x:c r="A861" s="2" t="n">
        <x:v>428</x:v>
      </x:c>
      <x:c r="B861" s="2" t="str">
        <x:v>NAVY</x:v>
      </x:c>
      <x:c r="C861" s="2" t="str">
        <x:v>0만</x:v>
      </x:c>
      <x:c r="D861" s="2" t="str">
        <x:v>160만</x:v>
      </x:c>
      <x:c r="E861" s="14" t="n">
        <x:f>SUM(F861:M861)</x:f>
        <x:v>105</x:v>
      </x:c>
      <x:c r="F861" s="14" t="n">
        <x:v>10</x:v>
      </x:c>
      <x:c r="G861" s="14" t="n">
        <x:v>11</x:v>
      </x:c>
      <x:c r="H861" s="14" t="n">
        <x:v>11</x:v>
      </x:c>
      <x:c r="I861" s="14" t="n">
        <x:v>17</x:v>
      </x:c>
      <x:c r="J861" s="14" t="n">
        <x:v>13</x:v>
      </x:c>
      <x:c r="K861" s="14" t="n">
        <x:v>12</x:v>
      </x:c>
      <x:c r="L861" s="14" t="n">
        <x:v>14</x:v>
      </x:c>
      <x:c r="M861" s="14" t="n">
        <x:v>17</x:v>
      </x:c>
      <x:c r="N861" s="15" t="n">
        <x:f>IF(E861=0,"해당 없음",F861/E861)</x:f>
        <x:v>0.09523809523809523</x:v>
      </x:c>
      <x:c r="O861" s="15" t="n">
        <x:f>IF(E861=0,"해당 없음",G861/E861)</x:f>
        <x:v>0.10476190476190476</x:v>
      </x:c>
      <x:c r="P861" s="15" t="n">
        <x:f>IF(E861=0,"해당 없음",H861/E861)</x:f>
        <x:v>0.10476190476190476</x:v>
      </x:c>
      <x:c r="Q861" s="15" t="n">
        <x:f>IF(E861=0,"해당 없음",I861/E861)</x:f>
        <x:v>0.1619047619047619</x:v>
      </x:c>
      <x:c r="R861" s="15" t="n">
        <x:f>IF(E861=0,"해당 없음",J861/E861)</x:f>
        <x:v>0.12380952380952381</x:v>
      </x:c>
      <x:c r="S861" s="15" t="n">
        <x:f>IF(E861=0,"해당 없음",K861/E861)</x:f>
        <x:v>0.11428571428571428</x:v>
      </x:c>
      <x:c r="T861" s="15" t="n">
        <x:f>IF(E861=0,"해당 없음",L861/E861)</x:f>
        <x:v>0.13333333333333333</x:v>
      </x:c>
      <x:c r="U861" s="15" t="n">
        <x:f>IF(E861=0,"해당 없음",M861/E861)</x:f>
        <x:v>0.1619047619047619</x:v>
      </x:c>
      <x:c r="V861" s="16" t="n">
        <x:f>E861/5</x:f>
        <x:v>21</x:v>
      </x:c>
    </x:row>
    <x:row r="862" ht="22" customHeight="1">
      <x:c r="A862" s="2" t="n">
        <x:v>429</x:v>
      </x:c>
      <x:c r="B862" s="2" t="str">
        <x:v>RED</x:v>
      </x:c>
      <x:c r="C862" s="2" t="str">
        <x:v>0만</x:v>
      </x:c>
      <x:c r="D862" s="2" t="str">
        <x:v>160만</x:v>
      </x:c>
      <x:c r="E862" s="14" t="n">
        <x:f>SUM(F862:M862)</x:f>
        <x:v>104</x:v>
      </x:c>
      <x:c r="F862" s="14" t="n">
        <x:v>10</x:v>
      </x:c>
      <x:c r="G862" s="14" t="n">
        <x:v>19</x:v>
      </x:c>
      <x:c r="H862" s="14" t="n">
        <x:v>10</x:v>
      </x:c>
      <x:c r="I862" s="14" t="n">
        <x:v>4</x:v>
      </x:c>
      <x:c r="J862" s="14" t="n">
        <x:v>16</x:v>
      </x:c>
      <x:c r="K862" s="14" t="n">
        <x:v>17</x:v>
      </x:c>
      <x:c r="L862" s="14" t="n">
        <x:v>18</x:v>
      </x:c>
      <x:c r="M862" s="14" t="n">
        <x:v>10</x:v>
      </x:c>
      <x:c r="N862" s="15" t="n">
        <x:f>IF(E862=0,"해당 없음",F862/E862)</x:f>
        <x:v>0.09615384615384616</x:v>
      </x:c>
      <x:c r="O862" s="15" t="n">
        <x:f>IF(E862=0,"해당 없음",G862/E862)</x:f>
        <x:v>0.18269230769230768</x:v>
      </x:c>
      <x:c r="P862" s="15" t="n">
        <x:f>IF(E862=0,"해당 없음",H862/E862)</x:f>
        <x:v>0.09615384615384616</x:v>
      </x:c>
      <x:c r="Q862" s="15" t="n">
        <x:f>IF(E862=0,"해당 없음",I862/E862)</x:f>
        <x:v>0.038461538461538464</x:v>
      </x:c>
      <x:c r="R862" s="15" t="n">
        <x:f>IF(E862=0,"해당 없음",J862/E862)</x:f>
        <x:v>0.15384615384615385</x:v>
      </x:c>
      <x:c r="S862" s="15" t="n">
        <x:f>IF(E862=0,"해당 없음",K862/E862)</x:f>
        <x:v>0.16346153846153846</x:v>
      </x:c>
      <x:c r="T862" s="15" t="n">
        <x:f>IF(E862=0,"해당 없음",L862/E862)</x:f>
        <x:v>0.17307692307692307</x:v>
      </x:c>
      <x:c r="U862" s="15" t="n">
        <x:f>IF(E862=0,"해당 없음",M862/E862)</x:f>
        <x:v>0.09615384615384616</x:v>
      </x:c>
      <x:c r="V862" s="16" t="n">
        <x:f>E862/5</x:f>
        <x:v>20.8</x:v>
      </x:c>
    </x:row>
    <x:row r="863" ht="22" customHeight="1">
      <x:c r="A863" s="2" t="n">
        <x:v>429</x:v>
      </x:c>
      <x:c r="B863" s="2" t="str">
        <x:v>NAVY</x:v>
      </x:c>
      <x:c r="C863" s="2" t="str">
        <x:v>160만</x:v>
      </x:c>
      <x:c r="D863" s="2" t="str">
        <x:v>0만</x:v>
      </x:c>
      <x:c r="E863" s="14" t="n">
        <x:f>SUM(F863:M863)</x:f>
        <x:v>103</x:v>
      </x:c>
      <x:c r="F863" s="14" t="n">
        <x:v>2</x:v>
      </x:c>
      <x:c r="G863" s="14" t="n">
        <x:v>21</x:v>
      </x:c>
      <x:c r="H863" s="14" t="n">
        <x:v>10</x:v>
      </x:c>
      <x:c r="I863" s="14" t="n">
        <x:v>6</x:v>
      </x:c>
      <x:c r="J863" s="14" t="n">
        <x:v>2</x:v>
      </x:c>
      <x:c r="K863" s="14" t="n">
        <x:v>8</x:v>
      </x:c>
      <x:c r="L863" s="14" t="n">
        <x:v>35</x:v>
      </x:c>
      <x:c r="M863" s="14" t="n">
        <x:v>19</x:v>
      </x:c>
      <x:c r="N863" s="15" t="n">
        <x:f>IF(E863=0,"해당 없음",F863/E863)</x:f>
        <x:v>0.019417475728155338</x:v>
      </x:c>
      <x:c r="O863" s="15" t="n">
        <x:f>IF(E863=0,"해당 없음",G863/E863)</x:f>
        <x:v>0.20388349514563106</x:v>
      </x:c>
      <x:c r="P863" s="15" t="n">
        <x:f>IF(E863=0,"해당 없음",H863/E863)</x:f>
        <x:v>0.0970873786407767</x:v>
      </x:c>
      <x:c r="Q863" s="15" t="n">
        <x:f>IF(E863=0,"해당 없음",I863/E863)</x:f>
        <x:v>0.05825242718446602</x:v>
      </x:c>
      <x:c r="R863" s="15" t="n">
        <x:f>IF(E863=0,"해당 없음",J863/E863)</x:f>
        <x:v>0.019417475728155338</x:v>
      </x:c>
      <x:c r="S863" s="15" t="n">
        <x:f>IF(E863=0,"해당 없음",K863/E863)</x:f>
        <x:v>0.07766990291262135</x:v>
      </x:c>
      <x:c r="T863" s="15" t="n">
        <x:f>IF(E863=0,"해당 없음",L863/E863)</x:f>
        <x:v>0.33980582524271846</x:v>
      </x:c>
      <x:c r="U863" s="15" t="n">
        <x:f>IF(E863=0,"해당 없음",M863/E863)</x:f>
        <x:v>0.18446601941747573</x:v>
      </x:c>
      <x:c r="V863" s="16" t="n">
        <x:f>E863/5</x:f>
        <x:v>20.6</x:v>
      </x:c>
    </x:row>
    <x:row r="864" ht="22" customHeight="1">
      <x:c r="A864" s="2" t="n">
        <x:v>430</x:v>
      </x:c>
      <x:c r="B864" s="2" t="str">
        <x:v>RED</x:v>
      </x:c>
      <x:c r="C864" s="2" t="str">
        <x:v>160만</x:v>
      </x:c>
      <x:c r="D864" s="2" t="str">
        <x:v>0만</x:v>
      </x:c>
      <x:c r="E864" s="14" t="n">
        <x:f>SUM(F864:M864)</x:f>
        <x:v>104</x:v>
      </x:c>
      <x:c r="F864" s="14" t="n">
        <x:v>1</x:v>
      </x:c>
      <x:c r="G864" s="14" t="n">
        <x:v>22</x:v>
      </x:c>
      <x:c r="H864" s="14" t="n">
        <x:v>9</x:v>
      </x:c>
      <x:c r="I864" s="14" t="n">
        <x:v>2</x:v>
      </x:c>
      <x:c r="J864" s="14" t="n">
        <x:v>3</x:v>
      </x:c>
      <x:c r="K864" s="14" t="n">
        <x:v>12</x:v>
      </x:c>
      <x:c r="L864" s="14" t="n">
        <x:v>32</x:v>
      </x:c>
      <x:c r="M864" s="14" t="n">
        <x:v>23</x:v>
      </x:c>
      <x:c r="N864" s="15" t="n">
        <x:f>IF(E864=0,"해당 없음",F864/E864)</x:f>
        <x:v>0.009615384615384616</x:v>
      </x:c>
      <x:c r="O864" s="15" t="n">
        <x:f>IF(E864=0,"해당 없음",G864/E864)</x:f>
        <x:v>0.21153846153846154</x:v>
      </x:c>
      <x:c r="P864" s="15" t="n">
        <x:f>IF(E864=0,"해당 없음",H864/E864)</x:f>
        <x:v>0.08653846153846154</x:v>
      </x:c>
      <x:c r="Q864" s="15" t="n">
        <x:f>IF(E864=0,"해당 없음",I864/E864)</x:f>
        <x:v>0.019230769230769232</x:v>
      </x:c>
      <x:c r="R864" s="15" t="n">
        <x:f>IF(E864=0,"해당 없음",J864/E864)</x:f>
        <x:v>0.028846153846153848</x:v>
      </x:c>
      <x:c r="S864" s="15" t="n">
        <x:f>IF(E864=0,"해당 없음",K864/E864)</x:f>
        <x:v>0.11538461538461539</x:v>
      </x:c>
      <x:c r="T864" s="15" t="n">
        <x:f>IF(E864=0,"해당 없음",L864/E864)</x:f>
        <x:v>0.3076923076923077</x:v>
      </x:c>
      <x:c r="U864" s="15" t="n">
        <x:f>IF(E864=0,"해당 없음",M864/E864)</x:f>
        <x:v>0.22115384615384615</x:v>
      </x:c>
      <x:c r="V864" s="16" t="n">
        <x:f>E864/5</x:f>
        <x:v>20.8</x:v>
      </x:c>
    </x:row>
    <x:row r="865" ht="22" customHeight="1">
      <x:c r="A865" s="2" t="n">
        <x:v>430</x:v>
      </x:c>
      <x:c r="B865" s="2" t="str">
        <x:v>NAVY</x:v>
      </x:c>
      <x:c r="C865" s="2" t="str">
        <x:v>0만</x:v>
      </x:c>
      <x:c r="D865" s="2" t="str">
        <x:v>160만</x:v>
      </x:c>
      <x:c r="E865" s="14" t="n">
        <x:f>SUM(F865:M865)</x:f>
        <x:v>104</x:v>
      </x:c>
      <x:c r="F865" s="14" t="n">
        <x:v>10</x:v>
      </x:c>
      <x:c r="G865" s="14" t="n">
        <x:v>19</x:v>
      </x:c>
      <x:c r="H865" s="14" t="n">
        <x:v>10</x:v>
      </x:c>
      <x:c r="I865" s="14" t="n">
        <x:v>4</x:v>
      </x:c>
      <x:c r="J865" s="14" t="n">
        <x:v>16</x:v>
      </x:c>
      <x:c r="K865" s="14" t="n">
        <x:v>17</x:v>
      </x:c>
      <x:c r="L865" s="14" t="n">
        <x:v>18</x:v>
      </x:c>
      <x:c r="M865" s="14" t="n">
        <x:v>10</x:v>
      </x:c>
      <x:c r="N865" s="15" t="n">
        <x:f>IF(E865=0,"해당 없음",F865/E865)</x:f>
        <x:v>0.09615384615384616</x:v>
      </x:c>
      <x:c r="O865" s="15" t="n">
        <x:f>IF(E865=0,"해당 없음",G865/E865)</x:f>
        <x:v>0.18269230769230768</x:v>
      </x:c>
      <x:c r="P865" s="15" t="n">
        <x:f>IF(E865=0,"해당 없음",H865/E865)</x:f>
        <x:v>0.09615384615384616</x:v>
      </x:c>
      <x:c r="Q865" s="15" t="n">
        <x:f>IF(E865=0,"해당 없음",I865/E865)</x:f>
        <x:v>0.038461538461538464</x:v>
      </x:c>
      <x:c r="R865" s="15" t="n">
        <x:f>IF(E865=0,"해당 없음",J865/E865)</x:f>
        <x:v>0.15384615384615385</x:v>
      </x:c>
      <x:c r="S865" s="15" t="n">
        <x:f>IF(E865=0,"해당 없음",K865/E865)</x:f>
        <x:v>0.16346153846153846</x:v>
      </x:c>
      <x:c r="T865" s="15" t="n">
        <x:f>IF(E865=0,"해당 없음",L865/E865)</x:f>
        <x:v>0.17307692307692307</x:v>
      </x:c>
      <x:c r="U865" s="15" t="n">
        <x:f>IF(E865=0,"해당 없음",M865/E865)</x:f>
        <x:v>0.09615384615384616</x:v>
      </x:c>
      <x:c r="V865" s="16" t="n">
        <x:f>E865/5</x:f>
        <x:v>20.8</x:v>
      </x:c>
    </x:row>
    <x:row r="866" ht="22" customHeight="1">
      <x:c r="A866" s="2" t="n">
        <x:v>431</x:v>
      </x:c>
      <x:c r="B866" s="2" t="str">
        <x:v>RED</x:v>
      </x:c>
      <x:c r="C866" s="2" t="str">
        <x:v>0만</x:v>
      </x:c>
      <x:c r="D866" s="2" t="str">
        <x:v>160만</x:v>
      </x:c>
      <x:c r="E866" s="14" t="n">
        <x:f>SUM(F866:M866)</x:f>
        <x:v>103</x:v>
      </x:c>
      <x:c r="F866" s="14" t="n">
        <x:v>13</x:v>
      </x:c>
      <x:c r="G866" s="14" t="n">
        <x:v>15</x:v>
      </x:c>
      <x:c r="H866" s="14" t="n">
        <x:v>13</x:v>
      </x:c>
      <x:c r="I866" s="14" t="n">
        <x:v>12</x:v>
      </x:c>
      <x:c r="J866" s="14" t="n">
        <x:v>11</x:v>
      </x:c>
      <x:c r="K866" s="14" t="n">
        <x:v>9</x:v>
      </x:c>
      <x:c r="L866" s="14" t="n">
        <x:v>15</x:v>
      </x:c>
      <x:c r="M866" s="14" t="n">
        <x:v>15</x:v>
      </x:c>
      <x:c r="N866" s="15" t="n">
        <x:f>IF(E866=0,"해당 없음",F866/E866)</x:f>
        <x:v>0.1262135922330097</x:v>
      </x:c>
      <x:c r="O866" s="15" t="n">
        <x:f>IF(E866=0,"해당 없음",G866/E866)</x:f>
        <x:v>0.14563106796116504</x:v>
      </x:c>
      <x:c r="P866" s="15" t="n">
        <x:f>IF(E866=0,"해당 없음",H866/E866)</x:f>
        <x:v>0.1262135922330097</x:v>
      </x:c>
      <x:c r="Q866" s="15" t="n">
        <x:f>IF(E866=0,"해당 없음",I866/E866)</x:f>
        <x:v>0.11650485436893204</x:v>
      </x:c>
      <x:c r="R866" s="15" t="n">
        <x:f>IF(E866=0,"해당 없음",J866/E866)</x:f>
        <x:v>0.10679611650485436</x:v>
      </x:c>
      <x:c r="S866" s="15" t="n">
        <x:f>IF(E866=0,"해당 없음",K866/E866)</x:f>
        <x:v>0.08737864077669903</x:v>
      </x:c>
      <x:c r="T866" s="15" t="n">
        <x:f>IF(E866=0,"해당 없음",L866/E866)</x:f>
        <x:v>0.14563106796116504</x:v>
      </x:c>
      <x:c r="U866" s="15" t="n">
        <x:f>IF(E866=0,"해당 없음",M866/E866)</x:f>
        <x:v>0.14563106796116504</x:v>
      </x:c>
      <x:c r="V866" s="16" t="n">
        <x:f>E866/5</x:f>
        <x:v>20.6</x:v>
      </x:c>
    </x:row>
    <x:row r="867" ht="22" customHeight="1">
      <x:c r="A867" s="2" t="n">
        <x:v>431</x:v>
      </x:c>
      <x:c r="B867" s="2" t="str">
        <x:v>NAVY</x:v>
      </x:c>
      <x:c r="C867" s="2" t="str">
        <x:v>160만</x:v>
      </x:c>
      <x:c r="D867" s="2" t="str">
        <x:v>0만</x:v>
      </x:c>
      <x:c r="E867" s="14" t="n">
        <x:f>SUM(F867:M867)</x:f>
        <x:v>102</x:v>
      </x:c>
      <x:c r="F867" s="14" t="n">
        <x:v>3</x:v>
      </x:c>
      <x:c r="G867" s="14" t="n">
        <x:v>23</x:v>
      </x:c>
      <x:c r="H867" s="14" t="n">
        <x:v>4</x:v>
      </x:c>
      <x:c r="I867" s="14" t="n">
        <x:v>4</x:v>
      </x:c>
      <x:c r="J867" s="14" t="n">
        <x:v>1</x:v>
      </x:c>
      <x:c r="K867" s="14" t="n">
        <x:v>13</x:v>
      </x:c>
      <x:c r="L867" s="14" t="n">
        <x:v>37</x:v>
      </x:c>
      <x:c r="M867" s="14" t="n">
        <x:v>17</x:v>
      </x:c>
      <x:c r="N867" s="15" t="n">
        <x:f>IF(E867=0,"해당 없음",F867/E867)</x:f>
        <x:v>0.029411764705882353</x:v>
      </x:c>
      <x:c r="O867" s="15" t="n">
        <x:f>IF(E867=0,"해당 없음",G867/E867)</x:f>
        <x:v>0.22549019607843138</x:v>
      </x:c>
      <x:c r="P867" s="15" t="n">
        <x:f>IF(E867=0,"해당 없음",H867/E867)</x:f>
        <x:v>0.0392156862745098</x:v>
      </x:c>
      <x:c r="Q867" s="15" t="n">
        <x:f>IF(E867=0,"해당 없음",I867/E867)</x:f>
        <x:v>0.0392156862745098</x:v>
      </x:c>
      <x:c r="R867" s="15" t="n">
        <x:f>IF(E867=0,"해당 없음",J867/E867)</x:f>
        <x:v>0.00980392156862745</x:v>
      </x:c>
      <x:c r="S867" s="15" t="n">
        <x:f>IF(E867=0,"해당 없음",K867/E867)</x:f>
        <x:v>0.12745098039215685</x:v>
      </x:c>
      <x:c r="T867" s="15" t="n">
        <x:f>IF(E867=0,"해당 없음",L867/E867)</x:f>
        <x:v>0.3627450980392157</x:v>
      </x:c>
      <x:c r="U867" s="15" t="n">
        <x:f>IF(E867=0,"해당 없음",M867/E867)</x:f>
        <x:v>0.16666666666666666</x:v>
      </x:c>
      <x:c r="V867" s="16" t="n">
        <x:f>E867/5</x:f>
        <x:v>20.4</x:v>
      </x:c>
    </x:row>
    <x:row r="868" ht="22" customHeight="1">
      <x:c r="A868" s="2" t="n">
        <x:v>432</x:v>
      </x:c>
      <x:c r="B868" s="2" t="str">
        <x:v>RED</x:v>
      </x:c>
      <x:c r="C868" s="2" t="str">
        <x:v>160만</x:v>
      </x:c>
      <x:c r="D868" s="2" t="str">
        <x:v>0만</x:v>
      </x:c>
      <x:c r="E868" s="14" t="n">
        <x:f>SUM(F868:M868)</x:f>
        <x:v>101</x:v>
      </x:c>
      <x:c r="F868" s="14" t="n">
        <x:v>4</x:v>
      </x:c>
      <x:c r="G868" s="14" t="n">
        <x:v>6</x:v>
      </x:c>
      <x:c r="H868" s="14" t="n">
        <x:v>3</x:v>
      </x:c>
      <x:c r="I868" s="14" t="n">
        <x:v>9</x:v>
      </x:c>
      <x:c r="J868" s="14" t="n">
        <x:v>2</x:v>
      </x:c>
      <x:c r="K868" s="14" t="n">
        <x:v>6</x:v>
      </x:c>
      <x:c r="L868" s="14" t="n">
        <x:v>38</x:v>
      </x:c>
      <x:c r="M868" s="14" t="n">
        <x:v>33</x:v>
      </x:c>
      <x:c r="N868" s="15" t="n">
        <x:f>IF(E868=0,"해당 없음",F868/E868)</x:f>
        <x:v>0.039603960396039604</x:v>
      </x:c>
      <x:c r="O868" s="15" t="n">
        <x:f>IF(E868=0,"해당 없음",G868/E868)</x:f>
        <x:v>0.0594059405940594</x:v>
      </x:c>
      <x:c r="P868" s="15" t="n">
        <x:f>IF(E868=0,"해당 없음",H868/E868)</x:f>
        <x:v>0.0297029702970297</x:v>
      </x:c>
      <x:c r="Q868" s="15" t="n">
        <x:f>IF(E868=0,"해당 없음",I868/E868)</x:f>
        <x:v>0.0891089108910891</x:v>
      </x:c>
      <x:c r="R868" s="15" t="n">
        <x:f>IF(E868=0,"해당 없음",J868/E868)</x:f>
        <x:v>0.019801980198019802</x:v>
      </x:c>
      <x:c r="S868" s="15" t="n">
        <x:f>IF(E868=0,"해당 없음",K868/E868)</x:f>
        <x:v>0.0594059405940594</x:v>
      </x:c>
      <x:c r="T868" s="15" t="n">
        <x:f>IF(E868=0,"해당 없음",L868/E868)</x:f>
        <x:v>0.37623762376237624</x:v>
      </x:c>
      <x:c r="U868" s="15" t="n">
        <x:f>IF(E868=0,"해당 없음",M868/E868)</x:f>
        <x:v>0.32673267326732675</x:v>
      </x:c>
      <x:c r="V868" s="16" t="n">
        <x:f>E868/5</x:f>
        <x:v>20.2</x:v>
      </x:c>
    </x:row>
    <x:row r="869" ht="22" customHeight="1">
      <x:c r="A869" s="2" t="n">
        <x:v>432</x:v>
      </x:c>
      <x:c r="B869" s="2" t="str">
        <x:v>NAVY</x:v>
      </x:c>
      <x:c r="C869" s="2" t="str">
        <x:v>0만</x:v>
      </x:c>
      <x:c r="D869" s="2" t="str">
        <x:v>160만</x:v>
      </x:c>
      <x:c r="E869" s="14" t="n">
        <x:f>SUM(F869:M869)</x:f>
        <x:v>102</x:v>
      </x:c>
      <x:c r="F869" s="14" t="n">
        <x:v>12</x:v>
      </x:c>
      <x:c r="G869" s="14" t="n">
        <x:v>15</x:v>
      </x:c>
      <x:c r="H869" s="14" t="n">
        <x:v>13</x:v>
      </x:c>
      <x:c r="I869" s="14" t="n">
        <x:v>12</x:v>
      </x:c>
      <x:c r="J869" s="14" t="n">
        <x:v>11</x:v>
      </x:c>
      <x:c r="K869" s="14" t="n">
        <x:v>9</x:v>
      </x:c>
      <x:c r="L869" s="14" t="n">
        <x:v>15</x:v>
      </x:c>
      <x:c r="M869" s="14" t="n">
        <x:v>15</x:v>
      </x:c>
      <x:c r="N869" s="15" t="n">
        <x:f>IF(E869=0,"해당 없음",F869/E869)</x:f>
        <x:v>0.11764705882352941</x:v>
      </x:c>
      <x:c r="O869" s="15" t="n">
        <x:f>IF(E869=0,"해당 없음",G869/E869)</x:f>
        <x:v>0.14705882352941177</x:v>
      </x:c>
      <x:c r="P869" s="15" t="n">
        <x:f>IF(E869=0,"해당 없음",H869/E869)</x:f>
        <x:v>0.12745098039215685</x:v>
      </x:c>
      <x:c r="Q869" s="15" t="n">
        <x:f>IF(E869=0,"해당 없음",I869/E869)</x:f>
        <x:v>0.11764705882352941</x:v>
      </x:c>
      <x:c r="R869" s="15" t="n">
        <x:f>IF(E869=0,"해당 없음",J869/E869)</x:f>
        <x:v>0.10784313725490197</x:v>
      </x:c>
      <x:c r="S869" s="15" t="n">
        <x:f>IF(E869=0,"해당 없음",K869/E869)</x:f>
        <x:v>0.08823529411764706</x:v>
      </x:c>
      <x:c r="T869" s="15" t="n">
        <x:f>IF(E869=0,"해당 없음",L869/E869)</x:f>
        <x:v>0.14705882352941177</x:v>
      </x:c>
      <x:c r="U869" s="15" t="n">
        <x:f>IF(E869=0,"해당 없음",M869/E869)</x:f>
        <x:v>0.14705882352941177</x:v>
      </x:c>
      <x:c r="V869" s="16" t="n">
        <x:f>E869/5</x:f>
        <x:v>20.4</x:v>
      </x:c>
    </x:row>
    <x:row r="870" ht="22" customHeight="1">
      <x:c r="A870" s="2" t="n">
        <x:v>433</x:v>
      </x:c>
      <x:c r="B870" s="2" t="str">
        <x:v>RED</x:v>
      </x:c>
      <x:c r="C870" s="2" t="str">
        <x:v>0만</x:v>
      </x:c>
      <x:c r="D870" s="2" t="str">
        <x:v>160만</x:v>
      </x:c>
      <x:c r="E870" s="14" t="n">
        <x:f>SUM(F870:M870)</x:f>
        <x:v>102</x:v>
      </x:c>
      <x:c r="F870" s="14" t="n">
        <x:v>12</x:v>
      </x:c>
      <x:c r="G870" s="14" t="n">
        <x:v>13</x:v>
      </x:c>
      <x:c r="H870" s="14" t="n">
        <x:v>15</x:v>
      </x:c>
      <x:c r="I870" s="14" t="n">
        <x:v>8</x:v>
      </x:c>
      <x:c r="J870" s="14" t="n">
        <x:v>13</x:v>
      </x:c>
      <x:c r="K870" s="14" t="n">
        <x:v>12</x:v>
      </x:c>
      <x:c r="L870" s="14" t="n">
        <x:v>19</x:v>
      </x:c>
      <x:c r="M870" s="14" t="n">
        <x:v>10</x:v>
      </x:c>
      <x:c r="N870" s="15" t="n">
        <x:f>IF(E870=0,"해당 없음",F870/E870)</x:f>
        <x:v>0.11764705882352941</x:v>
      </x:c>
      <x:c r="O870" s="15" t="n">
        <x:f>IF(E870=0,"해당 없음",G870/E870)</x:f>
        <x:v>0.12745098039215685</x:v>
      </x:c>
      <x:c r="P870" s="15" t="n">
        <x:f>IF(E870=0,"해당 없음",H870/E870)</x:f>
        <x:v>0.14705882352941177</x:v>
      </x:c>
      <x:c r="Q870" s="15" t="n">
        <x:f>IF(E870=0,"해당 없음",I870/E870)</x:f>
        <x:v>0.0784313725490196</x:v>
      </x:c>
      <x:c r="R870" s="15" t="n">
        <x:f>IF(E870=0,"해당 없음",J870/E870)</x:f>
        <x:v>0.12745098039215685</x:v>
      </x:c>
      <x:c r="S870" s="15" t="n">
        <x:f>IF(E870=0,"해당 없음",K870/E870)</x:f>
        <x:v>0.11764705882352941</x:v>
      </x:c>
      <x:c r="T870" s="15" t="n">
        <x:f>IF(E870=0,"해당 없음",L870/E870)</x:f>
        <x:v>0.18627450980392157</x:v>
      </x:c>
      <x:c r="U870" s="15" t="n">
        <x:f>IF(E870=0,"해당 없음",M870/E870)</x:f>
        <x:v>0.09803921568627451</x:v>
      </x:c>
      <x:c r="V870" s="16" t="n">
        <x:f>E870/5</x:f>
        <x:v>20.4</x:v>
      </x:c>
    </x:row>
    <x:row r="871" ht="22" customHeight="1">
      <x:c r="A871" s="2" t="n">
        <x:v>433</x:v>
      </x:c>
      <x:c r="B871" s="2" t="str">
        <x:v>NAVY</x:v>
      </x:c>
      <x:c r="C871" s="2" t="str">
        <x:v>160만</x:v>
      </x:c>
      <x:c r="D871" s="2" t="str">
        <x:v>0만</x:v>
      </x:c>
      <x:c r="E871" s="14" t="n">
        <x:f>SUM(F871:M871)</x:f>
        <x:v>101</x:v>
      </x:c>
      <x:c r="F871" s="14" t="n">
        <x:v>1</x:v>
      </x:c>
      <x:c r="G871" s="14" t="n">
        <x:v>24</x:v>
      </x:c>
      <x:c r="H871" s="14" t="n">
        <x:v>7</x:v>
      </x:c>
      <x:c r="I871" s="14" t="n">
        <x:v>3</x:v>
      </x:c>
      <x:c r="J871" s="14" t="n">
        <x:v>1</x:v>
      </x:c>
      <x:c r="K871" s="14" t="n">
        <x:v>11</x:v>
      </x:c>
      <x:c r="L871" s="14" t="n">
        <x:v>28</x:v>
      </x:c>
      <x:c r="M871" s="14" t="n">
        <x:v>26</x:v>
      </x:c>
      <x:c r="N871" s="15" t="n">
        <x:f>IF(E871=0,"해당 없음",F871/E871)</x:f>
        <x:v>0.009900990099009901</x:v>
      </x:c>
      <x:c r="O871" s="15" t="n">
        <x:f>IF(E871=0,"해당 없음",G871/E871)</x:f>
        <x:v>0.2376237623762376</x:v>
      </x:c>
      <x:c r="P871" s="15" t="n">
        <x:f>IF(E871=0,"해당 없음",H871/E871)</x:f>
        <x:v>0.06930693069306931</x:v>
      </x:c>
      <x:c r="Q871" s="15" t="n">
        <x:f>IF(E871=0,"해당 없음",I871/E871)</x:f>
        <x:v>0.0297029702970297</x:v>
      </x:c>
      <x:c r="R871" s="15" t="n">
        <x:f>IF(E871=0,"해당 없음",J871/E871)</x:f>
        <x:v>0.009900990099009901</x:v>
      </x:c>
      <x:c r="S871" s="15" t="n">
        <x:f>IF(E871=0,"해당 없음",K871/E871)</x:f>
        <x:v>0.10891089108910891</x:v>
      </x:c>
      <x:c r="T871" s="15" t="n">
        <x:f>IF(E871=0,"해당 없음",L871/E871)</x:f>
        <x:v>0.27722772277227725</x:v>
      </x:c>
      <x:c r="U871" s="15" t="n">
        <x:f>IF(E871=0,"해당 없음",M871/E871)</x:f>
        <x:v>0.25742574257425743</x:v>
      </x:c>
      <x:c r="V871" s="16" t="n">
        <x:f>E871/5</x:f>
        <x:v>20.2</x:v>
      </x:c>
    </x:row>
    <x:row r="872" ht="22" customHeight="1">
      <x:c r="A872" s="2" t="n">
        <x:v>434</x:v>
      </x:c>
      <x:c r="B872" s="2" t="str">
        <x:v>RED</x:v>
      </x:c>
      <x:c r="C872" s="2" t="str">
        <x:v>160만</x:v>
      </x:c>
      <x:c r="D872" s="2" t="str">
        <x:v>0만</x:v>
      </x:c>
      <x:c r="E872" s="14" t="n">
        <x:f>SUM(F872:M872)</x:f>
        <x:v>105</x:v>
      </x:c>
      <x:c r="F872" s="14" t="n">
        <x:v>2</x:v>
      </x:c>
      <x:c r="G872" s="14" t="n">
        <x:v>17</x:v>
      </x:c>
      <x:c r="H872" s="14" t="n">
        <x:v>9</x:v>
      </x:c>
      <x:c r="I872" s="14" t="n">
        <x:v>9</x:v>
      </x:c>
      <x:c r="J872" s="14" t="n">
        <x:v>4</x:v>
      </x:c>
      <x:c r="K872" s="14" t="n">
        <x:v>4</x:v>
      </x:c>
      <x:c r="L872" s="14" t="n">
        <x:v>42</x:v>
      </x:c>
      <x:c r="M872" s="14" t="n">
        <x:v>18</x:v>
      </x:c>
      <x:c r="N872" s="15" t="n">
        <x:f>IF(E872=0,"해당 없음",F872/E872)</x:f>
        <x:v>0.01904761904761905</x:v>
      </x:c>
      <x:c r="O872" s="15" t="n">
        <x:f>IF(E872=0,"해당 없음",G872/E872)</x:f>
        <x:v>0.1619047619047619</x:v>
      </x:c>
      <x:c r="P872" s="15" t="n">
        <x:f>IF(E872=0,"해당 없음",H872/E872)</x:f>
        <x:v>0.08571428571428572</x:v>
      </x:c>
      <x:c r="Q872" s="15" t="n">
        <x:f>IF(E872=0,"해당 없음",I872/E872)</x:f>
        <x:v>0.08571428571428572</x:v>
      </x:c>
      <x:c r="R872" s="15" t="n">
        <x:f>IF(E872=0,"해당 없음",J872/E872)</x:f>
        <x:v>0.0380952380952381</x:v>
      </x:c>
      <x:c r="S872" s="15" t="n">
        <x:f>IF(E872=0,"해당 없음",K872/E872)</x:f>
        <x:v>0.0380952380952381</x:v>
      </x:c>
      <x:c r="T872" s="15" t="n">
        <x:f>IF(E872=0,"해당 없음",L872/E872)</x:f>
        <x:v>0.4</x:v>
      </x:c>
      <x:c r="U872" s="15" t="n">
        <x:f>IF(E872=0,"해당 없음",M872/E872)</x:f>
        <x:v>0.17142857142857143</x:v>
      </x:c>
      <x:c r="V872" s="16" t="n">
        <x:f>E872/5</x:f>
        <x:v>21</x:v>
      </x:c>
    </x:row>
    <x:row r="873" ht="22" customHeight="1">
      <x:c r="A873" s="2" t="n">
        <x:v>434</x:v>
      </x:c>
      <x:c r="B873" s="2" t="str">
        <x:v>NAVY</x:v>
      </x:c>
      <x:c r="C873" s="2" t="str">
        <x:v>0만</x:v>
      </x:c>
      <x:c r="D873" s="2" t="str">
        <x:v>160만</x:v>
      </x:c>
      <x:c r="E873" s="14" t="n">
        <x:f>SUM(F873:M873)</x:f>
        <x:v>104</x:v>
      </x:c>
      <x:c r="F873" s="14" t="n">
        <x:v>12</x:v>
      </x:c>
      <x:c r="G873" s="14" t="n">
        <x:v>14</x:v>
      </x:c>
      <x:c r="H873" s="14" t="n">
        <x:v>16</x:v>
      </x:c>
      <x:c r="I873" s="14" t="n">
        <x:v>7</x:v>
      </x:c>
      <x:c r="J873" s="14" t="n">
        <x:v>14</x:v>
      </x:c>
      <x:c r="K873" s="14" t="n">
        <x:v>12</x:v>
      </x:c>
      <x:c r="L873" s="14" t="n">
        <x:v>19</x:v>
      </x:c>
      <x:c r="M873" s="14" t="n">
        <x:v>10</x:v>
      </x:c>
      <x:c r="N873" s="15" t="n">
        <x:f>IF(E873=0,"해당 없음",F873/E873)</x:f>
        <x:v>0.11538461538461539</x:v>
      </x:c>
      <x:c r="O873" s="15" t="n">
        <x:f>IF(E873=0,"해당 없음",G873/E873)</x:f>
        <x:v>0.1346153846153846</x:v>
      </x:c>
      <x:c r="P873" s="15" t="n">
        <x:f>IF(E873=0,"해당 없음",H873/E873)</x:f>
        <x:v>0.15384615384615385</x:v>
      </x:c>
      <x:c r="Q873" s="15" t="n">
        <x:f>IF(E873=0,"해당 없음",I873/E873)</x:f>
        <x:v>0.0673076923076923</x:v>
      </x:c>
      <x:c r="R873" s="15" t="n">
        <x:f>IF(E873=0,"해당 없음",J873/E873)</x:f>
        <x:v>0.1346153846153846</x:v>
      </x:c>
      <x:c r="S873" s="15" t="n">
        <x:f>IF(E873=0,"해당 없음",K873/E873)</x:f>
        <x:v>0.11538461538461539</x:v>
      </x:c>
      <x:c r="T873" s="15" t="n">
        <x:f>IF(E873=0,"해당 없음",L873/E873)</x:f>
        <x:v>0.18269230769230768</x:v>
      </x:c>
      <x:c r="U873" s="15" t="n">
        <x:f>IF(E873=0,"해당 없음",M873/E873)</x:f>
        <x:v>0.09615384615384616</x:v>
      </x:c>
      <x:c r="V873" s="16" t="n">
        <x:f>E873/5</x:f>
        <x:v>20.8</x:v>
      </x:c>
    </x:row>
    <x:row r="874" ht="22" customHeight="1">
      <x:c r="A874" s="2" t="n">
        <x:v>435</x:v>
      </x:c>
      <x:c r="B874" s="2" t="str">
        <x:v>RED</x:v>
      </x:c>
      <x:c r="C874" s="2" t="str">
        <x:v>0만</x:v>
      </x:c>
      <x:c r="D874" s="2" t="str">
        <x:v>160만</x:v>
      </x:c>
      <x:c r="E874" s="14" t="n">
        <x:f>SUM(F874:M874)</x:f>
        <x:v>104</x:v>
      </x:c>
      <x:c r="F874" s="14" t="n">
        <x:v>15</x:v>
      </x:c>
      <x:c r="G874" s="14" t="n">
        <x:v>13</x:v>
      </x:c>
      <x:c r="H874" s="14" t="n">
        <x:v>13</x:v>
      </x:c>
      <x:c r="I874" s="14" t="n">
        <x:v>12</x:v>
      </x:c>
      <x:c r="J874" s="14" t="n">
        <x:v>8</x:v>
      </x:c>
      <x:c r="K874" s="14" t="n">
        <x:v>16</x:v>
      </x:c>
      <x:c r="L874" s="14" t="n">
        <x:v>15</x:v>
      </x:c>
      <x:c r="M874" s="14" t="n">
        <x:v>12</x:v>
      </x:c>
      <x:c r="N874" s="15" t="n">
        <x:f>IF(E874=0,"해당 없음",F874/E874)</x:f>
        <x:v>0.14423076923076922</x:v>
      </x:c>
      <x:c r="O874" s="15" t="n">
        <x:f>IF(E874=0,"해당 없음",G874/E874)</x:f>
        <x:v>0.125</x:v>
      </x:c>
      <x:c r="P874" s="15" t="n">
        <x:f>IF(E874=0,"해당 없음",H874/E874)</x:f>
        <x:v>0.125</x:v>
      </x:c>
      <x:c r="Q874" s="15" t="n">
        <x:f>IF(E874=0,"해당 없음",I874/E874)</x:f>
        <x:v>0.11538461538461539</x:v>
      </x:c>
      <x:c r="R874" s="15" t="n">
        <x:f>IF(E874=0,"해당 없음",J874/E874)</x:f>
        <x:v>0.07692307692307693</x:v>
      </x:c>
      <x:c r="S874" s="15" t="n">
        <x:f>IF(E874=0,"해당 없음",K874/E874)</x:f>
        <x:v>0.15384615384615385</x:v>
      </x:c>
      <x:c r="T874" s="15" t="n">
        <x:f>IF(E874=0,"해당 없음",L874/E874)</x:f>
        <x:v>0.14423076923076922</x:v>
      </x:c>
      <x:c r="U874" s="15" t="n">
        <x:f>IF(E874=0,"해당 없음",M874/E874)</x:f>
        <x:v>0.11538461538461539</x:v>
      </x:c>
      <x:c r="V874" s="16" t="n">
        <x:f>E874/5</x:f>
        <x:v>20.8</x:v>
      </x:c>
    </x:row>
    <x:row r="875" ht="22" customHeight="1">
      <x:c r="A875" s="2" t="n">
        <x:v>435</x:v>
      </x:c>
      <x:c r="B875" s="2" t="str">
        <x:v>NAVY</x:v>
      </x:c>
      <x:c r="C875" s="2" t="str">
        <x:v>160만</x:v>
      </x:c>
      <x:c r="D875" s="2" t="str">
        <x:v>0만</x:v>
      </x:c>
      <x:c r="E875" s="14" t="n">
        <x:f>SUM(F875:M875)</x:f>
        <x:v>104</x:v>
      </x:c>
      <x:c r="F875" s="14" t="n">
        <x:v>5</x:v>
      </x:c>
      <x:c r="G875" s="14" t="n">
        <x:v>11</x:v>
      </x:c>
      <x:c r="H875" s="14" t="n">
        <x:v>6</x:v>
      </x:c>
      <x:c r="I875" s="14" t="n">
        <x:v>8</x:v>
      </x:c>
      <x:c r="J875" s="14" t="n">
        <x:v>2</x:v>
      </x:c>
      <x:c r="K875" s="14" t="n">
        <x:v>7</x:v>
      </x:c>
      <x:c r="L875" s="14" t="n">
        <x:v>31</x:v>
      </x:c>
      <x:c r="M875" s="14" t="n">
        <x:v>34</x:v>
      </x:c>
      <x:c r="N875" s="15" t="n">
        <x:f>IF(E875=0,"해당 없음",F875/E875)</x:f>
        <x:v>0.04807692307692308</x:v>
      </x:c>
      <x:c r="O875" s="15" t="n">
        <x:f>IF(E875=0,"해당 없음",G875/E875)</x:f>
        <x:v>0.10576923076923077</x:v>
      </x:c>
      <x:c r="P875" s="15" t="n">
        <x:f>IF(E875=0,"해당 없음",H875/E875)</x:f>
        <x:v>0.057692307692307696</x:v>
      </x:c>
      <x:c r="Q875" s="15" t="n">
        <x:f>IF(E875=0,"해당 없음",I875/E875)</x:f>
        <x:v>0.07692307692307693</x:v>
      </x:c>
      <x:c r="R875" s="15" t="n">
        <x:f>IF(E875=0,"해당 없음",J875/E875)</x:f>
        <x:v>0.019230769230769232</x:v>
      </x:c>
      <x:c r="S875" s="15" t="n">
        <x:f>IF(E875=0,"해당 없음",K875/E875)</x:f>
        <x:v>0.0673076923076923</x:v>
      </x:c>
      <x:c r="T875" s="15" t="n">
        <x:f>IF(E875=0,"해당 없음",L875/E875)</x:f>
        <x:v>0.2980769230769231</x:v>
      </x:c>
      <x:c r="U875" s="15" t="n">
        <x:f>IF(E875=0,"해당 없음",M875/E875)</x:f>
        <x:v>0.3269230769230769</x:v>
      </x:c>
      <x:c r="V875" s="16" t="n">
        <x:f>E875/5</x:f>
        <x:v>20.8</x:v>
      </x:c>
    </x:row>
    <x:row r="876" ht="22" customHeight="1">
      <x:c r="A876" s="2" t="n">
        <x:v>436</x:v>
      </x:c>
      <x:c r="B876" s="2" t="str">
        <x:v>RED</x:v>
      </x:c>
      <x:c r="C876" s="2" t="str">
        <x:v>160만</x:v>
      </x:c>
      <x:c r="D876" s="2" t="str">
        <x:v>0만</x:v>
      </x:c>
      <x:c r="E876" s="14" t="n">
        <x:f>SUM(F876:M876)</x:f>
        <x:v>105</x:v>
      </x:c>
      <x:c r="F876" s="14" t="n">
        <x:v>2</x:v>
      </x:c>
      <x:c r="G876" s="14" t="n">
        <x:v>17</x:v>
      </x:c>
      <x:c r="H876" s="14" t="n">
        <x:v>5</x:v>
      </x:c>
      <x:c r="I876" s="14" t="n">
        <x:v>15</x:v>
      </x:c>
      <x:c r="J876" s="14" t="n">
        <x:v>3</x:v>
      </x:c>
      <x:c r="K876" s="14" t="n">
        <x:v>6</x:v>
      </x:c>
      <x:c r="L876" s="14" t="n">
        <x:v>37</x:v>
      </x:c>
      <x:c r="M876" s="14" t="n">
        <x:v>20</x:v>
      </x:c>
      <x:c r="N876" s="15" t="n">
        <x:f>IF(E876=0,"해당 없음",F876/E876)</x:f>
        <x:v>0.01904761904761905</x:v>
      </x:c>
      <x:c r="O876" s="15" t="n">
        <x:f>IF(E876=0,"해당 없음",G876/E876)</x:f>
        <x:v>0.1619047619047619</x:v>
      </x:c>
      <x:c r="P876" s="15" t="n">
        <x:f>IF(E876=0,"해당 없음",H876/E876)</x:f>
        <x:v>0.047619047619047616</x:v>
      </x:c>
      <x:c r="Q876" s="15" t="n">
        <x:f>IF(E876=0,"해당 없음",I876/E876)</x:f>
        <x:v>0.14285714285714285</x:v>
      </x:c>
      <x:c r="R876" s="15" t="n">
        <x:f>IF(E876=0,"해당 없음",J876/E876)</x:f>
        <x:v>0.02857142857142857</x:v>
      </x:c>
      <x:c r="S876" s="15" t="n">
        <x:f>IF(E876=0,"해당 없음",K876/E876)</x:f>
        <x:v>0.05714285714285714</x:v>
      </x:c>
      <x:c r="T876" s="15" t="n">
        <x:f>IF(E876=0,"해당 없음",L876/E876)</x:f>
        <x:v>0.3523809523809524</x:v>
      </x:c>
      <x:c r="U876" s="15" t="n">
        <x:f>IF(E876=0,"해당 없음",M876/E876)</x:f>
        <x:v>0.19047619047619047</x:v>
      </x:c>
      <x:c r="V876" s="16" t="n">
        <x:f>E876/5</x:f>
        <x:v>21</x:v>
      </x:c>
    </x:row>
    <x:row r="877" ht="22" customHeight="1">
      <x:c r="A877" s="2" t="n">
        <x:v>436</x:v>
      </x:c>
      <x:c r="B877" s="2" t="str">
        <x:v>NAVY</x:v>
      </x:c>
      <x:c r="C877" s="2" t="str">
        <x:v>0만</x:v>
      </x:c>
      <x:c r="D877" s="2" t="str">
        <x:v>160만</x:v>
      </x:c>
      <x:c r="E877" s="14" t="n">
        <x:f>SUM(F877:M877)</x:f>
        <x:v>104</x:v>
      </x:c>
      <x:c r="F877" s="14" t="n">
        <x:v>15</x:v>
      </x:c>
      <x:c r="G877" s="14" t="n">
        <x:v>14</x:v>
      </x:c>
      <x:c r="H877" s="14" t="n">
        <x:v>12</x:v>
      </x:c>
      <x:c r="I877" s="14" t="n">
        <x:v>12</x:v>
      </x:c>
      <x:c r="J877" s="14" t="n">
        <x:v>8</x:v>
      </x:c>
      <x:c r="K877" s="14" t="n">
        <x:v>16</x:v>
      </x:c>
      <x:c r="L877" s="14" t="n">
        <x:v>15</x:v>
      </x:c>
      <x:c r="M877" s="14" t="n">
        <x:v>12</x:v>
      </x:c>
      <x:c r="N877" s="15" t="n">
        <x:f>IF(E877=0,"해당 없음",F877/E877)</x:f>
        <x:v>0.14423076923076922</x:v>
      </x:c>
      <x:c r="O877" s="15" t="n">
        <x:f>IF(E877=0,"해당 없음",G877/E877)</x:f>
        <x:v>0.1346153846153846</x:v>
      </x:c>
      <x:c r="P877" s="15" t="n">
        <x:f>IF(E877=0,"해당 없음",H877/E877)</x:f>
        <x:v>0.11538461538461539</x:v>
      </x:c>
      <x:c r="Q877" s="15" t="n">
        <x:f>IF(E877=0,"해당 없음",I877/E877)</x:f>
        <x:v>0.11538461538461539</x:v>
      </x:c>
      <x:c r="R877" s="15" t="n">
        <x:f>IF(E877=0,"해당 없음",J877/E877)</x:f>
        <x:v>0.07692307692307693</x:v>
      </x:c>
      <x:c r="S877" s="15" t="n">
        <x:f>IF(E877=0,"해당 없음",K877/E877)</x:f>
        <x:v>0.15384615384615385</x:v>
      </x:c>
      <x:c r="T877" s="15" t="n">
        <x:f>IF(E877=0,"해당 없음",L877/E877)</x:f>
        <x:v>0.14423076923076922</x:v>
      </x:c>
      <x:c r="U877" s="15" t="n">
        <x:f>IF(E877=0,"해당 없음",M877/E877)</x:f>
        <x:v>0.11538461538461539</x:v>
      </x:c>
      <x:c r="V877" s="16" t="n">
        <x:f>E877/5</x:f>
        <x:v>20.8</x:v>
      </x:c>
    </x:row>
    <x:row r="878" ht="22" customHeight="1">
      <x:c r="A878" s="2" t="n">
        <x:v>437</x:v>
      </x:c>
      <x:c r="B878" s="2" t="str">
        <x:v>RED</x:v>
      </x:c>
      <x:c r="C878" s="2" t="str">
        <x:v>0만</x:v>
      </x:c>
      <x:c r="D878" s="2" t="str">
        <x:v>160만</x:v>
      </x:c>
      <x:c r="E878" s="14" t="n">
        <x:f>SUM(F878:M878)</x:f>
        <x:v>106</x:v>
      </x:c>
      <x:c r="F878" s="14" t="n">
        <x:v>17</x:v>
      </x:c>
      <x:c r="G878" s="14" t="n">
        <x:v>8</x:v>
      </x:c>
      <x:c r="H878" s="14" t="n">
        <x:v>14</x:v>
      </x:c>
      <x:c r="I878" s="14" t="n">
        <x:v>14</x:v>
      </x:c>
      <x:c r="J878" s="14" t="n">
        <x:v>14</x:v>
      </x:c>
      <x:c r="K878" s="14" t="n">
        <x:v>15</x:v>
      </x:c>
      <x:c r="L878" s="14" t="n">
        <x:v>11</x:v>
      </x:c>
      <x:c r="M878" s="14" t="n">
        <x:v>13</x:v>
      </x:c>
      <x:c r="N878" s="15" t="n">
        <x:f>IF(E878=0,"해당 없음",F878/E878)</x:f>
        <x:v>0.16037735849056603</x:v>
      </x:c>
      <x:c r="O878" s="15" t="n">
        <x:f>IF(E878=0,"해당 없음",G878/E878)</x:f>
        <x:v>0.07547169811320754</x:v>
      </x:c>
      <x:c r="P878" s="15" t="n">
        <x:f>IF(E878=0,"해당 없음",H878/E878)</x:f>
        <x:v>0.1320754716981132</x:v>
      </x:c>
      <x:c r="Q878" s="15" t="n">
        <x:f>IF(E878=0,"해당 없음",I878/E878)</x:f>
        <x:v>0.1320754716981132</x:v>
      </x:c>
      <x:c r="R878" s="15" t="n">
        <x:f>IF(E878=0,"해당 없음",J878/E878)</x:f>
        <x:v>0.1320754716981132</x:v>
      </x:c>
      <x:c r="S878" s="15" t="n">
        <x:f>IF(E878=0,"해당 없음",K878/E878)</x:f>
        <x:v>0.14150943396226415</x:v>
      </x:c>
      <x:c r="T878" s="15" t="n">
        <x:f>IF(E878=0,"해당 없음",L878/E878)</x:f>
        <x:v>0.10377358490566038</x:v>
      </x:c>
      <x:c r="U878" s="15" t="n">
        <x:f>IF(E878=0,"해당 없음",M878/E878)</x:f>
        <x:v>0.12264150943396226</x:v>
      </x:c>
      <x:c r="V878" s="16" t="n">
        <x:f>E878/5</x:f>
        <x:v>21.2</x:v>
      </x:c>
    </x:row>
    <x:row r="879" ht="22" customHeight="1">
      <x:c r="A879" s="2" t="n">
        <x:v>437</x:v>
      </x:c>
      <x:c r="B879" s="2" t="str">
        <x:v>NAVY</x:v>
      </x:c>
      <x:c r="C879" s="2" t="str">
        <x:v>160만</x:v>
      </x:c>
      <x:c r="D879" s="2" t="str">
        <x:v>0만</x:v>
      </x:c>
      <x:c r="E879" s="14" t="n">
        <x:f>SUM(F879:M879)</x:f>
        <x:v>105</x:v>
      </x:c>
      <x:c r="F879" s="14" t="n">
        <x:v>1</x:v>
      </x:c>
      <x:c r="G879" s="14" t="n">
        <x:v>21</x:v>
      </x:c>
      <x:c r="H879" s="14" t="n">
        <x:v>8</x:v>
      </x:c>
      <x:c r="I879" s="14" t="n">
        <x:v>1</x:v>
      </x:c>
      <x:c r="J879" s="14" t="n">
        <x:v>3</x:v>
      </x:c>
      <x:c r="K879" s="14" t="n">
        <x:v>4</x:v>
      </x:c>
      <x:c r="L879" s="14" t="n">
        <x:v>39</x:v>
      </x:c>
      <x:c r="M879" s="14" t="n">
        <x:v>28</x:v>
      </x:c>
      <x:c r="N879" s="15" t="n">
        <x:f>IF(E879=0,"해당 없음",F879/E879)</x:f>
        <x:v>0.009523809523809525</x:v>
      </x:c>
      <x:c r="O879" s="15" t="n">
        <x:f>IF(E879=0,"해당 없음",G879/E879)</x:f>
        <x:v>0.2</x:v>
      </x:c>
      <x:c r="P879" s="15" t="n">
        <x:f>IF(E879=0,"해당 없음",H879/E879)</x:f>
        <x:v>0.0761904761904762</x:v>
      </x:c>
      <x:c r="Q879" s="15" t="n">
        <x:f>IF(E879=0,"해당 없음",I879/E879)</x:f>
        <x:v>0.009523809523809525</x:v>
      </x:c>
      <x:c r="R879" s="15" t="n">
        <x:f>IF(E879=0,"해당 없음",J879/E879)</x:f>
        <x:v>0.02857142857142857</x:v>
      </x:c>
      <x:c r="S879" s="15" t="n">
        <x:f>IF(E879=0,"해당 없음",K879/E879)</x:f>
        <x:v>0.0380952380952381</x:v>
      </x:c>
      <x:c r="T879" s="15" t="n">
        <x:f>IF(E879=0,"해당 없음",L879/E879)</x:f>
        <x:v>0.37142857142857144</x:v>
      </x:c>
      <x:c r="U879" s="15" t="n">
        <x:f>IF(E879=0,"해당 없음",M879/E879)</x:f>
        <x:v>0.26666666666666666</x:v>
      </x:c>
      <x:c r="V879" s="16" t="n">
        <x:f>E879/5</x:f>
        <x:v>21</x:v>
      </x:c>
    </x:row>
    <x:row r="880" ht="22" customHeight="1">
      <x:c r="A880" s="2" t="n">
        <x:v>438</x:v>
      </x:c>
      <x:c r="B880" s="2" t="str">
        <x:v>RED</x:v>
      </x:c>
      <x:c r="C880" s="2" t="str">
        <x:v>160만</x:v>
      </x:c>
      <x:c r="D880" s="2" t="str">
        <x:v>0만</x:v>
      </x:c>
      <x:c r="E880" s="14" t="n">
        <x:f>SUM(F880:M880)</x:f>
        <x:v>106</x:v>
      </x:c>
      <x:c r="F880" s="14" t="n">
        <x:v>9</x:v>
      </x:c>
      <x:c r="G880" s="14" t="n">
        <x:v>22</x:v>
      </x:c>
      <x:c r="H880" s="14" t="n">
        <x:v>5</x:v>
      </x:c>
      <x:c r="I880" s="14" t="n">
        <x:v>8</x:v>
      </x:c>
      <x:c r="J880" s="14" t="n">
        <x:v>2</x:v>
      </x:c>
      <x:c r="K880" s="14" t="n">
        <x:v>8</x:v>
      </x:c>
      <x:c r="L880" s="14" t="n">
        <x:v>38</x:v>
      </x:c>
      <x:c r="M880" s="14" t="n">
        <x:v>14</x:v>
      </x:c>
      <x:c r="N880" s="15" t="n">
        <x:f>IF(E880=0,"해당 없음",F880/E880)</x:f>
        <x:v>0.08490566037735849</x:v>
      </x:c>
      <x:c r="O880" s="15" t="n">
        <x:f>IF(E880=0,"해당 없음",G880/E880)</x:f>
        <x:v>0.20754716981132076</x:v>
      </x:c>
      <x:c r="P880" s="15" t="n">
        <x:f>IF(E880=0,"해당 없음",H880/E880)</x:f>
        <x:v>0.04716981132075472</x:v>
      </x:c>
      <x:c r="Q880" s="15" t="n">
        <x:f>IF(E880=0,"해당 없음",I880/E880)</x:f>
        <x:v>0.07547169811320754</x:v>
      </x:c>
      <x:c r="R880" s="15" t="n">
        <x:f>IF(E880=0,"해당 없음",J880/E880)</x:f>
        <x:v>0.018867924528301886</x:v>
      </x:c>
      <x:c r="S880" s="15" t="n">
        <x:f>IF(E880=0,"해당 없음",K880/E880)</x:f>
        <x:v>0.07547169811320754</x:v>
      </x:c>
      <x:c r="T880" s="15" t="n">
        <x:f>IF(E880=0,"해당 없음",L880/E880)</x:f>
        <x:v>0.3584905660377358</x:v>
      </x:c>
      <x:c r="U880" s="15" t="n">
        <x:f>IF(E880=0,"해당 없음",M880/E880)</x:f>
        <x:v>0.1320754716981132</x:v>
      </x:c>
      <x:c r="V880" s="16" t="n">
        <x:f>E880/5</x:f>
        <x:v>21.2</x:v>
      </x:c>
    </x:row>
    <x:row r="881" ht="22" customHeight="1">
      <x:c r="A881" s="2" t="n">
        <x:v>438</x:v>
      </x:c>
      <x:c r="B881" s="2" t="str">
        <x:v>NAVY</x:v>
      </x:c>
      <x:c r="C881" s="2" t="str">
        <x:v>0만</x:v>
      </x:c>
      <x:c r="D881" s="2" t="str">
        <x:v>160만</x:v>
      </x:c>
      <x:c r="E881" s="14" t="n">
        <x:f>SUM(F881:M881)</x:f>
        <x:v>104</x:v>
      </x:c>
      <x:c r="F881" s="14" t="n">
        <x:v>17</x:v>
      </x:c>
      <x:c r="G881" s="14" t="n">
        <x:v>8</x:v>
      </x:c>
      <x:c r="H881" s="14" t="n">
        <x:v>13</x:v>
      </x:c>
      <x:c r="I881" s="14" t="n">
        <x:v>14</x:v>
      </x:c>
      <x:c r="J881" s="14" t="n">
        <x:v>13</x:v>
      </x:c>
      <x:c r="K881" s="14" t="n">
        <x:v>15</x:v>
      </x:c>
      <x:c r="L881" s="14" t="n">
        <x:v>11</x:v>
      </x:c>
      <x:c r="M881" s="14" t="n">
        <x:v>13</x:v>
      </x:c>
      <x:c r="N881" s="15" t="n">
        <x:f>IF(E881=0,"해당 없음",F881/E881)</x:f>
        <x:v>0.16346153846153846</x:v>
      </x:c>
      <x:c r="O881" s="15" t="n">
        <x:f>IF(E881=0,"해당 없음",G881/E881)</x:f>
        <x:v>0.07692307692307693</x:v>
      </x:c>
      <x:c r="P881" s="15" t="n">
        <x:f>IF(E881=0,"해당 없음",H881/E881)</x:f>
        <x:v>0.125</x:v>
      </x:c>
      <x:c r="Q881" s="15" t="n">
        <x:f>IF(E881=0,"해당 없음",I881/E881)</x:f>
        <x:v>0.1346153846153846</x:v>
      </x:c>
      <x:c r="R881" s="15" t="n">
        <x:f>IF(E881=0,"해당 없음",J881/E881)</x:f>
        <x:v>0.125</x:v>
      </x:c>
      <x:c r="S881" s="15" t="n">
        <x:f>IF(E881=0,"해당 없음",K881/E881)</x:f>
        <x:v>0.14423076923076922</x:v>
      </x:c>
      <x:c r="T881" s="15" t="n">
        <x:f>IF(E881=0,"해당 없음",L881/E881)</x:f>
        <x:v>0.10576923076923077</x:v>
      </x:c>
      <x:c r="U881" s="15" t="n">
        <x:f>IF(E881=0,"해당 없음",M881/E881)</x:f>
        <x:v>0.125</x:v>
      </x:c>
      <x:c r="V881" s="16" t="n">
        <x:f>E881/5</x:f>
        <x:v>20.8</x:v>
      </x:c>
    </x:row>
    <x:row r="882" ht="22" customHeight="1">
      <x:c r="A882" s="2" t="n">
        <x:v>439</x:v>
      </x:c>
      <x:c r="B882" s="2" t="str">
        <x:v>RED</x:v>
      </x:c>
      <x:c r="C882" s="2" t="str">
        <x:v>0만</x:v>
      </x:c>
      <x:c r="D882" s="2" t="str">
        <x:v>160만</x:v>
      </x:c>
      <x:c r="E882" s="14" t="n">
        <x:f>SUM(F882:M882)</x:f>
        <x:v>104</x:v>
      </x:c>
      <x:c r="F882" s="14" t="n">
        <x:v>13</x:v>
      </x:c>
      <x:c r="G882" s="14" t="n">
        <x:v>11</x:v>
      </x:c>
      <x:c r="H882" s="14" t="n">
        <x:v>17</x:v>
      </x:c>
      <x:c r="I882" s="14" t="n">
        <x:v>10</x:v>
      </x:c>
      <x:c r="J882" s="14" t="n">
        <x:v>22</x:v>
      </x:c>
      <x:c r="K882" s="14" t="n">
        <x:v>9</x:v>
      </x:c>
      <x:c r="L882" s="14" t="n">
        <x:v>12</x:v>
      </x:c>
      <x:c r="M882" s="14" t="n">
        <x:v>10</x:v>
      </x:c>
      <x:c r="N882" s="15" t="n">
        <x:f>IF(E882=0,"해당 없음",F882/E882)</x:f>
        <x:v>0.125</x:v>
      </x:c>
      <x:c r="O882" s="15" t="n">
        <x:f>IF(E882=0,"해당 없음",G882/E882)</x:f>
        <x:v>0.10576923076923077</x:v>
      </x:c>
      <x:c r="P882" s="15" t="n">
        <x:f>IF(E882=0,"해당 없음",H882/E882)</x:f>
        <x:v>0.16346153846153846</x:v>
      </x:c>
      <x:c r="Q882" s="15" t="n">
        <x:f>IF(E882=0,"해당 없음",I882/E882)</x:f>
        <x:v>0.09615384615384616</x:v>
      </x:c>
      <x:c r="R882" s="15" t="n">
        <x:f>IF(E882=0,"해당 없음",J882/E882)</x:f>
        <x:v>0.21153846153846154</x:v>
      </x:c>
      <x:c r="S882" s="15" t="n">
        <x:f>IF(E882=0,"해당 없음",K882/E882)</x:f>
        <x:v>0.08653846153846154</x:v>
      </x:c>
      <x:c r="T882" s="15" t="n">
        <x:f>IF(E882=0,"해당 없음",L882/E882)</x:f>
        <x:v>0.11538461538461539</x:v>
      </x:c>
      <x:c r="U882" s="15" t="n">
        <x:f>IF(E882=0,"해당 없음",M882/E882)</x:f>
        <x:v>0.09615384615384616</x:v>
      </x:c>
      <x:c r="V882" s="16" t="n">
        <x:f>E882/5</x:f>
        <x:v>20.8</x:v>
      </x:c>
    </x:row>
    <x:row r="883" ht="22" customHeight="1">
      <x:c r="A883" s="2" t="n">
        <x:v>439</x:v>
      </x:c>
      <x:c r="B883" s="2" t="str">
        <x:v>NAVY</x:v>
      </x:c>
      <x:c r="C883" s="2" t="str">
        <x:v>160만</x:v>
      </x:c>
      <x:c r="D883" s="2" t="str">
        <x:v>0만</x:v>
      </x:c>
      <x:c r="E883" s="14" t="n">
        <x:f>SUM(F883:M883)</x:f>
        <x:v>105</x:v>
      </x:c>
      <x:c r="F883" s="14" t="n">
        <x:v>1</x:v>
      </x:c>
      <x:c r="G883" s="14" t="n">
        <x:v>20</x:v>
      </x:c>
      <x:c r="H883" s="14" t="n">
        <x:v>11</x:v>
      </x:c>
      <x:c r="I883" s="14" t="n">
        <x:v>5</x:v>
      </x:c>
      <x:c r="J883" s="14" t="n">
        <x:v>6</x:v>
      </x:c>
      <x:c r="K883" s="14" t="n">
        <x:v>10</x:v>
      </x:c>
      <x:c r="L883" s="14" t="n">
        <x:v>34</x:v>
      </x:c>
      <x:c r="M883" s="14" t="n">
        <x:v>18</x:v>
      </x:c>
      <x:c r="N883" s="15" t="n">
        <x:f>IF(E883=0,"해당 없음",F883/E883)</x:f>
        <x:v>0.009523809523809525</x:v>
      </x:c>
      <x:c r="O883" s="15" t="n">
        <x:f>IF(E883=0,"해당 없음",G883/E883)</x:f>
        <x:v>0.19047619047619047</x:v>
      </x:c>
      <x:c r="P883" s="15" t="n">
        <x:f>IF(E883=0,"해당 없음",H883/E883)</x:f>
        <x:v>0.10476190476190476</x:v>
      </x:c>
      <x:c r="Q883" s="15" t="n">
        <x:f>IF(E883=0,"해당 없음",I883/E883)</x:f>
        <x:v>0.047619047619047616</x:v>
      </x:c>
      <x:c r="R883" s="15" t="n">
        <x:f>IF(E883=0,"해당 없음",J883/E883)</x:f>
        <x:v>0.05714285714285714</x:v>
      </x:c>
      <x:c r="S883" s="15" t="n">
        <x:f>IF(E883=0,"해당 없음",K883/E883)</x:f>
        <x:v>0.09523809523809523</x:v>
      </x:c>
      <x:c r="T883" s="15" t="n">
        <x:f>IF(E883=0,"해당 없음",L883/E883)</x:f>
        <x:v>0.3238095238095238</x:v>
      </x:c>
      <x:c r="U883" s="15" t="n">
        <x:f>IF(E883=0,"해당 없음",M883/E883)</x:f>
        <x:v>0.17142857142857143</x:v>
      </x:c>
      <x:c r="V883" s="16" t="n">
        <x:f>E883/5</x:f>
        <x:v>21</x:v>
      </x:c>
    </x:row>
    <x:row r="884" ht="22" customHeight="1">
      <x:c r="A884" s="2" t="n">
        <x:v>440</x:v>
      </x:c>
      <x:c r="B884" s="2" t="str">
        <x:v>RED</x:v>
      </x:c>
      <x:c r="C884" s="2" t="str">
        <x:v>160만</x:v>
      </x:c>
      <x:c r="D884" s="2" t="str">
        <x:v>0만</x:v>
      </x:c>
      <x:c r="E884" s="14" t="n">
        <x:f>SUM(F884:M884)</x:f>
        <x:v>104</x:v>
      </x:c>
      <x:c r="F884" s="14" t="n">
        <x:v>3</x:v>
      </x:c>
      <x:c r="G884" s="14" t="n">
        <x:v>16</x:v>
      </x:c>
      <x:c r="H884" s="14" t="n">
        <x:v>12</x:v>
      </x:c>
      <x:c r="I884" s="14" t="n">
        <x:v>7</x:v>
      </x:c>
      <x:c r="J884" s="14" t="n">
        <x:v>5</x:v>
      </x:c>
      <x:c r="K884" s="14" t="n">
        <x:v>4</x:v>
      </x:c>
      <x:c r="L884" s="14" t="n">
        <x:v>34</x:v>
      </x:c>
      <x:c r="M884" s="14" t="n">
        <x:v>23</x:v>
      </x:c>
      <x:c r="N884" s="15" t="n">
        <x:f>IF(E884=0,"해당 없음",F884/E884)</x:f>
        <x:v>0.028846153846153848</x:v>
      </x:c>
      <x:c r="O884" s="15" t="n">
        <x:f>IF(E884=0,"해당 없음",G884/E884)</x:f>
        <x:v>0.15384615384615385</x:v>
      </x:c>
      <x:c r="P884" s="15" t="n">
        <x:f>IF(E884=0,"해당 없음",H884/E884)</x:f>
        <x:v>0.11538461538461539</x:v>
      </x:c>
      <x:c r="Q884" s="15" t="n">
        <x:f>IF(E884=0,"해당 없음",I884/E884)</x:f>
        <x:v>0.0673076923076923</x:v>
      </x:c>
      <x:c r="R884" s="15" t="n">
        <x:f>IF(E884=0,"해당 없음",J884/E884)</x:f>
        <x:v>0.04807692307692308</x:v>
      </x:c>
      <x:c r="S884" s="15" t="n">
        <x:f>IF(E884=0,"해당 없음",K884/E884)</x:f>
        <x:v>0.038461538461538464</x:v>
      </x:c>
      <x:c r="T884" s="15" t="n">
        <x:f>IF(E884=0,"해당 없음",L884/E884)</x:f>
        <x:v>0.3269230769230769</x:v>
      </x:c>
      <x:c r="U884" s="15" t="n">
        <x:f>IF(E884=0,"해당 없음",M884/E884)</x:f>
        <x:v>0.22115384615384615</x:v>
      </x:c>
      <x:c r="V884" s="16" t="n">
        <x:f>E884/5</x:f>
        <x:v>20.8</x:v>
      </x:c>
    </x:row>
    <x:row r="885" ht="22" customHeight="1">
      <x:c r="A885" s="2" t="n">
        <x:v>440</x:v>
      </x:c>
      <x:c r="B885" s="2" t="str">
        <x:v>NAVY</x:v>
      </x:c>
      <x:c r="C885" s="2" t="str">
        <x:v>0만</x:v>
      </x:c>
      <x:c r="D885" s="2" t="str">
        <x:v>160만</x:v>
      </x:c>
      <x:c r="E885" s="14" t="n">
        <x:f>SUM(F885:M885)</x:f>
        <x:v>105</x:v>
      </x:c>
      <x:c r="F885" s="14" t="n">
        <x:v>13</x:v>
      </x:c>
      <x:c r="G885" s="14" t="n">
        <x:v>11</x:v>
      </x:c>
      <x:c r="H885" s="14" t="n">
        <x:v>17</x:v>
      </x:c>
      <x:c r="I885" s="14" t="n">
        <x:v>11</x:v>
      </x:c>
      <x:c r="J885" s="14" t="n">
        <x:v>22</x:v>
      </x:c>
      <x:c r="K885" s="14" t="n">
        <x:v>10</x:v>
      </x:c>
      <x:c r="L885" s="14" t="n">
        <x:v>11</x:v>
      </x:c>
      <x:c r="M885" s="14" t="n">
        <x:v>10</x:v>
      </x:c>
      <x:c r="N885" s="15" t="n">
        <x:f>IF(E885=0,"해당 없음",F885/E885)</x:f>
        <x:v>0.12380952380952381</x:v>
      </x:c>
      <x:c r="O885" s="15" t="n">
        <x:f>IF(E885=0,"해당 없음",G885/E885)</x:f>
        <x:v>0.10476190476190476</x:v>
      </x:c>
      <x:c r="P885" s="15" t="n">
        <x:f>IF(E885=0,"해당 없음",H885/E885)</x:f>
        <x:v>0.1619047619047619</x:v>
      </x:c>
      <x:c r="Q885" s="15" t="n">
        <x:f>IF(E885=0,"해당 없음",I885/E885)</x:f>
        <x:v>0.10476190476190476</x:v>
      </x:c>
      <x:c r="R885" s="15" t="n">
        <x:f>IF(E885=0,"해당 없음",J885/E885)</x:f>
        <x:v>0.20952380952380953</x:v>
      </x:c>
      <x:c r="S885" s="15" t="n">
        <x:f>IF(E885=0,"해당 없음",K885/E885)</x:f>
        <x:v>0.09523809523809523</x:v>
      </x:c>
      <x:c r="T885" s="15" t="n">
        <x:f>IF(E885=0,"해당 없음",L885/E885)</x:f>
        <x:v>0.10476190476190476</x:v>
      </x:c>
      <x:c r="U885" s="15" t="n">
        <x:f>IF(E885=0,"해당 없음",M885/E885)</x:f>
        <x:v>0.09523809523809523</x:v>
      </x:c>
      <x:c r="V885" s="16" t="n">
        <x:f>E885/5</x:f>
        <x:v>21</x:v>
      </x:c>
    </x:row>
    <x:row r="886" ht="22" customHeight="1">
      <x:c r="A886" s="2" t="n">
        <x:v>441</x:v>
      </x:c>
      <x:c r="B886" s="2" t="str">
        <x:v>RED</x:v>
      </x:c>
      <x:c r="C886" s="2" t="str">
        <x:v>0만</x:v>
      </x:c>
      <x:c r="D886" s="2" t="str">
        <x:v>200만</x:v>
      </x:c>
      <x:c r="E886" s="14" t="n">
        <x:f>SUM(F886:M886)</x:f>
        <x:v>104</x:v>
      </x:c>
      <x:c r="F886" s="14" t="n">
        <x:v>11</x:v>
      </x:c>
      <x:c r="G886" s="14" t="n">
        <x:v>12</x:v>
      </x:c>
      <x:c r="H886" s="14" t="n">
        <x:v>9</x:v>
      </x:c>
      <x:c r="I886" s="14" t="n">
        <x:v>21</x:v>
      </x:c>
      <x:c r="J886" s="14" t="n">
        <x:v>7</x:v>
      </x:c>
      <x:c r="K886" s="14" t="n">
        <x:v>15</x:v>
      </x:c>
      <x:c r="L886" s="14" t="n">
        <x:v>15</x:v>
      </x:c>
      <x:c r="M886" s="14" t="n">
        <x:v>14</x:v>
      </x:c>
      <x:c r="N886" s="15" t="n">
        <x:f>IF(E886=0,"해당 없음",F886/E886)</x:f>
        <x:v>0.10576923076923077</x:v>
      </x:c>
      <x:c r="O886" s="15" t="n">
        <x:f>IF(E886=0,"해당 없음",G886/E886)</x:f>
        <x:v>0.11538461538461539</x:v>
      </x:c>
      <x:c r="P886" s="15" t="n">
        <x:f>IF(E886=0,"해당 없음",H886/E886)</x:f>
        <x:v>0.08653846153846154</x:v>
      </x:c>
      <x:c r="Q886" s="15" t="n">
        <x:f>IF(E886=0,"해당 없음",I886/E886)</x:f>
        <x:v>0.20192307692307693</x:v>
      </x:c>
      <x:c r="R886" s="15" t="n">
        <x:f>IF(E886=0,"해당 없음",J886/E886)</x:f>
        <x:v>0.0673076923076923</x:v>
      </x:c>
      <x:c r="S886" s="15" t="n">
        <x:f>IF(E886=0,"해당 없음",K886/E886)</x:f>
        <x:v>0.14423076923076922</x:v>
      </x:c>
      <x:c r="T886" s="15" t="n">
        <x:f>IF(E886=0,"해당 없음",L886/E886)</x:f>
        <x:v>0.14423076923076922</x:v>
      </x:c>
      <x:c r="U886" s="15" t="n">
        <x:f>IF(E886=0,"해당 없음",M886/E886)</x:f>
        <x:v>0.1346153846153846</x:v>
      </x:c>
      <x:c r="V886" s="16" t="n">
        <x:f>E886/5</x:f>
        <x:v>20.8</x:v>
      </x:c>
    </x:row>
    <x:row r="887" ht="22" customHeight="1">
      <x:c r="A887" s="2" t="n">
        <x:v>441</x:v>
      </x:c>
      <x:c r="B887" s="2" t="str">
        <x:v>NAVY</x:v>
      </x:c>
      <x:c r="C887" s="2" t="str">
        <x:v>200만</x:v>
      </x:c>
      <x:c r="D887" s="2" t="str">
        <x:v>0만</x:v>
      </x:c>
      <x:c r="E887" s="14" t="n">
        <x:f>SUM(F887:M887)</x:f>
        <x:v>104</x:v>
      </x:c>
      <x:c r="F887" s="14" t="n">
        <x:v>1</x:v>
      </x:c>
      <x:c r="G887" s="14" t="n">
        <x:v>22</x:v>
      </x:c>
      <x:c r="H887" s="14" t="n">
        <x:v>4</x:v>
      </x:c>
      <x:c r="I887" s="14" t="n">
        <x:v>1</x:v>
      </x:c>
      <x:c r="J887" s="14" t="n">
        <x:v>1</x:v>
      </x:c>
      <x:c r="K887" s="14" t="n">
        <x:v>10</x:v>
      </x:c>
      <x:c r="L887" s="14" t="n">
        <x:v>32</x:v>
      </x:c>
      <x:c r="M887" s="14" t="n">
        <x:v>33</x:v>
      </x:c>
      <x:c r="N887" s="15" t="n">
        <x:f>IF(E887=0,"해당 없음",F887/E887)</x:f>
        <x:v>0.009615384615384616</x:v>
      </x:c>
      <x:c r="O887" s="15" t="n">
        <x:f>IF(E887=0,"해당 없음",G887/E887)</x:f>
        <x:v>0.21153846153846154</x:v>
      </x:c>
      <x:c r="P887" s="15" t="n">
        <x:f>IF(E887=0,"해당 없음",H887/E887)</x:f>
        <x:v>0.038461538461538464</x:v>
      </x:c>
      <x:c r="Q887" s="15" t="n">
        <x:f>IF(E887=0,"해당 없음",I887/E887)</x:f>
        <x:v>0.009615384615384616</x:v>
      </x:c>
      <x:c r="R887" s="15" t="n">
        <x:f>IF(E887=0,"해당 없음",J887/E887)</x:f>
        <x:v>0.009615384615384616</x:v>
      </x:c>
      <x:c r="S887" s="15" t="n">
        <x:f>IF(E887=0,"해당 없음",K887/E887)</x:f>
        <x:v>0.09615384615384616</x:v>
      </x:c>
      <x:c r="T887" s="15" t="n">
        <x:f>IF(E887=0,"해당 없음",L887/E887)</x:f>
        <x:v>0.3076923076923077</x:v>
      </x:c>
      <x:c r="U887" s="15" t="n">
        <x:f>IF(E887=0,"해당 없음",M887/E887)</x:f>
        <x:v>0.3173076923076923</x:v>
      </x:c>
      <x:c r="V887" s="16" t="n">
        <x:f>E887/5</x:f>
        <x:v>20.8</x:v>
      </x:c>
    </x:row>
    <x:row r="888" ht="22" customHeight="1">
      <x:c r="A888" s="2" t="n">
        <x:v>442</x:v>
      </x:c>
      <x:c r="B888" s="2" t="str">
        <x:v>RED</x:v>
      </x:c>
      <x:c r="C888" s="2" t="str">
        <x:v>200만</x:v>
      </x:c>
      <x:c r="D888" s="2" t="str">
        <x:v>0만</x:v>
      </x:c>
      <x:c r="E888" s="14" t="n">
        <x:f>SUM(F888:M888)</x:f>
        <x:v>102</x:v>
      </x:c>
      <x:c r="F888" s="14" t="n">
        <x:v>3</x:v>
      </x:c>
      <x:c r="G888" s="14" t="n">
        <x:v>25</x:v>
      </x:c>
      <x:c r="H888" s="14" t="n">
        <x:v>4</x:v>
      </x:c>
      <x:c r="I888" s="14" t="n">
        <x:v>4</x:v>
      </x:c>
      <x:c r="J888" s="14" t="n">
        <x:v>1</x:v>
      </x:c>
      <x:c r="K888" s="14" t="n">
        <x:v>8</x:v>
      </x:c>
      <x:c r="L888" s="14" t="n">
        <x:v>31</x:v>
      </x:c>
      <x:c r="M888" s="14" t="n">
        <x:v>26</x:v>
      </x:c>
      <x:c r="N888" s="15" t="n">
        <x:f>IF(E888=0,"해당 없음",F888/E888)</x:f>
        <x:v>0.029411764705882353</x:v>
      </x:c>
      <x:c r="O888" s="15" t="n">
        <x:f>IF(E888=0,"해당 없음",G888/E888)</x:f>
        <x:v>0.24509803921568626</x:v>
      </x:c>
      <x:c r="P888" s="15" t="n">
        <x:f>IF(E888=0,"해당 없음",H888/E888)</x:f>
        <x:v>0.0392156862745098</x:v>
      </x:c>
      <x:c r="Q888" s="15" t="n">
        <x:f>IF(E888=0,"해당 없음",I888/E888)</x:f>
        <x:v>0.0392156862745098</x:v>
      </x:c>
      <x:c r="R888" s="15" t="n">
        <x:f>IF(E888=0,"해당 없음",J888/E888)</x:f>
        <x:v>0.00980392156862745</x:v>
      </x:c>
      <x:c r="S888" s="15" t="n">
        <x:f>IF(E888=0,"해당 없음",K888/E888)</x:f>
        <x:v>0.0784313725490196</x:v>
      </x:c>
      <x:c r="T888" s="15" t="n">
        <x:f>IF(E888=0,"해당 없음",L888/E888)</x:f>
        <x:v>0.30392156862745096</x:v>
      </x:c>
      <x:c r="U888" s="15" t="n">
        <x:f>IF(E888=0,"해당 없음",M888/E888)</x:f>
        <x:v>0.2549019607843137</x:v>
      </x:c>
      <x:c r="V888" s="16" t="n">
        <x:f>E888/5</x:f>
        <x:v>20.4</x:v>
      </x:c>
    </x:row>
    <x:row r="889" ht="22" customHeight="1">
      <x:c r="A889" s="2" t="n">
        <x:v>442</x:v>
      </x:c>
      <x:c r="B889" s="2" t="str">
        <x:v>NAVY</x:v>
      </x:c>
      <x:c r="C889" s="2" t="str">
        <x:v>0만</x:v>
      </x:c>
      <x:c r="D889" s="2" t="str">
        <x:v>200만</x:v>
      </x:c>
      <x:c r="E889" s="14" t="n">
        <x:f>SUM(F889:M889)</x:f>
        <x:v>102</x:v>
      </x:c>
      <x:c r="F889" s="14" t="n">
        <x:v>11</x:v>
      </x:c>
      <x:c r="G889" s="14" t="n">
        <x:v>12</x:v>
      </x:c>
      <x:c r="H889" s="14" t="n">
        <x:v>9</x:v>
      </x:c>
      <x:c r="I889" s="14" t="n">
        <x:v>21</x:v>
      </x:c>
      <x:c r="J889" s="14" t="n">
        <x:v>6</x:v>
      </x:c>
      <x:c r="K889" s="14" t="n">
        <x:v>15</x:v>
      </x:c>
      <x:c r="L889" s="14" t="n">
        <x:v>14</x:v>
      </x:c>
      <x:c r="M889" s="14" t="n">
        <x:v>14</x:v>
      </x:c>
      <x:c r="N889" s="15" t="n">
        <x:f>IF(E889=0,"해당 없음",F889/E889)</x:f>
        <x:v>0.10784313725490197</x:v>
      </x:c>
      <x:c r="O889" s="15" t="n">
        <x:f>IF(E889=0,"해당 없음",G889/E889)</x:f>
        <x:v>0.11764705882352941</x:v>
      </x:c>
      <x:c r="P889" s="15" t="n">
        <x:f>IF(E889=0,"해당 없음",H889/E889)</x:f>
        <x:v>0.08823529411764706</x:v>
      </x:c>
      <x:c r="Q889" s="15" t="n">
        <x:f>IF(E889=0,"해당 없음",I889/E889)</x:f>
        <x:v>0.20588235294117646</x:v>
      </x:c>
      <x:c r="R889" s="15" t="n">
        <x:f>IF(E889=0,"해당 없음",J889/E889)</x:f>
        <x:v>0.058823529411764705</x:v>
      </x:c>
      <x:c r="S889" s="15" t="n">
        <x:f>IF(E889=0,"해당 없음",K889/E889)</x:f>
        <x:v>0.14705882352941177</x:v>
      </x:c>
      <x:c r="T889" s="15" t="n">
        <x:f>IF(E889=0,"해당 없음",L889/E889)</x:f>
        <x:v>0.13725490196078433</x:v>
      </x:c>
      <x:c r="U889" s="15" t="n">
        <x:f>IF(E889=0,"해당 없음",M889/E889)</x:f>
        <x:v>0.13725490196078433</x:v>
      </x:c>
      <x:c r="V889" s="16" t="n">
        <x:f>E889/5</x:f>
        <x:v>20.4</x:v>
      </x:c>
    </x:row>
    <x:row r="890" ht="22" customHeight="1">
      <x:c r="A890" s="2" t="n">
        <x:v>443</x:v>
      </x:c>
      <x:c r="B890" s="2" t="str">
        <x:v>RED</x:v>
      </x:c>
      <x:c r="C890" s="2" t="str">
        <x:v>0만</x:v>
      </x:c>
      <x:c r="D890" s="2" t="str">
        <x:v>200만</x:v>
      </x:c>
      <x:c r="E890" s="14" t="n">
        <x:f>SUM(F890:M890)</x:f>
        <x:v>105</x:v>
      </x:c>
      <x:c r="F890" s="14" t="n">
        <x:v>12</x:v>
      </x:c>
      <x:c r="G890" s="14" t="n">
        <x:v>18</x:v>
      </x:c>
      <x:c r="H890" s="14" t="n">
        <x:v>17</x:v>
      </x:c>
      <x:c r="I890" s="14" t="n">
        <x:v>13</x:v>
      </x:c>
      <x:c r="J890" s="14" t="n">
        <x:v>11</x:v>
      </x:c>
      <x:c r="K890" s="14" t="n">
        <x:v>15</x:v>
      </x:c>
      <x:c r="L890" s="14" t="n">
        <x:v>7</x:v>
      </x:c>
      <x:c r="M890" s="14" t="n">
        <x:v>12</x:v>
      </x:c>
      <x:c r="N890" s="15" t="n">
        <x:f>IF(E890=0,"해당 없음",F890/E890)</x:f>
        <x:v>0.11428571428571428</x:v>
      </x:c>
      <x:c r="O890" s="15" t="n">
        <x:f>IF(E890=0,"해당 없음",G890/E890)</x:f>
        <x:v>0.17142857142857143</x:v>
      </x:c>
      <x:c r="P890" s="15" t="n">
        <x:f>IF(E890=0,"해당 없음",H890/E890)</x:f>
        <x:v>0.1619047619047619</x:v>
      </x:c>
      <x:c r="Q890" s="15" t="n">
        <x:f>IF(E890=0,"해당 없음",I890/E890)</x:f>
        <x:v>0.12380952380952381</x:v>
      </x:c>
      <x:c r="R890" s="15" t="n">
        <x:f>IF(E890=0,"해당 없음",J890/E890)</x:f>
        <x:v>0.10476190476190476</x:v>
      </x:c>
      <x:c r="S890" s="15" t="n">
        <x:f>IF(E890=0,"해당 없음",K890/E890)</x:f>
        <x:v>0.14285714285714285</x:v>
      </x:c>
      <x:c r="T890" s="15" t="n">
        <x:f>IF(E890=0,"해당 없음",L890/E890)</x:f>
        <x:v>0.06666666666666667</x:v>
      </x:c>
      <x:c r="U890" s="15" t="n">
        <x:f>IF(E890=0,"해당 없음",M890/E890)</x:f>
        <x:v>0.11428571428571428</x:v>
      </x:c>
      <x:c r="V890" s="16" t="n">
        <x:f>E890/5</x:f>
        <x:v>21</x:v>
      </x:c>
    </x:row>
    <x:row r="891" ht="22" customHeight="1">
      <x:c r="A891" s="2" t="n">
        <x:v>443</x:v>
      </x:c>
      <x:c r="B891" s="2" t="str">
        <x:v>NAVY</x:v>
      </x:c>
      <x:c r="C891" s="2" t="str">
        <x:v>200만</x:v>
      </x:c>
      <x:c r="D891" s="2" t="str">
        <x:v>0만</x:v>
      </x:c>
      <x:c r="E891" s="14" t="n">
        <x:f>SUM(F891:M891)</x:f>
        <x:v>104</x:v>
      </x:c>
      <x:c r="F891" s="14" t="n">
        <x:v>2</x:v>
      </x:c>
      <x:c r="G891" s="14" t="n">
        <x:v>17</x:v>
      </x:c>
      <x:c r="H891" s="14" t="n">
        <x:v>8</x:v>
      </x:c>
      <x:c r="I891" s="14" t="n">
        <x:v>5</x:v>
      </x:c>
      <x:c r="J891" s="14" t="n">
        <x:v>2</x:v>
      </x:c>
      <x:c r="K891" s="14" t="n">
        <x:v>8</x:v>
      </x:c>
      <x:c r="L891" s="14" t="n">
        <x:v>36</x:v>
      </x:c>
      <x:c r="M891" s="14" t="n">
        <x:v>26</x:v>
      </x:c>
      <x:c r="N891" s="15" t="n">
        <x:f>IF(E891=0,"해당 없음",F891/E891)</x:f>
        <x:v>0.019230769230769232</x:v>
      </x:c>
      <x:c r="O891" s="15" t="n">
        <x:f>IF(E891=0,"해당 없음",G891/E891)</x:f>
        <x:v>0.16346153846153846</x:v>
      </x:c>
      <x:c r="P891" s="15" t="n">
        <x:f>IF(E891=0,"해당 없음",H891/E891)</x:f>
        <x:v>0.07692307692307693</x:v>
      </x:c>
      <x:c r="Q891" s="15" t="n">
        <x:f>IF(E891=0,"해당 없음",I891/E891)</x:f>
        <x:v>0.04807692307692308</x:v>
      </x:c>
      <x:c r="R891" s="15" t="n">
        <x:f>IF(E891=0,"해당 없음",J891/E891)</x:f>
        <x:v>0.019230769230769232</x:v>
      </x:c>
      <x:c r="S891" s="15" t="n">
        <x:f>IF(E891=0,"해당 없음",K891/E891)</x:f>
        <x:v>0.07692307692307693</x:v>
      </x:c>
      <x:c r="T891" s="15" t="n">
        <x:f>IF(E891=0,"해당 없음",L891/E891)</x:f>
        <x:v>0.34615384615384615</x:v>
      </x:c>
      <x:c r="U891" s="15" t="n">
        <x:f>IF(E891=0,"해당 없음",M891/E891)</x:f>
        <x:v>0.25</x:v>
      </x:c>
      <x:c r="V891" s="16" t="n">
        <x:f>E891/5</x:f>
        <x:v>20.8</x:v>
      </x:c>
    </x:row>
    <x:row r="892" ht="22" customHeight="1">
      <x:c r="A892" s="2" t="n">
        <x:v>444</x:v>
      </x:c>
      <x:c r="B892" s="2" t="str">
        <x:v>RED</x:v>
      </x:c>
      <x:c r="C892" s="2" t="str">
        <x:v>200만</x:v>
      </x:c>
      <x:c r="D892" s="2" t="str">
        <x:v>0만</x:v>
      </x:c>
      <x:c r="E892" s="14" t="n">
        <x:f>SUM(F892:M892)</x:f>
        <x:v>106</x:v>
      </x:c>
      <x:c r="F892" s="14" t="n">
        <x:v>1</x:v>
      </x:c>
      <x:c r="G892" s="14" t="n">
        <x:v>17</x:v>
      </x:c>
      <x:c r="H892" s="14" t="n">
        <x:v>8</x:v>
      </x:c>
      <x:c r="I892" s="14" t="n">
        <x:v>3</x:v>
      </x:c>
      <x:c r="J892" s="14" t="n">
        <x:v>3</x:v>
      </x:c>
      <x:c r="K892" s="14" t="n">
        <x:v>7</x:v>
      </x:c>
      <x:c r="L892" s="14" t="n">
        <x:v>32</x:v>
      </x:c>
      <x:c r="M892" s="14" t="n">
        <x:v>35</x:v>
      </x:c>
      <x:c r="N892" s="15" t="n">
        <x:f>IF(E892=0,"해당 없음",F892/E892)</x:f>
        <x:v>0.009433962264150943</x:v>
      </x:c>
      <x:c r="O892" s="15" t="n">
        <x:f>IF(E892=0,"해당 없음",G892/E892)</x:f>
        <x:v>0.16037735849056603</x:v>
      </x:c>
      <x:c r="P892" s="15" t="n">
        <x:f>IF(E892=0,"해당 없음",H892/E892)</x:f>
        <x:v>0.07547169811320754</x:v>
      </x:c>
      <x:c r="Q892" s="15" t="n">
        <x:f>IF(E892=0,"해당 없음",I892/E892)</x:f>
        <x:v>0.02830188679245283</x:v>
      </x:c>
      <x:c r="R892" s="15" t="n">
        <x:f>IF(E892=0,"해당 없음",J892/E892)</x:f>
        <x:v>0.02830188679245283</x:v>
      </x:c>
      <x:c r="S892" s="15" t="n">
        <x:f>IF(E892=0,"해당 없음",K892/E892)</x:f>
        <x:v>0.0660377358490566</x:v>
      </x:c>
      <x:c r="T892" s="15" t="n">
        <x:f>IF(E892=0,"해당 없음",L892/E892)</x:f>
        <x:v>0.3018867924528302</x:v>
      </x:c>
      <x:c r="U892" s="15" t="n">
        <x:f>IF(E892=0,"해당 없음",M892/E892)</x:f>
        <x:v>0.330188679245283</x:v>
      </x:c>
      <x:c r="V892" s="16" t="n">
        <x:f>E892/5</x:f>
        <x:v>21.2</x:v>
      </x:c>
    </x:row>
    <x:row r="893" ht="22" customHeight="1">
      <x:c r="A893" s="2" t="n">
        <x:v>444</x:v>
      </x:c>
      <x:c r="B893" s="2" t="str">
        <x:v>NAVY</x:v>
      </x:c>
      <x:c r="C893" s="2" t="str">
        <x:v>0만</x:v>
      </x:c>
      <x:c r="D893" s="2" t="str">
        <x:v>200만</x:v>
      </x:c>
      <x:c r="E893" s="14" t="n">
        <x:f>SUM(F893:M893)</x:f>
        <x:v>102</x:v>
      </x:c>
      <x:c r="F893" s="14" t="n">
        <x:v>12</x:v>
      </x:c>
      <x:c r="G893" s="14" t="n">
        <x:v>17</x:v>
      </x:c>
      <x:c r="H893" s="14" t="n">
        <x:v>17</x:v>
      </x:c>
      <x:c r="I893" s="14" t="n">
        <x:v>12</x:v>
      </x:c>
      <x:c r="J893" s="14" t="n">
        <x:v>11</x:v>
      </x:c>
      <x:c r="K893" s="14" t="n">
        <x:v>14</x:v>
      </x:c>
      <x:c r="L893" s="14" t="n">
        <x:v>7</x:v>
      </x:c>
      <x:c r="M893" s="14" t="n">
        <x:v>12</x:v>
      </x:c>
      <x:c r="N893" s="15" t="n">
        <x:f>IF(E893=0,"해당 없음",F893/E893)</x:f>
        <x:v>0.11764705882352941</x:v>
      </x:c>
      <x:c r="O893" s="15" t="n">
        <x:f>IF(E893=0,"해당 없음",G893/E893)</x:f>
        <x:v>0.16666666666666666</x:v>
      </x:c>
      <x:c r="P893" s="15" t="n">
        <x:f>IF(E893=0,"해당 없음",H893/E893)</x:f>
        <x:v>0.16666666666666666</x:v>
      </x:c>
      <x:c r="Q893" s="15" t="n">
        <x:f>IF(E893=0,"해당 없음",I893/E893)</x:f>
        <x:v>0.11764705882352941</x:v>
      </x:c>
      <x:c r="R893" s="15" t="n">
        <x:f>IF(E893=0,"해당 없음",J893/E893)</x:f>
        <x:v>0.10784313725490197</x:v>
      </x:c>
      <x:c r="S893" s="15" t="n">
        <x:f>IF(E893=0,"해당 없음",K893/E893)</x:f>
        <x:v>0.13725490196078433</x:v>
      </x:c>
      <x:c r="T893" s="15" t="n">
        <x:f>IF(E893=0,"해당 없음",L893/E893)</x:f>
        <x:v>0.06862745098039216</x:v>
      </x:c>
      <x:c r="U893" s="15" t="n">
        <x:f>IF(E893=0,"해당 없음",M893/E893)</x:f>
        <x:v>0.11764705882352941</x:v>
      </x:c>
      <x:c r="V893" s="16" t="n">
        <x:f>E893/5</x:f>
        <x:v>20.4</x:v>
      </x:c>
    </x:row>
    <x:row r="894" ht="22" customHeight="1">
      <x:c r="A894" s="2" t="n">
        <x:v>445</x:v>
      </x:c>
      <x:c r="B894" s="2" t="str">
        <x:v>RED</x:v>
      </x:c>
      <x:c r="C894" s="2" t="str">
        <x:v>0만</x:v>
      </x:c>
      <x:c r="D894" s="2" t="str">
        <x:v>200만</x:v>
      </x:c>
      <x:c r="E894" s="14" t="n">
        <x:f>SUM(F894:M894)</x:f>
        <x:v>102</x:v>
      </x:c>
      <x:c r="F894" s="14" t="n">
        <x:v>10</x:v>
      </x:c>
      <x:c r="G894" s="14" t="n">
        <x:v>17</x:v>
      </x:c>
      <x:c r="H894" s="14" t="n">
        <x:v>15</x:v>
      </x:c>
      <x:c r="I894" s="14" t="n">
        <x:v>16</x:v>
      </x:c>
      <x:c r="J894" s="14" t="n">
        <x:v>14</x:v>
      </x:c>
      <x:c r="K894" s="14" t="n">
        <x:v>10</x:v>
      </x:c>
      <x:c r="L894" s="14" t="n">
        <x:v>12</x:v>
      </x:c>
      <x:c r="M894" s="14" t="n">
        <x:v>8</x:v>
      </x:c>
      <x:c r="N894" s="15" t="n">
        <x:f>IF(E894=0,"해당 없음",F894/E894)</x:f>
        <x:v>0.09803921568627451</x:v>
      </x:c>
      <x:c r="O894" s="15" t="n">
        <x:f>IF(E894=0,"해당 없음",G894/E894)</x:f>
        <x:v>0.16666666666666666</x:v>
      </x:c>
      <x:c r="P894" s="15" t="n">
        <x:f>IF(E894=0,"해당 없음",H894/E894)</x:f>
        <x:v>0.14705882352941177</x:v>
      </x:c>
      <x:c r="Q894" s="15" t="n">
        <x:f>IF(E894=0,"해당 없음",I894/E894)</x:f>
        <x:v>0.1568627450980392</x:v>
      </x:c>
      <x:c r="R894" s="15" t="n">
        <x:f>IF(E894=0,"해당 없음",J894/E894)</x:f>
        <x:v>0.13725490196078433</x:v>
      </x:c>
      <x:c r="S894" s="15" t="n">
        <x:f>IF(E894=0,"해당 없음",K894/E894)</x:f>
        <x:v>0.09803921568627451</x:v>
      </x:c>
      <x:c r="T894" s="15" t="n">
        <x:f>IF(E894=0,"해당 없음",L894/E894)</x:f>
        <x:v>0.11764705882352941</x:v>
      </x:c>
      <x:c r="U894" s="15" t="n">
        <x:f>IF(E894=0,"해당 없음",M894/E894)</x:f>
        <x:v>0.0784313725490196</x:v>
      </x:c>
      <x:c r="V894" s="16" t="n">
        <x:f>E894/5</x:f>
        <x:v>20.4</x:v>
      </x:c>
    </x:row>
    <x:row r="895" ht="22" customHeight="1">
      <x:c r="A895" s="2" t="n">
        <x:v>445</x:v>
      </x:c>
      <x:c r="B895" s="2" t="str">
        <x:v>NAVY</x:v>
      </x:c>
      <x:c r="C895" s="2" t="str">
        <x:v>200만</x:v>
      </x:c>
      <x:c r="D895" s="2" t="str">
        <x:v>0만</x:v>
      </x:c>
      <x:c r="E895" s="14" t="n">
        <x:f>SUM(F895:M895)</x:f>
        <x:v>103</x:v>
      </x:c>
      <x:c r="F895" s="14" t="n">
        <x:v>4</x:v>
      </x:c>
      <x:c r="G895" s="14" t="n">
        <x:v>25</x:v>
      </x:c>
      <x:c r="H895" s="14" t="n">
        <x:v>5</x:v>
      </x:c>
      <x:c r="I895" s="14" t="n">
        <x:v>1</x:v>
      </x:c>
      <x:c r="J895" s="14" t="n">
        <x:v>1</x:v>
      </x:c>
      <x:c r="K895" s="14" t="n">
        <x:v>13</x:v>
      </x:c>
      <x:c r="L895" s="14" t="n">
        <x:v>35</x:v>
      </x:c>
      <x:c r="M895" s="14" t="n">
        <x:v>19</x:v>
      </x:c>
      <x:c r="N895" s="15" t="n">
        <x:f>IF(E895=0,"해당 없음",F895/E895)</x:f>
        <x:v>0.038834951456310676</x:v>
      </x:c>
      <x:c r="O895" s="15" t="n">
        <x:f>IF(E895=0,"해당 없음",G895/E895)</x:f>
        <x:v>0.24271844660194175</x:v>
      </x:c>
      <x:c r="P895" s="15" t="n">
        <x:f>IF(E895=0,"해당 없음",H895/E895)</x:f>
        <x:v>0.04854368932038835</x:v>
      </x:c>
      <x:c r="Q895" s="15" t="n">
        <x:f>IF(E895=0,"해당 없음",I895/E895)</x:f>
        <x:v>0.009708737864077669</x:v>
      </x:c>
      <x:c r="R895" s="15" t="n">
        <x:f>IF(E895=0,"해당 없음",J895/E895)</x:f>
        <x:v>0.009708737864077669</x:v>
      </x:c>
      <x:c r="S895" s="15" t="n">
        <x:f>IF(E895=0,"해당 없음",K895/E895)</x:f>
        <x:v>0.1262135922330097</x:v>
      </x:c>
      <x:c r="T895" s="15" t="n">
        <x:f>IF(E895=0,"해당 없음",L895/E895)</x:f>
        <x:v>0.33980582524271846</x:v>
      </x:c>
      <x:c r="U895" s="15" t="n">
        <x:f>IF(E895=0,"해당 없음",M895/E895)</x:f>
        <x:v>0.18446601941747573</x:v>
      </x:c>
      <x:c r="V895" s="16" t="n">
        <x:f>E895/5</x:f>
        <x:v>20.6</x:v>
      </x:c>
    </x:row>
    <x:row r="896" ht="22" customHeight="1">
      <x:c r="A896" s="2" t="n">
        <x:v>446</x:v>
      </x:c>
      <x:c r="B896" s="2" t="str">
        <x:v>RED</x:v>
      </x:c>
      <x:c r="C896" s="2" t="str">
        <x:v>200만</x:v>
      </x:c>
      <x:c r="D896" s="2" t="str">
        <x:v>0만</x:v>
      </x:c>
      <x:c r="E896" s="14" t="n">
        <x:f>SUM(F896:M896)</x:f>
        <x:v>104</x:v>
      </x:c>
      <x:c r="F896" s="14" t="n">
        <x:v>4</x:v>
      </x:c>
      <x:c r="G896" s="14" t="n">
        <x:v>25</x:v>
      </x:c>
      <x:c r="H896" s="14" t="n">
        <x:v>5</x:v>
      </x:c>
      <x:c r="I896" s="14" t="n">
        <x:v>2</x:v>
      </x:c>
      <x:c r="J896" s="14" t="n">
        <x:v>0</x:v>
      </x:c>
      <x:c r="K896" s="14" t="n">
        <x:v>3</x:v>
      </x:c>
      <x:c r="L896" s="14" t="n">
        <x:v>32</x:v>
      </x:c>
      <x:c r="M896" s="14" t="n">
        <x:v>33</x:v>
      </x:c>
      <x:c r="N896" s="15" t="n">
        <x:f>IF(E896=0,"해당 없음",F896/E896)</x:f>
        <x:v>0.038461538461538464</x:v>
      </x:c>
      <x:c r="O896" s="15" t="n">
        <x:f>IF(E896=0,"해당 없음",G896/E896)</x:f>
        <x:v>0.2403846153846154</x:v>
      </x:c>
      <x:c r="P896" s="15" t="n">
        <x:f>IF(E896=0,"해당 없음",H896/E896)</x:f>
        <x:v>0.04807692307692308</x:v>
      </x:c>
      <x:c r="Q896" s="15" t="n">
        <x:f>IF(E896=0,"해당 없음",I896/E896)</x:f>
        <x:v>0.019230769230769232</x:v>
      </x:c>
      <x:c r="R896" s="15" t="n">
        <x:f>IF(E896=0,"해당 없음",J896/E896)</x:f>
        <x:v>0</x:v>
      </x:c>
      <x:c r="S896" s="15" t="n">
        <x:f>IF(E896=0,"해당 없음",K896/E896)</x:f>
        <x:v>0.028846153846153848</x:v>
      </x:c>
      <x:c r="T896" s="15" t="n">
        <x:f>IF(E896=0,"해당 없음",L896/E896)</x:f>
        <x:v>0.3076923076923077</x:v>
      </x:c>
      <x:c r="U896" s="15" t="n">
        <x:f>IF(E896=0,"해당 없음",M896/E896)</x:f>
        <x:v>0.3173076923076923</x:v>
      </x:c>
      <x:c r="V896" s="16" t="n">
        <x:f>E896/5</x:f>
        <x:v>20.8</x:v>
      </x:c>
    </x:row>
    <x:row r="897" ht="22" customHeight="1">
      <x:c r="A897" s="2" t="n">
        <x:v>446</x:v>
      </x:c>
      <x:c r="B897" s="2" t="str">
        <x:v>NAVY</x:v>
      </x:c>
      <x:c r="C897" s="2" t="str">
        <x:v>0만</x:v>
      </x:c>
      <x:c r="D897" s="2" t="str">
        <x:v>200만</x:v>
      </x:c>
      <x:c r="E897" s="14" t="n">
        <x:f>SUM(F897:M897)</x:f>
        <x:v>105</x:v>
      </x:c>
      <x:c r="F897" s="14" t="n">
        <x:v>11</x:v>
      </x:c>
      <x:c r="G897" s="14" t="n">
        <x:v>17</x:v>
      </x:c>
      <x:c r="H897" s="14" t="n">
        <x:v>15</x:v>
      </x:c>
      <x:c r="I897" s="14" t="n">
        <x:v>18</x:v>
      </x:c>
      <x:c r="J897" s="14" t="n">
        <x:v>14</x:v>
      </x:c>
      <x:c r="K897" s="14" t="n">
        <x:v>10</x:v>
      </x:c>
      <x:c r="L897" s="14" t="n">
        <x:v>12</x:v>
      </x:c>
      <x:c r="M897" s="14" t="n">
        <x:v>8</x:v>
      </x:c>
      <x:c r="N897" s="15" t="n">
        <x:f>IF(E897=0,"해당 없음",F897/E897)</x:f>
        <x:v>0.10476190476190476</x:v>
      </x:c>
      <x:c r="O897" s="15" t="n">
        <x:f>IF(E897=0,"해당 없음",G897/E897)</x:f>
        <x:v>0.1619047619047619</x:v>
      </x:c>
      <x:c r="P897" s="15" t="n">
        <x:f>IF(E897=0,"해당 없음",H897/E897)</x:f>
        <x:v>0.14285714285714285</x:v>
      </x:c>
      <x:c r="Q897" s="15" t="n">
        <x:f>IF(E897=0,"해당 없음",I897/E897)</x:f>
        <x:v>0.17142857142857143</x:v>
      </x:c>
      <x:c r="R897" s="15" t="n">
        <x:f>IF(E897=0,"해당 없음",J897/E897)</x:f>
        <x:v>0.13333333333333333</x:v>
      </x:c>
      <x:c r="S897" s="15" t="n">
        <x:f>IF(E897=0,"해당 없음",K897/E897)</x:f>
        <x:v>0.09523809523809523</x:v>
      </x:c>
      <x:c r="T897" s="15" t="n">
        <x:f>IF(E897=0,"해당 없음",L897/E897)</x:f>
        <x:v>0.11428571428571428</x:v>
      </x:c>
      <x:c r="U897" s="15" t="n">
        <x:f>IF(E897=0,"해당 없음",M897/E897)</x:f>
        <x:v>0.0761904761904762</x:v>
      </x:c>
      <x:c r="V897" s="16" t="n">
        <x:f>E897/5</x:f>
        <x:v>21</x:v>
      </x:c>
    </x:row>
    <x:row r="898" ht="22" customHeight="1">
      <x:c r="A898" s="2" t="n">
        <x:v>447</x:v>
      </x:c>
      <x:c r="B898" s="2" t="str">
        <x:v>RED</x:v>
      </x:c>
      <x:c r="C898" s="2" t="str">
        <x:v>0만</x:v>
      </x:c>
      <x:c r="D898" s="2" t="str">
        <x:v>200만</x:v>
      </x:c>
      <x:c r="E898" s="14" t="n">
        <x:f>SUM(F898:M898)</x:f>
        <x:v>104</x:v>
      </x:c>
      <x:c r="F898" s="14" t="n">
        <x:v>8</x:v>
      </x:c>
      <x:c r="G898" s="14" t="n">
        <x:v>12</x:v>
      </x:c>
      <x:c r="H898" s="14" t="n">
        <x:v>17</x:v>
      </x:c>
      <x:c r="I898" s="14" t="n">
        <x:v>17</x:v>
      </x:c>
      <x:c r="J898" s="14" t="n">
        <x:v>11</x:v>
      </x:c>
      <x:c r="K898" s="14" t="n">
        <x:v>18</x:v>
      </x:c>
      <x:c r="L898" s="14" t="n">
        <x:v>8</x:v>
      </x:c>
      <x:c r="M898" s="14" t="n">
        <x:v>13</x:v>
      </x:c>
      <x:c r="N898" s="15" t="n">
        <x:f>IF(E898=0,"해당 없음",F898/E898)</x:f>
        <x:v>0.07692307692307693</x:v>
      </x:c>
      <x:c r="O898" s="15" t="n">
        <x:f>IF(E898=0,"해당 없음",G898/E898)</x:f>
        <x:v>0.11538461538461539</x:v>
      </x:c>
      <x:c r="P898" s="15" t="n">
        <x:f>IF(E898=0,"해당 없음",H898/E898)</x:f>
        <x:v>0.16346153846153846</x:v>
      </x:c>
      <x:c r="Q898" s="15" t="n">
        <x:f>IF(E898=0,"해당 없음",I898/E898)</x:f>
        <x:v>0.16346153846153846</x:v>
      </x:c>
      <x:c r="R898" s="15" t="n">
        <x:f>IF(E898=0,"해당 없음",J898/E898)</x:f>
        <x:v>0.10576923076923077</x:v>
      </x:c>
      <x:c r="S898" s="15" t="n">
        <x:f>IF(E898=0,"해당 없음",K898/E898)</x:f>
        <x:v>0.17307692307692307</x:v>
      </x:c>
      <x:c r="T898" s="15" t="n">
        <x:f>IF(E898=0,"해당 없음",L898/E898)</x:f>
        <x:v>0.07692307692307693</x:v>
      </x:c>
      <x:c r="U898" s="15" t="n">
        <x:f>IF(E898=0,"해당 없음",M898/E898)</x:f>
        <x:v>0.125</x:v>
      </x:c>
      <x:c r="V898" s="16" t="n">
        <x:f>E898/5</x:f>
        <x:v>20.8</x:v>
      </x:c>
    </x:row>
    <x:row r="899" ht="22" customHeight="1">
      <x:c r="A899" s="2" t="n">
        <x:v>447</x:v>
      </x:c>
      <x:c r="B899" s="2" t="str">
        <x:v>NAVY</x:v>
      </x:c>
      <x:c r="C899" s="2" t="str">
        <x:v>200만</x:v>
      </x:c>
      <x:c r="D899" s="2" t="str">
        <x:v>0만</x:v>
      </x:c>
      <x:c r="E899" s="14" t="n">
        <x:f>SUM(F899:M899)</x:f>
        <x:v>105</x:v>
      </x:c>
      <x:c r="F899" s="14" t="n">
        <x:v>4</x:v>
      </x:c>
      <x:c r="G899" s="14" t="n">
        <x:v>27</x:v>
      </x:c>
      <x:c r="H899" s="14" t="n">
        <x:v>3</x:v>
      </x:c>
      <x:c r="I899" s="14" t="n">
        <x:v>2</x:v>
      </x:c>
      <x:c r="J899" s="14" t="n">
        <x:v>0</x:v>
      </x:c>
      <x:c r="K899" s="14" t="n">
        <x:v>7</x:v>
      </x:c>
      <x:c r="L899" s="14" t="n">
        <x:v>37</x:v>
      </x:c>
      <x:c r="M899" s="14" t="n">
        <x:v>25</x:v>
      </x:c>
      <x:c r="N899" s="15" t="n">
        <x:f>IF(E899=0,"해당 없음",F899/E899)</x:f>
        <x:v>0.0380952380952381</x:v>
      </x:c>
      <x:c r="O899" s="15" t="n">
        <x:f>IF(E899=0,"해당 없음",G899/E899)</x:f>
        <x:v>0.2571428571428571</x:v>
      </x:c>
      <x:c r="P899" s="15" t="n">
        <x:f>IF(E899=0,"해당 없음",H899/E899)</x:f>
        <x:v>0.02857142857142857</x:v>
      </x:c>
      <x:c r="Q899" s="15" t="n">
        <x:f>IF(E899=0,"해당 없음",I899/E899)</x:f>
        <x:v>0.01904761904761905</x:v>
      </x:c>
      <x:c r="R899" s="15" t="n">
        <x:f>IF(E899=0,"해당 없음",J899/E899)</x:f>
        <x:v>0</x:v>
      </x:c>
      <x:c r="S899" s="15" t="n">
        <x:f>IF(E899=0,"해당 없음",K899/E899)</x:f>
        <x:v>0.06666666666666667</x:v>
      </x:c>
      <x:c r="T899" s="15" t="n">
        <x:f>IF(E899=0,"해당 없음",L899/E899)</x:f>
        <x:v>0.3523809523809524</x:v>
      </x:c>
      <x:c r="U899" s="15" t="n">
        <x:f>IF(E899=0,"해당 없음",M899/E899)</x:f>
        <x:v>0.23809523809523808</x:v>
      </x:c>
      <x:c r="V899" s="16" t="n">
        <x:f>E899/5</x:f>
        <x:v>21</x:v>
      </x:c>
    </x:row>
    <x:row r="900" ht="22" customHeight="1">
      <x:c r="A900" s="2" t="n">
        <x:v>448</x:v>
      </x:c>
      <x:c r="B900" s="2" t="str">
        <x:v>RED</x:v>
      </x:c>
      <x:c r="C900" s="2" t="str">
        <x:v>200만</x:v>
      </x:c>
      <x:c r="D900" s="2" t="str">
        <x:v>0만</x:v>
      </x:c>
      <x:c r="E900" s="14" t="n">
        <x:f>SUM(F900:M900)</x:f>
        <x:v>104</x:v>
      </x:c>
      <x:c r="F900" s="14" t="n">
        <x:v>4</x:v>
      </x:c>
      <x:c r="G900" s="14" t="n">
        <x:v>23</x:v>
      </x:c>
      <x:c r="H900" s="14" t="n">
        <x:v>7</x:v>
      </x:c>
      <x:c r="I900" s="14" t="n">
        <x:v>3</x:v>
      </x:c>
      <x:c r="J900" s="14" t="n">
        <x:v>3</x:v>
      </x:c>
      <x:c r="K900" s="14" t="n">
        <x:v>7</x:v>
      </x:c>
      <x:c r="L900" s="14" t="n">
        <x:v>38</x:v>
      </x:c>
      <x:c r="M900" s="14" t="n">
        <x:v>19</x:v>
      </x:c>
      <x:c r="N900" s="15" t="n">
        <x:f>IF(E900=0,"해당 없음",F900/E900)</x:f>
        <x:v>0.038461538461538464</x:v>
      </x:c>
      <x:c r="O900" s="15" t="n">
        <x:f>IF(E900=0,"해당 없음",G900/E900)</x:f>
        <x:v>0.22115384615384615</x:v>
      </x:c>
      <x:c r="P900" s="15" t="n">
        <x:f>IF(E900=0,"해당 없음",H900/E900)</x:f>
        <x:v>0.0673076923076923</x:v>
      </x:c>
      <x:c r="Q900" s="15" t="n">
        <x:f>IF(E900=0,"해당 없음",I900/E900)</x:f>
        <x:v>0.028846153846153848</x:v>
      </x:c>
      <x:c r="R900" s="15" t="n">
        <x:f>IF(E900=0,"해당 없음",J900/E900)</x:f>
        <x:v>0.028846153846153848</x:v>
      </x:c>
      <x:c r="S900" s="15" t="n">
        <x:f>IF(E900=0,"해당 없음",K900/E900)</x:f>
        <x:v>0.0673076923076923</x:v>
      </x:c>
      <x:c r="T900" s="15" t="n">
        <x:f>IF(E900=0,"해당 없음",L900/E900)</x:f>
        <x:v>0.36538461538461536</x:v>
      </x:c>
      <x:c r="U900" s="15" t="n">
        <x:f>IF(E900=0,"해당 없음",M900/E900)</x:f>
        <x:v>0.18269230769230768</x:v>
      </x:c>
      <x:c r="V900" s="16" t="n">
        <x:f>E900/5</x:f>
        <x:v>20.8</x:v>
      </x:c>
    </x:row>
    <x:row r="901" ht="22" customHeight="1">
      <x:c r="A901" s="2" t="n">
        <x:v>448</x:v>
      </x:c>
      <x:c r="B901" s="2" t="str">
        <x:v>NAVY</x:v>
      </x:c>
      <x:c r="C901" s="2" t="str">
        <x:v>0만</x:v>
      </x:c>
      <x:c r="D901" s="2" t="str">
        <x:v>200만</x:v>
      </x:c>
      <x:c r="E901" s="14" t="n">
        <x:f>SUM(F901:M901)</x:f>
        <x:v>103</x:v>
      </x:c>
      <x:c r="F901" s="14" t="n">
        <x:v>8</x:v>
      </x:c>
      <x:c r="G901" s="14" t="n">
        <x:v>13</x:v>
      </x:c>
      <x:c r="H901" s="14" t="n">
        <x:v>16</x:v>
      </x:c>
      <x:c r="I901" s="14" t="n">
        <x:v>17</x:v>
      </x:c>
      <x:c r="J901" s="14" t="n">
        <x:v>10</x:v>
      </x:c>
      <x:c r="K901" s="14" t="n">
        <x:v>18</x:v>
      </x:c>
      <x:c r="L901" s="14" t="n">
        <x:v>8</x:v>
      </x:c>
      <x:c r="M901" s="14" t="n">
        <x:v>13</x:v>
      </x:c>
      <x:c r="N901" s="15" t="n">
        <x:f>IF(E901=0,"해당 없음",F901/E901)</x:f>
        <x:v>0.07766990291262135</x:v>
      </x:c>
      <x:c r="O901" s="15" t="n">
        <x:f>IF(E901=0,"해당 없음",G901/E901)</x:f>
        <x:v>0.1262135922330097</x:v>
      </x:c>
      <x:c r="P901" s="15" t="n">
        <x:f>IF(E901=0,"해당 없음",H901/E901)</x:f>
        <x:v>0.1553398058252427</x:v>
      </x:c>
      <x:c r="Q901" s="15" t="n">
        <x:f>IF(E901=0,"해당 없음",I901/E901)</x:f>
        <x:v>0.1650485436893204</x:v>
      </x:c>
      <x:c r="R901" s="15" t="n">
        <x:f>IF(E901=0,"해당 없음",J901/E901)</x:f>
        <x:v>0.0970873786407767</x:v>
      </x:c>
      <x:c r="S901" s="15" t="n">
        <x:f>IF(E901=0,"해당 없음",K901/E901)</x:f>
        <x:v>0.17475728155339806</x:v>
      </x:c>
      <x:c r="T901" s="15" t="n">
        <x:f>IF(E901=0,"해당 없음",L901/E901)</x:f>
        <x:v>0.07766990291262135</x:v>
      </x:c>
      <x:c r="U901" s="15" t="n">
        <x:f>IF(E901=0,"해당 없음",M901/E901)</x:f>
        <x:v>0.1262135922330097</x:v>
      </x:c>
      <x:c r="V901" s="16" t="n">
        <x:f>E901/5</x:f>
        <x:v>20.6</x:v>
      </x:c>
    </x:row>
    <x:row r="902" ht="22" customHeight="1">
      <x:c r="A902" s="2" t="n">
        <x:v>449</x:v>
      </x:c>
      <x:c r="B902" s="2" t="str">
        <x:v>RED</x:v>
      </x:c>
      <x:c r="C902" s="2" t="str">
        <x:v>0만</x:v>
      </x:c>
      <x:c r="D902" s="2" t="str">
        <x:v>200만</x:v>
      </x:c>
      <x:c r="E902" s="14" t="n">
        <x:f>SUM(F902:M902)</x:f>
        <x:v>106</x:v>
      </x:c>
      <x:c r="F902" s="14" t="n">
        <x:v>9</x:v>
      </x:c>
      <x:c r="G902" s="14" t="n">
        <x:v>9</x:v>
      </x:c>
      <x:c r="H902" s="14" t="n">
        <x:v>14</x:v>
      </x:c>
      <x:c r="I902" s="14" t="n">
        <x:v>11</x:v>
      </x:c>
      <x:c r="J902" s="14" t="n">
        <x:v>13</x:v>
      </x:c>
      <x:c r="K902" s="14" t="n">
        <x:v>17</x:v>
      </x:c>
      <x:c r="L902" s="14" t="n">
        <x:v>15</x:v>
      </x:c>
      <x:c r="M902" s="14" t="n">
        <x:v>18</x:v>
      </x:c>
      <x:c r="N902" s="15" t="n">
        <x:f>IF(E902=0,"해당 없음",F902/E902)</x:f>
        <x:v>0.08490566037735849</x:v>
      </x:c>
      <x:c r="O902" s="15" t="n">
        <x:f>IF(E902=0,"해당 없음",G902/E902)</x:f>
        <x:v>0.08490566037735849</x:v>
      </x:c>
      <x:c r="P902" s="15" t="n">
        <x:f>IF(E902=0,"해당 없음",H902/E902)</x:f>
        <x:v>0.1320754716981132</x:v>
      </x:c>
      <x:c r="Q902" s="15" t="n">
        <x:f>IF(E902=0,"해당 없음",I902/E902)</x:f>
        <x:v>0.10377358490566038</x:v>
      </x:c>
      <x:c r="R902" s="15" t="n">
        <x:f>IF(E902=0,"해당 없음",J902/E902)</x:f>
        <x:v>0.12264150943396226</x:v>
      </x:c>
      <x:c r="S902" s="15" t="n">
        <x:f>IF(E902=0,"해당 없음",K902/E902)</x:f>
        <x:v>0.16037735849056603</x:v>
      </x:c>
      <x:c r="T902" s="15" t="n">
        <x:f>IF(E902=0,"해당 없음",L902/E902)</x:f>
        <x:v>0.14150943396226415</x:v>
      </x:c>
      <x:c r="U902" s="15" t="n">
        <x:f>IF(E902=0,"해당 없음",M902/E902)</x:f>
        <x:v>0.16981132075471697</x:v>
      </x:c>
      <x:c r="V902" s="16" t="n">
        <x:f>E902/5</x:f>
        <x:v>21.2</x:v>
      </x:c>
    </x:row>
    <x:row r="903" ht="22" customHeight="1">
      <x:c r="A903" s="2" t="n">
        <x:v>449</x:v>
      </x:c>
      <x:c r="B903" s="2" t="str">
        <x:v>NAVY</x:v>
      </x:c>
      <x:c r="C903" s="2" t="str">
        <x:v>200만</x:v>
      </x:c>
      <x:c r="D903" s="2" t="str">
        <x:v>0만</x:v>
      </x:c>
      <x:c r="E903" s="14" t="n">
        <x:f>SUM(F903:M903)</x:f>
        <x:v>106</x:v>
      </x:c>
      <x:c r="F903" s="14" t="n">
        <x:v>4</x:v>
      </x:c>
      <x:c r="G903" s="14" t="n">
        <x:v>15</x:v>
      </x:c>
      <x:c r="H903" s="14" t="n">
        <x:v>7</x:v>
      </x:c>
      <x:c r="I903" s="14" t="n">
        <x:v>6</x:v>
      </x:c>
      <x:c r="J903" s="14" t="n">
        <x:v>3</x:v>
      </x:c>
      <x:c r="K903" s="14" t="n">
        <x:v>6</x:v>
      </x:c>
      <x:c r="L903" s="14" t="n">
        <x:v>40</x:v>
      </x:c>
      <x:c r="M903" s="14" t="n">
        <x:v>25</x:v>
      </x:c>
      <x:c r="N903" s="15" t="n">
        <x:f>IF(E903=0,"해당 없음",F903/E903)</x:f>
        <x:v>0.03773584905660377</x:v>
      </x:c>
      <x:c r="O903" s="15" t="n">
        <x:f>IF(E903=0,"해당 없음",G903/E903)</x:f>
        <x:v>0.14150943396226415</x:v>
      </x:c>
      <x:c r="P903" s="15" t="n">
        <x:f>IF(E903=0,"해당 없음",H903/E903)</x:f>
        <x:v>0.0660377358490566</x:v>
      </x:c>
      <x:c r="Q903" s="15" t="n">
        <x:f>IF(E903=0,"해당 없음",I903/E903)</x:f>
        <x:v>0.05660377358490566</x:v>
      </x:c>
      <x:c r="R903" s="15" t="n">
        <x:f>IF(E903=0,"해당 없음",J903/E903)</x:f>
        <x:v>0.02830188679245283</x:v>
      </x:c>
      <x:c r="S903" s="15" t="n">
        <x:f>IF(E903=0,"해당 없음",K903/E903)</x:f>
        <x:v>0.05660377358490566</x:v>
      </x:c>
      <x:c r="T903" s="15" t="n">
        <x:f>IF(E903=0,"해당 없음",L903/E903)</x:f>
        <x:v>0.37735849056603776</x:v>
      </x:c>
      <x:c r="U903" s="15" t="n">
        <x:f>IF(E903=0,"해당 없음",M903/E903)</x:f>
        <x:v>0.2358490566037736</x:v>
      </x:c>
      <x:c r="V903" s="16" t="n">
        <x:f>E903/5</x:f>
        <x:v>21.2</x:v>
      </x:c>
    </x:row>
    <x:row r="904" ht="22" customHeight="1">
      <x:c r="A904" s="2" t="n">
        <x:v>450</x:v>
      </x:c>
      <x:c r="B904" s="2" t="str">
        <x:v>RED</x:v>
      </x:c>
      <x:c r="C904" s="2" t="str">
        <x:v>200만</x:v>
      </x:c>
      <x:c r="D904" s="2" t="str">
        <x:v>0만</x:v>
      </x:c>
      <x:c r="E904" s="14" t="n">
        <x:f>SUM(F904:M904)</x:f>
        <x:v>104</x:v>
      </x:c>
      <x:c r="F904" s="14" t="n">
        <x:v>8</x:v>
      </x:c>
      <x:c r="G904" s="14" t="n">
        <x:v>20</x:v>
      </x:c>
      <x:c r="H904" s="14" t="n">
        <x:v>3</x:v>
      </x:c>
      <x:c r="I904" s="14" t="n">
        <x:v>3</x:v>
      </x:c>
      <x:c r="J904" s="14" t="n">
        <x:v>0</x:v>
      </x:c>
      <x:c r="K904" s="14" t="n">
        <x:v>10</x:v>
      </x:c>
      <x:c r="L904" s="14" t="n">
        <x:v>36</x:v>
      </x:c>
      <x:c r="M904" s="14" t="n">
        <x:v>24</x:v>
      </x:c>
      <x:c r="N904" s="15" t="n">
        <x:f>IF(E904=0,"해당 없음",F904/E904)</x:f>
        <x:v>0.07692307692307693</x:v>
      </x:c>
      <x:c r="O904" s="15" t="n">
        <x:f>IF(E904=0,"해당 없음",G904/E904)</x:f>
        <x:v>0.19230769230769232</x:v>
      </x:c>
      <x:c r="P904" s="15" t="n">
        <x:f>IF(E904=0,"해당 없음",H904/E904)</x:f>
        <x:v>0.028846153846153848</x:v>
      </x:c>
      <x:c r="Q904" s="15" t="n">
        <x:f>IF(E904=0,"해당 없음",I904/E904)</x:f>
        <x:v>0.028846153846153848</x:v>
      </x:c>
      <x:c r="R904" s="15" t="n">
        <x:f>IF(E904=0,"해당 없음",J904/E904)</x:f>
        <x:v>0</x:v>
      </x:c>
      <x:c r="S904" s="15" t="n">
        <x:f>IF(E904=0,"해당 없음",K904/E904)</x:f>
        <x:v>0.09615384615384616</x:v>
      </x:c>
      <x:c r="T904" s="15" t="n">
        <x:f>IF(E904=0,"해당 없음",L904/E904)</x:f>
        <x:v>0.34615384615384615</x:v>
      </x:c>
      <x:c r="U904" s="15" t="n">
        <x:f>IF(E904=0,"해당 없음",M904/E904)</x:f>
        <x:v>0.23076923076923078</x:v>
      </x:c>
      <x:c r="V904" s="16" t="n">
        <x:f>E904/5</x:f>
        <x:v>20.8</x:v>
      </x:c>
    </x:row>
    <x:row r="905" ht="22" customHeight="1">
      <x:c r="A905" s="2" t="n">
        <x:v>450</x:v>
      </x:c>
      <x:c r="B905" s="2" t="str">
        <x:v>NAVY</x:v>
      </x:c>
      <x:c r="C905" s="2" t="str">
        <x:v>0만</x:v>
      </x:c>
      <x:c r="D905" s="2" t="str">
        <x:v>200만</x:v>
      </x:c>
      <x:c r="E905" s="14" t="n">
        <x:f>SUM(F905:M905)</x:f>
        <x:v>106</x:v>
      </x:c>
      <x:c r="F905" s="14" t="n">
        <x:v>9</x:v>
      </x:c>
      <x:c r="G905" s="14" t="n">
        <x:v>9</x:v>
      </x:c>
      <x:c r="H905" s="14" t="n">
        <x:v>14</x:v>
      </x:c>
      <x:c r="I905" s="14" t="n">
        <x:v>11</x:v>
      </x:c>
      <x:c r="J905" s="14" t="n">
        <x:v>13</x:v>
      </x:c>
      <x:c r="K905" s="14" t="n">
        <x:v>16</x:v>
      </x:c>
      <x:c r="L905" s="14" t="n">
        <x:v>16</x:v>
      </x:c>
      <x:c r="M905" s="14" t="n">
        <x:v>18</x:v>
      </x:c>
      <x:c r="N905" s="15" t="n">
        <x:f>IF(E905=0,"해당 없음",F905/E905)</x:f>
        <x:v>0.08490566037735849</x:v>
      </x:c>
      <x:c r="O905" s="15" t="n">
        <x:f>IF(E905=0,"해당 없음",G905/E905)</x:f>
        <x:v>0.08490566037735849</x:v>
      </x:c>
      <x:c r="P905" s="15" t="n">
        <x:f>IF(E905=0,"해당 없음",H905/E905)</x:f>
        <x:v>0.1320754716981132</x:v>
      </x:c>
      <x:c r="Q905" s="15" t="n">
        <x:f>IF(E905=0,"해당 없음",I905/E905)</x:f>
        <x:v>0.10377358490566038</x:v>
      </x:c>
      <x:c r="R905" s="15" t="n">
        <x:f>IF(E905=0,"해당 없음",J905/E905)</x:f>
        <x:v>0.12264150943396226</x:v>
      </x:c>
      <x:c r="S905" s="15" t="n">
        <x:f>IF(E905=0,"해당 없음",K905/E905)</x:f>
        <x:v>0.1509433962264151</x:v>
      </x:c>
      <x:c r="T905" s="15" t="n">
        <x:f>IF(E905=0,"해당 없음",L905/E905)</x:f>
        <x:v>0.1509433962264151</x:v>
      </x:c>
      <x:c r="U905" s="15" t="n">
        <x:f>IF(E905=0,"해당 없음",M905/E905)</x:f>
        <x:v>0.16981132075471697</x:v>
      </x:c>
      <x:c r="V905" s="16" t="n">
        <x:f>E905/5</x:f>
        <x:v>21.2</x:v>
      </x:c>
    </x:row>
    <x:row r="906" ht="22" customHeight="1">
      <x:c r="A906" s="2" t="n">
        <x:v>451</x:v>
      </x:c>
      <x:c r="B906" s="2" t="str">
        <x:v>RED</x:v>
      </x:c>
      <x:c r="C906" s="2" t="str">
        <x:v>0만</x:v>
      </x:c>
      <x:c r="D906" s="2" t="str">
        <x:v>200만</x:v>
      </x:c>
      <x:c r="E906" s="14" t="n">
        <x:f>SUM(F906:M906)</x:f>
        <x:v>104</x:v>
      </x:c>
      <x:c r="F906" s="14" t="n">
        <x:v>14</x:v>
      </x:c>
      <x:c r="G906" s="14" t="n">
        <x:v>9</x:v>
      </x:c>
      <x:c r="H906" s="14" t="n">
        <x:v>10</x:v>
      </x:c>
      <x:c r="I906" s="14" t="n">
        <x:v>11</x:v>
      </x:c>
      <x:c r="J906" s="14" t="n">
        <x:v>18</x:v>
      </x:c>
      <x:c r="K906" s="14" t="n">
        <x:v>14</x:v>
      </x:c>
      <x:c r="L906" s="14" t="n">
        <x:v>10</x:v>
      </x:c>
      <x:c r="M906" s="14" t="n">
        <x:v>18</x:v>
      </x:c>
      <x:c r="N906" s="15" t="n">
        <x:f>IF(E906=0,"해당 없음",F906/E906)</x:f>
        <x:v>0.1346153846153846</x:v>
      </x:c>
      <x:c r="O906" s="15" t="n">
        <x:f>IF(E906=0,"해당 없음",G906/E906)</x:f>
        <x:v>0.08653846153846154</x:v>
      </x:c>
      <x:c r="P906" s="15" t="n">
        <x:f>IF(E906=0,"해당 없음",H906/E906)</x:f>
        <x:v>0.09615384615384616</x:v>
      </x:c>
      <x:c r="Q906" s="15" t="n">
        <x:f>IF(E906=0,"해당 없음",I906/E906)</x:f>
        <x:v>0.10576923076923077</x:v>
      </x:c>
      <x:c r="R906" s="15" t="n">
        <x:f>IF(E906=0,"해당 없음",J906/E906)</x:f>
        <x:v>0.17307692307692307</x:v>
      </x:c>
      <x:c r="S906" s="15" t="n">
        <x:f>IF(E906=0,"해당 없음",K906/E906)</x:f>
        <x:v>0.1346153846153846</x:v>
      </x:c>
      <x:c r="T906" s="15" t="n">
        <x:f>IF(E906=0,"해당 없음",L906/E906)</x:f>
        <x:v>0.09615384615384616</x:v>
      </x:c>
      <x:c r="U906" s="15" t="n">
        <x:f>IF(E906=0,"해당 없음",M906/E906)</x:f>
        <x:v>0.17307692307692307</x:v>
      </x:c>
      <x:c r="V906" s="16" t="n">
        <x:f>E906/5</x:f>
        <x:v>20.8</x:v>
      </x:c>
    </x:row>
    <x:row r="907" ht="22" customHeight="1">
      <x:c r="A907" s="2" t="n">
        <x:v>451</x:v>
      </x:c>
      <x:c r="B907" s="2" t="str">
        <x:v>NAVY</x:v>
      </x:c>
      <x:c r="C907" s="2" t="str">
        <x:v>200만</x:v>
      </x:c>
      <x:c r="D907" s="2" t="str">
        <x:v>0만</x:v>
      </x:c>
      <x:c r="E907" s="14" t="n">
        <x:f>SUM(F907:M907)</x:f>
        <x:v>102</x:v>
      </x:c>
      <x:c r="F907" s="14" t="n">
        <x:v>1</x:v>
      </x:c>
      <x:c r="G907" s="14" t="n">
        <x:v>20</x:v>
      </x:c>
      <x:c r="H907" s="14" t="n">
        <x:v>3</x:v>
      </x:c>
      <x:c r="I907" s="14" t="n">
        <x:v>3</x:v>
      </x:c>
      <x:c r="J907" s="14" t="n">
        <x:v>3</x:v>
      </x:c>
      <x:c r="K907" s="14" t="n">
        <x:v>6</x:v>
      </x:c>
      <x:c r="L907" s="14" t="n">
        <x:v>35</x:v>
      </x:c>
      <x:c r="M907" s="14" t="n">
        <x:v>31</x:v>
      </x:c>
      <x:c r="N907" s="15" t="n">
        <x:f>IF(E907=0,"해당 없음",F907/E907)</x:f>
        <x:v>0.00980392156862745</x:v>
      </x:c>
      <x:c r="O907" s="15" t="n">
        <x:f>IF(E907=0,"해당 없음",G907/E907)</x:f>
        <x:v>0.19607843137254902</x:v>
      </x:c>
      <x:c r="P907" s="15" t="n">
        <x:f>IF(E907=0,"해당 없음",H907/E907)</x:f>
        <x:v>0.029411764705882353</x:v>
      </x:c>
      <x:c r="Q907" s="15" t="n">
        <x:f>IF(E907=0,"해당 없음",I907/E907)</x:f>
        <x:v>0.029411764705882353</x:v>
      </x:c>
      <x:c r="R907" s="15" t="n">
        <x:f>IF(E907=0,"해당 없음",J907/E907)</x:f>
        <x:v>0.029411764705882353</x:v>
      </x:c>
      <x:c r="S907" s="15" t="n">
        <x:f>IF(E907=0,"해당 없음",K907/E907)</x:f>
        <x:v>0.058823529411764705</x:v>
      </x:c>
      <x:c r="T907" s="15" t="n">
        <x:f>IF(E907=0,"해당 없음",L907/E907)</x:f>
        <x:v>0.3431372549019608</x:v>
      </x:c>
      <x:c r="U907" s="15" t="n">
        <x:f>IF(E907=0,"해당 없음",M907/E907)</x:f>
        <x:v>0.30392156862745096</x:v>
      </x:c>
      <x:c r="V907" s="16" t="n">
        <x:f>E907/5</x:f>
        <x:v>20.4</x:v>
      </x:c>
    </x:row>
    <x:row r="908" ht="22" customHeight="1">
      <x:c r="A908" s="2" t="n">
        <x:v>452</x:v>
      </x:c>
      <x:c r="B908" s="2" t="str">
        <x:v>RED</x:v>
      </x:c>
      <x:c r="C908" s="2" t="str">
        <x:v>200만</x:v>
      </x:c>
      <x:c r="D908" s="2" t="str">
        <x:v>0만</x:v>
      </x:c>
      <x:c r="E908" s="14" t="n">
        <x:f>SUM(F908:M908)</x:f>
        <x:v>105</x:v>
      </x:c>
      <x:c r="F908" s="14" t="n">
        <x:v>5</x:v>
      </x:c>
      <x:c r="G908" s="14" t="n">
        <x:v>16</x:v>
      </x:c>
      <x:c r="H908" s="14" t="n">
        <x:v>5</x:v>
      </x:c>
      <x:c r="I908" s="14" t="n">
        <x:v>3</x:v>
      </x:c>
      <x:c r="J908" s="14" t="n">
        <x:v>2</x:v>
      </x:c>
      <x:c r="K908" s="14" t="n">
        <x:v>5</x:v>
      </x:c>
      <x:c r="L908" s="14" t="n">
        <x:v>35</x:v>
      </x:c>
      <x:c r="M908" s="14" t="n">
        <x:v>34</x:v>
      </x:c>
      <x:c r="N908" s="15" t="n">
        <x:f>IF(E908=0,"해당 없음",F908/E908)</x:f>
        <x:v>0.047619047619047616</x:v>
      </x:c>
      <x:c r="O908" s="15" t="n">
        <x:f>IF(E908=0,"해당 없음",G908/E908)</x:f>
        <x:v>0.1523809523809524</x:v>
      </x:c>
      <x:c r="P908" s="15" t="n">
        <x:f>IF(E908=0,"해당 없음",H908/E908)</x:f>
        <x:v>0.047619047619047616</x:v>
      </x:c>
      <x:c r="Q908" s="15" t="n">
        <x:f>IF(E908=0,"해당 없음",I908/E908)</x:f>
        <x:v>0.02857142857142857</x:v>
      </x:c>
      <x:c r="R908" s="15" t="n">
        <x:f>IF(E908=0,"해당 없음",J908/E908)</x:f>
        <x:v>0.01904761904761905</x:v>
      </x:c>
      <x:c r="S908" s="15" t="n">
        <x:f>IF(E908=0,"해당 없음",K908/E908)</x:f>
        <x:v>0.047619047619047616</x:v>
      </x:c>
      <x:c r="T908" s="15" t="n">
        <x:f>IF(E908=0,"해당 없음",L908/E908)</x:f>
        <x:v>0.3333333333333333</x:v>
      </x:c>
      <x:c r="U908" s="15" t="n">
        <x:f>IF(E908=0,"해당 없음",M908/E908)</x:f>
        <x:v>0.3238095238095238</x:v>
      </x:c>
      <x:c r="V908" s="16" t="n">
        <x:f>E908/5</x:f>
        <x:v>21</x:v>
      </x:c>
    </x:row>
    <x:row r="909" ht="22" customHeight="1">
      <x:c r="A909" s="2" t="n">
        <x:v>452</x:v>
      </x:c>
      <x:c r="B909" s="2" t="str">
        <x:v>NAVY</x:v>
      </x:c>
      <x:c r="C909" s="2" t="str">
        <x:v>0만</x:v>
      </x:c>
      <x:c r="D909" s="2" t="str">
        <x:v>200만</x:v>
      </x:c>
      <x:c r="E909" s="14" t="n">
        <x:f>SUM(F909:M909)</x:f>
        <x:v>105</x:v>
      </x:c>
      <x:c r="F909" s="14" t="n">
        <x:v>14</x:v>
      </x:c>
      <x:c r="G909" s="14" t="n">
        <x:v>9</x:v>
      </x:c>
      <x:c r="H909" s="14" t="n">
        <x:v>10</x:v>
      </x:c>
      <x:c r="I909" s="14" t="n">
        <x:v>11</x:v>
      </x:c>
      <x:c r="J909" s="14" t="n">
        <x:v>18</x:v>
      </x:c>
      <x:c r="K909" s="14" t="n">
        <x:v>15</x:v>
      </x:c>
      <x:c r="L909" s="14" t="n">
        <x:v>10</x:v>
      </x:c>
      <x:c r="M909" s="14" t="n">
        <x:v>18</x:v>
      </x:c>
      <x:c r="N909" s="15" t="n">
        <x:f>IF(E909=0,"해당 없음",F909/E909)</x:f>
        <x:v>0.13333333333333333</x:v>
      </x:c>
      <x:c r="O909" s="15" t="n">
        <x:f>IF(E909=0,"해당 없음",G909/E909)</x:f>
        <x:v>0.08571428571428572</x:v>
      </x:c>
      <x:c r="P909" s="15" t="n">
        <x:f>IF(E909=0,"해당 없음",H909/E909)</x:f>
        <x:v>0.09523809523809523</x:v>
      </x:c>
      <x:c r="Q909" s="15" t="n">
        <x:f>IF(E909=0,"해당 없음",I909/E909)</x:f>
        <x:v>0.10476190476190476</x:v>
      </x:c>
      <x:c r="R909" s="15" t="n">
        <x:f>IF(E909=0,"해당 없음",J909/E909)</x:f>
        <x:v>0.17142857142857143</x:v>
      </x:c>
      <x:c r="S909" s="15" t="n">
        <x:f>IF(E909=0,"해당 없음",K909/E909)</x:f>
        <x:v>0.14285714285714285</x:v>
      </x:c>
      <x:c r="T909" s="15" t="n">
        <x:f>IF(E909=0,"해당 없음",L909/E909)</x:f>
        <x:v>0.09523809523809523</x:v>
      </x:c>
      <x:c r="U909" s="15" t="n">
        <x:f>IF(E909=0,"해당 없음",M909/E909)</x:f>
        <x:v>0.17142857142857143</x:v>
      </x:c>
      <x:c r="V909" s="16" t="n">
        <x:f>E909/5</x:f>
        <x:v>21</x:v>
      </x:c>
    </x:row>
    <x:row r="910" ht="22" customHeight="1">
      <x:c r="A910" s="2" t="n">
        <x:v>453</x:v>
      </x:c>
      <x:c r="B910" s="2" t="str">
        <x:v>RED</x:v>
      </x:c>
      <x:c r="C910" s="2" t="str">
        <x:v>0만</x:v>
      </x:c>
      <x:c r="D910" s="2" t="str">
        <x:v>200만</x:v>
      </x:c>
      <x:c r="E910" s="14" t="n">
        <x:f>SUM(F910:M910)</x:f>
        <x:v>104</x:v>
      </x:c>
      <x:c r="F910" s="14" t="n">
        <x:v>21</x:v>
      </x:c>
      <x:c r="G910" s="14" t="n">
        <x:v>13</x:v>
      </x:c>
      <x:c r="H910" s="14" t="n">
        <x:v>11</x:v>
      </x:c>
      <x:c r="I910" s="14" t="n">
        <x:v>14</x:v>
      </x:c>
      <x:c r="J910" s="14" t="n">
        <x:v>12</x:v>
      </x:c>
      <x:c r="K910" s="14" t="n">
        <x:v>11</x:v>
      </x:c>
      <x:c r="L910" s="14" t="n">
        <x:v>11</x:v>
      </x:c>
      <x:c r="M910" s="14" t="n">
        <x:v>11</x:v>
      </x:c>
      <x:c r="N910" s="15" t="n">
        <x:f>IF(E910=0,"해당 없음",F910/E910)</x:f>
        <x:v>0.20192307692307693</x:v>
      </x:c>
      <x:c r="O910" s="15" t="n">
        <x:f>IF(E910=0,"해당 없음",G910/E910)</x:f>
        <x:v>0.125</x:v>
      </x:c>
      <x:c r="P910" s="15" t="n">
        <x:f>IF(E910=0,"해당 없음",H910/E910)</x:f>
        <x:v>0.10576923076923077</x:v>
      </x:c>
      <x:c r="Q910" s="15" t="n">
        <x:f>IF(E910=0,"해당 없음",I910/E910)</x:f>
        <x:v>0.1346153846153846</x:v>
      </x:c>
      <x:c r="R910" s="15" t="n">
        <x:f>IF(E910=0,"해당 없음",J910/E910)</x:f>
        <x:v>0.11538461538461539</x:v>
      </x:c>
      <x:c r="S910" s="15" t="n">
        <x:f>IF(E910=0,"해당 없음",K910/E910)</x:f>
        <x:v>0.10576923076923077</x:v>
      </x:c>
      <x:c r="T910" s="15" t="n">
        <x:f>IF(E910=0,"해당 없음",L910/E910)</x:f>
        <x:v>0.10576923076923077</x:v>
      </x:c>
      <x:c r="U910" s="15" t="n">
        <x:f>IF(E910=0,"해당 없음",M910/E910)</x:f>
        <x:v>0.10576923076923077</x:v>
      </x:c>
      <x:c r="V910" s="16" t="n">
        <x:f>E910/5</x:f>
        <x:v>20.8</x:v>
      </x:c>
    </x:row>
    <x:row r="911" ht="22" customHeight="1">
      <x:c r="A911" s="2" t="n">
        <x:v>453</x:v>
      </x:c>
      <x:c r="B911" s="2" t="str">
        <x:v>NAVY</x:v>
      </x:c>
      <x:c r="C911" s="2" t="str">
        <x:v>200만</x:v>
      </x:c>
      <x:c r="D911" s="2" t="str">
        <x:v>0만</x:v>
      </x:c>
      <x:c r="E911" s="14" t="n">
        <x:f>SUM(F911:M911)</x:f>
        <x:v>104</x:v>
      </x:c>
      <x:c r="F911" s="14" t="n">
        <x:v>7</x:v>
      </x:c>
      <x:c r="G911" s="14" t="n">
        <x:v>17</x:v>
      </x:c>
      <x:c r="H911" s="14" t="n">
        <x:v>9</x:v>
      </x:c>
      <x:c r="I911" s="14" t="n">
        <x:v>6</x:v>
      </x:c>
      <x:c r="J911" s="14" t="n">
        <x:v>2</x:v>
      </x:c>
      <x:c r="K911" s="14" t="n">
        <x:v>6</x:v>
      </x:c>
      <x:c r="L911" s="14" t="n">
        <x:v>35</x:v>
      </x:c>
      <x:c r="M911" s="14" t="n">
        <x:v>22</x:v>
      </x:c>
      <x:c r="N911" s="15" t="n">
        <x:f>IF(E911=0,"해당 없음",F911/E911)</x:f>
        <x:v>0.0673076923076923</x:v>
      </x:c>
      <x:c r="O911" s="15" t="n">
        <x:f>IF(E911=0,"해당 없음",G911/E911)</x:f>
        <x:v>0.16346153846153846</x:v>
      </x:c>
      <x:c r="P911" s="15" t="n">
        <x:f>IF(E911=0,"해당 없음",H911/E911)</x:f>
        <x:v>0.08653846153846154</x:v>
      </x:c>
      <x:c r="Q911" s="15" t="n">
        <x:f>IF(E911=0,"해당 없음",I911/E911)</x:f>
        <x:v>0.057692307692307696</x:v>
      </x:c>
      <x:c r="R911" s="15" t="n">
        <x:f>IF(E911=0,"해당 없음",J911/E911)</x:f>
        <x:v>0.019230769230769232</x:v>
      </x:c>
      <x:c r="S911" s="15" t="n">
        <x:f>IF(E911=0,"해당 없음",K911/E911)</x:f>
        <x:v>0.057692307692307696</x:v>
      </x:c>
      <x:c r="T911" s="15" t="n">
        <x:f>IF(E911=0,"해당 없음",L911/E911)</x:f>
        <x:v>0.33653846153846156</x:v>
      </x:c>
      <x:c r="U911" s="15" t="n">
        <x:f>IF(E911=0,"해당 없음",M911/E911)</x:f>
        <x:v>0.21153846153846154</x:v>
      </x:c>
      <x:c r="V911" s="16" t="n">
        <x:f>E911/5</x:f>
        <x:v>20.8</x:v>
      </x:c>
    </x:row>
    <x:row r="912" ht="22" customHeight="1">
      <x:c r="A912" s="2" t="n">
        <x:v>454</x:v>
      </x:c>
      <x:c r="B912" s="2" t="str">
        <x:v>RED</x:v>
      </x:c>
      <x:c r="C912" s="2" t="str">
        <x:v>200만</x:v>
      </x:c>
      <x:c r="D912" s="2" t="str">
        <x:v>0만</x:v>
      </x:c>
      <x:c r="E912" s="14" t="n">
        <x:f>SUM(F912:M912)</x:f>
        <x:v>106</x:v>
      </x:c>
      <x:c r="F912" s="14" t="n">
        <x:v>2</x:v>
      </x:c>
      <x:c r="G912" s="14" t="n">
        <x:v>16</x:v>
      </x:c>
      <x:c r="H912" s="14" t="n">
        <x:v>8</x:v>
      </x:c>
      <x:c r="I912" s="14" t="n">
        <x:v>7</x:v>
      </x:c>
      <x:c r="J912" s="14" t="n">
        <x:v>2</x:v>
      </x:c>
      <x:c r="K912" s="14" t="n">
        <x:v>10</x:v>
      </x:c>
      <x:c r="L912" s="14" t="n">
        <x:v>35</x:v>
      </x:c>
      <x:c r="M912" s="14" t="n">
        <x:v>26</x:v>
      </x:c>
      <x:c r="N912" s="15" t="n">
        <x:f>IF(E912=0,"해당 없음",F912/E912)</x:f>
        <x:v>0.018867924528301886</x:v>
      </x:c>
      <x:c r="O912" s="15" t="n">
        <x:f>IF(E912=0,"해당 없음",G912/E912)</x:f>
        <x:v>0.1509433962264151</x:v>
      </x:c>
      <x:c r="P912" s="15" t="n">
        <x:f>IF(E912=0,"해당 없음",H912/E912)</x:f>
        <x:v>0.07547169811320754</x:v>
      </x:c>
      <x:c r="Q912" s="15" t="n">
        <x:f>IF(E912=0,"해당 없음",I912/E912)</x:f>
        <x:v>0.0660377358490566</x:v>
      </x:c>
      <x:c r="R912" s="15" t="n">
        <x:f>IF(E912=0,"해당 없음",J912/E912)</x:f>
        <x:v>0.018867924528301886</x:v>
      </x:c>
      <x:c r="S912" s="15" t="n">
        <x:f>IF(E912=0,"해당 없음",K912/E912)</x:f>
        <x:v>0.09433962264150944</x:v>
      </x:c>
      <x:c r="T912" s="15" t="n">
        <x:f>IF(E912=0,"해당 없음",L912/E912)</x:f>
        <x:v>0.330188679245283</x:v>
      </x:c>
      <x:c r="U912" s="15" t="n">
        <x:f>IF(E912=0,"해당 없음",M912/E912)</x:f>
        <x:v>0.24528301886792453</x:v>
      </x:c>
      <x:c r="V912" s="16" t="n">
        <x:f>E912/5</x:f>
        <x:v>21.2</x:v>
      </x:c>
    </x:row>
    <x:row r="913" ht="22" customHeight="1">
      <x:c r="A913" s="2" t="n">
        <x:v>454</x:v>
      </x:c>
      <x:c r="B913" s="2" t="str">
        <x:v>NAVY</x:v>
      </x:c>
      <x:c r="C913" s="2" t="str">
        <x:v>0만</x:v>
      </x:c>
      <x:c r="D913" s="2" t="str">
        <x:v>200만</x:v>
      </x:c>
      <x:c r="E913" s="14" t="n">
        <x:f>SUM(F913:M913)</x:f>
        <x:v>104</x:v>
      </x:c>
      <x:c r="F913" s="14" t="n">
        <x:v>21</x:v>
      </x:c>
      <x:c r="G913" s="14" t="n">
        <x:v>13</x:v>
      </x:c>
      <x:c r="H913" s="14" t="n">
        <x:v>11</x:v>
      </x:c>
      <x:c r="I913" s="14" t="n">
        <x:v>15</x:v>
      </x:c>
      <x:c r="J913" s="14" t="n">
        <x:v>11</x:v>
      </x:c>
      <x:c r="K913" s="14" t="n">
        <x:v>11</x:v>
      </x:c>
      <x:c r="L913" s="14" t="n">
        <x:v>12</x:v>
      </x:c>
      <x:c r="M913" s="14" t="n">
        <x:v>10</x:v>
      </x:c>
      <x:c r="N913" s="15" t="n">
        <x:f>IF(E913=0,"해당 없음",F913/E913)</x:f>
        <x:v>0.20192307692307693</x:v>
      </x:c>
      <x:c r="O913" s="15" t="n">
        <x:f>IF(E913=0,"해당 없음",G913/E913)</x:f>
        <x:v>0.125</x:v>
      </x:c>
      <x:c r="P913" s="15" t="n">
        <x:f>IF(E913=0,"해당 없음",H913/E913)</x:f>
        <x:v>0.10576923076923077</x:v>
      </x:c>
      <x:c r="Q913" s="15" t="n">
        <x:f>IF(E913=0,"해당 없음",I913/E913)</x:f>
        <x:v>0.14423076923076922</x:v>
      </x:c>
      <x:c r="R913" s="15" t="n">
        <x:f>IF(E913=0,"해당 없음",J913/E913)</x:f>
        <x:v>0.10576923076923077</x:v>
      </x:c>
      <x:c r="S913" s="15" t="n">
        <x:f>IF(E913=0,"해당 없음",K913/E913)</x:f>
        <x:v>0.10576923076923077</x:v>
      </x:c>
      <x:c r="T913" s="15" t="n">
        <x:f>IF(E913=0,"해당 없음",L913/E913)</x:f>
        <x:v>0.11538461538461539</x:v>
      </x:c>
      <x:c r="U913" s="15" t="n">
        <x:f>IF(E913=0,"해당 없음",M913/E913)</x:f>
        <x:v>0.09615384615384616</x:v>
      </x:c>
      <x:c r="V913" s="16" t="n">
        <x:f>E913/5</x:f>
        <x:v>20.8</x:v>
      </x:c>
    </x:row>
    <x:row r="914" ht="22" customHeight="1">
      <x:c r="A914" s="2" t="n">
        <x:v>455</x:v>
      </x:c>
      <x:c r="B914" s="2" t="str">
        <x:v>RED</x:v>
      </x:c>
      <x:c r="C914" s="2" t="str">
        <x:v>0만</x:v>
      </x:c>
      <x:c r="D914" s="2" t="str">
        <x:v>200만</x:v>
      </x:c>
      <x:c r="E914" s="14" t="n">
        <x:f>SUM(F914:M914)</x:f>
        <x:v>105</x:v>
      </x:c>
      <x:c r="F914" s="14" t="n">
        <x:v>12</x:v>
      </x:c>
      <x:c r="G914" s="14" t="n">
        <x:v>13</x:v>
      </x:c>
      <x:c r="H914" s="14" t="n">
        <x:v>9</x:v>
      </x:c>
      <x:c r="I914" s="14" t="n">
        <x:v>11</x:v>
      </x:c>
      <x:c r="J914" s="14" t="n">
        <x:v>11</x:v>
      </x:c>
      <x:c r="K914" s="14" t="n">
        <x:v>22</x:v>
      </x:c>
      <x:c r="L914" s="14" t="n">
        <x:v>10</x:v>
      </x:c>
      <x:c r="M914" s="14" t="n">
        <x:v>17</x:v>
      </x:c>
      <x:c r="N914" s="15" t="n">
        <x:f>IF(E914=0,"해당 없음",F914/E914)</x:f>
        <x:v>0.11428571428571428</x:v>
      </x:c>
      <x:c r="O914" s="15" t="n">
        <x:f>IF(E914=0,"해당 없음",G914/E914)</x:f>
        <x:v>0.12380952380952381</x:v>
      </x:c>
      <x:c r="P914" s="15" t="n">
        <x:f>IF(E914=0,"해당 없음",H914/E914)</x:f>
        <x:v>0.08571428571428572</x:v>
      </x:c>
      <x:c r="Q914" s="15" t="n">
        <x:f>IF(E914=0,"해당 없음",I914/E914)</x:f>
        <x:v>0.10476190476190476</x:v>
      </x:c>
      <x:c r="R914" s="15" t="n">
        <x:f>IF(E914=0,"해당 없음",J914/E914)</x:f>
        <x:v>0.10476190476190476</x:v>
      </x:c>
      <x:c r="S914" s="15" t="n">
        <x:f>IF(E914=0,"해당 없음",K914/E914)</x:f>
        <x:v>0.20952380952380953</x:v>
      </x:c>
      <x:c r="T914" s="15" t="n">
        <x:f>IF(E914=0,"해당 없음",L914/E914)</x:f>
        <x:v>0.09523809523809523</x:v>
      </x:c>
      <x:c r="U914" s="15" t="n">
        <x:f>IF(E914=0,"해당 없음",M914/E914)</x:f>
        <x:v>0.1619047619047619</x:v>
      </x:c>
      <x:c r="V914" s="16" t="n">
        <x:f>E914/5</x:f>
        <x:v>21</x:v>
      </x:c>
    </x:row>
    <x:row r="915" ht="22" customHeight="1">
      <x:c r="A915" s="2" t="n">
        <x:v>455</x:v>
      </x:c>
      <x:c r="B915" s="2" t="str">
        <x:v>NAVY</x:v>
      </x:c>
      <x:c r="C915" s="2" t="str">
        <x:v>200만</x:v>
      </x:c>
      <x:c r="D915" s="2" t="str">
        <x:v>0만</x:v>
      </x:c>
      <x:c r="E915" s="14" t="n">
        <x:f>SUM(F915:M915)</x:f>
        <x:v>102</x:v>
      </x:c>
      <x:c r="F915" s="14" t="n">
        <x:v>3</x:v>
      </x:c>
      <x:c r="G915" s="14" t="n">
        <x:v>16</x:v>
      </x:c>
      <x:c r="H915" s="14" t="n">
        <x:v>7</x:v>
      </x:c>
      <x:c r="I915" s="14" t="n">
        <x:v>5</x:v>
      </x:c>
      <x:c r="J915" s="14" t="n">
        <x:v>0</x:v>
      </x:c>
      <x:c r="K915" s="14" t="n">
        <x:v>16</x:v>
      </x:c>
      <x:c r="L915" s="14" t="n">
        <x:v>32</x:v>
      </x:c>
      <x:c r="M915" s="14" t="n">
        <x:v>23</x:v>
      </x:c>
      <x:c r="N915" s="15" t="n">
        <x:f>IF(E915=0,"해당 없음",F915/E915)</x:f>
        <x:v>0.029411764705882353</x:v>
      </x:c>
      <x:c r="O915" s="15" t="n">
        <x:f>IF(E915=0,"해당 없음",G915/E915)</x:f>
        <x:v>0.1568627450980392</x:v>
      </x:c>
      <x:c r="P915" s="15" t="n">
        <x:f>IF(E915=0,"해당 없음",H915/E915)</x:f>
        <x:v>0.06862745098039216</x:v>
      </x:c>
      <x:c r="Q915" s="15" t="n">
        <x:f>IF(E915=0,"해당 없음",I915/E915)</x:f>
        <x:v>0.049019607843137254</x:v>
      </x:c>
      <x:c r="R915" s="15" t="n">
        <x:f>IF(E915=0,"해당 없음",J915/E915)</x:f>
        <x:v>0</x:v>
      </x:c>
      <x:c r="S915" s="15" t="n">
        <x:f>IF(E915=0,"해당 없음",K915/E915)</x:f>
        <x:v>0.1568627450980392</x:v>
      </x:c>
      <x:c r="T915" s="15" t="n">
        <x:f>IF(E915=0,"해당 없음",L915/E915)</x:f>
        <x:v>0.3137254901960784</x:v>
      </x:c>
      <x:c r="U915" s="15" t="n">
        <x:f>IF(E915=0,"해당 없음",M915/E915)</x:f>
        <x:v>0.22549019607843138</x:v>
      </x:c>
      <x:c r="V915" s="16" t="n">
        <x:f>E915/5</x:f>
        <x:v>20.4</x:v>
      </x:c>
    </x:row>
    <x:row r="916" ht="22" customHeight="1">
      <x:c r="A916" s="2" t="n">
        <x:v>456</x:v>
      </x:c>
      <x:c r="B916" s="2" t="str">
        <x:v>RED</x:v>
      </x:c>
      <x:c r="C916" s="2" t="str">
        <x:v>200만</x:v>
      </x:c>
      <x:c r="D916" s="2" t="str">
        <x:v>0만</x:v>
      </x:c>
      <x:c r="E916" s="14" t="n">
        <x:f>SUM(F916:M916)</x:f>
        <x:v>107</x:v>
      </x:c>
      <x:c r="F916" s="14" t="n">
        <x:v>5</x:v>
      </x:c>
      <x:c r="G916" s="14" t="n">
        <x:v>9</x:v>
      </x:c>
      <x:c r="H916" s="14" t="n">
        <x:v>4</x:v>
      </x:c>
      <x:c r="I916" s="14" t="n">
        <x:v>9</x:v>
      </x:c>
      <x:c r="J916" s="14" t="n">
        <x:v>2</x:v>
      </x:c>
      <x:c r="K916" s="14" t="n">
        <x:v>3</x:v>
      </x:c>
      <x:c r="L916" s="14" t="n">
        <x:v>39</x:v>
      </x:c>
      <x:c r="M916" s="14" t="n">
        <x:v>36</x:v>
      </x:c>
      <x:c r="N916" s="15" t="n">
        <x:f>IF(E916=0,"해당 없음",F916/E916)</x:f>
        <x:v>0.04672897196261682</x:v>
      </x:c>
      <x:c r="O916" s="15" t="n">
        <x:f>IF(E916=0,"해당 없음",G916/E916)</x:f>
        <x:v>0.08411214953271028</x:v>
      </x:c>
      <x:c r="P916" s="15" t="n">
        <x:f>IF(E916=0,"해당 없음",H916/E916)</x:f>
        <x:v>0.037383177570093455</x:v>
      </x:c>
      <x:c r="Q916" s="15" t="n">
        <x:f>IF(E916=0,"해당 없음",I916/E916)</x:f>
        <x:v>0.08411214953271028</x:v>
      </x:c>
      <x:c r="R916" s="15" t="n">
        <x:f>IF(E916=0,"해당 없음",J916/E916)</x:f>
        <x:v>0.018691588785046728</x:v>
      </x:c>
      <x:c r="S916" s="15" t="n">
        <x:f>IF(E916=0,"해당 없음",K916/E916)</x:f>
        <x:v>0.028037383177570093</x:v>
      </x:c>
      <x:c r="T916" s="15" t="n">
        <x:f>IF(E916=0,"해당 없음",L916/E916)</x:f>
        <x:v>0.3644859813084112</x:v>
      </x:c>
      <x:c r="U916" s="15" t="n">
        <x:f>IF(E916=0,"해당 없음",M916/E916)</x:f>
        <x:v>0.3364485981308411</x:v>
      </x:c>
      <x:c r="V916" s="16" t="n">
        <x:f>E916/5</x:f>
        <x:v>21.4</x:v>
      </x:c>
    </x:row>
    <x:row r="917" ht="22" customHeight="1">
      <x:c r="A917" s="2" t="n">
        <x:v>456</x:v>
      </x:c>
      <x:c r="B917" s="2" t="str">
        <x:v>NAVY</x:v>
      </x:c>
      <x:c r="C917" s="2" t="str">
        <x:v>0만</x:v>
      </x:c>
      <x:c r="D917" s="2" t="str">
        <x:v>200만</x:v>
      </x:c>
      <x:c r="E917" s="14" t="n">
        <x:f>SUM(F917:M917)</x:f>
        <x:v>107</x:v>
      </x:c>
      <x:c r="F917" s="14" t="n">
        <x:v>12</x:v>
      </x:c>
      <x:c r="G917" s="14" t="n">
        <x:v>13</x:v>
      </x:c>
      <x:c r="H917" s="14" t="n">
        <x:v>10</x:v>
      </x:c>
      <x:c r="I917" s="14" t="n">
        <x:v>11</x:v>
      </x:c>
      <x:c r="J917" s="14" t="n">
        <x:v>11</x:v>
      </x:c>
      <x:c r="K917" s="14" t="n">
        <x:v>23</x:v>
      </x:c>
      <x:c r="L917" s="14" t="n">
        <x:v>10</x:v>
      </x:c>
      <x:c r="M917" s="14" t="n">
        <x:v>17</x:v>
      </x:c>
      <x:c r="N917" s="15" t="n">
        <x:f>IF(E917=0,"해당 없음",F917/E917)</x:f>
        <x:v>0.11214953271028037</x:v>
      </x:c>
      <x:c r="O917" s="15" t="n">
        <x:f>IF(E917=0,"해당 없음",G917/E917)</x:f>
        <x:v>0.12149532710280374</x:v>
      </x:c>
      <x:c r="P917" s="15" t="n">
        <x:f>IF(E917=0,"해당 없음",H917/E917)</x:f>
        <x:v>0.09345794392523364</x:v>
      </x:c>
      <x:c r="Q917" s="15" t="n">
        <x:f>IF(E917=0,"해당 없음",I917/E917)</x:f>
        <x:v>0.102803738317757</x:v>
      </x:c>
      <x:c r="R917" s="15" t="n">
        <x:f>IF(E917=0,"해당 없음",J917/E917)</x:f>
        <x:v>0.102803738317757</x:v>
      </x:c>
      <x:c r="S917" s="15" t="n">
        <x:f>IF(E917=0,"해당 없음",K917/E917)</x:f>
        <x:v>0.21495327102803738</x:v>
      </x:c>
      <x:c r="T917" s="15" t="n">
        <x:f>IF(E917=0,"해당 없음",L917/E917)</x:f>
        <x:v>0.09345794392523364</x:v>
      </x:c>
      <x:c r="U917" s="15" t="n">
        <x:f>IF(E917=0,"해당 없음",M917/E917)</x:f>
        <x:v>0.1588785046728972</x:v>
      </x:c>
      <x:c r="V917" s="16" t="n">
        <x:f>E917/5</x:f>
        <x:v>21.4</x:v>
      </x:c>
    </x:row>
    <x:row r="918" ht="22" customHeight="1">
      <x:c r="A918" s="2" t="n">
        <x:v>457</x:v>
      </x:c>
      <x:c r="B918" s="2" t="str">
        <x:v>RED</x:v>
      </x:c>
      <x:c r="C918" s="2" t="str">
        <x:v>0만</x:v>
      </x:c>
      <x:c r="D918" s="2" t="str">
        <x:v>200만</x:v>
      </x:c>
      <x:c r="E918" s="14" t="n">
        <x:f>SUM(F918:M918)</x:f>
        <x:v>105</x:v>
      </x:c>
      <x:c r="F918" s="14" t="n">
        <x:v>13</x:v>
      </x:c>
      <x:c r="G918" s="14" t="n">
        <x:v>13</x:v>
      </x:c>
      <x:c r="H918" s="14" t="n">
        <x:v>12</x:v>
      </x:c>
      <x:c r="I918" s="14" t="n">
        <x:v>16</x:v>
      </x:c>
      <x:c r="J918" s="14" t="n">
        <x:v>13</x:v>
      </x:c>
      <x:c r="K918" s="14" t="n">
        <x:v>12</x:v>
      </x:c>
      <x:c r="L918" s="14" t="n">
        <x:v>8</x:v>
      </x:c>
      <x:c r="M918" s="14" t="n">
        <x:v>18</x:v>
      </x:c>
      <x:c r="N918" s="15" t="n">
        <x:f>IF(E918=0,"해당 없음",F918/E918)</x:f>
        <x:v>0.12380952380952381</x:v>
      </x:c>
      <x:c r="O918" s="15" t="n">
        <x:f>IF(E918=0,"해당 없음",G918/E918)</x:f>
        <x:v>0.12380952380952381</x:v>
      </x:c>
      <x:c r="P918" s="15" t="n">
        <x:f>IF(E918=0,"해당 없음",H918/E918)</x:f>
        <x:v>0.11428571428571428</x:v>
      </x:c>
      <x:c r="Q918" s="15" t="n">
        <x:f>IF(E918=0,"해당 없음",I918/E918)</x:f>
        <x:v>0.1523809523809524</x:v>
      </x:c>
      <x:c r="R918" s="15" t="n">
        <x:f>IF(E918=0,"해당 없음",J918/E918)</x:f>
        <x:v>0.12380952380952381</x:v>
      </x:c>
      <x:c r="S918" s="15" t="n">
        <x:f>IF(E918=0,"해당 없음",K918/E918)</x:f>
        <x:v>0.11428571428571428</x:v>
      </x:c>
      <x:c r="T918" s="15" t="n">
        <x:f>IF(E918=0,"해당 없음",L918/E918)</x:f>
        <x:v>0.0761904761904762</x:v>
      </x:c>
      <x:c r="U918" s="15" t="n">
        <x:f>IF(E918=0,"해당 없음",M918/E918)</x:f>
        <x:v>0.17142857142857143</x:v>
      </x:c>
      <x:c r="V918" s="16" t="n">
        <x:f>E918/5</x:f>
        <x:v>21</x:v>
      </x:c>
    </x:row>
    <x:row r="919" ht="22" customHeight="1">
      <x:c r="A919" s="2" t="n">
        <x:v>457</x:v>
      </x:c>
      <x:c r="B919" s="2" t="str">
        <x:v>NAVY</x:v>
      </x:c>
      <x:c r="C919" s="2" t="str">
        <x:v>200만</x:v>
      </x:c>
      <x:c r="D919" s="2" t="str">
        <x:v>0만</x:v>
      </x:c>
      <x:c r="E919" s="14" t="n">
        <x:f>SUM(F919:M919)</x:f>
        <x:v>104</x:v>
      </x:c>
      <x:c r="F919" s="14" t="n">
        <x:v>5</x:v>
      </x:c>
      <x:c r="G919" s="14" t="n">
        <x:v>24</x:v>
      </x:c>
      <x:c r="H919" s="14" t="n">
        <x:v>8</x:v>
      </x:c>
      <x:c r="I919" s="14" t="n">
        <x:v>4</x:v>
      </x:c>
      <x:c r="J919" s="14" t="n">
        <x:v>0</x:v>
      </x:c>
      <x:c r="K919" s="14" t="n">
        <x:v>4</x:v>
      </x:c>
      <x:c r="L919" s="14" t="n">
        <x:v>38</x:v>
      </x:c>
      <x:c r="M919" s="14" t="n">
        <x:v>21</x:v>
      </x:c>
      <x:c r="N919" s="15" t="n">
        <x:f>IF(E919=0,"해당 없음",F919/E919)</x:f>
        <x:v>0.04807692307692308</x:v>
      </x:c>
      <x:c r="O919" s="15" t="n">
        <x:f>IF(E919=0,"해당 없음",G919/E919)</x:f>
        <x:v>0.23076923076923078</x:v>
      </x:c>
      <x:c r="P919" s="15" t="n">
        <x:f>IF(E919=0,"해당 없음",H919/E919)</x:f>
        <x:v>0.07692307692307693</x:v>
      </x:c>
      <x:c r="Q919" s="15" t="n">
        <x:f>IF(E919=0,"해당 없음",I919/E919)</x:f>
        <x:v>0.038461538461538464</x:v>
      </x:c>
      <x:c r="R919" s="15" t="n">
        <x:f>IF(E919=0,"해당 없음",J919/E919)</x:f>
        <x:v>0</x:v>
      </x:c>
      <x:c r="S919" s="15" t="n">
        <x:f>IF(E919=0,"해당 없음",K919/E919)</x:f>
        <x:v>0.038461538461538464</x:v>
      </x:c>
      <x:c r="T919" s="15" t="n">
        <x:f>IF(E919=0,"해당 없음",L919/E919)</x:f>
        <x:v>0.36538461538461536</x:v>
      </x:c>
      <x:c r="U919" s="15" t="n">
        <x:f>IF(E919=0,"해당 없음",M919/E919)</x:f>
        <x:v>0.20192307692307693</x:v>
      </x:c>
      <x:c r="V919" s="16" t="n">
        <x:f>E919/5</x:f>
        <x:v>20.8</x:v>
      </x:c>
    </x:row>
    <x:row r="920" ht="22" customHeight="1">
      <x:c r="A920" s="2" t="n">
        <x:v>458</x:v>
      </x:c>
      <x:c r="B920" s="2" t="str">
        <x:v>RED</x:v>
      </x:c>
      <x:c r="C920" s="2" t="str">
        <x:v>200만</x:v>
      </x:c>
      <x:c r="D920" s="2" t="str">
        <x:v>0만</x:v>
      </x:c>
      <x:c r="E920" s="14" t="n">
        <x:f>SUM(F920:M920)</x:f>
        <x:v>105</x:v>
      </x:c>
      <x:c r="F920" s="14" t="n">
        <x:v>4</x:v>
      </x:c>
      <x:c r="G920" s="14" t="n">
        <x:v>21</x:v>
      </x:c>
      <x:c r="H920" s="14" t="n">
        <x:v>6</x:v>
      </x:c>
      <x:c r="I920" s="14" t="n">
        <x:v>5</x:v>
      </x:c>
      <x:c r="J920" s="14" t="n">
        <x:v>1</x:v>
      </x:c>
      <x:c r="K920" s="14" t="n">
        <x:v>12</x:v>
      </x:c>
      <x:c r="L920" s="14" t="n">
        <x:v>32</x:v>
      </x:c>
      <x:c r="M920" s="14" t="n">
        <x:v>24</x:v>
      </x:c>
      <x:c r="N920" s="15" t="n">
        <x:f>IF(E920=0,"해당 없음",F920/E920)</x:f>
        <x:v>0.0380952380952381</x:v>
      </x:c>
      <x:c r="O920" s="15" t="n">
        <x:f>IF(E920=0,"해당 없음",G920/E920)</x:f>
        <x:v>0.2</x:v>
      </x:c>
      <x:c r="P920" s="15" t="n">
        <x:f>IF(E920=0,"해당 없음",H920/E920)</x:f>
        <x:v>0.05714285714285714</x:v>
      </x:c>
      <x:c r="Q920" s="15" t="n">
        <x:f>IF(E920=0,"해당 없음",I920/E920)</x:f>
        <x:v>0.047619047619047616</x:v>
      </x:c>
      <x:c r="R920" s="15" t="n">
        <x:f>IF(E920=0,"해당 없음",J920/E920)</x:f>
        <x:v>0.009523809523809525</x:v>
      </x:c>
      <x:c r="S920" s="15" t="n">
        <x:f>IF(E920=0,"해당 없음",K920/E920)</x:f>
        <x:v>0.11428571428571428</x:v>
      </x:c>
      <x:c r="T920" s="15" t="n">
        <x:f>IF(E920=0,"해당 없음",L920/E920)</x:f>
        <x:v>0.3047619047619048</x:v>
      </x:c>
      <x:c r="U920" s="15" t="n">
        <x:f>IF(E920=0,"해당 없음",M920/E920)</x:f>
        <x:v>0.22857142857142856</x:v>
      </x:c>
      <x:c r="V920" s="16" t="n">
        <x:f>E920/5</x:f>
        <x:v>21</x:v>
      </x:c>
    </x:row>
    <x:row r="921" ht="22" customHeight="1">
      <x:c r="A921" s="2" t="n">
        <x:v>458</x:v>
      </x:c>
      <x:c r="B921" s="2" t="str">
        <x:v>NAVY</x:v>
      </x:c>
      <x:c r="C921" s="2" t="str">
        <x:v>0만</x:v>
      </x:c>
      <x:c r="D921" s="2" t="str">
        <x:v>200만</x:v>
      </x:c>
      <x:c r="E921" s="14" t="n">
        <x:f>SUM(F921:M921)</x:f>
        <x:v>105</x:v>
      </x:c>
      <x:c r="F921" s="14" t="n">
        <x:v>13</x:v>
      </x:c>
      <x:c r="G921" s="14" t="n">
        <x:v>13</x:v>
      </x:c>
      <x:c r="H921" s="14" t="n">
        <x:v>12</x:v>
      </x:c>
      <x:c r="I921" s="14" t="n">
        <x:v>16</x:v>
      </x:c>
      <x:c r="J921" s="14" t="n">
        <x:v>13</x:v>
      </x:c>
      <x:c r="K921" s="14" t="n">
        <x:v>12</x:v>
      </x:c>
      <x:c r="L921" s="14" t="n">
        <x:v>8</x:v>
      </x:c>
      <x:c r="M921" s="14" t="n">
        <x:v>18</x:v>
      </x:c>
      <x:c r="N921" s="15" t="n">
        <x:f>IF(E921=0,"해당 없음",F921/E921)</x:f>
        <x:v>0.12380952380952381</x:v>
      </x:c>
      <x:c r="O921" s="15" t="n">
        <x:f>IF(E921=0,"해당 없음",G921/E921)</x:f>
        <x:v>0.12380952380952381</x:v>
      </x:c>
      <x:c r="P921" s="15" t="n">
        <x:f>IF(E921=0,"해당 없음",H921/E921)</x:f>
        <x:v>0.11428571428571428</x:v>
      </x:c>
      <x:c r="Q921" s="15" t="n">
        <x:f>IF(E921=0,"해당 없음",I921/E921)</x:f>
        <x:v>0.1523809523809524</x:v>
      </x:c>
      <x:c r="R921" s="15" t="n">
        <x:f>IF(E921=0,"해당 없음",J921/E921)</x:f>
        <x:v>0.12380952380952381</x:v>
      </x:c>
      <x:c r="S921" s="15" t="n">
        <x:f>IF(E921=0,"해당 없음",K921/E921)</x:f>
        <x:v>0.11428571428571428</x:v>
      </x:c>
      <x:c r="T921" s="15" t="n">
        <x:f>IF(E921=0,"해당 없음",L921/E921)</x:f>
        <x:v>0.0761904761904762</x:v>
      </x:c>
      <x:c r="U921" s="15" t="n">
        <x:f>IF(E921=0,"해당 없음",M921/E921)</x:f>
        <x:v>0.17142857142857143</x:v>
      </x:c>
      <x:c r="V921" s="16" t="n">
        <x:f>E921/5</x:f>
        <x:v>21</x:v>
      </x:c>
    </x:row>
    <x:row r="922" ht="22" customHeight="1">
      <x:c r="A922" s="2" t="n">
        <x:v>459</x:v>
      </x:c>
      <x:c r="B922" s="2" t="str">
        <x:v>RED</x:v>
      </x:c>
      <x:c r="C922" s="2" t="str">
        <x:v>0만</x:v>
      </x:c>
      <x:c r="D922" s="2" t="str">
        <x:v>200만</x:v>
      </x:c>
      <x:c r="E922" s="14" t="n">
        <x:f>SUM(F922:M922)</x:f>
        <x:v>104</x:v>
      </x:c>
      <x:c r="F922" s="14" t="n">
        <x:v>14</x:v>
      </x:c>
      <x:c r="G922" s="14" t="n">
        <x:v>7</x:v>
      </x:c>
      <x:c r="H922" s="14" t="n">
        <x:v>16</x:v>
      </x:c>
      <x:c r="I922" s="14" t="n">
        <x:v>10</x:v>
      </x:c>
      <x:c r="J922" s="14" t="n">
        <x:v>12</x:v>
      </x:c>
      <x:c r="K922" s="14" t="n">
        <x:v>16</x:v>
      </x:c>
      <x:c r="L922" s="14" t="n">
        <x:v>12</x:v>
      </x:c>
      <x:c r="M922" s="14" t="n">
        <x:v>17</x:v>
      </x:c>
      <x:c r="N922" s="15" t="n">
        <x:f>IF(E922=0,"해당 없음",F922/E922)</x:f>
        <x:v>0.1346153846153846</x:v>
      </x:c>
      <x:c r="O922" s="15" t="n">
        <x:f>IF(E922=0,"해당 없음",G922/E922)</x:f>
        <x:v>0.0673076923076923</x:v>
      </x:c>
      <x:c r="P922" s="15" t="n">
        <x:f>IF(E922=0,"해당 없음",H922/E922)</x:f>
        <x:v>0.15384615384615385</x:v>
      </x:c>
      <x:c r="Q922" s="15" t="n">
        <x:f>IF(E922=0,"해당 없음",I922/E922)</x:f>
        <x:v>0.09615384615384616</x:v>
      </x:c>
      <x:c r="R922" s="15" t="n">
        <x:f>IF(E922=0,"해당 없음",J922/E922)</x:f>
        <x:v>0.11538461538461539</x:v>
      </x:c>
      <x:c r="S922" s="15" t="n">
        <x:f>IF(E922=0,"해당 없음",K922/E922)</x:f>
        <x:v>0.15384615384615385</x:v>
      </x:c>
      <x:c r="T922" s="15" t="n">
        <x:f>IF(E922=0,"해당 없음",L922/E922)</x:f>
        <x:v>0.11538461538461539</x:v>
      </x:c>
      <x:c r="U922" s="15" t="n">
        <x:f>IF(E922=0,"해당 없음",M922/E922)</x:f>
        <x:v>0.16346153846153846</x:v>
      </x:c>
      <x:c r="V922" s="16" t="n">
        <x:f>E922/5</x:f>
        <x:v>20.8</x:v>
      </x:c>
    </x:row>
    <x:row r="923" ht="22" customHeight="1">
      <x:c r="A923" s="2" t="n">
        <x:v>459</x:v>
      </x:c>
      <x:c r="B923" s="2" t="str">
        <x:v>NAVY</x:v>
      </x:c>
      <x:c r="C923" s="2" t="str">
        <x:v>200만</x:v>
      </x:c>
      <x:c r="D923" s="2" t="str">
        <x:v>0만</x:v>
      </x:c>
      <x:c r="E923" s="14" t="n">
        <x:f>SUM(F923:M923)</x:f>
        <x:v>104</x:v>
      </x:c>
      <x:c r="F923" s="14" t="n">
        <x:v>4</x:v>
      </x:c>
      <x:c r="G923" s="14" t="n">
        <x:v>18</x:v>
      </x:c>
      <x:c r="H923" s="14" t="n">
        <x:v>6</x:v>
      </x:c>
      <x:c r="I923" s="14" t="n">
        <x:v>3</x:v>
      </x:c>
      <x:c r="J923" s="14" t="n">
        <x:v>4</x:v>
      </x:c>
      <x:c r="K923" s="14" t="n">
        <x:v>6</x:v>
      </x:c>
      <x:c r="L923" s="14" t="n">
        <x:v>38</x:v>
      </x:c>
      <x:c r="M923" s="14" t="n">
        <x:v>25</x:v>
      </x:c>
      <x:c r="N923" s="15" t="n">
        <x:f>IF(E923=0,"해당 없음",F923/E923)</x:f>
        <x:v>0.038461538461538464</x:v>
      </x:c>
      <x:c r="O923" s="15" t="n">
        <x:f>IF(E923=0,"해당 없음",G923/E923)</x:f>
        <x:v>0.17307692307692307</x:v>
      </x:c>
      <x:c r="P923" s="15" t="n">
        <x:f>IF(E923=0,"해당 없음",H923/E923)</x:f>
        <x:v>0.057692307692307696</x:v>
      </x:c>
      <x:c r="Q923" s="15" t="n">
        <x:f>IF(E923=0,"해당 없음",I923/E923)</x:f>
        <x:v>0.028846153846153848</x:v>
      </x:c>
      <x:c r="R923" s="15" t="n">
        <x:f>IF(E923=0,"해당 없음",J923/E923)</x:f>
        <x:v>0.038461538461538464</x:v>
      </x:c>
      <x:c r="S923" s="15" t="n">
        <x:f>IF(E923=0,"해당 없음",K923/E923)</x:f>
        <x:v>0.057692307692307696</x:v>
      </x:c>
      <x:c r="T923" s="15" t="n">
        <x:f>IF(E923=0,"해당 없음",L923/E923)</x:f>
        <x:v>0.36538461538461536</x:v>
      </x:c>
      <x:c r="U923" s="15" t="n">
        <x:f>IF(E923=0,"해당 없음",M923/E923)</x:f>
        <x:v>0.2403846153846154</x:v>
      </x:c>
      <x:c r="V923" s="16" t="n">
        <x:f>E923/5</x:f>
        <x:v>20.8</x:v>
      </x:c>
    </x:row>
    <x:row r="924" ht="22" customHeight="1">
      <x:c r="A924" s="2" t="n">
        <x:v>460</x:v>
      </x:c>
      <x:c r="B924" s="2" t="str">
        <x:v>RED</x:v>
      </x:c>
      <x:c r="C924" s="2" t="str">
        <x:v>200만</x:v>
      </x:c>
      <x:c r="D924" s="2" t="str">
        <x:v>0만</x:v>
      </x:c>
      <x:c r="E924" s="14" t="n">
        <x:f>SUM(F924:M924)</x:f>
        <x:v>102</x:v>
      </x:c>
      <x:c r="F924" s="14" t="n">
        <x:v>10</x:v>
      </x:c>
      <x:c r="G924" s="14" t="n">
        <x:v>27</x:v>
      </x:c>
      <x:c r="H924" s="14" t="n">
        <x:v>6</x:v>
      </x:c>
      <x:c r="I924" s="14" t="n">
        <x:v>2</x:v>
      </x:c>
      <x:c r="J924" s="14" t="n">
        <x:v>3</x:v>
      </x:c>
      <x:c r="K924" s="14" t="n">
        <x:v>10</x:v>
      </x:c>
      <x:c r="L924" s="14" t="n">
        <x:v>27</x:v>
      </x:c>
      <x:c r="M924" s="14" t="n">
        <x:v>17</x:v>
      </x:c>
      <x:c r="N924" s="15" t="n">
        <x:f>IF(E924=0,"해당 없음",F924/E924)</x:f>
        <x:v>0.09803921568627451</x:v>
      </x:c>
      <x:c r="O924" s="15" t="n">
        <x:f>IF(E924=0,"해당 없음",G924/E924)</x:f>
        <x:v>0.2647058823529412</x:v>
      </x:c>
      <x:c r="P924" s="15" t="n">
        <x:f>IF(E924=0,"해당 없음",H924/E924)</x:f>
        <x:v>0.058823529411764705</x:v>
      </x:c>
      <x:c r="Q924" s="15" t="n">
        <x:f>IF(E924=0,"해당 없음",I924/E924)</x:f>
        <x:v>0.0196078431372549</x:v>
      </x:c>
      <x:c r="R924" s="15" t="n">
        <x:f>IF(E924=0,"해당 없음",J924/E924)</x:f>
        <x:v>0.029411764705882353</x:v>
      </x:c>
      <x:c r="S924" s="15" t="n">
        <x:f>IF(E924=0,"해당 없음",K924/E924)</x:f>
        <x:v>0.09803921568627451</x:v>
      </x:c>
      <x:c r="T924" s="15" t="n">
        <x:f>IF(E924=0,"해당 없음",L924/E924)</x:f>
        <x:v>0.2647058823529412</x:v>
      </x:c>
      <x:c r="U924" s="15" t="n">
        <x:f>IF(E924=0,"해당 없음",M924/E924)</x:f>
        <x:v>0.16666666666666666</x:v>
      </x:c>
      <x:c r="V924" s="16" t="n">
        <x:f>E924/5</x:f>
        <x:v>20.4</x:v>
      </x:c>
    </x:row>
    <x:row r="925" ht="22" customHeight="1">
      <x:c r="A925" s="2" t="n">
        <x:v>460</x:v>
      </x:c>
      <x:c r="B925" s="2" t="str">
        <x:v>NAVY</x:v>
      </x:c>
      <x:c r="C925" s="2" t="str">
        <x:v>0만</x:v>
      </x:c>
      <x:c r="D925" s="2" t="str">
        <x:v>200만</x:v>
      </x:c>
      <x:c r="E925" s="14" t="n">
        <x:f>SUM(F925:M925)</x:f>
        <x:v>102</x:v>
      </x:c>
      <x:c r="F925" s="14" t="n">
        <x:v>14</x:v>
      </x:c>
      <x:c r="G925" s="14" t="n">
        <x:v>6</x:v>
      </x:c>
      <x:c r="H925" s="14" t="n">
        <x:v>16</x:v>
      </x:c>
      <x:c r="I925" s="14" t="n">
        <x:v>10</x:v>
      </x:c>
      <x:c r="J925" s="14" t="n">
        <x:v>11</x:v>
      </x:c>
      <x:c r="K925" s="14" t="n">
        <x:v>17</x:v>
      </x:c>
      <x:c r="L925" s="14" t="n">
        <x:v>12</x:v>
      </x:c>
      <x:c r="M925" s="14" t="n">
        <x:v>16</x:v>
      </x:c>
      <x:c r="N925" s="15" t="n">
        <x:f>IF(E925=0,"해당 없음",F925/E925)</x:f>
        <x:v>0.13725490196078433</x:v>
      </x:c>
      <x:c r="O925" s="15" t="n">
        <x:f>IF(E925=0,"해당 없음",G925/E925)</x:f>
        <x:v>0.058823529411764705</x:v>
      </x:c>
      <x:c r="P925" s="15" t="n">
        <x:f>IF(E925=0,"해당 없음",H925/E925)</x:f>
        <x:v>0.1568627450980392</x:v>
      </x:c>
      <x:c r="Q925" s="15" t="n">
        <x:f>IF(E925=0,"해당 없음",I925/E925)</x:f>
        <x:v>0.09803921568627451</x:v>
      </x:c>
      <x:c r="R925" s="15" t="n">
        <x:f>IF(E925=0,"해당 없음",J925/E925)</x:f>
        <x:v>0.10784313725490197</x:v>
      </x:c>
      <x:c r="S925" s="15" t="n">
        <x:f>IF(E925=0,"해당 없음",K925/E925)</x:f>
        <x:v>0.16666666666666666</x:v>
      </x:c>
      <x:c r="T925" s="15" t="n">
        <x:f>IF(E925=0,"해당 없음",L925/E925)</x:f>
        <x:v>0.11764705882352941</x:v>
      </x:c>
      <x:c r="U925" s="15" t="n">
        <x:f>IF(E925=0,"해당 없음",M925/E925)</x:f>
        <x:v>0.1568627450980392</x:v>
      </x:c>
      <x:c r="V925" s="16" t="n">
        <x:f>E925/5</x:f>
        <x:v>20.4</x:v>
      </x:c>
    </x:row>
    <x:row r="926" ht="22" customHeight="1">
      <x:c r="A926" s="2" t="n">
        <x:v>461</x:v>
      </x:c>
      <x:c r="B926" s="2" t="str">
        <x:v>RED</x:v>
      </x:c>
      <x:c r="C926" s="2" t="str">
        <x:v>0만</x:v>
      </x:c>
      <x:c r="D926" s="2" t="str">
        <x:v>200만</x:v>
      </x:c>
      <x:c r="E926" s="14" t="n">
        <x:f>SUM(F926:M926)</x:f>
        <x:v>104</x:v>
      </x:c>
      <x:c r="F926" s="14" t="n">
        <x:v>10</x:v>
      </x:c>
      <x:c r="G926" s="14" t="n">
        <x:v>11</x:v>
      </x:c>
      <x:c r="H926" s="14" t="n">
        <x:v>19</x:v>
      </x:c>
      <x:c r="I926" s="14" t="n">
        <x:v>11</x:v>
      </x:c>
      <x:c r="J926" s="14" t="n">
        <x:v>16</x:v>
      </x:c>
      <x:c r="K926" s="14" t="n">
        <x:v>13</x:v>
      </x:c>
      <x:c r="L926" s="14" t="n">
        <x:v>13</x:v>
      </x:c>
      <x:c r="M926" s="14" t="n">
        <x:v>11</x:v>
      </x:c>
      <x:c r="N926" s="15" t="n">
        <x:f>IF(E926=0,"해당 없음",F926/E926)</x:f>
        <x:v>0.09615384615384616</x:v>
      </x:c>
      <x:c r="O926" s="15" t="n">
        <x:f>IF(E926=0,"해당 없음",G926/E926)</x:f>
        <x:v>0.10576923076923077</x:v>
      </x:c>
      <x:c r="P926" s="15" t="n">
        <x:f>IF(E926=0,"해당 없음",H926/E926)</x:f>
        <x:v>0.18269230769230768</x:v>
      </x:c>
      <x:c r="Q926" s="15" t="n">
        <x:f>IF(E926=0,"해당 없음",I926/E926)</x:f>
        <x:v>0.10576923076923077</x:v>
      </x:c>
      <x:c r="R926" s="15" t="n">
        <x:f>IF(E926=0,"해당 없음",J926/E926)</x:f>
        <x:v>0.15384615384615385</x:v>
      </x:c>
      <x:c r="S926" s="15" t="n">
        <x:f>IF(E926=0,"해당 없음",K926/E926)</x:f>
        <x:v>0.125</x:v>
      </x:c>
      <x:c r="T926" s="15" t="n">
        <x:f>IF(E926=0,"해당 없음",L926/E926)</x:f>
        <x:v>0.125</x:v>
      </x:c>
      <x:c r="U926" s="15" t="n">
        <x:f>IF(E926=0,"해당 없음",M926/E926)</x:f>
        <x:v>0.10576923076923077</x:v>
      </x:c>
      <x:c r="V926" s="16" t="n">
        <x:f>E926/5</x:f>
        <x:v>20.8</x:v>
      </x:c>
    </x:row>
    <x:row r="927" ht="22" customHeight="1">
      <x:c r="A927" s="2" t="n">
        <x:v>461</x:v>
      </x:c>
      <x:c r="B927" s="2" t="str">
        <x:v>NAVY</x:v>
      </x:c>
      <x:c r="C927" s="2" t="str">
        <x:v>200만</x:v>
      </x:c>
      <x:c r="D927" s="2" t="str">
        <x:v>0만</x:v>
      </x:c>
      <x:c r="E927" s="14" t="n">
        <x:f>SUM(F927:M927)</x:f>
        <x:v>103</x:v>
      </x:c>
      <x:c r="F927" s="14" t="n">
        <x:v>7</x:v>
      </x:c>
      <x:c r="G927" s="14" t="n">
        <x:v>22</x:v>
      </x:c>
      <x:c r="H927" s="14" t="n">
        <x:v>7</x:v>
      </x:c>
      <x:c r="I927" s="14" t="n">
        <x:v>5</x:v>
      </x:c>
      <x:c r="J927" s="14" t="n">
        <x:v>1</x:v>
      </x:c>
      <x:c r="K927" s="14" t="n">
        <x:v>7</x:v>
      </x:c>
      <x:c r="L927" s="14" t="n">
        <x:v>34</x:v>
      </x:c>
      <x:c r="M927" s="14" t="n">
        <x:v>20</x:v>
      </x:c>
      <x:c r="N927" s="15" t="n">
        <x:f>IF(E927=0,"해당 없음",F927/E927)</x:f>
        <x:v>0.06796116504854369</x:v>
      </x:c>
      <x:c r="O927" s="15" t="n">
        <x:f>IF(E927=0,"해당 없음",G927/E927)</x:f>
        <x:v>0.21359223300970873</x:v>
      </x:c>
      <x:c r="P927" s="15" t="n">
        <x:f>IF(E927=0,"해당 없음",H927/E927)</x:f>
        <x:v>0.06796116504854369</x:v>
      </x:c>
      <x:c r="Q927" s="15" t="n">
        <x:f>IF(E927=0,"해당 없음",I927/E927)</x:f>
        <x:v>0.04854368932038835</x:v>
      </x:c>
      <x:c r="R927" s="15" t="n">
        <x:f>IF(E927=0,"해당 없음",J927/E927)</x:f>
        <x:v>0.009708737864077669</x:v>
      </x:c>
      <x:c r="S927" s="15" t="n">
        <x:f>IF(E927=0,"해당 없음",K927/E927)</x:f>
        <x:v>0.06796116504854369</x:v>
      </x:c>
      <x:c r="T927" s="15" t="n">
        <x:f>IF(E927=0,"해당 없음",L927/E927)</x:f>
        <x:v>0.3300970873786408</x:v>
      </x:c>
      <x:c r="U927" s="15" t="n">
        <x:f>IF(E927=0,"해당 없음",M927/E927)</x:f>
        <x:v>0.1941747572815534</x:v>
      </x:c>
      <x:c r="V927" s="16" t="n">
        <x:f>E927/5</x:f>
        <x:v>20.6</x:v>
      </x:c>
    </x:row>
    <x:row r="928" ht="22" customHeight="1">
      <x:c r="A928" s="2" t="n">
        <x:v>462</x:v>
      </x:c>
      <x:c r="B928" s="2" t="str">
        <x:v>RED</x:v>
      </x:c>
      <x:c r="C928" s="2" t="str">
        <x:v>200만</x:v>
      </x:c>
      <x:c r="D928" s="2" t="str">
        <x:v>0만</x:v>
      </x:c>
      <x:c r="E928" s="14" t="n">
        <x:f>SUM(F928:M928)</x:f>
        <x:v>105</x:v>
      </x:c>
      <x:c r="F928" s="14" t="n">
        <x:v>5</x:v>
      </x:c>
      <x:c r="G928" s="14" t="n">
        <x:v>18</x:v>
      </x:c>
      <x:c r="H928" s="14" t="n">
        <x:v>5</x:v>
      </x:c>
      <x:c r="I928" s="14" t="n">
        <x:v>6</x:v>
      </x:c>
      <x:c r="J928" s="14" t="n">
        <x:v>2</x:v>
      </x:c>
      <x:c r="K928" s="14" t="n">
        <x:v>13</x:v>
      </x:c>
      <x:c r="L928" s="14" t="n">
        <x:v>36</x:v>
      </x:c>
      <x:c r="M928" s="14" t="n">
        <x:v>20</x:v>
      </x:c>
      <x:c r="N928" s="15" t="n">
        <x:f>IF(E928=0,"해당 없음",F928/E928)</x:f>
        <x:v>0.047619047619047616</x:v>
      </x:c>
      <x:c r="O928" s="15" t="n">
        <x:f>IF(E928=0,"해당 없음",G928/E928)</x:f>
        <x:v>0.17142857142857143</x:v>
      </x:c>
      <x:c r="P928" s="15" t="n">
        <x:f>IF(E928=0,"해당 없음",H928/E928)</x:f>
        <x:v>0.047619047619047616</x:v>
      </x:c>
      <x:c r="Q928" s="15" t="n">
        <x:f>IF(E928=0,"해당 없음",I928/E928)</x:f>
        <x:v>0.05714285714285714</x:v>
      </x:c>
      <x:c r="R928" s="15" t="n">
        <x:f>IF(E928=0,"해당 없음",J928/E928)</x:f>
        <x:v>0.01904761904761905</x:v>
      </x:c>
      <x:c r="S928" s="15" t="n">
        <x:f>IF(E928=0,"해당 없음",K928/E928)</x:f>
        <x:v>0.12380952380952381</x:v>
      </x:c>
      <x:c r="T928" s="15" t="n">
        <x:f>IF(E928=0,"해당 없음",L928/E928)</x:f>
        <x:v>0.34285714285714286</x:v>
      </x:c>
      <x:c r="U928" s="15" t="n">
        <x:f>IF(E928=0,"해당 없음",M928/E928)</x:f>
        <x:v>0.19047619047619047</x:v>
      </x:c>
      <x:c r="V928" s="16" t="n">
        <x:f>E928/5</x:f>
        <x:v>21</x:v>
      </x:c>
    </x:row>
    <x:row r="929" ht="22" customHeight="1">
      <x:c r="A929" s="2" t="n">
        <x:v>462</x:v>
      </x:c>
      <x:c r="B929" s="2" t="str">
        <x:v>NAVY</x:v>
      </x:c>
      <x:c r="C929" s="2" t="str">
        <x:v>0만</x:v>
      </x:c>
      <x:c r="D929" s="2" t="str">
        <x:v>200만</x:v>
      </x:c>
      <x:c r="E929" s="14" t="n">
        <x:f>SUM(F929:M929)</x:f>
        <x:v>104</x:v>
      </x:c>
      <x:c r="F929" s="14" t="n">
        <x:v>10</x:v>
      </x:c>
      <x:c r="G929" s="14" t="n">
        <x:v>11</x:v>
      </x:c>
      <x:c r="H929" s="14" t="n">
        <x:v>19</x:v>
      </x:c>
      <x:c r="I929" s="14" t="n">
        <x:v>11</x:v>
      </x:c>
      <x:c r="J929" s="14" t="n">
        <x:v>16</x:v>
      </x:c>
      <x:c r="K929" s="14" t="n">
        <x:v>13</x:v>
      </x:c>
      <x:c r="L929" s="14" t="n">
        <x:v>13</x:v>
      </x:c>
      <x:c r="M929" s="14" t="n">
        <x:v>11</x:v>
      </x:c>
      <x:c r="N929" s="15" t="n">
        <x:f>IF(E929=0,"해당 없음",F929/E929)</x:f>
        <x:v>0.09615384615384616</x:v>
      </x:c>
      <x:c r="O929" s="15" t="n">
        <x:f>IF(E929=0,"해당 없음",G929/E929)</x:f>
        <x:v>0.10576923076923077</x:v>
      </x:c>
      <x:c r="P929" s="15" t="n">
        <x:f>IF(E929=0,"해당 없음",H929/E929)</x:f>
        <x:v>0.18269230769230768</x:v>
      </x:c>
      <x:c r="Q929" s="15" t="n">
        <x:f>IF(E929=0,"해당 없음",I929/E929)</x:f>
        <x:v>0.10576923076923077</x:v>
      </x:c>
      <x:c r="R929" s="15" t="n">
        <x:f>IF(E929=0,"해당 없음",J929/E929)</x:f>
        <x:v>0.15384615384615385</x:v>
      </x:c>
      <x:c r="S929" s="15" t="n">
        <x:f>IF(E929=0,"해당 없음",K929/E929)</x:f>
        <x:v>0.125</x:v>
      </x:c>
      <x:c r="T929" s="15" t="n">
        <x:f>IF(E929=0,"해당 없음",L929/E929)</x:f>
        <x:v>0.125</x:v>
      </x:c>
      <x:c r="U929" s="15" t="n">
        <x:f>IF(E929=0,"해당 없음",M929/E929)</x:f>
        <x:v>0.10576923076923077</x:v>
      </x:c>
      <x:c r="V929" s="16" t="n">
        <x:f>E929/5</x:f>
        <x:v>20.8</x:v>
      </x:c>
    </x:row>
    <x:row r="930" ht="22" customHeight="1">
      <x:c r="A930" s="2" t="n">
        <x:v>463</x:v>
      </x:c>
      <x:c r="B930" s="2" t="str">
        <x:v>RED</x:v>
      </x:c>
      <x:c r="C930" s="2" t="str">
        <x:v>0만</x:v>
      </x:c>
      <x:c r="D930" s="2" t="str">
        <x:v>200만</x:v>
      </x:c>
      <x:c r="E930" s="14" t="n">
        <x:f>SUM(F930:M930)</x:f>
        <x:v>105</x:v>
      </x:c>
      <x:c r="F930" s="14" t="n">
        <x:v>19</x:v>
      </x:c>
      <x:c r="G930" s="14" t="n">
        <x:v>9</x:v>
      </x:c>
      <x:c r="H930" s="14" t="n">
        <x:v>10</x:v>
      </x:c>
      <x:c r="I930" s="14" t="n">
        <x:v>20</x:v>
      </x:c>
      <x:c r="J930" s="14" t="n">
        <x:v>7</x:v>
      </x:c>
      <x:c r="K930" s="14" t="n">
        <x:v>15</x:v>
      </x:c>
      <x:c r="L930" s="14" t="n">
        <x:v>13</x:v>
      </x:c>
      <x:c r="M930" s="14" t="n">
        <x:v>12</x:v>
      </x:c>
      <x:c r="N930" s="15" t="n">
        <x:f>IF(E930=0,"해당 없음",F930/E930)</x:f>
        <x:v>0.18095238095238095</x:v>
      </x:c>
      <x:c r="O930" s="15" t="n">
        <x:f>IF(E930=0,"해당 없음",G930/E930)</x:f>
        <x:v>0.08571428571428572</x:v>
      </x:c>
      <x:c r="P930" s="15" t="n">
        <x:f>IF(E930=0,"해당 없음",H930/E930)</x:f>
        <x:v>0.09523809523809523</x:v>
      </x:c>
      <x:c r="Q930" s="15" t="n">
        <x:f>IF(E930=0,"해당 없음",I930/E930)</x:f>
        <x:v>0.19047619047619047</x:v>
      </x:c>
      <x:c r="R930" s="15" t="n">
        <x:f>IF(E930=0,"해당 없음",J930/E930)</x:f>
        <x:v>0.06666666666666667</x:v>
      </x:c>
      <x:c r="S930" s="15" t="n">
        <x:f>IF(E930=0,"해당 없음",K930/E930)</x:f>
        <x:v>0.14285714285714285</x:v>
      </x:c>
      <x:c r="T930" s="15" t="n">
        <x:f>IF(E930=0,"해당 없음",L930/E930)</x:f>
        <x:v>0.12380952380952381</x:v>
      </x:c>
      <x:c r="U930" s="15" t="n">
        <x:f>IF(E930=0,"해당 없음",M930/E930)</x:f>
        <x:v>0.11428571428571428</x:v>
      </x:c>
      <x:c r="V930" s="16" t="n">
        <x:f>E930/5</x:f>
        <x:v>21</x:v>
      </x:c>
    </x:row>
    <x:row r="931" ht="22" customHeight="1">
      <x:c r="A931" s="2" t="n">
        <x:v>463</x:v>
      </x:c>
      <x:c r="B931" s="2" t="str">
        <x:v>NAVY</x:v>
      </x:c>
      <x:c r="C931" s="2" t="str">
        <x:v>200만</x:v>
      </x:c>
      <x:c r="D931" s="2" t="str">
        <x:v>0만</x:v>
      </x:c>
      <x:c r="E931" s="14" t="n">
        <x:f>SUM(F931:M931)</x:f>
        <x:v>104</x:v>
      </x:c>
      <x:c r="F931" s="14" t="n">
        <x:v>3</x:v>
      </x:c>
      <x:c r="G931" s="14" t="n">
        <x:v>27</x:v>
      </x:c>
      <x:c r="H931" s="14" t="n">
        <x:v>7</x:v>
      </x:c>
      <x:c r="I931" s="14" t="n">
        <x:v>3</x:v>
      </x:c>
      <x:c r="J931" s="14" t="n">
        <x:v>1</x:v>
      </x:c>
      <x:c r="K931" s="14" t="n">
        <x:v>7</x:v>
      </x:c>
      <x:c r="L931" s="14" t="n">
        <x:v>35</x:v>
      </x:c>
      <x:c r="M931" s="14" t="n">
        <x:v>21</x:v>
      </x:c>
      <x:c r="N931" s="15" t="n">
        <x:f>IF(E931=0,"해당 없음",F931/E931)</x:f>
        <x:v>0.028846153846153848</x:v>
      </x:c>
      <x:c r="O931" s="15" t="n">
        <x:f>IF(E931=0,"해당 없음",G931/E931)</x:f>
        <x:v>0.25961538461538464</x:v>
      </x:c>
      <x:c r="P931" s="15" t="n">
        <x:f>IF(E931=0,"해당 없음",H931/E931)</x:f>
        <x:v>0.0673076923076923</x:v>
      </x:c>
      <x:c r="Q931" s="15" t="n">
        <x:f>IF(E931=0,"해당 없음",I931/E931)</x:f>
        <x:v>0.028846153846153848</x:v>
      </x:c>
      <x:c r="R931" s="15" t="n">
        <x:f>IF(E931=0,"해당 없음",J931/E931)</x:f>
        <x:v>0.009615384615384616</x:v>
      </x:c>
      <x:c r="S931" s="15" t="n">
        <x:f>IF(E931=0,"해당 없음",K931/E931)</x:f>
        <x:v>0.0673076923076923</x:v>
      </x:c>
      <x:c r="T931" s="15" t="n">
        <x:f>IF(E931=0,"해당 없음",L931/E931)</x:f>
        <x:v>0.33653846153846156</x:v>
      </x:c>
      <x:c r="U931" s="15" t="n">
        <x:f>IF(E931=0,"해당 없음",M931/E931)</x:f>
        <x:v>0.20192307692307693</x:v>
      </x:c>
      <x:c r="V931" s="16" t="n">
        <x:f>E931/5</x:f>
        <x:v>20.8</x:v>
      </x:c>
    </x:row>
    <x:row r="932" ht="22" customHeight="1">
      <x:c r="A932" s="2" t="n">
        <x:v>464</x:v>
      </x:c>
      <x:c r="B932" s="2" t="str">
        <x:v>RED</x:v>
      </x:c>
      <x:c r="C932" s="2" t="str">
        <x:v>200만</x:v>
      </x:c>
      <x:c r="D932" s="2" t="str">
        <x:v>0만</x:v>
      </x:c>
      <x:c r="E932" s="14" t="n">
        <x:f>SUM(F932:M932)</x:f>
        <x:v>105</x:v>
      </x:c>
      <x:c r="F932" s="14" t="n">
        <x:v>6</x:v>
      </x:c>
      <x:c r="G932" s="14" t="n">
        <x:v>17</x:v>
      </x:c>
      <x:c r="H932" s="14" t="n">
        <x:v>6</x:v>
      </x:c>
      <x:c r="I932" s="14" t="n">
        <x:v>4</x:v>
      </x:c>
      <x:c r="J932" s="14" t="n">
        <x:v>1</x:v>
      </x:c>
      <x:c r="K932" s="14" t="n">
        <x:v>6</x:v>
      </x:c>
      <x:c r="L932" s="14" t="n">
        <x:v>31</x:v>
      </x:c>
      <x:c r="M932" s="14" t="n">
        <x:v>34</x:v>
      </x:c>
      <x:c r="N932" s="15" t="n">
        <x:f>IF(E932=0,"해당 없음",F932/E932)</x:f>
        <x:v>0.05714285714285714</x:v>
      </x:c>
      <x:c r="O932" s="15" t="n">
        <x:f>IF(E932=0,"해당 없음",G932/E932)</x:f>
        <x:v>0.1619047619047619</x:v>
      </x:c>
      <x:c r="P932" s="15" t="n">
        <x:f>IF(E932=0,"해당 없음",H932/E932)</x:f>
        <x:v>0.05714285714285714</x:v>
      </x:c>
      <x:c r="Q932" s="15" t="n">
        <x:f>IF(E932=0,"해당 없음",I932/E932)</x:f>
        <x:v>0.0380952380952381</x:v>
      </x:c>
      <x:c r="R932" s="15" t="n">
        <x:f>IF(E932=0,"해당 없음",J932/E932)</x:f>
        <x:v>0.009523809523809525</x:v>
      </x:c>
      <x:c r="S932" s="15" t="n">
        <x:f>IF(E932=0,"해당 없음",K932/E932)</x:f>
        <x:v>0.05714285714285714</x:v>
      </x:c>
      <x:c r="T932" s="15" t="n">
        <x:f>IF(E932=0,"해당 없음",L932/E932)</x:f>
        <x:v>0.29523809523809524</x:v>
      </x:c>
      <x:c r="U932" s="15" t="n">
        <x:f>IF(E932=0,"해당 없음",M932/E932)</x:f>
        <x:v>0.3238095238095238</x:v>
      </x:c>
      <x:c r="V932" s="16" t="n">
        <x:f>E932/5</x:f>
        <x:v>21</x:v>
      </x:c>
    </x:row>
    <x:row r="933" ht="22" customHeight="1">
      <x:c r="A933" s="2" t="n">
        <x:v>464</x:v>
      </x:c>
      <x:c r="B933" s="2" t="str">
        <x:v>NAVY</x:v>
      </x:c>
      <x:c r="C933" s="2" t="str">
        <x:v>0만</x:v>
      </x:c>
      <x:c r="D933" s="2" t="str">
        <x:v>200만</x:v>
      </x:c>
      <x:c r="E933" s="14" t="n">
        <x:f>SUM(F933:M933)</x:f>
        <x:v>104</x:v>
      </x:c>
      <x:c r="F933" s="14" t="n">
        <x:v>18</x:v>
      </x:c>
      <x:c r="G933" s="14" t="n">
        <x:v>8</x:v>
      </x:c>
      <x:c r="H933" s="14" t="n">
        <x:v>11</x:v>
      </x:c>
      <x:c r="I933" s="14" t="n">
        <x:v>20</x:v>
      </x:c>
      <x:c r="J933" s="14" t="n">
        <x:v>7</x:v>
      </x:c>
      <x:c r="K933" s="14" t="n">
        <x:v>15</x:v>
      </x:c>
      <x:c r="L933" s="14" t="n">
        <x:v>13</x:v>
      </x:c>
      <x:c r="M933" s="14" t="n">
        <x:v>12</x:v>
      </x:c>
      <x:c r="N933" s="15" t="n">
        <x:f>IF(E933=0,"해당 없음",F933/E933)</x:f>
        <x:v>0.17307692307692307</x:v>
      </x:c>
      <x:c r="O933" s="15" t="n">
        <x:f>IF(E933=0,"해당 없음",G933/E933)</x:f>
        <x:v>0.07692307692307693</x:v>
      </x:c>
      <x:c r="P933" s="15" t="n">
        <x:f>IF(E933=0,"해당 없음",H933/E933)</x:f>
        <x:v>0.10576923076923077</x:v>
      </x:c>
      <x:c r="Q933" s="15" t="n">
        <x:f>IF(E933=0,"해당 없음",I933/E933)</x:f>
        <x:v>0.19230769230769232</x:v>
      </x:c>
      <x:c r="R933" s="15" t="n">
        <x:f>IF(E933=0,"해당 없음",J933/E933)</x:f>
        <x:v>0.0673076923076923</x:v>
      </x:c>
      <x:c r="S933" s="15" t="n">
        <x:f>IF(E933=0,"해당 없음",K933/E933)</x:f>
        <x:v>0.14423076923076922</x:v>
      </x:c>
      <x:c r="T933" s="15" t="n">
        <x:f>IF(E933=0,"해당 없음",L933/E933)</x:f>
        <x:v>0.125</x:v>
      </x:c>
      <x:c r="U933" s="15" t="n">
        <x:f>IF(E933=0,"해당 없음",M933/E933)</x:f>
        <x:v>0.11538461538461539</x:v>
      </x:c>
      <x:c r="V933" s="16" t="n">
        <x:f>E933/5</x:f>
        <x:v>20.8</x:v>
      </x:c>
    </x:row>
    <x:row r="934" ht="22" customHeight="1">
      <x:c r="A934" s="2" t="n">
        <x:v>465</x:v>
      </x:c>
      <x:c r="B934" s="2" t="str">
        <x:v>RED</x:v>
      </x:c>
      <x:c r="C934" s="2" t="str">
        <x:v>0만</x:v>
      </x:c>
      <x:c r="D934" s="2" t="str">
        <x:v>200만</x:v>
      </x:c>
      <x:c r="E934" s="14" t="n">
        <x:f>SUM(F934:M934)</x:f>
        <x:v>103</x:v>
      </x:c>
      <x:c r="F934" s="14" t="n">
        <x:v>11</x:v>
      </x:c>
      <x:c r="G934" s="14" t="n">
        <x:v>14</x:v>
      </x:c>
      <x:c r="H934" s="14" t="n">
        <x:v>14</x:v>
      </x:c>
      <x:c r="I934" s="14" t="n">
        <x:v>10</x:v>
      </x:c>
      <x:c r="J934" s="14" t="n">
        <x:v>17</x:v>
      </x:c>
      <x:c r="K934" s="14" t="n">
        <x:v>13</x:v>
      </x:c>
      <x:c r="L934" s="14" t="n">
        <x:v>16</x:v>
      </x:c>
      <x:c r="M934" s="14" t="n">
        <x:v>8</x:v>
      </x:c>
      <x:c r="N934" s="15" t="n">
        <x:f>IF(E934=0,"해당 없음",F934/E934)</x:f>
        <x:v>0.10679611650485436</x:v>
      </x:c>
      <x:c r="O934" s="15" t="n">
        <x:f>IF(E934=0,"해당 없음",G934/E934)</x:f>
        <x:v>0.13592233009708737</x:v>
      </x:c>
      <x:c r="P934" s="15" t="n">
        <x:f>IF(E934=0,"해당 없음",H934/E934)</x:f>
        <x:v>0.13592233009708737</x:v>
      </x:c>
      <x:c r="Q934" s="15" t="n">
        <x:f>IF(E934=0,"해당 없음",I934/E934)</x:f>
        <x:v>0.0970873786407767</x:v>
      </x:c>
      <x:c r="R934" s="15" t="n">
        <x:f>IF(E934=0,"해당 없음",J934/E934)</x:f>
        <x:v>0.1650485436893204</x:v>
      </x:c>
      <x:c r="S934" s="15" t="n">
        <x:f>IF(E934=0,"해당 없음",K934/E934)</x:f>
        <x:v>0.1262135922330097</x:v>
      </x:c>
      <x:c r="T934" s="15" t="n">
        <x:f>IF(E934=0,"해당 없음",L934/E934)</x:f>
        <x:v>0.1553398058252427</x:v>
      </x:c>
      <x:c r="U934" s="15" t="n">
        <x:f>IF(E934=0,"해당 없음",M934/E934)</x:f>
        <x:v>0.07766990291262135</x:v>
      </x:c>
      <x:c r="V934" s="16" t="n">
        <x:f>E934/5</x:f>
        <x:v>20.6</x:v>
      </x:c>
    </x:row>
    <x:row r="935" ht="22" customHeight="1">
      <x:c r="A935" s="2" t="n">
        <x:v>465</x:v>
      </x:c>
      <x:c r="B935" s="2" t="str">
        <x:v>NAVY</x:v>
      </x:c>
      <x:c r="C935" s="2" t="str">
        <x:v>200만</x:v>
      </x:c>
      <x:c r="D935" s="2" t="str">
        <x:v>0만</x:v>
      </x:c>
      <x:c r="E935" s="14" t="n">
        <x:f>SUM(F935:M935)</x:f>
        <x:v>105</x:v>
      </x:c>
      <x:c r="F935" s="14" t="n">
        <x:v>7</x:v>
      </x:c>
      <x:c r="G935" s="14" t="n">
        <x:v>25</x:v>
      </x:c>
      <x:c r="H935" s="14" t="n">
        <x:v>3</x:v>
      </x:c>
      <x:c r="I935" s="14" t="n">
        <x:v>3</x:v>
      </x:c>
      <x:c r="J935" s="14" t="n">
        <x:v>3</x:v>
      </x:c>
      <x:c r="K935" s="14" t="n">
        <x:v>9</x:v>
      </x:c>
      <x:c r="L935" s="14" t="n">
        <x:v>30</x:v>
      </x:c>
      <x:c r="M935" s="14" t="n">
        <x:v>25</x:v>
      </x:c>
      <x:c r="N935" s="15" t="n">
        <x:f>IF(E935=0,"해당 없음",F935/E935)</x:f>
        <x:v>0.06666666666666667</x:v>
      </x:c>
      <x:c r="O935" s="15" t="n">
        <x:f>IF(E935=0,"해당 없음",G935/E935)</x:f>
        <x:v>0.23809523809523808</x:v>
      </x:c>
      <x:c r="P935" s="15" t="n">
        <x:f>IF(E935=0,"해당 없음",H935/E935)</x:f>
        <x:v>0.02857142857142857</x:v>
      </x:c>
      <x:c r="Q935" s="15" t="n">
        <x:f>IF(E935=0,"해당 없음",I935/E935)</x:f>
        <x:v>0.02857142857142857</x:v>
      </x:c>
      <x:c r="R935" s="15" t="n">
        <x:f>IF(E935=0,"해당 없음",J935/E935)</x:f>
        <x:v>0.02857142857142857</x:v>
      </x:c>
      <x:c r="S935" s="15" t="n">
        <x:f>IF(E935=0,"해당 없음",K935/E935)</x:f>
        <x:v>0.08571428571428572</x:v>
      </x:c>
      <x:c r="T935" s="15" t="n">
        <x:f>IF(E935=0,"해당 없음",L935/E935)</x:f>
        <x:v>0.2857142857142857</x:v>
      </x:c>
      <x:c r="U935" s="15" t="n">
        <x:f>IF(E935=0,"해당 없음",M935/E935)</x:f>
        <x:v>0.23809523809523808</x:v>
      </x:c>
      <x:c r="V935" s="16" t="n">
        <x:f>E935/5</x:f>
        <x:v>21</x:v>
      </x:c>
    </x:row>
    <x:row r="936" ht="22" customHeight="1">
      <x:c r="A936" s="2" t="n">
        <x:v>466</x:v>
      </x:c>
      <x:c r="B936" s="2" t="str">
        <x:v>RED</x:v>
      </x:c>
      <x:c r="C936" s="2" t="str">
        <x:v>200만</x:v>
      </x:c>
      <x:c r="D936" s="2" t="str">
        <x:v>0만</x:v>
      </x:c>
      <x:c r="E936" s="14" t="n">
        <x:f>SUM(F936:M936)</x:f>
        <x:v>102</x:v>
      </x:c>
      <x:c r="F936" s="14" t="n">
        <x:v>3</x:v>
      </x:c>
      <x:c r="G936" s="14" t="n">
        <x:v>16</x:v>
      </x:c>
      <x:c r="H936" s="14" t="n">
        <x:v>10</x:v>
      </x:c>
      <x:c r="I936" s="14" t="n">
        <x:v>9</x:v>
      </x:c>
      <x:c r="J936" s="14" t="n">
        <x:v>3</x:v>
      </x:c>
      <x:c r="K936" s="14" t="n">
        <x:v>3</x:v>
      </x:c>
      <x:c r="L936" s="14" t="n">
        <x:v>30</x:v>
      </x:c>
      <x:c r="M936" s="14" t="n">
        <x:v>28</x:v>
      </x:c>
      <x:c r="N936" s="15" t="n">
        <x:f>IF(E936=0,"해당 없음",F936/E936)</x:f>
        <x:v>0.029411764705882353</x:v>
      </x:c>
      <x:c r="O936" s="15" t="n">
        <x:f>IF(E936=0,"해당 없음",G936/E936)</x:f>
        <x:v>0.1568627450980392</x:v>
      </x:c>
      <x:c r="P936" s="15" t="n">
        <x:f>IF(E936=0,"해당 없음",H936/E936)</x:f>
        <x:v>0.09803921568627451</x:v>
      </x:c>
      <x:c r="Q936" s="15" t="n">
        <x:f>IF(E936=0,"해당 없음",I936/E936)</x:f>
        <x:v>0.08823529411764706</x:v>
      </x:c>
      <x:c r="R936" s="15" t="n">
        <x:f>IF(E936=0,"해당 없음",J936/E936)</x:f>
        <x:v>0.029411764705882353</x:v>
      </x:c>
      <x:c r="S936" s="15" t="n">
        <x:f>IF(E936=0,"해당 없음",K936/E936)</x:f>
        <x:v>0.029411764705882353</x:v>
      </x:c>
      <x:c r="T936" s="15" t="n">
        <x:f>IF(E936=0,"해당 없음",L936/E936)</x:f>
        <x:v>0.29411764705882354</x:v>
      </x:c>
      <x:c r="U936" s="15" t="n">
        <x:f>IF(E936=0,"해당 없음",M936/E936)</x:f>
        <x:v>0.27450980392156865</x:v>
      </x:c>
      <x:c r="V936" s="16" t="n">
        <x:f>E936/5</x:f>
        <x:v>20.4</x:v>
      </x:c>
    </x:row>
    <x:row r="937" ht="22" customHeight="1">
      <x:c r="A937" s="2" t="n">
        <x:v>466</x:v>
      </x:c>
      <x:c r="B937" s="2" t="str">
        <x:v>NAVY</x:v>
      </x:c>
      <x:c r="C937" s="2" t="str">
        <x:v>0만</x:v>
      </x:c>
      <x:c r="D937" s="2" t="str">
        <x:v>200만</x:v>
      </x:c>
      <x:c r="E937" s="14" t="n">
        <x:f>SUM(F937:M937)</x:f>
        <x:v>103</x:v>
      </x:c>
      <x:c r="F937" s="14" t="n">
        <x:v>11</x:v>
      </x:c>
      <x:c r="G937" s="14" t="n">
        <x:v>14</x:v>
      </x:c>
      <x:c r="H937" s="14" t="n">
        <x:v>14</x:v>
      </x:c>
      <x:c r="I937" s="14" t="n">
        <x:v>10</x:v>
      </x:c>
      <x:c r="J937" s="14" t="n">
        <x:v>17</x:v>
      </x:c>
      <x:c r="K937" s="14" t="n">
        <x:v>13</x:v>
      </x:c>
      <x:c r="L937" s="14" t="n">
        <x:v>16</x:v>
      </x:c>
      <x:c r="M937" s="14" t="n">
        <x:v>8</x:v>
      </x:c>
      <x:c r="N937" s="15" t="n">
        <x:f>IF(E937=0,"해당 없음",F937/E937)</x:f>
        <x:v>0.10679611650485436</x:v>
      </x:c>
      <x:c r="O937" s="15" t="n">
        <x:f>IF(E937=0,"해당 없음",G937/E937)</x:f>
        <x:v>0.13592233009708737</x:v>
      </x:c>
      <x:c r="P937" s="15" t="n">
        <x:f>IF(E937=0,"해당 없음",H937/E937)</x:f>
        <x:v>0.13592233009708737</x:v>
      </x:c>
      <x:c r="Q937" s="15" t="n">
        <x:f>IF(E937=0,"해당 없음",I937/E937)</x:f>
        <x:v>0.0970873786407767</x:v>
      </x:c>
      <x:c r="R937" s="15" t="n">
        <x:f>IF(E937=0,"해당 없음",J937/E937)</x:f>
        <x:v>0.1650485436893204</x:v>
      </x:c>
      <x:c r="S937" s="15" t="n">
        <x:f>IF(E937=0,"해당 없음",K937/E937)</x:f>
        <x:v>0.1262135922330097</x:v>
      </x:c>
      <x:c r="T937" s="15" t="n">
        <x:f>IF(E937=0,"해당 없음",L937/E937)</x:f>
        <x:v>0.1553398058252427</x:v>
      </x:c>
      <x:c r="U937" s="15" t="n">
        <x:f>IF(E937=0,"해당 없음",M937/E937)</x:f>
        <x:v>0.07766990291262135</x:v>
      </x:c>
      <x:c r="V937" s="16" t="n">
        <x:f>E937/5</x:f>
        <x:v>20.6</x:v>
      </x:c>
    </x:row>
    <x:row r="938" ht="22" customHeight="1">
      <x:c r="A938" s="2" t="n">
        <x:v>467</x:v>
      </x:c>
      <x:c r="B938" s="2" t="str">
        <x:v>RED</x:v>
      </x:c>
      <x:c r="C938" s="2" t="str">
        <x:v>0만</x:v>
      </x:c>
      <x:c r="D938" s="2" t="str">
        <x:v>200만</x:v>
      </x:c>
      <x:c r="E938" s="14" t="n">
        <x:f>SUM(F938:M938)</x:f>
        <x:v>104</x:v>
      </x:c>
      <x:c r="F938" s="14" t="n">
        <x:v>9</x:v>
      </x:c>
      <x:c r="G938" s="14" t="n">
        <x:v>11</x:v>
      </x:c>
      <x:c r="H938" s="14" t="n">
        <x:v>11</x:v>
      </x:c>
      <x:c r="I938" s="14" t="n">
        <x:v>17</x:v>
      </x:c>
      <x:c r="J938" s="14" t="n">
        <x:v>13</x:v>
      </x:c>
      <x:c r="K938" s="14" t="n">
        <x:v>12</x:v>
      </x:c>
      <x:c r="L938" s="14" t="n">
        <x:v>13</x:v>
      </x:c>
      <x:c r="M938" s="14" t="n">
        <x:v>18</x:v>
      </x:c>
      <x:c r="N938" s="15" t="n">
        <x:f>IF(E938=0,"해당 없음",F938/E938)</x:f>
        <x:v>0.08653846153846154</x:v>
      </x:c>
      <x:c r="O938" s="15" t="n">
        <x:f>IF(E938=0,"해당 없음",G938/E938)</x:f>
        <x:v>0.10576923076923077</x:v>
      </x:c>
      <x:c r="P938" s="15" t="n">
        <x:f>IF(E938=0,"해당 없음",H938/E938)</x:f>
        <x:v>0.10576923076923077</x:v>
      </x:c>
      <x:c r="Q938" s="15" t="n">
        <x:f>IF(E938=0,"해당 없음",I938/E938)</x:f>
        <x:v>0.16346153846153846</x:v>
      </x:c>
      <x:c r="R938" s="15" t="n">
        <x:f>IF(E938=0,"해당 없음",J938/E938)</x:f>
        <x:v>0.125</x:v>
      </x:c>
      <x:c r="S938" s="15" t="n">
        <x:f>IF(E938=0,"해당 없음",K938/E938)</x:f>
        <x:v>0.11538461538461539</x:v>
      </x:c>
      <x:c r="T938" s="15" t="n">
        <x:f>IF(E938=0,"해당 없음",L938/E938)</x:f>
        <x:v>0.125</x:v>
      </x:c>
      <x:c r="U938" s="15" t="n">
        <x:f>IF(E938=0,"해당 없음",M938/E938)</x:f>
        <x:v>0.17307692307692307</x:v>
      </x:c>
      <x:c r="V938" s="16" t="n">
        <x:f>E938/5</x:f>
        <x:v>20.8</x:v>
      </x:c>
    </x:row>
    <x:row r="939" ht="22" customHeight="1">
      <x:c r="A939" s="2" t="n">
        <x:v>467</x:v>
      </x:c>
      <x:c r="B939" s="2" t="str">
        <x:v>NAVY</x:v>
      </x:c>
      <x:c r="C939" s="2" t="str">
        <x:v>200만</x:v>
      </x:c>
      <x:c r="D939" s="2" t="str">
        <x:v>0만</x:v>
      </x:c>
      <x:c r="E939" s="14" t="n">
        <x:f>SUM(F939:M939)</x:f>
        <x:v>105</x:v>
      </x:c>
      <x:c r="F939" s="14" t="n">
        <x:v>7</x:v>
      </x:c>
      <x:c r="G939" s="14" t="n">
        <x:v>21</x:v>
      </x:c>
      <x:c r="H939" s="14" t="n">
        <x:v>6</x:v>
      </x:c>
      <x:c r="I939" s="14" t="n">
        <x:v>1</x:v>
      </x:c>
      <x:c r="J939" s="14" t="n">
        <x:v>2</x:v>
      </x:c>
      <x:c r="K939" s="14" t="n">
        <x:v>4</x:v>
      </x:c>
      <x:c r="L939" s="14" t="n">
        <x:v>36</x:v>
      </x:c>
      <x:c r="M939" s="14" t="n">
        <x:v>28</x:v>
      </x:c>
      <x:c r="N939" s="15" t="n">
        <x:f>IF(E939=0,"해당 없음",F939/E939)</x:f>
        <x:v>0.06666666666666667</x:v>
      </x:c>
      <x:c r="O939" s="15" t="n">
        <x:f>IF(E939=0,"해당 없음",G939/E939)</x:f>
        <x:v>0.2</x:v>
      </x:c>
      <x:c r="P939" s="15" t="n">
        <x:f>IF(E939=0,"해당 없음",H939/E939)</x:f>
        <x:v>0.05714285714285714</x:v>
      </x:c>
      <x:c r="Q939" s="15" t="n">
        <x:f>IF(E939=0,"해당 없음",I939/E939)</x:f>
        <x:v>0.009523809523809525</x:v>
      </x:c>
      <x:c r="R939" s="15" t="n">
        <x:f>IF(E939=0,"해당 없음",J939/E939)</x:f>
        <x:v>0.01904761904761905</x:v>
      </x:c>
      <x:c r="S939" s="15" t="n">
        <x:f>IF(E939=0,"해당 없음",K939/E939)</x:f>
        <x:v>0.0380952380952381</x:v>
      </x:c>
      <x:c r="T939" s="15" t="n">
        <x:f>IF(E939=0,"해당 없음",L939/E939)</x:f>
        <x:v>0.34285714285714286</x:v>
      </x:c>
      <x:c r="U939" s="15" t="n">
        <x:f>IF(E939=0,"해당 없음",M939/E939)</x:f>
        <x:v>0.26666666666666666</x:v>
      </x:c>
      <x:c r="V939" s="16" t="n">
        <x:f>E939/5</x:f>
        <x:v>21</x:v>
      </x:c>
    </x:row>
    <x:row r="940" ht="22" customHeight="1">
      <x:c r="A940" s="2" t="n">
        <x:v>468</x:v>
      </x:c>
      <x:c r="B940" s="2" t="str">
        <x:v>RED</x:v>
      </x:c>
      <x:c r="C940" s="2" t="str">
        <x:v>200만</x:v>
      </x:c>
      <x:c r="D940" s="2" t="str">
        <x:v>0만</x:v>
      </x:c>
      <x:c r="E940" s="14" t="n">
        <x:f>SUM(F940:M940)</x:f>
        <x:v>103</x:v>
      </x:c>
      <x:c r="F940" s="14" t="n">
        <x:v>3</x:v>
      </x:c>
      <x:c r="G940" s="14" t="n">
        <x:v>23</x:v>
      </x:c>
      <x:c r="H940" s="14" t="n">
        <x:v>6</x:v>
      </x:c>
      <x:c r="I940" s="14" t="n">
        <x:v>1</x:v>
      </x:c>
      <x:c r="J940" s="14" t="n">
        <x:v>0</x:v>
      </x:c>
      <x:c r="K940" s="14" t="n">
        <x:v>9</x:v>
      </x:c>
      <x:c r="L940" s="14" t="n">
        <x:v>29</x:v>
      </x:c>
      <x:c r="M940" s="14" t="n">
        <x:v>32</x:v>
      </x:c>
      <x:c r="N940" s="15" t="n">
        <x:f>IF(E940=0,"해당 없음",F940/E940)</x:f>
        <x:v>0.02912621359223301</x:v>
      </x:c>
      <x:c r="O940" s="15" t="n">
        <x:f>IF(E940=0,"해당 없음",G940/E940)</x:f>
        <x:v>0.22330097087378642</x:v>
      </x:c>
      <x:c r="P940" s="15" t="n">
        <x:f>IF(E940=0,"해당 없음",H940/E940)</x:f>
        <x:v>0.05825242718446602</x:v>
      </x:c>
      <x:c r="Q940" s="15" t="n">
        <x:f>IF(E940=0,"해당 없음",I940/E940)</x:f>
        <x:v>0.009708737864077669</x:v>
      </x:c>
      <x:c r="R940" s="15" t="n">
        <x:f>IF(E940=0,"해당 없음",J940/E940)</x:f>
        <x:v>0</x:v>
      </x:c>
      <x:c r="S940" s="15" t="n">
        <x:f>IF(E940=0,"해당 없음",K940/E940)</x:f>
        <x:v>0.08737864077669903</x:v>
      </x:c>
      <x:c r="T940" s="15" t="n">
        <x:f>IF(E940=0,"해당 없음",L940/E940)</x:f>
        <x:v>0.2815533980582524</x:v>
      </x:c>
      <x:c r="U940" s="15" t="n">
        <x:f>IF(E940=0,"해당 없음",M940/E940)</x:f>
        <x:v>0.3106796116504854</x:v>
      </x:c>
      <x:c r="V940" s="16" t="n">
        <x:f>E940/5</x:f>
        <x:v>20.6</x:v>
      </x:c>
    </x:row>
    <x:row r="941" ht="22" customHeight="1">
      <x:c r="A941" s="2" t="n">
        <x:v>468</x:v>
      </x:c>
      <x:c r="B941" s="2" t="str">
        <x:v>NAVY</x:v>
      </x:c>
      <x:c r="C941" s="2" t="str">
        <x:v>0만</x:v>
      </x:c>
      <x:c r="D941" s="2" t="str">
        <x:v>200만</x:v>
      </x:c>
      <x:c r="E941" s="14" t="n">
        <x:f>SUM(F941:M941)</x:f>
        <x:v>102</x:v>
      </x:c>
      <x:c r="F941" s="14" t="n">
        <x:v>9</x:v>
      </x:c>
      <x:c r="G941" s="14" t="n">
        <x:v>11</x:v>
      </x:c>
      <x:c r="H941" s="14" t="n">
        <x:v>11</x:v>
      </x:c>
      <x:c r="I941" s="14" t="n">
        <x:v>16</x:v>
      </x:c>
      <x:c r="J941" s="14" t="n">
        <x:v>13</x:v>
      </x:c>
      <x:c r="K941" s="14" t="n">
        <x:v>11</x:v>
      </x:c>
      <x:c r="L941" s="14" t="n">
        <x:v>13</x:v>
      </x:c>
      <x:c r="M941" s="14" t="n">
        <x:v>18</x:v>
      </x:c>
      <x:c r="N941" s="15" t="n">
        <x:f>IF(E941=0,"해당 없음",F941/E941)</x:f>
        <x:v>0.08823529411764706</x:v>
      </x:c>
      <x:c r="O941" s="15" t="n">
        <x:f>IF(E941=0,"해당 없음",G941/E941)</x:f>
        <x:v>0.10784313725490197</x:v>
      </x:c>
      <x:c r="P941" s="15" t="n">
        <x:f>IF(E941=0,"해당 없음",H941/E941)</x:f>
        <x:v>0.10784313725490197</x:v>
      </x:c>
      <x:c r="Q941" s="15" t="n">
        <x:f>IF(E941=0,"해당 없음",I941/E941)</x:f>
        <x:v>0.1568627450980392</x:v>
      </x:c>
      <x:c r="R941" s="15" t="n">
        <x:f>IF(E941=0,"해당 없음",J941/E941)</x:f>
        <x:v>0.12745098039215685</x:v>
      </x:c>
      <x:c r="S941" s="15" t="n">
        <x:f>IF(E941=0,"해당 없음",K941/E941)</x:f>
        <x:v>0.10784313725490197</x:v>
      </x:c>
      <x:c r="T941" s="15" t="n">
        <x:f>IF(E941=0,"해당 없음",L941/E941)</x:f>
        <x:v>0.12745098039215685</x:v>
      </x:c>
      <x:c r="U941" s="15" t="n">
        <x:f>IF(E941=0,"해당 없음",M941/E941)</x:f>
        <x:v>0.17647058823529413</x:v>
      </x:c>
      <x:c r="V941" s="16" t="n">
        <x:f>E941/5</x:f>
        <x:v>20.4</x:v>
      </x:c>
    </x:row>
    <x:row r="942" ht="22" customHeight="1">
      <x:c r="A942" s="2" t="n">
        <x:v>469</x:v>
      </x:c>
      <x:c r="B942" s="2" t="str">
        <x:v>RED</x:v>
      </x:c>
      <x:c r="C942" s="2" t="str">
        <x:v>0만</x:v>
      </x:c>
      <x:c r="D942" s="2" t="str">
        <x:v>200만</x:v>
      </x:c>
      <x:c r="E942" s="14" t="n">
        <x:f>SUM(F942:M942)</x:f>
        <x:v>106</x:v>
      </x:c>
      <x:c r="F942" s="14" t="n">
        <x:v>11</x:v>
      </x:c>
      <x:c r="G942" s="14" t="n">
        <x:v>20</x:v>
      </x:c>
      <x:c r="H942" s="14" t="n">
        <x:v>11</x:v>
      </x:c>
      <x:c r="I942" s="14" t="n">
        <x:v>3</x:v>
      </x:c>
      <x:c r="J942" s="14" t="n">
        <x:v>16</x:v>
      </x:c>
      <x:c r="K942" s="14" t="n">
        <x:v>17</x:v>
      </x:c>
      <x:c r="L942" s="14" t="n">
        <x:v>18</x:v>
      </x:c>
      <x:c r="M942" s="14" t="n">
        <x:v>10</x:v>
      </x:c>
      <x:c r="N942" s="15" t="n">
        <x:f>IF(E942=0,"해당 없음",F942/E942)</x:f>
        <x:v>0.10377358490566038</x:v>
      </x:c>
      <x:c r="O942" s="15" t="n">
        <x:f>IF(E942=0,"해당 없음",G942/E942)</x:f>
        <x:v>0.18867924528301888</x:v>
      </x:c>
      <x:c r="P942" s="15" t="n">
        <x:f>IF(E942=0,"해당 없음",H942/E942)</x:f>
        <x:v>0.10377358490566038</x:v>
      </x:c>
      <x:c r="Q942" s="15" t="n">
        <x:f>IF(E942=0,"해당 없음",I942/E942)</x:f>
        <x:v>0.02830188679245283</x:v>
      </x:c>
      <x:c r="R942" s="15" t="n">
        <x:f>IF(E942=0,"해당 없음",J942/E942)</x:f>
        <x:v>0.1509433962264151</x:v>
      </x:c>
      <x:c r="S942" s="15" t="n">
        <x:f>IF(E942=0,"해당 없음",K942/E942)</x:f>
        <x:v>0.16037735849056603</x:v>
      </x:c>
      <x:c r="T942" s="15" t="n">
        <x:f>IF(E942=0,"해당 없음",L942/E942)</x:f>
        <x:v>0.16981132075471697</x:v>
      </x:c>
      <x:c r="U942" s="15" t="n">
        <x:f>IF(E942=0,"해당 없음",M942/E942)</x:f>
        <x:v>0.09433962264150944</x:v>
      </x:c>
      <x:c r="V942" s="16" t="n">
        <x:f>E942/5</x:f>
        <x:v>21.2</x:v>
      </x:c>
    </x:row>
    <x:row r="943" ht="22" customHeight="1">
      <x:c r="A943" s="2" t="n">
        <x:v>469</x:v>
      </x:c>
      <x:c r="B943" s="2" t="str">
        <x:v>NAVY</x:v>
      </x:c>
      <x:c r="C943" s="2" t="str">
        <x:v>200만</x:v>
      </x:c>
      <x:c r="D943" s="2" t="str">
        <x:v>0만</x:v>
      </x:c>
      <x:c r="E943" s="14" t="n">
        <x:f>SUM(F943:M943)</x:f>
        <x:v>104</x:v>
      </x:c>
      <x:c r="F943" s="14" t="n">
        <x:v>7</x:v>
      </x:c>
      <x:c r="G943" s="14" t="n">
        <x:v>12</x:v>
      </x:c>
      <x:c r="H943" s="14" t="n">
        <x:v>9</x:v>
      </x:c>
      <x:c r="I943" s="14" t="n">
        <x:v>2</x:v>
      </x:c>
      <x:c r="J943" s="14" t="n">
        <x:v>1</x:v>
      </x:c>
      <x:c r="K943" s="14" t="n">
        <x:v>11</x:v>
      </x:c>
      <x:c r="L943" s="14" t="n">
        <x:v>34</x:v>
      </x:c>
      <x:c r="M943" s="14" t="n">
        <x:v>28</x:v>
      </x:c>
      <x:c r="N943" s="15" t="n">
        <x:f>IF(E943=0,"해당 없음",F943/E943)</x:f>
        <x:v>0.0673076923076923</x:v>
      </x:c>
      <x:c r="O943" s="15" t="n">
        <x:f>IF(E943=0,"해당 없음",G943/E943)</x:f>
        <x:v>0.11538461538461539</x:v>
      </x:c>
      <x:c r="P943" s="15" t="n">
        <x:f>IF(E943=0,"해당 없음",H943/E943)</x:f>
        <x:v>0.08653846153846154</x:v>
      </x:c>
      <x:c r="Q943" s="15" t="n">
        <x:f>IF(E943=0,"해당 없음",I943/E943)</x:f>
        <x:v>0.019230769230769232</x:v>
      </x:c>
      <x:c r="R943" s="15" t="n">
        <x:f>IF(E943=0,"해당 없음",J943/E943)</x:f>
        <x:v>0.009615384615384616</x:v>
      </x:c>
      <x:c r="S943" s="15" t="n">
        <x:f>IF(E943=0,"해당 없음",K943/E943)</x:f>
        <x:v>0.10576923076923077</x:v>
      </x:c>
      <x:c r="T943" s="15" t="n">
        <x:f>IF(E943=0,"해당 없음",L943/E943)</x:f>
        <x:v>0.3269230769230769</x:v>
      </x:c>
      <x:c r="U943" s="15" t="n">
        <x:f>IF(E943=0,"해당 없음",M943/E943)</x:f>
        <x:v>0.2692307692307692</x:v>
      </x:c>
      <x:c r="V943" s="16" t="n">
        <x:f>E943/5</x:f>
        <x:v>20.8</x:v>
      </x:c>
    </x:row>
    <x:row r="944" ht="22" customHeight="1">
      <x:c r="A944" s="2" t="n">
        <x:v>470</x:v>
      </x:c>
      <x:c r="B944" s="2" t="str">
        <x:v>RED</x:v>
      </x:c>
      <x:c r="C944" s="2" t="str">
        <x:v>200만</x:v>
      </x:c>
      <x:c r="D944" s="2" t="str">
        <x:v>0만</x:v>
      </x:c>
      <x:c r="E944" s="14" t="n">
        <x:f>SUM(F944:M944)</x:f>
        <x:v>106</x:v>
      </x:c>
      <x:c r="F944" s="14" t="n">
        <x:v>7</x:v>
      </x:c>
      <x:c r="G944" s="14" t="n">
        <x:v>16</x:v>
      </x:c>
      <x:c r="H944" s="14" t="n">
        <x:v>2</x:v>
      </x:c>
      <x:c r="I944" s="14" t="n">
        <x:v>6</x:v>
      </x:c>
      <x:c r="J944" s="14" t="n">
        <x:v>2</x:v>
      </x:c>
      <x:c r="K944" s="14" t="n">
        <x:v>5</x:v>
      </x:c>
      <x:c r="L944" s="14" t="n">
        <x:v>35</x:v>
      </x:c>
      <x:c r="M944" s="14" t="n">
        <x:v>33</x:v>
      </x:c>
      <x:c r="N944" s="15" t="n">
        <x:f>IF(E944=0,"해당 없음",F944/E944)</x:f>
        <x:v>0.0660377358490566</x:v>
      </x:c>
      <x:c r="O944" s="15" t="n">
        <x:f>IF(E944=0,"해당 없음",G944/E944)</x:f>
        <x:v>0.1509433962264151</x:v>
      </x:c>
      <x:c r="P944" s="15" t="n">
        <x:f>IF(E944=0,"해당 없음",H944/E944)</x:f>
        <x:v>0.018867924528301886</x:v>
      </x:c>
      <x:c r="Q944" s="15" t="n">
        <x:f>IF(E944=0,"해당 없음",I944/E944)</x:f>
        <x:v>0.05660377358490566</x:v>
      </x:c>
      <x:c r="R944" s="15" t="n">
        <x:f>IF(E944=0,"해당 없음",J944/E944)</x:f>
        <x:v>0.018867924528301886</x:v>
      </x:c>
      <x:c r="S944" s="15" t="n">
        <x:f>IF(E944=0,"해당 없음",K944/E944)</x:f>
        <x:v>0.04716981132075472</x:v>
      </x:c>
      <x:c r="T944" s="15" t="n">
        <x:f>IF(E944=0,"해당 없음",L944/E944)</x:f>
        <x:v>0.330188679245283</x:v>
      </x:c>
      <x:c r="U944" s="15" t="n">
        <x:f>IF(E944=0,"해당 없음",M944/E944)</x:f>
        <x:v>0.3113207547169811</x:v>
      </x:c>
      <x:c r="V944" s="16" t="n">
        <x:f>E944/5</x:f>
        <x:v>21.2</x:v>
      </x:c>
    </x:row>
    <x:row r="945" ht="22" customHeight="1">
      <x:c r="A945" s="2" t="n">
        <x:v>470</x:v>
      </x:c>
      <x:c r="B945" s="2" t="str">
        <x:v>NAVY</x:v>
      </x:c>
      <x:c r="C945" s="2" t="str">
        <x:v>0만</x:v>
      </x:c>
      <x:c r="D945" s="2" t="str">
        <x:v>200만</x:v>
      </x:c>
      <x:c r="E945" s="14" t="n">
        <x:f>SUM(F945:M945)</x:f>
        <x:v>104</x:v>
      </x:c>
      <x:c r="F945" s="14" t="n">
        <x:v>10</x:v>
      </x:c>
      <x:c r="G945" s="14" t="n">
        <x:v>19</x:v>
      </x:c>
      <x:c r="H945" s="14" t="n">
        <x:v>10</x:v>
      </x:c>
      <x:c r="I945" s="14" t="n">
        <x:v>4</x:v>
      </x:c>
      <x:c r="J945" s="14" t="n">
        <x:v>16</x:v>
      </x:c>
      <x:c r="K945" s="14" t="n">
        <x:v>16</x:v>
      </x:c>
      <x:c r="L945" s="14" t="n">
        <x:v>19</x:v>
      </x:c>
      <x:c r="M945" s="14" t="n">
        <x:v>10</x:v>
      </x:c>
      <x:c r="N945" s="15" t="n">
        <x:f>IF(E945=0,"해당 없음",F945/E945)</x:f>
        <x:v>0.09615384615384616</x:v>
      </x:c>
      <x:c r="O945" s="15" t="n">
        <x:f>IF(E945=0,"해당 없음",G945/E945)</x:f>
        <x:v>0.18269230769230768</x:v>
      </x:c>
      <x:c r="P945" s="15" t="n">
        <x:f>IF(E945=0,"해당 없음",H945/E945)</x:f>
        <x:v>0.09615384615384616</x:v>
      </x:c>
      <x:c r="Q945" s="15" t="n">
        <x:f>IF(E945=0,"해당 없음",I945/E945)</x:f>
        <x:v>0.038461538461538464</x:v>
      </x:c>
      <x:c r="R945" s="15" t="n">
        <x:f>IF(E945=0,"해당 없음",J945/E945)</x:f>
        <x:v>0.15384615384615385</x:v>
      </x:c>
      <x:c r="S945" s="15" t="n">
        <x:f>IF(E945=0,"해당 없음",K945/E945)</x:f>
        <x:v>0.15384615384615385</x:v>
      </x:c>
      <x:c r="T945" s="15" t="n">
        <x:f>IF(E945=0,"해당 없음",L945/E945)</x:f>
        <x:v>0.18269230769230768</x:v>
      </x:c>
      <x:c r="U945" s="15" t="n">
        <x:f>IF(E945=0,"해당 없음",M945/E945)</x:f>
        <x:v>0.09615384615384616</x:v>
      </x:c>
      <x:c r="V945" s="16" t="n">
        <x:f>E945/5</x:f>
        <x:v>20.8</x:v>
      </x:c>
    </x:row>
    <x:row r="946" ht="22" customHeight="1">
      <x:c r="A946" s="2" t="n">
        <x:v>471</x:v>
      </x:c>
      <x:c r="B946" s="2" t="str">
        <x:v>RED</x:v>
      </x:c>
      <x:c r="C946" s="2" t="str">
        <x:v>0만</x:v>
      </x:c>
      <x:c r="D946" s="2" t="str">
        <x:v>200만</x:v>
      </x:c>
      <x:c r="E946" s="14" t="n">
        <x:f>SUM(F946:M946)</x:f>
        <x:v>101</x:v>
      </x:c>
      <x:c r="F946" s="14" t="n">
        <x:v>12</x:v>
      </x:c>
      <x:c r="G946" s="14" t="n">
        <x:v>15</x:v>
      </x:c>
      <x:c r="H946" s="14" t="n">
        <x:v>13</x:v>
      </x:c>
      <x:c r="I946" s="14" t="n">
        <x:v>12</x:v>
      </x:c>
      <x:c r="J946" s="14" t="n">
        <x:v>11</x:v>
      </x:c>
      <x:c r="K946" s="14" t="n">
        <x:v>9</x:v>
      </x:c>
      <x:c r="L946" s="14" t="n">
        <x:v>14</x:v>
      </x:c>
      <x:c r="M946" s="14" t="n">
        <x:v>15</x:v>
      </x:c>
      <x:c r="N946" s="15" t="n">
        <x:f>IF(E946=0,"해당 없음",F946/E946)</x:f>
        <x:v>0.1188118811881188</x:v>
      </x:c>
      <x:c r="O946" s="15" t="n">
        <x:f>IF(E946=0,"해당 없음",G946/E946)</x:f>
        <x:v>0.1485148514851485</x:v>
      </x:c>
      <x:c r="P946" s="15" t="n">
        <x:f>IF(E946=0,"해당 없음",H946/E946)</x:f>
        <x:v>0.12871287128712872</x:v>
      </x:c>
      <x:c r="Q946" s="15" t="n">
        <x:f>IF(E946=0,"해당 없음",I946/E946)</x:f>
        <x:v>0.1188118811881188</x:v>
      </x:c>
      <x:c r="R946" s="15" t="n">
        <x:f>IF(E946=0,"해당 없음",J946/E946)</x:f>
        <x:v>0.10891089108910891</x:v>
      </x:c>
      <x:c r="S946" s="15" t="n">
        <x:f>IF(E946=0,"해당 없음",K946/E946)</x:f>
        <x:v>0.0891089108910891</x:v>
      </x:c>
      <x:c r="T946" s="15" t="n">
        <x:f>IF(E946=0,"해당 없음",L946/E946)</x:f>
        <x:v>0.13861386138613863</x:v>
      </x:c>
      <x:c r="U946" s="15" t="n">
        <x:f>IF(E946=0,"해당 없음",M946/E946)</x:f>
        <x:v>0.1485148514851485</x:v>
      </x:c>
      <x:c r="V946" s="16" t="n">
        <x:f>E946/5</x:f>
        <x:v>20.2</x:v>
      </x:c>
    </x:row>
    <x:row r="947" ht="22" customHeight="1">
      <x:c r="A947" s="2" t="n">
        <x:v>471</x:v>
      </x:c>
      <x:c r="B947" s="2" t="str">
        <x:v>NAVY</x:v>
      </x:c>
      <x:c r="C947" s="2" t="str">
        <x:v>200만</x:v>
      </x:c>
      <x:c r="D947" s="2" t="str">
        <x:v>0만</x:v>
      </x:c>
      <x:c r="E947" s="14" t="n">
        <x:f>SUM(F947:M947)</x:f>
        <x:v>99</x:v>
      </x:c>
      <x:c r="F947" s="14" t="n">
        <x:v>3</x:v>
      </x:c>
      <x:c r="G947" s="14" t="n">
        <x:v>23</x:v>
      </x:c>
      <x:c r="H947" s="14" t="n">
        <x:v>5</x:v>
      </x:c>
      <x:c r="I947" s="14" t="n">
        <x:v>3</x:v>
      </x:c>
      <x:c r="J947" s="14" t="n">
        <x:v>0</x:v>
      </x:c>
      <x:c r="K947" s="14" t="n">
        <x:v>18</x:v>
      </x:c>
      <x:c r="L947" s="14" t="n">
        <x:v>23</x:v>
      </x:c>
      <x:c r="M947" s="14" t="n">
        <x:v>24</x:v>
      </x:c>
      <x:c r="N947" s="15" t="n">
        <x:f>IF(E947=0,"해당 없음",F947/E947)</x:f>
        <x:v>0.030303030303030304</x:v>
      </x:c>
      <x:c r="O947" s="15" t="n">
        <x:f>IF(E947=0,"해당 없음",G947/E947)</x:f>
        <x:v>0.23232323232323232</x:v>
      </x:c>
      <x:c r="P947" s="15" t="n">
        <x:f>IF(E947=0,"해당 없음",H947/E947)</x:f>
        <x:v>0.050505050505050504</x:v>
      </x:c>
      <x:c r="Q947" s="15" t="n">
        <x:f>IF(E947=0,"해당 없음",I947/E947)</x:f>
        <x:v>0.030303030303030304</x:v>
      </x:c>
      <x:c r="R947" s="15" t="n">
        <x:f>IF(E947=0,"해당 없음",J947/E947)</x:f>
        <x:v>0</x:v>
      </x:c>
      <x:c r="S947" s="15" t="n">
        <x:f>IF(E947=0,"해당 없음",K947/E947)</x:f>
        <x:v>0.18181818181818182</x:v>
      </x:c>
      <x:c r="T947" s="15" t="n">
        <x:f>IF(E947=0,"해당 없음",L947/E947)</x:f>
        <x:v>0.23232323232323232</x:v>
      </x:c>
      <x:c r="U947" s="15" t="n">
        <x:f>IF(E947=0,"해당 없음",M947/E947)</x:f>
        <x:v>0.24242424242424243</x:v>
      </x:c>
      <x:c r="V947" s="16" t="n">
        <x:f>E947/5</x:f>
        <x:v>19.8</x:v>
      </x:c>
    </x:row>
    <x:row r="948" ht="22" customHeight="1">
      <x:c r="A948" s="2" t="n">
        <x:v>472</x:v>
      </x:c>
      <x:c r="B948" s="2" t="str">
        <x:v>RED</x:v>
      </x:c>
      <x:c r="C948" s="2" t="str">
        <x:v>200만</x:v>
      </x:c>
      <x:c r="D948" s="2" t="str">
        <x:v>0만</x:v>
      </x:c>
      <x:c r="E948" s="14" t="n">
        <x:f>SUM(F948:M948)</x:f>
        <x:v>104</x:v>
      </x:c>
      <x:c r="F948" s="14" t="n">
        <x:v>3</x:v>
      </x:c>
      <x:c r="G948" s="14" t="n">
        <x:v>17</x:v>
      </x:c>
      <x:c r="H948" s="14" t="n">
        <x:v>5</x:v>
      </x:c>
      <x:c r="I948" s="14" t="n">
        <x:v>6</x:v>
      </x:c>
      <x:c r="J948" s="14" t="n">
        <x:v>2</x:v>
      </x:c>
      <x:c r="K948" s="14" t="n">
        <x:v>5</x:v>
      </x:c>
      <x:c r="L948" s="14" t="n">
        <x:v>43</x:v>
      </x:c>
      <x:c r="M948" s="14" t="n">
        <x:v>23</x:v>
      </x:c>
      <x:c r="N948" s="15" t="n">
        <x:f>IF(E948=0,"해당 없음",F948/E948)</x:f>
        <x:v>0.028846153846153848</x:v>
      </x:c>
      <x:c r="O948" s="15" t="n">
        <x:f>IF(E948=0,"해당 없음",G948/E948)</x:f>
        <x:v>0.16346153846153846</x:v>
      </x:c>
      <x:c r="P948" s="15" t="n">
        <x:f>IF(E948=0,"해당 없음",H948/E948)</x:f>
        <x:v>0.04807692307692308</x:v>
      </x:c>
      <x:c r="Q948" s="15" t="n">
        <x:f>IF(E948=0,"해당 없음",I948/E948)</x:f>
        <x:v>0.057692307692307696</x:v>
      </x:c>
      <x:c r="R948" s="15" t="n">
        <x:f>IF(E948=0,"해당 없음",J948/E948)</x:f>
        <x:v>0.019230769230769232</x:v>
      </x:c>
      <x:c r="S948" s="15" t="n">
        <x:f>IF(E948=0,"해당 없음",K948/E948)</x:f>
        <x:v>0.04807692307692308</x:v>
      </x:c>
      <x:c r="T948" s="15" t="n">
        <x:f>IF(E948=0,"해당 없음",L948/E948)</x:f>
        <x:v>0.41346153846153844</x:v>
      </x:c>
      <x:c r="U948" s="15" t="n">
        <x:f>IF(E948=0,"해당 없음",M948/E948)</x:f>
        <x:v>0.22115384615384615</x:v>
      </x:c>
      <x:c r="V948" s="16" t="n">
        <x:f>E948/5</x:f>
        <x:v>20.8</x:v>
      </x:c>
    </x:row>
    <x:row r="949" ht="22" customHeight="1">
      <x:c r="A949" s="2" t="n">
        <x:v>472</x:v>
      </x:c>
      <x:c r="B949" s="2" t="str">
        <x:v>NAVY</x:v>
      </x:c>
      <x:c r="C949" s="2" t="str">
        <x:v>0만</x:v>
      </x:c>
      <x:c r="D949" s="2" t="str">
        <x:v>200만</x:v>
      </x:c>
      <x:c r="E949" s="14" t="n">
        <x:f>SUM(F949:M949)</x:f>
        <x:v>104</x:v>
      </x:c>
      <x:c r="F949" s="14" t="n">
        <x:v>13</x:v>
      </x:c>
      <x:c r="G949" s="14" t="n">
        <x:v>15</x:v>
      </x:c>
      <x:c r="H949" s="14" t="n">
        <x:v>13</x:v>
      </x:c>
      <x:c r="I949" s="14" t="n">
        <x:v>12</x:v>
      </x:c>
      <x:c r="J949" s="14" t="n">
        <x:v>11</x:v>
      </x:c>
      <x:c r="K949" s="14" t="n">
        <x:v>9</x:v>
      </x:c>
      <x:c r="L949" s="14" t="n">
        <x:v>15</x:v>
      </x:c>
      <x:c r="M949" s="14" t="n">
        <x:v>16</x:v>
      </x:c>
      <x:c r="N949" s="15" t="n">
        <x:f>IF(E949=0,"해당 없음",F949/E949)</x:f>
        <x:v>0.125</x:v>
      </x:c>
      <x:c r="O949" s="15" t="n">
        <x:f>IF(E949=0,"해당 없음",G949/E949)</x:f>
        <x:v>0.14423076923076922</x:v>
      </x:c>
      <x:c r="P949" s="15" t="n">
        <x:f>IF(E949=0,"해당 없음",H949/E949)</x:f>
        <x:v>0.125</x:v>
      </x:c>
      <x:c r="Q949" s="15" t="n">
        <x:f>IF(E949=0,"해당 없음",I949/E949)</x:f>
        <x:v>0.11538461538461539</x:v>
      </x:c>
      <x:c r="R949" s="15" t="n">
        <x:f>IF(E949=0,"해당 없음",J949/E949)</x:f>
        <x:v>0.10576923076923077</x:v>
      </x:c>
      <x:c r="S949" s="15" t="n">
        <x:f>IF(E949=0,"해당 없음",K949/E949)</x:f>
        <x:v>0.08653846153846154</x:v>
      </x:c>
      <x:c r="T949" s="15" t="n">
        <x:f>IF(E949=0,"해당 없음",L949/E949)</x:f>
        <x:v>0.14423076923076922</x:v>
      </x:c>
      <x:c r="U949" s="15" t="n">
        <x:f>IF(E949=0,"해당 없음",M949/E949)</x:f>
        <x:v>0.15384615384615385</x:v>
      </x:c>
      <x:c r="V949" s="16" t="n">
        <x:f>E949/5</x:f>
        <x:v>20.8</x:v>
      </x:c>
    </x:row>
    <x:row r="950" ht="22" customHeight="1">
      <x:c r="A950" s="2" t="n">
        <x:v>473</x:v>
      </x:c>
      <x:c r="B950" s="2" t="str">
        <x:v>RED</x:v>
      </x:c>
      <x:c r="C950" s="2" t="str">
        <x:v>0만</x:v>
      </x:c>
      <x:c r="D950" s="2" t="str">
        <x:v>200만</x:v>
      </x:c>
      <x:c r="E950" s="14" t="n">
        <x:f>SUM(F950:M950)</x:f>
        <x:v>105</x:v>
      </x:c>
      <x:c r="F950" s="14" t="n">
        <x:v>13</x:v>
      </x:c>
      <x:c r="G950" s="14" t="n">
        <x:v>14</x:v>
      </x:c>
      <x:c r="H950" s="14" t="n">
        <x:v>16</x:v>
      </x:c>
      <x:c r="I950" s="14" t="n">
        <x:v>7</x:v>
      </x:c>
      <x:c r="J950" s="14" t="n">
        <x:v>14</x:v>
      </x:c>
      <x:c r="K950" s="14" t="n">
        <x:v>12</x:v>
      </x:c>
      <x:c r="L950" s="14" t="n">
        <x:v>19</x:v>
      </x:c>
      <x:c r="M950" s="14" t="n">
        <x:v>10</x:v>
      </x:c>
      <x:c r="N950" s="15" t="n">
        <x:f>IF(E950=0,"해당 없음",F950/E950)</x:f>
        <x:v>0.12380952380952381</x:v>
      </x:c>
      <x:c r="O950" s="15" t="n">
        <x:f>IF(E950=0,"해당 없음",G950/E950)</x:f>
        <x:v>0.13333333333333333</x:v>
      </x:c>
      <x:c r="P950" s="15" t="n">
        <x:f>IF(E950=0,"해당 없음",H950/E950)</x:f>
        <x:v>0.1523809523809524</x:v>
      </x:c>
      <x:c r="Q950" s="15" t="n">
        <x:f>IF(E950=0,"해당 없음",I950/E950)</x:f>
        <x:v>0.06666666666666667</x:v>
      </x:c>
      <x:c r="R950" s="15" t="n">
        <x:f>IF(E950=0,"해당 없음",J950/E950)</x:f>
        <x:v>0.13333333333333333</x:v>
      </x:c>
      <x:c r="S950" s="15" t="n">
        <x:f>IF(E950=0,"해당 없음",K950/E950)</x:f>
        <x:v>0.11428571428571428</x:v>
      </x:c>
      <x:c r="T950" s="15" t="n">
        <x:f>IF(E950=0,"해당 없음",L950/E950)</x:f>
        <x:v>0.18095238095238095</x:v>
      </x:c>
      <x:c r="U950" s="15" t="n">
        <x:f>IF(E950=0,"해당 없음",M950/E950)</x:f>
        <x:v>0.09523809523809523</x:v>
      </x:c>
      <x:c r="V950" s="16" t="n">
        <x:f>E950/5</x:f>
        <x:v>21</x:v>
      </x:c>
    </x:row>
    <x:row r="951" ht="22" customHeight="1">
      <x:c r="A951" s="2" t="n">
        <x:v>473</x:v>
      </x:c>
      <x:c r="B951" s="2" t="str">
        <x:v>NAVY</x:v>
      </x:c>
      <x:c r="C951" s="2" t="str">
        <x:v>200만</x:v>
      </x:c>
      <x:c r="D951" s="2" t="str">
        <x:v>0만</x:v>
      </x:c>
      <x:c r="E951" s="14" t="n">
        <x:f>SUM(F951:M951)</x:f>
        <x:v>105</x:v>
      </x:c>
      <x:c r="F951" s="14" t="n">
        <x:v>3</x:v>
      </x:c>
      <x:c r="G951" s="14" t="n">
        <x:v>13</x:v>
      </x:c>
      <x:c r="H951" s="14" t="n">
        <x:v>6</x:v>
      </x:c>
      <x:c r="I951" s="14" t="n">
        <x:v>5</x:v>
      </x:c>
      <x:c r="J951" s="14" t="n">
        <x:v>3</x:v>
      </x:c>
      <x:c r="K951" s="14" t="n">
        <x:v>5</x:v>
      </x:c>
      <x:c r="L951" s="14" t="n">
        <x:v>40</x:v>
      </x:c>
      <x:c r="M951" s="14" t="n">
        <x:v>30</x:v>
      </x:c>
      <x:c r="N951" s="15" t="n">
        <x:f>IF(E951=0,"해당 없음",F951/E951)</x:f>
        <x:v>0.02857142857142857</x:v>
      </x:c>
      <x:c r="O951" s="15" t="n">
        <x:f>IF(E951=0,"해당 없음",G951/E951)</x:f>
        <x:v>0.12380952380952381</x:v>
      </x:c>
      <x:c r="P951" s="15" t="n">
        <x:f>IF(E951=0,"해당 없음",H951/E951)</x:f>
        <x:v>0.05714285714285714</x:v>
      </x:c>
      <x:c r="Q951" s="15" t="n">
        <x:f>IF(E951=0,"해당 없음",I951/E951)</x:f>
        <x:v>0.047619047619047616</x:v>
      </x:c>
      <x:c r="R951" s="15" t="n">
        <x:f>IF(E951=0,"해당 없음",J951/E951)</x:f>
        <x:v>0.02857142857142857</x:v>
      </x:c>
      <x:c r="S951" s="15" t="n">
        <x:f>IF(E951=0,"해당 없음",K951/E951)</x:f>
        <x:v>0.047619047619047616</x:v>
      </x:c>
      <x:c r="T951" s="15" t="n">
        <x:f>IF(E951=0,"해당 없음",L951/E951)</x:f>
        <x:v>0.38095238095238093</x:v>
      </x:c>
      <x:c r="U951" s="15" t="n">
        <x:f>IF(E951=0,"해당 없음",M951/E951)</x:f>
        <x:v>0.2857142857142857</x:v>
      </x:c>
      <x:c r="V951" s="16" t="n">
        <x:f>E951/5</x:f>
        <x:v>21</x:v>
      </x:c>
    </x:row>
    <x:row r="952" ht="22" customHeight="1">
      <x:c r="A952" s="2" t="n">
        <x:v>474</x:v>
      </x:c>
      <x:c r="B952" s="2" t="str">
        <x:v>RED</x:v>
      </x:c>
      <x:c r="C952" s="2" t="str">
        <x:v>200만</x:v>
      </x:c>
      <x:c r="D952" s="2" t="str">
        <x:v>0만</x:v>
      </x:c>
      <x:c r="E952" s="14" t="n">
        <x:f>SUM(F952:M952)</x:f>
        <x:v>106</x:v>
      </x:c>
      <x:c r="F952" s="14" t="n">
        <x:v>4</x:v>
      </x:c>
      <x:c r="G952" s="14" t="n">
        <x:v>16</x:v>
      </x:c>
      <x:c r="H952" s="14" t="n">
        <x:v>6</x:v>
      </x:c>
      <x:c r="I952" s="14" t="n">
        <x:v>5</x:v>
      </x:c>
      <x:c r="J952" s="14" t="n">
        <x:v>4</x:v>
      </x:c>
      <x:c r="K952" s="14" t="n">
        <x:v>6</x:v>
      </x:c>
      <x:c r="L952" s="14" t="n">
        <x:v>37</x:v>
      </x:c>
      <x:c r="M952" s="14" t="n">
        <x:v>28</x:v>
      </x:c>
      <x:c r="N952" s="15" t="n">
        <x:f>IF(E952=0,"해당 없음",F952/E952)</x:f>
        <x:v>0.03773584905660377</x:v>
      </x:c>
      <x:c r="O952" s="15" t="n">
        <x:f>IF(E952=0,"해당 없음",G952/E952)</x:f>
        <x:v>0.1509433962264151</x:v>
      </x:c>
      <x:c r="P952" s="15" t="n">
        <x:f>IF(E952=0,"해당 없음",H952/E952)</x:f>
        <x:v>0.05660377358490566</x:v>
      </x:c>
      <x:c r="Q952" s="15" t="n">
        <x:f>IF(E952=0,"해당 없음",I952/E952)</x:f>
        <x:v>0.04716981132075472</x:v>
      </x:c>
      <x:c r="R952" s="15" t="n">
        <x:f>IF(E952=0,"해당 없음",J952/E952)</x:f>
        <x:v>0.03773584905660377</x:v>
      </x:c>
      <x:c r="S952" s="15" t="n">
        <x:f>IF(E952=0,"해당 없음",K952/E952)</x:f>
        <x:v>0.05660377358490566</x:v>
      </x:c>
      <x:c r="T952" s="15" t="n">
        <x:f>IF(E952=0,"해당 없음",L952/E952)</x:f>
        <x:v>0.3490566037735849</x:v>
      </x:c>
      <x:c r="U952" s="15" t="n">
        <x:f>IF(E952=0,"해당 없음",M952/E952)</x:f>
        <x:v>0.2641509433962264</x:v>
      </x:c>
      <x:c r="V952" s="16" t="n">
        <x:f>E952/5</x:f>
        <x:v>21.2</x:v>
      </x:c>
    </x:row>
    <x:row r="953" ht="22" customHeight="1">
      <x:c r="A953" s="2" t="n">
        <x:v>474</x:v>
      </x:c>
      <x:c r="B953" s="2" t="str">
        <x:v>NAVY</x:v>
      </x:c>
      <x:c r="C953" s="2" t="str">
        <x:v>0만</x:v>
      </x:c>
      <x:c r="D953" s="2" t="str">
        <x:v>200만</x:v>
      </x:c>
      <x:c r="E953" s="14" t="n">
        <x:f>SUM(F953:M953)</x:f>
        <x:v>103</x:v>
      </x:c>
      <x:c r="F953" s="14" t="n">
        <x:v>12</x:v>
      </x:c>
      <x:c r="G953" s="14" t="n">
        <x:v>13</x:v>
      </x:c>
      <x:c r="H953" s="14" t="n">
        <x:v>16</x:v>
      </x:c>
      <x:c r="I953" s="14" t="n">
        <x:v>8</x:v>
      </x:c>
      <x:c r="J953" s="14" t="n">
        <x:v>13</x:v>
      </x:c>
      <x:c r="K953" s="14" t="n">
        <x:v>12</x:v>
      </x:c>
      <x:c r="L953" s="14" t="n">
        <x:v>19</x:v>
      </x:c>
      <x:c r="M953" s="14" t="n">
        <x:v>10</x:v>
      </x:c>
      <x:c r="N953" s="15" t="n">
        <x:f>IF(E953=0,"해당 없음",F953/E953)</x:f>
        <x:v>0.11650485436893204</x:v>
      </x:c>
      <x:c r="O953" s="15" t="n">
        <x:f>IF(E953=0,"해당 없음",G953/E953)</x:f>
        <x:v>0.1262135922330097</x:v>
      </x:c>
      <x:c r="P953" s="15" t="n">
        <x:f>IF(E953=0,"해당 없음",H953/E953)</x:f>
        <x:v>0.1553398058252427</x:v>
      </x:c>
      <x:c r="Q953" s="15" t="n">
        <x:f>IF(E953=0,"해당 없음",I953/E953)</x:f>
        <x:v>0.07766990291262135</x:v>
      </x:c>
      <x:c r="R953" s="15" t="n">
        <x:f>IF(E953=0,"해당 없음",J953/E953)</x:f>
        <x:v>0.1262135922330097</x:v>
      </x:c>
      <x:c r="S953" s="15" t="n">
        <x:f>IF(E953=0,"해당 없음",K953/E953)</x:f>
        <x:v>0.11650485436893204</x:v>
      </x:c>
      <x:c r="T953" s="15" t="n">
        <x:f>IF(E953=0,"해당 없음",L953/E953)</x:f>
        <x:v>0.18446601941747573</x:v>
      </x:c>
      <x:c r="U953" s="15" t="n">
        <x:f>IF(E953=0,"해당 없음",M953/E953)</x:f>
        <x:v>0.0970873786407767</x:v>
      </x:c>
      <x:c r="V953" s="16" t="n">
        <x:f>E953/5</x:f>
        <x:v>20.6</x:v>
      </x:c>
    </x:row>
    <x:row r="954" ht="22" customHeight="1">
      <x:c r="A954" s="2" t="n">
        <x:v>475</x:v>
      </x:c>
      <x:c r="B954" s="2" t="str">
        <x:v>RED</x:v>
      </x:c>
      <x:c r="C954" s="2" t="str">
        <x:v>0만</x:v>
      </x:c>
      <x:c r="D954" s="2" t="str">
        <x:v>200만</x:v>
      </x:c>
      <x:c r="E954" s="14" t="n">
        <x:f>SUM(F954:M954)</x:f>
        <x:v>104</x:v>
      </x:c>
      <x:c r="F954" s="14" t="n">
        <x:v>15</x:v>
      </x:c>
      <x:c r="G954" s="14" t="n">
        <x:v>13</x:v>
      </x:c>
      <x:c r="H954" s="14" t="n">
        <x:v>13</x:v>
      </x:c>
      <x:c r="I954" s="14" t="n">
        <x:v>11</x:v>
      </x:c>
      <x:c r="J954" s="14" t="n">
        <x:v>9</x:v>
      </x:c>
      <x:c r="K954" s="14" t="n">
        <x:v>16</x:v>
      </x:c>
      <x:c r="L954" s="14" t="n">
        <x:v>15</x:v>
      </x:c>
      <x:c r="M954" s="14" t="n">
        <x:v>12</x:v>
      </x:c>
      <x:c r="N954" s="15" t="n">
        <x:f>IF(E954=0,"해당 없음",F954/E954)</x:f>
        <x:v>0.14423076923076922</x:v>
      </x:c>
      <x:c r="O954" s="15" t="n">
        <x:f>IF(E954=0,"해당 없음",G954/E954)</x:f>
        <x:v>0.125</x:v>
      </x:c>
      <x:c r="P954" s="15" t="n">
        <x:f>IF(E954=0,"해당 없음",H954/E954)</x:f>
        <x:v>0.125</x:v>
      </x:c>
      <x:c r="Q954" s="15" t="n">
        <x:f>IF(E954=0,"해당 없음",I954/E954)</x:f>
        <x:v>0.10576923076923077</x:v>
      </x:c>
      <x:c r="R954" s="15" t="n">
        <x:f>IF(E954=0,"해당 없음",J954/E954)</x:f>
        <x:v>0.08653846153846154</x:v>
      </x:c>
      <x:c r="S954" s="15" t="n">
        <x:f>IF(E954=0,"해당 없음",K954/E954)</x:f>
        <x:v>0.15384615384615385</x:v>
      </x:c>
      <x:c r="T954" s="15" t="n">
        <x:f>IF(E954=0,"해당 없음",L954/E954)</x:f>
        <x:v>0.14423076923076922</x:v>
      </x:c>
      <x:c r="U954" s="15" t="n">
        <x:f>IF(E954=0,"해당 없음",M954/E954)</x:f>
        <x:v>0.11538461538461539</x:v>
      </x:c>
      <x:c r="V954" s="16" t="n">
        <x:f>E954/5</x:f>
        <x:v>20.8</x:v>
      </x:c>
    </x:row>
    <x:row r="955" ht="22" customHeight="1">
      <x:c r="A955" s="2" t="n">
        <x:v>475</x:v>
      </x:c>
      <x:c r="B955" s="2" t="str">
        <x:v>NAVY</x:v>
      </x:c>
      <x:c r="C955" s="2" t="str">
        <x:v>200만</x:v>
      </x:c>
      <x:c r="D955" s="2" t="str">
        <x:v>0만</x:v>
      </x:c>
      <x:c r="E955" s="14" t="n">
        <x:f>SUM(F955:M955)</x:f>
        <x:v>105</x:v>
      </x:c>
      <x:c r="F955" s="14" t="n">
        <x:v>4</x:v>
      </x:c>
      <x:c r="G955" s="14" t="n">
        <x:v>18</x:v>
      </x:c>
      <x:c r="H955" s="14" t="n">
        <x:v>8</x:v>
      </x:c>
      <x:c r="I955" s="14" t="n">
        <x:v>9</x:v>
      </x:c>
      <x:c r="J955" s="14" t="n">
        <x:v>1</x:v>
      </x:c>
      <x:c r="K955" s="14" t="n">
        <x:v>11</x:v>
      </x:c>
      <x:c r="L955" s="14" t="n">
        <x:v>34</x:v>
      </x:c>
      <x:c r="M955" s="14" t="n">
        <x:v>20</x:v>
      </x:c>
      <x:c r="N955" s="15" t="n">
        <x:f>IF(E955=0,"해당 없음",F955/E955)</x:f>
        <x:v>0.0380952380952381</x:v>
      </x:c>
      <x:c r="O955" s="15" t="n">
        <x:f>IF(E955=0,"해당 없음",G955/E955)</x:f>
        <x:v>0.17142857142857143</x:v>
      </x:c>
      <x:c r="P955" s="15" t="n">
        <x:f>IF(E955=0,"해당 없음",H955/E955)</x:f>
        <x:v>0.0761904761904762</x:v>
      </x:c>
      <x:c r="Q955" s="15" t="n">
        <x:f>IF(E955=0,"해당 없음",I955/E955)</x:f>
        <x:v>0.08571428571428572</x:v>
      </x:c>
      <x:c r="R955" s="15" t="n">
        <x:f>IF(E955=0,"해당 없음",J955/E955)</x:f>
        <x:v>0.009523809523809525</x:v>
      </x:c>
      <x:c r="S955" s="15" t="n">
        <x:f>IF(E955=0,"해당 없음",K955/E955)</x:f>
        <x:v>0.10476190476190476</x:v>
      </x:c>
      <x:c r="T955" s="15" t="n">
        <x:f>IF(E955=0,"해당 없음",L955/E955)</x:f>
        <x:v>0.3238095238095238</x:v>
      </x:c>
      <x:c r="U955" s="15" t="n">
        <x:f>IF(E955=0,"해당 없음",M955/E955)</x:f>
        <x:v>0.19047619047619047</x:v>
      </x:c>
      <x:c r="V955" s="16" t="n">
        <x:f>E955/5</x:f>
        <x:v>21</x:v>
      </x:c>
    </x:row>
    <x:row r="956" ht="22" customHeight="1">
      <x:c r="A956" s="2" t="n">
        <x:v>476</x:v>
      </x:c>
      <x:c r="B956" s="2" t="str">
        <x:v>RED</x:v>
      </x:c>
      <x:c r="C956" s="2" t="str">
        <x:v>200만</x:v>
      </x:c>
      <x:c r="D956" s="2" t="str">
        <x:v>0만</x:v>
      </x:c>
      <x:c r="E956" s="14" t="n">
        <x:f>SUM(F956:M956)</x:f>
        <x:v>102</x:v>
      </x:c>
      <x:c r="F956" s="14" t="n">
        <x:v>3</x:v>
      </x:c>
      <x:c r="G956" s="14" t="n">
        <x:v>28</x:v>
      </x:c>
      <x:c r="H956" s="14" t="n">
        <x:v>4</x:v>
      </x:c>
      <x:c r="I956" s="14" t="n">
        <x:v>8</x:v>
      </x:c>
      <x:c r="J956" s="14" t="n">
        <x:v>1</x:v>
      </x:c>
      <x:c r="K956" s="14" t="n">
        <x:v>4</x:v>
      </x:c>
      <x:c r="L956" s="14" t="n">
        <x:v>35</x:v>
      </x:c>
      <x:c r="M956" s="14" t="n">
        <x:v>19</x:v>
      </x:c>
      <x:c r="N956" s="15" t="n">
        <x:f>IF(E956=0,"해당 없음",F956/E956)</x:f>
        <x:v>0.029411764705882353</x:v>
      </x:c>
      <x:c r="O956" s="15" t="n">
        <x:f>IF(E956=0,"해당 없음",G956/E956)</x:f>
        <x:v>0.27450980392156865</x:v>
      </x:c>
      <x:c r="P956" s="15" t="n">
        <x:f>IF(E956=0,"해당 없음",H956/E956)</x:f>
        <x:v>0.0392156862745098</x:v>
      </x:c>
      <x:c r="Q956" s="15" t="n">
        <x:f>IF(E956=0,"해당 없음",I956/E956)</x:f>
        <x:v>0.0784313725490196</x:v>
      </x:c>
      <x:c r="R956" s="15" t="n">
        <x:f>IF(E956=0,"해당 없음",J956/E956)</x:f>
        <x:v>0.00980392156862745</x:v>
      </x:c>
      <x:c r="S956" s="15" t="n">
        <x:f>IF(E956=0,"해당 없음",K956/E956)</x:f>
        <x:v>0.0392156862745098</x:v>
      </x:c>
      <x:c r="T956" s="15" t="n">
        <x:f>IF(E956=0,"해당 없음",L956/E956)</x:f>
        <x:v>0.3431372549019608</x:v>
      </x:c>
      <x:c r="U956" s="15" t="n">
        <x:f>IF(E956=0,"해당 없음",M956/E956)</x:f>
        <x:v>0.18627450980392157</x:v>
      </x:c>
      <x:c r="V956" s="16" t="n">
        <x:f>E956/5</x:f>
        <x:v>20.4</x:v>
      </x:c>
    </x:row>
    <x:row r="957" ht="22" customHeight="1">
      <x:c r="A957" s="2" t="n">
        <x:v>476</x:v>
      </x:c>
      <x:c r="B957" s="2" t="str">
        <x:v>NAVY</x:v>
      </x:c>
      <x:c r="C957" s="2" t="str">
        <x:v>0만</x:v>
      </x:c>
      <x:c r="D957" s="2" t="str">
        <x:v>200만</x:v>
      </x:c>
      <x:c r="E957" s="14" t="n">
        <x:f>SUM(F957:M957)</x:f>
        <x:v>103</x:v>
      </x:c>
      <x:c r="F957" s="14" t="n">
        <x:v>14</x:v>
      </x:c>
      <x:c r="G957" s="14" t="n">
        <x:v>14</x:v>
      </x:c>
      <x:c r="H957" s="14" t="n">
        <x:v>12</x:v>
      </x:c>
      <x:c r="I957" s="14" t="n">
        <x:v>12</x:v>
      </x:c>
      <x:c r="J957" s="14" t="n">
        <x:v>8</x:v>
      </x:c>
      <x:c r="K957" s="14" t="n">
        <x:v>16</x:v>
      </x:c>
      <x:c r="L957" s="14" t="n">
        <x:v>15</x:v>
      </x:c>
      <x:c r="M957" s="14" t="n">
        <x:v>12</x:v>
      </x:c>
      <x:c r="N957" s="15" t="n">
        <x:f>IF(E957=0,"해당 없음",F957/E957)</x:f>
        <x:v>0.13592233009708737</x:v>
      </x:c>
      <x:c r="O957" s="15" t="n">
        <x:f>IF(E957=0,"해당 없음",G957/E957)</x:f>
        <x:v>0.13592233009708737</x:v>
      </x:c>
      <x:c r="P957" s="15" t="n">
        <x:f>IF(E957=0,"해당 없음",H957/E957)</x:f>
        <x:v>0.11650485436893204</x:v>
      </x:c>
      <x:c r="Q957" s="15" t="n">
        <x:f>IF(E957=0,"해당 없음",I957/E957)</x:f>
        <x:v>0.11650485436893204</x:v>
      </x:c>
      <x:c r="R957" s="15" t="n">
        <x:f>IF(E957=0,"해당 없음",J957/E957)</x:f>
        <x:v>0.07766990291262135</x:v>
      </x:c>
      <x:c r="S957" s="15" t="n">
        <x:f>IF(E957=0,"해당 없음",K957/E957)</x:f>
        <x:v>0.1553398058252427</x:v>
      </x:c>
      <x:c r="T957" s="15" t="n">
        <x:f>IF(E957=0,"해당 없음",L957/E957)</x:f>
        <x:v>0.14563106796116504</x:v>
      </x:c>
      <x:c r="U957" s="15" t="n">
        <x:f>IF(E957=0,"해당 없음",M957/E957)</x:f>
        <x:v>0.11650485436893204</x:v>
      </x:c>
      <x:c r="V957" s="16" t="n">
        <x:f>E957/5</x:f>
        <x:v>20.6</x:v>
      </x:c>
    </x:row>
    <x:row r="958" ht="22" customHeight="1">
      <x:c r="A958" s="2" t="n">
        <x:v>477</x:v>
      </x:c>
      <x:c r="B958" s="2" t="str">
        <x:v>RED</x:v>
      </x:c>
      <x:c r="C958" s="2" t="str">
        <x:v>0만</x:v>
      </x:c>
      <x:c r="D958" s="2" t="str">
        <x:v>200만</x:v>
      </x:c>
      <x:c r="E958" s="14" t="n">
        <x:f>SUM(F958:M958)</x:f>
        <x:v>106</x:v>
      </x:c>
      <x:c r="F958" s="14" t="n">
        <x:v>17</x:v>
      </x:c>
      <x:c r="G958" s="14" t="n">
        <x:v>8</x:v>
      </x:c>
      <x:c r="H958" s="14" t="n">
        <x:v>14</x:v>
      </x:c>
      <x:c r="I958" s="14" t="n">
        <x:v>14</x:v>
      </x:c>
      <x:c r="J958" s="14" t="n">
        <x:v>13</x:v>
      </x:c>
      <x:c r="K958" s="14" t="n">
        <x:v>16</x:v>
      </x:c>
      <x:c r="L958" s="14" t="n">
        <x:v>11</x:v>
      </x:c>
      <x:c r="M958" s="14" t="n">
        <x:v>13</x:v>
      </x:c>
      <x:c r="N958" s="15" t="n">
        <x:f>IF(E958=0,"해당 없음",F958/E958)</x:f>
        <x:v>0.16037735849056603</x:v>
      </x:c>
      <x:c r="O958" s="15" t="n">
        <x:f>IF(E958=0,"해당 없음",G958/E958)</x:f>
        <x:v>0.07547169811320754</x:v>
      </x:c>
      <x:c r="P958" s="15" t="n">
        <x:f>IF(E958=0,"해당 없음",H958/E958)</x:f>
        <x:v>0.1320754716981132</x:v>
      </x:c>
      <x:c r="Q958" s="15" t="n">
        <x:f>IF(E958=0,"해당 없음",I958/E958)</x:f>
        <x:v>0.1320754716981132</x:v>
      </x:c>
      <x:c r="R958" s="15" t="n">
        <x:f>IF(E958=0,"해당 없음",J958/E958)</x:f>
        <x:v>0.12264150943396226</x:v>
      </x:c>
      <x:c r="S958" s="15" t="n">
        <x:f>IF(E958=0,"해당 없음",K958/E958)</x:f>
        <x:v>0.1509433962264151</x:v>
      </x:c>
      <x:c r="T958" s="15" t="n">
        <x:f>IF(E958=0,"해당 없음",L958/E958)</x:f>
        <x:v>0.10377358490566038</x:v>
      </x:c>
      <x:c r="U958" s="15" t="n">
        <x:f>IF(E958=0,"해당 없음",M958/E958)</x:f>
        <x:v>0.12264150943396226</x:v>
      </x:c>
      <x:c r="V958" s="16" t="n">
        <x:f>E958/5</x:f>
        <x:v>21.2</x:v>
      </x:c>
    </x:row>
    <x:row r="959" ht="22" customHeight="1">
      <x:c r="A959" s="2" t="n">
        <x:v>477</x:v>
      </x:c>
      <x:c r="B959" s="2" t="str">
        <x:v>NAVY</x:v>
      </x:c>
      <x:c r="C959" s="2" t="str">
        <x:v>200만</x:v>
      </x:c>
      <x:c r="D959" s="2" t="str">
        <x:v>0만</x:v>
      </x:c>
      <x:c r="E959" s="14" t="n">
        <x:f>SUM(F959:M959)</x:f>
        <x:v>104</x:v>
      </x:c>
      <x:c r="F959" s="14" t="n">
        <x:v>3</x:v>
      </x:c>
      <x:c r="G959" s="14" t="n">
        <x:v>24</x:v>
      </x:c>
      <x:c r="H959" s="14" t="n">
        <x:v>3</x:v>
      </x:c>
      <x:c r="I959" s="14" t="n">
        <x:v>1</x:v>
      </x:c>
      <x:c r="J959" s="14" t="n">
        <x:v>10</x:v>
      </x:c>
      <x:c r="K959" s="14" t="n">
        <x:v>8</x:v>
      </x:c>
      <x:c r="L959" s="14" t="n">
        <x:v>36</x:v>
      </x:c>
      <x:c r="M959" s="14" t="n">
        <x:v>19</x:v>
      </x:c>
      <x:c r="N959" s="15" t="n">
        <x:f>IF(E959=0,"해당 없음",F959/E959)</x:f>
        <x:v>0.028846153846153848</x:v>
      </x:c>
      <x:c r="O959" s="15" t="n">
        <x:f>IF(E959=0,"해당 없음",G959/E959)</x:f>
        <x:v>0.23076923076923078</x:v>
      </x:c>
      <x:c r="P959" s="15" t="n">
        <x:f>IF(E959=0,"해당 없음",H959/E959)</x:f>
        <x:v>0.028846153846153848</x:v>
      </x:c>
      <x:c r="Q959" s="15" t="n">
        <x:f>IF(E959=0,"해당 없음",I959/E959)</x:f>
        <x:v>0.009615384615384616</x:v>
      </x:c>
      <x:c r="R959" s="15" t="n">
        <x:f>IF(E959=0,"해당 없음",J959/E959)</x:f>
        <x:v>0.09615384615384616</x:v>
      </x:c>
      <x:c r="S959" s="15" t="n">
        <x:f>IF(E959=0,"해당 없음",K959/E959)</x:f>
        <x:v>0.07692307692307693</x:v>
      </x:c>
      <x:c r="T959" s="15" t="n">
        <x:f>IF(E959=0,"해당 없음",L959/E959)</x:f>
        <x:v>0.34615384615384615</x:v>
      </x:c>
      <x:c r="U959" s="15" t="n">
        <x:f>IF(E959=0,"해당 없음",M959/E959)</x:f>
        <x:v>0.18269230769230768</x:v>
      </x:c>
      <x:c r="V959" s="16" t="n">
        <x:f>E959/5</x:f>
        <x:v>20.8</x:v>
      </x:c>
    </x:row>
    <x:row r="960" ht="22" customHeight="1">
      <x:c r="A960" s="2" t="n">
        <x:v>478</x:v>
      </x:c>
      <x:c r="B960" s="2" t="str">
        <x:v>RED</x:v>
      </x:c>
      <x:c r="C960" s="2" t="str">
        <x:v>200만</x:v>
      </x:c>
      <x:c r="D960" s="2" t="str">
        <x:v>0만</x:v>
      </x:c>
      <x:c r="E960" s="14" t="n">
        <x:f>SUM(F960:M960)</x:f>
        <x:v>105</x:v>
      </x:c>
      <x:c r="F960" s="14" t="n">
        <x:v>4</x:v>
      </x:c>
      <x:c r="G960" s="14" t="n">
        <x:v>27</x:v>
      </x:c>
      <x:c r="H960" s="14" t="n">
        <x:v>6</x:v>
      </x:c>
      <x:c r="I960" s="14" t="n">
        <x:v>2</x:v>
      </x:c>
      <x:c r="J960" s="14" t="n">
        <x:v>6</x:v>
      </x:c>
      <x:c r="K960" s="14" t="n">
        <x:v>4</x:v>
      </x:c>
      <x:c r="L960" s="14" t="n">
        <x:v>33</x:v>
      </x:c>
      <x:c r="M960" s="14" t="n">
        <x:v>23</x:v>
      </x:c>
      <x:c r="N960" s="15" t="n">
        <x:f>IF(E960=0,"해당 없음",F960/E960)</x:f>
        <x:v>0.0380952380952381</x:v>
      </x:c>
      <x:c r="O960" s="15" t="n">
        <x:f>IF(E960=0,"해당 없음",G960/E960)</x:f>
        <x:v>0.2571428571428571</x:v>
      </x:c>
      <x:c r="P960" s="15" t="n">
        <x:f>IF(E960=0,"해당 없음",H960/E960)</x:f>
        <x:v>0.05714285714285714</x:v>
      </x:c>
      <x:c r="Q960" s="15" t="n">
        <x:f>IF(E960=0,"해당 없음",I960/E960)</x:f>
        <x:v>0.01904761904761905</x:v>
      </x:c>
      <x:c r="R960" s="15" t="n">
        <x:f>IF(E960=0,"해당 없음",J960/E960)</x:f>
        <x:v>0.05714285714285714</x:v>
      </x:c>
      <x:c r="S960" s="15" t="n">
        <x:f>IF(E960=0,"해당 없음",K960/E960)</x:f>
        <x:v>0.0380952380952381</x:v>
      </x:c>
      <x:c r="T960" s="15" t="n">
        <x:f>IF(E960=0,"해당 없음",L960/E960)</x:f>
        <x:v>0.3142857142857143</x:v>
      </x:c>
      <x:c r="U960" s="15" t="n">
        <x:f>IF(E960=0,"해당 없음",M960/E960)</x:f>
        <x:v>0.21904761904761905</x:v>
      </x:c>
      <x:c r="V960" s="16" t="n">
        <x:f>E960/5</x:f>
        <x:v>21</x:v>
      </x:c>
    </x:row>
    <x:row r="961" ht="22" customHeight="1">
      <x:c r="A961" s="2" t="n">
        <x:v>478</x:v>
      </x:c>
      <x:c r="B961" s="2" t="str">
        <x:v>NAVY</x:v>
      </x:c>
      <x:c r="C961" s="2" t="str">
        <x:v>0만</x:v>
      </x:c>
      <x:c r="D961" s="2" t="str">
        <x:v>200만</x:v>
      </x:c>
      <x:c r="E961" s="14" t="n">
        <x:f>SUM(F961:M961)</x:f>
        <x:v>105</x:v>
      </x:c>
      <x:c r="F961" s="14" t="n">
        <x:v>17</x:v>
      </x:c>
      <x:c r="G961" s="14" t="n">
        <x:v>8</x:v>
      </x:c>
      <x:c r="H961" s="14" t="n">
        <x:v>14</x:v>
      </x:c>
      <x:c r="I961" s="14" t="n">
        <x:v>14</x:v>
      </x:c>
      <x:c r="J961" s="14" t="n">
        <x:v>12</x:v>
      </x:c>
      <x:c r="K961" s="14" t="n">
        <x:v>16</x:v>
      </x:c>
      <x:c r="L961" s="14" t="n">
        <x:v>11</x:v>
      </x:c>
      <x:c r="M961" s="14" t="n">
        <x:v>13</x:v>
      </x:c>
      <x:c r="N961" s="15" t="n">
        <x:f>IF(E961=0,"해당 없음",F961/E961)</x:f>
        <x:v>0.1619047619047619</x:v>
      </x:c>
      <x:c r="O961" s="15" t="n">
        <x:f>IF(E961=0,"해당 없음",G961/E961)</x:f>
        <x:v>0.0761904761904762</x:v>
      </x:c>
      <x:c r="P961" s="15" t="n">
        <x:f>IF(E961=0,"해당 없음",H961/E961)</x:f>
        <x:v>0.13333333333333333</x:v>
      </x:c>
      <x:c r="Q961" s="15" t="n">
        <x:f>IF(E961=0,"해당 없음",I961/E961)</x:f>
        <x:v>0.13333333333333333</x:v>
      </x:c>
      <x:c r="R961" s="15" t="n">
        <x:f>IF(E961=0,"해당 없음",J961/E961)</x:f>
        <x:v>0.11428571428571428</x:v>
      </x:c>
      <x:c r="S961" s="15" t="n">
        <x:f>IF(E961=0,"해당 없음",K961/E961)</x:f>
        <x:v>0.1523809523809524</x:v>
      </x:c>
      <x:c r="T961" s="15" t="n">
        <x:f>IF(E961=0,"해당 없음",L961/E961)</x:f>
        <x:v>0.10476190476190476</x:v>
      </x:c>
      <x:c r="U961" s="15" t="n">
        <x:f>IF(E961=0,"해당 없음",M961/E961)</x:f>
        <x:v>0.12380952380952381</x:v>
      </x:c>
      <x:c r="V961" s="16" t="n">
        <x:f>E961/5</x:f>
        <x:v>21</x:v>
      </x:c>
    </x:row>
    <x:row r="962" ht="22" customHeight="1">
      <x:c r="A962" s="2" t="n">
        <x:v>479</x:v>
      </x:c>
      <x:c r="B962" s="2" t="str">
        <x:v>RED</x:v>
      </x:c>
      <x:c r="C962" s="2" t="str">
        <x:v>0만</x:v>
      </x:c>
      <x:c r="D962" s="2" t="str">
        <x:v>200만</x:v>
      </x:c>
      <x:c r="E962" s="14" t="n">
        <x:f>SUM(F962:M962)</x:f>
        <x:v>106</x:v>
      </x:c>
      <x:c r="F962" s="14" t="n">
        <x:v>12</x:v>
      </x:c>
      <x:c r="G962" s="14" t="n">
        <x:v>13</x:v>
      </x:c>
      <x:c r="H962" s="14" t="n">
        <x:v>18</x:v>
      </x:c>
      <x:c r="I962" s="14" t="n">
        <x:v>10</x:v>
      </x:c>
      <x:c r="J962" s="14" t="n">
        <x:v>21</x:v>
      </x:c>
      <x:c r="K962" s="14" t="n">
        <x:v>10</x:v>
      </x:c>
      <x:c r="L962" s="14" t="n">
        <x:v>12</x:v>
      </x:c>
      <x:c r="M962" s="14" t="n">
        <x:v>10</x:v>
      </x:c>
      <x:c r="N962" s="15" t="n">
        <x:f>IF(E962=0,"해당 없음",F962/E962)</x:f>
        <x:v>0.11320754716981132</x:v>
      </x:c>
      <x:c r="O962" s="15" t="n">
        <x:f>IF(E962=0,"해당 없음",G962/E962)</x:f>
        <x:v>0.12264150943396226</x:v>
      </x:c>
      <x:c r="P962" s="15" t="n">
        <x:f>IF(E962=0,"해당 없음",H962/E962)</x:f>
        <x:v>0.16981132075471697</x:v>
      </x:c>
      <x:c r="Q962" s="15" t="n">
        <x:f>IF(E962=0,"해당 없음",I962/E962)</x:f>
        <x:v>0.09433962264150944</x:v>
      </x:c>
      <x:c r="R962" s="15" t="n">
        <x:f>IF(E962=0,"해당 없음",J962/E962)</x:f>
        <x:v>0.19811320754716982</x:v>
      </x:c>
      <x:c r="S962" s="15" t="n">
        <x:f>IF(E962=0,"해당 없음",K962/E962)</x:f>
        <x:v>0.09433962264150944</x:v>
      </x:c>
      <x:c r="T962" s="15" t="n">
        <x:f>IF(E962=0,"해당 없음",L962/E962)</x:f>
        <x:v>0.11320754716981132</x:v>
      </x:c>
      <x:c r="U962" s="15" t="n">
        <x:f>IF(E962=0,"해당 없음",M962/E962)</x:f>
        <x:v>0.09433962264150944</x:v>
      </x:c>
      <x:c r="V962" s="16" t="n">
        <x:f>E962/5</x:f>
        <x:v>21.2</x:v>
      </x:c>
    </x:row>
    <x:row r="963" ht="22" customHeight="1">
      <x:c r="A963" s="2" t="n">
        <x:v>479</x:v>
      </x:c>
      <x:c r="B963" s="2" t="str">
        <x:v>NAVY</x:v>
      </x:c>
      <x:c r="C963" s="2" t="str">
        <x:v>200만</x:v>
      </x:c>
      <x:c r="D963" s="2" t="str">
        <x:v>0만</x:v>
      </x:c>
      <x:c r="E963" s="14" t="n">
        <x:f>SUM(F963:M963)</x:f>
        <x:v>106</x:v>
      </x:c>
      <x:c r="F963" s="14" t="n">
        <x:v>4</x:v>
      </x:c>
      <x:c r="G963" s="14" t="n">
        <x:v>21</x:v>
      </x:c>
      <x:c r="H963" s="14" t="n">
        <x:v>6</x:v>
      </x:c>
      <x:c r="I963" s="14" t="n">
        <x:v>6</x:v>
      </x:c>
      <x:c r="J963" s="14" t="n">
        <x:v>1</x:v>
      </x:c>
      <x:c r="K963" s="14" t="n">
        <x:v>11</x:v>
      </x:c>
      <x:c r="L963" s="14" t="n">
        <x:v>39</x:v>
      </x:c>
      <x:c r="M963" s="14" t="n">
        <x:v>18</x:v>
      </x:c>
      <x:c r="N963" s="15" t="n">
        <x:f>IF(E963=0,"해당 없음",F963/E963)</x:f>
        <x:v>0.03773584905660377</x:v>
      </x:c>
      <x:c r="O963" s="15" t="n">
        <x:f>IF(E963=0,"해당 없음",G963/E963)</x:f>
        <x:v>0.19811320754716982</x:v>
      </x:c>
      <x:c r="P963" s="15" t="n">
        <x:f>IF(E963=0,"해당 없음",H963/E963)</x:f>
        <x:v>0.05660377358490566</x:v>
      </x:c>
      <x:c r="Q963" s="15" t="n">
        <x:f>IF(E963=0,"해당 없음",I963/E963)</x:f>
        <x:v>0.05660377358490566</x:v>
      </x:c>
      <x:c r="R963" s="15" t="n">
        <x:f>IF(E963=0,"해당 없음",J963/E963)</x:f>
        <x:v>0.009433962264150943</x:v>
      </x:c>
      <x:c r="S963" s="15" t="n">
        <x:f>IF(E963=0,"해당 없음",K963/E963)</x:f>
        <x:v>0.10377358490566038</x:v>
      </x:c>
      <x:c r="T963" s="15" t="n">
        <x:f>IF(E963=0,"해당 없음",L963/E963)</x:f>
        <x:v>0.36792452830188677</x:v>
      </x:c>
      <x:c r="U963" s="15" t="n">
        <x:f>IF(E963=0,"해당 없음",M963/E963)</x:f>
        <x:v>0.16981132075471697</x:v>
      </x:c>
      <x:c r="V963" s="16" t="n">
        <x:f>E963/5</x:f>
        <x:v>21.2</x:v>
      </x:c>
    </x:row>
    <x:row r="964" ht="22" customHeight="1">
      <x:c r="A964" s="2" t="n">
        <x:v>480</x:v>
      </x:c>
      <x:c r="B964" s="2" t="str">
        <x:v>RED</x:v>
      </x:c>
      <x:c r="C964" s="2" t="str">
        <x:v>200만</x:v>
      </x:c>
      <x:c r="D964" s="2" t="str">
        <x:v>0만</x:v>
      </x:c>
      <x:c r="E964" s="14" t="n">
        <x:f>SUM(F964:M964)</x:f>
        <x:v>105</x:v>
      </x:c>
      <x:c r="F964" s="14" t="n">
        <x:v>8</x:v>
      </x:c>
      <x:c r="G964" s="14" t="n">
        <x:v>19</x:v>
      </x:c>
      <x:c r="H964" s="14" t="n">
        <x:v>6</x:v>
      </x:c>
      <x:c r="I964" s="14" t="n">
        <x:v>1</x:v>
      </x:c>
      <x:c r="J964" s="14" t="n">
        <x:v>6</x:v>
      </x:c>
      <x:c r="K964" s="14" t="n">
        <x:v>10</x:v>
      </x:c>
      <x:c r="L964" s="14" t="n">
        <x:v>35</x:v>
      </x:c>
      <x:c r="M964" s="14" t="n">
        <x:v>20</x:v>
      </x:c>
      <x:c r="N964" s="15" t="n">
        <x:f>IF(E964=0,"해당 없음",F964/E964)</x:f>
        <x:v>0.0761904761904762</x:v>
      </x:c>
      <x:c r="O964" s="15" t="n">
        <x:f>IF(E964=0,"해당 없음",G964/E964)</x:f>
        <x:v>0.18095238095238095</x:v>
      </x:c>
      <x:c r="P964" s="15" t="n">
        <x:f>IF(E964=0,"해당 없음",H964/E964)</x:f>
        <x:v>0.05714285714285714</x:v>
      </x:c>
      <x:c r="Q964" s="15" t="n">
        <x:f>IF(E964=0,"해당 없음",I964/E964)</x:f>
        <x:v>0.009523809523809525</x:v>
      </x:c>
      <x:c r="R964" s="15" t="n">
        <x:f>IF(E964=0,"해당 없음",J964/E964)</x:f>
        <x:v>0.05714285714285714</x:v>
      </x:c>
      <x:c r="S964" s="15" t="n">
        <x:f>IF(E964=0,"해당 없음",K964/E964)</x:f>
        <x:v>0.09523809523809523</x:v>
      </x:c>
      <x:c r="T964" s="15" t="n">
        <x:f>IF(E964=0,"해당 없음",L964/E964)</x:f>
        <x:v>0.3333333333333333</x:v>
      </x:c>
      <x:c r="U964" s="15" t="n">
        <x:f>IF(E964=0,"해당 없음",M964/E964)</x:f>
        <x:v>0.19047619047619047</x:v>
      </x:c>
      <x:c r="V964" s="16" t="n">
        <x:f>E964/5</x:f>
        <x:v>21</x:v>
      </x:c>
    </x:row>
    <x:row r="965" ht="22" customHeight="1">
      <x:c r="A965" s="2" t="n">
        <x:v>480</x:v>
      </x:c>
      <x:c r="B965" s="2" t="str">
        <x:v>NAVY</x:v>
      </x:c>
      <x:c r="C965" s="2" t="str">
        <x:v>0만</x:v>
      </x:c>
      <x:c r="D965" s="2" t="str">
        <x:v>200만</x:v>
      </x:c>
      <x:c r="E965" s="14" t="n">
        <x:f>SUM(F965:M965)</x:f>
        <x:v>104</x:v>
      </x:c>
      <x:c r="F965" s="14" t="n">
        <x:v>12</x:v>
      </x:c>
      <x:c r="G965" s="14" t="n">
        <x:v>12</x:v>
      </x:c>
      <x:c r="H965" s="14" t="n">
        <x:v>17</x:v>
      </x:c>
      <x:c r="I965" s="14" t="n">
        <x:v>10</x:v>
      </x:c>
      <x:c r="J965" s="14" t="n">
        <x:v>22</x:v>
      </x:c>
      <x:c r="K965" s="14" t="n">
        <x:v>9</x:v>
      </x:c>
      <x:c r="L965" s="14" t="n">
        <x:v>12</x:v>
      </x:c>
      <x:c r="M965" s="14" t="n">
        <x:v>10</x:v>
      </x:c>
      <x:c r="N965" s="15" t="n">
        <x:f>IF(E965=0,"해당 없음",F965/E965)</x:f>
        <x:v>0.11538461538461539</x:v>
      </x:c>
      <x:c r="O965" s="15" t="n">
        <x:f>IF(E965=0,"해당 없음",G965/E965)</x:f>
        <x:v>0.11538461538461539</x:v>
      </x:c>
      <x:c r="P965" s="15" t="n">
        <x:f>IF(E965=0,"해당 없음",H965/E965)</x:f>
        <x:v>0.16346153846153846</x:v>
      </x:c>
      <x:c r="Q965" s="15" t="n">
        <x:f>IF(E965=0,"해당 없음",I965/E965)</x:f>
        <x:v>0.09615384615384616</x:v>
      </x:c>
      <x:c r="R965" s="15" t="n">
        <x:f>IF(E965=0,"해당 없음",J965/E965)</x:f>
        <x:v>0.21153846153846154</x:v>
      </x:c>
      <x:c r="S965" s="15" t="n">
        <x:f>IF(E965=0,"해당 없음",K965/E965)</x:f>
        <x:v>0.08653846153846154</x:v>
      </x:c>
      <x:c r="T965" s="15" t="n">
        <x:f>IF(E965=0,"해당 없음",L965/E965)</x:f>
        <x:v>0.11538461538461539</x:v>
      </x:c>
      <x:c r="U965" s="15" t="n">
        <x:f>IF(E965=0,"해당 없음",M965/E965)</x:f>
        <x:v>0.09615384615384616</x:v>
      </x:c>
      <x:c r="V965" s="16" t="n">
        <x:f>E965/5</x:f>
        <x:v>20.8</x:v>
      </x:c>
    </x:row>
    <x:row r="966" ht="22" customHeight="1">
      <x:c r="A966" s="2" t="n">
        <x:v>481</x:v>
      </x:c>
      <x:c r="B966" s="2" t="str">
        <x:v>RED</x:v>
      </x:c>
      <x:c r="C966" s="2" t="str">
        <x:v>0만</x:v>
      </x:c>
      <x:c r="D966" s="2" t="str">
        <x:v>240만</x:v>
      </x:c>
      <x:c r="E966" s="14" t="n">
        <x:f>SUM(F966:M966)</x:f>
        <x:v>103</x:v>
      </x:c>
      <x:c r="F966" s="14" t="n">
        <x:v>11</x:v>
      </x:c>
      <x:c r="G966" s="14" t="n">
        <x:v>12</x:v>
      </x:c>
      <x:c r="H966" s="14" t="n">
        <x:v>9</x:v>
      </x:c>
      <x:c r="I966" s="14" t="n">
        <x:v>21</x:v>
      </x:c>
      <x:c r="J966" s="14" t="n">
        <x:v>6</x:v>
      </x:c>
      <x:c r="K966" s="14" t="n">
        <x:v>15</x:v>
      </x:c>
      <x:c r="L966" s="14" t="n">
        <x:v>15</x:v>
      </x:c>
      <x:c r="M966" s="14" t="n">
        <x:v>14</x:v>
      </x:c>
      <x:c r="N966" s="15" t="n">
        <x:f>IF(E966=0,"해당 없음",F966/E966)</x:f>
        <x:v>0.10679611650485436</x:v>
      </x:c>
      <x:c r="O966" s="15" t="n">
        <x:f>IF(E966=0,"해당 없음",G966/E966)</x:f>
        <x:v>0.11650485436893204</x:v>
      </x:c>
      <x:c r="P966" s="15" t="n">
        <x:f>IF(E966=0,"해당 없음",H966/E966)</x:f>
        <x:v>0.08737864077669903</x:v>
      </x:c>
      <x:c r="Q966" s="15" t="n">
        <x:f>IF(E966=0,"해당 없음",I966/E966)</x:f>
        <x:v>0.20388349514563106</x:v>
      </x:c>
      <x:c r="R966" s="15" t="n">
        <x:f>IF(E966=0,"해당 없음",J966/E966)</x:f>
        <x:v>0.05825242718446602</x:v>
      </x:c>
      <x:c r="S966" s="15" t="n">
        <x:f>IF(E966=0,"해당 없음",K966/E966)</x:f>
        <x:v>0.14563106796116504</x:v>
      </x:c>
      <x:c r="T966" s="15" t="n">
        <x:f>IF(E966=0,"해당 없음",L966/E966)</x:f>
        <x:v>0.14563106796116504</x:v>
      </x:c>
      <x:c r="U966" s="15" t="n">
        <x:f>IF(E966=0,"해당 없음",M966/E966)</x:f>
        <x:v>0.13592233009708737</x:v>
      </x:c>
      <x:c r="V966" s="16" t="n">
        <x:f>E966/5</x:f>
        <x:v>20.6</x:v>
      </x:c>
    </x:row>
    <x:row r="967" ht="22" customHeight="1">
      <x:c r="A967" s="2" t="n">
        <x:v>481</x:v>
      </x:c>
      <x:c r="B967" s="2" t="str">
        <x:v>NAVY</x:v>
      </x:c>
      <x:c r="C967" s="2" t="str">
        <x:v>240만</x:v>
      </x:c>
      <x:c r="D967" s="2" t="str">
        <x:v>0만</x:v>
      </x:c>
      <x:c r="E967" s="14" t="n">
        <x:f>SUM(F967:M967)</x:f>
        <x:v>104</x:v>
      </x:c>
      <x:c r="F967" s="14" t="n">
        <x:v>3</x:v>
      </x:c>
      <x:c r="G967" s="14" t="n">
        <x:v>20</x:v>
      </x:c>
      <x:c r="H967" s="14" t="n">
        <x:v>3</x:v>
      </x:c>
      <x:c r="I967" s="14" t="n">
        <x:v>3</x:v>
      </x:c>
      <x:c r="J967" s="14" t="n">
        <x:v>2</x:v>
      </x:c>
      <x:c r="K967" s="14" t="n">
        <x:v>9</x:v>
      </x:c>
      <x:c r="L967" s="14" t="n">
        <x:v>30</x:v>
      </x:c>
      <x:c r="M967" s="14" t="n">
        <x:v>34</x:v>
      </x:c>
      <x:c r="N967" s="15" t="n">
        <x:f>IF(E967=0,"해당 없음",F967/E967)</x:f>
        <x:v>0.028846153846153848</x:v>
      </x:c>
      <x:c r="O967" s="15" t="n">
        <x:f>IF(E967=0,"해당 없음",G967/E967)</x:f>
        <x:v>0.19230769230769232</x:v>
      </x:c>
      <x:c r="P967" s="15" t="n">
        <x:f>IF(E967=0,"해당 없음",H967/E967)</x:f>
        <x:v>0.028846153846153848</x:v>
      </x:c>
      <x:c r="Q967" s="15" t="n">
        <x:f>IF(E967=0,"해당 없음",I967/E967)</x:f>
        <x:v>0.028846153846153848</x:v>
      </x:c>
      <x:c r="R967" s="15" t="n">
        <x:f>IF(E967=0,"해당 없음",J967/E967)</x:f>
        <x:v>0.019230769230769232</x:v>
      </x:c>
      <x:c r="S967" s="15" t="n">
        <x:f>IF(E967=0,"해당 없음",K967/E967)</x:f>
        <x:v>0.08653846153846154</x:v>
      </x:c>
      <x:c r="T967" s="15" t="n">
        <x:f>IF(E967=0,"해당 없음",L967/E967)</x:f>
        <x:v>0.28846153846153844</x:v>
      </x:c>
      <x:c r="U967" s="15" t="n">
        <x:f>IF(E967=0,"해당 없음",M967/E967)</x:f>
        <x:v>0.3269230769230769</x:v>
      </x:c>
      <x:c r="V967" s="16" t="n">
        <x:f>E967/5</x:f>
        <x:v>20.8</x:v>
      </x:c>
    </x:row>
    <x:row r="968" ht="22" customHeight="1">
      <x:c r="A968" s="2" t="n">
        <x:v>482</x:v>
      </x:c>
      <x:c r="B968" s="2" t="str">
        <x:v>RED</x:v>
      </x:c>
      <x:c r="C968" s="2" t="str">
        <x:v>240만</x:v>
      </x:c>
      <x:c r="D968" s="2" t="str">
        <x:v>0만</x:v>
      </x:c>
      <x:c r="E968" s="14" t="n">
        <x:f>SUM(F968:M968)</x:f>
        <x:v>102</x:v>
      </x:c>
      <x:c r="F968" s="14" t="n">
        <x:v>2</x:v>
      </x:c>
      <x:c r="G968" s="14" t="n">
        <x:v>15</x:v>
      </x:c>
      <x:c r="H968" s="14" t="n">
        <x:v>3</x:v>
      </x:c>
      <x:c r="I968" s="14" t="n">
        <x:v>5</x:v>
      </x:c>
      <x:c r="J968" s="14" t="n">
        <x:v>0</x:v>
      </x:c>
      <x:c r="K968" s="14" t="n">
        <x:v>4</x:v>
      </x:c>
      <x:c r="L968" s="14" t="n">
        <x:v>34</x:v>
      </x:c>
      <x:c r="M968" s="14" t="n">
        <x:v>39</x:v>
      </x:c>
      <x:c r="N968" s="15" t="n">
        <x:f>IF(E968=0,"해당 없음",F968/E968)</x:f>
        <x:v>0.0196078431372549</x:v>
      </x:c>
      <x:c r="O968" s="15" t="n">
        <x:f>IF(E968=0,"해당 없음",G968/E968)</x:f>
        <x:v>0.14705882352941177</x:v>
      </x:c>
      <x:c r="P968" s="15" t="n">
        <x:f>IF(E968=0,"해당 없음",H968/E968)</x:f>
        <x:v>0.029411764705882353</x:v>
      </x:c>
      <x:c r="Q968" s="15" t="n">
        <x:f>IF(E968=0,"해당 없음",I968/E968)</x:f>
        <x:v>0.049019607843137254</x:v>
      </x:c>
      <x:c r="R968" s="15" t="n">
        <x:f>IF(E968=0,"해당 없음",J968/E968)</x:f>
        <x:v>0</x:v>
      </x:c>
      <x:c r="S968" s="15" t="n">
        <x:f>IF(E968=0,"해당 없음",K968/E968)</x:f>
        <x:v>0.0392156862745098</x:v>
      </x:c>
      <x:c r="T968" s="15" t="n">
        <x:f>IF(E968=0,"해당 없음",L968/E968)</x:f>
        <x:v>0.3333333333333333</x:v>
      </x:c>
      <x:c r="U968" s="15" t="n">
        <x:f>IF(E968=0,"해당 없음",M968/E968)</x:f>
        <x:v>0.38235294117647056</x:v>
      </x:c>
      <x:c r="V968" s="16" t="n">
        <x:f>E968/5</x:f>
        <x:v>20.4</x:v>
      </x:c>
    </x:row>
    <x:row r="969" ht="22" customHeight="1">
      <x:c r="A969" s="2" t="n">
        <x:v>482</x:v>
      </x:c>
      <x:c r="B969" s="2" t="str">
        <x:v>NAVY</x:v>
      </x:c>
      <x:c r="C969" s="2" t="str">
        <x:v>0만</x:v>
      </x:c>
      <x:c r="D969" s="2" t="str">
        <x:v>240만</x:v>
      </x:c>
      <x:c r="E969" s="14" t="n">
        <x:f>SUM(F969:M969)</x:f>
        <x:v>102</x:v>
      </x:c>
      <x:c r="F969" s="14" t="n">
        <x:v>11</x:v>
      </x:c>
      <x:c r="G969" s="14" t="n">
        <x:v>12</x:v>
      </x:c>
      <x:c r="H969" s="14" t="n">
        <x:v>9</x:v>
      </x:c>
      <x:c r="I969" s="14" t="n">
        <x:v>21</x:v>
      </x:c>
      <x:c r="J969" s="14" t="n">
        <x:v>6</x:v>
      </x:c>
      <x:c r="K969" s="14" t="n">
        <x:v>15</x:v>
      </x:c>
      <x:c r="L969" s="14" t="n">
        <x:v>14</x:v>
      </x:c>
      <x:c r="M969" s="14" t="n">
        <x:v>14</x:v>
      </x:c>
      <x:c r="N969" s="15" t="n">
        <x:f>IF(E969=0,"해당 없음",F969/E969)</x:f>
        <x:v>0.10784313725490197</x:v>
      </x:c>
      <x:c r="O969" s="15" t="n">
        <x:f>IF(E969=0,"해당 없음",G969/E969)</x:f>
        <x:v>0.11764705882352941</x:v>
      </x:c>
      <x:c r="P969" s="15" t="n">
        <x:f>IF(E969=0,"해당 없음",H969/E969)</x:f>
        <x:v>0.08823529411764706</x:v>
      </x:c>
      <x:c r="Q969" s="15" t="n">
        <x:f>IF(E969=0,"해당 없음",I969/E969)</x:f>
        <x:v>0.20588235294117646</x:v>
      </x:c>
      <x:c r="R969" s="15" t="n">
        <x:f>IF(E969=0,"해당 없음",J969/E969)</x:f>
        <x:v>0.058823529411764705</x:v>
      </x:c>
      <x:c r="S969" s="15" t="n">
        <x:f>IF(E969=0,"해당 없음",K969/E969)</x:f>
        <x:v>0.14705882352941177</x:v>
      </x:c>
      <x:c r="T969" s="15" t="n">
        <x:f>IF(E969=0,"해당 없음",L969/E969)</x:f>
        <x:v>0.13725490196078433</x:v>
      </x:c>
      <x:c r="U969" s="15" t="n">
        <x:f>IF(E969=0,"해당 없음",M969/E969)</x:f>
        <x:v>0.13725490196078433</x:v>
      </x:c>
      <x:c r="V969" s="16" t="n">
        <x:f>E969/5</x:f>
        <x:v>20.4</x:v>
      </x:c>
    </x:row>
    <x:row r="970" ht="22" customHeight="1">
      <x:c r="A970" s="2" t="n">
        <x:v>483</x:v>
      </x:c>
      <x:c r="B970" s="2" t="str">
        <x:v>RED</x:v>
      </x:c>
      <x:c r="C970" s="2" t="str">
        <x:v>0만</x:v>
      </x:c>
      <x:c r="D970" s="2" t="str">
        <x:v>240만</x:v>
      </x:c>
      <x:c r="E970" s="14" t="n">
        <x:f>SUM(F970:M970)</x:f>
        <x:v>105</x:v>
      </x:c>
      <x:c r="F970" s="14" t="n">
        <x:v>12</x:v>
      </x:c>
      <x:c r="G970" s="14" t="n">
        <x:v>18</x:v>
      </x:c>
      <x:c r="H970" s="14" t="n">
        <x:v>17</x:v>
      </x:c>
      <x:c r="I970" s="14" t="n">
        <x:v>14</x:v>
      </x:c>
      <x:c r="J970" s="14" t="n">
        <x:v>10</x:v>
      </x:c>
      <x:c r="K970" s="14" t="n">
        <x:v>15</x:v>
      </x:c>
      <x:c r="L970" s="14" t="n">
        <x:v>7</x:v>
      </x:c>
      <x:c r="M970" s="14" t="n">
        <x:v>12</x:v>
      </x:c>
      <x:c r="N970" s="15" t="n">
        <x:f>IF(E970=0,"해당 없음",F970/E970)</x:f>
        <x:v>0.11428571428571428</x:v>
      </x:c>
      <x:c r="O970" s="15" t="n">
        <x:f>IF(E970=0,"해당 없음",G970/E970)</x:f>
        <x:v>0.17142857142857143</x:v>
      </x:c>
      <x:c r="P970" s="15" t="n">
        <x:f>IF(E970=0,"해당 없음",H970/E970)</x:f>
        <x:v>0.1619047619047619</x:v>
      </x:c>
      <x:c r="Q970" s="15" t="n">
        <x:f>IF(E970=0,"해당 없음",I970/E970)</x:f>
        <x:v>0.13333333333333333</x:v>
      </x:c>
      <x:c r="R970" s="15" t="n">
        <x:f>IF(E970=0,"해당 없음",J970/E970)</x:f>
        <x:v>0.09523809523809523</x:v>
      </x:c>
      <x:c r="S970" s="15" t="n">
        <x:f>IF(E970=0,"해당 없음",K970/E970)</x:f>
        <x:v>0.14285714285714285</x:v>
      </x:c>
      <x:c r="T970" s="15" t="n">
        <x:f>IF(E970=0,"해당 없음",L970/E970)</x:f>
        <x:v>0.06666666666666667</x:v>
      </x:c>
      <x:c r="U970" s="15" t="n">
        <x:f>IF(E970=0,"해당 없음",M970/E970)</x:f>
        <x:v>0.11428571428571428</x:v>
      </x:c>
      <x:c r="V970" s="16" t="n">
        <x:f>E970/5</x:f>
        <x:v>21</x:v>
      </x:c>
    </x:row>
    <x:row r="971" ht="22" customHeight="1">
      <x:c r="A971" s="2" t="n">
        <x:v>483</x:v>
      </x:c>
      <x:c r="B971" s="2" t="str">
        <x:v>NAVY</x:v>
      </x:c>
      <x:c r="C971" s="2" t="str">
        <x:v>240만</x:v>
      </x:c>
      <x:c r="D971" s="2" t="str">
        <x:v>0만</x:v>
      </x:c>
      <x:c r="E971" s="14" t="n">
        <x:f>SUM(F971:M971)</x:f>
        <x:v>106</x:v>
      </x:c>
      <x:c r="F971" s="14" t="n">
        <x:v>2</x:v>
      </x:c>
      <x:c r="G971" s="14" t="n">
        <x:v>9</x:v>
      </x:c>
      <x:c r="H971" s="14" t="n">
        <x:v>8</x:v>
      </x:c>
      <x:c r="I971" s="14" t="n">
        <x:v>4</x:v>
      </x:c>
      <x:c r="J971" s="14" t="n">
        <x:v>0</x:v>
      </x:c>
      <x:c r="K971" s="14" t="n">
        <x:v>7</x:v>
      </x:c>
      <x:c r="L971" s="14" t="n">
        <x:v>44</x:v>
      </x:c>
      <x:c r="M971" s="14" t="n">
        <x:v>32</x:v>
      </x:c>
      <x:c r="N971" s="15" t="n">
        <x:f>IF(E971=0,"해당 없음",F971/E971)</x:f>
        <x:v>0.018867924528301886</x:v>
      </x:c>
      <x:c r="O971" s="15" t="n">
        <x:f>IF(E971=0,"해당 없음",G971/E971)</x:f>
        <x:v>0.08490566037735849</x:v>
      </x:c>
      <x:c r="P971" s="15" t="n">
        <x:f>IF(E971=0,"해당 없음",H971/E971)</x:f>
        <x:v>0.07547169811320754</x:v>
      </x:c>
      <x:c r="Q971" s="15" t="n">
        <x:f>IF(E971=0,"해당 없음",I971/E971)</x:f>
        <x:v>0.03773584905660377</x:v>
      </x:c>
      <x:c r="R971" s="15" t="n">
        <x:f>IF(E971=0,"해당 없음",J971/E971)</x:f>
        <x:v>0</x:v>
      </x:c>
      <x:c r="S971" s="15" t="n">
        <x:f>IF(E971=0,"해당 없음",K971/E971)</x:f>
        <x:v>0.0660377358490566</x:v>
      </x:c>
      <x:c r="T971" s="15" t="n">
        <x:f>IF(E971=0,"해당 없음",L971/E971)</x:f>
        <x:v>0.41509433962264153</x:v>
      </x:c>
      <x:c r="U971" s="15" t="n">
        <x:f>IF(E971=0,"해당 없음",M971/E971)</x:f>
        <x:v>0.3018867924528302</x:v>
      </x:c>
      <x:c r="V971" s="16" t="n">
        <x:f>E971/5</x:f>
        <x:v>21.2</x:v>
      </x:c>
    </x:row>
    <x:row r="972" ht="22" customHeight="1">
      <x:c r="A972" s="2" t="n">
        <x:v>484</x:v>
      </x:c>
      <x:c r="B972" s="2" t="str">
        <x:v>RED</x:v>
      </x:c>
      <x:c r="C972" s="2" t="str">
        <x:v>240만</x:v>
      </x:c>
      <x:c r="D972" s="2" t="str">
        <x:v>0만</x:v>
      </x:c>
      <x:c r="E972" s="14" t="n">
        <x:f>SUM(F972:M972)</x:f>
        <x:v>101</x:v>
      </x:c>
      <x:c r="F972" s="14" t="n">
        <x:v>2</x:v>
      </x:c>
      <x:c r="G972" s="14" t="n">
        <x:v>26</x:v>
      </x:c>
      <x:c r="H972" s="14" t="n">
        <x:v>5</x:v>
      </x:c>
      <x:c r="I972" s="14" t="n">
        <x:v>5</x:v>
      </x:c>
      <x:c r="J972" s="14" t="n">
        <x:v>2</x:v>
      </x:c>
      <x:c r="K972" s="14" t="n">
        <x:v>4</x:v>
      </x:c>
      <x:c r="L972" s="14" t="n">
        <x:v>34</x:v>
      </x:c>
      <x:c r="M972" s="14" t="n">
        <x:v>23</x:v>
      </x:c>
      <x:c r="N972" s="15" t="n">
        <x:f>IF(E972=0,"해당 없음",F972/E972)</x:f>
        <x:v>0.019801980198019802</x:v>
      </x:c>
      <x:c r="O972" s="15" t="n">
        <x:f>IF(E972=0,"해당 없음",G972/E972)</x:f>
        <x:v>0.25742574257425743</x:v>
      </x:c>
      <x:c r="P972" s="15" t="n">
        <x:f>IF(E972=0,"해당 없음",H972/E972)</x:f>
        <x:v>0.04950495049504951</x:v>
      </x:c>
      <x:c r="Q972" s="15" t="n">
        <x:f>IF(E972=0,"해당 없음",I972/E972)</x:f>
        <x:v>0.04950495049504951</x:v>
      </x:c>
      <x:c r="R972" s="15" t="n">
        <x:f>IF(E972=0,"해당 없음",J972/E972)</x:f>
        <x:v>0.019801980198019802</x:v>
      </x:c>
      <x:c r="S972" s="15" t="n">
        <x:f>IF(E972=0,"해당 없음",K972/E972)</x:f>
        <x:v>0.039603960396039604</x:v>
      </x:c>
      <x:c r="T972" s="15" t="n">
        <x:f>IF(E972=0,"해당 없음",L972/E972)</x:f>
        <x:v>0.33663366336633666</x:v>
      </x:c>
      <x:c r="U972" s="15" t="n">
        <x:f>IF(E972=0,"해당 없음",M972/E972)</x:f>
        <x:v>0.22772277227722773</x:v>
      </x:c>
      <x:c r="V972" s="16" t="n">
        <x:f>E972/5</x:f>
        <x:v>20.2</x:v>
      </x:c>
    </x:row>
    <x:row r="973" ht="22" customHeight="1">
      <x:c r="A973" s="2" t="n">
        <x:v>484</x:v>
      </x:c>
      <x:c r="B973" s="2" t="str">
        <x:v>NAVY</x:v>
      </x:c>
      <x:c r="C973" s="2" t="str">
        <x:v>0만</x:v>
      </x:c>
      <x:c r="D973" s="2" t="str">
        <x:v>240만</x:v>
      </x:c>
      <x:c r="E973" s="14" t="n">
        <x:f>SUM(F973:M973)</x:f>
        <x:v>102</x:v>
      </x:c>
      <x:c r="F973" s="14" t="n">
        <x:v>12</x:v>
      </x:c>
      <x:c r="G973" s="14" t="n">
        <x:v>17</x:v>
      </x:c>
      <x:c r="H973" s="14" t="n">
        <x:v>17</x:v>
      </x:c>
      <x:c r="I973" s="14" t="n">
        <x:v>12</x:v>
      </x:c>
      <x:c r="J973" s="14" t="n">
        <x:v>11</x:v>
      </x:c>
      <x:c r="K973" s="14" t="n">
        <x:v>14</x:v>
      </x:c>
      <x:c r="L973" s="14" t="n">
        <x:v>7</x:v>
      </x:c>
      <x:c r="M973" s="14" t="n">
        <x:v>12</x:v>
      </x:c>
      <x:c r="N973" s="15" t="n">
        <x:f>IF(E973=0,"해당 없음",F973/E973)</x:f>
        <x:v>0.11764705882352941</x:v>
      </x:c>
      <x:c r="O973" s="15" t="n">
        <x:f>IF(E973=0,"해당 없음",G973/E973)</x:f>
        <x:v>0.16666666666666666</x:v>
      </x:c>
      <x:c r="P973" s="15" t="n">
        <x:f>IF(E973=0,"해당 없음",H973/E973)</x:f>
        <x:v>0.16666666666666666</x:v>
      </x:c>
      <x:c r="Q973" s="15" t="n">
        <x:f>IF(E973=0,"해당 없음",I973/E973)</x:f>
        <x:v>0.11764705882352941</x:v>
      </x:c>
      <x:c r="R973" s="15" t="n">
        <x:f>IF(E973=0,"해당 없음",J973/E973)</x:f>
        <x:v>0.10784313725490197</x:v>
      </x:c>
      <x:c r="S973" s="15" t="n">
        <x:f>IF(E973=0,"해당 없음",K973/E973)</x:f>
        <x:v>0.13725490196078433</x:v>
      </x:c>
      <x:c r="T973" s="15" t="n">
        <x:f>IF(E973=0,"해당 없음",L973/E973)</x:f>
        <x:v>0.06862745098039216</x:v>
      </x:c>
      <x:c r="U973" s="15" t="n">
        <x:f>IF(E973=0,"해당 없음",M973/E973)</x:f>
        <x:v>0.11764705882352941</x:v>
      </x:c>
      <x:c r="V973" s="16" t="n">
        <x:f>E973/5</x:f>
        <x:v>20.4</x:v>
      </x:c>
    </x:row>
    <x:row r="974" ht="22" customHeight="1">
      <x:c r="A974" s="2" t="n">
        <x:v>485</x:v>
      </x:c>
      <x:c r="B974" s="2" t="str">
        <x:v>RED</x:v>
      </x:c>
      <x:c r="C974" s="2" t="str">
        <x:v>0만</x:v>
      </x:c>
      <x:c r="D974" s="2" t="str">
        <x:v>240만</x:v>
      </x:c>
      <x:c r="E974" s="14" t="n">
        <x:f>SUM(F974:M974)</x:f>
        <x:v>103</x:v>
      </x:c>
      <x:c r="F974" s="14" t="n">
        <x:v>10</x:v>
      </x:c>
      <x:c r="G974" s="14" t="n">
        <x:v>16</x:v>
      </x:c>
      <x:c r="H974" s="14" t="n">
        <x:v>16</x:v>
      </x:c>
      <x:c r="I974" s="14" t="n">
        <x:v>17</x:v>
      </x:c>
      <x:c r="J974" s="14" t="n">
        <x:v>14</x:v>
      </x:c>
      <x:c r="K974" s="14" t="n">
        <x:v>10</x:v>
      </x:c>
      <x:c r="L974" s="14" t="n">
        <x:v>12</x:v>
      </x:c>
      <x:c r="M974" s="14" t="n">
        <x:v>8</x:v>
      </x:c>
      <x:c r="N974" s="15" t="n">
        <x:f>IF(E974=0,"해당 없음",F974/E974)</x:f>
        <x:v>0.0970873786407767</x:v>
      </x:c>
      <x:c r="O974" s="15" t="n">
        <x:f>IF(E974=0,"해당 없음",G974/E974)</x:f>
        <x:v>0.1553398058252427</x:v>
      </x:c>
      <x:c r="P974" s="15" t="n">
        <x:f>IF(E974=0,"해당 없음",H974/E974)</x:f>
        <x:v>0.1553398058252427</x:v>
      </x:c>
      <x:c r="Q974" s="15" t="n">
        <x:f>IF(E974=0,"해당 없음",I974/E974)</x:f>
        <x:v>0.1650485436893204</x:v>
      </x:c>
      <x:c r="R974" s="15" t="n">
        <x:f>IF(E974=0,"해당 없음",J974/E974)</x:f>
        <x:v>0.13592233009708737</x:v>
      </x:c>
      <x:c r="S974" s="15" t="n">
        <x:f>IF(E974=0,"해당 없음",K974/E974)</x:f>
        <x:v>0.0970873786407767</x:v>
      </x:c>
      <x:c r="T974" s="15" t="n">
        <x:f>IF(E974=0,"해당 없음",L974/E974)</x:f>
        <x:v>0.11650485436893204</x:v>
      </x:c>
      <x:c r="U974" s="15" t="n">
        <x:f>IF(E974=0,"해당 없음",M974/E974)</x:f>
        <x:v>0.07766990291262135</x:v>
      </x:c>
      <x:c r="V974" s="16" t="n">
        <x:f>E974/5</x:f>
        <x:v>20.6</x:v>
      </x:c>
    </x:row>
    <x:row r="975" ht="22" customHeight="1">
      <x:c r="A975" s="2" t="n">
        <x:v>485</x:v>
      </x:c>
      <x:c r="B975" s="2" t="str">
        <x:v>NAVY</x:v>
      </x:c>
      <x:c r="C975" s="2" t="str">
        <x:v>240만</x:v>
      </x:c>
      <x:c r="D975" s="2" t="str">
        <x:v>0만</x:v>
      </x:c>
      <x:c r="E975" s="14" t="n">
        <x:f>SUM(F975:M975)</x:f>
        <x:v>105</x:v>
      </x:c>
      <x:c r="F975" s="14" t="n">
        <x:v>3</x:v>
      </x:c>
      <x:c r="G975" s="14" t="n">
        <x:v>14</x:v>
      </x:c>
      <x:c r="H975" s="14" t="n">
        <x:v>4</x:v>
      </x:c>
      <x:c r="I975" s="14" t="n">
        <x:v>4</x:v>
      </x:c>
      <x:c r="J975" s="14" t="n">
        <x:v>1</x:v>
      </x:c>
      <x:c r="K975" s="14" t="n">
        <x:v>8</x:v>
      </x:c>
      <x:c r="L975" s="14" t="n">
        <x:v>38</x:v>
      </x:c>
      <x:c r="M975" s="14" t="n">
        <x:v>33</x:v>
      </x:c>
      <x:c r="N975" s="15" t="n">
        <x:f>IF(E975=0,"해당 없음",F975/E975)</x:f>
        <x:v>0.02857142857142857</x:v>
      </x:c>
      <x:c r="O975" s="15" t="n">
        <x:f>IF(E975=0,"해당 없음",G975/E975)</x:f>
        <x:v>0.13333333333333333</x:v>
      </x:c>
      <x:c r="P975" s="15" t="n">
        <x:f>IF(E975=0,"해당 없음",H975/E975)</x:f>
        <x:v>0.0380952380952381</x:v>
      </x:c>
      <x:c r="Q975" s="15" t="n">
        <x:f>IF(E975=0,"해당 없음",I975/E975)</x:f>
        <x:v>0.0380952380952381</x:v>
      </x:c>
      <x:c r="R975" s="15" t="n">
        <x:f>IF(E975=0,"해당 없음",J975/E975)</x:f>
        <x:v>0.009523809523809525</x:v>
      </x:c>
      <x:c r="S975" s="15" t="n">
        <x:f>IF(E975=0,"해당 없음",K975/E975)</x:f>
        <x:v>0.0761904761904762</x:v>
      </x:c>
      <x:c r="T975" s="15" t="n">
        <x:f>IF(E975=0,"해당 없음",L975/E975)</x:f>
        <x:v>0.3619047619047619</x:v>
      </x:c>
      <x:c r="U975" s="15" t="n">
        <x:f>IF(E975=0,"해당 없음",M975/E975)</x:f>
        <x:v>0.3142857142857143</x:v>
      </x:c>
      <x:c r="V975" s="16" t="n">
        <x:f>E975/5</x:f>
        <x:v>21</x:v>
      </x:c>
    </x:row>
    <x:row r="976" ht="22" customHeight="1">
      <x:c r="A976" s="2" t="n">
        <x:v>486</x:v>
      </x:c>
      <x:c r="B976" s="2" t="str">
        <x:v>RED</x:v>
      </x:c>
      <x:c r="C976" s="2" t="str">
        <x:v>240만</x:v>
      </x:c>
      <x:c r="D976" s="2" t="str">
        <x:v>0만</x:v>
      </x:c>
      <x:c r="E976" s="14" t="n">
        <x:f>SUM(F976:M976)</x:f>
        <x:v>104</x:v>
      </x:c>
      <x:c r="F976" s="14" t="n">
        <x:v>2</x:v>
      </x:c>
      <x:c r="G976" s="14" t="n">
        <x:v>16</x:v>
      </x:c>
      <x:c r="H976" s="14" t="n">
        <x:v>8</x:v>
      </x:c>
      <x:c r="I976" s="14" t="n">
        <x:v>2</x:v>
      </x:c>
      <x:c r="J976" s="14" t="n">
        <x:v>0</x:v>
      </x:c>
      <x:c r="K976" s="14" t="n">
        <x:v>4</x:v>
      </x:c>
      <x:c r="L976" s="14" t="n">
        <x:v>28</x:v>
      </x:c>
      <x:c r="M976" s="14" t="n">
        <x:v>44</x:v>
      </x:c>
      <x:c r="N976" s="15" t="n">
        <x:f>IF(E976=0,"해당 없음",F976/E976)</x:f>
        <x:v>0.019230769230769232</x:v>
      </x:c>
      <x:c r="O976" s="15" t="n">
        <x:f>IF(E976=0,"해당 없음",G976/E976)</x:f>
        <x:v>0.15384615384615385</x:v>
      </x:c>
      <x:c r="P976" s="15" t="n">
        <x:f>IF(E976=0,"해당 없음",H976/E976)</x:f>
        <x:v>0.07692307692307693</x:v>
      </x:c>
      <x:c r="Q976" s="15" t="n">
        <x:f>IF(E976=0,"해당 없음",I976/E976)</x:f>
        <x:v>0.019230769230769232</x:v>
      </x:c>
      <x:c r="R976" s="15" t="n">
        <x:f>IF(E976=0,"해당 없음",J976/E976)</x:f>
        <x:v>0</x:v>
      </x:c>
      <x:c r="S976" s="15" t="n">
        <x:f>IF(E976=0,"해당 없음",K976/E976)</x:f>
        <x:v>0.038461538461538464</x:v>
      </x:c>
      <x:c r="T976" s="15" t="n">
        <x:f>IF(E976=0,"해당 없음",L976/E976)</x:f>
        <x:v>0.2692307692307692</x:v>
      </x:c>
      <x:c r="U976" s="15" t="n">
        <x:f>IF(E976=0,"해당 없음",M976/E976)</x:f>
        <x:v>0.4230769230769231</x:v>
      </x:c>
      <x:c r="V976" s="16" t="n">
        <x:f>E976/5</x:f>
        <x:v>20.8</x:v>
      </x:c>
    </x:row>
    <x:row r="977" ht="22" customHeight="1">
      <x:c r="A977" s="2" t="n">
        <x:v>486</x:v>
      </x:c>
      <x:c r="B977" s="2" t="str">
        <x:v>NAVY</x:v>
      </x:c>
      <x:c r="C977" s="2" t="str">
        <x:v>0만</x:v>
      </x:c>
      <x:c r="D977" s="2" t="str">
        <x:v>240만</x:v>
      </x:c>
      <x:c r="E977" s="14" t="n">
        <x:f>SUM(F977:M977)</x:f>
        <x:v>104</x:v>
      </x:c>
      <x:c r="F977" s="14" t="n">
        <x:v>11</x:v>
      </x:c>
      <x:c r="G977" s="14" t="n">
        <x:v>17</x:v>
      </x:c>
      <x:c r="H977" s="14" t="n">
        <x:v>15</x:v>
      </x:c>
      <x:c r="I977" s="14" t="n">
        <x:v>17</x:v>
      </x:c>
      <x:c r="J977" s="14" t="n">
        <x:v>14</x:v>
      </x:c>
      <x:c r="K977" s="14" t="n">
        <x:v>10</x:v>
      </x:c>
      <x:c r="L977" s="14" t="n">
        <x:v>12</x:v>
      </x:c>
      <x:c r="M977" s="14" t="n">
        <x:v>8</x:v>
      </x:c>
      <x:c r="N977" s="15" t="n">
        <x:f>IF(E977=0,"해당 없음",F977/E977)</x:f>
        <x:v>0.10576923076923077</x:v>
      </x:c>
      <x:c r="O977" s="15" t="n">
        <x:f>IF(E977=0,"해당 없음",G977/E977)</x:f>
        <x:v>0.16346153846153846</x:v>
      </x:c>
      <x:c r="P977" s="15" t="n">
        <x:f>IF(E977=0,"해당 없음",H977/E977)</x:f>
        <x:v>0.14423076923076922</x:v>
      </x:c>
      <x:c r="Q977" s="15" t="n">
        <x:f>IF(E977=0,"해당 없음",I977/E977)</x:f>
        <x:v>0.16346153846153846</x:v>
      </x:c>
      <x:c r="R977" s="15" t="n">
        <x:f>IF(E977=0,"해당 없음",J977/E977)</x:f>
        <x:v>0.1346153846153846</x:v>
      </x:c>
      <x:c r="S977" s="15" t="n">
        <x:f>IF(E977=0,"해당 없음",K977/E977)</x:f>
        <x:v>0.09615384615384616</x:v>
      </x:c>
      <x:c r="T977" s="15" t="n">
        <x:f>IF(E977=0,"해당 없음",L977/E977)</x:f>
        <x:v>0.11538461538461539</x:v>
      </x:c>
      <x:c r="U977" s="15" t="n">
        <x:f>IF(E977=0,"해당 없음",M977/E977)</x:f>
        <x:v>0.07692307692307693</x:v>
      </x:c>
      <x:c r="V977" s="16" t="n">
        <x:f>E977/5</x:f>
        <x:v>20.8</x:v>
      </x:c>
    </x:row>
    <x:row r="978" ht="22" customHeight="1">
      <x:c r="A978" s="2" t="n">
        <x:v>487</x:v>
      </x:c>
      <x:c r="B978" s="2" t="str">
        <x:v>RED</x:v>
      </x:c>
      <x:c r="C978" s="2" t="str">
        <x:v>0만</x:v>
      </x:c>
      <x:c r="D978" s="2" t="str">
        <x:v>240만</x:v>
      </x:c>
      <x:c r="E978" s="14" t="n">
        <x:f>SUM(F978:M978)</x:f>
        <x:v>104</x:v>
      </x:c>
      <x:c r="F978" s="14" t="n">
        <x:v>8</x:v>
      </x:c>
      <x:c r="G978" s="14" t="n">
        <x:v>12</x:v>
      </x:c>
      <x:c r="H978" s="14" t="n">
        <x:v>17</x:v>
      </x:c>
      <x:c r="I978" s="14" t="n">
        <x:v>17</x:v>
      </x:c>
      <x:c r="J978" s="14" t="n">
        <x:v>11</x:v>
      </x:c>
      <x:c r="K978" s="14" t="n">
        <x:v>18</x:v>
      </x:c>
      <x:c r="L978" s="14" t="n">
        <x:v>8</x:v>
      </x:c>
      <x:c r="M978" s="14" t="n">
        <x:v>13</x:v>
      </x:c>
      <x:c r="N978" s="15" t="n">
        <x:f>IF(E978=0,"해당 없음",F978/E978)</x:f>
        <x:v>0.07692307692307693</x:v>
      </x:c>
      <x:c r="O978" s="15" t="n">
        <x:f>IF(E978=0,"해당 없음",G978/E978)</x:f>
        <x:v>0.11538461538461539</x:v>
      </x:c>
      <x:c r="P978" s="15" t="n">
        <x:f>IF(E978=0,"해당 없음",H978/E978)</x:f>
        <x:v>0.16346153846153846</x:v>
      </x:c>
      <x:c r="Q978" s="15" t="n">
        <x:f>IF(E978=0,"해당 없음",I978/E978)</x:f>
        <x:v>0.16346153846153846</x:v>
      </x:c>
      <x:c r="R978" s="15" t="n">
        <x:f>IF(E978=0,"해당 없음",J978/E978)</x:f>
        <x:v>0.10576923076923077</x:v>
      </x:c>
      <x:c r="S978" s="15" t="n">
        <x:f>IF(E978=0,"해당 없음",K978/E978)</x:f>
        <x:v>0.17307692307692307</x:v>
      </x:c>
      <x:c r="T978" s="15" t="n">
        <x:f>IF(E978=0,"해당 없음",L978/E978)</x:f>
        <x:v>0.07692307692307693</x:v>
      </x:c>
      <x:c r="U978" s="15" t="n">
        <x:f>IF(E978=0,"해당 없음",M978/E978)</x:f>
        <x:v>0.125</x:v>
      </x:c>
      <x:c r="V978" s="16" t="n">
        <x:f>E978/5</x:f>
        <x:v>20.8</x:v>
      </x:c>
    </x:row>
    <x:row r="979" ht="22" customHeight="1">
      <x:c r="A979" s="2" t="n">
        <x:v>487</x:v>
      </x:c>
      <x:c r="B979" s="2" t="str">
        <x:v>NAVY</x:v>
      </x:c>
      <x:c r="C979" s="2" t="str">
        <x:v>240만</x:v>
      </x:c>
      <x:c r="D979" s="2" t="str">
        <x:v>0만</x:v>
      </x:c>
      <x:c r="E979" s="14" t="n">
        <x:f>SUM(F979:M979)</x:f>
        <x:v>107</x:v>
      </x:c>
      <x:c r="F979" s="14" t="n">
        <x:v>1</x:v>
      </x:c>
      <x:c r="G979" s="14" t="n">
        <x:v>19</x:v>
      </x:c>
      <x:c r="H979" s="14" t="n">
        <x:v>6</x:v>
      </x:c>
      <x:c r="I979" s="14" t="n">
        <x:v>4</x:v>
      </x:c>
      <x:c r="J979" s="14" t="n">
        <x:v>0</x:v>
      </x:c>
      <x:c r="K979" s="14" t="n">
        <x:v>13</x:v>
      </x:c>
      <x:c r="L979" s="14" t="n">
        <x:v>39</x:v>
      </x:c>
      <x:c r="M979" s="14" t="n">
        <x:v>25</x:v>
      </x:c>
      <x:c r="N979" s="15" t="n">
        <x:f>IF(E979=0,"해당 없음",F979/E979)</x:f>
        <x:v>0.009345794392523364</x:v>
      </x:c>
      <x:c r="O979" s="15" t="n">
        <x:f>IF(E979=0,"해당 없음",G979/E979)</x:f>
        <x:v>0.17757009345794392</x:v>
      </x:c>
      <x:c r="P979" s="15" t="n">
        <x:f>IF(E979=0,"해당 없음",H979/E979)</x:f>
        <x:v>0.056074766355140186</x:v>
      </x:c>
      <x:c r="Q979" s="15" t="n">
        <x:f>IF(E979=0,"해당 없음",I979/E979)</x:f>
        <x:v>0.037383177570093455</x:v>
      </x:c>
      <x:c r="R979" s="15" t="n">
        <x:f>IF(E979=0,"해당 없음",J979/E979)</x:f>
        <x:v>0</x:v>
      </x:c>
      <x:c r="S979" s="15" t="n">
        <x:f>IF(E979=0,"해당 없음",K979/E979)</x:f>
        <x:v>0.12149532710280374</x:v>
      </x:c>
      <x:c r="T979" s="15" t="n">
        <x:f>IF(E979=0,"해당 없음",L979/E979)</x:f>
        <x:v>0.3644859813084112</x:v>
      </x:c>
      <x:c r="U979" s="15" t="n">
        <x:f>IF(E979=0,"해당 없음",M979/E979)</x:f>
        <x:v>0.2336448598130841</x:v>
      </x:c>
      <x:c r="V979" s="16" t="n">
        <x:f>E979/5</x:f>
        <x:v>21.4</x:v>
      </x:c>
    </x:row>
    <x:row r="980" ht="22" customHeight="1">
      <x:c r="A980" s="2" t="n">
        <x:v>488</x:v>
      </x:c>
      <x:c r="B980" s="2" t="str">
        <x:v>RED</x:v>
      </x:c>
      <x:c r="C980" s="2" t="str">
        <x:v>240만</x:v>
      </x:c>
      <x:c r="D980" s="2" t="str">
        <x:v>0만</x:v>
      </x:c>
      <x:c r="E980" s="14" t="n">
        <x:f>SUM(F980:M980)</x:f>
        <x:v>101</x:v>
      </x:c>
      <x:c r="F980" s="14" t="n">
        <x:v>2</x:v>
      </x:c>
      <x:c r="G980" s="14" t="n">
        <x:v>12</x:v>
      </x:c>
      <x:c r="H980" s="14" t="n">
        <x:v>5</x:v>
      </x:c>
      <x:c r="I980" s="14" t="n">
        <x:v>5</x:v>
      </x:c>
      <x:c r="J980" s="14" t="n">
        <x:v>1</x:v>
      </x:c>
      <x:c r="K980" s="14" t="n">
        <x:v>1</x:v>
      </x:c>
      <x:c r="L980" s="14" t="n">
        <x:v>30</x:v>
      </x:c>
      <x:c r="M980" s="14" t="n">
        <x:v>45</x:v>
      </x:c>
      <x:c r="N980" s="15" t="n">
        <x:f>IF(E980=0,"해당 없음",F980/E980)</x:f>
        <x:v>0.019801980198019802</x:v>
      </x:c>
      <x:c r="O980" s="15" t="n">
        <x:f>IF(E980=0,"해당 없음",G980/E980)</x:f>
        <x:v>0.1188118811881188</x:v>
      </x:c>
      <x:c r="P980" s="15" t="n">
        <x:f>IF(E980=0,"해당 없음",H980/E980)</x:f>
        <x:v>0.04950495049504951</x:v>
      </x:c>
      <x:c r="Q980" s="15" t="n">
        <x:f>IF(E980=0,"해당 없음",I980/E980)</x:f>
        <x:v>0.04950495049504951</x:v>
      </x:c>
      <x:c r="R980" s="15" t="n">
        <x:f>IF(E980=0,"해당 없음",J980/E980)</x:f>
        <x:v>0.009900990099009901</x:v>
      </x:c>
      <x:c r="S980" s="15" t="n">
        <x:f>IF(E980=0,"해당 없음",K980/E980)</x:f>
        <x:v>0.009900990099009901</x:v>
      </x:c>
      <x:c r="T980" s="15" t="n">
        <x:f>IF(E980=0,"해당 없음",L980/E980)</x:f>
        <x:v>0.297029702970297</x:v>
      </x:c>
      <x:c r="U980" s="15" t="n">
        <x:f>IF(E980=0,"해당 없음",M980/E980)</x:f>
        <x:v>0.44554455445544555</x:v>
      </x:c>
      <x:c r="V980" s="16" t="n">
        <x:f>E980/5</x:f>
        <x:v>20.2</x:v>
      </x:c>
    </x:row>
    <x:row r="981" ht="22" customHeight="1">
      <x:c r="A981" s="2" t="n">
        <x:v>488</x:v>
      </x:c>
      <x:c r="B981" s="2" t="str">
        <x:v>NAVY</x:v>
      </x:c>
      <x:c r="C981" s="2" t="str">
        <x:v>0만</x:v>
      </x:c>
      <x:c r="D981" s="2" t="str">
        <x:v>240만</x:v>
      </x:c>
      <x:c r="E981" s="14" t="n">
        <x:f>SUM(F981:M981)</x:f>
        <x:v>104</x:v>
      </x:c>
      <x:c r="F981" s="14" t="n">
        <x:v>8</x:v>
      </x:c>
      <x:c r="G981" s="14" t="n">
        <x:v>13</x:v>
      </x:c>
      <x:c r="H981" s="14" t="n">
        <x:v>17</x:v>
      </x:c>
      <x:c r="I981" s="14" t="n">
        <x:v>16</x:v>
      </x:c>
      <x:c r="J981" s="14" t="n">
        <x:v>11</x:v>
      </x:c>
      <x:c r="K981" s="14" t="n">
        <x:v>18</x:v>
      </x:c>
      <x:c r="L981" s="14" t="n">
        <x:v>8</x:v>
      </x:c>
      <x:c r="M981" s="14" t="n">
        <x:v>13</x:v>
      </x:c>
      <x:c r="N981" s="15" t="n">
        <x:f>IF(E981=0,"해당 없음",F981/E981)</x:f>
        <x:v>0.07692307692307693</x:v>
      </x:c>
      <x:c r="O981" s="15" t="n">
        <x:f>IF(E981=0,"해당 없음",G981/E981)</x:f>
        <x:v>0.125</x:v>
      </x:c>
      <x:c r="P981" s="15" t="n">
        <x:f>IF(E981=0,"해당 없음",H981/E981)</x:f>
        <x:v>0.16346153846153846</x:v>
      </x:c>
      <x:c r="Q981" s="15" t="n">
        <x:f>IF(E981=0,"해당 없음",I981/E981)</x:f>
        <x:v>0.15384615384615385</x:v>
      </x:c>
      <x:c r="R981" s="15" t="n">
        <x:f>IF(E981=0,"해당 없음",J981/E981)</x:f>
        <x:v>0.10576923076923077</x:v>
      </x:c>
      <x:c r="S981" s="15" t="n">
        <x:f>IF(E981=0,"해당 없음",K981/E981)</x:f>
        <x:v>0.17307692307692307</x:v>
      </x:c>
      <x:c r="T981" s="15" t="n">
        <x:f>IF(E981=0,"해당 없음",L981/E981)</x:f>
        <x:v>0.07692307692307693</x:v>
      </x:c>
      <x:c r="U981" s="15" t="n">
        <x:f>IF(E981=0,"해당 없음",M981/E981)</x:f>
        <x:v>0.125</x:v>
      </x:c>
      <x:c r="V981" s="16" t="n">
        <x:f>E981/5</x:f>
        <x:v>20.8</x:v>
      </x:c>
    </x:row>
    <x:row r="982" ht="22" customHeight="1">
      <x:c r="A982" s="2" t="n">
        <x:v>489</x:v>
      </x:c>
      <x:c r="B982" s="2" t="str">
        <x:v>RED</x:v>
      </x:c>
      <x:c r="C982" s="2" t="str">
        <x:v>0만</x:v>
      </x:c>
      <x:c r="D982" s="2" t="str">
        <x:v>240만</x:v>
      </x:c>
      <x:c r="E982" s="14" t="n">
        <x:f>SUM(F982:M982)</x:f>
        <x:v>106</x:v>
      </x:c>
      <x:c r="F982" s="14" t="n">
        <x:v>9</x:v>
      </x:c>
      <x:c r="G982" s="14" t="n">
        <x:v>9</x:v>
      </x:c>
      <x:c r="H982" s="14" t="n">
        <x:v>14</x:v>
      </x:c>
      <x:c r="I982" s="14" t="n">
        <x:v>11</x:v>
      </x:c>
      <x:c r="J982" s="14" t="n">
        <x:v>13</x:v>
      </x:c>
      <x:c r="K982" s="14" t="n">
        <x:v>17</x:v>
      </x:c>
      <x:c r="L982" s="14" t="n">
        <x:v>15</x:v>
      </x:c>
      <x:c r="M982" s="14" t="n">
        <x:v>18</x:v>
      </x:c>
      <x:c r="N982" s="15" t="n">
        <x:f>IF(E982=0,"해당 없음",F982/E982)</x:f>
        <x:v>0.08490566037735849</x:v>
      </x:c>
      <x:c r="O982" s="15" t="n">
        <x:f>IF(E982=0,"해당 없음",G982/E982)</x:f>
        <x:v>0.08490566037735849</x:v>
      </x:c>
      <x:c r="P982" s="15" t="n">
        <x:f>IF(E982=0,"해당 없음",H982/E982)</x:f>
        <x:v>0.1320754716981132</x:v>
      </x:c>
      <x:c r="Q982" s="15" t="n">
        <x:f>IF(E982=0,"해당 없음",I982/E982)</x:f>
        <x:v>0.10377358490566038</x:v>
      </x:c>
      <x:c r="R982" s="15" t="n">
        <x:f>IF(E982=0,"해당 없음",J982/E982)</x:f>
        <x:v>0.12264150943396226</x:v>
      </x:c>
      <x:c r="S982" s="15" t="n">
        <x:f>IF(E982=0,"해당 없음",K982/E982)</x:f>
        <x:v>0.16037735849056603</x:v>
      </x:c>
      <x:c r="T982" s="15" t="n">
        <x:f>IF(E982=0,"해당 없음",L982/E982)</x:f>
        <x:v>0.14150943396226415</x:v>
      </x:c>
      <x:c r="U982" s="15" t="n">
        <x:f>IF(E982=0,"해당 없음",M982/E982)</x:f>
        <x:v>0.16981132075471697</x:v>
      </x:c>
      <x:c r="V982" s="16" t="n">
        <x:f>E982/5</x:f>
        <x:v>21.2</x:v>
      </x:c>
    </x:row>
    <x:row r="983" ht="22" customHeight="1">
      <x:c r="A983" s="2" t="n">
        <x:v>489</x:v>
      </x:c>
      <x:c r="B983" s="2" t="str">
        <x:v>NAVY</x:v>
      </x:c>
      <x:c r="C983" s="2" t="str">
        <x:v>240만</x:v>
      </x:c>
      <x:c r="D983" s="2" t="str">
        <x:v>0만</x:v>
      </x:c>
      <x:c r="E983" s="14" t="n">
        <x:f>SUM(F983:M983)</x:f>
        <x:v>105</x:v>
      </x:c>
      <x:c r="F983" s="14" t="n">
        <x:v>1</x:v>
      </x:c>
      <x:c r="G983" s="14" t="n">
        <x:v>8</x:v>
      </x:c>
      <x:c r="H983" s="14" t="n">
        <x:v>4</x:v>
      </x:c>
      <x:c r="I983" s="14" t="n">
        <x:v>11</x:v>
      </x:c>
      <x:c r="J983" s="14" t="n">
        <x:v>0</x:v>
      </x:c>
      <x:c r="K983" s="14" t="n">
        <x:v>3</x:v>
      </x:c>
      <x:c r="L983" s="14" t="n">
        <x:v>39</x:v>
      </x:c>
      <x:c r="M983" s="14" t="n">
        <x:v>39</x:v>
      </x:c>
      <x:c r="N983" s="15" t="n">
        <x:f>IF(E983=0,"해당 없음",F983/E983)</x:f>
        <x:v>0.009523809523809525</x:v>
      </x:c>
      <x:c r="O983" s="15" t="n">
        <x:f>IF(E983=0,"해당 없음",G983/E983)</x:f>
        <x:v>0.0761904761904762</x:v>
      </x:c>
      <x:c r="P983" s="15" t="n">
        <x:f>IF(E983=0,"해당 없음",H983/E983)</x:f>
        <x:v>0.0380952380952381</x:v>
      </x:c>
      <x:c r="Q983" s="15" t="n">
        <x:f>IF(E983=0,"해당 없음",I983/E983)</x:f>
        <x:v>0.10476190476190476</x:v>
      </x:c>
      <x:c r="R983" s="15" t="n">
        <x:f>IF(E983=0,"해당 없음",J983/E983)</x:f>
        <x:v>0</x:v>
      </x:c>
      <x:c r="S983" s="15" t="n">
        <x:f>IF(E983=0,"해당 없음",K983/E983)</x:f>
        <x:v>0.02857142857142857</x:v>
      </x:c>
      <x:c r="T983" s="15" t="n">
        <x:f>IF(E983=0,"해당 없음",L983/E983)</x:f>
        <x:v>0.37142857142857144</x:v>
      </x:c>
      <x:c r="U983" s="15" t="n">
        <x:f>IF(E983=0,"해당 없음",M983/E983)</x:f>
        <x:v>0.37142857142857144</x:v>
      </x:c>
      <x:c r="V983" s="16" t="n">
        <x:f>E983/5</x:f>
        <x:v>21</x:v>
      </x:c>
    </x:row>
    <x:row r="984" ht="22" customHeight="1">
      <x:c r="A984" s="2" t="n">
        <x:v>490</x:v>
      </x:c>
      <x:c r="B984" s="2" t="str">
        <x:v>RED</x:v>
      </x:c>
      <x:c r="C984" s="2" t="str">
        <x:v>240만</x:v>
      </x:c>
      <x:c r="D984" s="2" t="str">
        <x:v>0만</x:v>
      </x:c>
      <x:c r="E984" s="14" t="n">
        <x:f>SUM(F984:M984)</x:f>
        <x:v>105</x:v>
      </x:c>
      <x:c r="F984" s="14" t="n">
        <x:v>1</x:v>
      </x:c>
      <x:c r="G984" s="14" t="n">
        <x:v>14</x:v>
      </x:c>
      <x:c r="H984" s="14" t="n">
        <x:v>6</x:v>
      </x:c>
      <x:c r="I984" s="14" t="n">
        <x:v>6</x:v>
      </x:c>
      <x:c r="J984" s="14" t="n">
        <x:v>0</x:v>
      </x:c>
      <x:c r="K984" s="14" t="n">
        <x:v>4</x:v>
      </x:c>
      <x:c r="L984" s="14" t="n">
        <x:v>39</x:v>
      </x:c>
      <x:c r="M984" s="14" t="n">
        <x:v>35</x:v>
      </x:c>
      <x:c r="N984" s="15" t="n">
        <x:f>IF(E984=0,"해당 없음",F984/E984)</x:f>
        <x:v>0.009523809523809525</x:v>
      </x:c>
      <x:c r="O984" s="15" t="n">
        <x:f>IF(E984=0,"해당 없음",G984/E984)</x:f>
        <x:v>0.13333333333333333</x:v>
      </x:c>
      <x:c r="P984" s="15" t="n">
        <x:f>IF(E984=0,"해당 없음",H984/E984)</x:f>
        <x:v>0.05714285714285714</x:v>
      </x:c>
      <x:c r="Q984" s="15" t="n">
        <x:f>IF(E984=0,"해당 없음",I984/E984)</x:f>
        <x:v>0.05714285714285714</x:v>
      </x:c>
      <x:c r="R984" s="15" t="n">
        <x:f>IF(E984=0,"해당 없음",J984/E984)</x:f>
        <x:v>0</x:v>
      </x:c>
      <x:c r="S984" s="15" t="n">
        <x:f>IF(E984=0,"해당 없음",K984/E984)</x:f>
        <x:v>0.0380952380952381</x:v>
      </x:c>
      <x:c r="T984" s="15" t="n">
        <x:f>IF(E984=0,"해당 없음",L984/E984)</x:f>
        <x:v>0.37142857142857144</x:v>
      </x:c>
      <x:c r="U984" s="15" t="n">
        <x:f>IF(E984=0,"해당 없음",M984/E984)</x:f>
        <x:v>0.3333333333333333</x:v>
      </x:c>
      <x:c r="V984" s="16" t="n">
        <x:f>E984/5</x:f>
        <x:v>21</x:v>
      </x:c>
    </x:row>
    <x:row r="985" ht="22" customHeight="1">
      <x:c r="A985" s="2" t="n">
        <x:v>490</x:v>
      </x:c>
      <x:c r="B985" s="2" t="str">
        <x:v>NAVY</x:v>
      </x:c>
      <x:c r="C985" s="2" t="str">
        <x:v>0만</x:v>
      </x:c>
      <x:c r="D985" s="2" t="str">
        <x:v>240만</x:v>
      </x:c>
      <x:c r="E985" s="14" t="n">
        <x:f>SUM(F985:M985)</x:f>
        <x:v>107</x:v>
      </x:c>
      <x:c r="F985" s="14" t="n">
        <x:v>9</x:v>
      </x:c>
      <x:c r="G985" s="14" t="n">
        <x:v>9</x:v>
      </x:c>
      <x:c r="H985" s="14" t="n">
        <x:v>15</x:v>
      </x:c>
      <x:c r="I985" s="14" t="n">
        <x:v>11</x:v>
      </x:c>
      <x:c r="J985" s="14" t="n">
        <x:v>13</x:v>
      </x:c>
      <x:c r="K985" s="14" t="n">
        <x:v>16</x:v>
      </x:c>
      <x:c r="L985" s="14" t="n">
        <x:v>16</x:v>
      </x:c>
      <x:c r="M985" s="14" t="n">
        <x:v>18</x:v>
      </x:c>
      <x:c r="N985" s="15" t="n">
        <x:f>IF(E985=0,"해당 없음",F985/E985)</x:f>
        <x:v>0.08411214953271028</x:v>
      </x:c>
      <x:c r="O985" s="15" t="n">
        <x:f>IF(E985=0,"해당 없음",G985/E985)</x:f>
        <x:v>0.08411214953271028</x:v>
      </x:c>
      <x:c r="P985" s="15" t="n">
        <x:f>IF(E985=0,"해당 없음",H985/E985)</x:f>
        <x:v>0.14018691588785046</x:v>
      </x:c>
      <x:c r="Q985" s="15" t="n">
        <x:f>IF(E985=0,"해당 없음",I985/E985)</x:f>
        <x:v>0.102803738317757</x:v>
      </x:c>
      <x:c r="R985" s="15" t="n">
        <x:f>IF(E985=0,"해당 없음",J985/E985)</x:f>
        <x:v>0.12149532710280374</x:v>
      </x:c>
      <x:c r="S985" s="15" t="n">
        <x:f>IF(E985=0,"해당 없음",K985/E985)</x:f>
        <x:v>0.14953271028037382</x:v>
      </x:c>
      <x:c r="T985" s="15" t="n">
        <x:f>IF(E985=0,"해당 없음",L985/E985)</x:f>
        <x:v>0.14953271028037382</x:v>
      </x:c>
      <x:c r="U985" s="15" t="n">
        <x:f>IF(E985=0,"해당 없음",M985/E985)</x:f>
        <x:v>0.16822429906542055</x:v>
      </x:c>
      <x:c r="V985" s="16" t="n">
        <x:f>E985/5</x:f>
        <x:v>21.4</x:v>
      </x:c>
    </x:row>
    <x:row r="986" ht="22" customHeight="1">
      <x:c r="A986" s="2" t="n">
        <x:v>491</x:v>
      </x:c>
      <x:c r="B986" s="2" t="str">
        <x:v>RED</x:v>
      </x:c>
      <x:c r="C986" s="2" t="str">
        <x:v>0만</x:v>
      </x:c>
      <x:c r="D986" s="2" t="str">
        <x:v>240만</x:v>
      </x:c>
      <x:c r="E986" s="14" t="n">
        <x:f>SUM(F986:M986)</x:f>
        <x:v>106</x:v>
      </x:c>
      <x:c r="F986" s="14" t="n">
        <x:v>14</x:v>
      </x:c>
      <x:c r="G986" s="14" t="n">
        <x:v>9</x:v>
      </x:c>
      <x:c r="H986" s="14" t="n">
        <x:v>10</x:v>
      </x:c>
      <x:c r="I986" s="14" t="n">
        <x:v>11</x:v>
      </x:c>
      <x:c r="J986" s="14" t="n">
        <x:v>18</x:v>
      </x:c>
      <x:c r="K986" s="14" t="n">
        <x:v>15</x:v>
      </x:c>
      <x:c r="L986" s="14" t="n">
        <x:v>10</x:v>
      </x:c>
      <x:c r="M986" s="14" t="n">
        <x:v>19</x:v>
      </x:c>
      <x:c r="N986" s="15" t="n">
        <x:f>IF(E986=0,"해당 없음",F986/E986)</x:f>
        <x:v>0.1320754716981132</x:v>
      </x:c>
      <x:c r="O986" s="15" t="n">
        <x:f>IF(E986=0,"해당 없음",G986/E986)</x:f>
        <x:v>0.08490566037735849</x:v>
      </x:c>
      <x:c r="P986" s="15" t="n">
        <x:f>IF(E986=0,"해당 없음",H986/E986)</x:f>
        <x:v>0.09433962264150944</x:v>
      </x:c>
      <x:c r="Q986" s="15" t="n">
        <x:f>IF(E986=0,"해당 없음",I986/E986)</x:f>
        <x:v>0.10377358490566038</x:v>
      </x:c>
      <x:c r="R986" s="15" t="n">
        <x:f>IF(E986=0,"해당 없음",J986/E986)</x:f>
        <x:v>0.16981132075471697</x:v>
      </x:c>
      <x:c r="S986" s="15" t="n">
        <x:f>IF(E986=0,"해당 없음",K986/E986)</x:f>
        <x:v>0.14150943396226415</x:v>
      </x:c>
      <x:c r="T986" s="15" t="n">
        <x:f>IF(E986=0,"해당 없음",L986/E986)</x:f>
        <x:v>0.09433962264150944</x:v>
      </x:c>
      <x:c r="U986" s="15" t="n">
        <x:f>IF(E986=0,"해당 없음",M986/E986)</x:f>
        <x:v>0.1792452830188679</x:v>
      </x:c>
      <x:c r="V986" s="16" t="n">
        <x:f>E986/5</x:f>
        <x:v>21.2</x:v>
      </x:c>
    </x:row>
    <x:row r="987" ht="22" customHeight="1">
      <x:c r="A987" s="2" t="n">
        <x:v>491</x:v>
      </x:c>
      <x:c r="B987" s="2" t="str">
        <x:v>NAVY</x:v>
      </x:c>
      <x:c r="C987" s="2" t="str">
        <x:v>240만</x:v>
      </x:c>
      <x:c r="D987" s="2" t="str">
        <x:v>0만</x:v>
      </x:c>
      <x:c r="E987" s="14" t="n">
        <x:f>SUM(F987:M987)</x:f>
        <x:v>106</x:v>
      </x:c>
      <x:c r="F987" s="14" t="n">
        <x:v>1</x:v>
      </x:c>
      <x:c r="G987" s="14" t="n">
        <x:v>16</x:v>
      </x:c>
      <x:c r="H987" s="14" t="n">
        <x:v>5</x:v>
      </x:c>
      <x:c r="I987" s="14" t="n">
        <x:v>7</x:v>
      </x:c>
      <x:c r="J987" s="14" t="n">
        <x:v>0</x:v>
      </x:c>
      <x:c r="K987" s="14" t="n">
        <x:v>3</x:v>
      </x:c>
      <x:c r="L987" s="14" t="n">
        <x:v>42</x:v>
      </x:c>
      <x:c r="M987" s="14" t="n">
        <x:v>32</x:v>
      </x:c>
      <x:c r="N987" s="15" t="n">
        <x:f>IF(E987=0,"해당 없음",F987/E987)</x:f>
        <x:v>0.009433962264150943</x:v>
      </x:c>
      <x:c r="O987" s="15" t="n">
        <x:f>IF(E987=0,"해당 없음",G987/E987)</x:f>
        <x:v>0.1509433962264151</x:v>
      </x:c>
      <x:c r="P987" s="15" t="n">
        <x:f>IF(E987=0,"해당 없음",H987/E987)</x:f>
        <x:v>0.04716981132075472</x:v>
      </x:c>
      <x:c r="Q987" s="15" t="n">
        <x:f>IF(E987=0,"해당 없음",I987/E987)</x:f>
        <x:v>0.0660377358490566</x:v>
      </x:c>
      <x:c r="R987" s="15" t="n">
        <x:f>IF(E987=0,"해당 없음",J987/E987)</x:f>
        <x:v>0</x:v>
      </x:c>
      <x:c r="S987" s="15" t="n">
        <x:f>IF(E987=0,"해당 없음",K987/E987)</x:f>
        <x:v>0.02830188679245283</x:v>
      </x:c>
      <x:c r="T987" s="15" t="n">
        <x:f>IF(E987=0,"해당 없음",L987/E987)</x:f>
        <x:v>0.39622641509433965</x:v>
      </x:c>
      <x:c r="U987" s="15" t="n">
        <x:f>IF(E987=0,"해당 없음",M987/E987)</x:f>
        <x:v>0.3018867924528302</x:v>
      </x:c>
      <x:c r="V987" s="16" t="n">
        <x:f>E987/5</x:f>
        <x:v>21.2</x:v>
      </x:c>
    </x:row>
    <x:row r="988" ht="22" customHeight="1">
      <x:c r="A988" s="2" t="n">
        <x:v>492</x:v>
      </x:c>
      <x:c r="B988" s="2" t="str">
        <x:v>RED</x:v>
      </x:c>
      <x:c r="C988" s="2" t="str">
        <x:v>240만</x:v>
      </x:c>
      <x:c r="D988" s="2" t="str">
        <x:v>0만</x:v>
      </x:c>
      <x:c r="E988" s="14" t="n">
        <x:f>SUM(F988:M988)</x:f>
        <x:v>105</x:v>
      </x:c>
      <x:c r="F988" s="14" t="n">
        <x:v>0</x:v>
      </x:c>
      <x:c r="G988" s="14" t="n">
        <x:v>12</x:v>
      </x:c>
      <x:c r="H988" s="14" t="n">
        <x:v>4</x:v>
      </x:c>
      <x:c r="I988" s="14" t="n">
        <x:v>6</x:v>
      </x:c>
      <x:c r="J988" s="14" t="n">
        <x:v>0</x:v>
      </x:c>
      <x:c r="K988" s="14" t="n">
        <x:v>6</x:v>
      </x:c>
      <x:c r="L988" s="14" t="n">
        <x:v>40</x:v>
      </x:c>
      <x:c r="M988" s="14" t="n">
        <x:v>37</x:v>
      </x:c>
      <x:c r="N988" s="15" t="n">
        <x:f>IF(E988=0,"해당 없음",F988/E988)</x:f>
        <x:v>0</x:v>
      </x:c>
      <x:c r="O988" s="15" t="n">
        <x:f>IF(E988=0,"해당 없음",G988/E988)</x:f>
        <x:v>0.11428571428571428</x:v>
      </x:c>
      <x:c r="P988" s="15" t="n">
        <x:f>IF(E988=0,"해당 없음",H988/E988)</x:f>
        <x:v>0.0380952380952381</x:v>
      </x:c>
      <x:c r="Q988" s="15" t="n">
        <x:f>IF(E988=0,"해당 없음",I988/E988)</x:f>
        <x:v>0.05714285714285714</x:v>
      </x:c>
      <x:c r="R988" s="15" t="n">
        <x:f>IF(E988=0,"해당 없음",J988/E988)</x:f>
        <x:v>0</x:v>
      </x:c>
      <x:c r="S988" s="15" t="n">
        <x:f>IF(E988=0,"해당 없음",K988/E988)</x:f>
        <x:v>0.05714285714285714</x:v>
      </x:c>
      <x:c r="T988" s="15" t="n">
        <x:f>IF(E988=0,"해당 없음",L988/E988)</x:f>
        <x:v>0.38095238095238093</x:v>
      </x:c>
      <x:c r="U988" s="15" t="n">
        <x:f>IF(E988=0,"해당 없음",M988/E988)</x:f>
        <x:v>0.3523809523809524</x:v>
      </x:c>
      <x:c r="V988" s="16" t="n">
        <x:f>E988/5</x:f>
        <x:v>21</x:v>
      </x:c>
    </x:row>
    <x:row r="989" ht="22" customHeight="1">
      <x:c r="A989" s="2" t="n">
        <x:v>492</x:v>
      </x:c>
      <x:c r="B989" s="2" t="str">
        <x:v>NAVY</x:v>
      </x:c>
      <x:c r="C989" s="2" t="str">
        <x:v>0만</x:v>
      </x:c>
      <x:c r="D989" s="2" t="str">
        <x:v>240만</x:v>
      </x:c>
      <x:c r="E989" s="14" t="n">
        <x:f>SUM(F989:M989)</x:f>
        <x:v>104</x:v>
      </x:c>
      <x:c r="F989" s="14" t="n">
        <x:v>14</x:v>
      </x:c>
      <x:c r="G989" s="14" t="n">
        <x:v>9</x:v>
      </x:c>
      <x:c r="H989" s="14" t="n">
        <x:v>10</x:v>
      </x:c>
      <x:c r="I989" s="14" t="n">
        <x:v>11</x:v>
      </x:c>
      <x:c r="J989" s="14" t="n">
        <x:v>18</x:v>
      </x:c>
      <x:c r="K989" s="14" t="n">
        <x:v>14</x:v>
      </x:c>
      <x:c r="L989" s="14" t="n">
        <x:v>10</x:v>
      </x:c>
      <x:c r="M989" s="14" t="n">
        <x:v>18</x:v>
      </x:c>
      <x:c r="N989" s="15" t="n">
        <x:f>IF(E989=0,"해당 없음",F989/E989)</x:f>
        <x:v>0.1346153846153846</x:v>
      </x:c>
      <x:c r="O989" s="15" t="n">
        <x:f>IF(E989=0,"해당 없음",G989/E989)</x:f>
        <x:v>0.08653846153846154</x:v>
      </x:c>
      <x:c r="P989" s="15" t="n">
        <x:f>IF(E989=0,"해당 없음",H989/E989)</x:f>
        <x:v>0.09615384615384616</x:v>
      </x:c>
      <x:c r="Q989" s="15" t="n">
        <x:f>IF(E989=0,"해당 없음",I989/E989)</x:f>
        <x:v>0.10576923076923077</x:v>
      </x:c>
      <x:c r="R989" s="15" t="n">
        <x:f>IF(E989=0,"해당 없음",J989/E989)</x:f>
        <x:v>0.17307692307692307</x:v>
      </x:c>
      <x:c r="S989" s="15" t="n">
        <x:f>IF(E989=0,"해당 없음",K989/E989)</x:f>
        <x:v>0.1346153846153846</x:v>
      </x:c>
      <x:c r="T989" s="15" t="n">
        <x:f>IF(E989=0,"해당 없음",L989/E989)</x:f>
        <x:v>0.09615384615384616</x:v>
      </x:c>
      <x:c r="U989" s="15" t="n">
        <x:f>IF(E989=0,"해당 없음",M989/E989)</x:f>
        <x:v>0.17307692307692307</x:v>
      </x:c>
      <x:c r="V989" s="16" t="n">
        <x:f>E989/5</x:f>
        <x:v>20.8</x:v>
      </x:c>
    </x:row>
    <x:row r="990" ht="22" customHeight="1">
      <x:c r="A990" s="2" t="n">
        <x:v>493</x:v>
      </x:c>
      <x:c r="B990" s="2" t="str">
        <x:v>RED</x:v>
      </x:c>
      <x:c r="C990" s="2" t="str">
        <x:v>0만</x:v>
      </x:c>
      <x:c r="D990" s="2" t="str">
        <x:v>240만</x:v>
      </x:c>
      <x:c r="E990" s="14" t="n">
        <x:f>SUM(F990:M990)</x:f>
        <x:v>106</x:v>
      </x:c>
      <x:c r="F990" s="14" t="n">
        <x:v>20</x:v>
      </x:c>
      <x:c r="G990" s="14" t="n">
        <x:v>14</x:v>
      </x:c>
      <x:c r="H990" s="14" t="n">
        <x:v>11</x:v>
      </x:c>
      <x:c r="I990" s="14" t="n">
        <x:v>14</x:v>
      </x:c>
      <x:c r="J990" s="14" t="n">
        <x:v>13</x:v>
      </x:c>
      <x:c r="K990" s="14" t="n">
        <x:v>12</x:v>
      </x:c>
      <x:c r="L990" s="14" t="n">
        <x:v>12</x:v>
      </x:c>
      <x:c r="M990" s="14" t="n">
        <x:v>10</x:v>
      </x:c>
      <x:c r="N990" s="15" t="n">
        <x:f>IF(E990=0,"해당 없음",F990/E990)</x:f>
        <x:v>0.18867924528301888</x:v>
      </x:c>
      <x:c r="O990" s="15" t="n">
        <x:f>IF(E990=0,"해당 없음",G990/E990)</x:f>
        <x:v>0.1320754716981132</x:v>
      </x:c>
      <x:c r="P990" s="15" t="n">
        <x:f>IF(E990=0,"해당 없음",H990/E990)</x:f>
        <x:v>0.10377358490566038</x:v>
      </x:c>
      <x:c r="Q990" s="15" t="n">
        <x:f>IF(E990=0,"해당 없음",I990/E990)</x:f>
        <x:v>0.1320754716981132</x:v>
      </x:c>
      <x:c r="R990" s="15" t="n">
        <x:f>IF(E990=0,"해당 없음",J990/E990)</x:f>
        <x:v>0.12264150943396226</x:v>
      </x:c>
      <x:c r="S990" s="15" t="n">
        <x:f>IF(E990=0,"해당 없음",K990/E990)</x:f>
        <x:v>0.11320754716981132</x:v>
      </x:c>
      <x:c r="T990" s="15" t="n">
        <x:f>IF(E990=0,"해당 없음",L990/E990)</x:f>
        <x:v>0.11320754716981132</x:v>
      </x:c>
      <x:c r="U990" s="15" t="n">
        <x:f>IF(E990=0,"해당 없음",M990/E990)</x:f>
        <x:v>0.09433962264150944</x:v>
      </x:c>
      <x:c r="V990" s="16" t="n">
        <x:f>E990/5</x:f>
        <x:v>21.2</x:v>
      </x:c>
    </x:row>
    <x:row r="991" ht="22" customHeight="1">
      <x:c r="A991" s="2" t="n">
        <x:v>493</x:v>
      </x:c>
      <x:c r="B991" s="2" t="str">
        <x:v>NAVY</x:v>
      </x:c>
      <x:c r="C991" s="2" t="str">
        <x:v>240만</x:v>
      </x:c>
      <x:c r="D991" s="2" t="str">
        <x:v>0만</x:v>
      </x:c>
      <x:c r="E991" s="14" t="n">
        <x:f>SUM(F991:M991)</x:f>
        <x:v>105</x:v>
      </x:c>
      <x:c r="F991" s="14" t="n">
        <x:v>3</x:v>
      </x:c>
      <x:c r="G991" s="14" t="n">
        <x:v>15</x:v>
      </x:c>
      <x:c r="H991" s="14" t="n">
        <x:v>9</x:v>
      </x:c>
      <x:c r="I991" s="14" t="n">
        <x:v>4</x:v>
      </x:c>
      <x:c r="J991" s="14" t="n">
        <x:v>0</x:v>
      </x:c>
      <x:c r="K991" s="14" t="n">
        <x:v>5</x:v>
      </x:c>
      <x:c r="L991" s="14" t="n">
        <x:v>40</x:v>
      </x:c>
      <x:c r="M991" s="14" t="n">
        <x:v>29</x:v>
      </x:c>
      <x:c r="N991" s="15" t="n">
        <x:f>IF(E991=0,"해당 없음",F991/E991)</x:f>
        <x:v>0.02857142857142857</x:v>
      </x:c>
      <x:c r="O991" s="15" t="n">
        <x:f>IF(E991=0,"해당 없음",G991/E991)</x:f>
        <x:v>0.14285714285714285</x:v>
      </x:c>
      <x:c r="P991" s="15" t="n">
        <x:f>IF(E991=0,"해당 없음",H991/E991)</x:f>
        <x:v>0.08571428571428572</x:v>
      </x:c>
      <x:c r="Q991" s="15" t="n">
        <x:f>IF(E991=0,"해당 없음",I991/E991)</x:f>
        <x:v>0.0380952380952381</x:v>
      </x:c>
      <x:c r="R991" s="15" t="n">
        <x:f>IF(E991=0,"해당 없음",J991/E991)</x:f>
        <x:v>0</x:v>
      </x:c>
      <x:c r="S991" s="15" t="n">
        <x:f>IF(E991=0,"해당 없음",K991/E991)</x:f>
        <x:v>0.047619047619047616</x:v>
      </x:c>
      <x:c r="T991" s="15" t="n">
        <x:f>IF(E991=0,"해당 없음",L991/E991)</x:f>
        <x:v>0.38095238095238093</x:v>
      </x:c>
      <x:c r="U991" s="15" t="n">
        <x:f>IF(E991=0,"해당 없음",M991/E991)</x:f>
        <x:v>0.2761904761904762</x:v>
      </x:c>
      <x:c r="V991" s="16" t="n">
        <x:f>E991/5</x:f>
        <x:v>21</x:v>
      </x:c>
    </x:row>
    <x:row r="992" ht="22" customHeight="1">
      <x:c r="A992" s="2" t="n">
        <x:v>494</x:v>
      </x:c>
      <x:c r="B992" s="2" t="str">
        <x:v>RED</x:v>
      </x:c>
      <x:c r="C992" s="2" t="str">
        <x:v>240만</x:v>
      </x:c>
      <x:c r="D992" s="2" t="str">
        <x:v>0만</x:v>
      </x:c>
      <x:c r="E992" s="14" t="n">
        <x:f>SUM(F992:M992)</x:f>
        <x:v>104</x:v>
      </x:c>
      <x:c r="F992" s="14" t="n">
        <x:v>0</x:v>
      </x:c>
      <x:c r="G992" s="14" t="n">
        <x:v>10</x:v>
      </x:c>
      <x:c r="H992" s="14" t="n">
        <x:v>11</x:v>
      </x:c>
      <x:c r="I992" s="14" t="n">
        <x:v>4</x:v>
      </x:c>
      <x:c r="J992" s="14" t="n">
        <x:v>0</x:v>
      </x:c>
      <x:c r="K992" s="14" t="n">
        <x:v>7</x:v>
      </x:c>
      <x:c r="L992" s="14" t="n">
        <x:v>42</x:v>
      </x:c>
      <x:c r="M992" s="14" t="n">
        <x:v>30</x:v>
      </x:c>
      <x:c r="N992" s="15" t="n">
        <x:f>IF(E992=0,"해당 없음",F992/E992)</x:f>
        <x:v>0</x:v>
      </x:c>
      <x:c r="O992" s="15" t="n">
        <x:f>IF(E992=0,"해당 없음",G992/E992)</x:f>
        <x:v>0.09615384615384616</x:v>
      </x:c>
      <x:c r="P992" s="15" t="n">
        <x:f>IF(E992=0,"해당 없음",H992/E992)</x:f>
        <x:v>0.10576923076923077</x:v>
      </x:c>
      <x:c r="Q992" s="15" t="n">
        <x:f>IF(E992=0,"해당 없음",I992/E992)</x:f>
        <x:v>0.038461538461538464</x:v>
      </x:c>
      <x:c r="R992" s="15" t="n">
        <x:f>IF(E992=0,"해당 없음",J992/E992)</x:f>
        <x:v>0</x:v>
      </x:c>
      <x:c r="S992" s="15" t="n">
        <x:f>IF(E992=0,"해당 없음",K992/E992)</x:f>
        <x:v>0.0673076923076923</x:v>
      </x:c>
      <x:c r="T992" s="15" t="n">
        <x:f>IF(E992=0,"해당 없음",L992/E992)</x:f>
        <x:v>0.40384615384615385</x:v>
      </x:c>
      <x:c r="U992" s="15" t="n">
        <x:f>IF(E992=0,"해당 없음",M992/E992)</x:f>
        <x:v>0.28846153846153844</x:v>
      </x:c>
      <x:c r="V992" s="16" t="n">
        <x:f>E992/5</x:f>
        <x:v>20.8</x:v>
      </x:c>
    </x:row>
    <x:row r="993" ht="22" customHeight="1">
      <x:c r="A993" s="2" t="n">
        <x:v>494</x:v>
      </x:c>
      <x:c r="B993" s="2" t="str">
        <x:v>NAVY</x:v>
      </x:c>
      <x:c r="C993" s="2" t="str">
        <x:v>0만</x:v>
      </x:c>
      <x:c r="D993" s="2" t="str">
        <x:v>240만</x:v>
      </x:c>
      <x:c r="E993" s="14" t="n">
        <x:f>SUM(F993:M993)</x:f>
        <x:v>105</x:v>
      </x:c>
      <x:c r="F993" s="14" t="n">
        <x:v>20</x:v>
      </x:c>
      <x:c r="G993" s="14" t="n">
        <x:v>14</x:v>
      </x:c>
      <x:c r="H993" s="14" t="n">
        <x:v>11</x:v>
      </x:c>
      <x:c r="I993" s="14" t="n">
        <x:v>15</x:v>
      </x:c>
      <x:c r="J993" s="14" t="n">
        <x:v>12</x:v>
      </x:c>
      <x:c r="K993" s="14" t="n">
        <x:v>11</x:v>
      </x:c>
      <x:c r="L993" s="14" t="n">
        <x:v>11</x:v>
      </x:c>
      <x:c r="M993" s="14" t="n">
        <x:v>11</x:v>
      </x:c>
      <x:c r="N993" s="15" t="n">
        <x:f>IF(E993=0,"해당 없음",F993/E993)</x:f>
        <x:v>0.19047619047619047</x:v>
      </x:c>
      <x:c r="O993" s="15" t="n">
        <x:f>IF(E993=0,"해당 없음",G993/E993)</x:f>
        <x:v>0.13333333333333333</x:v>
      </x:c>
      <x:c r="P993" s="15" t="n">
        <x:f>IF(E993=0,"해당 없음",H993/E993)</x:f>
        <x:v>0.10476190476190476</x:v>
      </x:c>
      <x:c r="Q993" s="15" t="n">
        <x:f>IF(E993=0,"해당 없음",I993/E993)</x:f>
        <x:v>0.14285714285714285</x:v>
      </x:c>
      <x:c r="R993" s="15" t="n">
        <x:f>IF(E993=0,"해당 없음",J993/E993)</x:f>
        <x:v>0.11428571428571428</x:v>
      </x:c>
      <x:c r="S993" s="15" t="n">
        <x:f>IF(E993=0,"해당 없음",K993/E993)</x:f>
        <x:v>0.10476190476190476</x:v>
      </x:c>
      <x:c r="T993" s="15" t="n">
        <x:f>IF(E993=0,"해당 없음",L993/E993)</x:f>
        <x:v>0.10476190476190476</x:v>
      </x:c>
      <x:c r="U993" s="15" t="n">
        <x:f>IF(E993=0,"해당 없음",M993/E993)</x:f>
        <x:v>0.10476190476190476</x:v>
      </x:c>
      <x:c r="V993" s="16" t="n">
        <x:f>E993/5</x:f>
        <x:v>21</x:v>
      </x:c>
    </x:row>
    <x:row r="994" ht="22" customHeight="1">
      <x:c r="A994" s="2" t="n">
        <x:v>495</x:v>
      </x:c>
      <x:c r="B994" s="2" t="str">
        <x:v>RED</x:v>
      </x:c>
      <x:c r="C994" s="2" t="str">
        <x:v>0만</x:v>
      </x:c>
      <x:c r="D994" s="2" t="str">
        <x:v>240만</x:v>
      </x:c>
      <x:c r="E994" s="14" t="n">
        <x:f>SUM(F994:M994)</x:f>
        <x:v>104</x:v>
      </x:c>
      <x:c r="F994" s="14" t="n">
        <x:v>11</x:v>
      </x:c>
      <x:c r="G994" s="14" t="n">
        <x:v>13</x:v>
      </x:c>
      <x:c r="H994" s="14" t="n">
        <x:v>9</x:v>
      </x:c>
      <x:c r="I994" s="14" t="n">
        <x:v>11</x:v>
      </x:c>
      <x:c r="J994" s="14" t="n">
        <x:v>11</x:v>
      </x:c>
      <x:c r="K994" s="14" t="n">
        <x:v>22</x:v>
      </x:c>
      <x:c r="L994" s="14" t="n">
        <x:v>10</x:v>
      </x:c>
      <x:c r="M994" s="14" t="n">
        <x:v>17</x:v>
      </x:c>
      <x:c r="N994" s="15" t="n">
        <x:f>IF(E994=0,"해당 없음",F994/E994)</x:f>
        <x:v>0.10576923076923077</x:v>
      </x:c>
      <x:c r="O994" s="15" t="n">
        <x:f>IF(E994=0,"해당 없음",G994/E994)</x:f>
        <x:v>0.125</x:v>
      </x:c>
      <x:c r="P994" s="15" t="n">
        <x:f>IF(E994=0,"해당 없음",H994/E994)</x:f>
        <x:v>0.08653846153846154</x:v>
      </x:c>
      <x:c r="Q994" s="15" t="n">
        <x:f>IF(E994=0,"해당 없음",I994/E994)</x:f>
        <x:v>0.10576923076923077</x:v>
      </x:c>
      <x:c r="R994" s="15" t="n">
        <x:f>IF(E994=0,"해당 없음",J994/E994)</x:f>
        <x:v>0.10576923076923077</x:v>
      </x:c>
      <x:c r="S994" s="15" t="n">
        <x:f>IF(E994=0,"해당 없음",K994/E994)</x:f>
        <x:v>0.21153846153846154</x:v>
      </x:c>
      <x:c r="T994" s="15" t="n">
        <x:f>IF(E994=0,"해당 없음",L994/E994)</x:f>
        <x:v>0.09615384615384616</x:v>
      </x:c>
      <x:c r="U994" s="15" t="n">
        <x:f>IF(E994=0,"해당 없음",M994/E994)</x:f>
        <x:v>0.16346153846153846</x:v>
      </x:c>
      <x:c r="V994" s="16" t="n">
        <x:f>E994/5</x:f>
        <x:v>20.8</x:v>
      </x:c>
    </x:row>
    <x:row r="995" ht="22" customHeight="1">
      <x:c r="A995" s="2" t="n">
        <x:v>495</x:v>
      </x:c>
      <x:c r="B995" s="2" t="str">
        <x:v>NAVY</x:v>
      </x:c>
      <x:c r="C995" s="2" t="str">
        <x:v>240만</x:v>
      </x:c>
      <x:c r="D995" s="2" t="str">
        <x:v>0만</x:v>
      </x:c>
      <x:c r="E995" s="14" t="n">
        <x:f>SUM(F995:M995)</x:f>
        <x:v>104</x:v>
      </x:c>
      <x:c r="F995" s="14" t="n">
        <x:v>2</x:v>
      </x:c>
      <x:c r="G995" s="14" t="n">
        <x:v>12</x:v>
      </x:c>
      <x:c r="H995" s="14" t="n">
        <x:v>6</x:v>
      </x:c>
      <x:c r="I995" s="14" t="n">
        <x:v>9</x:v>
      </x:c>
      <x:c r="J995" s="14" t="n">
        <x:v>0</x:v>
      </x:c>
      <x:c r="K995" s="14" t="n">
        <x:v>5</x:v>
      </x:c>
      <x:c r="L995" s="14" t="n">
        <x:v>36</x:v>
      </x:c>
      <x:c r="M995" s="14" t="n">
        <x:v>34</x:v>
      </x:c>
      <x:c r="N995" s="15" t="n">
        <x:f>IF(E995=0,"해당 없음",F995/E995)</x:f>
        <x:v>0.019230769230769232</x:v>
      </x:c>
      <x:c r="O995" s="15" t="n">
        <x:f>IF(E995=0,"해당 없음",G995/E995)</x:f>
        <x:v>0.11538461538461539</x:v>
      </x:c>
      <x:c r="P995" s="15" t="n">
        <x:f>IF(E995=0,"해당 없음",H995/E995)</x:f>
        <x:v>0.057692307692307696</x:v>
      </x:c>
      <x:c r="Q995" s="15" t="n">
        <x:f>IF(E995=0,"해당 없음",I995/E995)</x:f>
        <x:v>0.08653846153846154</x:v>
      </x:c>
      <x:c r="R995" s="15" t="n">
        <x:f>IF(E995=0,"해당 없음",J995/E995)</x:f>
        <x:v>0</x:v>
      </x:c>
      <x:c r="S995" s="15" t="n">
        <x:f>IF(E995=0,"해당 없음",K995/E995)</x:f>
        <x:v>0.04807692307692308</x:v>
      </x:c>
      <x:c r="T995" s="15" t="n">
        <x:f>IF(E995=0,"해당 없음",L995/E995)</x:f>
        <x:v>0.34615384615384615</x:v>
      </x:c>
      <x:c r="U995" s="15" t="n">
        <x:f>IF(E995=0,"해당 없음",M995/E995)</x:f>
        <x:v>0.3269230769230769</x:v>
      </x:c>
      <x:c r="V995" s="16" t="n">
        <x:f>E995/5</x:f>
        <x:v>20.8</x:v>
      </x:c>
    </x:row>
    <x:row r="996" ht="22" customHeight="1">
      <x:c r="A996" s="2" t="n">
        <x:v>496</x:v>
      </x:c>
      <x:c r="B996" s="2" t="str">
        <x:v>RED</x:v>
      </x:c>
      <x:c r="C996" s="2" t="str">
        <x:v>240만</x:v>
      </x:c>
      <x:c r="D996" s="2" t="str">
        <x:v>0만</x:v>
      </x:c>
      <x:c r="E996" s="14" t="n">
        <x:f>SUM(F996:M996)</x:f>
        <x:v>105</x:v>
      </x:c>
      <x:c r="F996" s="14" t="n">
        <x:v>0</x:v>
      </x:c>
      <x:c r="G996" s="14" t="n">
        <x:v>17</x:v>
      </x:c>
      <x:c r="H996" s="14" t="n">
        <x:v>6</x:v>
      </x:c>
      <x:c r="I996" s="14" t="n">
        <x:v>7</x:v>
      </x:c>
      <x:c r="J996" s="14" t="n">
        <x:v>0</x:v>
      </x:c>
      <x:c r="K996" s="14" t="n">
        <x:v>9</x:v>
      </x:c>
      <x:c r="L996" s="14" t="n">
        <x:v>33</x:v>
      </x:c>
      <x:c r="M996" s="14" t="n">
        <x:v>33</x:v>
      </x:c>
      <x:c r="N996" s="15" t="n">
        <x:f>IF(E996=0,"해당 없음",F996/E996)</x:f>
        <x:v>0</x:v>
      </x:c>
      <x:c r="O996" s="15" t="n">
        <x:f>IF(E996=0,"해당 없음",G996/E996)</x:f>
        <x:v>0.1619047619047619</x:v>
      </x:c>
      <x:c r="P996" s="15" t="n">
        <x:f>IF(E996=0,"해당 없음",H996/E996)</x:f>
        <x:v>0.05714285714285714</x:v>
      </x:c>
      <x:c r="Q996" s="15" t="n">
        <x:f>IF(E996=0,"해당 없음",I996/E996)</x:f>
        <x:v>0.06666666666666667</x:v>
      </x:c>
      <x:c r="R996" s="15" t="n">
        <x:f>IF(E996=0,"해당 없음",J996/E996)</x:f>
        <x:v>0</x:v>
      </x:c>
      <x:c r="S996" s="15" t="n">
        <x:f>IF(E996=0,"해당 없음",K996/E996)</x:f>
        <x:v>0.08571428571428572</x:v>
      </x:c>
      <x:c r="T996" s="15" t="n">
        <x:f>IF(E996=0,"해당 없음",L996/E996)</x:f>
        <x:v>0.3142857142857143</x:v>
      </x:c>
      <x:c r="U996" s="15" t="n">
        <x:f>IF(E996=0,"해당 없음",M996/E996)</x:f>
        <x:v>0.3142857142857143</x:v>
      </x:c>
      <x:c r="V996" s="16" t="n">
        <x:f>E996/5</x:f>
        <x:v>21</x:v>
      </x:c>
    </x:row>
    <x:row r="997" ht="22" customHeight="1">
      <x:c r="A997" s="2" t="n">
        <x:v>496</x:v>
      </x:c>
      <x:c r="B997" s="2" t="str">
        <x:v>NAVY</x:v>
      </x:c>
      <x:c r="C997" s="2" t="str">
        <x:v>0만</x:v>
      </x:c>
      <x:c r="D997" s="2" t="str">
        <x:v>240만</x:v>
      </x:c>
      <x:c r="E997" s="14" t="n">
        <x:f>SUM(F997:M997)</x:f>
        <x:v>106</x:v>
      </x:c>
      <x:c r="F997" s="14" t="n">
        <x:v>12</x:v>
      </x:c>
      <x:c r="G997" s="14" t="n">
        <x:v>13</x:v>
      </x:c>
      <x:c r="H997" s="14" t="n">
        <x:v>10</x:v>
      </x:c>
      <x:c r="I997" s="14" t="n">
        <x:v>11</x:v>
      </x:c>
      <x:c r="J997" s="14" t="n">
        <x:v>11</x:v>
      </x:c>
      <x:c r="K997" s="14" t="n">
        <x:v>21</x:v>
      </x:c>
      <x:c r="L997" s="14" t="n">
        <x:v>11</x:v>
      </x:c>
      <x:c r="M997" s="14" t="n">
        <x:v>17</x:v>
      </x:c>
      <x:c r="N997" s="15" t="n">
        <x:f>IF(E997=0,"해당 없음",F997/E997)</x:f>
        <x:v>0.11320754716981132</x:v>
      </x:c>
      <x:c r="O997" s="15" t="n">
        <x:f>IF(E997=0,"해당 없음",G997/E997)</x:f>
        <x:v>0.12264150943396226</x:v>
      </x:c>
      <x:c r="P997" s="15" t="n">
        <x:f>IF(E997=0,"해당 없음",H997/E997)</x:f>
        <x:v>0.09433962264150944</x:v>
      </x:c>
      <x:c r="Q997" s="15" t="n">
        <x:f>IF(E997=0,"해당 없음",I997/E997)</x:f>
        <x:v>0.10377358490566038</x:v>
      </x:c>
      <x:c r="R997" s="15" t="n">
        <x:f>IF(E997=0,"해당 없음",J997/E997)</x:f>
        <x:v>0.10377358490566038</x:v>
      </x:c>
      <x:c r="S997" s="15" t="n">
        <x:f>IF(E997=0,"해당 없음",K997/E997)</x:f>
        <x:v>0.19811320754716982</x:v>
      </x:c>
      <x:c r="T997" s="15" t="n">
        <x:f>IF(E997=0,"해당 없음",L997/E997)</x:f>
        <x:v>0.10377358490566038</x:v>
      </x:c>
      <x:c r="U997" s="15" t="n">
        <x:f>IF(E997=0,"해당 없음",M997/E997)</x:f>
        <x:v>0.16037735849056603</x:v>
      </x:c>
      <x:c r="V997" s="16" t="n">
        <x:f>E997/5</x:f>
        <x:v>21.2</x:v>
      </x:c>
    </x:row>
    <x:row r="998" ht="22" customHeight="1">
      <x:c r="A998" s="2" t="n">
        <x:v>497</x:v>
      </x:c>
      <x:c r="B998" s="2" t="str">
        <x:v>RED</x:v>
      </x:c>
      <x:c r="C998" s="2" t="str">
        <x:v>0만</x:v>
      </x:c>
      <x:c r="D998" s="2" t="str">
        <x:v>240만</x:v>
      </x:c>
      <x:c r="E998" s="14" t="n">
        <x:f>SUM(F998:M998)</x:f>
        <x:v>103</x:v>
      </x:c>
      <x:c r="F998" s="14" t="n">
        <x:v>13</x:v>
      </x:c>
      <x:c r="G998" s="14" t="n">
        <x:v>12</x:v>
      </x:c>
      <x:c r="H998" s="14" t="n">
        <x:v>12</x:v>
      </x:c>
      <x:c r="I998" s="14" t="n">
        <x:v>16</x:v>
      </x:c>
      <x:c r="J998" s="14" t="n">
        <x:v>13</x:v>
      </x:c>
      <x:c r="K998" s="14" t="n">
        <x:v>11</x:v>
      </x:c>
      <x:c r="L998" s="14" t="n">
        <x:v>8</x:v>
      </x:c>
      <x:c r="M998" s="14" t="n">
        <x:v>18</x:v>
      </x:c>
      <x:c r="N998" s="15" t="n">
        <x:f>IF(E998=0,"해당 없음",F998/E998)</x:f>
        <x:v>0.1262135922330097</x:v>
      </x:c>
      <x:c r="O998" s="15" t="n">
        <x:f>IF(E998=0,"해당 없음",G998/E998)</x:f>
        <x:v>0.11650485436893204</x:v>
      </x:c>
      <x:c r="P998" s="15" t="n">
        <x:f>IF(E998=0,"해당 없음",H998/E998)</x:f>
        <x:v>0.11650485436893204</x:v>
      </x:c>
      <x:c r="Q998" s="15" t="n">
        <x:f>IF(E998=0,"해당 없음",I998/E998)</x:f>
        <x:v>0.1553398058252427</x:v>
      </x:c>
      <x:c r="R998" s="15" t="n">
        <x:f>IF(E998=0,"해당 없음",J998/E998)</x:f>
        <x:v>0.1262135922330097</x:v>
      </x:c>
      <x:c r="S998" s="15" t="n">
        <x:f>IF(E998=0,"해당 없음",K998/E998)</x:f>
        <x:v>0.10679611650485436</x:v>
      </x:c>
      <x:c r="T998" s="15" t="n">
        <x:f>IF(E998=0,"해당 없음",L998/E998)</x:f>
        <x:v>0.07766990291262135</x:v>
      </x:c>
      <x:c r="U998" s="15" t="n">
        <x:f>IF(E998=0,"해당 없음",M998/E998)</x:f>
        <x:v>0.17475728155339806</x:v>
      </x:c>
      <x:c r="V998" s="16" t="n">
        <x:f>E998/5</x:f>
        <x:v>20.6</x:v>
      </x:c>
    </x:row>
    <x:row r="999" ht="22" customHeight="1">
      <x:c r="A999" s="2" t="n">
        <x:v>497</x:v>
      </x:c>
      <x:c r="B999" s="2" t="str">
        <x:v>NAVY</x:v>
      </x:c>
      <x:c r="C999" s="2" t="str">
        <x:v>240만</x:v>
      </x:c>
      <x:c r="D999" s="2" t="str">
        <x:v>0만</x:v>
      </x:c>
      <x:c r="E999" s="14" t="n">
        <x:f>SUM(F999:M999)</x:f>
        <x:v>104</x:v>
      </x:c>
      <x:c r="F999" s="14" t="n">
        <x:v>1</x:v>
      </x:c>
      <x:c r="G999" s="14" t="n">
        <x:v>21</x:v>
      </x:c>
      <x:c r="H999" s="14" t="n">
        <x:v>2</x:v>
      </x:c>
      <x:c r="I999" s="14" t="n">
        <x:v>2</x:v>
      </x:c>
      <x:c r="J999" s="14" t="n">
        <x:v>3</x:v>
      </x:c>
      <x:c r="K999" s="14" t="n">
        <x:v>5</x:v>
      </x:c>
      <x:c r="L999" s="14" t="n">
        <x:v>39</x:v>
      </x:c>
      <x:c r="M999" s="14" t="n">
        <x:v>31</x:v>
      </x:c>
      <x:c r="N999" s="15" t="n">
        <x:f>IF(E999=0,"해당 없음",F999/E999)</x:f>
        <x:v>0.009615384615384616</x:v>
      </x:c>
      <x:c r="O999" s="15" t="n">
        <x:f>IF(E999=0,"해당 없음",G999/E999)</x:f>
        <x:v>0.20192307692307693</x:v>
      </x:c>
      <x:c r="P999" s="15" t="n">
        <x:f>IF(E999=0,"해당 없음",H999/E999)</x:f>
        <x:v>0.019230769230769232</x:v>
      </x:c>
      <x:c r="Q999" s="15" t="n">
        <x:f>IF(E999=0,"해당 없음",I999/E999)</x:f>
        <x:v>0.019230769230769232</x:v>
      </x:c>
      <x:c r="R999" s="15" t="n">
        <x:f>IF(E999=0,"해당 없음",J999/E999)</x:f>
        <x:v>0.028846153846153848</x:v>
      </x:c>
      <x:c r="S999" s="15" t="n">
        <x:f>IF(E999=0,"해당 없음",K999/E999)</x:f>
        <x:v>0.04807692307692308</x:v>
      </x:c>
      <x:c r="T999" s="15" t="n">
        <x:f>IF(E999=0,"해당 없음",L999/E999)</x:f>
        <x:v>0.375</x:v>
      </x:c>
      <x:c r="U999" s="15" t="n">
        <x:f>IF(E999=0,"해당 없음",M999/E999)</x:f>
        <x:v>0.2980769230769231</x:v>
      </x:c>
      <x:c r="V999" s="16" t="n">
        <x:f>E999/5</x:f>
        <x:v>20.8</x:v>
      </x:c>
    </x:row>
    <x:row r="1000" ht="22" customHeight="1">
      <x:c r="A1000" s="2" t="n">
        <x:v>498</x:v>
      </x:c>
      <x:c r="B1000" s="2" t="str">
        <x:v>RED</x:v>
      </x:c>
      <x:c r="C1000" s="2" t="str">
        <x:v>240만</x:v>
      </x:c>
      <x:c r="D1000" s="2" t="str">
        <x:v>0만</x:v>
      </x:c>
      <x:c r="E1000" s="14" t="n">
        <x:f>SUM(F1000:M1000)</x:f>
        <x:v>105</x:v>
      </x:c>
      <x:c r="F1000" s="14" t="n">
        <x:v>4</x:v>
      </x:c>
      <x:c r="G1000" s="14" t="n">
        <x:v>10</x:v>
      </x:c>
      <x:c r="H1000" s="14" t="n">
        <x:v>7</x:v>
      </x:c>
      <x:c r="I1000" s="14" t="n">
        <x:v>7</x:v>
      </x:c>
      <x:c r="J1000" s="14" t="n">
        <x:v>0</x:v>
      </x:c>
      <x:c r="K1000" s="14" t="n">
        <x:v>8</x:v>
      </x:c>
      <x:c r="L1000" s="14" t="n">
        <x:v>39</x:v>
      </x:c>
      <x:c r="M1000" s="14" t="n">
        <x:v>30</x:v>
      </x:c>
      <x:c r="N1000" s="15" t="n">
        <x:f>IF(E1000=0,"해당 없음",F1000/E1000)</x:f>
        <x:v>0.0380952380952381</x:v>
      </x:c>
      <x:c r="O1000" s="15" t="n">
        <x:f>IF(E1000=0,"해당 없음",G1000/E1000)</x:f>
        <x:v>0.09523809523809523</x:v>
      </x:c>
      <x:c r="P1000" s="15" t="n">
        <x:f>IF(E1000=0,"해당 없음",H1000/E1000)</x:f>
        <x:v>0.06666666666666667</x:v>
      </x:c>
      <x:c r="Q1000" s="15" t="n">
        <x:f>IF(E1000=0,"해당 없음",I1000/E1000)</x:f>
        <x:v>0.06666666666666667</x:v>
      </x:c>
      <x:c r="R1000" s="15" t="n">
        <x:f>IF(E1000=0,"해당 없음",J1000/E1000)</x:f>
        <x:v>0</x:v>
      </x:c>
      <x:c r="S1000" s="15" t="n">
        <x:f>IF(E1000=0,"해당 없음",K1000/E1000)</x:f>
        <x:v>0.0761904761904762</x:v>
      </x:c>
      <x:c r="T1000" s="15" t="n">
        <x:f>IF(E1000=0,"해당 없음",L1000/E1000)</x:f>
        <x:v>0.37142857142857144</x:v>
      </x:c>
      <x:c r="U1000" s="15" t="n">
        <x:f>IF(E1000=0,"해당 없음",M1000/E1000)</x:f>
        <x:v>0.2857142857142857</x:v>
      </x:c>
      <x:c r="V1000" s="16" t="n">
        <x:f>E1000/5</x:f>
        <x:v>21</x:v>
      </x:c>
    </x:row>
    <x:row r="1001" ht="22" customHeight="1">
      <x:c r="A1001" s="2" t="n">
        <x:v>498</x:v>
      </x:c>
      <x:c r="B1001" s="2" t="str">
        <x:v>NAVY</x:v>
      </x:c>
      <x:c r="C1001" s="2" t="str">
        <x:v>0만</x:v>
      </x:c>
      <x:c r="D1001" s="2" t="str">
        <x:v>240만</x:v>
      </x:c>
      <x:c r="E1001" s="14" t="n">
        <x:f>SUM(F1001:M1001)</x:f>
        <x:v>106</x:v>
      </x:c>
      <x:c r="F1001" s="14" t="n">
        <x:v>13</x:v>
      </x:c>
      <x:c r="G1001" s="14" t="n">
        <x:v>13</x:v>
      </x:c>
      <x:c r="H1001" s="14" t="n">
        <x:v>13</x:v>
      </x:c>
      <x:c r="I1001" s="14" t="n">
        <x:v>16</x:v>
      </x:c>
      <x:c r="J1001" s="14" t="n">
        <x:v>13</x:v>
      </x:c>
      <x:c r="K1001" s="14" t="n">
        <x:v>12</x:v>
      </x:c>
      <x:c r="L1001" s="14" t="n">
        <x:v>8</x:v>
      </x:c>
      <x:c r="M1001" s="14" t="n">
        <x:v>18</x:v>
      </x:c>
      <x:c r="N1001" s="15" t="n">
        <x:f>IF(E1001=0,"해당 없음",F1001/E1001)</x:f>
        <x:v>0.12264150943396226</x:v>
      </x:c>
      <x:c r="O1001" s="15" t="n">
        <x:f>IF(E1001=0,"해당 없음",G1001/E1001)</x:f>
        <x:v>0.12264150943396226</x:v>
      </x:c>
      <x:c r="P1001" s="15" t="n">
        <x:f>IF(E1001=0,"해당 없음",H1001/E1001)</x:f>
        <x:v>0.12264150943396226</x:v>
      </x:c>
      <x:c r="Q1001" s="15" t="n">
        <x:f>IF(E1001=0,"해당 없음",I1001/E1001)</x:f>
        <x:v>0.1509433962264151</x:v>
      </x:c>
      <x:c r="R1001" s="15" t="n">
        <x:f>IF(E1001=0,"해당 없음",J1001/E1001)</x:f>
        <x:v>0.12264150943396226</x:v>
      </x:c>
      <x:c r="S1001" s="15" t="n">
        <x:f>IF(E1001=0,"해당 없음",K1001/E1001)</x:f>
        <x:v>0.11320754716981132</x:v>
      </x:c>
      <x:c r="T1001" s="15" t="n">
        <x:f>IF(E1001=0,"해당 없음",L1001/E1001)</x:f>
        <x:v>0.07547169811320754</x:v>
      </x:c>
      <x:c r="U1001" s="15" t="n">
        <x:f>IF(E1001=0,"해당 없음",M1001/E1001)</x:f>
        <x:v>0.16981132075471697</x:v>
      </x:c>
      <x:c r="V1001" s="16" t="n">
        <x:f>E1001/5</x:f>
        <x:v>21.2</x:v>
      </x:c>
    </x:row>
    <x:row r="1002" ht="22" customHeight="1">
      <x:c r="A1002" s="2" t="n">
        <x:v>499</x:v>
      </x:c>
      <x:c r="B1002" s="2" t="str">
        <x:v>RED</x:v>
      </x:c>
      <x:c r="C1002" s="2" t="str">
        <x:v>0만</x:v>
      </x:c>
      <x:c r="D1002" s="2" t="str">
        <x:v>240만</x:v>
      </x:c>
      <x:c r="E1002" s="14" t="n">
        <x:f>SUM(F1002:M1002)</x:f>
        <x:v>104</x:v>
      </x:c>
      <x:c r="F1002" s="14" t="n">
        <x:v>14</x:v>
      </x:c>
      <x:c r="G1002" s="14" t="n">
        <x:v>7</x:v>
      </x:c>
      <x:c r="H1002" s="14" t="n">
        <x:v>16</x:v>
      </x:c>
      <x:c r="I1002" s="14" t="n">
        <x:v>10</x:v>
      </x:c>
      <x:c r="J1002" s="14" t="n">
        <x:v>12</x:v>
      </x:c>
      <x:c r="K1002" s="14" t="n">
        <x:v>16</x:v>
      </x:c>
      <x:c r="L1002" s="14" t="n">
        <x:v>12</x:v>
      </x:c>
      <x:c r="M1002" s="14" t="n">
        <x:v>17</x:v>
      </x:c>
      <x:c r="N1002" s="15" t="n">
        <x:f>IF(E1002=0,"해당 없음",F1002/E1002)</x:f>
        <x:v>0.1346153846153846</x:v>
      </x:c>
      <x:c r="O1002" s="15" t="n">
        <x:f>IF(E1002=0,"해당 없음",G1002/E1002)</x:f>
        <x:v>0.0673076923076923</x:v>
      </x:c>
      <x:c r="P1002" s="15" t="n">
        <x:f>IF(E1002=0,"해당 없음",H1002/E1002)</x:f>
        <x:v>0.15384615384615385</x:v>
      </x:c>
      <x:c r="Q1002" s="15" t="n">
        <x:f>IF(E1002=0,"해당 없음",I1002/E1002)</x:f>
        <x:v>0.09615384615384616</x:v>
      </x:c>
      <x:c r="R1002" s="15" t="n">
        <x:f>IF(E1002=0,"해당 없음",J1002/E1002)</x:f>
        <x:v>0.11538461538461539</x:v>
      </x:c>
      <x:c r="S1002" s="15" t="n">
        <x:f>IF(E1002=0,"해당 없음",K1002/E1002)</x:f>
        <x:v>0.15384615384615385</x:v>
      </x:c>
      <x:c r="T1002" s="15" t="n">
        <x:f>IF(E1002=0,"해당 없음",L1002/E1002)</x:f>
        <x:v>0.11538461538461539</x:v>
      </x:c>
      <x:c r="U1002" s="15" t="n">
        <x:f>IF(E1002=0,"해당 없음",M1002/E1002)</x:f>
        <x:v>0.16346153846153846</x:v>
      </x:c>
      <x:c r="V1002" s="16" t="n">
        <x:f>E1002/5</x:f>
        <x:v>20.8</x:v>
      </x:c>
    </x:row>
    <x:row r="1003" ht="22" customHeight="1">
      <x:c r="A1003" s="2" t="n">
        <x:v>499</x:v>
      </x:c>
      <x:c r="B1003" s="2" t="str">
        <x:v>NAVY</x:v>
      </x:c>
      <x:c r="C1003" s="2" t="str">
        <x:v>240만</x:v>
      </x:c>
      <x:c r="D1003" s="2" t="str">
        <x:v>0만</x:v>
      </x:c>
      <x:c r="E1003" s="14" t="n">
        <x:f>SUM(F1003:M1003)</x:f>
        <x:v>103</x:v>
      </x:c>
      <x:c r="F1003" s="14" t="n">
        <x:v>9</x:v>
      </x:c>
      <x:c r="G1003" s="14" t="n">
        <x:v>10</x:v>
      </x:c>
      <x:c r="H1003" s="14" t="n">
        <x:v>5</x:v>
      </x:c>
      <x:c r="I1003" s="14" t="n">
        <x:v>7</x:v>
      </x:c>
      <x:c r="J1003" s="14" t="n">
        <x:v>0</x:v>
      </x:c>
      <x:c r="K1003" s="14" t="n">
        <x:v>2</x:v>
      </x:c>
      <x:c r="L1003" s="14" t="n">
        <x:v>42</x:v>
      </x:c>
      <x:c r="M1003" s="14" t="n">
        <x:v>28</x:v>
      </x:c>
      <x:c r="N1003" s="15" t="n">
        <x:f>IF(E1003=0,"해당 없음",F1003/E1003)</x:f>
        <x:v>0.08737864077669903</x:v>
      </x:c>
      <x:c r="O1003" s="15" t="n">
        <x:f>IF(E1003=0,"해당 없음",G1003/E1003)</x:f>
        <x:v>0.0970873786407767</x:v>
      </x:c>
      <x:c r="P1003" s="15" t="n">
        <x:f>IF(E1003=0,"해당 없음",H1003/E1003)</x:f>
        <x:v>0.04854368932038835</x:v>
      </x:c>
      <x:c r="Q1003" s="15" t="n">
        <x:f>IF(E1003=0,"해당 없음",I1003/E1003)</x:f>
        <x:v>0.06796116504854369</x:v>
      </x:c>
      <x:c r="R1003" s="15" t="n">
        <x:f>IF(E1003=0,"해당 없음",J1003/E1003)</x:f>
        <x:v>0</x:v>
      </x:c>
      <x:c r="S1003" s="15" t="n">
        <x:f>IF(E1003=0,"해당 없음",K1003/E1003)</x:f>
        <x:v>0.019417475728155338</x:v>
      </x:c>
      <x:c r="T1003" s="15" t="n">
        <x:f>IF(E1003=0,"해당 없음",L1003/E1003)</x:f>
        <x:v>0.4077669902912621</x:v>
      </x:c>
      <x:c r="U1003" s="15" t="n">
        <x:f>IF(E1003=0,"해당 없음",M1003/E1003)</x:f>
        <x:v>0.27184466019417475</x:v>
      </x:c>
      <x:c r="V1003" s="16" t="n">
        <x:f>E1003/5</x:f>
        <x:v>20.6</x:v>
      </x:c>
    </x:row>
    <x:row r="1004" ht="22" customHeight="1">
      <x:c r="A1004" s="2" t="n">
        <x:v>500</x:v>
      </x:c>
      <x:c r="B1004" s="2" t="str">
        <x:v>RED</x:v>
      </x:c>
      <x:c r="C1004" s="2" t="str">
        <x:v>240만</x:v>
      </x:c>
      <x:c r="D1004" s="2" t="str">
        <x:v>0만</x:v>
      </x:c>
      <x:c r="E1004" s="14" t="n">
        <x:f>SUM(F1004:M1004)</x:f>
        <x:v>105</x:v>
      </x:c>
      <x:c r="F1004" s="14" t="n">
        <x:v>6</x:v>
      </x:c>
      <x:c r="G1004" s="14" t="n">
        <x:v>17</x:v>
      </x:c>
      <x:c r="H1004" s="14" t="n">
        <x:v>4</x:v>
      </x:c>
      <x:c r="I1004" s="14" t="n">
        <x:v>7</x:v>
      </x:c>
      <x:c r="J1004" s="14" t="n">
        <x:v>1</x:v>
      </x:c>
      <x:c r="K1004" s="14" t="n">
        <x:v>4</x:v>
      </x:c>
      <x:c r="L1004" s="14" t="n">
        <x:v>45</x:v>
      </x:c>
      <x:c r="M1004" s="14" t="n">
        <x:v>21</x:v>
      </x:c>
      <x:c r="N1004" s="15" t="n">
        <x:f>IF(E1004=0,"해당 없음",F1004/E1004)</x:f>
        <x:v>0.05714285714285714</x:v>
      </x:c>
      <x:c r="O1004" s="15" t="n">
        <x:f>IF(E1004=0,"해당 없음",G1004/E1004)</x:f>
        <x:v>0.1619047619047619</x:v>
      </x:c>
      <x:c r="P1004" s="15" t="n">
        <x:f>IF(E1004=0,"해당 없음",H1004/E1004)</x:f>
        <x:v>0.0380952380952381</x:v>
      </x:c>
      <x:c r="Q1004" s="15" t="n">
        <x:f>IF(E1004=0,"해당 없음",I1004/E1004)</x:f>
        <x:v>0.06666666666666667</x:v>
      </x:c>
      <x:c r="R1004" s="15" t="n">
        <x:f>IF(E1004=0,"해당 없음",J1004/E1004)</x:f>
        <x:v>0.009523809523809525</x:v>
      </x:c>
      <x:c r="S1004" s="15" t="n">
        <x:f>IF(E1004=0,"해당 없음",K1004/E1004)</x:f>
        <x:v>0.0380952380952381</x:v>
      </x:c>
      <x:c r="T1004" s="15" t="n">
        <x:f>IF(E1004=0,"해당 없음",L1004/E1004)</x:f>
        <x:v>0.42857142857142855</x:v>
      </x:c>
      <x:c r="U1004" s="15" t="n">
        <x:f>IF(E1004=0,"해당 없음",M1004/E1004)</x:f>
        <x:v>0.2</x:v>
      </x:c>
      <x:c r="V1004" s="16" t="n">
        <x:f>E1004/5</x:f>
        <x:v>21</x:v>
      </x:c>
    </x:row>
    <x:row r="1005" ht="22" customHeight="1">
      <x:c r="A1005" s="2" t="n">
        <x:v>500</x:v>
      </x:c>
      <x:c r="B1005" s="2" t="str">
        <x:v>NAVY</x:v>
      </x:c>
      <x:c r="C1005" s="2" t="str">
        <x:v>0만</x:v>
      </x:c>
      <x:c r="D1005" s="2" t="str">
        <x:v>240만</x:v>
      </x:c>
      <x:c r="E1005" s="14" t="n">
        <x:f>SUM(F1005:M1005)</x:f>
        <x:v>104</x:v>
      </x:c>
      <x:c r="F1005" s="14" t="n">
        <x:v>14</x:v>
      </x:c>
      <x:c r="G1005" s="14" t="n">
        <x:v>7</x:v>
      </x:c>
      <x:c r="H1005" s="14" t="n">
        <x:v>16</x:v>
      </x:c>
      <x:c r="I1005" s="14" t="n">
        <x:v>10</x:v>
      </x:c>
      <x:c r="J1005" s="14" t="n">
        <x:v>12</x:v>
      </x:c>
      <x:c r="K1005" s="14" t="n">
        <x:v>16</x:v>
      </x:c>
      <x:c r="L1005" s="14" t="n">
        <x:v>12</x:v>
      </x:c>
      <x:c r="M1005" s="14" t="n">
        <x:v>17</x:v>
      </x:c>
      <x:c r="N1005" s="15" t="n">
        <x:f>IF(E1005=0,"해당 없음",F1005/E1005)</x:f>
        <x:v>0.1346153846153846</x:v>
      </x:c>
      <x:c r="O1005" s="15" t="n">
        <x:f>IF(E1005=0,"해당 없음",G1005/E1005)</x:f>
        <x:v>0.0673076923076923</x:v>
      </x:c>
      <x:c r="P1005" s="15" t="n">
        <x:f>IF(E1005=0,"해당 없음",H1005/E1005)</x:f>
        <x:v>0.15384615384615385</x:v>
      </x:c>
      <x:c r="Q1005" s="15" t="n">
        <x:f>IF(E1005=0,"해당 없음",I1005/E1005)</x:f>
        <x:v>0.09615384615384616</x:v>
      </x:c>
      <x:c r="R1005" s="15" t="n">
        <x:f>IF(E1005=0,"해당 없음",J1005/E1005)</x:f>
        <x:v>0.11538461538461539</x:v>
      </x:c>
      <x:c r="S1005" s="15" t="n">
        <x:f>IF(E1005=0,"해당 없음",K1005/E1005)</x:f>
        <x:v>0.15384615384615385</x:v>
      </x:c>
      <x:c r="T1005" s="15" t="n">
        <x:f>IF(E1005=0,"해당 없음",L1005/E1005)</x:f>
        <x:v>0.11538461538461539</x:v>
      </x:c>
      <x:c r="U1005" s="15" t="n">
        <x:f>IF(E1005=0,"해당 없음",M1005/E1005)</x:f>
        <x:v>0.16346153846153846</x:v>
      </x:c>
      <x:c r="V1005" s="16" t="n">
        <x:f>E1005/5</x:f>
        <x:v>20.8</x:v>
      </x:c>
    </x:row>
    <x:row r="1006" ht="22" customHeight="1">
      <x:c r="A1006" s="2" t="n">
        <x:v>501</x:v>
      </x:c>
      <x:c r="B1006" s="2" t="str">
        <x:v>RED</x:v>
      </x:c>
      <x:c r="C1006" s="2" t="str">
        <x:v>0만</x:v>
      </x:c>
      <x:c r="D1006" s="2" t="str">
        <x:v>240만</x:v>
      </x:c>
      <x:c r="E1006" s="14" t="n">
        <x:f>SUM(F1006:M1006)</x:f>
        <x:v>102</x:v>
      </x:c>
      <x:c r="F1006" s="14" t="n">
        <x:v>10</x:v>
      </x:c>
      <x:c r="G1006" s="14" t="n">
        <x:v>11</x:v>
      </x:c>
      <x:c r="H1006" s="14" t="n">
        <x:v>18</x:v>
      </x:c>
      <x:c r="I1006" s="14" t="n">
        <x:v>11</x:v>
      </x:c>
      <x:c r="J1006" s="14" t="n">
        <x:v>16</x:v>
      </x:c>
      <x:c r="K1006" s="14" t="n">
        <x:v>13</x:v>
      </x:c>
      <x:c r="L1006" s="14" t="n">
        <x:v>13</x:v>
      </x:c>
      <x:c r="M1006" s="14" t="n">
        <x:v>10</x:v>
      </x:c>
      <x:c r="N1006" s="15" t="n">
        <x:f>IF(E1006=0,"해당 없음",F1006/E1006)</x:f>
        <x:v>0.09803921568627451</x:v>
      </x:c>
      <x:c r="O1006" s="15" t="n">
        <x:f>IF(E1006=0,"해당 없음",G1006/E1006)</x:f>
        <x:v>0.10784313725490197</x:v>
      </x:c>
      <x:c r="P1006" s="15" t="n">
        <x:f>IF(E1006=0,"해당 없음",H1006/E1006)</x:f>
        <x:v>0.17647058823529413</x:v>
      </x:c>
      <x:c r="Q1006" s="15" t="n">
        <x:f>IF(E1006=0,"해당 없음",I1006/E1006)</x:f>
        <x:v>0.10784313725490197</x:v>
      </x:c>
      <x:c r="R1006" s="15" t="n">
        <x:f>IF(E1006=0,"해당 없음",J1006/E1006)</x:f>
        <x:v>0.1568627450980392</x:v>
      </x:c>
      <x:c r="S1006" s="15" t="n">
        <x:f>IF(E1006=0,"해당 없음",K1006/E1006)</x:f>
        <x:v>0.12745098039215685</x:v>
      </x:c>
      <x:c r="T1006" s="15" t="n">
        <x:f>IF(E1006=0,"해당 없음",L1006/E1006)</x:f>
        <x:v>0.12745098039215685</x:v>
      </x:c>
      <x:c r="U1006" s="15" t="n">
        <x:f>IF(E1006=0,"해당 없음",M1006/E1006)</x:f>
        <x:v>0.09803921568627451</x:v>
      </x:c>
      <x:c r="V1006" s="16" t="n">
        <x:f>E1006/5</x:f>
        <x:v>20.4</x:v>
      </x:c>
    </x:row>
    <x:row r="1007" ht="22" customHeight="1">
      <x:c r="A1007" s="2" t="n">
        <x:v>501</x:v>
      </x:c>
      <x:c r="B1007" s="2" t="str">
        <x:v>NAVY</x:v>
      </x:c>
      <x:c r="C1007" s="2" t="str">
        <x:v>240만</x:v>
      </x:c>
      <x:c r="D1007" s="2" t="str">
        <x:v>0만</x:v>
      </x:c>
      <x:c r="E1007" s="14" t="n">
        <x:f>SUM(F1007:M1007)</x:f>
        <x:v>104</x:v>
      </x:c>
      <x:c r="F1007" s="14" t="n">
        <x:v>2</x:v>
      </x:c>
      <x:c r="G1007" s="14" t="n">
        <x:v>11</x:v>
      </x:c>
      <x:c r="H1007" s="14" t="n">
        <x:v>5</x:v>
      </x:c>
      <x:c r="I1007" s="14" t="n">
        <x:v>2</x:v>
      </x:c>
      <x:c r="J1007" s="14" t="n">
        <x:v>2</x:v>
      </x:c>
      <x:c r="K1007" s="14" t="n">
        <x:v>7</x:v>
      </x:c>
      <x:c r="L1007" s="14" t="n">
        <x:v>35</x:v>
      </x:c>
      <x:c r="M1007" s="14" t="n">
        <x:v>40</x:v>
      </x:c>
      <x:c r="N1007" s="15" t="n">
        <x:f>IF(E1007=0,"해당 없음",F1007/E1007)</x:f>
        <x:v>0.019230769230769232</x:v>
      </x:c>
      <x:c r="O1007" s="15" t="n">
        <x:f>IF(E1007=0,"해당 없음",G1007/E1007)</x:f>
        <x:v>0.10576923076923077</x:v>
      </x:c>
      <x:c r="P1007" s="15" t="n">
        <x:f>IF(E1007=0,"해당 없음",H1007/E1007)</x:f>
        <x:v>0.04807692307692308</x:v>
      </x:c>
      <x:c r="Q1007" s="15" t="n">
        <x:f>IF(E1007=0,"해당 없음",I1007/E1007)</x:f>
        <x:v>0.019230769230769232</x:v>
      </x:c>
      <x:c r="R1007" s="15" t="n">
        <x:f>IF(E1007=0,"해당 없음",J1007/E1007)</x:f>
        <x:v>0.019230769230769232</x:v>
      </x:c>
      <x:c r="S1007" s="15" t="n">
        <x:f>IF(E1007=0,"해당 없음",K1007/E1007)</x:f>
        <x:v>0.0673076923076923</x:v>
      </x:c>
      <x:c r="T1007" s="15" t="n">
        <x:f>IF(E1007=0,"해당 없음",L1007/E1007)</x:f>
        <x:v>0.33653846153846156</x:v>
      </x:c>
      <x:c r="U1007" s="15" t="n">
        <x:f>IF(E1007=0,"해당 없음",M1007/E1007)</x:f>
        <x:v>0.38461538461538464</x:v>
      </x:c>
      <x:c r="V1007" s="16" t="n">
        <x:f>E1007/5</x:f>
        <x:v>20.8</x:v>
      </x:c>
    </x:row>
    <x:row r="1008" ht="22" customHeight="1">
      <x:c r="A1008" s="2" t="n">
        <x:v>502</x:v>
      </x:c>
      <x:c r="B1008" s="2" t="str">
        <x:v>RED</x:v>
      </x:c>
      <x:c r="C1008" s="2" t="str">
        <x:v>240만</x:v>
      </x:c>
      <x:c r="D1008" s="2" t="str">
        <x:v>0만</x:v>
      </x:c>
      <x:c r="E1008" s="14" t="n">
        <x:f>SUM(F1008:M1008)</x:f>
        <x:v>105</x:v>
      </x:c>
      <x:c r="F1008" s="14" t="n">
        <x:v>4</x:v>
      </x:c>
      <x:c r="G1008" s="14" t="n">
        <x:v>14</x:v>
      </x:c>
      <x:c r="H1008" s="14" t="n">
        <x:v>7</x:v>
      </x:c>
      <x:c r="I1008" s="14" t="n">
        <x:v>4</x:v>
      </x:c>
      <x:c r="J1008" s="14" t="n">
        <x:v>2</x:v>
      </x:c>
      <x:c r="K1008" s="14" t="n">
        <x:v>5</x:v>
      </x:c>
      <x:c r="L1008" s="14" t="n">
        <x:v>40</x:v>
      </x:c>
      <x:c r="M1008" s="14" t="n">
        <x:v>29</x:v>
      </x:c>
      <x:c r="N1008" s="15" t="n">
        <x:f>IF(E1008=0,"해당 없음",F1008/E1008)</x:f>
        <x:v>0.0380952380952381</x:v>
      </x:c>
      <x:c r="O1008" s="15" t="n">
        <x:f>IF(E1008=0,"해당 없음",G1008/E1008)</x:f>
        <x:v>0.13333333333333333</x:v>
      </x:c>
      <x:c r="P1008" s="15" t="n">
        <x:f>IF(E1008=0,"해당 없음",H1008/E1008)</x:f>
        <x:v>0.06666666666666667</x:v>
      </x:c>
      <x:c r="Q1008" s="15" t="n">
        <x:f>IF(E1008=0,"해당 없음",I1008/E1008)</x:f>
        <x:v>0.0380952380952381</x:v>
      </x:c>
      <x:c r="R1008" s="15" t="n">
        <x:f>IF(E1008=0,"해당 없음",J1008/E1008)</x:f>
        <x:v>0.01904761904761905</x:v>
      </x:c>
      <x:c r="S1008" s="15" t="n">
        <x:f>IF(E1008=0,"해당 없음",K1008/E1008)</x:f>
        <x:v>0.047619047619047616</x:v>
      </x:c>
      <x:c r="T1008" s="15" t="n">
        <x:f>IF(E1008=0,"해당 없음",L1008/E1008)</x:f>
        <x:v>0.38095238095238093</x:v>
      </x:c>
      <x:c r="U1008" s="15" t="n">
        <x:f>IF(E1008=0,"해당 없음",M1008/E1008)</x:f>
        <x:v>0.2761904761904762</x:v>
      </x:c>
      <x:c r="V1008" s="16" t="n">
        <x:f>E1008/5</x:f>
        <x:v>21</x:v>
      </x:c>
    </x:row>
    <x:row r="1009" ht="22" customHeight="1">
      <x:c r="A1009" s="2" t="n">
        <x:v>502</x:v>
      </x:c>
      <x:c r="B1009" s="2" t="str">
        <x:v>NAVY</x:v>
      </x:c>
      <x:c r="C1009" s="2" t="str">
        <x:v>0만</x:v>
      </x:c>
      <x:c r="D1009" s="2" t="str">
        <x:v>240만</x:v>
      </x:c>
      <x:c r="E1009" s="14" t="n">
        <x:f>SUM(F1009:M1009)</x:f>
        <x:v>104</x:v>
      </x:c>
      <x:c r="F1009" s="14" t="n">
        <x:v>10</x:v>
      </x:c>
      <x:c r="G1009" s="14" t="n">
        <x:v>11</x:v>
      </x:c>
      <x:c r="H1009" s="14" t="n">
        <x:v>19</x:v>
      </x:c>
      <x:c r="I1009" s="14" t="n">
        <x:v>11</x:v>
      </x:c>
      <x:c r="J1009" s="14" t="n">
        <x:v>16</x:v>
      </x:c>
      <x:c r="K1009" s="14" t="n">
        <x:v>13</x:v>
      </x:c>
      <x:c r="L1009" s="14" t="n">
        <x:v>13</x:v>
      </x:c>
      <x:c r="M1009" s="14" t="n">
        <x:v>11</x:v>
      </x:c>
      <x:c r="N1009" s="15" t="n">
        <x:f>IF(E1009=0,"해당 없음",F1009/E1009)</x:f>
        <x:v>0.09615384615384616</x:v>
      </x:c>
      <x:c r="O1009" s="15" t="n">
        <x:f>IF(E1009=0,"해당 없음",G1009/E1009)</x:f>
        <x:v>0.10576923076923077</x:v>
      </x:c>
      <x:c r="P1009" s="15" t="n">
        <x:f>IF(E1009=0,"해당 없음",H1009/E1009)</x:f>
        <x:v>0.18269230769230768</x:v>
      </x:c>
      <x:c r="Q1009" s="15" t="n">
        <x:f>IF(E1009=0,"해당 없음",I1009/E1009)</x:f>
        <x:v>0.10576923076923077</x:v>
      </x:c>
      <x:c r="R1009" s="15" t="n">
        <x:f>IF(E1009=0,"해당 없음",J1009/E1009)</x:f>
        <x:v>0.15384615384615385</x:v>
      </x:c>
      <x:c r="S1009" s="15" t="n">
        <x:f>IF(E1009=0,"해당 없음",K1009/E1009)</x:f>
        <x:v>0.125</x:v>
      </x:c>
      <x:c r="T1009" s="15" t="n">
        <x:f>IF(E1009=0,"해당 없음",L1009/E1009)</x:f>
        <x:v>0.125</x:v>
      </x:c>
      <x:c r="U1009" s="15" t="n">
        <x:f>IF(E1009=0,"해당 없음",M1009/E1009)</x:f>
        <x:v>0.10576923076923077</x:v>
      </x:c>
      <x:c r="V1009" s="16" t="n">
        <x:f>E1009/5</x:f>
        <x:v>20.8</x:v>
      </x:c>
    </x:row>
    <x:row r="1010" ht="22" customHeight="1">
      <x:c r="A1010" s="2" t="n">
        <x:v>503</x:v>
      </x:c>
      <x:c r="B1010" s="2" t="str">
        <x:v>RED</x:v>
      </x:c>
      <x:c r="C1010" s="2" t="str">
        <x:v>0만</x:v>
      </x:c>
      <x:c r="D1010" s="2" t="str">
        <x:v>240만</x:v>
      </x:c>
      <x:c r="E1010" s="14" t="n">
        <x:f>SUM(F1010:M1010)</x:f>
        <x:v>102</x:v>
      </x:c>
      <x:c r="F1010" s="14" t="n">
        <x:v>18</x:v>
      </x:c>
      <x:c r="G1010" s="14" t="n">
        <x:v>9</x:v>
      </x:c>
      <x:c r="H1010" s="14" t="n">
        <x:v>10</x:v>
      </x:c>
      <x:c r="I1010" s="14" t="n">
        <x:v>19</x:v>
      </x:c>
      <x:c r="J1010" s="14" t="n">
        <x:v>6</x:v>
      </x:c>
      <x:c r="K1010" s="14" t="n">
        <x:v>15</x:v>
      </x:c>
      <x:c r="L1010" s="14" t="n">
        <x:v>13</x:v>
      </x:c>
      <x:c r="M1010" s="14" t="n">
        <x:v>12</x:v>
      </x:c>
      <x:c r="N1010" s="15" t="n">
        <x:f>IF(E1010=0,"해당 없음",F1010/E1010)</x:f>
        <x:v>0.17647058823529413</x:v>
      </x:c>
      <x:c r="O1010" s="15" t="n">
        <x:f>IF(E1010=0,"해당 없음",G1010/E1010)</x:f>
        <x:v>0.08823529411764706</x:v>
      </x:c>
      <x:c r="P1010" s="15" t="n">
        <x:f>IF(E1010=0,"해당 없음",H1010/E1010)</x:f>
        <x:v>0.09803921568627451</x:v>
      </x:c>
      <x:c r="Q1010" s="15" t="n">
        <x:f>IF(E1010=0,"해당 없음",I1010/E1010)</x:f>
        <x:v>0.18627450980392157</x:v>
      </x:c>
      <x:c r="R1010" s="15" t="n">
        <x:f>IF(E1010=0,"해당 없음",J1010/E1010)</x:f>
        <x:v>0.058823529411764705</x:v>
      </x:c>
      <x:c r="S1010" s="15" t="n">
        <x:f>IF(E1010=0,"해당 없음",K1010/E1010)</x:f>
        <x:v>0.14705882352941177</x:v>
      </x:c>
      <x:c r="T1010" s="15" t="n">
        <x:f>IF(E1010=0,"해당 없음",L1010/E1010)</x:f>
        <x:v>0.12745098039215685</x:v>
      </x:c>
      <x:c r="U1010" s="15" t="n">
        <x:f>IF(E1010=0,"해당 없음",M1010/E1010)</x:f>
        <x:v>0.11764705882352941</x:v>
      </x:c>
      <x:c r="V1010" s="16" t="n">
        <x:f>E1010/5</x:f>
        <x:v>20.4</x:v>
      </x:c>
    </x:row>
    <x:row r="1011" ht="22" customHeight="1">
      <x:c r="A1011" s="2" t="n">
        <x:v>503</x:v>
      </x:c>
      <x:c r="B1011" s="2" t="str">
        <x:v>NAVY</x:v>
      </x:c>
      <x:c r="C1011" s="2" t="str">
        <x:v>240만</x:v>
      </x:c>
      <x:c r="D1011" s="2" t="str">
        <x:v>0만</x:v>
      </x:c>
      <x:c r="E1011" s="14" t="n">
        <x:f>SUM(F1011:M1011)</x:f>
        <x:v>103</x:v>
      </x:c>
      <x:c r="F1011" s="14" t="n">
        <x:v>2</x:v>
      </x:c>
      <x:c r="G1011" s="14" t="n">
        <x:v>14</x:v>
      </x:c>
      <x:c r="H1011" s="14" t="n">
        <x:v>6</x:v>
      </x:c>
      <x:c r="I1011" s="14" t="n">
        <x:v>9</x:v>
      </x:c>
      <x:c r="J1011" s="14" t="n">
        <x:v>1</x:v>
      </x:c>
      <x:c r="K1011" s="14" t="n">
        <x:v>4</x:v>
      </x:c>
      <x:c r="L1011" s="14" t="n">
        <x:v>37</x:v>
      </x:c>
      <x:c r="M1011" s="14" t="n">
        <x:v>30</x:v>
      </x:c>
      <x:c r="N1011" s="15" t="n">
        <x:f>IF(E1011=0,"해당 없음",F1011/E1011)</x:f>
        <x:v>0.019417475728155338</x:v>
      </x:c>
      <x:c r="O1011" s="15" t="n">
        <x:f>IF(E1011=0,"해당 없음",G1011/E1011)</x:f>
        <x:v>0.13592233009708737</x:v>
      </x:c>
      <x:c r="P1011" s="15" t="n">
        <x:f>IF(E1011=0,"해당 없음",H1011/E1011)</x:f>
        <x:v>0.05825242718446602</x:v>
      </x:c>
      <x:c r="Q1011" s="15" t="n">
        <x:f>IF(E1011=0,"해당 없음",I1011/E1011)</x:f>
        <x:v>0.08737864077669903</x:v>
      </x:c>
      <x:c r="R1011" s="15" t="n">
        <x:f>IF(E1011=0,"해당 없음",J1011/E1011)</x:f>
        <x:v>0.009708737864077669</x:v>
      </x:c>
      <x:c r="S1011" s="15" t="n">
        <x:f>IF(E1011=0,"해당 없음",K1011/E1011)</x:f>
        <x:v>0.038834951456310676</x:v>
      </x:c>
      <x:c r="T1011" s="15" t="n">
        <x:f>IF(E1011=0,"해당 없음",L1011/E1011)</x:f>
        <x:v>0.3592233009708738</x:v>
      </x:c>
      <x:c r="U1011" s="15" t="n">
        <x:f>IF(E1011=0,"해당 없음",M1011/E1011)</x:f>
        <x:v>0.2912621359223301</x:v>
      </x:c>
      <x:c r="V1011" s="16" t="n">
        <x:f>E1011/5</x:f>
        <x:v>20.6</x:v>
      </x:c>
    </x:row>
    <x:row r="1012" ht="22" customHeight="1">
      <x:c r="A1012" s="2" t="n">
        <x:v>504</x:v>
      </x:c>
      <x:c r="B1012" s="2" t="str">
        <x:v>RED</x:v>
      </x:c>
      <x:c r="C1012" s="2" t="str">
        <x:v>240만</x:v>
      </x:c>
      <x:c r="D1012" s="2" t="str">
        <x:v>0만</x:v>
      </x:c>
      <x:c r="E1012" s="14" t="n">
        <x:f>SUM(F1012:M1012)</x:f>
        <x:v>102</x:v>
      </x:c>
      <x:c r="F1012" s="14" t="n">
        <x:v>2</x:v>
      </x:c>
      <x:c r="G1012" s="14" t="n">
        <x:v>10</x:v>
      </x:c>
      <x:c r="H1012" s="14" t="n">
        <x:v>2</x:v>
      </x:c>
      <x:c r="I1012" s="14" t="n">
        <x:v>7</x:v>
      </x:c>
      <x:c r="J1012" s="14" t="n">
        <x:v>0</x:v>
      </x:c>
      <x:c r="K1012" s="14" t="n">
        <x:v>5</x:v>
      </x:c>
      <x:c r="L1012" s="14" t="n">
        <x:v>38</x:v>
      </x:c>
      <x:c r="M1012" s="14" t="n">
        <x:v>38</x:v>
      </x:c>
      <x:c r="N1012" s="15" t="n">
        <x:f>IF(E1012=0,"해당 없음",F1012/E1012)</x:f>
        <x:v>0.0196078431372549</x:v>
      </x:c>
      <x:c r="O1012" s="15" t="n">
        <x:f>IF(E1012=0,"해당 없음",G1012/E1012)</x:f>
        <x:v>0.09803921568627451</x:v>
      </x:c>
      <x:c r="P1012" s="15" t="n">
        <x:f>IF(E1012=0,"해당 없음",H1012/E1012)</x:f>
        <x:v>0.0196078431372549</x:v>
      </x:c>
      <x:c r="Q1012" s="15" t="n">
        <x:f>IF(E1012=0,"해당 없음",I1012/E1012)</x:f>
        <x:v>0.06862745098039216</x:v>
      </x:c>
      <x:c r="R1012" s="15" t="n">
        <x:f>IF(E1012=0,"해당 없음",J1012/E1012)</x:f>
        <x:v>0</x:v>
      </x:c>
      <x:c r="S1012" s="15" t="n">
        <x:f>IF(E1012=0,"해당 없음",K1012/E1012)</x:f>
        <x:v>0.049019607843137254</x:v>
      </x:c>
      <x:c r="T1012" s="15" t="n">
        <x:f>IF(E1012=0,"해당 없음",L1012/E1012)</x:f>
        <x:v>0.37254901960784315</x:v>
      </x:c>
      <x:c r="U1012" s="15" t="n">
        <x:f>IF(E1012=0,"해당 없음",M1012/E1012)</x:f>
        <x:v>0.37254901960784315</x:v>
      </x:c>
      <x:c r="V1012" s="16" t="n">
        <x:f>E1012/5</x:f>
        <x:v>20.4</x:v>
      </x:c>
    </x:row>
    <x:row r="1013" ht="22" customHeight="1">
      <x:c r="A1013" s="2" t="n">
        <x:v>504</x:v>
      </x:c>
      <x:c r="B1013" s="2" t="str">
        <x:v>NAVY</x:v>
      </x:c>
      <x:c r="C1013" s="2" t="str">
        <x:v>0만</x:v>
      </x:c>
      <x:c r="D1013" s="2" t="str">
        <x:v>240만</x:v>
      </x:c>
      <x:c r="E1013" s="14" t="n">
        <x:f>SUM(F1013:M1013)</x:f>
        <x:v>105</x:v>
      </x:c>
      <x:c r="F1013" s="14" t="n">
        <x:v>19</x:v>
      </x:c>
      <x:c r="G1013" s="14" t="n">
        <x:v>8</x:v>
      </x:c>
      <x:c r="H1013" s="14" t="n">
        <x:v>11</x:v>
      </x:c>
      <x:c r="I1013" s="14" t="n">
        <x:v>20</x:v>
      </x:c>
      <x:c r="J1013" s="14" t="n">
        <x:v>7</x:v>
      </x:c>
      <x:c r="K1013" s="14" t="n">
        <x:v>15</x:v>
      </x:c>
      <x:c r="L1013" s="14" t="n">
        <x:v>13</x:v>
      </x:c>
      <x:c r="M1013" s="14" t="n">
        <x:v>12</x:v>
      </x:c>
      <x:c r="N1013" s="15" t="n">
        <x:f>IF(E1013=0,"해당 없음",F1013/E1013)</x:f>
        <x:v>0.18095238095238095</x:v>
      </x:c>
      <x:c r="O1013" s="15" t="n">
        <x:f>IF(E1013=0,"해당 없음",G1013/E1013)</x:f>
        <x:v>0.0761904761904762</x:v>
      </x:c>
      <x:c r="P1013" s="15" t="n">
        <x:f>IF(E1013=0,"해당 없음",H1013/E1013)</x:f>
        <x:v>0.10476190476190476</x:v>
      </x:c>
      <x:c r="Q1013" s="15" t="n">
        <x:f>IF(E1013=0,"해당 없음",I1013/E1013)</x:f>
        <x:v>0.19047619047619047</x:v>
      </x:c>
      <x:c r="R1013" s="15" t="n">
        <x:f>IF(E1013=0,"해당 없음",J1013/E1013)</x:f>
        <x:v>0.06666666666666667</x:v>
      </x:c>
      <x:c r="S1013" s="15" t="n">
        <x:f>IF(E1013=0,"해당 없음",K1013/E1013)</x:f>
        <x:v>0.14285714285714285</x:v>
      </x:c>
      <x:c r="T1013" s="15" t="n">
        <x:f>IF(E1013=0,"해당 없음",L1013/E1013)</x:f>
        <x:v>0.12380952380952381</x:v>
      </x:c>
      <x:c r="U1013" s="15" t="n">
        <x:f>IF(E1013=0,"해당 없음",M1013/E1013)</x:f>
        <x:v>0.11428571428571428</x:v>
      </x:c>
      <x:c r="V1013" s="16" t="n">
        <x:f>E1013/5</x:f>
        <x:v>21</x:v>
      </x:c>
    </x:row>
    <x:row r="1014" ht="22" customHeight="1">
      <x:c r="A1014" s="2" t="n">
        <x:v>505</x:v>
      </x:c>
      <x:c r="B1014" s="2" t="str">
        <x:v>RED</x:v>
      </x:c>
      <x:c r="C1014" s="2" t="str">
        <x:v>0만</x:v>
      </x:c>
      <x:c r="D1014" s="2" t="str">
        <x:v>240만</x:v>
      </x:c>
      <x:c r="E1014" s="14" t="n">
        <x:f>SUM(F1014:M1014)</x:f>
        <x:v>101</x:v>
      </x:c>
      <x:c r="F1014" s="14" t="n">
        <x:v>11</x:v>
      </x:c>
      <x:c r="G1014" s="14" t="n">
        <x:v>14</x:v>
      </x:c>
      <x:c r="H1014" s="14" t="n">
        <x:v>14</x:v>
      </x:c>
      <x:c r="I1014" s="14" t="n">
        <x:v>9</x:v>
      </x:c>
      <x:c r="J1014" s="14" t="n">
        <x:v>16</x:v>
      </x:c>
      <x:c r="K1014" s="14" t="n">
        <x:v>13</x:v>
      </x:c>
      <x:c r="L1014" s="14" t="n">
        <x:v>16</x:v>
      </x:c>
      <x:c r="M1014" s="14" t="n">
        <x:v>8</x:v>
      </x:c>
      <x:c r="N1014" s="15" t="n">
        <x:f>IF(E1014=0,"해당 없음",F1014/E1014)</x:f>
        <x:v>0.10891089108910891</x:v>
      </x:c>
      <x:c r="O1014" s="15" t="n">
        <x:f>IF(E1014=0,"해당 없음",G1014/E1014)</x:f>
        <x:v>0.13861386138613863</x:v>
      </x:c>
      <x:c r="P1014" s="15" t="n">
        <x:f>IF(E1014=0,"해당 없음",H1014/E1014)</x:f>
        <x:v>0.13861386138613863</x:v>
      </x:c>
      <x:c r="Q1014" s="15" t="n">
        <x:f>IF(E1014=0,"해당 없음",I1014/E1014)</x:f>
        <x:v>0.0891089108910891</x:v>
      </x:c>
      <x:c r="R1014" s="15" t="n">
        <x:f>IF(E1014=0,"해당 없음",J1014/E1014)</x:f>
        <x:v>0.15841584158415842</x:v>
      </x:c>
      <x:c r="S1014" s="15" t="n">
        <x:f>IF(E1014=0,"해당 없음",K1014/E1014)</x:f>
        <x:v>0.12871287128712872</x:v>
      </x:c>
      <x:c r="T1014" s="15" t="n">
        <x:f>IF(E1014=0,"해당 없음",L1014/E1014)</x:f>
        <x:v>0.15841584158415842</x:v>
      </x:c>
      <x:c r="U1014" s="15" t="n">
        <x:f>IF(E1014=0,"해당 없음",M1014/E1014)</x:f>
        <x:v>0.07920792079207921</x:v>
      </x:c>
      <x:c r="V1014" s="16" t="n">
        <x:f>E1014/5</x:f>
        <x:v>20.2</x:v>
      </x:c>
    </x:row>
    <x:row r="1015" ht="22" customHeight="1">
      <x:c r="A1015" s="2" t="n">
        <x:v>505</x:v>
      </x:c>
      <x:c r="B1015" s="2" t="str">
        <x:v>NAVY</x:v>
      </x:c>
      <x:c r="C1015" s="2" t="str">
        <x:v>240만</x:v>
      </x:c>
      <x:c r="D1015" s="2" t="str">
        <x:v>0만</x:v>
      </x:c>
      <x:c r="E1015" s="14" t="n">
        <x:f>SUM(F1015:M1015)</x:f>
        <x:v>103</x:v>
      </x:c>
      <x:c r="F1015" s="14" t="n">
        <x:v>5</x:v>
      </x:c>
      <x:c r="G1015" s="14" t="n">
        <x:v>15</x:v>
      </x:c>
      <x:c r="H1015" s="14" t="n">
        <x:v>4</x:v>
      </x:c>
      <x:c r="I1015" s="14" t="n">
        <x:v>7</x:v>
      </x:c>
      <x:c r="J1015" s="14" t="n">
        <x:v>1</x:v>
      </x:c>
      <x:c r="K1015" s="14" t="n">
        <x:v>10</x:v>
      </x:c>
      <x:c r="L1015" s="14" t="n">
        <x:v>34</x:v>
      </x:c>
      <x:c r="M1015" s="14" t="n">
        <x:v>27</x:v>
      </x:c>
      <x:c r="N1015" s="15" t="n">
        <x:f>IF(E1015=0,"해당 없음",F1015/E1015)</x:f>
        <x:v>0.04854368932038835</x:v>
      </x:c>
      <x:c r="O1015" s="15" t="n">
        <x:f>IF(E1015=0,"해당 없음",G1015/E1015)</x:f>
        <x:v>0.14563106796116504</x:v>
      </x:c>
      <x:c r="P1015" s="15" t="n">
        <x:f>IF(E1015=0,"해당 없음",H1015/E1015)</x:f>
        <x:v>0.038834951456310676</x:v>
      </x:c>
      <x:c r="Q1015" s="15" t="n">
        <x:f>IF(E1015=0,"해당 없음",I1015/E1015)</x:f>
        <x:v>0.06796116504854369</x:v>
      </x:c>
      <x:c r="R1015" s="15" t="n">
        <x:f>IF(E1015=0,"해당 없음",J1015/E1015)</x:f>
        <x:v>0.009708737864077669</x:v>
      </x:c>
      <x:c r="S1015" s="15" t="n">
        <x:f>IF(E1015=0,"해당 없음",K1015/E1015)</x:f>
        <x:v>0.0970873786407767</x:v>
      </x:c>
      <x:c r="T1015" s="15" t="n">
        <x:f>IF(E1015=0,"해당 없음",L1015/E1015)</x:f>
        <x:v>0.3300970873786408</x:v>
      </x:c>
      <x:c r="U1015" s="15" t="n">
        <x:f>IF(E1015=0,"해당 없음",M1015/E1015)</x:f>
        <x:v>0.2621359223300971</x:v>
      </x:c>
      <x:c r="V1015" s="16" t="n">
        <x:f>E1015/5</x:f>
        <x:v>20.6</x:v>
      </x:c>
    </x:row>
    <x:row r="1016" ht="22" customHeight="1">
      <x:c r="A1016" s="2" t="n">
        <x:v>506</x:v>
      </x:c>
      <x:c r="B1016" s="2" t="str">
        <x:v>RED</x:v>
      </x:c>
      <x:c r="C1016" s="2" t="str">
        <x:v>240만</x:v>
      </x:c>
      <x:c r="D1016" s="2" t="str">
        <x:v>0만</x:v>
      </x:c>
      <x:c r="E1016" s="14" t="n">
        <x:f>SUM(F1016:M1016)</x:f>
        <x:v>107</x:v>
      </x:c>
      <x:c r="F1016" s="14" t="n">
        <x:v>4</x:v>
      </x:c>
      <x:c r="G1016" s="14" t="n">
        <x:v>10</x:v>
      </x:c>
      <x:c r="H1016" s="14" t="n">
        <x:v>10</x:v>
      </x:c>
      <x:c r="I1016" s="14" t="n">
        <x:v>7</x:v>
      </x:c>
      <x:c r="J1016" s="14" t="n">
        <x:v>0</x:v>
      </x:c>
      <x:c r="K1016" s="14" t="n">
        <x:v>6</x:v>
      </x:c>
      <x:c r="L1016" s="14" t="n">
        <x:v>44</x:v>
      </x:c>
      <x:c r="M1016" s="14" t="n">
        <x:v>26</x:v>
      </x:c>
      <x:c r="N1016" s="15" t="n">
        <x:f>IF(E1016=0,"해당 없음",F1016/E1016)</x:f>
        <x:v>0.037383177570093455</x:v>
      </x:c>
      <x:c r="O1016" s="15" t="n">
        <x:f>IF(E1016=0,"해당 없음",G1016/E1016)</x:f>
        <x:v>0.09345794392523364</x:v>
      </x:c>
      <x:c r="P1016" s="15" t="n">
        <x:f>IF(E1016=0,"해당 없음",H1016/E1016)</x:f>
        <x:v>0.09345794392523364</x:v>
      </x:c>
      <x:c r="Q1016" s="15" t="n">
        <x:f>IF(E1016=0,"해당 없음",I1016/E1016)</x:f>
        <x:v>0.06542056074766354</x:v>
      </x:c>
      <x:c r="R1016" s="15" t="n">
        <x:f>IF(E1016=0,"해당 없음",J1016/E1016)</x:f>
        <x:v>0</x:v>
      </x:c>
      <x:c r="S1016" s="15" t="n">
        <x:f>IF(E1016=0,"해당 없음",K1016/E1016)</x:f>
        <x:v>0.056074766355140186</x:v>
      </x:c>
      <x:c r="T1016" s="15" t="n">
        <x:f>IF(E1016=0,"해당 없음",L1016/E1016)</x:f>
        <x:v>0.411214953271028</x:v>
      </x:c>
      <x:c r="U1016" s="15" t="n">
        <x:f>IF(E1016=0,"해당 없음",M1016/E1016)</x:f>
        <x:v>0.24299065420560748</x:v>
      </x:c>
      <x:c r="V1016" s="16" t="n">
        <x:f>E1016/5</x:f>
        <x:v>21.4</x:v>
      </x:c>
    </x:row>
    <x:row r="1017" ht="22" customHeight="1">
      <x:c r="A1017" s="2" t="n">
        <x:v>506</x:v>
      </x:c>
      <x:c r="B1017" s="2" t="str">
        <x:v>NAVY</x:v>
      </x:c>
      <x:c r="C1017" s="2" t="str">
        <x:v>0만</x:v>
      </x:c>
      <x:c r="D1017" s="2" t="str">
        <x:v>240만</x:v>
      </x:c>
      <x:c r="E1017" s="14" t="n">
        <x:f>SUM(F1017:M1017)</x:f>
        <x:v>108</x:v>
      </x:c>
      <x:c r="F1017" s="14" t="n">
        <x:v>11</x:v>
      </x:c>
      <x:c r="G1017" s="14" t="n">
        <x:v>14</x:v>
      </x:c>
      <x:c r="H1017" s="14" t="n">
        <x:v>14</x:v>
      </x:c>
      <x:c r="I1017" s="14" t="n">
        <x:v>13</x:v>
      </x:c>
      <x:c r="J1017" s="14" t="n">
        <x:v>18</x:v>
      </x:c>
      <x:c r="K1017" s="14" t="n">
        <x:v>13</x:v>
      </x:c>
      <x:c r="L1017" s="14" t="n">
        <x:v>16</x:v>
      </x:c>
      <x:c r="M1017" s="14" t="n">
        <x:v>9</x:v>
      </x:c>
      <x:c r="N1017" s="15" t="n">
        <x:f>IF(E1017=0,"해당 없음",F1017/E1017)</x:f>
        <x:v>0.10185185185185185</x:v>
      </x:c>
      <x:c r="O1017" s="15" t="n">
        <x:f>IF(E1017=0,"해당 없음",G1017/E1017)</x:f>
        <x:v>0.12962962962962962</x:v>
      </x:c>
      <x:c r="P1017" s="15" t="n">
        <x:f>IF(E1017=0,"해당 없음",H1017/E1017)</x:f>
        <x:v>0.12962962962962962</x:v>
      </x:c>
      <x:c r="Q1017" s="15" t="n">
        <x:f>IF(E1017=0,"해당 없음",I1017/E1017)</x:f>
        <x:v>0.12037037037037036</x:v>
      </x:c>
      <x:c r="R1017" s="15" t="n">
        <x:f>IF(E1017=0,"해당 없음",J1017/E1017)</x:f>
        <x:v>0.16666666666666666</x:v>
      </x:c>
      <x:c r="S1017" s="15" t="n">
        <x:f>IF(E1017=0,"해당 없음",K1017/E1017)</x:f>
        <x:v>0.12037037037037036</x:v>
      </x:c>
      <x:c r="T1017" s="15" t="n">
        <x:f>IF(E1017=0,"해당 없음",L1017/E1017)</x:f>
        <x:v>0.14814814814814814</x:v>
      </x:c>
      <x:c r="U1017" s="15" t="n">
        <x:f>IF(E1017=0,"해당 없음",M1017/E1017)</x:f>
        <x:v>0.08333333333333333</x:v>
      </x:c>
      <x:c r="V1017" s="16" t="n">
        <x:f>E1017/5</x:f>
        <x:v>21.6</x:v>
      </x:c>
    </x:row>
    <x:row r="1018" ht="22" customHeight="1">
      <x:c r="A1018" s="2" t="n">
        <x:v>507</x:v>
      </x:c>
      <x:c r="B1018" s="2" t="str">
        <x:v>RED</x:v>
      </x:c>
      <x:c r="C1018" s="2" t="str">
        <x:v>0만</x:v>
      </x:c>
      <x:c r="D1018" s="2" t="str">
        <x:v>240만</x:v>
      </x:c>
      <x:c r="E1018" s="14" t="n">
        <x:f>SUM(F1018:M1018)</x:f>
        <x:v>103</x:v>
      </x:c>
      <x:c r="F1018" s="14" t="n">
        <x:v>9</x:v>
      </x:c>
      <x:c r="G1018" s="14" t="n">
        <x:v>11</x:v>
      </x:c>
      <x:c r="H1018" s="14" t="n">
        <x:v>11</x:v>
      </x:c>
      <x:c r="I1018" s="14" t="n">
        <x:v>17</x:v>
      </x:c>
      <x:c r="J1018" s="14" t="n">
        <x:v>13</x:v>
      </x:c>
      <x:c r="K1018" s="14" t="n">
        <x:v>11</x:v>
      </x:c>
      <x:c r="L1018" s="14" t="n">
        <x:v>14</x:v>
      </x:c>
      <x:c r="M1018" s="14" t="n">
        <x:v>17</x:v>
      </x:c>
      <x:c r="N1018" s="15" t="n">
        <x:f>IF(E1018=0,"해당 없음",F1018/E1018)</x:f>
        <x:v>0.08737864077669903</x:v>
      </x:c>
      <x:c r="O1018" s="15" t="n">
        <x:f>IF(E1018=0,"해당 없음",G1018/E1018)</x:f>
        <x:v>0.10679611650485436</x:v>
      </x:c>
      <x:c r="P1018" s="15" t="n">
        <x:f>IF(E1018=0,"해당 없음",H1018/E1018)</x:f>
        <x:v>0.10679611650485436</x:v>
      </x:c>
      <x:c r="Q1018" s="15" t="n">
        <x:f>IF(E1018=0,"해당 없음",I1018/E1018)</x:f>
        <x:v>0.1650485436893204</x:v>
      </x:c>
      <x:c r="R1018" s="15" t="n">
        <x:f>IF(E1018=0,"해당 없음",J1018/E1018)</x:f>
        <x:v>0.1262135922330097</x:v>
      </x:c>
      <x:c r="S1018" s="15" t="n">
        <x:f>IF(E1018=0,"해당 없음",K1018/E1018)</x:f>
        <x:v>0.10679611650485436</x:v>
      </x:c>
      <x:c r="T1018" s="15" t="n">
        <x:f>IF(E1018=0,"해당 없음",L1018/E1018)</x:f>
        <x:v>0.13592233009708737</x:v>
      </x:c>
      <x:c r="U1018" s="15" t="n">
        <x:f>IF(E1018=0,"해당 없음",M1018/E1018)</x:f>
        <x:v>0.1650485436893204</x:v>
      </x:c>
      <x:c r="V1018" s="16" t="n">
        <x:f>E1018/5</x:f>
        <x:v>20.6</x:v>
      </x:c>
    </x:row>
    <x:row r="1019" ht="22" customHeight="1">
      <x:c r="A1019" s="2" t="n">
        <x:v>507</x:v>
      </x:c>
      <x:c r="B1019" s="2" t="str">
        <x:v>NAVY</x:v>
      </x:c>
      <x:c r="C1019" s="2" t="str">
        <x:v>240만</x:v>
      </x:c>
      <x:c r="D1019" s="2" t="str">
        <x:v>0만</x:v>
      </x:c>
      <x:c r="E1019" s="14" t="n">
        <x:f>SUM(F1019:M1019)</x:f>
        <x:v>103</x:v>
      </x:c>
      <x:c r="F1019" s="14" t="n">
        <x:v>1</x:v>
      </x:c>
      <x:c r="G1019" s="14" t="n">
        <x:v>13</x:v>
      </x:c>
      <x:c r="H1019" s="14" t="n">
        <x:v>6</x:v>
      </x:c>
      <x:c r="I1019" s="14" t="n">
        <x:v>5</x:v>
      </x:c>
      <x:c r="J1019" s="14" t="n">
        <x:v>1</x:v>
      </x:c>
      <x:c r="K1019" s="14" t="n">
        <x:v>5</x:v>
      </x:c>
      <x:c r="L1019" s="14" t="n">
        <x:v>41</x:v>
      </x:c>
      <x:c r="M1019" s="14" t="n">
        <x:v>31</x:v>
      </x:c>
      <x:c r="N1019" s="15" t="n">
        <x:f>IF(E1019=0,"해당 없음",F1019/E1019)</x:f>
        <x:v>0.009708737864077669</x:v>
      </x:c>
      <x:c r="O1019" s="15" t="n">
        <x:f>IF(E1019=0,"해당 없음",G1019/E1019)</x:f>
        <x:v>0.1262135922330097</x:v>
      </x:c>
      <x:c r="P1019" s="15" t="n">
        <x:f>IF(E1019=0,"해당 없음",H1019/E1019)</x:f>
        <x:v>0.05825242718446602</x:v>
      </x:c>
      <x:c r="Q1019" s="15" t="n">
        <x:f>IF(E1019=0,"해당 없음",I1019/E1019)</x:f>
        <x:v>0.04854368932038835</x:v>
      </x:c>
      <x:c r="R1019" s="15" t="n">
        <x:f>IF(E1019=0,"해당 없음",J1019/E1019)</x:f>
        <x:v>0.009708737864077669</x:v>
      </x:c>
      <x:c r="S1019" s="15" t="n">
        <x:f>IF(E1019=0,"해당 없음",K1019/E1019)</x:f>
        <x:v>0.04854368932038835</x:v>
      </x:c>
      <x:c r="T1019" s="15" t="n">
        <x:f>IF(E1019=0,"해당 없음",L1019/E1019)</x:f>
        <x:v>0.39805825242718446</x:v>
      </x:c>
      <x:c r="U1019" s="15" t="n">
        <x:f>IF(E1019=0,"해당 없음",M1019/E1019)</x:f>
        <x:v>0.30097087378640774</x:v>
      </x:c>
      <x:c r="V1019" s="16" t="n">
        <x:f>E1019/5</x:f>
        <x:v>20.6</x:v>
      </x:c>
    </x:row>
    <x:row r="1020" ht="22" customHeight="1">
      <x:c r="A1020" s="2" t="n">
        <x:v>508</x:v>
      </x:c>
      <x:c r="B1020" s="2" t="str">
        <x:v>RED</x:v>
      </x:c>
      <x:c r="C1020" s="2" t="str">
        <x:v>240만</x:v>
      </x:c>
      <x:c r="D1020" s="2" t="str">
        <x:v>0만</x:v>
      </x:c>
      <x:c r="E1020" s="14" t="n">
        <x:f>SUM(F1020:M1020)</x:f>
        <x:v>103</x:v>
      </x:c>
      <x:c r="F1020" s="14" t="n">
        <x:v>1</x:v>
      </x:c>
      <x:c r="G1020" s="14" t="n">
        <x:v>14</x:v>
      </x:c>
      <x:c r="H1020" s="14" t="n">
        <x:v>2</x:v>
      </x:c>
      <x:c r="I1020" s="14" t="n">
        <x:v>7</x:v>
      </x:c>
      <x:c r="J1020" s="14" t="n">
        <x:v>0</x:v>
      </x:c>
      <x:c r="K1020" s="14" t="n">
        <x:v>4</x:v>
      </x:c>
      <x:c r="L1020" s="14" t="n">
        <x:v>40</x:v>
      </x:c>
      <x:c r="M1020" s="14" t="n">
        <x:v>35</x:v>
      </x:c>
      <x:c r="N1020" s="15" t="n">
        <x:f>IF(E1020=0,"해당 없음",F1020/E1020)</x:f>
        <x:v>0.009708737864077669</x:v>
      </x:c>
      <x:c r="O1020" s="15" t="n">
        <x:f>IF(E1020=0,"해당 없음",G1020/E1020)</x:f>
        <x:v>0.13592233009708737</x:v>
      </x:c>
      <x:c r="P1020" s="15" t="n">
        <x:f>IF(E1020=0,"해당 없음",H1020/E1020)</x:f>
        <x:v>0.019417475728155338</x:v>
      </x:c>
      <x:c r="Q1020" s="15" t="n">
        <x:f>IF(E1020=0,"해당 없음",I1020/E1020)</x:f>
        <x:v>0.06796116504854369</x:v>
      </x:c>
      <x:c r="R1020" s="15" t="n">
        <x:f>IF(E1020=0,"해당 없음",J1020/E1020)</x:f>
        <x:v>0</x:v>
      </x:c>
      <x:c r="S1020" s="15" t="n">
        <x:f>IF(E1020=0,"해당 없음",K1020/E1020)</x:f>
        <x:v>0.038834951456310676</x:v>
      </x:c>
      <x:c r="T1020" s="15" t="n">
        <x:f>IF(E1020=0,"해당 없음",L1020/E1020)</x:f>
        <x:v>0.3883495145631068</x:v>
      </x:c>
      <x:c r="U1020" s="15" t="n">
        <x:f>IF(E1020=0,"해당 없음",M1020/E1020)</x:f>
        <x:v>0.33980582524271846</x:v>
      </x:c>
      <x:c r="V1020" s="16" t="n">
        <x:f>E1020/5</x:f>
        <x:v>20.6</x:v>
      </x:c>
    </x:row>
    <x:row r="1021" ht="22" customHeight="1">
      <x:c r="A1021" s="2" t="n">
        <x:v>508</x:v>
      </x:c>
      <x:c r="B1021" s="2" t="str">
        <x:v>NAVY</x:v>
      </x:c>
      <x:c r="C1021" s="2" t="str">
        <x:v>0만</x:v>
      </x:c>
      <x:c r="D1021" s="2" t="str">
        <x:v>240만</x:v>
      </x:c>
      <x:c r="E1021" s="14" t="n">
        <x:f>SUM(F1021:M1021)</x:f>
        <x:v>102</x:v>
      </x:c>
      <x:c r="F1021" s="14" t="n">
        <x:v>9</x:v>
      </x:c>
      <x:c r="G1021" s="14" t="n">
        <x:v>11</x:v>
      </x:c>
      <x:c r="H1021" s="14" t="n">
        <x:v>11</x:v>
      </x:c>
      <x:c r="I1021" s="14" t="n">
        <x:v>16</x:v>
      </x:c>
      <x:c r="J1021" s="14" t="n">
        <x:v>13</x:v>
      </x:c>
      <x:c r="K1021" s="14" t="n">
        <x:v>11</x:v>
      </x:c>
      <x:c r="L1021" s="14" t="n">
        <x:v>13</x:v>
      </x:c>
      <x:c r="M1021" s="14" t="n">
        <x:v>18</x:v>
      </x:c>
      <x:c r="N1021" s="15" t="n">
        <x:f>IF(E1021=0,"해당 없음",F1021/E1021)</x:f>
        <x:v>0.08823529411764706</x:v>
      </x:c>
      <x:c r="O1021" s="15" t="n">
        <x:f>IF(E1021=0,"해당 없음",G1021/E1021)</x:f>
        <x:v>0.10784313725490197</x:v>
      </x:c>
      <x:c r="P1021" s="15" t="n">
        <x:f>IF(E1021=0,"해당 없음",H1021/E1021)</x:f>
        <x:v>0.10784313725490197</x:v>
      </x:c>
      <x:c r="Q1021" s="15" t="n">
        <x:f>IF(E1021=0,"해당 없음",I1021/E1021)</x:f>
        <x:v>0.1568627450980392</x:v>
      </x:c>
      <x:c r="R1021" s="15" t="n">
        <x:f>IF(E1021=0,"해당 없음",J1021/E1021)</x:f>
        <x:v>0.12745098039215685</x:v>
      </x:c>
      <x:c r="S1021" s="15" t="n">
        <x:f>IF(E1021=0,"해당 없음",K1021/E1021)</x:f>
        <x:v>0.10784313725490197</x:v>
      </x:c>
      <x:c r="T1021" s="15" t="n">
        <x:f>IF(E1021=0,"해당 없음",L1021/E1021)</x:f>
        <x:v>0.12745098039215685</x:v>
      </x:c>
      <x:c r="U1021" s="15" t="n">
        <x:f>IF(E1021=0,"해당 없음",M1021/E1021)</x:f>
        <x:v>0.17647058823529413</x:v>
      </x:c>
      <x:c r="V1021" s="16" t="n">
        <x:f>E1021/5</x:f>
        <x:v>20.4</x:v>
      </x:c>
    </x:row>
    <x:row r="1022" ht="22" customHeight="1">
      <x:c r="A1022" s="2" t="n">
        <x:v>509</x:v>
      </x:c>
      <x:c r="B1022" s="2" t="str">
        <x:v>RED</x:v>
      </x:c>
      <x:c r="C1022" s="2" t="str">
        <x:v>0만</x:v>
      </x:c>
      <x:c r="D1022" s="2" t="str">
        <x:v>240만</x:v>
      </x:c>
      <x:c r="E1022" s="14" t="n">
        <x:f>SUM(F1022:M1022)</x:f>
        <x:v>105</x:v>
      </x:c>
      <x:c r="F1022" s="14" t="n">
        <x:v>11</x:v>
      </x:c>
      <x:c r="G1022" s="14" t="n">
        <x:v>21</x:v>
      </x:c>
      <x:c r="H1022" s="14" t="n">
        <x:v>7</x:v>
      </x:c>
      <x:c r="I1022" s="14" t="n">
        <x:v>5</x:v>
      </x:c>
      <x:c r="J1022" s="14" t="n">
        <x:v>15</x:v>
      </x:c>
      <x:c r="K1022" s="14" t="n">
        <x:v>18</x:v>
      </x:c>
      <x:c r="L1022" s="14" t="n">
        <x:v>18</x:v>
      </x:c>
      <x:c r="M1022" s="14" t="n">
        <x:v>10</x:v>
      </x:c>
      <x:c r="N1022" s="15" t="n">
        <x:f>IF(E1022=0,"해당 없음",F1022/E1022)</x:f>
        <x:v>0.10476190476190476</x:v>
      </x:c>
      <x:c r="O1022" s="15" t="n">
        <x:f>IF(E1022=0,"해당 없음",G1022/E1022)</x:f>
        <x:v>0.2</x:v>
      </x:c>
      <x:c r="P1022" s="15" t="n">
        <x:f>IF(E1022=0,"해당 없음",H1022/E1022)</x:f>
        <x:v>0.06666666666666667</x:v>
      </x:c>
      <x:c r="Q1022" s="15" t="n">
        <x:f>IF(E1022=0,"해당 없음",I1022/E1022)</x:f>
        <x:v>0.047619047619047616</x:v>
      </x:c>
      <x:c r="R1022" s="15" t="n">
        <x:f>IF(E1022=0,"해당 없음",J1022/E1022)</x:f>
        <x:v>0.14285714285714285</x:v>
      </x:c>
      <x:c r="S1022" s="15" t="n">
        <x:f>IF(E1022=0,"해당 없음",K1022/E1022)</x:f>
        <x:v>0.17142857142857143</x:v>
      </x:c>
      <x:c r="T1022" s="15" t="n">
        <x:f>IF(E1022=0,"해당 없음",L1022/E1022)</x:f>
        <x:v>0.17142857142857143</x:v>
      </x:c>
      <x:c r="U1022" s="15" t="n">
        <x:f>IF(E1022=0,"해당 없음",M1022/E1022)</x:f>
        <x:v>0.09523809523809523</x:v>
      </x:c>
      <x:c r="V1022" s="16" t="n">
        <x:f>E1022/5</x:f>
        <x:v>21</x:v>
      </x:c>
    </x:row>
    <x:row r="1023" ht="22" customHeight="1">
      <x:c r="A1023" s="2" t="n">
        <x:v>509</x:v>
      </x:c>
      <x:c r="B1023" s="2" t="str">
        <x:v>NAVY</x:v>
      </x:c>
      <x:c r="C1023" s="2" t="str">
        <x:v>240만</x:v>
      </x:c>
      <x:c r="D1023" s="2" t="str">
        <x:v>0만</x:v>
      </x:c>
      <x:c r="E1023" s="14" t="n">
        <x:f>SUM(F1023:M1023)</x:f>
        <x:v>105</x:v>
      </x:c>
      <x:c r="F1023" s="14" t="n">
        <x:v>1</x:v>
      </x:c>
      <x:c r="G1023" s="14" t="n">
        <x:v>23</x:v>
      </x:c>
      <x:c r="H1023" s="14" t="n">
        <x:v>1</x:v>
      </x:c>
      <x:c r="I1023" s="14" t="n">
        <x:v>10</x:v>
      </x:c>
      <x:c r="J1023" s="14" t="n">
        <x:v>0</x:v>
      </x:c>
      <x:c r="K1023" s="14" t="n">
        <x:v>4</x:v>
      </x:c>
      <x:c r="L1023" s="14" t="n">
        <x:v>36</x:v>
      </x:c>
      <x:c r="M1023" s="14" t="n">
        <x:v>30</x:v>
      </x:c>
      <x:c r="N1023" s="15" t="n">
        <x:f>IF(E1023=0,"해당 없음",F1023/E1023)</x:f>
        <x:v>0.009523809523809525</x:v>
      </x:c>
      <x:c r="O1023" s="15" t="n">
        <x:f>IF(E1023=0,"해당 없음",G1023/E1023)</x:f>
        <x:v>0.21904761904761905</x:v>
      </x:c>
      <x:c r="P1023" s="15" t="n">
        <x:f>IF(E1023=0,"해당 없음",H1023/E1023)</x:f>
        <x:v>0.009523809523809525</x:v>
      </x:c>
      <x:c r="Q1023" s="15" t="n">
        <x:f>IF(E1023=0,"해당 없음",I1023/E1023)</x:f>
        <x:v>0.09523809523809523</x:v>
      </x:c>
      <x:c r="R1023" s="15" t="n">
        <x:f>IF(E1023=0,"해당 없음",J1023/E1023)</x:f>
        <x:v>0</x:v>
      </x:c>
      <x:c r="S1023" s="15" t="n">
        <x:f>IF(E1023=0,"해당 없음",K1023/E1023)</x:f>
        <x:v>0.0380952380952381</x:v>
      </x:c>
      <x:c r="T1023" s="15" t="n">
        <x:f>IF(E1023=0,"해당 없음",L1023/E1023)</x:f>
        <x:v>0.34285714285714286</x:v>
      </x:c>
      <x:c r="U1023" s="15" t="n">
        <x:f>IF(E1023=0,"해당 없음",M1023/E1023)</x:f>
        <x:v>0.2857142857142857</x:v>
      </x:c>
      <x:c r="V1023" s="16" t="n">
        <x:f>E1023/5</x:f>
        <x:v>21</x:v>
      </x:c>
    </x:row>
    <x:row r="1024" ht="22" customHeight="1">
      <x:c r="A1024" s="2" t="n">
        <x:v>510</x:v>
      </x:c>
      <x:c r="B1024" s="2" t="str">
        <x:v>RED</x:v>
      </x:c>
      <x:c r="C1024" s="2" t="str">
        <x:v>240만</x:v>
      </x:c>
      <x:c r="D1024" s="2" t="str">
        <x:v>0만</x:v>
      </x:c>
      <x:c r="E1024" s="14" t="n">
        <x:f>SUM(F1024:M1024)</x:f>
        <x:v>107</x:v>
      </x:c>
      <x:c r="F1024" s="14" t="n">
        <x:v>2</x:v>
      </x:c>
      <x:c r="G1024" s="14" t="n">
        <x:v>15</x:v>
      </x:c>
      <x:c r="H1024" s="14" t="n">
        <x:v>1</x:v>
      </x:c>
      <x:c r="I1024" s="14" t="n">
        <x:v>2</x:v>
      </x:c>
      <x:c r="J1024" s="14" t="n">
        <x:v>3</x:v>
      </x:c>
      <x:c r="K1024" s="14" t="n">
        <x:v>6</x:v>
      </x:c>
      <x:c r="L1024" s="14" t="n">
        <x:v>37</x:v>
      </x:c>
      <x:c r="M1024" s="14" t="n">
        <x:v>41</x:v>
      </x:c>
      <x:c r="N1024" s="15" t="n">
        <x:f>IF(E1024=0,"해당 없음",F1024/E1024)</x:f>
        <x:v>0.018691588785046728</x:v>
      </x:c>
      <x:c r="O1024" s="15" t="n">
        <x:f>IF(E1024=0,"해당 없음",G1024/E1024)</x:f>
        <x:v>0.14018691588785046</x:v>
      </x:c>
      <x:c r="P1024" s="15" t="n">
        <x:f>IF(E1024=0,"해당 없음",H1024/E1024)</x:f>
        <x:v>0.009345794392523364</x:v>
      </x:c>
      <x:c r="Q1024" s="15" t="n">
        <x:f>IF(E1024=0,"해당 없음",I1024/E1024)</x:f>
        <x:v>0.018691588785046728</x:v>
      </x:c>
      <x:c r="R1024" s="15" t="n">
        <x:f>IF(E1024=0,"해당 없음",J1024/E1024)</x:f>
        <x:v>0.028037383177570093</x:v>
      </x:c>
      <x:c r="S1024" s="15" t="n">
        <x:f>IF(E1024=0,"해당 없음",K1024/E1024)</x:f>
        <x:v>0.056074766355140186</x:v>
      </x:c>
      <x:c r="T1024" s="15" t="n">
        <x:f>IF(E1024=0,"해당 없음",L1024/E1024)</x:f>
        <x:v>0.34579439252336447</x:v>
      </x:c>
      <x:c r="U1024" s="15" t="n">
        <x:f>IF(E1024=0,"해당 없음",M1024/E1024)</x:f>
        <x:v>0.38317757009345793</x:v>
      </x:c>
      <x:c r="V1024" s="16" t="n">
        <x:f>E1024/5</x:f>
        <x:v>21.4</x:v>
      </x:c>
    </x:row>
    <x:row r="1025" ht="22" customHeight="1">
      <x:c r="A1025" s="2" t="n">
        <x:v>510</x:v>
      </x:c>
      <x:c r="B1025" s="2" t="str">
        <x:v>NAVY</x:v>
      </x:c>
      <x:c r="C1025" s="2" t="str">
        <x:v>0만</x:v>
      </x:c>
      <x:c r="D1025" s="2" t="str">
        <x:v>240만</x:v>
      </x:c>
      <x:c r="E1025" s="14" t="n">
        <x:f>SUM(F1025:M1025)</x:f>
        <x:v>107</x:v>
      </x:c>
      <x:c r="F1025" s="14" t="n">
        <x:v>11</x:v>
      </x:c>
      <x:c r="G1025" s="14" t="n">
        <x:v>19</x:v>
      </x:c>
      <x:c r="H1025" s="14" t="n">
        <x:v>11</x:v>
      </x:c>
      <x:c r="I1025" s="14" t="n">
        <x:v>5</x:v>
      </x:c>
      <x:c r="J1025" s="14" t="n">
        <x:v>15</x:v>
      </x:c>
      <x:c r="K1025" s="14" t="n">
        <x:v>16</x:v>
      </x:c>
      <x:c r="L1025" s="14" t="n">
        <x:v>20</x:v>
      </x:c>
      <x:c r="M1025" s="14" t="n">
        <x:v>10</x:v>
      </x:c>
      <x:c r="N1025" s="15" t="n">
        <x:f>IF(E1025=0,"해당 없음",F1025/E1025)</x:f>
        <x:v>0.102803738317757</x:v>
      </x:c>
      <x:c r="O1025" s="15" t="n">
        <x:f>IF(E1025=0,"해당 없음",G1025/E1025)</x:f>
        <x:v>0.17757009345794392</x:v>
      </x:c>
      <x:c r="P1025" s="15" t="n">
        <x:f>IF(E1025=0,"해당 없음",H1025/E1025)</x:f>
        <x:v>0.102803738317757</x:v>
      </x:c>
      <x:c r="Q1025" s="15" t="n">
        <x:f>IF(E1025=0,"해당 없음",I1025/E1025)</x:f>
        <x:v>0.04672897196261682</x:v>
      </x:c>
      <x:c r="R1025" s="15" t="n">
        <x:f>IF(E1025=0,"해당 없음",J1025/E1025)</x:f>
        <x:v>0.14018691588785046</x:v>
      </x:c>
      <x:c r="S1025" s="15" t="n">
        <x:f>IF(E1025=0,"해당 없음",K1025/E1025)</x:f>
        <x:v>0.14953271028037382</x:v>
      </x:c>
      <x:c r="T1025" s="15" t="n">
        <x:f>IF(E1025=0,"해당 없음",L1025/E1025)</x:f>
        <x:v>0.18691588785046728</x:v>
      </x:c>
      <x:c r="U1025" s="15" t="n">
        <x:f>IF(E1025=0,"해당 없음",M1025/E1025)</x:f>
        <x:v>0.09345794392523364</x:v>
      </x:c>
      <x:c r="V1025" s="16" t="n">
        <x:f>E1025/5</x:f>
        <x:v>21.4</x:v>
      </x:c>
    </x:row>
    <x:row r="1026" ht="22" customHeight="1">
      <x:c r="A1026" s="2" t="n">
        <x:v>511</x:v>
      </x:c>
      <x:c r="B1026" s="2" t="str">
        <x:v>RED</x:v>
      </x:c>
      <x:c r="C1026" s="2" t="str">
        <x:v>0만</x:v>
      </x:c>
      <x:c r="D1026" s="2" t="str">
        <x:v>240만</x:v>
      </x:c>
      <x:c r="E1026" s="14" t="n">
        <x:f>SUM(F1026:M1026)</x:f>
        <x:v>105</x:v>
      </x:c>
      <x:c r="F1026" s="14" t="n">
        <x:v>13</x:v>
      </x:c>
      <x:c r="G1026" s="14" t="n">
        <x:v>15</x:v>
      </x:c>
      <x:c r="H1026" s="14" t="n">
        <x:v>13</x:v>
      </x:c>
      <x:c r="I1026" s="14" t="n">
        <x:v>12</x:v>
      </x:c>
      <x:c r="J1026" s="14" t="n">
        <x:v>12</x:v>
      </x:c>
      <x:c r="K1026" s="14" t="n">
        <x:v>9</x:v>
      </x:c>
      <x:c r="L1026" s="14" t="n">
        <x:v>15</x:v>
      </x:c>
      <x:c r="M1026" s="14" t="n">
        <x:v>16</x:v>
      </x:c>
      <x:c r="N1026" s="15" t="n">
        <x:f>IF(E1026=0,"해당 없음",F1026/E1026)</x:f>
        <x:v>0.12380952380952381</x:v>
      </x:c>
      <x:c r="O1026" s="15" t="n">
        <x:f>IF(E1026=0,"해당 없음",G1026/E1026)</x:f>
        <x:v>0.14285714285714285</x:v>
      </x:c>
      <x:c r="P1026" s="15" t="n">
        <x:f>IF(E1026=0,"해당 없음",H1026/E1026)</x:f>
        <x:v>0.12380952380952381</x:v>
      </x:c>
      <x:c r="Q1026" s="15" t="n">
        <x:f>IF(E1026=0,"해당 없음",I1026/E1026)</x:f>
        <x:v>0.11428571428571428</x:v>
      </x:c>
      <x:c r="R1026" s="15" t="n">
        <x:f>IF(E1026=0,"해당 없음",J1026/E1026)</x:f>
        <x:v>0.11428571428571428</x:v>
      </x:c>
      <x:c r="S1026" s="15" t="n">
        <x:f>IF(E1026=0,"해당 없음",K1026/E1026)</x:f>
        <x:v>0.08571428571428572</x:v>
      </x:c>
      <x:c r="T1026" s="15" t="n">
        <x:f>IF(E1026=0,"해당 없음",L1026/E1026)</x:f>
        <x:v>0.14285714285714285</x:v>
      </x:c>
      <x:c r="U1026" s="15" t="n">
        <x:f>IF(E1026=0,"해당 없음",M1026/E1026)</x:f>
        <x:v>0.1523809523809524</x:v>
      </x:c>
      <x:c r="V1026" s="16" t="n">
        <x:f>E1026/5</x:f>
        <x:v>21</x:v>
      </x:c>
    </x:row>
    <x:row r="1027" ht="22" customHeight="1">
      <x:c r="A1027" s="2" t="n">
        <x:v>511</x:v>
      </x:c>
      <x:c r="B1027" s="2" t="str">
        <x:v>NAVY</x:v>
      </x:c>
      <x:c r="C1027" s="2" t="str">
        <x:v>240만</x:v>
      </x:c>
      <x:c r="D1027" s="2" t="str">
        <x:v>0만</x:v>
      </x:c>
      <x:c r="E1027" s="14" t="n">
        <x:f>SUM(F1027:M1027)</x:f>
        <x:v>105</x:v>
      </x:c>
      <x:c r="F1027" s="14" t="n">
        <x:v>1</x:v>
      </x:c>
      <x:c r="G1027" s="14" t="n">
        <x:v>11</x:v>
      </x:c>
      <x:c r="H1027" s="14" t="n">
        <x:v>5</x:v>
      </x:c>
      <x:c r="I1027" s="14" t="n">
        <x:v>8</x:v>
      </x:c>
      <x:c r="J1027" s="14" t="n">
        <x:v>1</x:v>
      </x:c>
      <x:c r="K1027" s="14" t="n">
        <x:v>6</x:v>
      </x:c>
      <x:c r="L1027" s="14" t="n">
        <x:v>44</x:v>
      </x:c>
      <x:c r="M1027" s="14" t="n">
        <x:v>29</x:v>
      </x:c>
      <x:c r="N1027" s="15" t="n">
        <x:f>IF(E1027=0,"해당 없음",F1027/E1027)</x:f>
        <x:v>0.009523809523809525</x:v>
      </x:c>
      <x:c r="O1027" s="15" t="n">
        <x:f>IF(E1027=0,"해당 없음",G1027/E1027)</x:f>
        <x:v>0.10476190476190476</x:v>
      </x:c>
      <x:c r="P1027" s="15" t="n">
        <x:f>IF(E1027=0,"해당 없음",H1027/E1027)</x:f>
        <x:v>0.047619047619047616</x:v>
      </x:c>
      <x:c r="Q1027" s="15" t="n">
        <x:f>IF(E1027=0,"해당 없음",I1027/E1027)</x:f>
        <x:v>0.0761904761904762</x:v>
      </x:c>
      <x:c r="R1027" s="15" t="n">
        <x:f>IF(E1027=0,"해당 없음",J1027/E1027)</x:f>
        <x:v>0.009523809523809525</x:v>
      </x:c>
      <x:c r="S1027" s="15" t="n">
        <x:f>IF(E1027=0,"해당 없음",K1027/E1027)</x:f>
        <x:v>0.05714285714285714</x:v>
      </x:c>
      <x:c r="T1027" s="15" t="n">
        <x:f>IF(E1027=0,"해당 없음",L1027/E1027)</x:f>
        <x:v>0.41904761904761906</x:v>
      </x:c>
      <x:c r="U1027" s="15" t="n">
        <x:f>IF(E1027=0,"해당 없음",M1027/E1027)</x:f>
        <x:v>0.2761904761904762</x:v>
      </x:c>
      <x:c r="V1027" s="16" t="n">
        <x:f>E1027/5</x:f>
        <x:v>21</x:v>
      </x:c>
    </x:row>
    <x:row r="1028" ht="22" customHeight="1">
      <x:c r="A1028" s="2" t="n">
        <x:v>512</x:v>
      </x:c>
      <x:c r="B1028" s="2" t="str">
        <x:v>RED</x:v>
      </x:c>
      <x:c r="C1028" s="2" t="str">
        <x:v>240만</x:v>
      </x:c>
      <x:c r="D1028" s="2" t="str">
        <x:v>0만</x:v>
      </x:c>
      <x:c r="E1028" s="14" t="n">
        <x:f>SUM(F1028:M1028)</x:f>
        <x:v>106</x:v>
      </x:c>
      <x:c r="F1028" s="14" t="n">
        <x:v>2</x:v>
      </x:c>
      <x:c r="G1028" s="14" t="n">
        <x:v>15</x:v>
      </x:c>
      <x:c r="H1028" s="14" t="n">
        <x:v>4</x:v>
      </x:c>
      <x:c r="I1028" s="14" t="n">
        <x:v>10</x:v>
      </x:c>
      <x:c r="J1028" s="14" t="n">
        <x:v>2</x:v>
      </x:c>
      <x:c r="K1028" s="14" t="n">
        <x:v>7</x:v>
      </x:c>
      <x:c r="L1028" s="14" t="n">
        <x:v>42</x:v>
      </x:c>
      <x:c r="M1028" s="14" t="n">
        <x:v>24</x:v>
      </x:c>
      <x:c r="N1028" s="15" t="n">
        <x:f>IF(E1028=0,"해당 없음",F1028/E1028)</x:f>
        <x:v>0.018867924528301886</x:v>
      </x:c>
      <x:c r="O1028" s="15" t="n">
        <x:f>IF(E1028=0,"해당 없음",G1028/E1028)</x:f>
        <x:v>0.14150943396226415</x:v>
      </x:c>
      <x:c r="P1028" s="15" t="n">
        <x:f>IF(E1028=0,"해당 없음",H1028/E1028)</x:f>
        <x:v>0.03773584905660377</x:v>
      </x:c>
      <x:c r="Q1028" s="15" t="n">
        <x:f>IF(E1028=0,"해당 없음",I1028/E1028)</x:f>
        <x:v>0.09433962264150944</x:v>
      </x:c>
      <x:c r="R1028" s="15" t="n">
        <x:f>IF(E1028=0,"해당 없음",J1028/E1028)</x:f>
        <x:v>0.018867924528301886</x:v>
      </x:c>
      <x:c r="S1028" s="15" t="n">
        <x:f>IF(E1028=0,"해당 없음",K1028/E1028)</x:f>
        <x:v>0.0660377358490566</x:v>
      </x:c>
      <x:c r="T1028" s="15" t="n">
        <x:f>IF(E1028=0,"해당 없음",L1028/E1028)</x:f>
        <x:v>0.39622641509433965</x:v>
      </x:c>
      <x:c r="U1028" s="15" t="n">
        <x:f>IF(E1028=0,"해당 없음",M1028/E1028)</x:f>
        <x:v>0.22641509433962265</x:v>
      </x:c>
      <x:c r="V1028" s="16" t="n">
        <x:f>E1028/5</x:f>
        <x:v>21.2</x:v>
      </x:c>
    </x:row>
    <x:row r="1029" ht="22" customHeight="1">
      <x:c r="A1029" s="2" t="n">
        <x:v>512</x:v>
      </x:c>
      <x:c r="B1029" s="2" t="str">
        <x:v>NAVY</x:v>
      </x:c>
      <x:c r="C1029" s="2" t="str">
        <x:v>0만</x:v>
      </x:c>
      <x:c r="D1029" s="2" t="str">
        <x:v>240만</x:v>
      </x:c>
      <x:c r="E1029" s="14" t="n">
        <x:f>SUM(F1029:M1029)</x:f>
        <x:v>106</x:v>
      </x:c>
      <x:c r="F1029" s="14" t="n">
        <x:v>13</x:v>
      </x:c>
      <x:c r="G1029" s="14" t="n">
        <x:v>15</x:v>
      </x:c>
      <x:c r="H1029" s="14" t="n">
        <x:v>13</x:v>
      </x:c>
      <x:c r="I1029" s="14" t="n">
        <x:v>12</x:v>
      </x:c>
      <x:c r="J1029" s="14" t="n">
        <x:v>12</x:v>
      </x:c>
      <x:c r="K1029" s="14" t="n">
        <x:v>9</x:v>
      </x:c>
      <x:c r="L1029" s="14" t="n">
        <x:v>15</x:v>
      </x:c>
      <x:c r="M1029" s="14" t="n">
        <x:v>17</x:v>
      </x:c>
      <x:c r="N1029" s="15" t="n">
        <x:f>IF(E1029=0,"해당 없음",F1029/E1029)</x:f>
        <x:v>0.12264150943396226</x:v>
      </x:c>
      <x:c r="O1029" s="15" t="n">
        <x:f>IF(E1029=0,"해당 없음",G1029/E1029)</x:f>
        <x:v>0.14150943396226415</x:v>
      </x:c>
      <x:c r="P1029" s="15" t="n">
        <x:f>IF(E1029=0,"해당 없음",H1029/E1029)</x:f>
        <x:v>0.12264150943396226</x:v>
      </x:c>
      <x:c r="Q1029" s="15" t="n">
        <x:f>IF(E1029=0,"해당 없음",I1029/E1029)</x:f>
        <x:v>0.11320754716981132</x:v>
      </x:c>
      <x:c r="R1029" s="15" t="n">
        <x:f>IF(E1029=0,"해당 없음",J1029/E1029)</x:f>
        <x:v>0.11320754716981132</x:v>
      </x:c>
      <x:c r="S1029" s="15" t="n">
        <x:f>IF(E1029=0,"해당 없음",K1029/E1029)</x:f>
        <x:v>0.08490566037735849</x:v>
      </x:c>
      <x:c r="T1029" s="15" t="n">
        <x:f>IF(E1029=0,"해당 없음",L1029/E1029)</x:f>
        <x:v>0.14150943396226415</x:v>
      </x:c>
      <x:c r="U1029" s="15" t="n">
        <x:f>IF(E1029=0,"해당 없음",M1029/E1029)</x:f>
        <x:v>0.16037735849056603</x:v>
      </x:c>
      <x:c r="V1029" s="16" t="n">
        <x:f>E1029/5</x:f>
        <x:v>21.2</x:v>
      </x:c>
    </x:row>
    <x:row r="1030" ht="22" customHeight="1">
      <x:c r="A1030" s="2" t="n">
        <x:v>513</x:v>
      </x:c>
      <x:c r="B1030" s="2" t="str">
        <x:v>RED</x:v>
      </x:c>
      <x:c r="C1030" s="2" t="str">
        <x:v>0만</x:v>
      </x:c>
      <x:c r="D1030" s="2" t="str">
        <x:v>240만</x:v>
      </x:c>
      <x:c r="E1030" s="14" t="n">
        <x:f>SUM(F1030:M1030)</x:f>
        <x:v>104</x:v>
      </x:c>
      <x:c r="F1030" s="14" t="n">
        <x:v>12</x:v>
      </x:c>
      <x:c r="G1030" s="14" t="n">
        <x:v>14</x:v>
      </x:c>
      <x:c r="H1030" s="14" t="n">
        <x:v>16</x:v>
      </x:c>
      <x:c r="I1030" s="14" t="n">
        <x:v>7</x:v>
      </x:c>
      <x:c r="J1030" s="14" t="n">
        <x:v>14</x:v>
      </x:c>
      <x:c r="K1030" s="14" t="n">
        <x:v>12</x:v>
      </x:c>
      <x:c r="L1030" s="14" t="n">
        <x:v>19</x:v>
      </x:c>
      <x:c r="M1030" s="14" t="n">
        <x:v>10</x:v>
      </x:c>
      <x:c r="N1030" s="15" t="n">
        <x:f>IF(E1030=0,"해당 없음",F1030/E1030)</x:f>
        <x:v>0.11538461538461539</x:v>
      </x:c>
      <x:c r="O1030" s="15" t="n">
        <x:f>IF(E1030=0,"해당 없음",G1030/E1030)</x:f>
        <x:v>0.1346153846153846</x:v>
      </x:c>
      <x:c r="P1030" s="15" t="n">
        <x:f>IF(E1030=0,"해당 없음",H1030/E1030)</x:f>
        <x:v>0.15384615384615385</x:v>
      </x:c>
      <x:c r="Q1030" s="15" t="n">
        <x:f>IF(E1030=0,"해당 없음",I1030/E1030)</x:f>
        <x:v>0.0673076923076923</x:v>
      </x:c>
      <x:c r="R1030" s="15" t="n">
        <x:f>IF(E1030=0,"해당 없음",J1030/E1030)</x:f>
        <x:v>0.1346153846153846</x:v>
      </x:c>
      <x:c r="S1030" s="15" t="n">
        <x:f>IF(E1030=0,"해당 없음",K1030/E1030)</x:f>
        <x:v>0.11538461538461539</x:v>
      </x:c>
      <x:c r="T1030" s="15" t="n">
        <x:f>IF(E1030=0,"해당 없음",L1030/E1030)</x:f>
        <x:v>0.18269230769230768</x:v>
      </x:c>
      <x:c r="U1030" s="15" t="n">
        <x:f>IF(E1030=0,"해당 없음",M1030/E1030)</x:f>
        <x:v>0.09615384615384616</x:v>
      </x:c>
      <x:c r="V1030" s="16" t="n">
        <x:f>E1030/5</x:f>
        <x:v>20.8</x:v>
      </x:c>
    </x:row>
    <x:row r="1031" ht="22" customHeight="1">
      <x:c r="A1031" s="2" t="n">
        <x:v>513</x:v>
      </x:c>
      <x:c r="B1031" s="2" t="str">
        <x:v>NAVY</x:v>
      </x:c>
      <x:c r="C1031" s="2" t="str">
        <x:v>240만</x:v>
      </x:c>
      <x:c r="D1031" s="2" t="str">
        <x:v>0만</x:v>
      </x:c>
      <x:c r="E1031" s="14" t="n">
        <x:f>SUM(F1031:M1031)</x:f>
        <x:v>105</x:v>
      </x:c>
      <x:c r="F1031" s="14" t="n">
        <x:v>2</x:v>
      </x:c>
      <x:c r="G1031" s="14" t="n">
        <x:v>7</x:v>
      </x:c>
      <x:c r="H1031" s="14" t="n">
        <x:v>2</x:v>
      </x:c>
      <x:c r="I1031" s="14" t="n">
        <x:v>4</x:v>
      </x:c>
      <x:c r="J1031" s="14" t="n">
        <x:v>0</x:v>
      </x:c>
      <x:c r="K1031" s="14" t="n">
        <x:v>1</x:v>
      </x:c>
      <x:c r="L1031" s="14" t="n">
        <x:v>38</x:v>
      </x:c>
      <x:c r="M1031" s="14" t="n">
        <x:v>51</x:v>
      </x:c>
      <x:c r="N1031" s="15" t="n">
        <x:f>IF(E1031=0,"해당 없음",F1031/E1031)</x:f>
        <x:v>0.01904761904761905</x:v>
      </x:c>
      <x:c r="O1031" s="15" t="n">
        <x:f>IF(E1031=0,"해당 없음",G1031/E1031)</x:f>
        <x:v>0.06666666666666667</x:v>
      </x:c>
      <x:c r="P1031" s="15" t="n">
        <x:f>IF(E1031=0,"해당 없음",H1031/E1031)</x:f>
        <x:v>0.01904761904761905</x:v>
      </x:c>
      <x:c r="Q1031" s="15" t="n">
        <x:f>IF(E1031=0,"해당 없음",I1031/E1031)</x:f>
        <x:v>0.0380952380952381</x:v>
      </x:c>
      <x:c r="R1031" s="15" t="n">
        <x:f>IF(E1031=0,"해당 없음",J1031/E1031)</x:f>
        <x:v>0</x:v>
      </x:c>
      <x:c r="S1031" s="15" t="n">
        <x:f>IF(E1031=0,"해당 없음",K1031/E1031)</x:f>
        <x:v>0.009523809523809525</x:v>
      </x:c>
      <x:c r="T1031" s="15" t="n">
        <x:f>IF(E1031=0,"해당 없음",L1031/E1031)</x:f>
        <x:v>0.3619047619047619</x:v>
      </x:c>
      <x:c r="U1031" s="15" t="n">
        <x:f>IF(E1031=0,"해당 없음",M1031/E1031)</x:f>
        <x:v>0.4857142857142857</x:v>
      </x:c>
      <x:c r="V1031" s="16" t="n">
        <x:f>E1031/5</x:f>
        <x:v>21</x:v>
      </x:c>
    </x:row>
    <x:row r="1032" ht="22" customHeight="1">
      <x:c r="A1032" s="2" t="n">
        <x:v>514</x:v>
      </x:c>
      <x:c r="B1032" s="2" t="str">
        <x:v>RED</x:v>
      </x:c>
      <x:c r="C1032" s="2" t="str">
        <x:v>240만</x:v>
      </x:c>
      <x:c r="D1032" s="2" t="str">
        <x:v>0만</x:v>
      </x:c>
      <x:c r="E1032" s="14" t="n">
        <x:f>SUM(F1032:M1032)</x:f>
        <x:v>107</x:v>
      </x:c>
      <x:c r="F1032" s="14" t="n">
        <x:v>3</x:v>
      </x:c>
      <x:c r="G1032" s="14" t="n">
        <x:v>6</x:v>
      </x:c>
      <x:c r="H1032" s="14" t="n">
        <x:v>6</x:v>
      </x:c>
      <x:c r="I1032" s="14" t="n">
        <x:v>6</x:v>
      </x:c>
      <x:c r="J1032" s="14" t="n">
        <x:v>0</x:v>
      </x:c>
      <x:c r="K1032" s="14" t="n">
        <x:v>5</x:v>
      </x:c>
      <x:c r="L1032" s="14" t="n">
        <x:v>42</x:v>
      </x:c>
      <x:c r="M1032" s="14" t="n">
        <x:v>39</x:v>
      </x:c>
      <x:c r="N1032" s="15" t="n">
        <x:f>IF(E1032=0,"해당 없음",F1032/E1032)</x:f>
        <x:v>0.028037383177570093</x:v>
      </x:c>
      <x:c r="O1032" s="15" t="n">
        <x:f>IF(E1032=0,"해당 없음",G1032/E1032)</x:f>
        <x:v>0.056074766355140186</x:v>
      </x:c>
      <x:c r="P1032" s="15" t="n">
        <x:f>IF(E1032=0,"해당 없음",H1032/E1032)</x:f>
        <x:v>0.056074766355140186</x:v>
      </x:c>
      <x:c r="Q1032" s="15" t="n">
        <x:f>IF(E1032=0,"해당 없음",I1032/E1032)</x:f>
        <x:v>0.056074766355140186</x:v>
      </x:c>
      <x:c r="R1032" s="15" t="n">
        <x:f>IF(E1032=0,"해당 없음",J1032/E1032)</x:f>
        <x:v>0</x:v>
      </x:c>
      <x:c r="S1032" s="15" t="n">
        <x:f>IF(E1032=0,"해당 없음",K1032/E1032)</x:f>
        <x:v>0.04672897196261682</x:v>
      </x:c>
      <x:c r="T1032" s="15" t="n">
        <x:f>IF(E1032=0,"해당 없음",L1032/E1032)</x:f>
        <x:v>0.3925233644859813</x:v>
      </x:c>
      <x:c r="U1032" s="15" t="n">
        <x:f>IF(E1032=0,"해당 없음",M1032/E1032)</x:f>
        <x:v>0.3644859813084112</x:v>
      </x:c>
      <x:c r="V1032" s="16" t="n">
        <x:f>E1032/5</x:f>
        <x:v>21.4</x:v>
      </x:c>
    </x:row>
    <x:row r="1033" ht="22" customHeight="1">
      <x:c r="A1033" s="2" t="n">
        <x:v>514</x:v>
      </x:c>
      <x:c r="B1033" s="2" t="str">
        <x:v>NAVY</x:v>
      </x:c>
      <x:c r="C1033" s="2" t="str">
        <x:v>0만</x:v>
      </x:c>
      <x:c r="D1033" s="2" t="str">
        <x:v>240만</x:v>
      </x:c>
      <x:c r="E1033" s="14" t="n">
        <x:f>SUM(F1033:M1033)</x:f>
        <x:v>104</x:v>
      </x:c>
      <x:c r="F1033" s="14" t="n">
        <x:v>12</x:v>
      </x:c>
      <x:c r="G1033" s="14" t="n">
        <x:v>14</x:v>
      </x:c>
      <x:c r="H1033" s="14" t="n">
        <x:v>16</x:v>
      </x:c>
      <x:c r="I1033" s="14" t="n">
        <x:v>8</x:v>
      </x:c>
      <x:c r="J1033" s="14" t="n">
        <x:v>13</x:v>
      </x:c>
      <x:c r="K1033" s="14" t="n">
        <x:v>12</x:v>
      </x:c>
      <x:c r="L1033" s="14" t="n">
        <x:v>19</x:v>
      </x:c>
      <x:c r="M1033" s="14" t="n">
        <x:v>10</x:v>
      </x:c>
      <x:c r="N1033" s="15" t="n">
        <x:f>IF(E1033=0,"해당 없음",F1033/E1033)</x:f>
        <x:v>0.11538461538461539</x:v>
      </x:c>
      <x:c r="O1033" s="15" t="n">
        <x:f>IF(E1033=0,"해당 없음",G1033/E1033)</x:f>
        <x:v>0.1346153846153846</x:v>
      </x:c>
      <x:c r="P1033" s="15" t="n">
        <x:f>IF(E1033=0,"해당 없음",H1033/E1033)</x:f>
        <x:v>0.15384615384615385</x:v>
      </x:c>
      <x:c r="Q1033" s="15" t="n">
        <x:f>IF(E1033=0,"해당 없음",I1033/E1033)</x:f>
        <x:v>0.07692307692307693</x:v>
      </x:c>
      <x:c r="R1033" s="15" t="n">
        <x:f>IF(E1033=0,"해당 없음",J1033/E1033)</x:f>
        <x:v>0.125</x:v>
      </x:c>
      <x:c r="S1033" s="15" t="n">
        <x:f>IF(E1033=0,"해당 없음",K1033/E1033)</x:f>
        <x:v>0.11538461538461539</x:v>
      </x:c>
      <x:c r="T1033" s="15" t="n">
        <x:f>IF(E1033=0,"해당 없음",L1033/E1033)</x:f>
        <x:v>0.18269230769230768</x:v>
      </x:c>
      <x:c r="U1033" s="15" t="n">
        <x:f>IF(E1033=0,"해당 없음",M1033/E1033)</x:f>
        <x:v>0.09615384615384616</x:v>
      </x:c>
      <x:c r="V1033" s="16" t="n">
        <x:f>E1033/5</x:f>
        <x:v>20.8</x:v>
      </x:c>
    </x:row>
    <x:row r="1034" ht="22" customHeight="1">
      <x:c r="A1034" s="2" t="n">
        <x:v>515</x:v>
      </x:c>
      <x:c r="B1034" s="2" t="str">
        <x:v>RED</x:v>
      </x:c>
      <x:c r="C1034" s="2" t="str">
        <x:v>0만</x:v>
      </x:c>
      <x:c r="D1034" s="2" t="str">
        <x:v>240만</x:v>
      </x:c>
      <x:c r="E1034" s="14" t="n">
        <x:f>SUM(F1034:M1034)</x:f>
        <x:v>105</x:v>
      </x:c>
      <x:c r="F1034" s="14" t="n">
        <x:v>15</x:v>
      </x:c>
      <x:c r="G1034" s="14" t="n">
        <x:v>15</x:v>
      </x:c>
      <x:c r="H1034" s="14" t="n">
        <x:v>12</x:v>
      </x:c>
      <x:c r="I1034" s="14" t="n">
        <x:v>12</x:v>
      </x:c>
      <x:c r="J1034" s="14" t="n">
        <x:v>8</x:v>
      </x:c>
      <x:c r="K1034" s="14" t="n">
        <x:v>16</x:v>
      </x:c>
      <x:c r="L1034" s="14" t="n">
        <x:v>15</x:v>
      </x:c>
      <x:c r="M1034" s="14" t="n">
        <x:v>12</x:v>
      </x:c>
      <x:c r="N1034" s="15" t="n">
        <x:f>IF(E1034=0,"해당 없음",F1034/E1034)</x:f>
        <x:v>0.14285714285714285</x:v>
      </x:c>
      <x:c r="O1034" s="15" t="n">
        <x:f>IF(E1034=0,"해당 없음",G1034/E1034)</x:f>
        <x:v>0.14285714285714285</x:v>
      </x:c>
      <x:c r="P1034" s="15" t="n">
        <x:f>IF(E1034=0,"해당 없음",H1034/E1034)</x:f>
        <x:v>0.11428571428571428</x:v>
      </x:c>
      <x:c r="Q1034" s="15" t="n">
        <x:f>IF(E1034=0,"해당 없음",I1034/E1034)</x:f>
        <x:v>0.11428571428571428</x:v>
      </x:c>
      <x:c r="R1034" s="15" t="n">
        <x:f>IF(E1034=0,"해당 없음",J1034/E1034)</x:f>
        <x:v>0.0761904761904762</x:v>
      </x:c>
      <x:c r="S1034" s="15" t="n">
        <x:f>IF(E1034=0,"해당 없음",K1034/E1034)</x:f>
        <x:v>0.1523809523809524</x:v>
      </x:c>
      <x:c r="T1034" s="15" t="n">
        <x:f>IF(E1034=0,"해당 없음",L1034/E1034)</x:f>
        <x:v>0.14285714285714285</x:v>
      </x:c>
      <x:c r="U1034" s="15" t="n">
        <x:f>IF(E1034=0,"해당 없음",M1034/E1034)</x:f>
        <x:v>0.11428571428571428</x:v>
      </x:c>
      <x:c r="V1034" s="16" t="n">
        <x:f>E1034/5</x:f>
        <x:v>21</x:v>
      </x:c>
    </x:row>
    <x:row r="1035" ht="22" customHeight="1">
      <x:c r="A1035" s="2" t="n">
        <x:v>515</x:v>
      </x:c>
      <x:c r="B1035" s="2" t="str">
        <x:v>NAVY</x:v>
      </x:c>
      <x:c r="C1035" s="2" t="str">
        <x:v>240만</x:v>
      </x:c>
      <x:c r="D1035" s="2" t="str">
        <x:v>0만</x:v>
      </x:c>
      <x:c r="E1035" s="14" t="n">
        <x:f>SUM(F1035:M1035)</x:f>
        <x:v>106</x:v>
      </x:c>
      <x:c r="F1035" s="14" t="n">
        <x:v>5</x:v>
      </x:c>
      <x:c r="G1035" s="14" t="n">
        <x:v>11</x:v>
      </x:c>
      <x:c r="H1035" s="14" t="n">
        <x:v>4</x:v>
      </x:c>
      <x:c r="I1035" s="14" t="n">
        <x:v>7</x:v>
      </x:c>
      <x:c r="J1035" s="14" t="n">
        <x:v>1</x:v>
      </x:c>
      <x:c r="K1035" s="14" t="n">
        <x:v>6</x:v>
      </x:c>
      <x:c r="L1035" s="14" t="n">
        <x:v>41</x:v>
      </x:c>
      <x:c r="M1035" s="14" t="n">
        <x:v>31</x:v>
      </x:c>
      <x:c r="N1035" s="15" t="n">
        <x:f>IF(E1035=0,"해당 없음",F1035/E1035)</x:f>
        <x:v>0.04716981132075472</x:v>
      </x:c>
      <x:c r="O1035" s="15" t="n">
        <x:f>IF(E1035=0,"해당 없음",G1035/E1035)</x:f>
        <x:v>0.10377358490566038</x:v>
      </x:c>
      <x:c r="P1035" s="15" t="n">
        <x:f>IF(E1035=0,"해당 없음",H1035/E1035)</x:f>
        <x:v>0.03773584905660377</x:v>
      </x:c>
      <x:c r="Q1035" s="15" t="n">
        <x:f>IF(E1035=0,"해당 없음",I1035/E1035)</x:f>
        <x:v>0.0660377358490566</x:v>
      </x:c>
      <x:c r="R1035" s="15" t="n">
        <x:f>IF(E1035=0,"해당 없음",J1035/E1035)</x:f>
        <x:v>0.009433962264150943</x:v>
      </x:c>
      <x:c r="S1035" s="15" t="n">
        <x:f>IF(E1035=0,"해당 없음",K1035/E1035)</x:f>
        <x:v>0.05660377358490566</x:v>
      </x:c>
      <x:c r="T1035" s="15" t="n">
        <x:f>IF(E1035=0,"해당 없음",L1035/E1035)</x:f>
        <x:v>0.3867924528301887</x:v>
      </x:c>
      <x:c r="U1035" s="15" t="n">
        <x:f>IF(E1035=0,"해당 없음",M1035/E1035)</x:f>
        <x:v>0.29245283018867924</x:v>
      </x:c>
      <x:c r="V1035" s="16" t="n">
        <x:f>E1035/5</x:f>
        <x:v>21.2</x:v>
      </x:c>
    </x:row>
    <x:row r="1036" ht="22" customHeight="1">
      <x:c r="A1036" s="2" t="n">
        <x:v>516</x:v>
      </x:c>
      <x:c r="B1036" s="2" t="str">
        <x:v>RED</x:v>
      </x:c>
      <x:c r="C1036" s="2" t="str">
        <x:v>240만</x:v>
      </x:c>
      <x:c r="D1036" s="2" t="str">
        <x:v>0만</x:v>
      </x:c>
      <x:c r="E1036" s="14" t="n">
        <x:f>SUM(F1036:M1036)</x:f>
        <x:v>105</x:v>
      </x:c>
      <x:c r="F1036" s="14" t="n">
        <x:v>2</x:v>
      </x:c>
      <x:c r="G1036" s="14" t="n">
        <x:v>19</x:v>
      </x:c>
      <x:c r="H1036" s="14" t="n">
        <x:v>4</x:v>
      </x:c>
      <x:c r="I1036" s="14" t="n">
        <x:v>3</x:v>
      </x:c>
      <x:c r="J1036" s="14" t="n">
        <x:v>2</x:v>
      </x:c>
      <x:c r="K1036" s="14" t="n">
        <x:v>11</x:v>
      </x:c>
      <x:c r="L1036" s="14" t="n">
        <x:v>39</x:v>
      </x:c>
      <x:c r="M1036" s="14" t="n">
        <x:v>25</x:v>
      </x:c>
      <x:c r="N1036" s="15" t="n">
        <x:f>IF(E1036=0,"해당 없음",F1036/E1036)</x:f>
        <x:v>0.01904761904761905</x:v>
      </x:c>
      <x:c r="O1036" s="15" t="n">
        <x:f>IF(E1036=0,"해당 없음",G1036/E1036)</x:f>
        <x:v>0.18095238095238095</x:v>
      </x:c>
      <x:c r="P1036" s="15" t="n">
        <x:f>IF(E1036=0,"해당 없음",H1036/E1036)</x:f>
        <x:v>0.0380952380952381</x:v>
      </x:c>
      <x:c r="Q1036" s="15" t="n">
        <x:f>IF(E1036=0,"해당 없음",I1036/E1036)</x:f>
        <x:v>0.02857142857142857</x:v>
      </x:c>
      <x:c r="R1036" s="15" t="n">
        <x:f>IF(E1036=0,"해당 없음",J1036/E1036)</x:f>
        <x:v>0.01904761904761905</x:v>
      </x:c>
      <x:c r="S1036" s="15" t="n">
        <x:f>IF(E1036=0,"해당 없음",K1036/E1036)</x:f>
        <x:v>0.10476190476190476</x:v>
      </x:c>
      <x:c r="T1036" s="15" t="n">
        <x:f>IF(E1036=0,"해당 없음",L1036/E1036)</x:f>
        <x:v>0.37142857142857144</x:v>
      </x:c>
      <x:c r="U1036" s="15" t="n">
        <x:f>IF(E1036=0,"해당 없음",M1036/E1036)</x:f>
        <x:v>0.23809523809523808</x:v>
      </x:c>
      <x:c r="V1036" s="16" t="n">
        <x:f>E1036/5</x:f>
        <x:v>21</x:v>
      </x:c>
    </x:row>
    <x:row r="1037" ht="22" customHeight="1">
      <x:c r="A1037" s="2" t="n">
        <x:v>516</x:v>
      </x:c>
      <x:c r="B1037" s="2" t="str">
        <x:v>NAVY</x:v>
      </x:c>
      <x:c r="C1037" s="2" t="str">
        <x:v>0만</x:v>
      </x:c>
      <x:c r="D1037" s="2" t="str">
        <x:v>240만</x:v>
      </x:c>
      <x:c r="E1037" s="14" t="n">
        <x:f>SUM(F1037:M1037)</x:f>
        <x:v>103</x:v>
      </x:c>
      <x:c r="F1037" s="14" t="n">
        <x:v>14</x:v>
      </x:c>
      <x:c r="G1037" s="14" t="n">
        <x:v>14</x:v>
      </x:c>
      <x:c r="H1037" s="14" t="n">
        <x:v>12</x:v>
      </x:c>
      <x:c r="I1037" s="14" t="n">
        <x:v>11</x:v>
      </x:c>
      <x:c r="J1037" s="14" t="n">
        <x:v>9</x:v>
      </x:c>
      <x:c r="K1037" s="14" t="n">
        <x:v>16</x:v>
      </x:c>
      <x:c r="L1037" s="14" t="n">
        <x:v>15</x:v>
      </x:c>
      <x:c r="M1037" s="14" t="n">
        <x:v>12</x:v>
      </x:c>
      <x:c r="N1037" s="15" t="n">
        <x:f>IF(E1037=0,"해당 없음",F1037/E1037)</x:f>
        <x:v>0.13592233009708737</x:v>
      </x:c>
      <x:c r="O1037" s="15" t="n">
        <x:f>IF(E1037=0,"해당 없음",G1037/E1037)</x:f>
        <x:v>0.13592233009708737</x:v>
      </x:c>
      <x:c r="P1037" s="15" t="n">
        <x:f>IF(E1037=0,"해당 없음",H1037/E1037)</x:f>
        <x:v>0.11650485436893204</x:v>
      </x:c>
      <x:c r="Q1037" s="15" t="n">
        <x:f>IF(E1037=0,"해당 없음",I1037/E1037)</x:f>
        <x:v>0.10679611650485436</x:v>
      </x:c>
      <x:c r="R1037" s="15" t="n">
        <x:f>IF(E1037=0,"해당 없음",J1037/E1037)</x:f>
        <x:v>0.08737864077669903</x:v>
      </x:c>
      <x:c r="S1037" s="15" t="n">
        <x:f>IF(E1037=0,"해당 없음",K1037/E1037)</x:f>
        <x:v>0.1553398058252427</x:v>
      </x:c>
      <x:c r="T1037" s="15" t="n">
        <x:f>IF(E1037=0,"해당 없음",L1037/E1037)</x:f>
        <x:v>0.14563106796116504</x:v>
      </x:c>
      <x:c r="U1037" s="15" t="n">
        <x:f>IF(E1037=0,"해당 없음",M1037/E1037)</x:f>
        <x:v>0.11650485436893204</x:v>
      </x:c>
      <x:c r="V1037" s="16" t="n">
        <x:f>E1037/5</x:f>
        <x:v>20.6</x:v>
      </x:c>
    </x:row>
    <x:row r="1038" ht="22" customHeight="1">
      <x:c r="A1038" s="2" t="n">
        <x:v>517</x:v>
      </x:c>
      <x:c r="B1038" s="2" t="str">
        <x:v>RED</x:v>
      </x:c>
      <x:c r="C1038" s="2" t="str">
        <x:v>0만</x:v>
      </x:c>
      <x:c r="D1038" s="2" t="str">
        <x:v>240만</x:v>
      </x:c>
      <x:c r="E1038" s="14" t="n">
        <x:f>SUM(F1038:M1038)</x:f>
        <x:v>105</x:v>
      </x:c>
      <x:c r="F1038" s="14" t="n">
        <x:v>17</x:v>
      </x:c>
      <x:c r="G1038" s="14" t="n">
        <x:v>8</x:v>
      </x:c>
      <x:c r="H1038" s="14" t="n">
        <x:v>14</x:v>
      </x:c>
      <x:c r="I1038" s="14" t="n">
        <x:v>14</x:v>
      </x:c>
      <x:c r="J1038" s="14" t="n">
        <x:v>13</x:v>
      </x:c>
      <x:c r="K1038" s="14" t="n">
        <x:v>15</x:v>
      </x:c>
      <x:c r="L1038" s="14" t="n">
        <x:v>11</x:v>
      </x:c>
      <x:c r="M1038" s="14" t="n">
        <x:v>13</x:v>
      </x:c>
      <x:c r="N1038" s="15" t="n">
        <x:f>IF(E1038=0,"해당 없음",F1038/E1038)</x:f>
        <x:v>0.1619047619047619</x:v>
      </x:c>
      <x:c r="O1038" s="15" t="n">
        <x:f>IF(E1038=0,"해당 없음",G1038/E1038)</x:f>
        <x:v>0.0761904761904762</x:v>
      </x:c>
      <x:c r="P1038" s="15" t="n">
        <x:f>IF(E1038=0,"해당 없음",H1038/E1038)</x:f>
        <x:v>0.13333333333333333</x:v>
      </x:c>
      <x:c r="Q1038" s="15" t="n">
        <x:f>IF(E1038=0,"해당 없음",I1038/E1038)</x:f>
        <x:v>0.13333333333333333</x:v>
      </x:c>
      <x:c r="R1038" s="15" t="n">
        <x:f>IF(E1038=0,"해당 없음",J1038/E1038)</x:f>
        <x:v>0.12380952380952381</x:v>
      </x:c>
      <x:c r="S1038" s="15" t="n">
        <x:f>IF(E1038=0,"해당 없음",K1038/E1038)</x:f>
        <x:v>0.14285714285714285</x:v>
      </x:c>
      <x:c r="T1038" s="15" t="n">
        <x:f>IF(E1038=0,"해당 없음",L1038/E1038)</x:f>
        <x:v>0.10476190476190476</x:v>
      </x:c>
      <x:c r="U1038" s="15" t="n">
        <x:f>IF(E1038=0,"해당 없음",M1038/E1038)</x:f>
        <x:v>0.12380952380952381</x:v>
      </x:c>
      <x:c r="V1038" s="16" t="n">
        <x:f>E1038/5</x:f>
        <x:v>21</x:v>
      </x:c>
    </x:row>
    <x:row r="1039" ht="22" customHeight="1">
      <x:c r="A1039" s="2" t="n">
        <x:v>517</x:v>
      </x:c>
      <x:c r="B1039" s="2" t="str">
        <x:v>NAVY</x:v>
      </x:c>
      <x:c r="C1039" s="2" t="str">
        <x:v>240만</x:v>
      </x:c>
      <x:c r="D1039" s="2" t="str">
        <x:v>0만</x:v>
      </x:c>
      <x:c r="E1039" s="14" t="n">
        <x:f>SUM(F1039:M1039)</x:f>
        <x:v>102</x:v>
      </x:c>
      <x:c r="F1039" s="14" t="n">
        <x:v>4</x:v>
      </x:c>
      <x:c r="G1039" s="14" t="n">
        <x:v>14</x:v>
      </x:c>
      <x:c r="H1039" s="14" t="n">
        <x:v>6</x:v>
      </x:c>
      <x:c r="I1039" s="14" t="n">
        <x:v>8</x:v>
      </x:c>
      <x:c r="J1039" s="14" t="n">
        <x:v>1</x:v>
      </x:c>
      <x:c r="K1039" s="14" t="n">
        <x:v>7</x:v>
      </x:c>
      <x:c r="L1039" s="14" t="n">
        <x:v>40</x:v>
      </x:c>
      <x:c r="M1039" s="14" t="n">
        <x:v>22</x:v>
      </x:c>
      <x:c r="N1039" s="15" t="n">
        <x:f>IF(E1039=0,"해당 없음",F1039/E1039)</x:f>
        <x:v>0.0392156862745098</x:v>
      </x:c>
      <x:c r="O1039" s="15" t="n">
        <x:f>IF(E1039=0,"해당 없음",G1039/E1039)</x:f>
        <x:v>0.13725490196078433</x:v>
      </x:c>
      <x:c r="P1039" s="15" t="n">
        <x:f>IF(E1039=0,"해당 없음",H1039/E1039)</x:f>
        <x:v>0.058823529411764705</x:v>
      </x:c>
      <x:c r="Q1039" s="15" t="n">
        <x:f>IF(E1039=0,"해당 없음",I1039/E1039)</x:f>
        <x:v>0.0784313725490196</x:v>
      </x:c>
      <x:c r="R1039" s="15" t="n">
        <x:f>IF(E1039=0,"해당 없음",J1039/E1039)</x:f>
        <x:v>0.00980392156862745</x:v>
      </x:c>
      <x:c r="S1039" s="15" t="n">
        <x:f>IF(E1039=0,"해당 없음",K1039/E1039)</x:f>
        <x:v>0.06862745098039216</x:v>
      </x:c>
      <x:c r="T1039" s="15" t="n">
        <x:f>IF(E1039=0,"해당 없음",L1039/E1039)</x:f>
        <x:v>0.39215686274509803</x:v>
      </x:c>
      <x:c r="U1039" s="15" t="n">
        <x:f>IF(E1039=0,"해당 없음",M1039/E1039)</x:f>
        <x:v>0.21568627450980393</x:v>
      </x:c>
      <x:c r="V1039" s="16" t="n">
        <x:f>E1039/5</x:f>
        <x:v>20.4</x:v>
      </x:c>
    </x:row>
    <x:row r="1040" ht="22" customHeight="1">
      <x:c r="A1040" s="2" t="n">
        <x:v>518</x:v>
      </x:c>
      <x:c r="B1040" s="2" t="str">
        <x:v>RED</x:v>
      </x:c>
      <x:c r="C1040" s="2" t="str">
        <x:v>240만</x:v>
      </x:c>
      <x:c r="D1040" s="2" t="str">
        <x:v>0만</x:v>
      </x:c>
      <x:c r="E1040" s="14" t="n">
        <x:f>SUM(F1040:M1040)</x:f>
        <x:v>102</x:v>
      </x:c>
      <x:c r="F1040" s="14" t="n">
        <x:v>1</x:v>
      </x:c>
      <x:c r="G1040" s="14" t="n">
        <x:v>11</x:v>
      </x:c>
      <x:c r="H1040" s="14" t="n">
        <x:v>4</x:v>
      </x:c>
      <x:c r="I1040" s="14" t="n">
        <x:v>9</x:v>
      </x:c>
      <x:c r="J1040" s="14" t="n">
        <x:v>0</x:v>
      </x:c>
      <x:c r="K1040" s="14" t="n">
        <x:v>4</x:v>
      </x:c>
      <x:c r="L1040" s="14" t="n">
        <x:v>39</x:v>
      </x:c>
      <x:c r="M1040" s="14" t="n">
        <x:v>34</x:v>
      </x:c>
      <x:c r="N1040" s="15" t="n">
        <x:f>IF(E1040=0,"해당 없음",F1040/E1040)</x:f>
        <x:v>0.00980392156862745</x:v>
      </x:c>
      <x:c r="O1040" s="15" t="n">
        <x:f>IF(E1040=0,"해당 없음",G1040/E1040)</x:f>
        <x:v>0.10784313725490197</x:v>
      </x:c>
      <x:c r="P1040" s="15" t="n">
        <x:f>IF(E1040=0,"해당 없음",H1040/E1040)</x:f>
        <x:v>0.0392156862745098</x:v>
      </x:c>
      <x:c r="Q1040" s="15" t="n">
        <x:f>IF(E1040=0,"해당 없음",I1040/E1040)</x:f>
        <x:v>0.08823529411764706</x:v>
      </x:c>
      <x:c r="R1040" s="15" t="n">
        <x:f>IF(E1040=0,"해당 없음",J1040/E1040)</x:f>
        <x:v>0</x:v>
      </x:c>
      <x:c r="S1040" s="15" t="n">
        <x:f>IF(E1040=0,"해당 없음",K1040/E1040)</x:f>
        <x:v>0.0392156862745098</x:v>
      </x:c>
      <x:c r="T1040" s="15" t="n">
        <x:f>IF(E1040=0,"해당 없음",L1040/E1040)</x:f>
        <x:v>0.38235294117647056</x:v>
      </x:c>
      <x:c r="U1040" s="15" t="n">
        <x:f>IF(E1040=0,"해당 없음",M1040/E1040)</x:f>
        <x:v>0.3333333333333333</x:v>
      </x:c>
      <x:c r="V1040" s="16" t="n">
        <x:f>E1040/5</x:f>
        <x:v>20.4</x:v>
      </x:c>
    </x:row>
    <x:row r="1041" ht="22" customHeight="1">
      <x:c r="A1041" s="2" t="n">
        <x:v>518</x:v>
      </x:c>
      <x:c r="B1041" s="2" t="str">
        <x:v>NAVY</x:v>
      </x:c>
      <x:c r="C1041" s="2" t="str">
        <x:v>0만</x:v>
      </x:c>
      <x:c r="D1041" s="2" t="str">
        <x:v>240만</x:v>
      </x:c>
      <x:c r="E1041" s="14" t="n">
        <x:f>SUM(F1041:M1041)</x:f>
        <x:v>101</x:v>
      </x:c>
      <x:c r="F1041" s="14" t="n">
        <x:v>17</x:v>
      </x:c>
      <x:c r="G1041" s="14" t="n">
        <x:v>7</x:v>
      </x:c>
      <x:c r="H1041" s="14" t="n">
        <x:v>13</x:v>
      </x:c>
      <x:c r="I1041" s="14" t="n">
        <x:v>14</x:v>
      </x:c>
      <x:c r="J1041" s="14" t="n">
        <x:v>13</x:v>
      </x:c>
      <x:c r="K1041" s="14" t="n">
        <x:v>14</x:v>
      </x:c>
      <x:c r="L1041" s="14" t="n">
        <x:v>11</x:v>
      </x:c>
      <x:c r="M1041" s="14" t="n">
        <x:v>12</x:v>
      </x:c>
      <x:c r="N1041" s="15" t="n">
        <x:f>IF(E1041=0,"해당 없음",F1041/E1041)</x:f>
        <x:v>0.16831683168316833</x:v>
      </x:c>
      <x:c r="O1041" s="15" t="n">
        <x:f>IF(E1041=0,"해당 없음",G1041/E1041)</x:f>
        <x:v>0.06930693069306931</x:v>
      </x:c>
      <x:c r="P1041" s="15" t="n">
        <x:f>IF(E1041=0,"해당 없음",H1041/E1041)</x:f>
        <x:v>0.12871287128712872</x:v>
      </x:c>
      <x:c r="Q1041" s="15" t="n">
        <x:f>IF(E1041=0,"해당 없음",I1041/E1041)</x:f>
        <x:v>0.13861386138613863</x:v>
      </x:c>
      <x:c r="R1041" s="15" t="n">
        <x:f>IF(E1041=0,"해당 없음",J1041/E1041)</x:f>
        <x:v>0.12871287128712872</x:v>
      </x:c>
      <x:c r="S1041" s="15" t="n">
        <x:f>IF(E1041=0,"해당 없음",K1041/E1041)</x:f>
        <x:v>0.13861386138613863</x:v>
      </x:c>
      <x:c r="T1041" s="15" t="n">
        <x:f>IF(E1041=0,"해당 없음",L1041/E1041)</x:f>
        <x:v>0.10891089108910891</x:v>
      </x:c>
      <x:c r="U1041" s="15" t="n">
        <x:f>IF(E1041=0,"해당 없음",M1041/E1041)</x:f>
        <x:v>0.1188118811881188</x:v>
      </x:c>
      <x:c r="V1041" s="16" t="n">
        <x:f>E1041/5</x:f>
        <x:v>20.2</x:v>
      </x:c>
    </x:row>
    <x:row r="1042" ht="22" customHeight="1">
      <x:c r="A1042" s="2" t="n">
        <x:v>519</x:v>
      </x:c>
      <x:c r="B1042" s="2" t="str">
        <x:v>RED</x:v>
      </x:c>
      <x:c r="C1042" s="2" t="str">
        <x:v>0만</x:v>
      </x:c>
      <x:c r="D1042" s="2" t="str">
        <x:v>240만</x:v>
      </x:c>
      <x:c r="E1042" s="14" t="n">
        <x:f>SUM(F1042:M1042)</x:f>
        <x:v>105</x:v>
      </x:c>
      <x:c r="F1042" s="14" t="n">
        <x:v>13</x:v>
      </x:c>
      <x:c r="G1042" s="14" t="n">
        <x:v>11</x:v>
      </x:c>
      <x:c r="H1042" s="14" t="n">
        <x:v>18</x:v>
      </x:c>
      <x:c r="I1042" s="14" t="n">
        <x:v>10</x:v>
      </x:c>
      <x:c r="J1042" s="14" t="n">
        <x:v>22</x:v>
      </x:c>
      <x:c r="K1042" s="14" t="n">
        <x:v>9</x:v>
      </x:c>
      <x:c r="L1042" s="14" t="n">
        <x:v>12</x:v>
      </x:c>
      <x:c r="M1042" s="14" t="n">
        <x:v>10</x:v>
      </x:c>
      <x:c r="N1042" s="15" t="n">
        <x:f>IF(E1042=0,"해당 없음",F1042/E1042)</x:f>
        <x:v>0.12380952380952381</x:v>
      </x:c>
      <x:c r="O1042" s="15" t="n">
        <x:f>IF(E1042=0,"해당 없음",G1042/E1042)</x:f>
        <x:v>0.10476190476190476</x:v>
      </x:c>
      <x:c r="P1042" s="15" t="n">
        <x:f>IF(E1042=0,"해당 없음",H1042/E1042)</x:f>
        <x:v>0.17142857142857143</x:v>
      </x:c>
      <x:c r="Q1042" s="15" t="n">
        <x:f>IF(E1042=0,"해당 없음",I1042/E1042)</x:f>
        <x:v>0.09523809523809523</x:v>
      </x:c>
      <x:c r="R1042" s="15" t="n">
        <x:f>IF(E1042=0,"해당 없음",J1042/E1042)</x:f>
        <x:v>0.20952380952380953</x:v>
      </x:c>
      <x:c r="S1042" s="15" t="n">
        <x:f>IF(E1042=0,"해당 없음",K1042/E1042)</x:f>
        <x:v>0.08571428571428572</x:v>
      </x:c>
      <x:c r="T1042" s="15" t="n">
        <x:f>IF(E1042=0,"해당 없음",L1042/E1042)</x:f>
        <x:v>0.11428571428571428</x:v>
      </x:c>
      <x:c r="U1042" s="15" t="n">
        <x:f>IF(E1042=0,"해당 없음",M1042/E1042)</x:f>
        <x:v>0.09523809523809523</x:v>
      </x:c>
      <x:c r="V1042" s="16" t="n">
        <x:f>E1042/5</x:f>
        <x:v>21</x:v>
      </x:c>
    </x:row>
    <x:row r="1043" ht="22" customHeight="1">
      <x:c r="A1043" s="2" t="n">
        <x:v>519</x:v>
      </x:c>
      <x:c r="B1043" s="2" t="str">
        <x:v>NAVY</x:v>
      </x:c>
      <x:c r="C1043" s="2" t="str">
        <x:v>240만</x:v>
      </x:c>
      <x:c r="D1043" s="2" t="str">
        <x:v>0만</x:v>
      </x:c>
      <x:c r="E1043" s="14" t="n">
        <x:f>SUM(F1043:M1043)</x:f>
        <x:v>106</x:v>
      </x:c>
      <x:c r="F1043" s="14" t="n">
        <x:v>0</x:v>
      </x:c>
      <x:c r="G1043" s="14" t="n">
        <x:v>12</x:v>
      </x:c>
      <x:c r="H1043" s="14" t="n">
        <x:v>7</x:v>
      </x:c>
      <x:c r="I1043" s="14" t="n">
        <x:v>7</x:v>
      </x:c>
      <x:c r="J1043" s="14" t="n">
        <x:v>0</x:v>
      </x:c>
      <x:c r="K1043" s="14" t="n">
        <x:v>5</x:v>
      </x:c>
      <x:c r="L1043" s="14" t="n">
        <x:v>40</x:v>
      </x:c>
      <x:c r="M1043" s="14" t="n">
        <x:v>35</x:v>
      </x:c>
      <x:c r="N1043" s="15" t="n">
        <x:f>IF(E1043=0,"해당 없음",F1043/E1043)</x:f>
        <x:v>0</x:v>
      </x:c>
      <x:c r="O1043" s="15" t="n">
        <x:f>IF(E1043=0,"해당 없음",G1043/E1043)</x:f>
        <x:v>0.11320754716981132</x:v>
      </x:c>
      <x:c r="P1043" s="15" t="n">
        <x:f>IF(E1043=0,"해당 없음",H1043/E1043)</x:f>
        <x:v>0.0660377358490566</x:v>
      </x:c>
      <x:c r="Q1043" s="15" t="n">
        <x:f>IF(E1043=0,"해당 없음",I1043/E1043)</x:f>
        <x:v>0.0660377358490566</x:v>
      </x:c>
      <x:c r="R1043" s="15" t="n">
        <x:f>IF(E1043=0,"해당 없음",J1043/E1043)</x:f>
        <x:v>0</x:v>
      </x:c>
      <x:c r="S1043" s="15" t="n">
        <x:f>IF(E1043=0,"해당 없음",K1043/E1043)</x:f>
        <x:v>0.04716981132075472</x:v>
      </x:c>
      <x:c r="T1043" s="15" t="n">
        <x:f>IF(E1043=0,"해당 없음",L1043/E1043)</x:f>
        <x:v>0.37735849056603776</x:v>
      </x:c>
      <x:c r="U1043" s="15" t="n">
        <x:f>IF(E1043=0,"해당 없음",M1043/E1043)</x:f>
        <x:v>0.330188679245283</x:v>
      </x:c>
      <x:c r="V1043" s="16" t="n">
        <x:f>E1043/5</x:f>
        <x:v>21.2</x:v>
      </x:c>
    </x:row>
    <x:row r="1044" ht="22" customHeight="1">
      <x:c r="A1044" s="2" t="n">
        <x:v>520</x:v>
      </x:c>
      <x:c r="B1044" s="2" t="str">
        <x:v>RED</x:v>
      </x:c>
      <x:c r="C1044" s="2" t="str">
        <x:v>240만</x:v>
      </x:c>
      <x:c r="D1044" s="2" t="str">
        <x:v>0만</x:v>
      </x:c>
      <x:c r="E1044" s="14" t="n">
        <x:f>SUM(F1044:M1044)</x:f>
        <x:v>104</x:v>
      </x:c>
      <x:c r="F1044" s="14" t="n">
        <x:v>1</x:v>
      </x:c>
      <x:c r="G1044" s="14" t="n">
        <x:v>23</x:v>
      </x:c>
      <x:c r="H1044" s="14" t="n">
        <x:v>5</x:v>
      </x:c>
      <x:c r="I1044" s="14" t="n">
        <x:v>6</x:v>
      </x:c>
      <x:c r="J1044" s="14" t="n">
        <x:v>0</x:v>
      </x:c>
      <x:c r="K1044" s="14" t="n">
        <x:v>7</x:v>
      </x:c>
      <x:c r="L1044" s="14" t="n">
        <x:v>39</x:v>
      </x:c>
      <x:c r="M1044" s="14" t="n">
        <x:v>23</x:v>
      </x:c>
      <x:c r="N1044" s="15" t="n">
        <x:f>IF(E1044=0,"해당 없음",F1044/E1044)</x:f>
        <x:v>0.009615384615384616</x:v>
      </x:c>
      <x:c r="O1044" s="15" t="n">
        <x:f>IF(E1044=0,"해당 없음",G1044/E1044)</x:f>
        <x:v>0.22115384615384615</x:v>
      </x:c>
      <x:c r="P1044" s="15" t="n">
        <x:f>IF(E1044=0,"해당 없음",H1044/E1044)</x:f>
        <x:v>0.04807692307692308</x:v>
      </x:c>
      <x:c r="Q1044" s="15" t="n">
        <x:f>IF(E1044=0,"해당 없음",I1044/E1044)</x:f>
        <x:v>0.057692307692307696</x:v>
      </x:c>
      <x:c r="R1044" s="15" t="n">
        <x:f>IF(E1044=0,"해당 없음",J1044/E1044)</x:f>
        <x:v>0</x:v>
      </x:c>
      <x:c r="S1044" s="15" t="n">
        <x:f>IF(E1044=0,"해당 없음",K1044/E1044)</x:f>
        <x:v>0.0673076923076923</x:v>
      </x:c>
      <x:c r="T1044" s="15" t="n">
        <x:f>IF(E1044=0,"해당 없음",L1044/E1044)</x:f>
        <x:v>0.375</x:v>
      </x:c>
      <x:c r="U1044" s="15" t="n">
        <x:f>IF(E1044=0,"해당 없음",M1044/E1044)</x:f>
        <x:v>0.22115384615384615</x:v>
      </x:c>
      <x:c r="V1044" s="16" t="n">
        <x:f>E1044/5</x:f>
        <x:v>20.8</x:v>
      </x:c>
    </x:row>
    <x:row r="1045" ht="22" customHeight="1">
      <x:c r="A1045" s="2" t="n">
        <x:v>520</x:v>
      </x:c>
      <x:c r="B1045" s="2" t="str">
        <x:v>NAVY</x:v>
      </x:c>
      <x:c r="C1045" s="2" t="str">
        <x:v>0만</x:v>
      </x:c>
      <x:c r="D1045" s="2" t="str">
        <x:v>240만</x:v>
      </x:c>
      <x:c r="E1045" s="14" t="n">
        <x:f>SUM(F1045:M1045)</x:f>
        <x:v>104</x:v>
      </x:c>
      <x:c r="F1045" s="14" t="n">
        <x:v>12</x:v>
      </x:c>
      <x:c r="G1045" s="14" t="n">
        <x:v>12</x:v>
      </x:c>
      <x:c r="H1045" s="14" t="n">
        <x:v>17</x:v>
      </x:c>
      <x:c r="I1045" s="14" t="n">
        <x:v>10</x:v>
      </x:c>
      <x:c r="J1045" s="14" t="n">
        <x:v>22</x:v>
      </x:c>
      <x:c r="K1045" s="14" t="n">
        <x:v>9</x:v>
      </x:c>
      <x:c r="L1045" s="14" t="n">
        <x:v>12</x:v>
      </x:c>
      <x:c r="M1045" s="14" t="n">
        <x:v>10</x:v>
      </x:c>
      <x:c r="N1045" s="15" t="n">
        <x:f>IF(E1045=0,"해당 없음",F1045/E1045)</x:f>
        <x:v>0.11538461538461539</x:v>
      </x:c>
      <x:c r="O1045" s="15" t="n">
        <x:f>IF(E1045=0,"해당 없음",G1045/E1045)</x:f>
        <x:v>0.11538461538461539</x:v>
      </x:c>
      <x:c r="P1045" s="15" t="n">
        <x:f>IF(E1045=0,"해당 없음",H1045/E1045)</x:f>
        <x:v>0.16346153846153846</x:v>
      </x:c>
      <x:c r="Q1045" s="15" t="n">
        <x:f>IF(E1045=0,"해당 없음",I1045/E1045)</x:f>
        <x:v>0.09615384615384616</x:v>
      </x:c>
      <x:c r="R1045" s="15" t="n">
        <x:f>IF(E1045=0,"해당 없음",J1045/E1045)</x:f>
        <x:v>0.21153846153846154</x:v>
      </x:c>
      <x:c r="S1045" s="15" t="n">
        <x:f>IF(E1045=0,"해당 없음",K1045/E1045)</x:f>
        <x:v>0.08653846153846154</x:v>
      </x:c>
      <x:c r="T1045" s="15" t="n">
        <x:f>IF(E1045=0,"해당 없음",L1045/E1045)</x:f>
        <x:v>0.11538461538461539</x:v>
      </x:c>
      <x:c r="U1045" s="15" t="n">
        <x:f>IF(E1045=0,"해당 없음",M1045/E1045)</x:f>
        <x:v>0.09615384615384616</x:v>
      </x:c>
      <x:c r="V1045" s="16" t="n">
        <x:f>E1045/5</x:f>
        <x:v>20.8</x:v>
      </x:c>
    </x:row>
    <x:row r="1046" ht="22" customHeight="1">
      <x:c r="A1046" s="2" t="n">
        <x:v>521</x:v>
      </x:c>
      <x:c r="B1046" s="2" t="str">
        <x:v>RED</x:v>
      </x:c>
      <x:c r="C1046" s="2" t="str">
        <x:v>40만</x:v>
      </x:c>
      <x:c r="D1046" s="2" t="str">
        <x:v>80만</x:v>
      </x:c>
      <x:c r="E1046" s="14" t="n">
        <x:f>SUM(F1046:M1046)</x:f>
        <x:v>104</x:v>
      </x:c>
      <x:c r="F1046" s="14" t="n">
        <x:v>3</x:v>
      </x:c>
      <x:c r="G1046" s="14" t="n">
        <x:v>31</x:v>
      </x:c>
      <x:c r="H1046" s="14" t="n">
        <x:v>7</x:v>
      </x:c>
      <x:c r="I1046" s="14" t="n">
        <x:v>4</x:v>
      </x:c>
      <x:c r="J1046" s="14" t="n">
        <x:v>5</x:v>
      </x:c>
      <x:c r="K1046" s="14" t="n">
        <x:v>10</x:v>
      </x:c>
      <x:c r="L1046" s="14" t="n">
        <x:v>38</x:v>
      </x:c>
      <x:c r="M1046" s="14" t="n">
        <x:v>6</x:v>
      </x:c>
      <x:c r="N1046" s="15" t="n">
        <x:f>IF(E1046=0,"해당 없음",F1046/E1046)</x:f>
        <x:v>0.028846153846153848</x:v>
      </x:c>
      <x:c r="O1046" s="15" t="n">
        <x:f>IF(E1046=0,"해당 없음",G1046/E1046)</x:f>
        <x:v>0.2980769230769231</x:v>
      </x:c>
      <x:c r="P1046" s="15" t="n">
        <x:f>IF(E1046=0,"해당 없음",H1046/E1046)</x:f>
        <x:v>0.0673076923076923</x:v>
      </x:c>
      <x:c r="Q1046" s="15" t="n">
        <x:f>IF(E1046=0,"해당 없음",I1046/E1046)</x:f>
        <x:v>0.038461538461538464</x:v>
      </x:c>
      <x:c r="R1046" s="15" t="n">
        <x:f>IF(E1046=0,"해당 없음",J1046/E1046)</x:f>
        <x:v>0.04807692307692308</x:v>
      </x:c>
      <x:c r="S1046" s="15" t="n">
        <x:f>IF(E1046=0,"해당 없음",K1046/E1046)</x:f>
        <x:v>0.09615384615384616</x:v>
      </x:c>
      <x:c r="T1046" s="15" t="n">
        <x:f>IF(E1046=0,"해당 없음",L1046/E1046)</x:f>
        <x:v>0.36538461538461536</x:v>
      </x:c>
      <x:c r="U1046" s="15" t="n">
        <x:f>IF(E1046=0,"해당 없음",M1046/E1046)</x:f>
        <x:v>0.057692307692307696</x:v>
      </x:c>
      <x:c r="V1046" s="16" t="n">
        <x:f>E1046/5</x:f>
        <x:v>20.8</x:v>
      </x:c>
    </x:row>
    <x:row r="1047" ht="22" customHeight="1">
      <x:c r="A1047" s="2" t="n">
        <x:v>521</x:v>
      </x:c>
      <x:c r="B1047" s="2" t="str">
        <x:v>NAVY</x:v>
      </x:c>
      <x:c r="C1047" s="2" t="str">
        <x:v>80만</x:v>
      </x:c>
      <x:c r="D1047" s="2" t="str">
        <x:v>40만</x:v>
      </x:c>
      <x:c r="E1047" s="14" t="n">
        <x:f>SUM(F1047:M1047)</x:f>
        <x:v>103</x:v>
      </x:c>
      <x:c r="F1047" s="14" t="n">
        <x:v>2</x:v>
      </x:c>
      <x:c r="G1047" s="14" t="n">
        <x:v>16</x:v>
      </x:c>
      <x:c r="H1047" s="14" t="n">
        <x:v>7</x:v>
      </x:c>
      <x:c r="I1047" s="14" t="n">
        <x:v>3</x:v>
      </x:c>
      <x:c r="J1047" s="14" t="n">
        <x:v>7</x:v>
      </x:c>
      <x:c r="K1047" s="14" t="n">
        <x:v>11</x:v>
      </x:c>
      <x:c r="L1047" s="14" t="n">
        <x:v>35</x:v>
      </x:c>
      <x:c r="M1047" s="14" t="n">
        <x:v>22</x:v>
      </x:c>
      <x:c r="N1047" s="15" t="n">
        <x:f>IF(E1047=0,"해당 없음",F1047/E1047)</x:f>
        <x:v>0.019417475728155338</x:v>
      </x:c>
      <x:c r="O1047" s="15" t="n">
        <x:f>IF(E1047=0,"해당 없음",G1047/E1047)</x:f>
        <x:v>0.1553398058252427</x:v>
      </x:c>
      <x:c r="P1047" s="15" t="n">
        <x:f>IF(E1047=0,"해당 없음",H1047/E1047)</x:f>
        <x:v>0.06796116504854369</x:v>
      </x:c>
      <x:c r="Q1047" s="15" t="n">
        <x:f>IF(E1047=0,"해당 없음",I1047/E1047)</x:f>
        <x:v>0.02912621359223301</x:v>
      </x:c>
      <x:c r="R1047" s="15" t="n">
        <x:f>IF(E1047=0,"해당 없음",J1047/E1047)</x:f>
        <x:v>0.06796116504854369</x:v>
      </x:c>
      <x:c r="S1047" s="15" t="n">
        <x:f>IF(E1047=0,"해당 없음",K1047/E1047)</x:f>
        <x:v>0.10679611650485436</x:v>
      </x:c>
      <x:c r="T1047" s="15" t="n">
        <x:f>IF(E1047=0,"해당 없음",L1047/E1047)</x:f>
        <x:v>0.33980582524271846</x:v>
      </x:c>
      <x:c r="U1047" s="15" t="n">
        <x:f>IF(E1047=0,"해당 없음",M1047/E1047)</x:f>
        <x:v>0.21359223300970873</x:v>
      </x:c>
      <x:c r="V1047" s="16" t="n">
        <x:f>E1047/5</x:f>
        <x:v>20.6</x:v>
      </x:c>
    </x:row>
    <x:row r="1048" ht="22" customHeight="1">
      <x:c r="A1048" s="2" t="n">
        <x:v>522</x:v>
      </x:c>
      <x:c r="B1048" s="2" t="str">
        <x:v>RED</x:v>
      </x:c>
      <x:c r="C1048" s="2" t="str">
        <x:v>80만</x:v>
      </x:c>
      <x:c r="D1048" s="2" t="str">
        <x:v>40만</x:v>
      </x:c>
      <x:c r="E1048" s="14" t="n">
        <x:f>SUM(F1048:M1048)</x:f>
        <x:v>103</x:v>
      </x:c>
      <x:c r="F1048" s="14" t="n">
        <x:v>3</x:v>
      </x:c>
      <x:c r="G1048" s="14" t="n">
        <x:v>19</x:v>
      </x:c>
      <x:c r="H1048" s="14" t="n">
        <x:v>7</x:v>
      </x:c>
      <x:c r="I1048" s="14" t="n">
        <x:v>5</x:v>
      </x:c>
      <x:c r="J1048" s="14" t="n">
        <x:v>4</x:v>
      </x:c>
      <x:c r="K1048" s="14" t="n">
        <x:v>5</x:v>
      </x:c>
      <x:c r="L1048" s="14" t="n">
        <x:v>40</x:v>
      </x:c>
      <x:c r="M1048" s="14" t="n">
        <x:v>20</x:v>
      </x:c>
      <x:c r="N1048" s="15" t="n">
        <x:f>IF(E1048=0,"해당 없음",F1048/E1048)</x:f>
        <x:v>0.02912621359223301</x:v>
      </x:c>
      <x:c r="O1048" s="15" t="n">
        <x:f>IF(E1048=0,"해당 없음",G1048/E1048)</x:f>
        <x:v>0.18446601941747573</x:v>
      </x:c>
      <x:c r="P1048" s="15" t="n">
        <x:f>IF(E1048=0,"해당 없음",H1048/E1048)</x:f>
        <x:v>0.06796116504854369</x:v>
      </x:c>
      <x:c r="Q1048" s="15" t="n">
        <x:f>IF(E1048=0,"해당 없음",I1048/E1048)</x:f>
        <x:v>0.04854368932038835</x:v>
      </x:c>
      <x:c r="R1048" s="15" t="n">
        <x:f>IF(E1048=0,"해당 없음",J1048/E1048)</x:f>
        <x:v>0.038834951456310676</x:v>
      </x:c>
      <x:c r="S1048" s="15" t="n">
        <x:f>IF(E1048=0,"해당 없음",K1048/E1048)</x:f>
        <x:v>0.04854368932038835</x:v>
      </x:c>
      <x:c r="T1048" s="15" t="n">
        <x:f>IF(E1048=0,"해당 없음",L1048/E1048)</x:f>
        <x:v>0.3883495145631068</x:v>
      </x:c>
      <x:c r="U1048" s="15" t="n">
        <x:f>IF(E1048=0,"해당 없음",M1048/E1048)</x:f>
        <x:v>0.1941747572815534</x:v>
      </x:c>
      <x:c r="V1048" s="16" t="n">
        <x:f>E1048/5</x:f>
        <x:v>20.6</x:v>
      </x:c>
    </x:row>
    <x:row r="1049" ht="22" customHeight="1">
      <x:c r="A1049" s="2" t="n">
        <x:v>522</x:v>
      </x:c>
      <x:c r="B1049" s="2" t="str">
        <x:v>NAVY</x:v>
      </x:c>
      <x:c r="C1049" s="2" t="str">
        <x:v>40만</x:v>
      </x:c>
      <x:c r="D1049" s="2" t="str">
        <x:v>80만</x:v>
      </x:c>
      <x:c r="E1049" s="14" t="n">
        <x:f>SUM(F1049:M1049)</x:f>
        <x:v>103</x:v>
      </x:c>
      <x:c r="F1049" s="14" t="n">
        <x:v>3</x:v>
      </x:c>
      <x:c r="G1049" s="14" t="n">
        <x:v>29</x:v>
      </x:c>
      <x:c r="H1049" s="14" t="n">
        <x:v>6</x:v>
      </x:c>
      <x:c r="I1049" s="14" t="n">
        <x:v>4</x:v>
      </x:c>
      <x:c r="J1049" s="14" t="n">
        <x:v>7</x:v>
      </x:c>
      <x:c r="K1049" s="14" t="n">
        <x:v>7</x:v>
      </x:c>
      <x:c r="L1049" s="14" t="n">
        <x:v>40</x:v>
      </x:c>
      <x:c r="M1049" s="14" t="n">
        <x:v>7</x:v>
      </x:c>
      <x:c r="N1049" s="15" t="n">
        <x:f>IF(E1049=0,"해당 없음",F1049/E1049)</x:f>
        <x:v>0.02912621359223301</x:v>
      </x:c>
      <x:c r="O1049" s="15" t="n">
        <x:f>IF(E1049=0,"해당 없음",G1049/E1049)</x:f>
        <x:v>0.2815533980582524</x:v>
      </x:c>
      <x:c r="P1049" s="15" t="n">
        <x:f>IF(E1049=0,"해당 없음",H1049/E1049)</x:f>
        <x:v>0.05825242718446602</x:v>
      </x:c>
      <x:c r="Q1049" s="15" t="n">
        <x:f>IF(E1049=0,"해당 없음",I1049/E1049)</x:f>
        <x:v>0.038834951456310676</x:v>
      </x:c>
      <x:c r="R1049" s="15" t="n">
        <x:f>IF(E1049=0,"해당 없음",J1049/E1049)</x:f>
        <x:v>0.06796116504854369</x:v>
      </x:c>
      <x:c r="S1049" s="15" t="n">
        <x:f>IF(E1049=0,"해당 없음",K1049/E1049)</x:f>
        <x:v>0.06796116504854369</x:v>
      </x:c>
      <x:c r="T1049" s="15" t="n">
        <x:f>IF(E1049=0,"해당 없음",L1049/E1049)</x:f>
        <x:v>0.3883495145631068</x:v>
      </x:c>
      <x:c r="U1049" s="15" t="n">
        <x:f>IF(E1049=0,"해당 없음",M1049/E1049)</x:f>
        <x:v>0.06796116504854369</x:v>
      </x:c>
      <x:c r="V1049" s="16" t="n">
        <x:f>E1049/5</x:f>
        <x:v>20.6</x:v>
      </x:c>
    </x:row>
    <x:row r="1050" ht="22" customHeight="1">
      <x:c r="A1050" s="2" t="n">
        <x:v>523</x:v>
      </x:c>
      <x:c r="B1050" s="2" t="str">
        <x:v>RED</x:v>
      </x:c>
      <x:c r="C1050" s="2" t="str">
        <x:v>40만</x:v>
      </x:c>
      <x:c r="D1050" s="2" t="str">
        <x:v>80만</x:v>
      </x:c>
      <x:c r="E1050" s="14" t="n">
        <x:f>SUM(F1050:M1050)</x:f>
        <x:v>106</x:v>
      </x:c>
      <x:c r="F1050" s="14" t="n">
        <x:v>3</x:v>
      </x:c>
      <x:c r="G1050" s="14" t="n">
        <x:v>29</x:v>
      </x:c>
      <x:c r="H1050" s="14" t="n">
        <x:v>7</x:v>
      </x:c>
      <x:c r="I1050" s="14" t="n">
        <x:v>6</x:v>
      </x:c>
      <x:c r="J1050" s="14" t="n">
        <x:v>5</x:v>
      </x:c>
      <x:c r="K1050" s="14" t="n">
        <x:v>14</x:v>
      </x:c>
      <x:c r="L1050" s="14" t="n">
        <x:v>35</x:v>
      </x:c>
      <x:c r="M1050" s="14" t="n">
        <x:v>7</x:v>
      </x:c>
      <x:c r="N1050" s="15" t="n">
        <x:f>IF(E1050=0,"해당 없음",F1050/E1050)</x:f>
        <x:v>0.02830188679245283</x:v>
      </x:c>
      <x:c r="O1050" s="15" t="n">
        <x:f>IF(E1050=0,"해당 없음",G1050/E1050)</x:f>
        <x:v>0.27358490566037735</x:v>
      </x:c>
      <x:c r="P1050" s="15" t="n">
        <x:f>IF(E1050=0,"해당 없음",H1050/E1050)</x:f>
        <x:v>0.0660377358490566</x:v>
      </x:c>
      <x:c r="Q1050" s="15" t="n">
        <x:f>IF(E1050=0,"해당 없음",I1050/E1050)</x:f>
        <x:v>0.05660377358490566</x:v>
      </x:c>
      <x:c r="R1050" s="15" t="n">
        <x:f>IF(E1050=0,"해당 없음",J1050/E1050)</x:f>
        <x:v>0.04716981132075472</x:v>
      </x:c>
      <x:c r="S1050" s="15" t="n">
        <x:f>IF(E1050=0,"해당 없음",K1050/E1050)</x:f>
        <x:v>0.1320754716981132</x:v>
      </x:c>
      <x:c r="T1050" s="15" t="n">
        <x:f>IF(E1050=0,"해당 없음",L1050/E1050)</x:f>
        <x:v>0.330188679245283</x:v>
      </x:c>
      <x:c r="U1050" s="15" t="n">
        <x:f>IF(E1050=0,"해당 없음",M1050/E1050)</x:f>
        <x:v>0.0660377358490566</x:v>
      </x:c>
      <x:c r="V1050" s="16" t="n">
        <x:f>E1050/5</x:f>
        <x:v>21.2</x:v>
      </x:c>
    </x:row>
    <x:row r="1051" ht="22" customHeight="1">
      <x:c r="A1051" s="2" t="n">
        <x:v>523</x:v>
      </x:c>
      <x:c r="B1051" s="2" t="str">
        <x:v>NAVY</x:v>
      </x:c>
      <x:c r="C1051" s="2" t="str">
        <x:v>80만</x:v>
      </x:c>
      <x:c r="D1051" s="2" t="str">
        <x:v>40만</x:v>
      </x:c>
      <x:c r="E1051" s="14" t="n">
        <x:f>SUM(F1051:M1051)</x:f>
        <x:v>105</x:v>
      </x:c>
      <x:c r="F1051" s="14" t="n">
        <x:v>2</x:v>
      </x:c>
      <x:c r="G1051" s="14" t="n">
        <x:v>18</x:v>
      </x:c>
      <x:c r="H1051" s="14" t="n">
        <x:v>5</x:v>
      </x:c>
      <x:c r="I1051" s="14" t="n">
        <x:v>8</x:v>
      </x:c>
      <x:c r="J1051" s="14" t="n">
        <x:v>4</x:v>
      </x:c>
      <x:c r="K1051" s="14" t="n">
        <x:v>9</x:v>
      </x:c>
      <x:c r="L1051" s="14" t="n">
        <x:v>40</x:v>
      </x:c>
      <x:c r="M1051" s="14" t="n">
        <x:v>19</x:v>
      </x:c>
      <x:c r="N1051" s="15" t="n">
        <x:f>IF(E1051=0,"해당 없음",F1051/E1051)</x:f>
        <x:v>0.01904761904761905</x:v>
      </x:c>
      <x:c r="O1051" s="15" t="n">
        <x:f>IF(E1051=0,"해당 없음",G1051/E1051)</x:f>
        <x:v>0.17142857142857143</x:v>
      </x:c>
      <x:c r="P1051" s="15" t="n">
        <x:f>IF(E1051=0,"해당 없음",H1051/E1051)</x:f>
        <x:v>0.047619047619047616</x:v>
      </x:c>
      <x:c r="Q1051" s="15" t="n">
        <x:f>IF(E1051=0,"해당 없음",I1051/E1051)</x:f>
        <x:v>0.0761904761904762</x:v>
      </x:c>
      <x:c r="R1051" s="15" t="n">
        <x:f>IF(E1051=0,"해당 없음",J1051/E1051)</x:f>
        <x:v>0.0380952380952381</x:v>
      </x:c>
      <x:c r="S1051" s="15" t="n">
        <x:f>IF(E1051=0,"해당 없음",K1051/E1051)</x:f>
        <x:v>0.08571428571428572</x:v>
      </x:c>
      <x:c r="T1051" s="15" t="n">
        <x:f>IF(E1051=0,"해당 없음",L1051/E1051)</x:f>
        <x:v>0.38095238095238093</x:v>
      </x:c>
      <x:c r="U1051" s="15" t="n">
        <x:f>IF(E1051=0,"해당 없음",M1051/E1051)</x:f>
        <x:v>0.18095238095238095</x:v>
      </x:c>
      <x:c r="V1051" s="16" t="n">
        <x:f>E1051/5</x:f>
        <x:v>21</x:v>
      </x:c>
    </x:row>
    <x:row r="1052" ht="22" customHeight="1">
      <x:c r="A1052" s="2" t="n">
        <x:v>524</x:v>
      </x:c>
      <x:c r="B1052" s="2" t="str">
        <x:v>RED</x:v>
      </x:c>
      <x:c r="C1052" s="2" t="str">
        <x:v>80만</x:v>
      </x:c>
      <x:c r="D1052" s="2" t="str">
        <x:v>40만</x:v>
      </x:c>
      <x:c r="E1052" s="14" t="n">
        <x:f>SUM(F1052:M1052)</x:f>
        <x:v>103</x:v>
      </x:c>
      <x:c r="F1052" s="14" t="n">
        <x:v>3</x:v>
      </x:c>
      <x:c r="G1052" s="14" t="n">
        <x:v>14</x:v>
      </x:c>
      <x:c r="H1052" s="14" t="n">
        <x:v>9</x:v>
      </x:c>
      <x:c r="I1052" s="14" t="n">
        <x:v>4</x:v>
      </x:c>
      <x:c r="J1052" s="14" t="n">
        <x:v>7</x:v>
      </x:c>
      <x:c r="K1052" s="14" t="n">
        <x:v>9</x:v>
      </x:c>
      <x:c r="L1052" s="14" t="n">
        <x:v>36</x:v>
      </x:c>
      <x:c r="M1052" s="14" t="n">
        <x:v>21</x:v>
      </x:c>
      <x:c r="N1052" s="15" t="n">
        <x:f>IF(E1052=0,"해당 없음",F1052/E1052)</x:f>
        <x:v>0.02912621359223301</x:v>
      </x:c>
      <x:c r="O1052" s="15" t="n">
        <x:f>IF(E1052=0,"해당 없음",G1052/E1052)</x:f>
        <x:v>0.13592233009708737</x:v>
      </x:c>
      <x:c r="P1052" s="15" t="n">
        <x:f>IF(E1052=0,"해당 없음",H1052/E1052)</x:f>
        <x:v>0.08737864077669903</x:v>
      </x:c>
      <x:c r="Q1052" s="15" t="n">
        <x:f>IF(E1052=0,"해당 없음",I1052/E1052)</x:f>
        <x:v>0.038834951456310676</x:v>
      </x:c>
      <x:c r="R1052" s="15" t="n">
        <x:f>IF(E1052=0,"해당 없음",J1052/E1052)</x:f>
        <x:v>0.06796116504854369</x:v>
      </x:c>
      <x:c r="S1052" s="15" t="n">
        <x:f>IF(E1052=0,"해당 없음",K1052/E1052)</x:f>
        <x:v>0.08737864077669903</x:v>
      </x:c>
      <x:c r="T1052" s="15" t="n">
        <x:f>IF(E1052=0,"해당 없음",L1052/E1052)</x:f>
        <x:v>0.34951456310679613</x:v>
      </x:c>
      <x:c r="U1052" s="15" t="n">
        <x:f>IF(E1052=0,"해당 없음",M1052/E1052)</x:f>
        <x:v>0.20388349514563106</x:v>
      </x:c>
      <x:c r="V1052" s="16" t="n">
        <x:f>E1052/5</x:f>
        <x:v>20.6</x:v>
      </x:c>
    </x:row>
    <x:row r="1053" ht="22" customHeight="1">
      <x:c r="A1053" s="2" t="n">
        <x:v>524</x:v>
      </x:c>
      <x:c r="B1053" s="2" t="str">
        <x:v>NAVY</x:v>
      </x:c>
      <x:c r="C1053" s="2" t="str">
        <x:v>40만</x:v>
      </x:c>
      <x:c r="D1053" s="2" t="str">
        <x:v>80만</x:v>
      </x:c>
      <x:c r="E1053" s="14" t="n">
        <x:f>SUM(F1053:M1053)</x:f>
        <x:v>102</x:v>
      </x:c>
      <x:c r="F1053" s="14" t="n">
        <x:v>5</x:v>
      </x:c>
      <x:c r="G1053" s="14" t="n">
        <x:v>34</x:v>
      </x:c>
      <x:c r="H1053" s="14" t="n">
        <x:v>4</x:v>
      </x:c>
      <x:c r="I1053" s="14" t="n">
        <x:v>5</x:v>
      </x:c>
      <x:c r="J1053" s="14" t="n">
        <x:v>5</x:v>
      </x:c>
      <x:c r="K1053" s="14" t="n">
        <x:v>5</x:v>
      </x:c>
      <x:c r="L1053" s="14" t="n">
        <x:v>39</x:v>
      </x:c>
      <x:c r="M1053" s="14" t="n">
        <x:v>5</x:v>
      </x:c>
      <x:c r="N1053" s="15" t="n">
        <x:f>IF(E1053=0,"해당 없음",F1053/E1053)</x:f>
        <x:v>0.049019607843137254</x:v>
      </x:c>
      <x:c r="O1053" s="15" t="n">
        <x:f>IF(E1053=0,"해당 없음",G1053/E1053)</x:f>
        <x:v>0.3333333333333333</x:v>
      </x:c>
      <x:c r="P1053" s="15" t="n">
        <x:f>IF(E1053=0,"해당 없음",H1053/E1053)</x:f>
        <x:v>0.0392156862745098</x:v>
      </x:c>
      <x:c r="Q1053" s="15" t="n">
        <x:f>IF(E1053=0,"해당 없음",I1053/E1053)</x:f>
        <x:v>0.049019607843137254</x:v>
      </x:c>
      <x:c r="R1053" s="15" t="n">
        <x:f>IF(E1053=0,"해당 없음",J1053/E1053)</x:f>
        <x:v>0.049019607843137254</x:v>
      </x:c>
      <x:c r="S1053" s="15" t="n">
        <x:f>IF(E1053=0,"해당 없음",K1053/E1053)</x:f>
        <x:v>0.049019607843137254</x:v>
      </x:c>
      <x:c r="T1053" s="15" t="n">
        <x:f>IF(E1053=0,"해당 없음",L1053/E1053)</x:f>
        <x:v>0.38235294117647056</x:v>
      </x:c>
      <x:c r="U1053" s="15" t="n">
        <x:f>IF(E1053=0,"해당 없음",M1053/E1053)</x:f>
        <x:v>0.049019607843137254</x:v>
      </x:c>
      <x:c r="V1053" s="16" t="n">
        <x:f>E1053/5</x:f>
        <x:v>20.4</x:v>
      </x:c>
    </x:row>
    <x:row r="1054" ht="22" customHeight="1">
      <x:c r="A1054" s="2" t="n">
        <x:v>525</x:v>
      </x:c>
      <x:c r="B1054" s="2" t="str">
        <x:v>RED</x:v>
      </x:c>
      <x:c r="C1054" s="2" t="str">
        <x:v>40만</x:v>
      </x:c>
      <x:c r="D1054" s="2" t="str">
        <x:v>80만</x:v>
      </x:c>
      <x:c r="E1054" s="14" t="n">
        <x:f>SUM(F1054:M1054)</x:f>
        <x:v>102</x:v>
      </x:c>
      <x:c r="F1054" s="14" t="n">
        <x:v>4</x:v>
      </x:c>
      <x:c r="G1054" s="14" t="n">
        <x:v>30</x:v>
      </x:c>
      <x:c r="H1054" s="14" t="n">
        <x:v>7</x:v>
      </x:c>
      <x:c r="I1054" s="14" t="n">
        <x:v>5</x:v>
      </x:c>
      <x:c r="J1054" s="14" t="n">
        <x:v>7</x:v>
      </x:c>
      <x:c r="K1054" s="14" t="n">
        <x:v>6</x:v>
      </x:c>
      <x:c r="L1054" s="14" t="n">
        <x:v>37</x:v>
      </x:c>
      <x:c r="M1054" s="14" t="n">
        <x:v>6</x:v>
      </x:c>
      <x:c r="N1054" s="15" t="n">
        <x:f>IF(E1054=0,"해당 없음",F1054/E1054)</x:f>
        <x:v>0.0392156862745098</x:v>
      </x:c>
      <x:c r="O1054" s="15" t="n">
        <x:f>IF(E1054=0,"해당 없음",G1054/E1054)</x:f>
        <x:v>0.29411764705882354</x:v>
      </x:c>
      <x:c r="P1054" s="15" t="n">
        <x:f>IF(E1054=0,"해당 없음",H1054/E1054)</x:f>
        <x:v>0.06862745098039216</x:v>
      </x:c>
      <x:c r="Q1054" s="15" t="n">
        <x:f>IF(E1054=0,"해당 없음",I1054/E1054)</x:f>
        <x:v>0.049019607843137254</x:v>
      </x:c>
      <x:c r="R1054" s="15" t="n">
        <x:f>IF(E1054=0,"해당 없음",J1054/E1054)</x:f>
        <x:v>0.06862745098039216</x:v>
      </x:c>
      <x:c r="S1054" s="15" t="n">
        <x:f>IF(E1054=0,"해당 없음",K1054/E1054)</x:f>
        <x:v>0.058823529411764705</x:v>
      </x:c>
      <x:c r="T1054" s="15" t="n">
        <x:f>IF(E1054=0,"해당 없음",L1054/E1054)</x:f>
        <x:v>0.3627450980392157</x:v>
      </x:c>
      <x:c r="U1054" s="15" t="n">
        <x:f>IF(E1054=0,"해당 없음",M1054/E1054)</x:f>
        <x:v>0.058823529411764705</x:v>
      </x:c>
      <x:c r="V1054" s="16" t="n">
        <x:f>E1054/5</x:f>
        <x:v>20.4</x:v>
      </x:c>
    </x:row>
    <x:row r="1055" ht="22" customHeight="1">
      <x:c r="A1055" s="2" t="n">
        <x:v>525</x:v>
      </x:c>
      <x:c r="B1055" s="2" t="str">
        <x:v>NAVY</x:v>
      </x:c>
      <x:c r="C1055" s="2" t="str">
        <x:v>80만</x:v>
      </x:c>
      <x:c r="D1055" s="2" t="str">
        <x:v>40만</x:v>
      </x:c>
      <x:c r="E1055" s="14" t="n">
        <x:f>SUM(F1055:M1055)</x:f>
        <x:v>101</x:v>
      </x:c>
      <x:c r="F1055" s="14" t="n">
        <x:v>3</x:v>
      </x:c>
      <x:c r="G1055" s="14" t="n">
        <x:v>26</x:v>
      </x:c>
      <x:c r="H1055" s="14" t="n">
        <x:v>4</x:v>
      </x:c>
      <x:c r="I1055" s="14" t="n">
        <x:v>4</x:v>
      </x:c>
      <x:c r="J1055" s="14" t="n">
        <x:v>5</x:v>
      </x:c>
      <x:c r="K1055" s="14" t="n">
        <x:v>8</x:v>
      </x:c>
      <x:c r="L1055" s="14" t="n">
        <x:v>36</x:v>
      </x:c>
      <x:c r="M1055" s="14" t="n">
        <x:v>15</x:v>
      </x:c>
      <x:c r="N1055" s="15" t="n">
        <x:f>IF(E1055=0,"해당 없음",F1055/E1055)</x:f>
        <x:v>0.0297029702970297</x:v>
      </x:c>
      <x:c r="O1055" s="15" t="n">
        <x:f>IF(E1055=0,"해당 없음",G1055/E1055)</x:f>
        <x:v>0.25742574257425743</x:v>
      </x:c>
      <x:c r="P1055" s="15" t="n">
        <x:f>IF(E1055=0,"해당 없음",H1055/E1055)</x:f>
        <x:v>0.039603960396039604</x:v>
      </x:c>
      <x:c r="Q1055" s="15" t="n">
        <x:f>IF(E1055=0,"해당 없음",I1055/E1055)</x:f>
        <x:v>0.039603960396039604</x:v>
      </x:c>
      <x:c r="R1055" s="15" t="n">
        <x:f>IF(E1055=0,"해당 없음",J1055/E1055)</x:f>
        <x:v>0.04950495049504951</x:v>
      </x:c>
      <x:c r="S1055" s="15" t="n">
        <x:f>IF(E1055=0,"해당 없음",K1055/E1055)</x:f>
        <x:v>0.07920792079207921</x:v>
      </x:c>
      <x:c r="T1055" s="15" t="n">
        <x:f>IF(E1055=0,"해당 없음",L1055/E1055)</x:f>
        <x:v>0.3564356435643564</x:v>
      </x:c>
      <x:c r="U1055" s="15" t="n">
        <x:f>IF(E1055=0,"해당 없음",M1055/E1055)</x:f>
        <x:v>0.1485148514851485</x:v>
      </x:c>
      <x:c r="V1055" s="16" t="n">
        <x:f>E1055/5</x:f>
        <x:v>20.2</x:v>
      </x:c>
    </x:row>
    <x:row r="1056" ht="22" customHeight="1">
      <x:c r="A1056" s="2" t="n">
        <x:v>526</x:v>
      </x:c>
      <x:c r="B1056" s="2" t="str">
        <x:v>RED</x:v>
      </x:c>
      <x:c r="C1056" s="2" t="str">
        <x:v>80만</x:v>
      </x:c>
      <x:c r="D1056" s="2" t="str">
        <x:v>40만</x:v>
      </x:c>
      <x:c r="E1056" s="14" t="n">
        <x:f>SUM(F1056:M1056)</x:f>
        <x:v>105</x:v>
      </x:c>
      <x:c r="F1056" s="14" t="n">
        <x:v>6</x:v>
      </x:c>
      <x:c r="G1056" s="14" t="n">
        <x:v>23</x:v>
      </x:c>
      <x:c r="H1056" s="14" t="n">
        <x:v>12</x:v>
      </x:c>
      <x:c r="I1056" s="14" t="n">
        <x:v>7</x:v>
      </x:c>
      <x:c r="J1056" s="14" t="n">
        <x:v>5</x:v>
      </x:c>
      <x:c r="K1056" s="14" t="n">
        <x:v>7</x:v>
      </x:c>
      <x:c r="L1056" s="14" t="n">
        <x:v>35</x:v>
      </x:c>
      <x:c r="M1056" s="14" t="n">
        <x:v>10</x:v>
      </x:c>
      <x:c r="N1056" s="15" t="n">
        <x:f>IF(E1056=0,"해당 없음",F1056/E1056)</x:f>
        <x:v>0.05714285714285714</x:v>
      </x:c>
      <x:c r="O1056" s="15" t="n">
        <x:f>IF(E1056=0,"해당 없음",G1056/E1056)</x:f>
        <x:v>0.21904761904761905</x:v>
      </x:c>
      <x:c r="P1056" s="15" t="n">
        <x:f>IF(E1056=0,"해당 없음",H1056/E1056)</x:f>
        <x:v>0.11428571428571428</x:v>
      </x:c>
      <x:c r="Q1056" s="15" t="n">
        <x:f>IF(E1056=0,"해당 없음",I1056/E1056)</x:f>
        <x:v>0.06666666666666667</x:v>
      </x:c>
      <x:c r="R1056" s="15" t="n">
        <x:f>IF(E1056=0,"해당 없음",J1056/E1056)</x:f>
        <x:v>0.047619047619047616</x:v>
      </x:c>
      <x:c r="S1056" s="15" t="n">
        <x:f>IF(E1056=0,"해당 없음",K1056/E1056)</x:f>
        <x:v>0.06666666666666667</x:v>
      </x:c>
      <x:c r="T1056" s="15" t="n">
        <x:f>IF(E1056=0,"해당 없음",L1056/E1056)</x:f>
        <x:v>0.3333333333333333</x:v>
      </x:c>
      <x:c r="U1056" s="15" t="n">
        <x:f>IF(E1056=0,"해당 없음",M1056/E1056)</x:f>
        <x:v>0.09523809523809523</x:v>
      </x:c>
      <x:c r="V1056" s="16" t="n">
        <x:f>E1056/5</x:f>
        <x:v>21</x:v>
      </x:c>
    </x:row>
    <x:row r="1057" ht="22" customHeight="1">
      <x:c r="A1057" s="2" t="n">
        <x:v>526</x:v>
      </x:c>
      <x:c r="B1057" s="2" t="str">
        <x:v>NAVY</x:v>
      </x:c>
      <x:c r="C1057" s="2" t="str">
        <x:v>40만</x:v>
      </x:c>
      <x:c r="D1057" s="2" t="str">
        <x:v>80만</x:v>
      </x:c>
      <x:c r="E1057" s="14" t="n">
        <x:f>SUM(F1057:M1057)</x:f>
        <x:v>106</x:v>
      </x:c>
      <x:c r="F1057" s="14" t="n">
        <x:v>6</x:v>
      </x:c>
      <x:c r="G1057" s="14" t="n">
        <x:v>29</x:v>
      </x:c>
      <x:c r="H1057" s="14" t="n">
        <x:v>5</x:v>
      </x:c>
      <x:c r="I1057" s="14" t="n">
        <x:v>5</x:v>
      </x:c>
      <x:c r="J1057" s="14" t="n">
        <x:v>9</x:v>
      </x:c>
      <x:c r="K1057" s="14" t="n">
        <x:v>4</x:v>
      </x:c>
      <x:c r="L1057" s="14" t="n">
        <x:v>48</x:v>
      </x:c>
      <x:c r="M1057" s="14" t="n">
        <x:v>0</x:v>
      </x:c>
      <x:c r="N1057" s="15" t="n">
        <x:f>IF(E1057=0,"해당 없음",F1057/E1057)</x:f>
        <x:v>0.05660377358490566</x:v>
      </x:c>
      <x:c r="O1057" s="15" t="n">
        <x:f>IF(E1057=0,"해당 없음",G1057/E1057)</x:f>
        <x:v>0.27358490566037735</x:v>
      </x:c>
      <x:c r="P1057" s="15" t="n">
        <x:f>IF(E1057=0,"해당 없음",H1057/E1057)</x:f>
        <x:v>0.04716981132075472</x:v>
      </x:c>
      <x:c r="Q1057" s="15" t="n">
        <x:f>IF(E1057=0,"해당 없음",I1057/E1057)</x:f>
        <x:v>0.04716981132075472</x:v>
      </x:c>
      <x:c r="R1057" s="15" t="n">
        <x:f>IF(E1057=0,"해당 없음",J1057/E1057)</x:f>
        <x:v>0.08490566037735849</x:v>
      </x:c>
      <x:c r="S1057" s="15" t="n">
        <x:f>IF(E1057=0,"해당 없음",K1057/E1057)</x:f>
        <x:v>0.03773584905660377</x:v>
      </x:c>
      <x:c r="T1057" s="15" t="n">
        <x:f>IF(E1057=0,"해당 없음",L1057/E1057)</x:f>
        <x:v>0.4528301886792453</x:v>
      </x:c>
      <x:c r="U1057" s="15" t="n">
        <x:f>IF(E1057=0,"해당 없음",M1057/E1057)</x:f>
        <x:v>0</x:v>
      </x:c>
      <x:c r="V1057" s="16" t="n">
        <x:f>E1057/5</x:f>
        <x:v>21.2</x:v>
      </x:c>
    </x:row>
    <x:row r="1058" ht="22" customHeight="1">
      <x:c r="A1058" s="2" t="n">
        <x:v>527</x:v>
      </x:c>
      <x:c r="B1058" s="2" t="str">
        <x:v>RED</x:v>
      </x:c>
      <x:c r="C1058" s="2" t="str">
        <x:v>40만</x:v>
      </x:c>
      <x:c r="D1058" s="2" t="str">
        <x:v>80만</x:v>
      </x:c>
      <x:c r="E1058" s="14" t="n">
        <x:f>SUM(F1058:M1058)</x:f>
        <x:v>102</x:v>
      </x:c>
      <x:c r="F1058" s="14" t="n">
        <x:v>4</x:v>
      </x:c>
      <x:c r="G1058" s="14" t="n">
        <x:v>29</x:v>
      </x:c>
      <x:c r="H1058" s="14" t="n">
        <x:v>5</x:v>
      </x:c>
      <x:c r="I1058" s="14" t="n">
        <x:v>7</x:v>
      </x:c>
      <x:c r="J1058" s="14" t="n">
        <x:v>7</x:v>
      </x:c>
      <x:c r="K1058" s="14" t="n">
        <x:v>7</x:v>
      </x:c>
      <x:c r="L1058" s="14" t="n">
        <x:v>39</x:v>
      </x:c>
      <x:c r="M1058" s="14" t="n">
        <x:v>4</x:v>
      </x:c>
      <x:c r="N1058" s="15" t="n">
        <x:f>IF(E1058=0,"해당 없음",F1058/E1058)</x:f>
        <x:v>0.0392156862745098</x:v>
      </x:c>
      <x:c r="O1058" s="15" t="n">
        <x:f>IF(E1058=0,"해당 없음",G1058/E1058)</x:f>
        <x:v>0.28431372549019607</x:v>
      </x:c>
      <x:c r="P1058" s="15" t="n">
        <x:f>IF(E1058=0,"해당 없음",H1058/E1058)</x:f>
        <x:v>0.049019607843137254</x:v>
      </x:c>
      <x:c r="Q1058" s="15" t="n">
        <x:f>IF(E1058=0,"해당 없음",I1058/E1058)</x:f>
        <x:v>0.06862745098039216</x:v>
      </x:c>
      <x:c r="R1058" s="15" t="n">
        <x:f>IF(E1058=0,"해당 없음",J1058/E1058)</x:f>
        <x:v>0.06862745098039216</x:v>
      </x:c>
      <x:c r="S1058" s="15" t="n">
        <x:f>IF(E1058=0,"해당 없음",K1058/E1058)</x:f>
        <x:v>0.06862745098039216</x:v>
      </x:c>
      <x:c r="T1058" s="15" t="n">
        <x:f>IF(E1058=0,"해당 없음",L1058/E1058)</x:f>
        <x:v>0.38235294117647056</x:v>
      </x:c>
      <x:c r="U1058" s="15" t="n">
        <x:f>IF(E1058=0,"해당 없음",M1058/E1058)</x:f>
        <x:v>0.0392156862745098</x:v>
      </x:c>
      <x:c r="V1058" s="16" t="n">
        <x:f>E1058/5</x:f>
        <x:v>20.4</x:v>
      </x:c>
    </x:row>
    <x:row r="1059" ht="22" customHeight="1">
      <x:c r="A1059" s="2" t="n">
        <x:v>527</x:v>
      </x:c>
      <x:c r="B1059" s="2" t="str">
        <x:v>NAVY</x:v>
      </x:c>
      <x:c r="C1059" s="2" t="str">
        <x:v>80만</x:v>
      </x:c>
      <x:c r="D1059" s="2" t="str">
        <x:v>40만</x:v>
      </x:c>
      <x:c r="E1059" s="14" t="n">
        <x:f>SUM(F1059:M1059)</x:f>
        <x:v>103</x:v>
      </x:c>
      <x:c r="F1059" s="14" t="n">
        <x:v>7</x:v>
      </x:c>
      <x:c r="G1059" s="14" t="n">
        <x:v>27</x:v>
      </x:c>
      <x:c r="H1059" s="14" t="n">
        <x:v>10</x:v>
      </x:c>
      <x:c r="I1059" s="14" t="n">
        <x:v>2</x:v>
      </x:c>
      <x:c r="J1059" s="14" t="n">
        <x:v>3</x:v>
      </x:c>
      <x:c r="K1059" s="14" t="n">
        <x:v>8</x:v>
      </x:c>
      <x:c r="L1059" s="14" t="n">
        <x:v>34</x:v>
      </x:c>
      <x:c r="M1059" s="14" t="n">
        <x:v>12</x:v>
      </x:c>
      <x:c r="N1059" s="15" t="n">
        <x:f>IF(E1059=0,"해당 없음",F1059/E1059)</x:f>
        <x:v>0.06796116504854369</x:v>
      </x:c>
      <x:c r="O1059" s="15" t="n">
        <x:f>IF(E1059=0,"해당 없음",G1059/E1059)</x:f>
        <x:v>0.2621359223300971</x:v>
      </x:c>
      <x:c r="P1059" s="15" t="n">
        <x:f>IF(E1059=0,"해당 없음",H1059/E1059)</x:f>
        <x:v>0.0970873786407767</x:v>
      </x:c>
      <x:c r="Q1059" s="15" t="n">
        <x:f>IF(E1059=0,"해당 없음",I1059/E1059)</x:f>
        <x:v>0.019417475728155338</x:v>
      </x:c>
      <x:c r="R1059" s="15" t="n">
        <x:f>IF(E1059=0,"해당 없음",J1059/E1059)</x:f>
        <x:v>0.02912621359223301</x:v>
      </x:c>
      <x:c r="S1059" s="15" t="n">
        <x:f>IF(E1059=0,"해당 없음",K1059/E1059)</x:f>
        <x:v>0.07766990291262135</x:v>
      </x:c>
      <x:c r="T1059" s="15" t="n">
        <x:f>IF(E1059=0,"해당 없음",L1059/E1059)</x:f>
        <x:v>0.3300970873786408</x:v>
      </x:c>
      <x:c r="U1059" s="15" t="n">
        <x:f>IF(E1059=0,"해당 없음",M1059/E1059)</x:f>
        <x:v>0.11650485436893204</x:v>
      </x:c>
      <x:c r="V1059" s="16" t="n">
        <x:f>E1059/5</x:f>
        <x:v>20.6</x:v>
      </x:c>
    </x:row>
    <x:row r="1060" ht="22" customHeight="1">
      <x:c r="A1060" s="2" t="n">
        <x:v>528</x:v>
      </x:c>
      <x:c r="B1060" s="2" t="str">
        <x:v>RED</x:v>
      </x:c>
      <x:c r="C1060" s="2" t="str">
        <x:v>80만</x:v>
      </x:c>
      <x:c r="D1060" s="2" t="str">
        <x:v>40만</x:v>
      </x:c>
      <x:c r="E1060" s="14" t="n">
        <x:f>SUM(F1060:M1060)</x:f>
        <x:v>103</x:v>
      </x:c>
      <x:c r="F1060" s="14" t="n">
        <x:v>6</x:v>
      </x:c>
      <x:c r="G1060" s="14" t="n">
        <x:v>16</x:v>
      </x:c>
      <x:c r="H1060" s="14" t="n">
        <x:v>9</x:v>
      </x:c>
      <x:c r="I1060" s="14" t="n">
        <x:v>8</x:v>
      </x:c>
      <x:c r="J1060" s="14" t="n">
        <x:v>2</x:v>
      </x:c>
      <x:c r="K1060" s="14" t="n">
        <x:v>10</x:v>
      </x:c>
      <x:c r="L1060" s="14" t="n">
        <x:v>35</x:v>
      </x:c>
      <x:c r="M1060" s="14" t="n">
        <x:v>17</x:v>
      </x:c>
      <x:c r="N1060" s="15" t="n">
        <x:f>IF(E1060=0,"해당 없음",F1060/E1060)</x:f>
        <x:v>0.05825242718446602</x:v>
      </x:c>
      <x:c r="O1060" s="15" t="n">
        <x:f>IF(E1060=0,"해당 없음",G1060/E1060)</x:f>
        <x:v>0.1553398058252427</x:v>
      </x:c>
      <x:c r="P1060" s="15" t="n">
        <x:f>IF(E1060=0,"해당 없음",H1060/E1060)</x:f>
        <x:v>0.08737864077669903</x:v>
      </x:c>
      <x:c r="Q1060" s="15" t="n">
        <x:f>IF(E1060=0,"해당 없음",I1060/E1060)</x:f>
        <x:v>0.07766990291262135</x:v>
      </x:c>
      <x:c r="R1060" s="15" t="n">
        <x:f>IF(E1060=0,"해당 없음",J1060/E1060)</x:f>
        <x:v>0.019417475728155338</x:v>
      </x:c>
      <x:c r="S1060" s="15" t="n">
        <x:f>IF(E1060=0,"해당 없음",K1060/E1060)</x:f>
        <x:v>0.0970873786407767</x:v>
      </x:c>
      <x:c r="T1060" s="15" t="n">
        <x:f>IF(E1060=0,"해당 없음",L1060/E1060)</x:f>
        <x:v>0.33980582524271846</x:v>
      </x:c>
      <x:c r="U1060" s="15" t="n">
        <x:f>IF(E1060=0,"해당 없음",M1060/E1060)</x:f>
        <x:v>0.1650485436893204</x:v>
      </x:c>
      <x:c r="V1060" s="16" t="n">
        <x:f>E1060/5</x:f>
        <x:v>20.6</x:v>
      </x:c>
    </x:row>
    <x:row r="1061" ht="22" customHeight="1">
      <x:c r="A1061" s="2" t="n">
        <x:v>528</x:v>
      </x:c>
      <x:c r="B1061" s="2" t="str">
        <x:v>NAVY</x:v>
      </x:c>
      <x:c r="C1061" s="2" t="str">
        <x:v>40만</x:v>
      </x:c>
      <x:c r="D1061" s="2" t="str">
        <x:v>80만</x:v>
      </x:c>
      <x:c r="E1061" s="14" t="n">
        <x:f>SUM(F1061:M1061)</x:f>
        <x:v>104</x:v>
      </x:c>
      <x:c r="F1061" s="14" t="n">
        <x:v>4</x:v>
      </x:c>
      <x:c r="G1061" s="14" t="n">
        <x:v>33</x:v>
      </x:c>
      <x:c r="H1061" s="14" t="n">
        <x:v>6</x:v>
      </x:c>
      <x:c r="I1061" s="14" t="n">
        <x:v>6</x:v>
      </x:c>
      <x:c r="J1061" s="14" t="n">
        <x:v>5</x:v>
      </x:c>
      <x:c r="K1061" s="14" t="n">
        <x:v>6</x:v>
      </x:c>
      <x:c r="L1061" s="14" t="n">
        <x:v>38</x:v>
      </x:c>
      <x:c r="M1061" s="14" t="n">
        <x:v>6</x:v>
      </x:c>
      <x:c r="N1061" s="15" t="n">
        <x:f>IF(E1061=0,"해당 없음",F1061/E1061)</x:f>
        <x:v>0.038461538461538464</x:v>
      </x:c>
      <x:c r="O1061" s="15" t="n">
        <x:f>IF(E1061=0,"해당 없음",G1061/E1061)</x:f>
        <x:v>0.3173076923076923</x:v>
      </x:c>
      <x:c r="P1061" s="15" t="n">
        <x:f>IF(E1061=0,"해당 없음",H1061/E1061)</x:f>
        <x:v>0.057692307692307696</x:v>
      </x:c>
      <x:c r="Q1061" s="15" t="n">
        <x:f>IF(E1061=0,"해당 없음",I1061/E1061)</x:f>
        <x:v>0.057692307692307696</x:v>
      </x:c>
      <x:c r="R1061" s="15" t="n">
        <x:f>IF(E1061=0,"해당 없음",J1061/E1061)</x:f>
        <x:v>0.04807692307692308</x:v>
      </x:c>
      <x:c r="S1061" s="15" t="n">
        <x:f>IF(E1061=0,"해당 없음",K1061/E1061)</x:f>
        <x:v>0.057692307692307696</x:v>
      </x:c>
      <x:c r="T1061" s="15" t="n">
        <x:f>IF(E1061=0,"해당 없음",L1061/E1061)</x:f>
        <x:v>0.36538461538461536</x:v>
      </x:c>
      <x:c r="U1061" s="15" t="n">
        <x:f>IF(E1061=0,"해당 없음",M1061/E1061)</x:f>
        <x:v>0.057692307692307696</x:v>
      </x:c>
      <x:c r="V1061" s="16" t="n">
        <x:f>E1061/5</x:f>
        <x:v>20.8</x:v>
      </x:c>
    </x:row>
    <x:row r="1062" ht="22" customHeight="1">
      <x:c r="A1062" s="2" t="n">
        <x:v>529</x:v>
      </x:c>
      <x:c r="B1062" s="2" t="str">
        <x:v>RED</x:v>
      </x:c>
      <x:c r="C1062" s="2" t="str">
        <x:v>40만</x:v>
      </x:c>
      <x:c r="D1062" s="2" t="str">
        <x:v>80만</x:v>
      </x:c>
      <x:c r="E1062" s="14" t="n">
        <x:f>SUM(F1062:M1062)</x:f>
        <x:v>103</x:v>
      </x:c>
      <x:c r="F1062" s="14" t="n">
        <x:v>8</x:v>
      </x:c>
      <x:c r="G1062" s="14" t="n">
        <x:v>25</x:v>
      </x:c>
      <x:c r="H1062" s="14" t="n">
        <x:v>5</x:v>
      </x:c>
      <x:c r="I1062" s="14" t="n">
        <x:v>6</x:v>
      </x:c>
      <x:c r="J1062" s="14" t="n">
        <x:v>7</x:v>
      </x:c>
      <x:c r="K1062" s="14" t="n">
        <x:v>13</x:v>
      </x:c>
      <x:c r="L1062" s="14" t="n">
        <x:v>34</x:v>
      </x:c>
      <x:c r="M1062" s="14" t="n">
        <x:v>5</x:v>
      </x:c>
      <x:c r="N1062" s="15" t="n">
        <x:f>IF(E1062=0,"해당 없음",F1062/E1062)</x:f>
        <x:v>0.07766990291262135</x:v>
      </x:c>
      <x:c r="O1062" s="15" t="n">
        <x:f>IF(E1062=0,"해당 없음",G1062/E1062)</x:f>
        <x:v>0.24271844660194175</x:v>
      </x:c>
      <x:c r="P1062" s="15" t="n">
        <x:f>IF(E1062=0,"해당 없음",H1062/E1062)</x:f>
        <x:v>0.04854368932038835</x:v>
      </x:c>
      <x:c r="Q1062" s="15" t="n">
        <x:f>IF(E1062=0,"해당 없음",I1062/E1062)</x:f>
        <x:v>0.05825242718446602</x:v>
      </x:c>
      <x:c r="R1062" s="15" t="n">
        <x:f>IF(E1062=0,"해당 없음",J1062/E1062)</x:f>
        <x:v>0.06796116504854369</x:v>
      </x:c>
      <x:c r="S1062" s="15" t="n">
        <x:f>IF(E1062=0,"해당 없음",K1062/E1062)</x:f>
        <x:v>0.1262135922330097</x:v>
      </x:c>
      <x:c r="T1062" s="15" t="n">
        <x:f>IF(E1062=0,"해당 없음",L1062/E1062)</x:f>
        <x:v>0.3300970873786408</x:v>
      </x:c>
      <x:c r="U1062" s="15" t="n">
        <x:f>IF(E1062=0,"해당 없음",M1062/E1062)</x:f>
        <x:v>0.04854368932038835</x:v>
      </x:c>
      <x:c r="V1062" s="16" t="n">
        <x:f>E1062/5</x:f>
        <x:v>20.6</x:v>
      </x:c>
    </x:row>
    <x:row r="1063" ht="22" customHeight="1">
      <x:c r="A1063" s="2" t="n">
        <x:v>529</x:v>
      </x:c>
      <x:c r="B1063" s="2" t="str">
        <x:v>NAVY</x:v>
      </x:c>
      <x:c r="C1063" s="2" t="str">
        <x:v>80만</x:v>
      </x:c>
      <x:c r="D1063" s="2" t="str">
        <x:v>40만</x:v>
      </x:c>
      <x:c r="E1063" s="14" t="n">
        <x:f>SUM(F1063:M1063)</x:f>
        <x:v>103</x:v>
      </x:c>
      <x:c r="F1063" s="14" t="n">
        <x:v>5</x:v>
      </x:c>
      <x:c r="G1063" s="14" t="n">
        <x:v>17</x:v>
      </x:c>
      <x:c r="H1063" s="14" t="n">
        <x:v>9</x:v>
      </x:c>
      <x:c r="I1063" s="14" t="n">
        <x:v>3</x:v>
      </x:c>
      <x:c r="J1063" s="14" t="n">
        <x:v>3</x:v>
      </x:c>
      <x:c r="K1063" s="14" t="n">
        <x:v>2</x:v>
      </x:c>
      <x:c r="L1063" s="14" t="n">
        <x:v>33</x:v>
      </x:c>
      <x:c r="M1063" s="14" t="n">
        <x:v>31</x:v>
      </x:c>
      <x:c r="N1063" s="15" t="n">
        <x:f>IF(E1063=0,"해당 없음",F1063/E1063)</x:f>
        <x:v>0.04854368932038835</x:v>
      </x:c>
      <x:c r="O1063" s="15" t="n">
        <x:f>IF(E1063=0,"해당 없음",G1063/E1063)</x:f>
        <x:v>0.1650485436893204</x:v>
      </x:c>
      <x:c r="P1063" s="15" t="n">
        <x:f>IF(E1063=0,"해당 없음",H1063/E1063)</x:f>
        <x:v>0.08737864077669903</x:v>
      </x:c>
      <x:c r="Q1063" s="15" t="n">
        <x:f>IF(E1063=0,"해당 없음",I1063/E1063)</x:f>
        <x:v>0.02912621359223301</x:v>
      </x:c>
      <x:c r="R1063" s="15" t="n">
        <x:f>IF(E1063=0,"해당 없음",J1063/E1063)</x:f>
        <x:v>0.02912621359223301</x:v>
      </x:c>
      <x:c r="S1063" s="15" t="n">
        <x:f>IF(E1063=0,"해당 없음",K1063/E1063)</x:f>
        <x:v>0.019417475728155338</x:v>
      </x:c>
      <x:c r="T1063" s="15" t="n">
        <x:f>IF(E1063=0,"해당 없음",L1063/E1063)</x:f>
        <x:v>0.32038834951456313</x:v>
      </x:c>
      <x:c r="U1063" s="15" t="n">
        <x:f>IF(E1063=0,"해당 없음",M1063/E1063)</x:f>
        <x:v>0.30097087378640774</x:v>
      </x:c>
      <x:c r="V1063" s="16" t="n">
        <x:f>E1063/5</x:f>
        <x:v>20.6</x:v>
      </x:c>
    </x:row>
    <x:row r="1064" ht="22" customHeight="1">
      <x:c r="A1064" s="2" t="n">
        <x:v>530</x:v>
      </x:c>
      <x:c r="B1064" s="2" t="str">
        <x:v>RED</x:v>
      </x:c>
      <x:c r="C1064" s="2" t="str">
        <x:v>80만</x:v>
      </x:c>
      <x:c r="D1064" s="2" t="str">
        <x:v>40만</x:v>
      </x:c>
      <x:c r="E1064" s="14" t="n">
        <x:f>SUM(F1064:M1064)</x:f>
        <x:v>105</x:v>
      </x:c>
      <x:c r="F1064" s="14" t="n">
        <x:v>3</x:v>
      </x:c>
      <x:c r="G1064" s="14" t="n">
        <x:v>19</x:v>
      </x:c>
      <x:c r="H1064" s="14" t="n">
        <x:v>7</x:v>
      </x:c>
      <x:c r="I1064" s="14" t="n">
        <x:v>11</x:v>
      </x:c>
      <x:c r="J1064" s="14" t="n">
        <x:v>2</x:v>
      </x:c>
      <x:c r="K1064" s="14" t="n">
        <x:v>8</x:v>
      </x:c>
      <x:c r="L1064" s="14" t="n">
        <x:v>40</x:v>
      </x:c>
      <x:c r="M1064" s="14" t="n">
        <x:v>15</x:v>
      </x:c>
      <x:c r="N1064" s="15" t="n">
        <x:f>IF(E1064=0,"해당 없음",F1064/E1064)</x:f>
        <x:v>0.02857142857142857</x:v>
      </x:c>
      <x:c r="O1064" s="15" t="n">
        <x:f>IF(E1064=0,"해당 없음",G1064/E1064)</x:f>
        <x:v>0.18095238095238095</x:v>
      </x:c>
      <x:c r="P1064" s="15" t="n">
        <x:f>IF(E1064=0,"해당 없음",H1064/E1064)</x:f>
        <x:v>0.06666666666666667</x:v>
      </x:c>
      <x:c r="Q1064" s="15" t="n">
        <x:f>IF(E1064=0,"해당 없음",I1064/E1064)</x:f>
        <x:v>0.10476190476190476</x:v>
      </x:c>
      <x:c r="R1064" s="15" t="n">
        <x:f>IF(E1064=0,"해당 없음",J1064/E1064)</x:f>
        <x:v>0.01904761904761905</x:v>
      </x:c>
      <x:c r="S1064" s="15" t="n">
        <x:f>IF(E1064=0,"해당 없음",K1064/E1064)</x:f>
        <x:v>0.0761904761904762</x:v>
      </x:c>
      <x:c r="T1064" s="15" t="n">
        <x:f>IF(E1064=0,"해당 없음",L1064/E1064)</x:f>
        <x:v>0.38095238095238093</x:v>
      </x:c>
      <x:c r="U1064" s="15" t="n">
        <x:f>IF(E1064=0,"해당 없음",M1064/E1064)</x:f>
        <x:v>0.14285714285714285</x:v>
      </x:c>
      <x:c r="V1064" s="16" t="n">
        <x:f>E1064/5</x:f>
        <x:v>21</x:v>
      </x:c>
    </x:row>
    <x:row r="1065" ht="22" customHeight="1">
      <x:c r="A1065" s="2" t="n">
        <x:v>530</x:v>
      </x:c>
      <x:c r="B1065" s="2" t="str">
        <x:v>NAVY</x:v>
      </x:c>
      <x:c r="C1065" s="2" t="str">
        <x:v>40만</x:v>
      </x:c>
      <x:c r="D1065" s="2" t="str">
        <x:v>80만</x:v>
      </x:c>
      <x:c r="E1065" s="14" t="n">
        <x:f>SUM(F1065:M1065)</x:f>
        <x:v>105</x:v>
      </x:c>
      <x:c r="F1065" s="14" t="n">
        <x:v>7</x:v>
      </x:c>
      <x:c r="G1065" s="14" t="n">
        <x:v>21</x:v>
      </x:c>
      <x:c r="H1065" s="14" t="n">
        <x:v>5</x:v>
      </x:c>
      <x:c r="I1065" s="14" t="n">
        <x:v>4</x:v>
      </x:c>
      <x:c r="J1065" s="14" t="n">
        <x:v>5</x:v>
      </x:c>
      <x:c r="K1065" s="14" t="n">
        <x:v>10</x:v>
      </x:c>
      <x:c r="L1065" s="14" t="n">
        <x:v>43</x:v>
      </x:c>
      <x:c r="M1065" s="14" t="n">
        <x:v>10</x:v>
      </x:c>
      <x:c r="N1065" s="15" t="n">
        <x:f>IF(E1065=0,"해당 없음",F1065/E1065)</x:f>
        <x:v>0.06666666666666667</x:v>
      </x:c>
      <x:c r="O1065" s="15" t="n">
        <x:f>IF(E1065=0,"해당 없음",G1065/E1065)</x:f>
        <x:v>0.2</x:v>
      </x:c>
      <x:c r="P1065" s="15" t="n">
        <x:f>IF(E1065=0,"해당 없음",H1065/E1065)</x:f>
        <x:v>0.047619047619047616</x:v>
      </x:c>
      <x:c r="Q1065" s="15" t="n">
        <x:f>IF(E1065=0,"해당 없음",I1065/E1065)</x:f>
        <x:v>0.0380952380952381</x:v>
      </x:c>
      <x:c r="R1065" s="15" t="n">
        <x:f>IF(E1065=0,"해당 없음",J1065/E1065)</x:f>
        <x:v>0.047619047619047616</x:v>
      </x:c>
      <x:c r="S1065" s="15" t="n">
        <x:f>IF(E1065=0,"해당 없음",K1065/E1065)</x:f>
        <x:v>0.09523809523809523</x:v>
      </x:c>
      <x:c r="T1065" s="15" t="n">
        <x:f>IF(E1065=0,"해당 없음",L1065/E1065)</x:f>
        <x:v>0.4095238095238095</x:v>
      </x:c>
      <x:c r="U1065" s="15" t="n">
        <x:f>IF(E1065=0,"해당 없음",M1065/E1065)</x:f>
        <x:v>0.09523809523809523</x:v>
      </x:c>
      <x:c r="V1065" s="16" t="n">
        <x:f>E1065/5</x:f>
        <x:v>21</x:v>
      </x:c>
    </x:row>
    <x:row r="1066" ht="22" customHeight="1">
      <x:c r="A1066" s="2" t="n">
        <x:v>531</x:v>
      </x:c>
      <x:c r="B1066" s="2" t="str">
        <x:v>RED</x:v>
      </x:c>
      <x:c r="C1066" s="2" t="str">
        <x:v>40만</x:v>
      </x:c>
      <x:c r="D1066" s="2" t="str">
        <x:v>80만</x:v>
      </x:c>
      <x:c r="E1066" s="14" t="n">
        <x:f>SUM(F1066:M1066)</x:f>
        <x:v>105</x:v>
      </x:c>
      <x:c r="F1066" s="14" t="n">
        <x:v>4</x:v>
      </x:c>
      <x:c r="G1066" s="14" t="n">
        <x:v>26</x:v>
      </x:c>
      <x:c r="H1066" s="14" t="n">
        <x:v>9</x:v>
      </x:c>
      <x:c r="I1066" s="14" t="n">
        <x:v>8</x:v>
      </x:c>
      <x:c r="J1066" s="14" t="n">
        <x:v>4</x:v>
      </x:c>
      <x:c r="K1066" s="14" t="n">
        <x:v>13</x:v>
      </x:c>
      <x:c r="L1066" s="14" t="n">
        <x:v>36</x:v>
      </x:c>
      <x:c r="M1066" s="14" t="n">
        <x:v>5</x:v>
      </x:c>
      <x:c r="N1066" s="15" t="n">
        <x:f>IF(E1066=0,"해당 없음",F1066/E1066)</x:f>
        <x:v>0.0380952380952381</x:v>
      </x:c>
      <x:c r="O1066" s="15" t="n">
        <x:f>IF(E1066=0,"해당 없음",G1066/E1066)</x:f>
        <x:v>0.24761904761904763</x:v>
      </x:c>
      <x:c r="P1066" s="15" t="n">
        <x:f>IF(E1066=0,"해당 없음",H1066/E1066)</x:f>
        <x:v>0.08571428571428572</x:v>
      </x:c>
      <x:c r="Q1066" s="15" t="n">
        <x:f>IF(E1066=0,"해당 없음",I1066/E1066)</x:f>
        <x:v>0.0761904761904762</x:v>
      </x:c>
      <x:c r="R1066" s="15" t="n">
        <x:f>IF(E1066=0,"해당 없음",J1066/E1066)</x:f>
        <x:v>0.0380952380952381</x:v>
      </x:c>
      <x:c r="S1066" s="15" t="n">
        <x:f>IF(E1066=0,"해당 없음",K1066/E1066)</x:f>
        <x:v>0.12380952380952381</x:v>
      </x:c>
      <x:c r="T1066" s="15" t="n">
        <x:f>IF(E1066=0,"해당 없음",L1066/E1066)</x:f>
        <x:v>0.34285714285714286</x:v>
      </x:c>
      <x:c r="U1066" s="15" t="n">
        <x:f>IF(E1066=0,"해당 없음",M1066/E1066)</x:f>
        <x:v>0.047619047619047616</x:v>
      </x:c>
      <x:c r="V1066" s="16" t="n">
        <x:f>E1066/5</x:f>
        <x:v>21</x:v>
      </x:c>
    </x:row>
    <x:row r="1067" ht="22" customHeight="1">
      <x:c r="A1067" s="2" t="n">
        <x:v>531</x:v>
      </x:c>
      <x:c r="B1067" s="2" t="str">
        <x:v>NAVY</x:v>
      </x:c>
      <x:c r="C1067" s="2" t="str">
        <x:v>80만</x:v>
      </x:c>
      <x:c r="D1067" s="2" t="str">
        <x:v>40만</x:v>
      </x:c>
      <x:c r="E1067" s="14" t="n">
        <x:f>SUM(F1067:M1067)</x:f>
        <x:v>104</x:v>
      </x:c>
      <x:c r="F1067" s="14" t="n">
        <x:v>5</x:v>
      </x:c>
      <x:c r="G1067" s="14" t="n">
        <x:v>24</x:v>
      </x:c>
      <x:c r="H1067" s="14" t="n">
        <x:v>14</x:v>
      </x:c>
      <x:c r="I1067" s="14" t="n">
        <x:v>5</x:v>
      </x:c>
      <x:c r="J1067" s="14" t="n">
        <x:v>2</x:v>
      </x:c>
      <x:c r="K1067" s="14" t="n">
        <x:v>5</x:v>
      </x:c>
      <x:c r="L1067" s="14" t="n">
        <x:v>34</x:v>
      </x:c>
      <x:c r="M1067" s="14" t="n">
        <x:v>15</x:v>
      </x:c>
      <x:c r="N1067" s="15" t="n">
        <x:f>IF(E1067=0,"해당 없음",F1067/E1067)</x:f>
        <x:v>0.04807692307692308</x:v>
      </x:c>
      <x:c r="O1067" s="15" t="n">
        <x:f>IF(E1067=0,"해당 없음",G1067/E1067)</x:f>
        <x:v>0.23076923076923078</x:v>
      </x:c>
      <x:c r="P1067" s="15" t="n">
        <x:f>IF(E1067=0,"해당 없음",H1067/E1067)</x:f>
        <x:v>0.1346153846153846</x:v>
      </x:c>
      <x:c r="Q1067" s="15" t="n">
        <x:f>IF(E1067=0,"해당 없음",I1067/E1067)</x:f>
        <x:v>0.04807692307692308</x:v>
      </x:c>
      <x:c r="R1067" s="15" t="n">
        <x:f>IF(E1067=0,"해당 없음",J1067/E1067)</x:f>
        <x:v>0.019230769230769232</x:v>
      </x:c>
      <x:c r="S1067" s="15" t="n">
        <x:f>IF(E1067=0,"해당 없음",K1067/E1067)</x:f>
        <x:v>0.04807692307692308</x:v>
      </x:c>
      <x:c r="T1067" s="15" t="n">
        <x:f>IF(E1067=0,"해당 없음",L1067/E1067)</x:f>
        <x:v>0.3269230769230769</x:v>
      </x:c>
      <x:c r="U1067" s="15" t="n">
        <x:f>IF(E1067=0,"해당 없음",M1067/E1067)</x:f>
        <x:v>0.14423076923076922</x:v>
      </x:c>
      <x:c r="V1067" s="16" t="n">
        <x:f>E1067/5</x:f>
        <x:v>20.8</x:v>
      </x:c>
    </x:row>
    <x:row r="1068" ht="22" customHeight="1">
      <x:c r="A1068" s="2" t="n">
        <x:v>532</x:v>
      </x:c>
      <x:c r="B1068" s="2" t="str">
        <x:v>RED</x:v>
      </x:c>
      <x:c r="C1068" s="2" t="str">
        <x:v>80만</x:v>
      </x:c>
      <x:c r="D1068" s="2" t="str">
        <x:v>40만</x:v>
      </x:c>
      <x:c r="E1068" s="14" t="n">
        <x:f>SUM(F1068:M1068)</x:f>
        <x:v>103</x:v>
      </x:c>
      <x:c r="F1068" s="14" t="n">
        <x:v>5</x:v>
      </x:c>
      <x:c r="G1068" s="14" t="n">
        <x:v>15</x:v>
      </x:c>
      <x:c r="H1068" s="14" t="n">
        <x:v>8</x:v>
      </x:c>
      <x:c r="I1068" s="14" t="n">
        <x:v>6</x:v>
      </x:c>
      <x:c r="J1068" s="14" t="n">
        <x:v>3</x:v>
      </x:c>
      <x:c r="K1068" s="14" t="n">
        <x:v>4</x:v>
      </x:c>
      <x:c r="L1068" s="14" t="n">
        <x:v>42</x:v>
      </x:c>
      <x:c r="M1068" s="14" t="n">
        <x:v>20</x:v>
      </x:c>
      <x:c r="N1068" s="15" t="n">
        <x:f>IF(E1068=0,"해당 없음",F1068/E1068)</x:f>
        <x:v>0.04854368932038835</x:v>
      </x:c>
      <x:c r="O1068" s="15" t="n">
        <x:f>IF(E1068=0,"해당 없음",G1068/E1068)</x:f>
        <x:v>0.14563106796116504</x:v>
      </x:c>
      <x:c r="P1068" s="15" t="n">
        <x:f>IF(E1068=0,"해당 없음",H1068/E1068)</x:f>
        <x:v>0.07766990291262135</x:v>
      </x:c>
      <x:c r="Q1068" s="15" t="n">
        <x:f>IF(E1068=0,"해당 없음",I1068/E1068)</x:f>
        <x:v>0.05825242718446602</x:v>
      </x:c>
      <x:c r="R1068" s="15" t="n">
        <x:f>IF(E1068=0,"해당 없음",J1068/E1068)</x:f>
        <x:v>0.02912621359223301</x:v>
      </x:c>
      <x:c r="S1068" s="15" t="n">
        <x:f>IF(E1068=0,"해당 없음",K1068/E1068)</x:f>
        <x:v>0.038834951456310676</x:v>
      </x:c>
      <x:c r="T1068" s="15" t="n">
        <x:f>IF(E1068=0,"해당 없음",L1068/E1068)</x:f>
        <x:v>0.4077669902912621</x:v>
      </x:c>
      <x:c r="U1068" s="15" t="n">
        <x:f>IF(E1068=0,"해당 없음",M1068/E1068)</x:f>
        <x:v>0.1941747572815534</x:v>
      </x:c>
      <x:c r="V1068" s="16" t="n">
        <x:f>E1068/5</x:f>
        <x:v>20.6</x:v>
      </x:c>
    </x:row>
    <x:row r="1069" ht="22" customHeight="1">
      <x:c r="A1069" s="2" t="n">
        <x:v>532</x:v>
      </x:c>
      <x:c r="B1069" s="2" t="str">
        <x:v>NAVY</x:v>
      </x:c>
      <x:c r="C1069" s="2" t="str">
        <x:v>40만</x:v>
      </x:c>
      <x:c r="D1069" s="2" t="str">
        <x:v>80만</x:v>
      </x:c>
      <x:c r="E1069" s="14" t="n">
        <x:f>SUM(F1069:M1069)</x:f>
        <x:v>103</x:v>
      </x:c>
      <x:c r="F1069" s="14" t="n">
        <x:v>3</x:v>
      </x:c>
      <x:c r="G1069" s="14" t="n">
        <x:v>23</x:v>
      </x:c>
      <x:c r="H1069" s="14" t="n">
        <x:v>10</x:v>
      </x:c>
      <x:c r="I1069" s="14" t="n">
        <x:v>4</x:v>
      </x:c>
      <x:c r="J1069" s="14" t="n">
        <x:v>5</x:v>
      </x:c>
      <x:c r="K1069" s="14" t="n">
        <x:v>9</x:v>
      </x:c>
      <x:c r="L1069" s="14" t="n">
        <x:v>41</x:v>
      </x:c>
      <x:c r="M1069" s="14" t="n">
        <x:v>8</x:v>
      </x:c>
      <x:c r="N1069" s="15" t="n">
        <x:f>IF(E1069=0,"해당 없음",F1069/E1069)</x:f>
        <x:v>0.02912621359223301</x:v>
      </x:c>
      <x:c r="O1069" s="15" t="n">
        <x:f>IF(E1069=0,"해당 없음",G1069/E1069)</x:f>
        <x:v>0.22330097087378642</x:v>
      </x:c>
      <x:c r="P1069" s="15" t="n">
        <x:f>IF(E1069=0,"해당 없음",H1069/E1069)</x:f>
        <x:v>0.0970873786407767</x:v>
      </x:c>
      <x:c r="Q1069" s="15" t="n">
        <x:f>IF(E1069=0,"해당 없음",I1069/E1069)</x:f>
        <x:v>0.038834951456310676</x:v>
      </x:c>
      <x:c r="R1069" s="15" t="n">
        <x:f>IF(E1069=0,"해당 없음",J1069/E1069)</x:f>
        <x:v>0.04854368932038835</x:v>
      </x:c>
      <x:c r="S1069" s="15" t="n">
        <x:f>IF(E1069=0,"해당 없음",K1069/E1069)</x:f>
        <x:v>0.08737864077669903</x:v>
      </x:c>
      <x:c r="T1069" s="15" t="n">
        <x:f>IF(E1069=0,"해당 없음",L1069/E1069)</x:f>
        <x:v>0.39805825242718446</x:v>
      </x:c>
      <x:c r="U1069" s="15" t="n">
        <x:f>IF(E1069=0,"해당 없음",M1069/E1069)</x:f>
        <x:v>0.07766990291262135</x:v>
      </x:c>
      <x:c r="V1069" s="16" t="n">
        <x:f>E1069/5</x:f>
        <x:v>20.6</x:v>
      </x:c>
    </x:row>
    <x:row r="1070" ht="22" customHeight="1">
      <x:c r="A1070" s="2" t="n">
        <x:v>533</x:v>
      </x:c>
      <x:c r="B1070" s="2" t="str">
        <x:v>RED</x:v>
      </x:c>
      <x:c r="C1070" s="2" t="str">
        <x:v>40만</x:v>
      </x:c>
      <x:c r="D1070" s="2" t="str">
        <x:v>80만</x:v>
      </x:c>
      <x:c r="E1070" s="14" t="n">
        <x:f>SUM(F1070:M1070)</x:f>
        <x:v>103</x:v>
      </x:c>
      <x:c r="F1070" s="14" t="n">
        <x:v>9</x:v>
      </x:c>
      <x:c r="G1070" s="14" t="n">
        <x:v>30</x:v>
      </x:c>
      <x:c r="H1070" s="14" t="n">
        <x:v>7</x:v>
      </x:c>
      <x:c r="I1070" s="14" t="n">
        <x:v>5</x:v>
      </x:c>
      <x:c r="J1070" s="14" t="n">
        <x:v>5</x:v>
      </x:c>
      <x:c r="K1070" s="14" t="n">
        <x:v>11</x:v>
      </x:c>
      <x:c r="L1070" s="14" t="n">
        <x:v>35</x:v>
      </x:c>
      <x:c r="M1070" s="14" t="n">
        <x:v>1</x:v>
      </x:c>
      <x:c r="N1070" s="15" t="n">
        <x:f>IF(E1070=0,"해당 없음",F1070/E1070)</x:f>
        <x:v>0.08737864077669903</x:v>
      </x:c>
      <x:c r="O1070" s="15" t="n">
        <x:f>IF(E1070=0,"해당 없음",G1070/E1070)</x:f>
        <x:v>0.2912621359223301</x:v>
      </x:c>
      <x:c r="P1070" s="15" t="n">
        <x:f>IF(E1070=0,"해당 없음",H1070/E1070)</x:f>
        <x:v>0.06796116504854369</x:v>
      </x:c>
      <x:c r="Q1070" s="15" t="n">
        <x:f>IF(E1070=0,"해당 없음",I1070/E1070)</x:f>
        <x:v>0.04854368932038835</x:v>
      </x:c>
      <x:c r="R1070" s="15" t="n">
        <x:f>IF(E1070=0,"해당 없음",J1070/E1070)</x:f>
        <x:v>0.04854368932038835</x:v>
      </x:c>
      <x:c r="S1070" s="15" t="n">
        <x:f>IF(E1070=0,"해당 없음",K1070/E1070)</x:f>
        <x:v>0.10679611650485436</x:v>
      </x:c>
      <x:c r="T1070" s="15" t="n">
        <x:f>IF(E1070=0,"해당 없음",L1070/E1070)</x:f>
        <x:v>0.33980582524271846</x:v>
      </x:c>
      <x:c r="U1070" s="15" t="n">
        <x:f>IF(E1070=0,"해당 없음",M1070/E1070)</x:f>
        <x:v>0.009708737864077669</x:v>
      </x:c>
      <x:c r="V1070" s="16" t="n">
        <x:f>E1070/5</x:f>
        <x:v>20.6</x:v>
      </x:c>
    </x:row>
    <x:row r="1071" ht="22" customHeight="1">
      <x:c r="A1071" s="2" t="n">
        <x:v>533</x:v>
      </x:c>
      <x:c r="B1071" s="2" t="str">
        <x:v>NAVY</x:v>
      </x:c>
      <x:c r="C1071" s="2" t="str">
        <x:v>80만</x:v>
      </x:c>
      <x:c r="D1071" s="2" t="str">
        <x:v>40만</x:v>
      </x:c>
      <x:c r="E1071" s="14" t="n">
        <x:f>SUM(F1071:M1071)</x:f>
        <x:v>102</x:v>
      </x:c>
      <x:c r="F1071" s="14" t="n">
        <x:v>5</x:v>
      </x:c>
      <x:c r="G1071" s="14" t="n">
        <x:v>28</x:v>
      </x:c>
      <x:c r="H1071" s="14" t="n">
        <x:v>10</x:v>
      </x:c>
      <x:c r="I1071" s="14" t="n">
        <x:v>4</x:v>
      </x:c>
      <x:c r="J1071" s="14" t="n">
        <x:v>3</x:v>
      </x:c>
      <x:c r="K1071" s="14" t="n">
        <x:v>4</x:v>
      </x:c>
      <x:c r="L1071" s="14" t="n">
        <x:v>32</x:v>
      </x:c>
      <x:c r="M1071" s="14" t="n">
        <x:v>16</x:v>
      </x:c>
      <x:c r="N1071" s="15" t="n">
        <x:f>IF(E1071=0,"해당 없음",F1071/E1071)</x:f>
        <x:v>0.049019607843137254</x:v>
      </x:c>
      <x:c r="O1071" s="15" t="n">
        <x:f>IF(E1071=0,"해당 없음",G1071/E1071)</x:f>
        <x:v>0.27450980392156865</x:v>
      </x:c>
      <x:c r="P1071" s="15" t="n">
        <x:f>IF(E1071=0,"해당 없음",H1071/E1071)</x:f>
        <x:v>0.09803921568627451</x:v>
      </x:c>
      <x:c r="Q1071" s="15" t="n">
        <x:f>IF(E1071=0,"해당 없음",I1071/E1071)</x:f>
        <x:v>0.0392156862745098</x:v>
      </x:c>
      <x:c r="R1071" s="15" t="n">
        <x:f>IF(E1071=0,"해당 없음",J1071/E1071)</x:f>
        <x:v>0.029411764705882353</x:v>
      </x:c>
      <x:c r="S1071" s="15" t="n">
        <x:f>IF(E1071=0,"해당 없음",K1071/E1071)</x:f>
        <x:v>0.0392156862745098</x:v>
      </x:c>
      <x:c r="T1071" s="15" t="n">
        <x:f>IF(E1071=0,"해당 없음",L1071/E1071)</x:f>
        <x:v>0.3137254901960784</x:v>
      </x:c>
      <x:c r="U1071" s="15" t="n">
        <x:f>IF(E1071=0,"해당 없음",M1071/E1071)</x:f>
        <x:v>0.1568627450980392</x:v>
      </x:c>
      <x:c r="V1071" s="16" t="n">
        <x:f>E1071/5</x:f>
        <x:v>20.4</x:v>
      </x:c>
    </x:row>
    <x:row r="1072" ht="22" customHeight="1">
      <x:c r="A1072" s="2" t="n">
        <x:v>534</x:v>
      </x:c>
      <x:c r="B1072" s="2" t="str">
        <x:v>RED</x:v>
      </x:c>
      <x:c r="C1072" s="2" t="str">
        <x:v>80만</x:v>
      </x:c>
      <x:c r="D1072" s="2" t="str">
        <x:v>40만</x:v>
      </x:c>
      <x:c r="E1072" s="14" t="n">
        <x:f>SUM(F1072:M1072)</x:f>
        <x:v>105</x:v>
      </x:c>
      <x:c r="F1072" s="14" t="n">
        <x:v>9</x:v>
      </x:c>
      <x:c r="G1072" s="14" t="n">
        <x:v>21</x:v>
      </x:c>
      <x:c r="H1072" s="14" t="n">
        <x:v>6</x:v>
      </x:c>
      <x:c r="I1072" s="14" t="n">
        <x:v>6</x:v>
      </x:c>
      <x:c r="J1072" s="14" t="n">
        <x:v>4</x:v>
      </x:c>
      <x:c r="K1072" s="14" t="n">
        <x:v>8</x:v>
      </x:c>
      <x:c r="L1072" s="14" t="n">
        <x:v>37</x:v>
      </x:c>
      <x:c r="M1072" s="14" t="n">
        <x:v>14</x:v>
      </x:c>
      <x:c r="N1072" s="15" t="n">
        <x:f>IF(E1072=0,"해당 없음",F1072/E1072)</x:f>
        <x:v>0.08571428571428572</x:v>
      </x:c>
      <x:c r="O1072" s="15" t="n">
        <x:f>IF(E1072=0,"해당 없음",G1072/E1072)</x:f>
        <x:v>0.2</x:v>
      </x:c>
      <x:c r="P1072" s="15" t="n">
        <x:f>IF(E1072=0,"해당 없음",H1072/E1072)</x:f>
        <x:v>0.05714285714285714</x:v>
      </x:c>
      <x:c r="Q1072" s="15" t="n">
        <x:f>IF(E1072=0,"해당 없음",I1072/E1072)</x:f>
        <x:v>0.05714285714285714</x:v>
      </x:c>
      <x:c r="R1072" s="15" t="n">
        <x:f>IF(E1072=0,"해당 없음",J1072/E1072)</x:f>
        <x:v>0.0380952380952381</x:v>
      </x:c>
      <x:c r="S1072" s="15" t="n">
        <x:f>IF(E1072=0,"해당 없음",K1072/E1072)</x:f>
        <x:v>0.0761904761904762</x:v>
      </x:c>
      <x:c r="T1072" s="15" t="n">
        <x:f>IF(E1072=0,"해당 없음",L1072/E1072)</x:f>
        <x:v>0.3523809523809524</x:v>
      </x:c>
      <x:c r="U1072" s="15" t="n">
        <x:f>IF(E1072=0,"해당 없음",M1072/E1072)</x:f>
        <x:v>0.13333333333333333</x:v>
      </x:c>
      <x:c r="V1072" s="16" t="n">
        <x:f>E1072/5</x:f>
        <x:v>21</x:v>
      </x:c>
    </x:row>
    <x:row r="1073" ht="22" customHeight="1">
      <x:c r="A1073" s="2" t="n">
        <x:v>534</x:v>
      </x:c>
      <x:c r="B1073" s="2" t="str">
        <x:v>NAVY</x:v>
      </x:c>
      <x:c r="C1073" s="2" t="str">
        <x:v>40만</x:v>
      </x:c>
      <x:c r="D1073" s="2" t="str">
        <x:v>80만</x:v>
      </x:c>
      <x:c r="E1073" s="14" t="n">
        <x:f>SUM(F1073:M1073)</x:f>
        <x:v>104</x:v>
      </x:c>
      <x:c r="F1073" s="14" t="n">
        <x:v>5</x:v>
      </x:c>
      <x:c r="G1073" s="14" t="n">
        <x:v>29</x:v>
      </x:c>
      <x:c r="H1073" s="14" t="n">
        <x:v>10</x:v>
      </x:c>
      <x:c r="I1073" s="14" t="n">
        <x:v>5</x:v>
      </x:c>
      <x:c r="J1073" s="14" t="n">
        <x:v>5</x:v>
      </x:c>
      <x:c r="K1073" s="14" t="n">
        <x:v>6</x:v>
      </x:c>
      <x:c r="L1073" s="14" t="n">
        <x:v>42</x:v>
      </x:c>
      <x:c r="M1073" s="14" t="n">
        <x:v>2</x:v>
      </x:c>
      <x:c r="N1073" s="15" t="n">
        <x:f>IF(E1073=0,"해당 없음",F1073/E1073)</x:f>
        <x:v>0.04807692307692308</x:v>
      </x:c>
      <x:c r="O1073" s="15" t="n">
        <x:f>IF(E1073=0,"해당 없음",G1073/E1073)</x:f>
        <x:v>0.27884615384615385</x:v>
      </x:c>
      <x:c r="P1073" s="15" t="n">
        <x:f>IF(E1073=0,"해당 없음",H1073/E1073)</x:f>
        <x:v>0.09615384615384616</x:v>
      </x:c>
      <x:c r="Q1073" s="15" t="n">
        <x:f>IF(E1073=0,"해당 없음",I1073/E1073)</x:f>
        <x:v>0.04807692307692308</x:v>
      </x:c>
      <x:c r="R1073" s="15" t="n">
        <x:f>IF(E1073=0,"해당 없음",J1073/E1073)</x:f>
        <x:v>0.04807692307692308</x:v>
      </x:c>
      <x:c r="S1073" s="15" t="n">
        <x:f>IF(E1073=0,"해당 없음",K1073/E1073)</x:f>
        <x:v>0.057692307692307696</x:v>
      </x:c>
      <x:c r="T1073" s="15" t="n">
        <x:f>IF(E1073=0,"해당 없음",L1073/E1073)</x:f>
        <x:v>0.40384615384615385</x:v>
      </x:c>
      <x:c r="U1073" s="15" t="n">
        <x:f>IF(E1073=0,"해당 없음",M1073/E1073)</x:f>
        <x:v>0.019230769230769232</x:v>
      </x:c>
      <x:c r="V1073" s="16" t="n">
        <x:f>E1073/5</x:f>
        <x:v>20.8</x:v>
      </x:c>
    </x:row>
    <x:row r="1074" ht="22" customHeight="1">
      <x:c r="A1074" s="2" t="n">
        <x:v>535</x:v>
      </x:c>
      <x:c r="B1074" s="2" t="str">
        <x:v>RED</x:v>
      </x:c>
      <x:c r="C1074" s="2" t="str">
        <x:v>40만</x:v>
      </x:c>
      <x:c r="D1074" s="2" t="str">
        <x:v>80만</x:v>
      </x:c>
      <x:c r="E1074" s="14" t="n">
        <x:f>SUM(F1074:M1074)</x:f>
        <x:v>103</x:v>
      </x:c>
      <x:c r="F1074" s="14" t="n">
        <x:v>3</x:v>
      </x:c>
      <x:c r="G1074" s="14" t="n">
        <x:v>29</x:v>
      </x:c>
      <x:c r="H1074" s="14" t="n">
        <x:v>6</x:v>
      </x:c>
      <x:c r="I1074" s="14" t="n">
        <x:v>9</x:v>
      </x:c>
      <x:c r="J1074" s="14" t="n">
        <x:v>4</x:v>
      </x:c>
      <x:c r="K1074" s="14" t="n">
        <x:v>17</x:v>
      </x:c>
      <x:c r="L1074" s="14" t="n">
        <x:v>33</x:v>
      </x:c>
      <x:c r="M1074" s="14" t="n">
        <x:v>2</x:v>
      </x:c>
      <x:c r="N1074" s="15" t="n">
        <x:f>IF(E1074=0,"해당 없음",F1074/E1074)</x:f>
        <x:v>0.02912621359223301</x:v>
      </x:c>
      <x:c r="O1074" s="15" t="n">
        <x:f>IF(E1074=0,"해당 없음",G1074/E1074)</x:f>
        <x:v>0.2815533980582524</x:v>
      </x:c>
      <x:c r="P1074" s="15" t="n">
        <x:f>IF(E1074=0,"해당 없음",H1074/E1074)</x:f>
        <x:v>0.05825242718446602</x:v>
      </x:c>
      <x:c r="Q1074" s="15" t="n">
        <x:f>IF(E1074=0,"해당 없음",I1074/E1074)</x:f>
        <x:v>0.08737864077669903</x:v>
      </x:c>
      <x:c r="R1074" s="15" t="n">
        <x:f>IF(E1074=0,"해당 없음",J1074/E1074)</x:f>
        <x:v>0.038834951456310676</x:v>
      </x:c>
      <x:c r="S1074" s="15" t="n">
        <x:f>IF(E1074=0,"해당 없음",K1074/E1074)</x:f>
        <x:v>0.1650485436893204</x:v>
      </x:c>
      <x:c r="T1074" s="15" t="n">
        <x:f>IF(E1074=0,"해당 없음",L1074/E1074)</x:f>
        <x:v>0.32038834951456313</x:v>
      </x:c>
      <x:c r="U1074" s="15" t="n">
        <x:f>IF(E1074=0,"해당 없음",M1074/E1074)</x:f>
        <x:v>0.019417475728155338</x:v>
      </x:c>
      <x:c r="V1074" s="16" t="n">
        <x:f>E1074/5</x:f>
        <x:v>20.6</x:v>
      </x:c>
    </x:row>
    <x:row r="1075" ht="22" customHeight="1">
      <x:c r="A1075" s="2" t="n">
        <x:v>535</x:v>
      </x:c>
      <x:c r="B1075" s="2" t="str">
        <x:v>NAVY</x:v>
      </x:c>
      <x:c r="C1075" s="2" t="str">
        <x:v>80만</x:v>
      </x:c>
      <x:c r="D1075" s="2" t="str">
        <x:v>40만</x:v>
      </x:c>
      <x:c r="E1075" s="14" t="n">
        <x:f>SUM(F1075:M1075)</x:f>
        <x:v>103</x:v>
      </x:c>
      <x:c r="F1075" s="14" t="n">
        <x:v>4</x:v>
      </x:c>
      <x:c r="G1075" s="14" t="n">
        <x:v>13</x:v>
      </x:c>
      <x:c r="H1075" s="14" t="n">
        <x:v>7</x:v>
      </x:c>
      <x:c r="I1075" s="14" t="n">
        <x:v>1</x:v>
      </x:c>
      <x:c r="J1075" s="14" t="n">
        <x:v>4</x:v>
      </x:c>
      <x:c r="K1075" s="14" t="n">
        <x:v>9</x:v>
      </x:c>
      <x:c r="L1075" s="14" t="n">
        <x:v>39</x:v>
      </x:c>
      <x:c r="M1075" s="14" t="n">
        <x:v>26</x:v>
      </x:c>
      <x:c r="N1075" s="15" t="n">
        <x:f>IF(E1075=0,"해당 없음",F1075/E1075)</x:f>
        <x:v>0.038834951456310676</x:v>
      </x:c>
      <x:c r="O1075" s="15" t="n">
        <x:f>IF(E1075=0,"해당 없음",G1075/E1075)</x:f>
        <x:v>0.1262135922330097</x:v>
      </x:c>
      <x:c r="P1075" s="15" t="n">
        <x:f>IF(E1075=0,"해당 없음",H1075/E1075)</x:f>
        <x:v>0.06796116504854369</x:v>
      </x:c>
      <x:c r="Q1075" s="15" t="n">
        <x:f>IF(E1075=0,"해당 없음",I1075/E1075)</x:f>
        <x:v>0.009708737864077669</x:v>
      </x:c>
      <x:c r="R1075" s="15" t="n">
        <x:f>IF(E1075=0,"해당 없음",J1075/E1075)</x:f>
        <x:v>0.038834951456310676</x:v>
      </x:c>
      <x:c r="S1075" s="15" t="n">
        <x:f>IF(E1075=0,"해당 없음",K1075/E1075)</x:f>
        <x:v>0.08737864077669903</x:v>
      </x:c>
      <x:c r="T1075" s="15" t="n">
        <x:f>IF(E1075=0,"해당 없음",L1075/E1075)</x:f>
        <x:v>0.3786407766990291</x:v>
      </x:c>
      <x:c r="U1075" s="15" t="n">
        <x:f>IF(E1075=0,"해당 없음",M1075/E1075)</x:f>
        <x:v>0.2524271844660194</x:v>
      </x:c>
      <x:c r="V1075" s="16" t="n">
        <x:f>E1075/5</x:f>
        <x:v>20.6</x:v>
      </x:c>
    </x:row>
    <x:row r="1076" ht="22" customHeight="1">
      <x:c r="A1076" s="2" t="n">
        <x:v>536</x:v>
      </x:c>
      <x:c r="B1076" s="2" t="str">
        <x:v>RED</x:v>
      </x:c>
      <x:c r="C1076" s="2" t="str">
        <x:v>80만</x:v>
      </x:c>
      <x:c r="D1076" s="2" t="str">
        <x:v>40만</x:v>
      </x:c>
      <x:c r="E1076" s="14" t="n">
        <x:f>SUM(F1076:M1076)</x:f>
        <x:v>103</x:v>
      </x:c>
      <x:c r="F1076" s="14" t="n">
        <x:v>6</x:v>
      </x:c>
      <x:c r="G1076" s="14" t="n">
        <x:v>13</x:v>
      </x:c>
      <x:c r="H1076" s="14" t="n">
        <x:v>9</x:v>
      </x:c>
      <x:c r="I1076" s="14" t="n">
        <x:v>10</x:v>
      </x:c>
      <x:c r="J1076" s="14" t="n">
        <x:v>5</x:v>
      </x:c>
      <x:c r="K1076" s="14" t="n">
        <x:v>5</x:v>
      </x:c>
      <x:c r="L1076" s="14" t="n">
        <x:v>38</x:v>
      </x:c>
      <x:c r="M1076" s="14" t="n">
        <x:v>17</x:v>
      </x:c>
      <x:c r="N1076" s="15" t="n">
        <x:f>IF(E1076=0,"해당 없음",F1076/E1076)</x:f>
        <x:v>0.05825242718446602</x:v>
      </x:c>
      <x:c r="O1076" s="15" t="n">
        <x:f>IF(E1076=0,"해당 없음",G1076/E1076)</x:f>
        <x:v>0.1262135922330097</x:v>
      </x:c>
      <x:c r="P1076" s="15" t="n">
        <x:f>IF(E1076=0,"해당 없음",H1076/E1076)</x:f>
        <x:v>0.08737864077669903</x:v>
      </x:c>
      <x:c r="Q1076" s="15" t="n">
        <x:f>IF(E1076=0,"해당 없음",I1076/E1076)</x:f>
        <x:v>0.0970873786407767</x:v>
      </x:c>
      <x:c r="R1076" s="15" t="n">
        <x:f>IF(E1076=0,"해당 없음",J1076/E1076)</x:f>
        <x:v>0.04854368932038835</x:v>
      </x:c>
      <x:c r="S1076" s="15" t="n">
        <x:f>IF(E1076=0,"해당 없음",K1076/E1076)</x:f>
        <x:v>0.04854368932038835</x:v>
      </x:c>
      <x:c r="T1076" s="15" t="n">
        <x:f>IF(E1076=0,"해당 없음",L1076/E1076)</x:f>
        <x:v>0.36893203883495146</x:v>
      </x:c>
      <x:c r="U1076" s="15" t="n">
        <x:f>IF(E1076=0,"해당 없음",M1076/E1076)</x:f>
        <x:v>0.1650485436893204</x:v>
      </x:c>
      <x:c r="V1076" s="16" t="n">
        <x:f>E1076/5</x:f>
        <x:v>20.6</x:v>
      </x:c>
    </x:row>
    <x:row r="1077" ht="22" customHeight="1">
      <x:c r="A1077" s="2" t="n">
        <x:v>536</x:v>
      </x:c>
      <x:c r="B1077" s="2" t="str">
        <x:v>NAVY</x:v>
      </x:c>
      <x:c r="C1077" s="2" t="str">
        <x:v>40만</x:v>
      </x:c>
      <x:c r="D1077" s="2" t="str">
        <x:v>80만</x:v>
      </x:c>
      <x:c r="E1077" s="14" t="n">
        <x:f>SUM(F1077:M1077)</x:f>
        <x:v>105</x:v>
      </x:c>
      <x:c r="F1077" s="14" t="n">
        <x:v>5</x:v>
      </x:c>
      <x:c r="G1077" s="14" t="n">
        <x:v>24</x:v>
      </x:c>
      <x:c r="H1077" s="14" t="n">
        <x:v>8</x:v>
      </x:c>
      <x:c r="I1077" s="14" t="n">
        <x:v>8</x:v>
      </x:c>
      <x:c r="J1077" s="14" t="n">
        <x:v>8</x:v>
      </x:c>
      <x:c r="K1077" s="14" t="n">
        <x:v>8</x:v>
      </x:c>
      <x:c r="L1077" s="14" t="n">
        <x:v>40</x:v>
      </x:c>
      <x:c r="M1077" s="14" t="n">
        <x:v>4</x:v>
      </x:c>
      <x:c r="N1077" s="15" t="n">
        <x:f>IF(E1077=0,"해당 없음",F1077/E1077)</x:f>
        <x:v>0.047619047619047616</x:v>
      </x:c>
      <x:c r="O1077" s="15" t="n">
        <x:f>IF(E1077=0,"해당 없음",G1077/E1077)</x:f>
        <x:v>0.22857142857142856</x:v>
      </x:c>
      <x:c r="P1077" s="15" t="n">
        <x:f>IF(E1077=0,"해당 없음",H1077/E1077)</x:f>
        <x:v>0.0761904761904762</x:v>
      </x:c>
      <x:c r="Q1077" s="15" t="n">
        <x:f>IF(E1077=0,"해당 없음",I1077/E1077)</x:f>
        <x:v>0.0761904761904762</x:v>
      </x:c>
      <x:c r="R1077" s="15" t="n">
        <x:f>IF(E1077=0,"해당 없음",J1077/E1077)</x:f>
        <x:v>0.0761904761904762</x:v>
      </x:c>
      <x:c r="S1077" s="15" t="n">
        <x:f>IF(E1077=0,"해당 없음",K1077/E1077)</x:f>
        <x:v>0.0761904761904762</x:v>
      </x:c>
      <x:c r="T1077" s="15" t="n">
        <x:f>IF(E1077=0,"해당 없음",L1077/E1077)</x:f>
        <x:v>0.38095238095238093</x:v>
      </x:c>
      <x:c r="U1077" s="15" t="n">
        <x:f>IF(E1077=0,"해당 없음",M1077/E1077)</x:f>
        <x:v>0.0380952380952381</x:v>
      </x:c>
      <x:c r="V1077" s="16" t="n">
        <x:f>E1077/5</x:f>
        <x:v>21</x:v>
      </x:c>
    </x:row>
    <x:row r="1078" ht="22" customHeight="1">
      <x:c r="A1078" s="2" t="n">
        <x:v>537</x:v>
      </x:c>
      <x:c r="B1078" s="2" t="str">
        <x:v>RED</x:v>
      </x:c>
      <x:c r="C1078" s="2" t="str">
        <x:v>40만</x:v>
      </x:c>
      <x:c r="D1078" s="2" t="str">
        <x:v>80만</x:v>
      </x:c>
      <x:c r="E1078" s="14" t="n">
        <x:f>SUM(F1078:M1078)</x:f>
        <x:v>103</x:v>
      </x:c>
      <x:c r="F1078" s="14" t="n">
        <x:v>3</x:v>
      </x:c>
      <x:c r="G1078" s="14" t="n">
        <x:v>26</x:v>
      </x:c>
      <x:c r="H1078" s="14" t="n">
        <x:v>8</x:v>
      </x:c>
      <x:c r="I1078" s="14" t="n">
        <x:v>8</x:v>
      </x:c>
      <x:c r="J1078" s="14" t="n">
        <x:v>8</x:v>
      </x:c>
      <x:c r="K1078" s="14" t="n">
        <x:v>5</x:v>
      </x:c>
      <x:c r="L1078" s="14" t="n">
        <x:v>40</x:v>
      </x:c>
      <x:c r="M1078" s="14" t="n">
        <x:v>5</x:v>
      </x:c>
      <x:c r="N1078" s="15" t="n">
        <x:f>IF(E1078=0,"해당 없음",F1078/E1078)</x:f>
        <x:v>0.02912621359223301</x:v>
      </x:c>
      <x:c r="O1078" s="15" t="n">
        <x:f>IF(E1078=0,"해당 없음",G1078/E1078)</x:f>
        <x:v>0.2524271844660194</x:v>
      </x:c>
      <x:c r="P1078" s="15" t="n">
        <x:f>IF(E1078=0,"해당 없음",H1078/E1078)</x:f>
        <x:v>0.07766990291262135</x:v>
      </x:c>
      <x:c r="Q1078" s="15" t="n">
        <x:f>IF(E1078=0,"해당 없음",I1078/E1078)</x:f>
        <x:v>0.07766990291262135</x:v>
      </x:c>
      <x:c r="R1078" s="15" t="n">
        <x:f>IF(E1078=0,"해당 없음",J1078/E1078)</x:f>
        <x:v>0.07766990291262135</x:v>
      </x:c>
      <x:c r="S1078" s="15" t="n">
        <x:f>IF(E1078=0,"해당 없음",K1078/E1078)</x:f>
        <x:v>0.04854368932038835</x:v>
      </x:c>
      <x:c r="T1078" s="15" t="n">
        <x:f>IF(E1078=0,"해당 없음",L1078/E1078)</x:f>
        <x:v>0.3883495145631068</x:v>
      </x:c>
      <x:c r="U1078" s="15" t="n">
        <x:f>IF(E1078=0,"해당 없음",M1078/E1078)</x:f>
        <x:v>0.04854368932038835</x:v>
      </x:c>
      <x:c r="V1078" s="16" t="n">
        <x:f>E1078/5</x:f>
        <x:v>20.6</x:v>
      </x:c>
    </x:row>
    <x:row r="1079" ht="22" customHeight="1">
      <x:c r="A1079" s="2" t="n">
        <x:v>537</x:v>
      </x:c>
      <x:c r="B1079" s="2" t="str">
        <x:v>NAVY</x:v>
      </x:c>
      <x:c r="C1079" s="2" t="str">
        <x:v>80만</x:v>
      </x:c>
      <x:c r="D1079" s="2" t="str">
        <x:v>40만</x:v>
      </x:c>
      <x:c r="E1079" s="14" t="n">
        <x:f>SUM(F1079:M1079)</x:f>
        <x:v>103</x:v>
      </x:c>
      <x:c r="F1079" s="14" t="n">
        <x:v>4</x:v>
      </x:c>
      <x:c r="G1079" s="14" t="n">
        <x:v>17</x:v>
      </x:c>
      <x:c r="H1079" s="14" t="n">
        <x:v>12</x:v>
      </x:c>
      <x:c r="I1079" s="14" t="n">
        <x:v>4</x:v>
      </x:c>
      <x:c r="J1079" s="14" t="n">
        <x:v>3</x:v>
      </x:c>
      <x:c r="K1079" s="14" t="n">
        <x:v>7</x:v>
      </x:c>
      <x:c r="L1079" s="14" t="n">
        <x:v>36</x:v>
      </x:c>
      <x:c r="M1079" s="14" t="n">
        <x:v>20</x:v>
      </x:c>
      <x:c r="N1079" s="15" t="n">
        <x:f>IF(E1079=0,"해당 없음",F1079/E1079)</x:f>
        <x:v>0.038834951456310676</x:v>
      </x:c>
      <x:c r="O1079" s="15" t="n">
        <x:f>IF(E1079=0,"해당 없음",G1079/E1079)</x:f>
        <x:v>0.1650485436893204</x:v>
      </x:c>
      <x:c r="P1079" s="15" t="n">
        <x:f>IF(E1079=0,"해당 없음",H1079/E1079)</x:f>
        <x:v>0.11650485436893204</x:v>
      </x:c>
      <x:c r="Q1079" s="15" t="n">
        <x:f>IF(E1079=0,"해당 없음",I1079/E1079)</x:f>
        <x:v>0.038834951456310676</x:v>
      </x:c>
      <x:c r="R1079" s="15" t="n">
        <x:f>IF(E1079=0,"해당 없음",J1079/E1079)</x:f>
        <x:v>0.02912621359223301</x:v>
      </x:c>
      <x:c r="S1079" s="15" t="n">
        <x:f>IF(E1079=0,"해당 없음",K1079/E1079)</x:f>
        <x:v>0.06796116504854369</x:v>
      </x:c>
      <x:c r="T1079" s="15" t="n">
        <x:f>IF(E1079=0,"해당 없음",L1079/E1079)</x:f>
        <x:v>0.34951456310679613</x:v>
      </x:c>
      <x:c r="U1079" s="15" t="n">
        <x:f>IF(E1079=0,"해당 없음",M1079/E1079)</x:f>
        <x:v>0.1941747572815534</x:v>
      </x:c>
      <x:c r="V1079" s="16" t="n">
        <x:f>E1079/5</x:f>
        <x:v>20.6</x:v>
      </x:c>
    </x:row>
    <x:row r="1080" ht="22" customHeight="1">
      <x:c r="A1080" s="2" t="n">
        <x:v>538</x:v>
      </x:c>
      <x:c r="B1080" s="2" t="str">
        <x:v>RED</x:v>
      </x:c>
      <x:c r="C1080" s="2" t="str">
        <x:v>80만</x:v>
      </x:c>
      <x:c r="D1080" s="2" t="str">
        <x:v>40만</x:v>
      </x:c>
      <x:c r="E1080" s="14" t="n">
        <x:f>SUM(F1080:M1080)</x:f>
        <x:v>105</x:v>
      </x:c>
      <x:c r="F1080" s="14" t="n">
        <x:v>5</x:v>
      </x:c>
      <x:c r="G1080" s="14" t="n">
        <x:v>10</x:v>
      </x:c>
      <x:c r="H1080" s="14" t="n">
        <x:v>7</x:v>
      </x:c>
      <x:c r="I1080" s="14" t="n">
        <x:v>11</x:v>
      </x:c>
      <x:c r="J1080" s="14" t="n">
        <x:v>2</x:v>
      </x:c>
      <x:c r="K1080" s="14" t="n">
        <x:v>8</x:v>
      </x:c>
      <x:c r="L1080" s="14" t="n">
        <x:v>42</x:v>
      </x:c>
      <x:c r="M1080" s="14" t="n">
        <x:v>20</x:v>
      </x:c>
      <x:c r="N1080" s="15" t="n">
        <x:f>IF(E1080=0,"해당 없음",F1080/E1080)</x:f>
        <x:v>0.047619047619047616</x:v>
      </x:c>
      <x:c r="O1080" s="15" t="n">
        <x:f>IF(E1080=0,"해당 없음",G1080/E1080)</x:f>
        <x:v>0.09523809523809523</x:v>
      </x:c>
      <x:c r="P1080" s="15" t="n">
        <x:f>IF(E1080=0,"해당 없음",H1080/E1080)</x:f>
        <x:v>0.06666666666666667</x:v>
      </x:c>
      <x:c r="Q1080" s="15" t="n">
        <x:f>IF(E1080=0,"해당 없음",I1080/E1080)</x:f>
        <x:v>0.10476190476190476</x:v>
      </x:c>
      <x:c r="R1080" s="15" t="n">
        <x:f>IF(E1080=0,"해당 없음",J1080/E1080)</x:f>
        <x:v>0.01904761904761905</x:v>
      </x:c>
      <x:c r="S1080" s="15" t="n">
        <x:f>IF(E1080=0,"해당 없음",K1080/E1080)</x:f>
        <x:v>0.0761904761904762</x:v>
      </x:c>
      <x:c r="T1080" s="15" t="n">
        <x:f>IF(E1080=0,"해당 없음",L1080/E1080)</x:f>
        <x:v>0.4</x:v>
      </x:c>
      <x:c r="U1080" s="15" t="n">
        <x:f>IF(E1080=0,"해당 없음",M1080/E1080)</x:f>
        <x:v>0.19047619047619047</x:v>
      </x:c>
      <x:c r="V1080" s="16" t="n">
        <x:f>E1080/5</x:f>
        <x:v>21</x:v>
      </x:c>
    </x:row>
    <x:row r="1081" ht="22" customHeight="1">
      <x:c r="A1081" s="2" t="n">
        <x:v>538</x:v>
      </x:c>
      <x:c r="B1081" s="2" t="str">
        <x:v>NAVY</x:v>
      </x:c>
      <x:c r="C1081" s="2" t="str">
        <x:v>40만</x:v>
      </x:c>
      <x:c r="D1081" s="2" t="str">
        <x:v>80만</x:v>
      </x:c>
      <x:c r="E1081" s="14" t="n">
        <x:f>SUM(F1081:M1081)</x:f>
        <x:v>103</x:v>
      </x:c>
      <x:c r="F1081" s="14" t="n">
        <x:v>3</x:v>
      </x:c>
      <x:c r="G1081" s="14" t="n">
        <x:v>25</x:v>
      </x:c>
      <x:c r="H1081" s="14" t="n">
        <x:v>12</x:v>
      </x:c>
      <x:c r="I1081" s="14" t="n">
        <x:v>8</x:v>
      </x:c>
      <x:c r="J1081" s="14" t="n">
        <x:v>11</x:v>
      </x:c>
      <x:c r="K1081" s="14" t="n">
        <x:v>4</x:v>
      </x:c>
      <x:c r="L1081" s="14" t="n">
        <x:v>35</x:v>
      </x:c>
      <x:c r="M1081" s="14" t="n">
        <x:v>5</x:v>
      </x:c>
      <x:c r="N1081" s="15" t="n">
        <x:f>IF(E1081=0,"해당 없음",F1081/E1081)</x:f>
        <x:v>0.02912621359223301</x:v>
      </x:c>
      <x:c r="O1081" s="15" t="n">
        <x:f>IF(E1081=0,"해당 없음",G1081/E1081)</x:f>
        <x:v>0.24271844660194175</x:v>
      </x:c>
      <x:c r="P1081" s="15" t="n">
        <x:f>IF(E1081=0,"해당 없음",H1081/E1081)</x:f>
        <x:v>0.11650485436893204</x:v>
      </x:c>
      <x:c r="Q1081" s="15" t="n">
        <x:f>IF(E1081=0,"해당 없음",I1081/E1081)</x:f>
        <x:v>0.07766990291262135</x:v>
      </x:c>
      <x:c r="R1081" s="15" t="n">
        <x:f>IF(E1081=0,"해당 없음",J1081/E1081)</x:f>
        <x:v>0.10679611650485436</x:v>
      </x:c>
      <x:c r="S1081" s="15" t="n">
        <x:f>IF(E1081=0,"해당 없음",K1081/E1081)</x:f>
        <x:v>0.038834951456310676</x:v>
      </x:c>
      <x:c r="T1081" s="15" t="n">
        <x:f>IF(E1081=0,"해당 없음",L1081/E1081)</x:f>
        <x:v>0.33980582524271846</x:v>
      </x:c>
      <x:c r="U1081" s="15" t="n">
        <x:f>IF(E1081=0,"해당 없음",M1081/E1081)</x:f>
        <x:v>0.04854368932038835</x:v>
      </x:c>
      <x:c r="V1081" s="16" t="n">
        <x:f>E1081/5</x:f>
        <x:v>20.6</x:v>
      </x:c>
    </x:row>
    <x:row r="1082" ht="22" customHeight="1">
      <x:c r="A1082" s="2" t="n">
        <x:v>539</x:v>
      </x:c>
      <x:c r="B1082" s="2" t="str">
        <x:v>RED</x:v>
      </x:c>
      <x:c r="C1082" s="2" t="str">
        <x:v>40만</x:v>
      </x:c>
      <x:c r="D1082" s="2" t="str">
        <x:v>80만</x:v>
      </x:c>
      <x:c r="E1082" s="14" t="n">
        <x:f>SUM(F1082:M1082)</x:f>
        <x:v>102</x:v>
      </x:c>
      <x:c r="F1082" s="14" t="n">
        <x:v>8</x:v>
      </x:c>
      <x:c r="G1082" s="14" t="n">
        <x:v>25</x:v>
      </x:c>
      <x:c r="H1082" s="14" t="n">
        <x:v>5</x:v>
      </x:c>
      <x:c r="I1082" s="14" t="n">
        <x:v>6</x:v>
      </x:c>
      <x:c r="J1082" s="14" t="n">
        <x:v>5</x:v>
      </x:c>
      <x:c r="K1082" s="14" t="n">
        <x:v>10</x:v>
      </x:c>
      <x:c r="L1082" s="14" t="n">
        <x:v>35</x:v>
      </x:c>
      <x:c r="M1082" s="14" t="n">
        <x:v>8</x:v>
      </x:c>
      <x:c r="N1082" s="15" t="n">
        <x:f>IF(E1082=0,"해당 없음",F1082/E1082)</x:f>
        <x:v>0.0784313725490196</x:v>
      </x:c>
      <x:c r="O1082" s="15" t="n">
        <x:f>IF(E1082=0,"해당 없음",G1082/E1082)</x:f>
        <x:v>0.24509803921568626</x:v>
      </x:c>
      <x:c r="P1082" s="15" t="n">
        <x:f>IF(E1082=0,"해당 없음",H1082/E1082)</x:f>
        <x:v>0.049019607843137254</x:v>
      </x:c>
      <x:c r="Q1082" s="15" t="n">
        <x:f>IF(E1082=0,"해당 없음",I1082/E1082)</x:f>
        <x:v>0.058823529411764705</x:v>
      </x:c>
      <x:c r="R1082" s="15" t="n">
        <x:f>IF(E1082=0,"해당 없음",J1082/E1082)</x:f>
        <x:v>0.049019607843137254</x:v>
      </x:c>
      <x:c r="S1082" s="15" t="n">
        <x:f>IF(E1082=0,"해당 없음",K1082/E1082)</x:f>
        <x:v>0.09803921568627451</x:v>
      </x:c>
      <x:c r="T1082" s="15" t="n">
        <x:f>IF(E1082=0,"해당 없음",L1082/E1082)</x:f>
        <x:v>0.3431372549019608</x:v>
      </x:c>
      <x:c r="U1082" s="15" t="n">
        <x:f>IF(E1082=0,"해당 없음",M1082/E1082)</x:f>
        <x:v>0.0784313725490196</x:v>
      </x:c>
      <x:c r="V1082" s="16" t="n">
        <x:f>E1082/5</x:f>
        <x:v>20.4</x:v>
      </x:c>
    </x:row>
    <x:row r="1083" ht="22" customHeight="1">
      <x:c r="A1083" s="2" t="n">
        <x:v>539</x:v>
      </x:c>
      <x:c r="B1083" s="2" t="str">
        <x:v>NAVY</x:v>
      </x:c>
      <x:c r="C1083" s="2" t="str">
        <x:v>80만</x:v>
      </x:c>
      <x:c r="D1083" s="2" t="str">
        <x:v>40만</x:v>
      </x:c>
      <x:c r="E1083" s="14" t="n">
        <x:f>SUM(F1083:M1083)</x:f>
        <x:v>102</x:v>
      </x:c>
      <x:c r="F1083" s="14" t="n">
        <x:v>3</x:v>
      </x:c>
      <x:c r="G1083" s="14" t="n">
        <x:v>25</x:v>
      </x:c>
      <x:c r="H1083" s="14" t="n">
        <x:v>9</x:v>
      </x:c>
      <x:c r="I1083" s="14" t="n">
        <x:v>4</x:v>
      </x:c>
      <x:c r="J1083" s="14" t="n">
        <x:v>7</x:v>
      </x:c>
      <x:c r="K1083" s="14" t="n">
        <x:v>4</x:v>
      </x:c>
      <x:c r="L1083" s="14" t="n">
        <x:v>34</x:v>
      </x:c>
      <x:c r="M1083" s="14" t="n">
        <x:v>16</x:v>
      </x:c>
      <x:c r="N1083" s="15" t="n">
        <x:f>IF(E1083=0,"해당 없음",F1083/E1083)</x:f>
        <x:v>0.029411764705882353</x:v>
      </x:c>
      <x:c r="O1083" s="15" t="n">
        <x:f>IF(E1083=0,"해당 없음",G1083/E1083)</x:f>
        <x:v>0.24509803921568626</x:v>
      </x:c>
      <x:c r="P1083" s="15" t="n">
        <x:f>IF(E1083=0,"해당 없음",H1083/E1083)</x:f>
        <x:v>0.08823529411764706</x:v>
      </x:c>
      <x:c r="Q1083" s="15" t="n">
        <x:f>IF(E1083=0,"해당 없음",I1083/E1083)</x:f>
        <x:v>0.0392156862745098</x:v>
      </x:c>
      <x:c r="R1083" s="15" t="n">
        <x:f>IF(E1083=0,"해당 없음",J1083/E1083)</x:f>
        <x:v>0.06862745098039216</x:v>
      </x:c>
      <x:c r="S1083" s="15" t="n">
        <x:f>IF(E1083=0,"해당 없음",K1083/E1083)</x:f>
        <x:v>0.0392156862745098</x:v>
      </x:c>
      <x:c r="T1083" s="15" t="n">
        <x:f>IF(E1083=0,"해당 없음",L1083/E1083)</x:f>
        <x:v>0.3333333333333333</x:v>
      </x:c>
      <x:c r="U1083" s="15" t="n">
        <x:f>IF(E1083=0,"해당 없음",M1083/E1083)</x:f>
        <x:v>0.1568627450980392</x:v>
      </x:c>
      <x:c r="V1083" s="16" t="n">
        <x:f>E1083/5</x:f>
        <x:v>20.4</x:v>
      </x:c>
    </x:row>
    <x:row r="1084" ht="22" customHeight="1">
      <x:c r="A1084" s="2" t="n">
        <x:v>540</x:v>
      </x:c>
      <x:c r="B1084" s="2" t="str">
        <x:v>RED</x:v>
      </x:c>
      <x:c r="C1084" s="2" t="str">
        <x:v>80만</x:v>
      </x:c>
      <x:c r="D1084" s="2" t="str">
        <x:v>40만</x:v>
      </x:c>
      <x:c r="E1084" s="14" t="n">
        <x:f>SUM(F1084:M1084)</x:f>
        <x:v>103</x:v>
      </x:c>
      <x:c r="F1084" s="14" t="n">
        <x:v>4</x:v>
      </x:c>
      <x:c r="G1084" s="14" t="n">
        <x:v>20</x:v>
      </x:c>
      <x:c r="H1084" s="14" t="n">
        <x:v>9</x:v>
      </x:c>
      <x:c r="I1084" s="14" t="n">
        <x:v>8</x:v>
      </x:c>
      <x:c r="J1084" s="14" t="n">
        <x:v>2</x:v>
      </x:c>
      <x:c r="K1084" s="14" t="n">
        <x:v>8</x:v>
      </x:c>
      <x:c r="L1084" s="14" t="n">
        <x:v>35</x:v>
      </x:c>
      <x:c r="M1084" s="14" t="n">
        <x:v>17</x:v>
      </x:c>
      <x:c r="N1084" s="15" t="n">
        <x:f>IF(E1084=0,"해당 없음",F1084/E1084)</x:f>
        <x:v>0.038834951456310676</x:v>
      </x:c>
      <x:c r="O1084" s="15" t="n">
        <x:f>IF(E1084=0,"해당 없음",G1084/E1084)</x:f>
        <x:v>0.1941747572815534</x:v>
      </x:c>
      <x:c r="P1084" s="15" t="n">
        <x:f>IF(E1084=0,"해당 없음",H1084/E1084)</x:f>
        <x:v>0.08737864077669903</x:v>
      </x:c>
      <x:c r="Q1084" s="15" t="n">
        <x:f>IF(E1084=0,"해당 없음",I1084/E1084)</x:f>
        <x:v>0.07766990291262135</x:v>
      </x:c>
      <x:c r="R1084" s="15" t="n">
        <x:f>IF(E1084=0,"해당 없음",J1084/E1084)</x:f>
        <x:v>0.019417475728155338</x:v>
      </x:c>
      <x:c r="S1084" s="15" t="n">
        <x:f>IF(E1084=0,"해당 없음",K1084/E1084)</x:f>
        <x:v>0.07766990291262135</x:v>
      </x:c>
      <x:c r="T1084" s="15" t="n">
        <x:f>IF(E1084=0,"해당 없음",L1084/E1084)</x:f>
        <x:v>0.33980582524271846</x:v>
      </x:c>
      <x:c r="U1084" s="15" t="n">
        <x:f>IF(E1084=0,"해당 없음",M1084/E1084)</x:f>
        <x:v>0.1650485436893204</x:v>
      </x:c>
      <x:c r="V1084" s="16" t="n">
        <x:f>E1084/5</x:f>
        <x:v>20.6</x:v>
      </x:c>
    </x:row>
    <x:row r="1085" ht="22" customHeight="1">
      <x:c r="A1085" s="2" t="n">
        <x:v>540</x:v>
      </x:c>
      <x:c r="B1085" s="2" t="str">
        <x:v>NAVY</x:v>
      </x:c>
      <x:c r="C1085" s="2" t="str">
        <x:v>40만</x:v>
      </x:c>
      <x:c r="D1085" s="2" t="str">
        <x:v>80만</x:v>
      </x:c>
      <x:c r="E1085" s="14" t="n">
        <x:f>SUM(F1085:M1085)</x:f>
        <x:v>103</x:v>
      </x:c>
      <x:c r="F1085" s="14" t="n">
        <x:v>5</x:v>
      </x:c>
      <x:c r="G1085" s="14" t="n">
        <x:v>27</x:v>
      </x:c>
      <x:c r="H1085" s="14" t="n">
        <x:v>3</x:v>
      </x:c>
      <x:c r="I1085" s="14" t="n">
        <x:v>4</x:v>
      </x:c>
      <x:c r="J1085" s="14" t="n">
        <x:v>7</x:v>
      </x:c>
      <x:c r="K1085" s="14" t="n">
        <x:v>8</x:v>
      </x:c>
      <x:c r="L1085" s="14" t="n">
        <x:v>42</x:v>
      </x:c>
      <x:c r="M1085" s="14" t="n">
        <x:v>7</x:v>
      </x:c>
      <x:c r="N1085" s="15" t="n">
        <x:f>IF(E1085=0,"해당 없음",F1085/E1085)</x:f>
        <x:v>0.04854368932038835</x:v>
      </x:c>
      <x:c r="O1085" s="15" t="n">
        <x:f>IF(E1085=0,"해당 없음",G1085/E1085)</x:f>
        <x:v>0.2621359223300971</x:v>
      </x:c>
      <x:c r="P1085" s="15" t="n">
        <x:f>IF(E1085=0,"해당 없음",H1085/E1085)</x:f>
        <x:v>0.02912621359223301</x:v>
      </x:c>
      <x:c r="Q1085" s="15" t="n">
        <x:f>IF(E1085=0,"해당 없음",I1085/E1085)</x:f>
        <x:v>0.038834951456310676</x:v>
      </x:c>
      <x:c r="R1085" s="15" t="n">
        <x:f>IF(E1085=0,"해당 없음",J1085/E1085)</x:f>
        <x:v>0.06796116504854369</x:v>
      </x:c>
      <x:c r="S1085" s="15" t="n">
        <x:f>IF(E1085=0,"해당 없음",K1085/E1085)</x:f>
        <x:v>0.07766990291262135</x:v>
      </x:c>
      <x:c r="T1085" s="15" t="n">
        <x:f>IF(E1085=0,"해당 없음",L1085/E1085)</x:f>
        <x:v>0.4077669902912621</x:v>
      </x:c>
      <x:c r="U1085" s="15" t="n">
        <x:f>IF(E1085=0,"해당 없음",M1085/E1085)</x:f>
        <x:v>0.06796116504854369</x:v>
      </x:c>
      <x:c r="V1085" s="16" t="n">
        <x:f>E1085/5</x:f>
        <x:v>20.6</x:v>
      </x:c>
    </x:row>
    <x:row r="1086" ht="22" customHeight="1">
      <x:c r="A1086" s="2" t="n">
        <x:v>541</x:v>
      </x:c>
      <x:c r="B1086" s="2" t="str">
        <x:v>RED</x:v>
      </x:c>
      <x:c r="C1086" s="2" t="str">
        <x:v>40만</x:v>
      </x:c>
      <x:c r="D1086" s="2" t="str">
        <x:v>80만</x:v>
      </x:c>
      <x:c r="E1086" s="14" t="n">
        <x:f>SUM(F1086:M1086)</x:f>
        <x:v>103</x:v>
      </x:c>
      <x:c r="F1086" s="14" t="n">
        <x:v>4</x:v>
      </x:c>
      <x:c r="G1086" s="14" t="n">
        <x:v>30</x:v>
      </x:c>
      <x:c r="H1086" s="14" t="n">
        <x:v>8</x:v>
      </x:c>
      <x:c r="I1086" s="14" t="n">
        <x:v>9</x:v>
      </x:c>
      <x:c r="J1086" s="14" t="n">
        <x:v>3</x:v>
      </x:c>
      <x:c r="K1086" s="14" t="n">
        <x:v>10</x:v>
      </x:c>
      <x:c r="L1086" s="14" t="n">
        <x:v>34</x:v>
      </x:c>
      <x:c r="M1086" s="14" t="n">
        <x:v>5</x:v>
      </x:c>
      <x:c r="N1086" s="15" t="n">
        <x:f>IF(E1086=0,"해당 없음",F1086/E1086)</x:f>
        <x:v>0.038834951456310676</x:v>
      </x:c>
      <x:c r="O1086" s="15" t="n">
        <x:f>IF(E1086=0,"해당 없음",G1086/E1086)</x:f>
        <x:v>0.2912621359223301</x:v>
      </x:c>
      <x:c r="P1086" s="15" t="n">
        <x:f>IF(E1086=0,"해당 없음",H1086/E1086)</x:f>
        <x:v>0.07766990291262135</x:v>
      </x:c>
      <x:c r="Q1086" s="15" t="n">
        <x:f>IF(E1086=0,"해당 없음",I1086/E1086)</x:f>
        <x:v>0.08737864077669903</x:v>
      </x:c>
      <x:c r="R1086" s="15" t="n">
        <x:f>IF(E1086=0,"해당 없음",J1086/E1086)</x:f>
        <x:v>0.02912621359223301</x:v>
      </x:c>
      <x:c r="S1086" s="15" t="n">
        <x:f>IF(E1086=0,"해당 없음",K1086/E1086)</x:f>
        <x:v>0.0970873786407767</x:v>
      </x:c>
      <x:c r="T1086" s="15" t="n">
        <x:f>IF(E1086=0,"해당 없음",L1086/E1086)</x:f>
        <x:v>0.3300970873786408</x:v>
      </x:c>
      <x:c r="U1086" s="15" t="n">
        <x:f>IF(E1086=0,"해당 없음",M1086/E1086)</x:f>
        <x:v>0.04854368932038835</x:v>
      </x:c>
      <x:c r="V1086" s="16" t="n">
        <x:f>E1086/5</x:f>
        <x:v>20.6</x:v>
      </x:c>
    </x:row>
    <x:row r="1087" ht="22" customHeight="1">
      <x:c r="A1087" s="2" t="n">
        <x:v>541</x:v>
      </x:c>
      <x:c r="B1087" s="2" t="str">
        <x:v>NAVY</x:v>
      </x:c>
      <x:c r="C1087" s="2" t="str">
        <x:v>80만</x:v>
      </x:c>
      <x:c r="D1087" s="2" t="str">
        <x:v>40만</x:v>
      </x:c>
      <x:c r="E1087" s="14" t="n">
        <x:f>SUM(F1087:M1087)</x:f>
        <x:v>104</x:v>
      </x:c>
      <x:c r="F1087" s="14" t="n">
        <x:v>4</x:v>
      </x:c>
      <x:c r="G1087" s="14" t="n">
        <x:v>26</x:v>
      </x:c>
      <x:c r="H1087" s="14" t="n">
        <x:v>10</x:v>
      </x:c>
      <x:c r="I1087" s="14" t="n">
        <x:v>8</x:v>
      </x:c>
      <x:c r="J1087" s="14" t="n">
        <x:v>5</x:v>
      </x:c>
      <x:c r="K1087" s="14" t="n">
        <x:v>9</x:v>
      </x:c>
      <x:c r="L1087" s="14" t="n">
        <x:v>31</x:v>
      </x:c>
      <x:c r="M1087" s="14" t="n">
        <x:v>11</x:v>
      </x:c>
      <x:c r="N1087" s="15" t="n">
        <x:f>IF(E1087=0,"해당 없음",F1087/E1087)</x:f>
        <x:v>0.038461538461538464</x:v>
      </x:c>
      <x:c r="O1087" s="15" t="n">
        <x:f>IF(E1087=0,"해당 없음",G1087/E1087)</x:f>
        <x:v>0.25</x:v>
      </x:c>
      <x:c r="P1087" s="15" t="n">
        <x:f>IF(E1087=0,"해당 없음",H1087/E1087)</x:f>
        <x:v>0.09615384615384616</x:v>
      </x:c>
      <x:c r="Q1087" s="15" t="n">
        <x:f>IF(E1087=0,"해당 없음",I1087/E1087)</x:f>
        <x:v>0.07692307692307693</x:v>
      </x:c>
      <x:c r="R1087" s="15" t="n">
        <x:f>IF(E1087=0,"해당 없음",J1087/E1087)</x:f>
        <x:v>0.04807692307692308</x:v>
      </x:c>
      <x:c r="S1087" s="15" t="n">
        <x:f>IF(E1087=0,"해당 없음",K1087/E1087)</x:f>
        <x:v>0.08653846153846154</x:v>
      </x:c>
      <x:c r="T1087" s="15" t="n">
        <x:f>IF(E1087=0,"해당 없음",L1087/E1087)</x:f>
        <x:v>0.2980769230769231</x:v>
      </x:c>
      <x:c r="U1087" s="15" t="n">
        <x:f>IF(E1087=0,"해당 없음",M1087/E1087)</x:f>
        <x:v>0.10576923076923077</x:v>
      </x:c>
      <x:c r="V1087" s="16" t="n">
        <x:f>E1087/5</x:f>
        <x:v>20.8</x:v>
      </x:c>
    </x:row>
    <x:row r="1088" ht="22" customHeight="1">
      <x:c r="A1088" s="2" t="n">
        <x:v>542</x:v>
      </x:c>
      <x:c r="B1088" s="2" t="str">
        <x:v>RED</x:v>
      </x:c>
      <x:c r="C1088" s="2" t="str">
        <x:v>80만</x:v>
      </x:c>
      <x:c r="D1088" s="2" t="str">
        <x:v>40만</x:v>
      </x:c>
      <x:c r="E1088" s="14" t="n">
        <x:f>SUM(F1088:M1088)</x:f>
        <x:v>105</x:v>
      </x:c>
      <x:c r="F1088" s="14" t="n">
        <x:v>4</x:v>
      </x:c>
      <x:c r="G1088" s="14" t="n">
        <x:v>16</x:v>
      </x:c>
      <x:c r="H1088" s="14" t="n">
        <x:v>6</x:v>
      </x:c>
      <x:c r="I1088" s="14" t="n">
        <x:v>4</x:v>
      </x:c>
      <x:c r="J1088" s="14" t="n">
        <x:v>5</x:v>
      </x:c>
      <x:c r="K1088" s="14" t="n">
        <x:v>9</x:v>
      </x:c>
      <x:c r="L1088" s="14" t="n">
        <x:v>35</x:v>
      </x:c>
      <x:c r="M1088" s="14" t="n">
        <x:v>26</x:v>
      </x:c>
      <x:c r="N1088" s="15" t="n">
        <x:f>IF(E1088=0,"해당 없음",F1088/E1088)</x:f>
        <x:v>0.0380952380952381</x:v>
      </x:c>
      <x:c r="O1088" s="15" t="n">
        <x:f>IF(E1088=0,"해당 없음",G1088/E1088)</x:f>
        <x:v>0.1523809523809524</x:v>
      </x:c>
      <x:c r="P1088" s="15" t="n">
        <x:f>IF(E1088=0,"해당 없음",H1088/E1088)</x:f>
        <x:v>0.05714285714285714</x:v>
      </x:c>
      <x:c r="Q1088" s="15" t="n">
        <x:f>IF(E1088=0,"해당 없음",I1088/E1088)</x:f>
        <x:v>0.0380952380952381</x:v>
      </x:c>
      <x:c r="R1088" s="15" t="n">
        <x:f>IF(E1088=0,"해당 없음",J1088/E1088)</x:f>
        <x:v>0.047619047619047616</x:v>
      </x:c>
      <x:c r="S1088" s="15" t="n">
        <x:f>IF(E1088=0,"해당 없음",K1088/E1088)</x:f>
        <x:v>0.08571428571428572</x:v>
      </x:c>
      <x:c r="T1088" s="15" t="n">
        <x:f>IF(E1088=0,"해당 없음",L1088/E1088)</x:f>
        <x:v>0.3333333333333333</x:v>
      </x:c>
      <x:c r="U1088" s="15" t="n">
        <x:f>IF(E1088=0,"해당 없음",M1088/E1088)</x:f>
        <x:v>0.24761904761904763</x:v>
      </x:c>
      <x:c r="V1088" s="16" t="n">
        <x:f>E1088/5</x:f>
        <x:v>21</x:v>
      </x:c>
    </x:row>
    <x:row r="1089" ht="22" customHeight="1">
      <x:c r="A1089" s="2" t="n">
        <x:v>542</x:v>
      </x:c>
      <x:c r="B1089" s="2" t="str">
        <x:v>NAVY</x:v>
      </x:c>
      <x:c r="C1089" s="2" t="str">
        <x:v>40만</x:v>
      </x:c>
      <x:c r="D1089" s="2" t="str">
        <x:v>80만</x:v>
      </x:c>
      <x:c r="E1089" s="14" t="n">
        <x:f>SUM(F1089:M1089)</x:f>
        <x:v>104</x:v>
      </x:c>
      <x:c r="F1089" s="14" t="n">
        <x:v>3</x:v>
      </x:c>
      <x:c r="G1089" s="14" t="n">
        <x:v>33</x:v>
      </x:c>
      <x:c r="H1089" s="14" t="n">
        <x:v>7</x:v>
      </x:c>
      <x:c r="I1089" s="14" t="n">
        <x:v>8</x:v>
      </x:c>
      <x:c r="J1089" s="14" t="n">
        <x:v>10</x:v>
      </x:c>
      <x:c r="K1089" s="14" t="n">
        <x:v>6</x:v>
      </x:c>
      <x:c r="L1089" s="14" t="n">
        <x:v>34</x:v>
      </x:c>
      <x:c r="M1089" s="14" t="n">
        <x:v>3</x:v>
      </x:c>
      <x:c r="N1089" s="15" t="n">
        <x:f>IF(E1089=0,"해당 없음",F1089/E1089)</x:f>
        <x:v>0.028846153846153848</x:v>
      </x:c>
      <x:c r="O1089" s="15" t="n">
        <x:f>IF(E1089=0,"해당 없음",G1089/E1089)</x:f>
        <x:v>0.3173076923076923</x:v>
      </x:c>
      <x:c r="P1089" s="15" t="n">
        <x:f>IF(E1089=0,"해당 없음",H1089/E1089)</x:f>
        <x:v>0.0673076923076923</x:v>
      </x:c>
      <x:c r="Q1089" s="15" t="n">
        <x:f>IF(E1089=0,"해당 없음",I1089/E1089)</x:f>
        <x:v>0.07692307692307693</x:v>
      </x:c>
      <x:c r="R1089" s="15" t="n">
        <x:f>IF(E1089=0,"해당 없음",J1089/E1089)</x:f>
        <x:v>0.09615384615384616</x:v>
      </x:c>
      <x:c r="S1089" s="15" t="n">
        <x:f>IF(E1089=0,"해당 없음",K1089/E1089)</x:f>
        <x:v>0.057692307692307696</x:v>
      </x:c>
      <x:c r="T1089" s="15" t="n">
        <x:f>IF(E1089=0,"해당 없음",L1089/E1089)</x:f>
        <x:v>0.3269230769230769</x:v>
      </x:c>
      <x:c r="U1089" s="15" t="n">
        <x:f>IF(E1089=0,"해당 없음",M1089/E1089)</x:f>
        <x:v>0.028846153846153848</x:v>
      </x:c>
      <x:c r="V1089" s="16" t="n">
        <x:f>E1089/5</x:f>
        <x:v>20.8</x:v>
      </x:c>
    </x:row>
    <x:row r="1090" ht="22" customHeight="1">
      <x:c r="A1090" s="2" t="n">
        <x:v>543</x:v>
      </x:c>
      <x:c r="B1090" s="2" t="str">
        <x:v>RED</x:v>
      </x:c>
      <x:c r="C1090" s="2" t="str">
        <x:v>40만</x:v>
      </x:c>
      <x:c r="D1090" s="2" t="str">
        <x:v>80만</x:v>
      </x:c>
      <x:c r="E1090" s="14" t="n">
        <x:f>SUM(F1090:M1090)</x:f>
        <x:v>104</x:v>
      </x:c>
      <x:c r="F1090" s="14" t="n">
        <x:v>9</x:v>
      </x:c>
      <x:c r="G1090" s="14" t="n">
        <x:v>23</x:v>
      </x:c>
      <x:c r="H1090" s="14" t="n">
        <x:v>8</x:v>
      </x:c>
      <x:c r="I1090" s="14" t="n">
        <x:v>7</x:v>
      </x:c>
      <x:c r="J1090" s="14" t="n">
        <x:v>7</x:v>
      </x:c>
      <x:c r="K1090" s="14" t="n">
        <x:v>14</x:v>
      </x:c>
      <x:c r="L1090" s="14" t="n">
        <x:v>34</x:v>
      </x:c>
      <x:c r="M1090" s="14" t="n">
        <x:v>2</x:v>
      </x:c>
      <x:c r="N1090" s="15" t="n">
        <x:f>IF(E1090=0,"해당 없음",F1090/E1090)</x:f>
        <x:v>0.08653846153846154</x:v>
      </x:c>
      <x:c r="O1090" s="15" t="n">
        <x:f>IF(E1090=0,"해당 없음",G1090/E1090)</x:f>
        <x:v>0.22115384615384615</x:v>
      </x:c>
      <x:c r="P1090" s="15" t="n">
        <x:f>IF(E1090=0,"해당 없음",H1090/E1090)</x:f>
        <x:v>0.07692307692307693</x:v>
      </x:c>
      <x:c r="Q1090" s="15" t="n">
        <x:f>IF(E1090=0,"해당 없음",I1090/E1090)</x:f>
        <x:v>0.0673076923076923</x:v>
      </x:c>
      <x:c r="R1090" s="15" t="n">
        <x:f>IF(E1090=0,"해당 없음",J1090/E1090)</x:f>
        <x:v>0.0673076923076923</x:v>
      </x:c>
      <x:c r="S1090" s="15" t="n">
        <x:f>IF(E1090=0,"해당 없음",K1090/E1090)</x:f>
        <x:v>0.1346153846153846</x:v>
      </x:c>
      <x:c r="T1090" s="15" t="n">
        <x:f>IF(E1090=0,"해당 없음",L1090/E1090)</x:f>
        <x:v>0.3269230769230769</x:v>
      </x:c>
      <x:c r="U1090" s="15" t="n">
        <x:f>IF(E1090=0,"해당 없음",M1090/E1090)</x:f>
        <x:v>0.019230769230769232</x:v>
      </x:c>
      <x:c r="V1090" s="16" t="n">
        <x:f>E1090/5</x:f>
        <x:v>20.8</x:v>
      </x:c>
    </x:row>
    <x:row r="1091" ht="22" customHeight="1">
      <x:c r="A1091" s="2" t="n">
        <x:v>543</x:v>
      </x:c>
      <x:c r="B1091" s="2" t="str">
        <x:v>NAVY</x:v>
      </x:c>
      <x:c r="C1091" s="2" t="str">
        <x:v>80만</x:v>
      </x:c>
      <x:c r="D1091" s="2" t="str">
        <x:v>40만</x:v>
      </x:c>
      <x:c r="E1091" s="14" t="n">
        <x:f>SUM(F1091:M1091)</x:f>
        <x:v>103</x:v>
      </x:c>
      <x:c r="F1091" s="14" t="n">
        <x:v>3</x:v>
      </x:c>
      <x:c r="G1091" s="14" t="n">
        <x:v>22</x:v>
      </x:c>
      <x:c r="H1091" s="14" t="n">
        <x:v>5</x:v>
      </x:c>
      <x:c r="I1091" s="14" t="n">
        <x:v>6</x:v>
      </x:c>
      <x:c r="J1091" s="14" t="n">
        <x:v>3</x:v>
      </x:c>
      <x:c r="K1091" s="14" t="n">
        <x:v>7</x:v>
      </x:c>
      <x:c r="L1091" s="14" t="n">
        <x:v>34</x:v>
      </x:c>
      <x:c r="M1091" s="14" t="n">
        <x:v>23</x:v>
      </x:c>
      <x:c r="N1091" s="15" t="n">
        <x:f>IF(E1091=0,"해당 없음",F1091/E1091)</x:f>
        <x:v>0.02912621359223301</x:v>
      </x:c>
      <x:c r="O1091" s="15" t="n">
        <x:f>IF(E1091=0,"해당 없음",G1091/E1091)</x:f>
        <x:v>0.21359223300970873</x:v>
      </x:c>
      <x:c r="P1091" s="15" t="n">
        <x:f>IF(E1091=0,"해당 없음",H1091/E1091)</x:f>
        <x:v>0.04854368932038835</x:v>
      </x:c>
      <x:c r="Q1091" s="15" t="n">
        <x:f>IF(E1091=0,"해당 없음",I1091/E1091)</x:f>
        <x:v>0.05825242718446602</x:v>
      </x:c>
      <x:c r="R1091" s="15" t="n">
        <x:f>IF(E1091=0,"해당 없음",J1091/E1091)</x:f>
        <x:v>0.02912621359223301</x:v>
      </x:c>
      <x:c r="S1091" s="15" t="n">
        <x:f>IF(E1091=0,"해당 없음",K1091/E1091)</x:f>
        <x:v>0.06796116504854369</x:v>
      </x:c>
      <x:c r="T1091" s="15" t="n">
        <x:f>IF(E1091=0,"해당 없음",L1091/E1091)</x:f>
        <x:v>0.3300970873786408</x:v>
      </x:c>
      <x:c r="U1091" s="15" t="n">
        <x:f>IF(E1091=0,"해당 없음",M1091/E1091)</x:f>
        <x:v>0.22330097087378642</x:v>
      </x:c>
      <x:c r="V1091" s="16" t="n">
        <x:f>E1091/5</x:f>
        <x:v>20.6</x:v>
      </x:c>
    </x:row>
    <x:row r="1092" ht="22" customHeight="1">
      <x:c r="A1092" s="2" t="n">
        <x:v>544</x:v>
      </x:c>
      <x:c r="B1092" s="2" t="str">
        <x:v>RED</x:v>
      </x:c>
      <x:c r="C1092" s="2" t="str">
        <x:v>80만</x:v>
      </x:c>
      <x:c r="D1092" s="2" t="str">
        <x:v>40만</x:v>
      </x:c>
      <x:c r="E1092" s="14" t="n">
        <x:f>SUM(F1092:M1092)</x:f>
        <x:v>102</x:v>
      </x:c>
      <x:c r="F1092" s="14" t="n">
        <x:v>6</x:v>
      </x:c>
      <x:c r="G1092" s="14" t="n">
        <x:v>18</x:v>
      </x:c>
      <x:c r="H1092" s="14" t="n">
        <x:v>10</x:v>
      </x:c>
      <x:c r="I1092" s="14" t="n">
        <x:v>6</x:v>
      </x:c>
      <x:c r="J1092" s="14" t="n">
        <x:v>2</x:v>
      </x:c>
      <x:c r="K1092" s="14" t="n">
        <x:v>11</x:v>
      </x:c>
      <x:c r="L1092" s="14" t="n">
        <x:v>36</x:v>
      </x:c>
      <x:c r="M1092" s="14" t="n">
        <x:v>13</x:v>
      </x:c>
      <x:c r="N1092" s="15" t="n">
        <x:f>IF(E1092=0,"해당 없음",F1092/E1092)</x:f>
        <x:v>0.058823529411764705</x:v>
      </x:c>
      <x:c r="O1092" s="15" t="n">
        <x:f>IF(E1092=0,"해당 없음",G1092/E1092)</x:f>
        <x:v>0.17647058823529413</x:v>
      </x:c>
      <x:c r="P1092" s="15" t="n">
        <x:f>IF(E1092=0,"해당 없음",H1092/E1092)</x:f>
        <x:v>0.09803921568627451</x:v>
      </x:c>
      <x:c r="Q1092" s="15" t="n">
        <x:f>IF(E1092=0,"해당 없음",I1092/E1092)</x:f>
        <x:v>0.058823529411764705</x:v>
      </x:c>
      <x:c r="R1092" s="15" t="n">
        <x:f>IF(E1092=0,"해당 없음",J1092/E1092)</x:f>
        <x:v>0.0196078431372549</x:v>
      </x:c>
      <x:c r="S1092" s="15" t="n">
        <x:f>IF(E1092=0,"해당 없음",K1092/E1092)</x:f>
        <x:v>0.10784313725490197</x:v>
      </x:c>
      <x:c r="T1092" s="15" t="n">
        <x:f>IF(E1092=0,"해당 없음",L1092/E1092)</x:f>
        <x:v>0.35294117647058826</x:v>
      </x:c>
      <x:c r="U1092" s="15" t="n">
        <x:f>IF(E1092=0,"해당 없음",M1092/E1092)</x:f>
        <x:v>0.12745098039215685</x:v>
      </x:c>
      <x:c r="V1092" s="16" t="n">
        <x:f>E1092/5</x:f>
        <x:v>20.4</x:v>
      </x:c>
    </x:row>
    <x:row r="1093" ht="22" customHeight="1">
      <x:c r="A1093" s="2" t="n">
        <x:v>544</x:v>
      </x:c>
      <x:c r="B1093" s="2" t="str">
        <x:v>NAVY</x:v>
      </x:c>
      <x:c r="C1093" s="2" t="str">
        <x:v>40만</x:v>
      </x:c>
      <x:c r="D1093" s="2" t="str">
        <x:v>80만</x:v>
      </x:c>
      <x:c r="E1093" s="14" t="n">
        <x:f>SUM(F1093:M1093)</x:f>
        <x:v>101</x:v>
      </x:c>
      <x:c r="F1093" s="14" t="n">
        <x:v>7</x:v>
      </x:c>
      <x:c r="G1093" s="14" t="n">
        <x:v>29</x:v>
      </x:c>
      <x:c r="H1093" s="14" t="n">
        <x:v>7</x:v>
      </x:c>
      <x:c r="I1093" s="14" t="n">
        <x:v>3</x:v>
      </x:c>
      <x:c r="J1093" s="14" t="n">
        <x:v>6</x:v>
      </x:c>
      <x:c r="K1093" s="14" t="n">
        <x:v>8</x:v>
      </x:c>
      <x:c r="L1093" s="14" t="n">
        <x:v>38</x:v>
      </x:c>
      <x:c r="M1093" s="14" t="n">
        <x:v>3</x:v>
      </x:c>
      <x:c r="N1093" s="15" t="n">
        <x:f>IF(E1093=0,"해당 없음",F1093/E1093)</x:f>
        <x:v>0.06930693069306931</x:v>
      </x:c>
      <x:c r="O1093" s="15" t="n">
        <x:f>IF(E1093=0,"해당 없음",G1093/E1093)</x:f>
        <x:v>0.2871287128712871</x:v>
      </x:c>
      <x:c r="P1093" s="15" t="n">
        <x:f>IF(E1093=0,"해당 없음",H1093/E1093)</x:f>
        <x:v>0.06930693069306931</x:v>
      </x:c>
      <x:c r="Q1093" s="15" t="n">
        <x:f>IF(E1093=0,"해당 없음",I1093/E1093)</x:f>
        <x:v>0.0297029702970297</x:v>
      </x:c>
      <x:c r="R1093" s="15" t="n">
        <x:f>IF(E1093=0,"해당 없음",J1093/E1093)</x:f>
        <x:v>0.0594059405940594</x:v>
      </x:c>
      <x:c r="S1093" s="15" t="n">
        <x:f>IF(E1093=0,"해당 없음",K1093/E1093)</x:f>
        <x:v>0.07920792079207921</x:v>
      </x:c>
      <x:c r="T1093" s="15" t="n">
        <x:f>IF(E1093=0,"해당 없음",L1093/E1093)</x:f>
        <x:v>0.37623762376237624</x:v>
      </x:c>
      <x:c r="U1093" s="15" t="n">
        <x:f>IF(E1093=0,"해당 없음",M1093/E1093)</x:f>
        <x:v>0.0297029702970297</x:v>
      </x:c>
      <x:c r="V1093" s="16" t="n">
        <x:f>E1093/5</x:f>
        <x:v>20.2</x:v>
      </x:c>
    </x:row>
    <x:row r="1094" ht="22" customHeight="1">
      <x:c r="A1094" s="2" t="n">
        <x:v>545</x:v>
      </x:c>
      <x:c r="B1094" s="2" t="str">
        <x:v>RED</x:v>
      </x:c>
      <x:c r="C1094" s="2" t="str">
        <x:v>40만</x:v>
      </x:c>
      <x:c r="D1094" s="2" t="str">
        <x:v>80만</x:v>
      </x:c>
      <x:c r="E1094" s="14" t="n">
        <x:f>SUM(F1094:M1094)</x:f>
        <x:v>104</x:v>
      </x:c>
      <x:c r="F1094" s="14" t="n">
        <x:v>4</x:v>
      </x:c>
      <x:c r="G1094" s="14" t="n">
        <x:v>20</x:v>
      </x:c>
      <x:c r="H1094" s="14" t="n">
        <x:v>8</x:v>
      </x:c>
      <x:c r="I1094" s="14" t="n">
        <x:v>8</x:v>
      </x:c>
      <x:c r="J1094" s="14" t="n">
        <x:v>6</x:v>
      </x:c>
      <x:c r="K1094" s="14" t="n">
        <x:v>10</x:v>
      </x:c>
      <x:c r="L1094" s="14" t="n">
        <x:v>43</x:v>
      </x:c>
      <x:c r="M1094" s="14" t="n">
        <x:v>5</x:v>
      </x:c>
      <x:c r="N1094" s="15" t="n">
        <x:f>IF(E1094=0,"해당 없음",F1094/E1094)</x:f>
        <x:v>0.038461538461538464</x:v>
      </x:c>
      <x:c r="O1094" s="15" t="n">
        <x:f>IF(E1094=0,"해당 없음",G1094/E1094)</x:f>
        <x:v>0.19230769230769232</x:v>
      </x:c>
      <x:c r="P1094" s="15" t="n">
        <x:f>IF(E1094=0,"해당 없음",H1094/E1094)</x:f>
        <x:v>0.07692307692307693</x:v>
      </x:c>
      <x:c r="Q1094" s="15" t="n">
        <x:f>IF(E1094=0,"해당 없음",I1094/E1094)</x:f>
        <x:v>0.07692307692307693</x:v>
      </x:c>
      <x:c r="R1094" s="15" t="n">
        <x:f>IF(E1094=0,"해당 없음",J1094/E1094)</x:f>
        <x:v>0.057692307692307696</x:v>
      </x:c>
      <x:c r="S1094" s="15" t="n">
        <x:f>IF(E1094=0,"해당 없음",K1094/E1094)</x:f>
        <x:v>0.09615384615384616</x:v>
      </x:c>
      <x:c r="T1094" s="15" t="n">
        <x:f>IF(E1094=0,"해당 없음",L1094/E1094)</x:f>
        <x:v>0.41346153846153844</x:v>
      </x:c>
      <x:c r="U1094" s="15" t="n">
        <x:f>IF(E1094=0,"해당 없음",M1094/E1094)</x:f>
        <x:v>0.04807692307692308</x:v>
      </x:c>
      <x:c r="V1094" s="16" t="n">
        <x:f>E1094/5</x:f>
        <x:v>20.8</x:v>
      </x:c>
    </x:row>
    <x:row r="1095" ht="22" customHeight="1">
      <x:c r="A1095" s="2" t="n">
        <x:v>545</x:v>
      </x:c>
      <x:c r="B1095" s="2" t="str">
        <x:v>NAVY</x:v>
      </x:c>
      <x:c r="C1095" s="2" t="str">
        <x:v>80만</x:v>
      </x:c>
      <x:c r="D1095" s="2" t="str">
        <x:v>40만</x:v>
      </x:c>
      <x:c r="E1095" s="14" t="n">
        <x:f>SUM(F1095:M1095)</x:f>
        <x:v>102</x:v>
      </x:c>
      <x:c r="F1095" s="14" t="n">
        <x:v>6</x:v>
      </x:c>
      <x:c r="G1095" s="14" t="n">
        <x:v>20</x:v>
      </x:c>
      <x:c r="H1095" s="14" t="n">
        <x:v>9</x:v>
      </x:c>
      <x:c r="I1095" s="14" t="n">
        <x:v>10</x:v>
      </x:c>
      <x:c r="J1095" s="14" t="n">
        <x:v>7</x:v>
      </x:c>
      <x:c r="K1095" s="14" t="n">
        <x:v>6</x:v>
      </x:c>
      <x:c r="L1095" s="14" t="n">
        <x:v>35</x:v>
      </x:c>
      <x:c r="M1095" s="14" t="n">
        <x:v>9</x:v>
      </x:c>
      <x:c r="N1095" s="15" t="n">
        <x:f>IF(E1095=0,"해당 없음",F1095/E1095)</x:f>
        <x:v>0.058823529411764705</x:v>
      </x:c>
      <x:c r="O1095" s="15" t="n">
        <x:f>IF(E1095=0,"해당 없음",G1095/E1095)</x:f>
        <x:v>0.19607843137254902</x:v>
      </x:c>
      <x:c r="P1095" s="15" t="n">
        <x:f>IF(E1095=0,"해당 없음",H1095/E1095)</x:f>
        <x:v>0.08823529411764706</x:v>
      </x:c>
      <x:c r="Q1095" s="15" t="n">
        <x:f>IF(E1095=0,"해당 없음",I1095/E1095)</x:f>
        <x:v>0.09803921568627451</x:v>
      </x:c>
      <x:c r="R1095" s="15" t="n">
        <x:f>IF(E1095=0,"해당 없음",J1095/E1095)</x:f>
        <x:v>0.06862745098039216</x:v>
      </x:c>
      <x:c r="S1095" s="15" t="n">
        <x:f>IF(E1095=0,"해당 없음",K1095/E1095)</x:f>
        <x:v>0.058823529411764705</x:v>
      </x:c>
      <x:c r="T1095" s="15" t="n">
        <x:f>IF(E1095=0,"해당 없음",L1095/E1095)</x:f>
        <x:v>0.3431372549019608</x:v>
      </x:c>
      <x:c r="U1095" s="15" t="n">
        <x:f>IF(E1095=0,"해당 없음",M1095/E1095)</x:f>
        <x:v>0.08823529411764706</x:v>
      </x:c>
      <x:c r="V1095" s="16" t="n">
        <x:f>E1095/5</x:f>
        <x:v>20.4</x:v>
      </x:c>
    </x:row>
    <x:row r="1096" ht="22" customHeight="1">
      <x:c r="A1096" s="2" t="n">
        <x:v>546</x:v>
      </x:c>
      <x:c r="B1096" s="2" t="str">
        <x:v>RED</x:v>
      </x:c>
      <x:c r="C1096" s="2" t="str">
        <x:v>80만</x:v>
      </x:c>
      <x:c r="D1096" s="2" t="str">
        <x:v>40만</x:v>
      </x:c>
      <x:c r="E1096" s="14" t="n">
        <x:f>SUM(F1096:M1096)</x:f>
        <x:v>102</x:v>
      </x:c>
      <x:c r="F1096" s="14" t="n">
        <x:v>6</x:v>
      </x:c>
      <x:c r="G1096" s="14" t="n">
        <x:v>17</x:v>
      </x:c>
      <x:c r="H1096" s="14" t="n">
        <x:v>7</x:v>
      </x:c>
      <x:c r="I1096" s="14" t="n">
        <x:v>7</x:v>
      </x:c>
      <x:c r="J1096" s="14" t="n">
        <x:v>3</x:v>
      </x:c>
      <x:c r="K1096" s="14" t="n">
        <x:v>11</x:v>
      </x:c>
      <x:c r="L1096" s="14" t="n">
        <x:v>38</x:v>
      </x:c>
      <x:c r="M1096" s="14" t="n">
        <x:v>13</x:v>
      </x:c>
      <x:c r="N1096" s="15" t="n">
        <x:f>IF(E1096=0,"해당 없음",F1096/E1096)</x:f>
        <x:v>0.058823529411764705</x:v>
      </x:c>
      <x:c r="O1096" s="15" t="n">
        <x:f>IF(E1096=0,"해당 없음",G1096/E1096)</x:f>
        <x:v>0.16666666666666666</x:v>
      </x:c>
      <x:c r="P1096" s="15" t="n">
        <x:f>IF(E1096=0,"해당 없음",H1096/E1096)</x:f>
        <x:v>0.06862745098039216</x:v>
      </x:c>
      <x:c r="Q1096" s="15" t="n">
        <x:f>IF(E1096=0,"해당 없음",I1096/E1096)</x:f>
        <x:v>0.06862745098039216</x:v>
      </x:c>
      <x:c r="R1096" s="15" t="n">
        <x:f>IF(E1096=0,"해당 없음",J1096/E1096)</x:f>
        <x:v>0.029411764705882353</x:v>
      </x:c>
      <x:c r="S1096" s="15" t="n">
        <x:f>IF(E1096=0,"해당 없음",K1096/E1096)</x:f>
        <x:v>0.10784313725490197</x:v>
      </x:c>
      <x:c r="T1096" s="15" t="n">
        <x:f>IF(E1096=0,"해당 없음",L1096/E1096)</x:f>
        <x:v>0.37254901960784315</x:v>
      </x:c>
      <x:c r="U1096" s="15" t="n">
        <x:f>IF(E1096=0,"해당 없음",M1096/E1096)</x:f>
        <x:v>0.12745098039215685</x:v>
      </x:c>
      <x:c r="V1096" s="16" t="n">
        <x:f>E1096/5</x:f>
        <x:v>20.4</x:v>
      </x:c>
    </x:row>
    <x:row r="1097" ht="22" customHeight="1">
      <x:c r="A1097" s="2" t="n">
        <x:v>546</x:v>
      </x:c>
      <x:c r="B1097" s="2" t="str">
        <x:v>NAVY</x:v>
      </x:c>
      <x:c r="C1097" s="2" t="str">
        <x:v>40만</x:v>
      </x:c>
      <x:c r="D1097" s="2" t="str">
        <x:v>80만</x:v>
      </x:c>
      <x:c r="E1097" s="14" t="n">
        <x:f>SUM(F1097:M1097)</x:f>
        <x:v>103</x:v>
      </x:c>
      <x:c r="F1097" s="14" t="n">
        <x:v>5</x:v>
      </x:c>
      <x:c r="G1097" s="14" t="n">
        <x:v>28</x:v>
      </x:c>
      <x:c r="H1097" s="14" t="n">
        <x:v>4</x:v>
      </x:c>
      <x:c r="I1097" s="14" t="n">
        <x:v>6</x:v>
      </x:c>
      <x:c r="J1097" s="14" t="n">
        <x:v>11</x:v>
      </x:c>
      <x:c r="K1097" s="14" t="n">
        <x:v>3</x:v>
      </x:c>
      <x:c r="L1097" s="14" t="n">
        <x:v>42</x:v>
      </x:c>
      <x:c r="M1097" s="14" t="n">
        <x:v>4</x:v>
      </x:c>
      <x:c r="N1097" s="15" t="n">
        <x:f>IF(E1097=0,"해당 없음",F1097/E1097)</x:f>
        <x:v>0.04854368932038835</x:v>
      </x:c>
      <x:c r="O1097" s="15" t="n">
        <x:f>IF(E1097=0,"해당 없음",G1097/E1097)</x:f>
        <x:v>0.27184466019417475</x:v>
      </x:c>
      <x:c r="P1097" s="15" t="n">
        <x:f>IF(E1097=0,"해당 없음",H1097/E1097)</x:f>
        <x:v>0.038834951456310676</x:v>
      </x:c>
      <x:c r="Q1097" s="15" t="n">
        <x:f>IF(E1097=0,"해당 없음",I1097/E1097)</x:f>
        <x:v>0.05825242718446602</x:v>
      </x:c>
      <x:c r="R1097" s="15" t="n">
        <x:f>IF(E1097=0,"해당 없음",J1097/E1097)</x:f>
        <x:v>0.10679611650485436</x:v>
      </x:c>
      <x:c r="S1097" s="15" t="n">
        <x:f>IF(E1097=0,"해당 없음",K1097/E1097)</x:f>
        <x:v>0.02912621359223301</x:v>
      </x:c>
      <x:c r="T1097" s="15" t="n">
        <x:f>IF(E1097=0,"해당 없음",L1097/E1097)</x:f>
        <x:v>0.4077669902912621</x:v>
      </x:c>
      <x:c r="U1097" s="15" t="n">
        <x:f>IF(E1097=0,"해당 없음",M1097/E1097)</x:f>
        <x:v>0.038834951456310676</x:v>
      </x:c>
      <x:c r="V1097" s="16" t="n">
        <x:f>E1097/5</x:f>
        <x:v>20.6</x:v>
      </x:c>
    </x:row>
    <x:row r="1098" ht="22" customHeight="1">
      <x:c r="A1098" s="2" t="n">
        <x:v>547</x:v>
      </x:c>
      <x:c r="B1098" s="2" t="str">
        <x:v>RED</x:v>
      </x:c>
      <x:c r="C1098" s="2" t="str">
        <x:v>40만</x:v>
      </x:c>
      <x:c r="D1098" s="2" t="str">
        <x:v>80만</x:v>
      </x:c>
      <x:c r="E1098" s="14" t="n">
        <x:f>SUM(F1098:M1098)</x:f>
        <x:v>104</x:v>
      </x:c>
      <x:c r="F1098" s="14" t="n">
        <x:v>2</x:v>
      </x:c>
      <x:c r="G1098" s="14" t="n">
        <x:v>25</x:v>
      </x:c>
      <x:c r="H1098" s="14" t="n">
        <x:v>6</x:v>
      </x:c>
      <x:c r="I1098" s="14" t="n">
        <x:v>9</x:v>
      </x:c>
      <x:c r="J1098" s="14" t="n">
        <x:v>2</x:v>
      </x:c>
      <x:c r="K1098" s="14" t="n">
        <x:v>10</x:v>
      </x:c>
      <x:c r="L1098" s="14" t="n">
        <x:v>41</x:v>
      </x:c>
      <x:c r="M1098" s="14" t="n">
        <x:v>9</x:v>
      </x:c>
      <x:c r="N1098" s="15" t="n">
        <x:f>IF(E1098=0,"해당 없음",F1098/E1098)</x:f>
        <x:v>0.019230769230769232</x:v>
      </x:c>
      <x:c r="O1098" s="15" t="n">
        <x:f>IF(E1098=0,"해당 없음",G1098/E1098)</x:f>
        <x:v>0.2403846153846154</x:v>
      </x:c>
      <x:c r="P1098" s="15" t="n">
        <x:f>IF(E1098=0,"해당 없음",H1098/E1098)</x:f>
        <x:v>0.057692307692307696</x:v>
      </x:c>
      <x:c r="Q1098" s="15" t="n">
        <x:f>IF(E1098=0,"해당 없음",I1098/E1098)</x:f>
        <x:v>0.08653846153846154</x:v>
      </x:c>
      <x:c r="R1098" s="15" t="n">
        <x:f>IF(E1098=0,"해당 없음",J1098/E1098)</x:f>
        <x:v>0.019230769230769232</x:v>
      </x:c>
      <x:c r="S1098" s="15" t="n">
        <x:f>IF(E1098=0,"해당 없음",K1098/E1098)</x:f>
        <x:v>0.09615384615384616</x:v>
      </x:c>
      <x:c r="T1098" s="15" t="n">
        <x:f>IF(E1098=0,"해당 없음",L1098/E1098)</x:f>
        <x:v>0.3942307692307692</x:v>
      </x:c>
      <x:c r="U1098" s="15" t="n">
        <x:f>IF(E1098=0,"해당 없음",M1098/E1098)</x:f>
        <x:v>0.08653846153846154</x:v>
      </x:c>
      <x:c r="V1098" s="16" t="n">
        <x:f>E1098/5</x:f>
        <x:v>20.8</x:v>
      </x:c>
    </x:row>
    <x:row r="1099" ht="22" customHeight="1">
      <x:c r="A1099" s="2" t="n">
        <x:v>547</x:v>
      </x:c>
      <x:c r="B1099" s="2" t="str">
        <x:v>NAVY</x:v>
      </x:c>
      <x:c r="C1099" s="2" t="str">
        <x:v>80만</x:v>
      </x:c>
      <x:c r="D1099" s="2" t="str">
        <x:v>40만</x:v>
      </x:c>
      <x:c r="E1099" s="14" t="n">
        <x:f>SUM(F1099:M1099)</x:f>
        <x:v>104</x:v>
      </x:c>
      <x:c r="F1099" s="14" t="n">
        <x:v>3</x:v>
      </x:c>
      <x:c r="G1099" s="14" t="n">
        <x:v>26</x:v>
      </x:c>
      <x:c r="H1099" s="14" t="n">
        <x:v>4</x:v>
      </x:c>
      <x:c r="I1099" s="14" t="n">
        <x:v>6</x:v>
      </x:c>
      <x:c r="J1099" s="14" t="n">
        <x:v>3</x:v>
      </x:c>
      <x:c r="K1099" s="14" t="n">
        <x:v>12</x:v>
      </x:c>
      <x:c r="L1099" s="14" t="n">
        <x:v>35</x:v>
      </x:c>
      <x:c r="M1099" s="14" t="n">
        <x:v>15</x:v>
      </x:c>
      <x:c r="N1099" s="15" t="n">
        <x:f>IF(E1099=0,"해당 없음",F1099/E1099)</x:f>
        <x:v>0.028846153846153848</x:v>
      </x:c>
      <x:c r="O1099" s="15" t="n">
        <x:f>IF(E1099=0,"해당 없음",G1099/E1099)</x:f>
        <x:v>0.25</x:v>
      </x:c>
      <x:c r="P1099" s="15" t="n">
        <x:f>IF(E1099=0,"해당 없음",H1099/E1099)</x:f>
        <x:v>0.038461538461538464</x:v>
      </x:c>
      <x:c r="Q1099" s="15" t="n">
        <x:f>IF(E1099=0,"해당 없음",I1099/E1099)</x:f>
        <x:v>0.057692307692307696</x:v>
      </x:c>
      <x:c r="R1099" s="15" t="n">
        <x:f>IF(E1099=0,"해당 없음",J1099/E1099)</x:f>
        <x:v>0.028846153846153848</x:v>
      </x:c>
      <x:c r="S1099" s="15" t="n">
        <x:f>IF(E1099=0,"해당 없음",K1099/E1099)</x:f>
        <x:v>0.11538461538461539</x:v>
      </x:c>
      <x:c r="T1099" s="15" t="n">
        <x:f>IF(E1099=0,"해당 없음",L1099/E1099)</x:f>
        <x:v>0.33653846153846156</x:v>
      </x:c>
      <x:c r="U1099" s="15" t="n">
        <x:f>IF(E1099=0,"해당 없음",M1099/E1099)</x:f>
        <x:v>0.14423076923076922</x:v>
      </x:c>
      <x:c r="V1099" s="16" t="n">
        <x:f>E1099/5</x:f>
        <x:v>20.8</x:v>
      </x:c>
    </x:row>
    <x:row r="1100" ht="22" customHeight="1">
      <x:c r="A1100" s="2" t="n">
        <x:v>548</x:v>
      </x:c>
      <x:c r="B1100" s="2" t="str">
        <x:v>RED</x:v>
      </x:c>
      <x:c r="C1100" s="2" t="str">
        <x:v>80만</x:v>
      </x:c>
      <x:c r="D1100" s="2" t="str">
        <x:v>40만</x:v>
      </x:c>
      <x:c r="E1100" s="14" t="n">
        <x:f>SUM(F1100:M1100)</x:f>
        <x:v>103</x:v>
      </x:c>
      <x:c r="F1100" s="14" t="n">
        <x:v>4</x:v>
      </x:c>
      <x:c r="G1100" s="14" t="n">
        <x:v>21</x:v>
      </x:c>
      <x:c r="H1100" s="14" t="n">
        <x:v>8</x:v>
      </x:c>
      <x:c r="I1100" s="14" t="n">
        <x:v>6</x:v>
      </x:c>
      <x:c r="J1100" s="14" t="n">
        <x:v>2</x:v>
      </x:c>
      <x:c r="K1100" s="14" t="n">
        <x:v>14</x:v>
      </x:c>
      <x:c r="L1100" s="14" t="n">
        <x:v>33</x:v>
      </x:c>
      <x:c r="M1100" s="14" t="n">
        <x:v>15</x:v>
      </x:c>
      <x:c r="N1100" s="15" t="n">
        <x:f>IF(E1100=0,"해당 없음",F1100/E1100)</x:f>
        <x:v>0.038834951456310676</x:v>
      </x:c>
      <x:c r="O1100" s="15" t="n">
        <x:f>IF(E1100=0,"해당 없음",G1100/E1100)</x:f>
        <x:v>0.20388349514563106</x:v>
      </x:c>
      <x:c r="P1100" s="15" t="n">
        <x:f>IF(E1100=0,"해당 없음",H1100/E1100)</x:f>
        <x:v>0.07766990291262135</x:v>
      </x:c>
      <x:c r="Q1100" s="15" t="n">
        <x:f>IF(E1100=0,"해당 없음",I1100/E1100)</x:f>
        <x:v>0.05825242718446602</x:v>
      </x:c>
      <x:c r="R1100" s="15" t="n">
        <x:f>IF(E1100=0,"해당 없음",J1100/E1100)</x:f>
        <x:v>0.019417475728155338</x:v>
      </x:c>
      <x:c r="S1100" s="15" t="n">
        <x:f>IF(E1100=0,"해당 없음",K1100/E1100)</x:f>
        <x:v>0.13592233009708737</x:v>
      </x:c>
      <x:c r="T1100" s="15" t="n">
        <x:f>IF(E1100=0,"해당 없음",L1100/E1100)</x:f>
        <x:v>0.32038834951456313</x:v>
      </x:c>
      <x:c r="U1100" s="15" t="n">
        <x:f>IF(E1100=0,"해당 없음",M1100/E1100)</x:f>
        <x:v>0.14563106796116504</x:v>
      </x:c>
      <x:c r="V1100" s="16" t="n">
        <x:f>E1100/5</x:f>
        <x:v>20.6</x:v>
      </x:c>
    </x:row>
    <x:row r="1101" ht="22" customHeight="1">
      <x:c r="A1101" s="2" t="n">
        <x:v>548</x:v>
      </x:c>
      <x:c r="B1101" s="2" t="str">
        <x:v>NAVY</x:v>
      </x:c>
      <x:c r="C1101" s="2" t="str">
        <x:v>40만</x:v>
      </x:c>
      <x:c r="D1101" s="2" t="str">
        <x:v>80만</x:v>
      </x:c>
      <x:c r="E1101" s="14" t="n">
        <x:f>SUM(F1101:M1101)</x:f>
        <x:v>104</x:v>
      </x:c>
      <x:c r="F1101" s="14" t="n">
        <x:v>6</x:v>
      </x:c>
      <x:c r="G1101" s="14" t="n">
        <x:v>30</x:v>
      </x:c>
      <x:c r="H1101" s="14" t="n">
        <x:v>7</x:v>
      </x:c>
      <x:c r="I1101" s="14" t="n">
        <x:v>3</x:v>
      </x:c>
      <x:c r="J1101" s="14" t="n">
        <x:v>7</x:v>
      </x:c>
      <x:c r="K1101" s="14" t="n">
        <x:v>5</x:v>
      </x:c>
      <x:c r="L1101" s="14" t="n">
        <x:v>40</x:v>
      </x:c>
      <x:c r="M1101" s="14" t="n">
        <x:v>6</x:v>
      </x:c>
      <x:c r="N1101" s="15" t="n">
        <x:f>IF(E1101=0,"해당 없음",F1101/E1101)</x:f>
        <x:v>0.057692307692307696</x:v>
      </x:c>
      <x:c r="O1101" s="15" t="n">
        <x:f>IF(E1101=0,"해당 없음",G1101/E1101)</x:f>
        <x:v>0.28846153846153844</x:v>
      </x:c>
      <x:c r="P1101" s="15" t="n">
        <x:f>IF(E1101=0,"해당 없음",H1101/E1101)</x:f>
        <x:v>0.0673076923076923</x:v>
      </x:c>
      <x:c r="Q1101" s="15" t="n">
        <x:f>IF(E1101=0,"해당 없음",I1101/E1101)</x:f>
        <x:v>0.028846153846153848</x:v>
      </x:c>
      <x:c r="R1101" s="15" t="n">
        <x:f>IF(E1101=0,"해당 없음",J1101/E1101)</x:f>
        <x:v>0.0673076923076923</x:v>
      </x:c>
      <x:c r="S1101" s="15" t="n">
        <x:f>IF(E1101=0,"해당 없음",K1101/E1101)</x:f>
        <x:v>0.04807692307692308</x:v>
      </x:c>
      <x:c r="T1101" s="15" t="n">
        <x:f>IF(E1101=0,"해당 없음",L1101/E1101)</x:f>
        <x:v>0.38461538461538464</x:v>
      </x:c>
      <x:c r="U1101" s="15" t="n">
        <x:f>IF(E1101=0,"해당 없음",M1101/E1101)</x:f>
        <x:v>0.057692307692307696</x:v>
      </x:c>
      <x:c r="V1101" s="16" t="n">
        <x:f>E1101/5</x:f>
        <x:v>20.8</x:v>
      </x:c>
    </x:row>
    <x:row r="1102" ht="22" customHeight="1">
      <x:c r="A1102" s="2" t="n">
        <x:v>549</x:v>
      </x:c>
      <x:c r="B1102" s="2" t="str">
        <x:v>RED</x:v>
      </x:c>
      <x:c r="C1102" s="2" t="str">
        <x:v>40만</x:v>
      </x:c>
      <x:c r="D1102" s="2" t="str">
        <x:v>80만</x:v>
      </x:c>
      <x:c r="E1102" s="14" t="n">
        <x:f>SUM(F1102:M1102)</x:f>
        <x:v>105</x:v>
      </x:c>
      <x:c r="F1102" s="14" t="n">
        <x:v>3</x:v>
      </x:c>
      <x:c r="G1102" s="14" t="n">
        <x:v>25</x:v>
      </x:c>
      <x:c r="H1102" s="14" t="n">
        <x:v>6</x:v>
      </x:c>
      <x:c r="I1102" s="14" t="n">
        <x:v>7</x:v>
      </x:c>
      <x:c r="J1102" s="14" t="n">
        <x:v>4</x:v>
      </x:c>
      <x:c r="K1102" s="14" t="n">
        <x:v>16</x:v>
      </x:c>
      <x:c r="L1102" s="14" t="n">
        <x:v>39</x:v>
      </x:c>
      <x:c r="M1102" s="14" t="n">
        <x:v>5</x:v>
      </x:c>
      <x:c r="N1102" s="15" t="n">
        <x:f>IF(E1102=0,"해당 없음",F1102/E1102)</x:f>
        <x:v>0.02857142857142857</x:v>
      </x:c>
      <x:c r="O1102" s="15" t="n">
        <x:f>IF(E1102=0,"해당 없음",G1102/E1102)</x:f>
        <x:v>0.23809523809523808</x:v>
      </x:c>
      <x:c r="P1102" s="15" t="n">
        <x:f>IF(E1102=0,"해당 없음",H1102/E1102)</x:f>
        <x:v>0.05714285714285714</x:v>
      </x:c>
      <x:c r="Q1102" s="15" t="n">
        <x:f>IF(E1102=0,"해당 없음",I1102/E1102)</x:f>
        <x:v>0.06666666666666667</x:v>
      </x:c>
      <x:c r="R1102" s="15" t="n">
        <x:f>IF(E1102=0,"해당 없음",J1102/E1102)</x:f>
        <x:v>0.0380952380952381</x:v>
      </x:c>
      <x:c r="S1102" s="15" t="n">
        <x:f>IF(E1102=0,"해당 없음",K1102/E1102)</x:f>
        <x:v>0.1523809523809524</x:v>
      </x:c>
      <x:c r="T1102" s="15" t="n">
        <x:f>IF(E1102=0,"해당 없음",L1102/E1102)</x:f>
        <x:v>0.37142857142857144</x:v>
      </x:c>
      <x:c r="U1102" s="15" t="n">
        <x:f>IF(E1102=0,"해당 없음",M1102/E1102)</x:f>
        <x:v>0.047619047619047616</x:v>
      </x:c>
      <x:c r="V1102" s="16" t="n">
        <x:f>E1102/5</x:f>
        <x:v>21</x:v>
      </x:c>
    </x:row>
    <x:row r="1103" ht="22" customHeight="1">
      <x:c r="A1103" s="2" t="n">
        <x:v>549</x:v>
      </x:c>
      <x:c r="B1103" s="2" t="str">
        <x:v>NAVY</x:v>
      </x:c>
      <x:c r="C1103" s="2" t="str">
        <x:v>80만</x:v>
      </x:c>
      <x:c r="D1103" s="2" t="str">
        <x:v>40만</x:v>
      </x:c>
      <x:c r="E1103" s="14" t="n">
        <x:f>SUM(F1103:M1103)</x:f>
        <x:v>104</x:v>
      </x:c>
      <x:c r="F1103" s="14" t="n">
        <x:v>5</x:v>
      </x:c>
      <x:c r="G1103" s="14" t="n">
        <x:v>18</x:v>
      </x:c>
      <x:c r="H1103" s="14" t="n">
        <x:v>4</x:v>
      </x:c>
      <x:c r="I1103" s="14" t="n">
        <x:v>6</x:v>
      </x:c>
      <x:c r="J1103" s="14" t="n">
        <x:v>2</x:v>
      </x:c>
      <x:c r="K1103" s="14" t="n">
        <x:v>6</x:v>
      </x:c>
      <x:c r="L1103" s="14" t="n">
        <x:v>41</x:v>
      </x:c>
      <x:c r="M1103" s="14" t="n">
        <x:v>22</x:v>
      </x:c>
      <x:c r="N1103" s="15" t="n">
        <x:f>IF(E1103=0,"해당 없음",F1103/E1103)</x:f>
        <x:v>0.04807692307692308</x:v>
      </x:c>
      <x:c r="O1103" s="15" t="n">
        <x:f>IF(E1103=0,"해당 없음",G1103/E1103)</x:f>
        <x:v>0.17307692307692307</x:v>
      </x:c>
      <x:c r="P1103" s="15" t="n">
        <x:f>IF(E1103=0,"해당 없음",H1103/E1103)</x:f>
        <x:v>0.038461538461538464</x:v>
      </x:c>
      <x:c r="Q1103" s="15" t="n">
        <x:f>IF(E1103=0,"해당 없음",I1103/E1103)</x:f>
        <x:v>0.057692307692307696</x:v>
      </x:c>
      <x:c r="R1103" s="15" t="n">
        <x:f>IF(E1103=0,"해당 없음",J1103/E1103)</x:f>
        <x:v>0.019230769230769232</x:v>
      </x:c>
      <x:c r="S1103" s="15" t="n">
        <x:f>IF(E1103=0,"해당 없음",K1103/E1103)</x:f>
        <x:v>0.057692307692307696</x:v>
      </x:c>
      <x:c r="T1103" s="15" t="n">
        <x:f>IF(E1103=0,"해당 없음",L1103/E1103)</x:f>
        <x:v>0.3942307692307692</x:v>
      </x:c>
      <x:c r="U1103" s="15" t="n">
        <x:f>IF(E1103=0,"해당 없음",M1103/E1103)</x:f>
        <x:v>0.21153846153846154</x:v>
      </x:c>
      <x:c r="V1103" s="16" t="n">
        <x:f>E1103/5</x:f>
        <x:v>20.8</x:v>
      </x:c>
    </x:row>
    <x:row r="1104" ht="22" customHeight="1">
      <x:c r="A1104" s="2" t="n">
        <x:v>550</x:v>
      </x:c>
      <x:c r="B1104" s="2" t="str">
        <x:v>RED</x:v>
      </x:c>
      <x:c r="C1104" s="2" t="str">
        <x:v>80만</x:v>
      </x:c>
      <x:c r="D1104" s="2" t="str">
        <x:v>40만</x:v>
      </x:c>
      <x:c r="E1104" s="14" t="n">
        <x:f>SUM(F1104:M1104)</x:f>
        <x:v>103</x:v>
      </x:c>
      <x:c r="F1104" s="14" t="n">
        <x:v>6</x:v>
      </x:c>
      <x:c r="G1104" s="14" t="n">
        <x:v>23</x:v>
      </x:c>
      <x:c r="H1104" s="14" t="n">
        <x:v>8</x:v>
      </x:c>
      <x:c r="I1104" s="14" t="n">
        <x:v>5</x:v>
      </x:c>
      <x:c r="J1104" s="14" t="n">
        <x:v>0</x:v>
      </x:c>
      <x:c r="K1104" s="14" t="n">
        <x:v>12</x:v>
      </x:c>
      <x:c r="L1104" s="14" t="n">
        <x:v>34</x:v>
      </x:c>
      <x:c r="M1104" s="14" t="n">
        <x:v>15</x:v>
      </x:c>
      <x:c r="N1104" s="15" t="n">
        <x:f>IF(E1104=0,"해당 없음",F1104/E1104)</x:f>
        <x:v>0.05825242718446602</x:v>
      </x:c>
      <x:c r="O1104" s="15" t="n">
        <x:f>IF(E1104=0,"해당 없음",G1104/E1104)</x:f>
        <x:v>0.22330097087378642</x:v>
      </x:c>
      <x:c r="P1104" s="15" t="n">
        <x:f>IF(E1104=0,"해당 없음",H1104/E1104)</x:f>
        <x:v>0.07766990291262135</x:v>
      </x:c>
      <x:c r="Q1104" s="15" t="n">
        <x:f>IF(E1104=0,"해당 없음",I1104/E1104)</x:f>
        <x:v>0.04854368932038835</x:v>
      </x:c>
      <x:c r="R1104" s="15" t="n">
        <x:f>IF(E1104=0,"해당 없음",J1104/E1104)</x:f>
        <x:v>0</x:v>
      </x:c>
      <x:c r="S1104" s="15" t="n">
        <x:f>IF(E1104=0,"해당 없음",K1104/E1104)</x:f>
        <x:v>0.11650485436893204</x:v>
      </x:c>
      <x:c r="T1104" s="15" t="n">
        <x:f>IF(E1104=0,"해당 없음",L1104/E1104)</x:f>
        <x:v>0.3300970873786408</x:v>
      </x:c>
      <x:c r="U1104" s="15" t="n">
        <x:f>IF(E1104=0,"해당 없음",M1104/E1104)</x:f>
        <x:v>0.14563106796116504</x:v>
      </x:c>
      <x:c r="V1104" s="16" t="n">
        <x:f>E1104/5</x:f>
        <x:v>20.6</x:v>
      </x:c>
    </x:row>
    <x:row r="1105" ht="22" customHeight="1">
      <x:c r="A1105" s="2" t="n">
        <x:v>550</x:v>
      </x:c>
      <x:c r="B1105" s="2" t="str">
        <x:v>NAVY</x:v>
      </x:c>
      <x:c r="C1105" s="2" t="str">
        <x:v>40만</x:v>
      </x:c>
      <x:c r="D1105" s="2" t="str">
        <x:v>80만</x:v>
      </x:c>
      <x:c r="E1105" s="14" t="n">
        <x:f>SUM(F1105:M1105)</x:f>
        <x:v>103</x:v>
      </x:c>
      <x:c r="F1105" s="14" t="n">
        <x:v>3</x:v>
      </x:c>
      <x:c r="G1105" s="14" t="n">
        <x:v>28</x:v>
      </x:c>
      <x:c r="H1105" s="14" t="n">
        <x:v>7</x:v>
      </x:c>
      <x:c r="I1105" s="14" t="n">
        <x:v>4</x:v>
      </x:c>
      <x:c r="J1105" s="14" t="n">
        <x:v>6</x:v>
      </x:c>
      <x:c r="K1105" s="14" t="n">
        <x:v>8</x:v>
      </x:c>
      <x:c r="L1105" s="14" t="n">
        <x:v>42</x:v>
      </x:c>
      <x:c r="M1105" s="14" t="n">
        <x:v>5</x:v>
      </x:c>
      <x:c r="N1105" s="15" t="n">
        <x:f>IF(E1105=0,"해당 없음",F1105/E1105)</x:f>
        <x:v>0.02912621359223301</x:v>
      </x:c>
      <x:c r="O1105" s="15" t="n">
        <x:f>IF(E1105=0,"해당 없음",G1105/E1105)</x:f>
        <x:v>0.27184466019417475</x:v>
      </x:c>
      <x:c r="P1105" s="15" t="n">
        <x:f>IF(E1105=0,"해당 없음",H1105/E1105)</x:f>
        <x:v>0.06796116504854369</x:v>
      </x:c>
      <x:c r="Q1105" s="15" t="n">
        <x:f>IF(E1105=0,"해당 없음",I1105/E1105)</x:f>
        <x:v>0.038834951456310676</x:v>
      </x:c>
      <x:c r="R1105" s="15" t="n">
        <x:f>IF(E1105=0,"해당 없음",J1105/E1105)</x:f>
        <x:v>0.05825242718446602</x:v>
      </x:c>
      <x:c r="S1105" s="15" t="n">
        <x:f>IF(E1105=0,"해당 없음",K1105/E1105)</x:f>
        <x:v>0.07766990291262135</x:v>
      </x:c>
      <x:c r="T1105" s="15" t="n">
        <x:f>IF(E1105=0,"해당 없음",L1105/E1105)</x:f>
        <x:v>0.4077669902912621</x:v>
      </x:c>
      <x:c r="U1105" s="15" t="n">
        <x:f>IF(E1105=0,"해당 없음",M1105/E1105)</x:f>
        <x:v>0.04854368932038835</x:v>
      </x:c>
      <x:c r="V1105" s="16" t="n">
        <x:f>E1105/5</x:f>
        <x:v>20.6</x:v>
      </x:c>
    </x:row>
    <x:row r="1106" ht="22" customHeight="1">
      <x:c r="A1106" s="2" t="n">
        <x:v>551</x:v>
      </x:c>
      <x:c r="B1106" s="2" t="str">
        <x:v>RED</x:v>
      </x:c>
      <x:c r="C1106" s="2" t="str">
        <x:v>40만</x:v>
      </x:c>
      <x:c r="D1106" s="2" t="str">
        <x:v>80만</x:v>
      </x:c>
      <x:c r="E1106" s="14" t="n">
        <x:f>SUM(F1106:M1106)</x:f>
        <x:v>104</x:v>
      </x:c>
      <x:c r="F1106" s="14" t="n">
        <x:v>4</x:v>
      </x:c>
      <x:c r="G1106" s="14" t="n">
        <x:v>30</x:v>
      </x:c>
      <x:c r="H1106" s="14" t="n">
        <x:v>4</x:v>
      </x:c>
      <x:c r="I1106" s="14" t="n">
        <x:v>9</x:v>
      </x:c>
      <x:c r="J1106" s="14" t="n">
        <x:v>6</x:v>
      </x:c>
      <x:c r="K1106" s="14" t="n">
        <x:v>7</x:v>
      </x:c>
      <x:c r="L1106" s="14" t="n">
        <x:v>42</x:v>
      </x:c>
      <x:c r="M1106" s="14" t="n">
        <x:v>2</x:v>
      </x:c>
      <x:c r="N1106" s="15" t="n">
        <x:f>IF(E1106=0,"해당 없음",F1106/E1106)</x:f>
        <x:v>0.038461538461538464</x:v>
      </x:c>
      <x:c r="O1106" s="15" t="n">
        <x:f>IF(E1106=0,"해당 없음",G1106/E1106)</x:f>
        <x:v>0.28846153846153844</x:v>
      </x:c>
      <x:c r="P1106" s="15" t="n">
        <x:f>IF(E1106=0,"해당 없음",H1106/E1106)</x:f>
        <x:v>0.038461538461538464</x:v>
      </x:c>
      <x:c r="Q1106" s="15" t="n">
        <x:f>IF(E1106=0,"해당 없음",I1106/E1106)</x:f>
        <x:v>0.08653846153846154</x:v>
      </x:c>
      <x:c r="R1106" s="15" t="n">
        <x:f>IF(E1106=0,"해당 없음",J1106/E1106)</x:f>
        <x:v>0.057692307692307696</x:v>
      </x:c>
      <x:c r="S1106" s="15" t="n">
        <x:f>IF(E1106=0,"해당 없음",K1106/E1106)</x:f>
        <x:v>0.0673076923076923</x:v>
      </x:c>
      <x:c r="T1106" s="15" t="n">
        <x:f>IF(E1106=0,"해당 없음",L1106/E1106)</x:f>
        <x:v>0.40384615384615385</x:v>
      </x:c>
      <x:c r="U1106" s="15" t="n">
        <x:f>IF(E1106=0,"해당 없음",M1106/E1106)</x:f>
        <x:v>0.019230769230769232</x:v>
      </x:c>
      <x:c r="V1106" s="16" t="n">
        <x:f>E1106/5</x:f>
        <x:v>20.8</x:v>
      </x:c>
    </x:row>
    <x:row r="1107" ht="22" customHeight="1">
      <x:c r="A1107" s="2" t="n">
        <x:v>551</x:v>
      </x:c>
      <x:c r="B1107" s="2" t="str">
        <x:v>NAVY</x:v>
      </x:c>
      <x:c r="C1107" s="2" t="str">
        <x:v>80만</x:v>
      </x:c>
      <x:c r="D1107" s="2" t="str">
        <x:v>40만</x:v>
      </x:c>
      <x:c r="E1107" s="14" t="n">
        <x:f>SUM(F1107:M1107)</x:f>
        <x:v>105</x:v>
      </x:c>
      <x:c r="F1107" s="14" t="n">
        <x:v>1</x:v>
      </x:c>
      <x:c r="G1107" s="14" t="n">
        <x:v>28</x:v>
      </x:c>
      <x:c r="H1107" s="14" t="n">
        <x:v>18</x:v>
      </x:c>
      <x:c r="I1107" s="14" t="n">
        <x:v>2</x:v>
      </x:c>
      <x:c r="J1107" s="14" t="n">
        <x:v>4</x:v>
      </x:c>
      <x:c r="K1107" s="14" t="n">
        <x:v>6</x:v>
      </x:c>
      <x:c r="L1107" s="14" t="n">
        <x:v>38</x:v>
      </x:c>
      <x:c r="M1107" s="14" t="n">
        <x:v>8</x:v>
      </x:c>
      <x:c r="N1107" s="15" t="n">
        <x:f>IF(E1107=0,"해당 없음",F1107/E1107)</x:f>
        <x:v>0.009523809523809525</x:v>
      </x:c>
      <x:c r="O1107" s="15" t="n">
        <x:f>IF(E1107=0,"해당 없음",G1107/E1107)</x:f>
        <x:v>0.26666666666666666</x:v>
      </x:c>
      <x:c r="P1107" s="15" t="n">
        <x:f>IF(E1107=0,"해당 없음",H1107/E1107)</x:f>
        <x:v>0.17142857142857143</x:v>
      </x:c>
      <x:c r="Q1107" s="15" t="n">
        <x:f>IF(E1107=0,"해당 없음",I1107/E1107)</x:f>
        <x:v>0.01904761904761905</x:v>
      </x:c>
      <x:c r="R1107" s="15" t="n">
        <x:f>IF(E1107=0,"해당 없음",J1107/E1107)</x:f>
        <x:v>0.0380952380952381</x:v>
      </x:c>
      <x:c r="S1107" s="15" t="n">
        <x:f>IF(E1107=0,"해당 없음",K1107/E1107)</x:f>
        <x:v>0.05714285714285714</x:v>
      </x:c>
      <x:c r="T1107" s="15" t="n">
        <x:f>IF(E1107=0,"해당 없음",L1107/E1107)</x:f>
        <x:v>0.3619047619047619</x:v>
      </x:c>
      <x:c r="U1107" s="15" t="n">
        <x:f>IF(E1107=0,"해당 없음",M1107/E1107)</x:f>
        <x:v>0.0761904761904762</x:v>
      </x:c>
      <x:c r="V1107" s="16" t="n">
        <x:f>E1107/5</x:f>
        <x:v>21</x:v>
      </x:c>
    </x:row>
    <x:row r="1108" ht="22" customHeight="1">
      <x:c r="A1108" s="2" t="n">
        <x:v>552</x:v>
      </x:c>
      <x:c r="B1108" s="2" t="str">
        <x:v>RED</x:v>
      </x:c>
      <x:c r="C1108" s="2" t="str">
        <x:v>80만</x:v>
      </x:c>
      <x:c r="D1108" s="2" t="str">
        <x:v>40만</x:v>
      </x:c>
      <x:c r="E1108" s="14" t="n">
        <x:f>SUM(F1108:M1108)</x:f>
        <x:v>106</x:v>
      </x:c>
      <x:c r="F1108" s="14" t="n">
        <x:v>2</x:v>
      </x:c>
      <x:c r="G1108" s="14" t="n">
        <x:v>16</x:v>
      </x:c>
      <x:c r="H1108" s="14" t="n">
        <x:v>5</x:v>
      </x:c>
      <x:c r="I1108" s="14" t="n">
        <x:v>12</x:v>
      </x:c>
      <x:c r="J1108" s="14" t="n">
        <x:v>0</x:v>
      </x:c>
      <x:c r="K1108" s="14" t="n">
        <x:v>11</x:v>
      </x:c>
      <x:c r="L1108" s="14" t="n">
        <x:v>43</x:v>
      </x:c>
      <x:c r="M1108" s="14" t="n">
        <x:v>17</x:v>
      </x:c>
      <x:c r="N1108" s="15" t="n">
        <x:f>IF(E1108=0,"해당 없음",F1108/E1108)</x:f>
        <x:v>0.018867924528301886</x:v>
      </x:c>
      <x:c r="O1108" s="15" t="n">
        <x:f>IF(E1108=0,"해당 없음",G1108/E1108)</x:f>
        <x:v>0.1509433962264151</x:v>
      </x:c>
      <x:c r="P1108" s="15" t="n">
        <x:f>IF(E1108=0,"해당 없음",H1108/E1108)</x:f>
        <x:v>0.04716981132075472</x:v>
      </x:c>
      <x:c r="Q1108" s="15" t="n">
        <x:f>IF(E1108=0,"해당 없음",I1108/E1108)</x:f>
        <x:v>0.11320754716981132</x:v>
      </x:c>
      <x:c r="R1108" s="15" t="n">
        <x:f>IF(E1108=0,"해당 없음",J1108/E1108)</x:f>
        <x:v>0</x:v>
      </x:c>
      <x:c r="S1108" s="15" t="n">
        <x:f>IF(E1108=0,"해당 없음",K1108/E1108)</x:f>
        <x:v>0.10377358490566038</x:v>
      </x:c>
      <x:c r="T1108" s="15" t="n">
        <x:f>IF(E1108=0,"해당 없음",L1108/E1108)</x:f>
        <x:v>0.4056603773584906</x:v>
      </x:c>
      <x:c r="U1108" s="15" t="n">
        <x:f>IF(E1108=0,"해당 없음",M1108/E1108)</x:f>
        <x:v>0.16037735849056603</x:v>
      </x:c>
      <x:c r="V1108" s="16" t="n">
        <x:f>E1108/5</x:f>
        <x:v>21.2</x:v>
      </x:c>
    </x:row>
    <x:row r="1109" ht="22" customHeight="1">
      <x:c r="A1109" s="2" t="n">
        <x:v>552</x:v>
      </x:c>
      <x:c r="B1109" s="2" t="str">
        <x:v>NAVY</x:v>
      </x:c>
      <x:c r="C1109" s="2" t="str">
        <x:v>40만</x:v>
      </x:c>
      <x:c r="D1109" s="2" t="str">
        <x:v>80만</x:v>
      </x:c>
      <x:c r="E1109" s="14" t="n">
        <x:f>SUM(F1109:M1109)</x:f>
        <x:v>104</x:v>
      </x:c>
      <x:c r="F1109" s="14" t="n">
        <x:v>7</x:v>
      </x:c>
      <x:c r="G1109" s="14" t="n">
        <x:v>27</x:v>
      </x:c>
      <x:c r="H1109" s="14" t="n">
        <x:v>7</x:v>
      </x:c>
      <x:c r="I1109" s="14" t="n">
        <x:v>3</x:v>
      </x:c>
      <x:c r="J1109" s="14" t="n">
        <x:v>5</x:v>
      </x:c>
      <x:c r="K1109" s="14" t="n">
        <x:v>12</x:v>
      </x:c>
      <x:c r="L1109" s="14" t="n">
        <x:v>40</x:v>
      </x:c>
      <x:c r="M1109" s="14" t="n">
        <x:v>3</x:v>
      </x:c>
      <x:c r="N1109" s="15" t="n">
        <x:f>IF(E1109=0,"해당 없음",F1109/E1109)</x:f>
        <x:v>0.0673076923076923</x:v>
      </x:c>
      <x:c r="O1109" s="15" t="n">
        <x:f>IF(E1109=0,"해당 없음",G1109/E1109)</x:f>
        <x:v>0.25961538461538464</x:v>
      </x:c>
      <x:c r="P1109" s="15" t="n">
        <x:f>IF(E1109=0,"해당 없음",H1109/E1109)</x:f>
        <x:v>0.0673076923076923</x:v>
      </x:c>
      <x:c r="Q1109" s="15" t="n">
        <x:f>IF(E1109=0,"해당 없음",I1109/E1109)</x:f>
        <x:v>0.028846153846153848</x:v>
      </x:c>
      <x:c r="R1109" s="15" t="n">
        <x:f>IF(E1109=0,"해당 없음",J1109/E1109)</x:f>
        <x:v>0.04807692307692308</x:v>
      </x:c>
      <x:c r="S1109" s="15" t="n">
        <x:f>IF(E1109=0,"해당 없음",K1109/E1109)</x:f>
        <x:v>0.11538461538461539</x:v>
      </x:c>
      <x:c r="T1109" s="15" t="n">
        <x:f>IF(E1109=0,"해당 없음",L1109/E1109)</x:f>
        <x:v>0.38461538461538464</x:v>
      </x:c>
      <x:c r="U1109" s="15" t="n">
        <x:f>IF(E1109=0,"해당 없음",M1109/E1109)</x:f>
        <x:v>0.028846153846153848</x:v>
      </x:c>
      <x:c r="V1109" s="16" t="n">
        <x:f>E1109/5</x:f>
        <x:v>20.8</x:v>
      </x:c>
    </x:row>
    <x:row r="1110" ht="22" customHeight="1">
      <x:c r="A1110" s="2" t="n">
        <x:v>553</x:v>
      </x:c>
      <x:c r="B1110" s="2" t="str">
        <x:v>RED</x:v>
      </x:c>
      <x:c r="C1110" s="2" t="str">
        <x:v>40만</x:v>
      </x:c>
      <x:c r="D1110" s="2" t="str">
        <x:v>80만</x:v>
      </x:c>
      <x:c r="E1110" s="14" t="n">
        <x:f>SUM(F1110:M1110)</x:f>
        <x:v>104</x:v>
      </x:c>
      <x:c r="F1110" s="14" t="n">
        <x:v>1</x:v>
      </x:c>
      <x:c r="G1110" s="14" t="n">
        <x:v>30</x:v>
      </x:c>
      <x:c r="H1110" s="14" t="n">
        <x:v>3</x:v>
      </x:c>
      <x:c r="I1110" s="14" t="n">
        <x:v>8</x:v>
      </x:c>
      <x:c r="J1110" s="14" t="n">
        <x:v>7</x:v>
      </x:c>
      <x:c r="K1110" s="14" t="n">
        <x:v>8</x:v>
      </x:c>
      <x:c r="L1110" s="14" t="n">
        <x:v>44</x:v>
      </x:c>
      <x:c r="M1110" s="14" t="n">
        <x:v>3</x:v>
      </x:c>
      <x:c r="N1110" s="15" t="n">
        <x:f>IF(E1110=0,"해당 없음",F1110/E1110)</x:f>
        <x:v>0.009615384615384616</x:v>
      </x:c>
      <x:c r="O1110" s="15" t="n">
        <x:f>IF(E1110=0,"해당 없음",G1110/E1110)</x:f>
        <x:v>0.28846153846153844</x:v>
      </x:c>
      <x:c r="P1110" s="15" t="n">
        <x:f>IF(E1110=0,"해당 없음",H1110/E1110)</x:f>
        <x:v>0.028846153846153848</x:v>
      </x:c>
      <x:c r="Q1110" s="15" t="n">
        <x:f>IF(E1110=0,"해당 없음",I1110/E1110)</x:f>
        <x:v>0.07692307692307693</x:v>
      </x:c>
      <x:c r="R1110" s="15" t="n">
        <x:f>IF(E1110=0,"해당 없음",J1110/E1110)</x:f>
        <x:v>0.0673076923076923</x:v>
      </x:c>
      <x:c r="S1110" s="15" t="n">
        <x:f>IF(E1110=0,"해당 없음",K1110/E1110)</x:f>
        <x:v>0.07692307692307693</x:v>
      </x:c>
      <x:c r="T1110" s="15" t="n">
        <x:f>IF(E1110=0,"해당 없음",L1110/E1110)</x:f>
        <x:v>0.4230769230769231</x:v>
      </x:c>
      <x:c r="U1110" s="15" t="n">
        <x:f>IF(E1110=0,"해당 없음",M1110/E1110)</x:f>
        <x:v>0.028846153846153848</x:v>
      </x:c>
      <x:c r="V1110" s="16" t="n">
        <x:f>E1110/5</x:f>
        <x:v>20.8</x:v>
      </x:c>
    </x:row>
    <x:row r="1111" ht="22" customHeight="1">
      <x:c r="A1111" s="2" t="n">
        <x:v>553</x:v>
      </x:c>
      <x:c r="B1111" s="2" t="str">
        <x:v>NAVY</x:v>
      </x:c>
      <x:c r="C1111" s="2" t="str">
        <x:v>80만</x:v>
      </x:c>
      <x:c r="D1111" s="2" t="str">
        <x:v>40만</x:v>
      </x:c>
      <x:c r="E1111" s="14" t="n">
        <x:f>SUM(F1111:M1111)</x:f>
        <x:v>103</x:v>
      </x:c>
      <x:c r="F1111" s="14" t="n">
        <x:v>7</x:v>
      </x:c>
      <x:c r="G1111" s="14" t="n">
        <x:v>17</x:v>
      </x:c>
      <x:c r="H1111" s="14" t="n">
        <x:v>4</x:v>
      </x:c>
      <x:c r="I1111" s="14" t="n">
        <x:v>8</x:v>
      </x:c>
      <x:c r="J1111" s="14" t="n">
        <x:v>2</x:v>
      </x:c>
      <x:c r="K1111" s="14" t="n">
        <x:v>4</x:v>
      </x:c>
      <x:c r="L1111" s="14" t="n">
        <x:v>38</x:v>
      </x:c>
      <x:c r="M1111" s="14" t="n">
        <x:v>23</x:v>
      </x:c>
      <x:c r="N1111" s="15" t="n">
        <x:f>IF(E1111=0,"해당 없음",F1111/E1111)</x:f>
        <x:v>0.06796116504854369</x:v>
      </x:c>
      <x:c r="O1111" s="15" t="n">
        <x:f>IF(E1111=0,"해당 없음",G1111/E1111)</x:f>
        <x:v>0.1650485436893204</x:v>
      </x:c>
      <x:c r="P1111" s="15" t="n">
        <x:f>IF(E1111=0,"해당 없음",H1111/E1111)</x:f>
        <x:v>0.038834951456310676</x:v>
      </x:c>
      <x:c r="Q1111" s="15" t="n">
        <x:f>IF(E1111=0,"해당 없음",I1111/E1111)</x:f>
        <x:v>0.07766990291262135</x:v>
      </x:c>
      <x:c r="R1111" s="15" t="n">
        <x:f>IF(E1111=0,"해당 없음",J1111/E1111)</x:f>
        <x:v>0.019417475728155338</x:v>
      </x:c>
      <x:c r="S1111" s="15" t="n">
        <x:f>IF(E1111=0,"해당 없음",K1111/E1111)</x:f>
        <x:v>0.038834951456310676</x:v>
      </x:c>
      <x:c r="T1111" s="15" t="n">
        <x:f>IF(E1111=0,"해당 없음",L1111/E1111)</x:f>
        <x:v>0.36893203883495146</x:v>
      </x:c>
      <x:c r="U1111" s="15" t="n">
        <x:f>IF(E1111=0,"해당 없음",M1111/E1111)</x:f>
        <x:v>0.22330097087378642</x:v>
      </x:c>
      <x:c r="V1111" s="16" t="n">
        <x:f>E1111/5</x:f>
        <x:v>20.6</x:v>
      </x:c>
    </x:row>
    <x:row r="1112" ht="22" customHeight="1">
      <x:c r="A1112" s="2" t="n">
        <x:v>554</x:v>
      </x:c>
      <x:c r="B1112" s="2" t="str">
        <x:v>RED</x:v>
      </x:c>
      <x:c r="C1112" s="2" t="str">
        <x:v>80만</x:v>
      </x:c>
      <x:c r="D1112" s="2" t="str">
        <x:v>40만</x:v>
      </x:c>
      <x:c r="E1112" s="14" t="n">
        <x:f>SUM(F1112:M1112)</x:f>
        <x:v>104</x:v>
      </x:c>
      <x:c r="F1112" s="14" t="n">
        <x:v>1</x:v>
      </x:c>
      <x:c r="G1112" s="14" t="n">
        <x:v>13</x:v>
      </x:c>
      <x:c r="H1112" s="14" t="n">
        <x:v>9</x:v>
      </x:c>
      <x:c r="I1112" s="14" t="n">
        <x:v>7</x:v>
      </x:c>
      <x:c r="J1112" s="14" t="n">
        <x:v>5</x:v>
      </x:c>
      <x:c r="K1112" s="14" t="n">
        <x:v>7</x:v>
      </x:c>
      <x:c r="L1112" s="14" t="n">
        <x:v>39</x:v>
      </x:c>
      <x:c r="M1112" s="14" t="n">
        <x:v>23</x:v>
      </x:c>
      <x:c r="N1112" s="15" t="n">
        <x:f>IF(E1112=0,"해당 없음",F1112/E1112)</x:f>
        <x:v>0.009615384615384616</x:v>
      </x:c>
      <x:c r="O1112" s="15" t="n">
        <x:f>IF(E1112=0,"해당 없음",G1112/E1112)</x:f>
        <x:v>0.125</x:v>
      </x:c>
      <x:c r="P1112" s="15" t="n">
        <x:f>IF(E1112=0,"해당 없음",H1112/E1112)</x:f>
        <x:v>0.08653846153846154</x:v>
      </x:c>
      <x:c r="Q1112" s="15" t="n">
        <x:f>IF(E1112=0,"해당 없음",I1112/E1112)</x:f>
        <x:v>0.0673076923076923</x:v>
      </x:c>
      <x:c r="R1112" s="15" t="n">
        <x:f>IF(E1112=0,"해당 없음",J1112/E1112)</x:f>
        <x:v>0.04807692307692308</x:v>
      </x:c>
      <x:c r="S1112" s="15" t="n">
        <x:f>IF(E1112=0,"해당 없음",K1112/E1112)</x:f>
        <x:v>0.0673076923076923</x:v>
      </x:c>
      <x:c r="T1112" s="15" t="n">
        <x:f>IF(E1112=0,"해당 없음",L1112/E1112)</x:f>
        <x:v>0.375</x:v>
      </x:c>
      <x:c r="U1112" s="15" t="n">
        <x:f>IF(E1112=0,"해당 없음",M1112/E1112)</x:f>
        <x:v>0.22115384615384615</x:v>
      </x:c>
      <x:c r="V1112" s="16" t="n">
        <x:f>E1112/5</x:f>
        <x:v>20.8</x:v>
      </x:c>
    </x:row>
    <x:row r="1113" ht="22" customHeight="1">
      <x:c r="A1113" s="2" t="n">
        <x:v>554</x:v>
      </x:c>
      <x:c r="B1113" s="2" t="str">
        <x:v>NAVY</x:v>
      </x:c>
      <x:c r="C1113" s="2" t="str">
        <x:v>40만</x:v>
      </x:c>
      <x:c r="D1113" s="2" t="str">
        <x:v>80만</x:v>
      </x:c>
      <x:c r="E1113" s="14" t="n">
        <x:f>SUM(F1113:M1113)</x:f>
        <x:v>103</x:v>
      </x:c>
      <x:c r="F1113" s="14" t="n">
        <x:v>5</x:v>
      </x:c>
      <x:c r="G1113" s="14" t="n">
        <x:v>26</x:v>
      </x:c>
      <x:c r="H1113" s="14" t="n">
        <x:v>6</x:v>
      </x:c>
      <x:c r="I1113" s="14" t="n">
        <x:v>2</x:v>
      </x:c>
      <x:c r="J1113" s="14" t="n">
        <x:v>5</x:v>
      </x:c>
      <x:c r="K1113" s="14" t="n">
        <x:v>10</x:v>
      </x:c>
      <x:c r="L1113" s="14" t="n">
        <x:v>42</x:v>
      </x:c>
      <x:c r="M1113" s="14" t="n">
        <x:v>7</x:v>
      </x:c>
      <x:c r="N1113" s="15" t="n">
        <x:f>IF(E1113=0,"해당 없음",F1113/E1113)</x:f>
        <x:v>0.04854368932038835</x:v>
      </x:c>
      <x:c r="O1113" s="15" t="n">
        <x:f>IF(E1113=0,"해당 없음",G1113/E1113)</x:f>
        <x:v>0.2524271844660194</x:v>
      </x:c>
      <x:c r="P1113" s="15" t="n">
        <x:f>IF(E1113=0,"해당 없음",H1113/E1113)</x:f>
        <x:v>0.05825242718446602</x:v>
      </x:c>
      <x:c r="Q1113" s="15" t="n">
        <x:f>IF(E1113=0,"해당 없음",I1113/E1113)</x:f>
        <x:v>0.019417475728155338</x:v>
      </x:c>
      <x:c r="R1113" s="15" t="n">
        <x:f>IF(E1113=0,"해당 없음",J1113/E1113)</x:f>
        <x:v>0.04854368932038835</x:v>
      </x:c>
      <x:c r="S1113" s="15" t="n">
        <x:f>IF(E1113=0,"해당 없음",K1113/E1113)</x:f>
        <x:v>0.0970873786407767</x:v>
      </x:c>
      <x:c r="T1113" s="15" t="n">
        <x:f>IF(E1113=0,"해당 없음",L1113/E1113)</x:f>
        <x:v>0.4077669902912621</x:v>
      </x:c>
      <x:c r="U1113" s="15" t="n">
        <x:f>IF(E1113=0,"해당 없음",M1113/E1113)</x:f>
        <x:v>0.06796116504854369</x:v>
      </x:c>
      <x:c r="V1113" s="16" t="n">
        <x:f>E1113/5</x:f>
        <x:v>20.6</x:v>
      </x:c>
    </x:row>
    <x:row r="1114" ht="22" customHeight="1">
      <x:c r="A1114" s="2" t="n">
        <x:v>555</x:v>
      </x:c>
      <x:c r="B1114" s="2" t="str">
        <x:v>RED</x:v>
      </x:c>
      <x:c r="C1114" s="2" t="str">
        <x:v>40만</x:v>
      </x:c>
      <x:c r="D1114" s="2" t="str">
        <x:v>80만</x:v>
      </x:c>
      <x:c r="E1114" s="14" t="n">
        <x:f>SUM(F1114:M1114)</x:f>
        <x:v>105</x:v>
      </x:c>
      <x:c r="F1114" s="14" t="n">
        <x:v>6</x:v>
      </x:c>
      <x:c r="G1114" s="14" t="n">
        <x:v>29</x:v>
      </x:c>
      <x:c r="H1114" s="14" t="n">
        <x:v>8</x:v>
      </x:c>
      <x:c r="I1114" s="14" t="n">
        <x:v>6</x:v>
      </x:c>
      <x:c r="J1114" s="14" t="n">
        <x:v>7</x:v>
      </x:c>
      <x:c r="K1114" s="14" t="n">
        <x:v>10</x:v>
      </x:c>
      <x:c r="L1114" s="14" t="n">
        <x:v>36</x:v>
      </x:c>
      <x:c r="M1114" s="14" t="n">
        <x:v>3</x:v>
      </x:c>
      <x:c r="N1114" s="15" t="n">
        <x:f>IF(E1114=0,"해당 없음",F1114/E1114)</x:f>
        <x:v>0.05714285714285714</x:v>
      </x:c>
      <x:c r="O1114" s="15" t="n">
        <x:f>IF(E1114=0,"해당 없음",G1114/E1114)</x:f>
        <x:v>0.2761904761904762</x:v>
      </x:c>
      <x:c r="P1114" s="15" t="n">
        <x:f>IF(E1114=0,"해당 없음",H1114/E1114)</x:f>
        <x:v>0.0761904761904762</x:v>
      </x:c>
      <x:c r="Q1114" s="15" t="n">
        <x:f>IF(E1114=0,"해당 없음",I1114/E1114)</x:f>
        <x:v>0.05714285714285714</x:v>
      </x:c>
      <x:c r="R1114" s="15" t="n">
        <x:f>IF(E1114=0,"해당 없음",J1114/E1114)</x:f>
        <x:v>0.06666666666666667</x:v>
      </x:c>
      <x:c r="S1114" s="15" t="n">
        <x:f>IF(E1114=0,"해당 없음",K1114/E1114)</x:f>
        <x:v>0.09523809523809523</x:v>
      </x:c>
      <x:c r="T1114" s="15" t="n">
        <x:f>IF(E1114=0,"해당 없음",L1114/E1114)</x:f>
        <x:v>0.34285714285714286</x:v>
      </x:c>
      <x:c r="U1114" s="15" t="n">
        <x:f>IF(E1114=0,"해당 없음",M1114/E1114)</x:f>
        <x:v>0.02857142857142857</x:v>
      </x:c>
      <x:c r="V1114" s="16" t="n">
        <x:f>E1114/5</x:f>
        <x:v>21</x:v>
      </x:c>
    </x:row>
    <x:row r="1115" ht="22" customHeight="1">
      <x:c r="A1115" s="2" t="n">
        <x:v>555</x:v>
      </x:c>
      <x:c r="B1115" s="2" t="str">
        <x:v>NAVY</x:v>
      </x:c>
      <x:c r="C1115" s="2" t="str">
        <x:v>80만</x:v>
      </x:c>
      <x:c r="D1115" s="2" t="str">
        <x:v>40만</x:v>
      </x:c>
      <x:c r="E1115" s="14" t="n">
        <x:f>SUM(F1115:M1115)</x:f>
        <x:v>103</x:v>
      </x:c>
      <x:c r="F1115" s="14" t="n">
        <x:v>5</x:v>
      </x:c>
      <x:c r="G1115" s="14" t="n">
        <x:v>19</x:v>
      </x:c>
      <x:c r="H1115" s="14" t="n">
        <x:v>8</x:v>
      </x:c>
      <x:c r="I1115" s="14" t="n">
        <x:v>10</x:v>
      </x:c>
      <x:c r="J1115" s="14" t="n">
        <x:v>1</x:v>
      </x:c>
      <x:c r="K1115" s="14" t="n">
        <x:v>10</x:v>
      </x:c>
      <x:c r="L1115" s="14" t="n">
        <x:v>35</x:v>
      </x:c>
      <x:c r="M1115" s="14" t="n">
        <x:v>15</x:v>
      </x:c>
      <x:c r="N1115" s="15" t="n">
        <x:f>IF(E1115=0,"해당 없음",F1115/E1115)</x:f>
        <x:v>0.04854368932038835</x:v>
      </x:c>
      <x:c r="O1115" s="15" t="n">
        <x:f>IF(E1115=0,"해당 없음",G1115/E1115)</x:f>
        <x:v>0.18446601941747573</x:v>
      </x:c>
      <x:c r="P1115" s="15" t="n">
        <x:f>IF(E1115=0,"해당 없음",H1115/E1115)</x:f>
        <x:v>0.07766990291262135</x:v>
      </x:c>
      <x:c r="Q1115" s="15" t="n">
        <x:f>IF(E1115=0,"해당 없음",I1115/E1115)</x:f>
        <x:v>0.0970873786407767</x:v>
      </x:c>
      <x:c r="R1115" s="15" t="n">
        <x:f>IF(E1115=0,"해당 없음",J1115/E1115)</x:f>
        <x:v>0.009708737864077669</x:v>
      </x:c>
      <x:c r="S1115" s="15" t="n">
        <x:f>IF(E1115=0,"해당 없음",K1115/E1115)</x:f>
        <x:v>0.0970873786407767</x:v>
      </x:c>
      <x:c r="T1115" s="15" t="n">
        <x:f>IF(E1115=0,"해당 없음",L1115/E1115)</x:f>
        <x:v>0.33980582524271846</x:v>
      </x:c>
      <x:c r="U1115" s="15" t="n">
        <x:f>IF(E1115=0,"해당 없음",M1115/E1115)</x:f>
        <x:v>0.14563106796116504</x:v>
      </x:c>
      <x:c r="V1115" s="16" t="n">
        <x:f>E1115/5</x:f>
        <x:v>20.6</x:v>
      </x:c>
    </x:row>
    <x:row r="1116" ht="22" customHeight="1">
      <x:c r="A1116" s="2" t="n">
        <x:v>556</x:v>
      </x:c>
      <x:c r="B1116" s="2" t="str">
        <x:v>RED</x:v>
      </x:c>
      <x:c r="C1116" s="2" t="str">
        <x:v>80만</x:v>
      </x:c>
      <x:c r="D1116" s="2" t="str">
        <x:v>40만</x:v>
      </x:c>
      <x:c r="E1116" s="14" t="n">
        <x:f>SUM(F1116:M1116)</x:f>
        <x:v>104</x:v>
      </x:c>
      <x:c r="F1116" s="14" t="n">
        <x:v>6</x:v>
      </x:c>
      <x:c r="G1116" s="14" t="n">
        <x:v>14</x:v>
      </x:c>
      <x:c r="H1116" s="14" t="n">
        <x:v>9</x:v>
      </x:c>
      <x:c r="I1116" s="14" t="n">
        <x:v>9</x:v>
      </x:c>
      <x:c r="J1116" s="14" t="n">
        <x:v>1</x:v>
      </x:c>
      <x:c r="K1116" s="14" t="n">
        <x:v>8</x:v>
      </x:c>
      <x:c r="L1116" s="14" t="n">
        <x:v>39</x:v>
      </x:c>
      <x:c r="M1116" s="14" t="n">
        <x:v>18</x:v>
      </x:c>
      <x:c r="N1116" s="15" t="n">
        <x:f>IF(E1116=0,"해당 없음",F1116/E1116)</x:f>
        <x:v>0.057692307692307696</x:v>
      </x:c>
      <x:c r="O1116" s="15" t="n">
        <x:f>IF(E1116=0,"해당 없음",G1116/E1116)</x:f>
        <x:v>0.1346153846153846</x:v>
      </x:c>
      <x:c r="P1116" s="15" t="n">
        <x:f>IF(E1116=0,"해당 없음",H1116/E1116)</x:f>
        <x:v>0.08653846153846154</x:v>
      </x:c>
      <x:c r="Q1116" s="15" t="n">
        <x:f>IF(E1116=0,"해당 없음",I1116/E1116)</x:f>
        <x:v>0.08653846153846154</x:v>
      </x:c>
      <x:c r="R1116" s="15" t="n">
        <x:f>IF(E1116=0,"해당 없음",J1116/E1116)</x:f>
        <x:v>0.009615384615384616</x:v>
      </x:c>
      <x:c r="S1116" s="15" t="n">
        <x:f>IF(E1116=0,"해당 없음",K1116/E1116)</x:f>
        <x:v>0.07692307692307693</x:v>
      </x:c>
      <x:c r="T1116" s="15" t="n">
        <x:f>IF(E1116=0,"해당 없음",L1116/E1116)</x:f>
        <x:v>0.375</x:v>
      </x:c>
      <x:c r="U1116" s="15" t="n">
        <x:f>IF(E1116=0,"해당 없음",M1116/E1116)</x:f>
        <x:v>0.17307692307692307</x:v>
      </x:c>
      <x:c r="V1116" s="16" t="n">
        <x:f>E1116/5</x:f>
        <x:v>20.8</x:v>
      </x:c>
    </x:row>
    <x:row r="1117" ht="22" customHeight="1">
      <x:c r="A1117" s="2" t="n">
        <x:v>556</x:v>
      </x:c>
      <x:c r="B1117" s="2" t="str">
        <x:v>NAVY</x:v>
      </x:c>
      <x:c r="C1117" s="2" t="str">
        <x:v>40만</x:v>
      </x:c>
      <x:c r="D1117" s="2" t="str">
        <x:v>80만</x:v>
      </x:c>
      <x:c r="E1117" s="14" t="n">
        <x:f>SUM(F1117:M1117)</x:f>
        <x:v>102</x:v>
      </x:c>
      <x:c r="F1117" s="14" t="n">
        <x:v>5</x:v>
      </x:c>
      <x:c r="G1117" s="14" t="n">
        <x:v>28</x:v>
      </x:c>
      <x:c r="H1117" s="14" t="n">
        <x:v>7</x:v>
      </x:c>
      <x:c r="I1117" s="14" t="n">
        <x:v>7</x:v>
      </x:c>
      <x:c r="J1117" s="14" t="n">
        <x:v>3</x:v>
      </x:c>
      <x:c r="K1117" s="14" t="n">
        <x:v>9</x:v>
      </x:c>
      <x:c r="L1117" s="14" t="n">
        <x:v>40</x:v>
      </x:c>
      <x:c r="M1117" s="14" t="n">
        <x:v>3</x:v>
      </x:c>
      <x:c r="N1117" s="15" t="n">
        <x:f>IF(E1117=0,"해당 없음",F1117/E1117)</x:f>
        <x:v>0.049019607843137254</x:v>
      </x:c>
      <x:c r="O1117" s="15" t="n">
        <x:f>IF(E1117=0,"해당 없음",G1117/E1117)</x:f>
        <x:v>0.27450980392156865</x:v>
      </x:c>
      <x:c r="P1117" s="15" t="n">
        <x:f>IF(E1117=0,"해당 없음",H1117/E1117)</x:f>
        <x:v>0.06862745098039216</x:v>
      </x:c>
      <x:c r="Q1117" s="15" t="n">
        <x:f>IF(E1117=0,"해당 없음",I1117/E1117)</x:f>
        <x:v>0.06862745098039216</x:v>
      </x:c>
      <x:c r="R1117" s="15" t="n">
        <x:f>IF(E1117=0,"해당 없음",J1117/E1117)</x:f>
        <x:v>0.029411764705882353</x:v>
      </x:c>
      <x:c r="S1117" s="15" t="n">
        <x:f>IF(E1117=0,"해당 없음",K1117/E1117)</x:f>
        <x:v>0.08823529411764706</x:v>
      </x:c>
      <x:c r="T1117" s="15" t="n">
        <x:f>IF(E1117=0,"해당 없음",L1117/E1117)</x:f>
        <x:v>0.39215686274509803</x:v>
      </x:c>
      <x:c r="U1117" s="15" t="n">
        <x:f>IF(E1117=0,"해당 없음",M1117/E1117)</x:f>
        <x:v>0.029411764705882353</x:v>
      </x:c>
      <x:c r="V1117" s="16" t="n">
        <x:f>E1117/5</x:f>
        <x:v>20.4</x:v>
      </x:c>
    </x:row>
    <x:row r="1118" ht="22" customHeight="1">
      <x:c r="A1118" s="2" t="n">
        <x:v>557</x:v>
      </x:c>
      <x:c r="B1118" s="2" t="str">
        <x:v>RED</x:v>
      </x:c>
      <x:c r="C1118" s="2" t="str">
        <x:v>40만</x:v>
      </x:c>
      <x:c r="D1118" s="2" t="str">
        <x:v>80만</x:v>
      </x:c>
      <x:c r="E1118" s="14" t="n">
        <x:f>SUM(F1118:M1118)</x:f>
        <x:v>105</x:v>
      </x:c>
      <x:c r="F1118" s="14" t="n">
        <x:v>8</x:v>
      </x:c>
      <x:c r="G1118" s="14" t="n">
        <x:v>18</x:v>
      </x:c>
      <x:c r="H1118" s="14" t="n">
        <x:v>9</x:v>
      </x:c>
      <x:c r="I1118" s="14" t="n">
        <x:v>6</x:v>
      </x:c>
      <x:c r="J1118" s="14" t="n">
        <x:v>4</x:v>
      </x:c>
      <x:c r="K1118" s="14" t="n">
        <x:v>12</x:v>
      </x:c>
      <x:c r="L1118" s="14" t="n">
        <x:v>43</x:v>
      </x:c>
      <x:c r="M1118" s="14" t="n">
        <x:v>5</x:v>
      </x:c>
      <x:c r="N1118" s="15" t="n">
        <x:f>IF(E1118=0,"해당 없음",F1118/E1118)</x:f>
        <x:v>0.0761904761904762</x:v>
      </x:c>
      <x:c r="O1118" s="15" t="n">
        <x:f>IF(E1118=0,"해당 없음",G1118/E1118)</x:f>
        <x:v>0.17142857142857143</x:v>
      </x:c>
      <x:c r="P1118" s="15" t="n">
        <x:f>IF(E1118=0,"해당 없음",H1118/E1118)</x:f>
        <x:v>0.08571428571428572</x:v>
      </x:c>
      <x:c r="Q1118" s="15" t="n">
        <x:f>IF(E1118=0,"해당 없음",I1118/E1118)</x:f>
        <x:v>0.05714285714285714</x:v>
      </x:c>
      <x:c r="R1118" s="15" t="n">
        <x:f>IF(E1118=0,"해당 없음",J1118/E1118)</x:f>
        <x:v>0.0380952380952381</x:v>
      </x:c>
      <x:c r="S1118" s="15" t="n">
        <x:f>IF(E1118=0,"해당 없음",K1118/E1118)</x:f>
        <x:v>0.11428571428571428</x:v>
      </x:c>
      <x:c r="T1118" s="15" t="n">
        <x:f>IF(E1118=0,"해당 없음",L1118/E1118)</x:f>
        <x:v>0.4095238095238095</x:v>
      </x:c>
      <x:c r="U1118" s="15" t="n">
        <x:f>IF(E1118=0,"해당 없음",M1118/E1118)</x:f>
        <x:v>0.047619047619047616</x:v>
      </x:c>
      <x:c r="V1118" s="16" t="n">
        <x:f>E1118/5</x:f>
        <x:v>21</x:v>
      </x:c>
    </x:row>
    <x:row r="1119" ht="22" customHeight="1">
      <x:c r="A1119" s="2" t="n">
        <x:v>557</x:v>
      </x:c>
      <x:c r="B1119" s="2" t="str">
        <x:v>NAVY</x:v>
      </x:c>
      <x:c r="C1119" s="2" t="str">
        <x:v>80만</x:v>
      </x:c>
      <x:c r="D1119" s="2" t="str">
        <x:v>40만</x:v>
      </x:c>
      <x:c r="E1119" s="14" t="n">
        <x:f>SUM(F1119:M1119)</x:f>
        <x:v>105</x:v>
      </x:c>
      <x:c r="F1119" s="14" t="n">
        <x:v>10</x:v>
      </x:c>
      <x:c r="G1119" s="14" t="n">
        <x:v>25</x:v>
      </x:c>
      <x:c r="H1119" s="14" t="n">
        <x:v>4</x:v>
      </x:c>
      <x:c r="I1119" s="14" t="n">
        <x:v>7</x:v>
      </x:c>
      <x:c r="J1119" s="14" t="n">
        <x:v>1</x:v>
      </x:c>
      <x:c r="K1119" s="14" t="n">
        <x:v>2</x:v>
      </x:c>
      <x:c r="L1119" s="14" t="n">
        <x:v>45</x:v>
      </x:c>
      <x:c r="M1119" s="14" t="n">
        <x:v>11</x:v>
      </x:c>
      <x:c r="N1119" s="15" t="n">
        <x:f>IF(E1119=0,"해당 없음",F1119/E1119)</x:f>
        <x:v>0.09523809523809523</x:v>
      </x:c>
      <x:c r="O1119" s="15" t="n">
        <x:f>IF(E1119=0,"해당 없음",G1119/E1119)</x:f>
        <x:v>0.23809523809523808</x:v>
      </x:c>
      <x:c r="P1119" s="15" t="n">
        <x:f>IF(E1119=0,"해당 없음",H1119/E1119)</x:f>
        <x:v>0.0380952380952381</x:v>
      </x:c>
      <x:c r="Q1119" s="15" t="n">
        <x:f>IF(E1119=0,"해당 없음",I1119/E1119)</x:f>
        <x:v>0.06666666666666667</x:v>
      </x:c>
      <x:c r="R1119" s="15" t="n">
        <x:f>IF(E1119=0,"해당 없음",J1119/E1119)</x:f>
        <x:v>0.009523809523809525</x:v>
      </x:c>
      <x:c r="S1119" s="15" t="n">
        <x:f>IF(E1119=0,"해당 없음",K1119/E1119)</x:f>
        <x:v>0.01904761904761905</x:v>
      </x:c>
      <x:c r="T1119" s="15" t="n">
        <x:f>IF(E1119=0,"해당 없음",L1119/E1119)</x:f>
        <x:v>0.42857142857142855</x:v>
      </x:c>
      <x:c r="U1119" s="15" t="n">
        <x:f>IF(E1119=0,"해당 없음",M1119/E1119)</x:f>
        <x:v>0.10476190476190476</x:v>
      </x:c>
      <x:c r="V1119" s="16" t="n">
        <x:f>E1119/5</x:f>
        <x:v>21</x:v>
      </x:c>
    </x:row>
    <x:row r="1120" ht="22" customHeight="1">
      <x:c r="A1120" s="2" t="n">
        <x:v>558</x:v>
      </x:c>
      <x:c r="B1120" s="2" t="str">
        <x:v>RED</x:v>
      </x:c>
      <x:c r="C1120" s="2" t="str">
        <x:v>80만</x:v>
      </x:c>
      <x:c r="D1120" s="2" t="str">
        <x:v>40만</x:v>
      </x:c>
      <x:c r="E1120" s="14" t="n">
        <x:f>SUM(F1120:M1120)</x:f>
        <x:v>104</x:v>
      </x:c>
      <x:c r="F1120" s="14" t="n">
        <x:v>9</x:v>
      </x:c>
      <x:c r="G1120" s="14" t="n">
        <x:v>15</x:v>
      </x:c>
      <x:c r="H1120" s="14" t="n">
        <x:v>11</x:v>
      </x:c>
      <x:c r="I1120" s="14" t="n">
        <x:v>7</x:v>
      </x:c>
      <x:c r="J1120" s="14" t="n">
        <x:v>4</x:v>
      </x:c>
      <x:c r="K1120" s="14" t="n">
        <x:v>3</x:v>
      </x:c>
      <x:c r="L1120" s="14" t="n">
        <x:v>42</x:v>
      </x:c>
      <x:c r="M1120" s="14" t="n">
        <x:v>13</x:v>
      </x:c>
      <x:c r="N1120" s="15" t="n">
        <x:f>IF(E1120=0,"해당 없음",F1120/E1120)</x:f>
        <x:v>0.08653846153846154</x:v>
      </x:c>
      <x:c r="O1120" s="15" t="n">
        <x:f>IF(E1120=0,"해당 없음",G1120/E1120)</x:f>
        <x:v>0.14423076923076922</x:v>
      </x:c>
      <x:c r="P1120" s="15" t="n">
        <x:f>IF(E1120=0,"해당 없음",H1120/E1120)</x:f>
        <x:v>0.10576923076923077</x:v>
      </x:c>
      <x:c r="Q1120" s="15" t="n">
        <x:f>IF(E1120=0,"해당 없음",I1120/E1120)</x:f>
        <x:v>0.0673076923076923</x:v>
      </x:c>
      <x:c r="R1120" s="15" t="n">
        <x:f>IF(E1120=0,"해당 없음",J1120/E1120)</x:f>
        <x:v>0.038461538461538464</x:v>
      </x:c>
      <x:c r="S1120" s="15" t="n">
        <x:f>IF(E1120=0,"해당 없음",K1120/E1120)</x:f>
        <x:v>0.028846153846153848</x:v>
      </x:c>
      <x:c r="T1120" s="15" t="n">
        <x:f>IF(E1120=0,"해당 없음",L1120/E1120)</x:f>
        <x:v>0.40384615384615385</x:v>
      </x:c>
      <x:c r="U1120" s="15" t="n">
        <x:f>IF(E1120=0,"해당 없음",M1120/E1120)</x:f>
        <x:v>0.125</x:v>
      </x:c>
      <x:c r="V1120" s="16" t="n">
        <x:f>E1120/5</x:f>
        <x:v>20.8</x:v>
      </x:c>
    </x:row>
    <x:row r="1121" ht="22" customHeight="1">
      <x:c r="A1121" s="2" t="n">
        <x:v>558</x:v>
      </x:c>
      <x:c r="B1121" s="2" t="str">
        <x:v>NAVY</x:v>
      </x:c>
      <x:c r="C1121" s="2" t="str">
        <x:v>40만</x:v>
      </x:c>
      <x:c r="D1121" s="2" t="str">
        <x:v>80만</x:v>
      </x:c>
      <x:c r="E1121" s="14" t="n">
        <x:f>SUM(F1121:M1121)</x:f>
        <x:v>104</x:v>
      </x:c>
      <x:c r="F1121" s="14" t="n">
        <x:v>4</x:v>
      </x:c>
      <x:c r="G1121" s="14" t="n">
        <x:v>28</x:v>
      </x:c>
      <x:c r="H1121" s="14" t="n">
        <x:v>5</x:v>
      </x:c>
      <x:c r="I1121" s="14" t="n">
        <x:v>5</x:v>
      </x:c>
      <x:c r="J1121" s="14" t="n">
        <x:v>8</x:v>
      </x:c>
      <x:c r="K1121" s="14" t="n">
        <x:v>6</x:v>
      </x:c>
      <x:c r="L1121" s="14" t="n">
        <x:v>43</x:v>
      </x:c>
      <x:c r="M1121" s="14" t="n">
        <x:v>5</x:v>
      </x:c>
      <x:c r="N1121" s="15" t="n">
        <x:f>IF(E1121=0,"해당 없음",F1121/E1121)</x:f>
        <x:v>0.038461538461538464</x:v>
      </x:c>
      <x:c r="O1121" s="15" t="n">
        <x:f>IF(E1121=0,"해당 없음",G1121/E1121)</x:f>
        <x:v>0.2692307692307692</x:v>
      </x:c>
      <x:c r="P1121" s="15" t="n">
        <x:f>IF(E1121=0,"해당 없음",H1121/E1121)</x:f>
        <x:v>0.04807692307692308</x:v>
      </x:c>
      <x:c r="Q1121" s="15" t="n">
        <x:f>IF(E1121=0,"해당 없음",I1121/E1121)</x:f>
        <x:v>0.04807692307692308</x:v>
      </x:c>
      <x:c r="R1121" s="15" t="n">
        <x:f>IF(E1121=0,"해당 없음",J1121/E1121)</x:f>
        <x:v>0.07692307692307693</x:v>
      </x:c>
      <x:c r="S1121" s="15" t="n">
        <x:f>IF(E1121=0,"해당 없음",K1121/E1121)</x:f>
        <x:v>0.057692307692307696</x:v>
      </x:c>
      <x:c r="T1121" s="15" t="n">
        <x:f>IF(E1121=0,"해당 없음",L1121/E1121)</x:f>
        <x:v>0.41346153846153844</x:v>
      </x:c>
      <x:c r="U1121" s="15" t="n">
        <x:f>IF(E1121=0,"해당 없음",M1121/E1121)</x:f>
        <x:v>0.04807692307692308</x:v>
      </x:c>
      <x:c r="V1121" s="16" t="n">
        <x:f>E1121/5</x:f>
        <x:v>20.8</x:v>
      </x:c>
    </x:row>
    <x:row r="1122" ht="22" customHeight="1">
      <x:c r="A1122" s="2" t="n">
        <x:v>559</x:v>
      </x:c>
      <x:c r="B1122" s="2" t="str">
        <x:v>RED</x:v>
      </x:c>
      <x:c r="C1122" s="2" t="str">
        <x:v>40만</x:v>
      </x:c>
      <x:c r="D1122" s="2" t="str">
        <x:v>80만</x:v>
      </x:c>
      <x:c r="E1122" s="14" t="n">
        <x:f>SUM(F1122:M1122)</x:f>
        <x:v>103</x:v>
      </x:c>
      <x:c r="F1122" s="14" t="n">
        <x:v>6</x:v>
      </x:c>
      <x:c r="G1122" s="14" t="n">
        <x:v>29</x:v>
      </x:c>
      <x:c r="H1122" s="14" t="n">
        <x:v>5</x:v>
      </x:c>
      <x:c r="I1122" s="14" t="n">
        <x:v>6</x:v>
      </x:c>
      <x:c r="J1122" s="14" t="n">
        <x:v>3</x:v>
      </x:c>
      <x:c r="K1122" s="14" t="n">
        <x:v>10</x:v>
      </x:c>
      <x:c r="L1122" s="14" t="n">
        <x:v>37</x:v>
      </x:c>
      <x:c r="M1122" s="14" t="n">
        <x:v>7</x:v>
      </x:c>
      <x:c r="N1122" s="15" t="n">
        <x:f>IF(E1122=0,"해당 없음",F1122/E1122)</x:f>
        <x:v>0.05825242718446602</x:v>
      </x:c>
      <x:c r="O1122" s="15" t="n">
        <x:f>IF(E1122=0,"해당 없음",G1122/E1122)</x:f>
        <x:v>0.2815533980582524</x:v>
      </x:c>
      <x:c r="P1122" s="15" t="n">
        <x:f>IF(E1122=0,"해당 없음",H1122/E1122)</x:f>
        <x:v>0.04854368932038835</x:v>
      </x:c>
      <x:c r="Q1122" s="15" t="n">
        <x:f>IF(E1122=0,"해당 없음",I1122/E1122)</x:f>
        <x:v>0.05825242718446602</x:v>
      </x:c>
      <x:c r="R1122" s="15" t="n">
        <x:f>IF(E1122=0,"해당 없음",J1122/E1122)</x:f>
        <x:v>0.02912621359223301</x:v>
      </x:c>
      <x:c r="S1122" s="15" t="n">
        <x:f>IF(E1122=0,"해당 없음",K1122/E1122)</x:f>
        <x:v>0.0970873786407767</x:v>
      </x:c>
      <x:c r="T1122" s="15" t="n">
        <x:f>IF(E1122=0,"해당 없음",L1122/E1122)</x:f>
        <x:v>0.3592233009708738</x:v>
      </x:c>
      <x:c r="U1122" s="15" t="n">
        <x:f>IF(E1122=0,"해당 없음",M1122/E1122)</x:f>
        <x:v>0.06796116504854369</x:v>
      </x:c>
      <x:c r="V1122" s="16" t="n">
        <x:f>E1122/5</x:f>
        <x:v>20.6</x:v>
      </x:c>
    </x:row>
    <x:row r="1123" ht="22" customHeight="1">
      <x:c r="A1123" s="2" t="n">
        <x:v>559</x:v>
      </x:c>
      <x:c r="B1123" s="2" t="str">
        <x:v>NAVY</x:v>
      </x:c>
      <x:c r="C1123" s="2" t="str">
        <x:v>80만</x:v>
      </x:c>
      <x:c r="D1123" s="2" t="str">
        <x:v>40만</x:v>
      </x:c>
      <x:c r="E1123" s="14" t="n">
        <x:f>SUM(F1123:M1123)</x:f>
        <x:v>104</x:v>
      </x:c>
      <x:c r="F1123" s="14" t="n">
        <x:v>4</x:v>
      </x:c>
      <x:c r="G1123" s="14" t="n">
        <x:v>25</x:v>
      </x:c>
      <x:c r="H1123" s="14" t="n">
        <x:v>7</x:v>
      </x:c>
      <x:c r="I1123" s="14" t="n">
        <x:v>9</x:v>
      </x:c>
      <x:c r="J1123" s="14" t="n">
        <x:v>5</x:v>
      </x:c>
      <x:c r="K1123" s="14" t="n">
        <x:v>13</x:v>
      </x:c>
      <x:c r="L1123" s="14" t="n">
        <x:v>32</x:v>
      </x:c>
      <x:c r="M1123" s="14" t="n">
        <x:v>9</x:v>
      </x:c>
      <x:c r="N1123" s="15" t="n">
        <x:f>IF(E1123=0,"해당 없음",F1123/E1123)</x:f>
        <x:v>0.038461538461538464</x:v>
      </x:c>
      <x:c r="O1123" s="15" t="n">
        <x:f>IF(E1123=0,"해당 없음",G1123/E1123)</x:f>
        <x:v>0.2403846153846154</x:v>
      </x:c>
      <x:c r="P1123" s="15" t="n">
        <x:f>IF(E1123=0,"해당 없음",H1123/E1123)</x:f>
        <x:v>0.0673076923076923</x:v>
      </x:c>
      <x:c r="Q1123" s="15" t="n">
        <x:f>IF(E1123=0,"해당 없음",I1123/E1123)</x:f>
        <x:v>0.08653846153846154</x:v>
      </x:c>
      <x:c r="R1123" s="15" t="n">
        <x:f>IF(E1123=0,"해당 없음",J1123/E1123)</x:f>
        <x:v>0.04807692307692308</x:v>
      </x:c>
      <x:c r="S1123" s="15" t="n">
        <x:f>IF(E1123=0,"해당 없음",K1123/E1123)</x:f>
        <x:v>0.125</x:v>
      </x:c>
      <x:c r="T1123" s="15" t="n">
        <x:f>IF(E1123=0,"해당 없음",L1123/E1123)</x:f>
        <x:v>0.3076923076923077</x:v>
      </x:c>
      <x:c r="U1123" s="15" t="n">
        <x:f>IF(E1123=0,"해당 없음",M1123/E1123)</x:f>
        <x:v>0.08653846153846154</x:v>
      </x:c>
      <x:c r="V1123" s="16" t="n">
        <x:f>E1123/5</x:f>
        <x:v>20.8</x:v>
      </x:c>
    </x:row>
    <x:row r="1124" ht="22" customHeight="1">
      <x:c r="A1124" s="2" t="n">
        <x:v>560</x:v>
      </x:c>
      <x:c r="B1124" s="2" t="str">
        <x:v>RED</x:v>
      </x:c>
      <x:c r="C1124" s="2" t="str">
        <x:v>80만</x:v>
      </x:c>
      <x:c r="D1124" s="2" t="str">
        <x:v>40만</x:v>
      </x:c>
      <x:c r="E1124" s="14" t="n">
        <x:f>SUM(F1124:M1124)</x:f>
        <x:v>104</x:v>
      </x:c>
      <x:c r="F1124" s="14" t="n">
        <x:v>2</x:v>
      </x:c>
      <x:c r="G1124" s="14" t="n">
        <x:v>19</x:v>
      </x:c>
      <x:c r="H1124" s="14" t="n">
        <x:v>7</x:v>
      </x:c>
      <x:c r="I1124" s="14" t="n">
        <x:v>10</x:v>
      </x:c>
      <x:c r="J1124" s="14" t="n">
        <x:v>1</x:v>
      </x:c>
      <x:c r="K1124" s="14" t="n">
        <x:v>15</x:v>
      </x:c>
      <x:c r="L1124" s="14" t="n">
        <x:v>35</x:v>
      </x:c>
      <x:c r="M1124" s="14" t="n">
        <x:v>15</x:v>
      </x:c>
      <x:c r="N1124" s="15" t="n">
        <x:f>IF(E1124=0,"해당 없음",F1124/E1124)</x:f>
        <x:v>0.019230769230769232</x:v>
      </x:c>
      <x:c r="O1124" s="15" t="n">
        <x:f>IF(E1124=0,"해당 없음",G1124/E1124)</x:f>
        <x:v>0.18269230769230768</x:v>
      </x:c>
      <x:c r="P1124" s="15" t="n">
        <x:f>IF(E1124=0,"해당 없음",H1124/E1124)</x:f>
        <x:v>0.0673076923076923</x:v>
      </x:c>
      <x:c r="Q1124" s="15" t="n">
        <x:f>IF(E1124=0,"해당 없음",I1124/E1124)</x:f>
        <x:v>0.09615384615384616</x:v>
      </x:c>
      <x:c r="R1124" s="15" t="n">
        <x:f>IF(E1124=0,"해당 없음",J1124/E1124)</x:f>
        <x:v>0.009615384615384616</x:v>
      </x:c>
      <x:c r="S1124" s="15" t="n">
        <x:f>IF(E1124=0,"해당 없음",K1124/E1124)</x:f>
        <x:v>0.14423076923076922</x:v>
      </x:c>
      <x:c r="T1124" s="15" t="n">
        <x:f>IF(E1124=0,"해당 없음",L1124/E1124)</x:f>
        <x:v>0.33653846153846156</x:v>
      </x:c>
      <x:c r="U1124" s="15" t="n">
        <x:f>IF(E1124=0,"해당 없음",M1124/E1124)</x:f>
        <x:v>0.14423076923076922</x:v>
      </x:c>
      <x:c r="V1124" s="16" t="n">
        <x:f>E1124/5</x:f>
        <x:v>20.8</x:v>
      </x:c>
    </x:row>
    <x:row r="1125" ht="22" customHeight="1">
      <x:c r="A1125" s="2" t="n">
        <x:v>560</x:v>
      </x:c>
      <x:c r="B1125" s="2" t="str">
        <x:v>NAVY</x:v>
      </x:c>
      <x:c r="C1125" s="2" t="str">
        <x:v>40만</x:v>
      </x:c>
      <x:c r="D1125" s="2" t="str">
        <x:v>80만</x:v>
      </x:c>
      <x:c r="E1125" s="14" t="n">
        <x:f>SUM(F1125:M1125)</x:f>
        <x:v>103</x:v>
      </x:c>
      <x:c r="F1125" s="14" t="n">
        <x:v>4</x:v>
      </x:c>
      <x:c r="G1125" s="14" t="n">
        <x:v>30</x:v>
      </x:c>
      <x:c r="H1125" s="14" t="n">
        <x:v>14</x:v>
      </x:c>
      <x:c r="I1125" s="14" t="n">
        <x:v>4</x:v>
      </x:c>
      <x:c r="J1125" s="14" t="n">
        <x:v>3</x:v>
      </x:c>
      <x:c r="K1125" s="14" t="n">
        <x:v>12</x:v>
      </x:c>
      <x:c r="L1125" s="14" t="n">
        <x:v>34</x:v>
      </x:c>
      <x:c r="M1125" s="14" t="n">
        <x:v>2</x:v>
      </x:c>
      <x:c r="N1125" s="15" t="n">
        <x:f>IF(E1125=0,"해당 없음",F1125/E1125)</x:f>
        <x:v>0.038834951456310676</x:v>
      </x:c>
      <x:c r="O1125" s="15" t="n">
        <x:f>IF(E1125=0,"해당 없음",G1125/E1125)</x:f>
        <x:v>0.2912621359223301</x:v>
      </x:c>
      <x:c r="P1125" s="15" t="n">
        <x:f>IF(E1125=0,"해당 없음",H1125/E1125)</x:f>
        <x:v>0.13592233009708737</x:v>
      </x:c>
      <x:c r="Q1125" s="15" t="n">
        <x:f>IF(E1125=0,"해당 없음",I1125/E1125)</x:f>
        <x:v>0.038834951456310676</x:v>
      </x:c>
      <x:c r="R1125" s="15" t="n">
        <x:f>IF(E1125=0,"해당 없음",J1125/E1125)</x:f>
        <x:v>0.02912621359223301</x:v>
      </x:c>
      <x:c r="S1125" s="15" t="n">
        <x:f>IF(E1125=0,"해당 없음",K1125/E1125)</x:f>
        <x:v>0.11650485436893204</x:v>
      </x:c>
      <x:c r="T1125" s="15" t="n">
        <x:f>IF(E1125=0,"해당 없음",L1125/E1125)</x:f>
        <x:v>0.3300970873786408</x:v>
      </x:c>
      <x:c r="U1125" s="15" t="n">
        <x:f>IF(E1125=0,"해당 없음",M1125/E1125)</x:f>
        <x:v>0.019417475728155338</x:v>
      </x:c>
      <x:c r="V1125" s="16" t="n">
        <x:f>E1125/5</x:f>
        <x:v>20.6</x:v>
      </x:c>
    </x:row>
    <x:row r="1126" ht="22" customHeight="1">
      <x:c r="A1126" s="2" t="n">
        <x:v>561</x:v>
      </x:c>
      <x:c r="B1126" s="2" t="str">
        <x:v>RED</x:v>
      </x:c>
      <x:c r="C1126" s="2" t="str">
        <x:v>40만</x:v>
      </x:c>
      <x:c r="D1126" s="2" t="str">
        <x:v>120만</x:v>
      </x:c>
      <x:c r="E1126" s="14" t="n">
        <x:f>SUM(F1126:M1126)</x:f>
        <x:v>105</x:v>
      </x:c>
      <x:c r="F1126" s="14" t="n">
        <x:v>3</x:v>
      </x:c>
      <x:c r="G1126" s="14" t="n">
        <x:v>23</x:v>
      </x:c>
      <x:c r="H1126" s="14" t="n">
        <x:v>6</x:v>
      </x:c>
      <x:c r="I1126" s="14" t="n">
        <x:v>9</x:v>
      </x:c>
      <x:c r="J1126" s="14" t="n">
        <x:v>7</x:v>
      </x:c>
      <x:c r="K1126" s="14" t="n">
        <x:v>12</x:v>
      </x:c>
      <x:c r="L1126" s="14" t="n">
        <x:v>40</x:v>
      </x:c>
      <x:c r="M1126" s="14" t="n">
        <x:v>5</x:v>
      </x:c>
      <x:c r="N1126" s="15" t="n">
        <x:f>IF(E1126=0,"해당 없음",F1126/E1126)</x:f>
        <x:v>0.02857142857142857</x:v>
      </x:c>
      <x:c r="O1126" s="15" t="n">
        <x:f>IF(E1126=0,"해당 없음",G1126/E1126)</x:f>
        <x:v>0.21904761904761905</x:v>
      </x:c>
      <x:c r="P1126" s="15" t="n">
        <x:f>IF(E1126=0,"해당 없음",H1126/E1126)</x:f>
        <x:v>0.05714285714285714</x:v>
      </x:c>
      <x:c r="Q1126" s="15" t="n">
        <x:f>IF(E1126=0,"해당 없음",I1126/E1126)</x:f>
        <x:v>0.08571428571428572</x:v>
      </x:c>
      <x:c r="R1126" s="15" t="n">
        <x:f>IF(E1126=0,"해당 없음",J1126/E1126)</x:f>
        <x:v>0.06666666666666667</x:v>
      </x:c>
      <x:c r="S1126" s="15" t="n">
        <x:f>IF(E1126=0,"해당 없음",K1126/E1126)</x:f>
        <x:v>0.11428571428571428</x:v>
      </x:c>
      <x:c r="T1126" s="15" t="n">
        <x:f>IF(E1126=0,"해당 없음",L1126/E1126)</x:f>
        <x:v>0.38095238095238093</x:v>
      </x:c>
      <x:c r="U1126" s="15" t="n">
        <x:f>IF(E1126=0,"해당 없음",M1126/E1126)</x:f>
        <x:v>0.047619047619047616</x:v>
      </x:c>
      <x:c r="V1126" s="16" t="n">
        <x:f>E1126/5</x:f>
        <x:v>21</x:v>
      </x:c>
    </x:row>
    <x:row r="1127" ht="22" customHeight="1">
      <x:c r="A1127" s="2" t="n">
        <x:v>561</x:v>
      </x:c>
      <x:c r="B1127" s="2" t="str">
        <x:v>NAVY</x:v>
      </x:c>
      <x:c r="C1127" s="2" t="str">
        <x:v>120만</x:v>
      </x:c>
      <x:c r="D1127" s="2" t="str">
        <x:v>40만</x:v>
      </x:c>
      <x:c r="E1127" s="14" t="n">
        <x:f>SUM(F1127:M1127)</x:f>
        <x:v>105</x:v>
      </x:c>
      <x:c r="F1127" s="14" t="n">
        <x:v>1</x:v>
      </x:c>
      <x:c r="G1127" s="14" t="n">
        <x:v>18</x:v>
      </x:c>
      <x:c r="H1127" s="14" t="n">
        <x:v>8</x:v>
      </x:c>
      <x:c r="I1127" s="14" t="n">
        <x:v>6</x:v>
      </x:c>
      <x:c r="J1127" s="14" t="n">
        <x:v>7</x:v>
      </x:c>
      <x:c r="K1127" s="14" t="n">
        <x:v>11</x:v>
      </x:c>
      <x:c r="L1127" s="14" t="n">
        <x:v>38</x:v>
      </x:c>
      <x:c r="M1127" s="14" t="n">
        <x:v>16</x:v>
      </x:c>
      <x:c r="N1127" s="15" t="n">
        <x:f>IF(E1127=0,"해당 없음",F1127/E1127)</x:f>
        <x:v>0.009523809523809525</x:v>
      </x:c>
      <x:c r="O1127" s="15" t="n">
        <x:f>IF(E1127=0,"해당 없음",G1127/E1127)</x:f>
        <x:v>0.17142857142857143</x:v>
      </x:c>
      <x:c r="P1127" s="15" t="n">
        <x:f>IF(E1127=0,"해당 없음",H1127/E1127)</x:f>
        <x:v>0.0761904761904762</x:v>
      </x:c>
      <x:c r="Q1127" s="15" t="n">
        <x:f>IF(E1127=0,"해당 없음",I1127/E1127)</x:f>
        <x:v>0.05714285714285714</x:v>
      </x:c>
      <x:c r="R1127" s="15" t="n">
        <x:f>IF(E1127=0,"해당 없음",J1127/E1127)</x:f>
        <x:v>0.06666666666666667</x:v>
      </x:c>
      <x:c r="S1127" s="15" t="n">
        <x:f>IF(E1127=0,"해당 없음",K1127/E1127)</x:f>
        <x:v>0.10476190476190476</x:v>
      </x:c>
      <x:c r="T1127" s="15" t="n">
        <x:f>IF(E1127=0,"해당 없음",L1127/E1127)</x:f>
        <x:v>0.3619047619047619</x:v>
      </x:c>
      <x:c r="U1127" s="15" t="n">
        <x:f>IF(E1127=0,"해당 없음",M1127/E1127)</x:f>
        <x:v>0.1523809523809524</x:v>
      </x:c>
      <x:c r="V1127" s="16" t="n">
        <x:f>E1127/5</x:f>
        <x:v>21</x:v>
      </x:c>
    </x:row>
    <x:row r="1128" ht="22" customHeight="1">
      <x:c r="A1128" s="2" t="n">
        <x:v>562</x:v>
      </x:c>
      <x:c r="B1128" s="2" t="str">
        <x:v>RED</x:v>
      </x:c>
      <x:c r="C1128" s="2" t="str">
        <x:v>120만</x:v>
      </x:c>
      <x:c r="D1128" s="2" t="str">
        <x:v>40만</x:v>
      </x:c>
      <x:c r="E1128" s="14" t="n">
        <x:f>SUM(F1128:M1128)</x:f>
        <x:v>104</x:v>
      </x:c>
      <x:c r="F1128" s="14" t="n">
        <x:v>1</x:v>
      </x:c>
      <x:c r="G1128" s="14" t="n">
        <x:v>14</x:v>
      </x:c>
      <x:c r="H1128" s="14" t="n">
        <x:v>11</x:v>
      </x:c>
      <x:c r="I1128" s="14" t="n">
        <x:v>12</x:v>
      </x:c>
      <x:c r="J1128" s="14" t="n">
        <x:v>4</x:v>
      </x:c>
      <x:c r="K1128" s="14" t="n">
        <x:v>8</x:v>
      </x:c>
      <x:c r="L1128" s="14" t="n">
        <x:v>36</x:v>
      </x:c>
      <x:c r="M1128" s="14" t="n">
        <x:v>18</x:v>
      </x:c>
      <x:c r="N1128" s="15" t="n">
        <x:f>IF(E1128=0,"해당 없음",F1128/E1128)</x:f>
        <x:v>0.009615384615384616</x:v>
      </x:c>
      <x:c r="O1128" s="15" t="n">
        <x:f>IF(E1128=0,"해당 없음",G1128/E1128)</x:f>
        <x:v>0.1346153846153846</x:v>
      </x:c>
      <x:c r="P1128" s="15" t="n">
        <x:f>IF(E1128=0,"해당 없음",H1128/E1128)</x:f>
        <x:v>0.10576923076923077</x:v>
      </x:c>
      <x:c r="Q1128" s="15" t="n">
        <x:f>IF(E1128=0,"해당 없음",I1128/E1128)</x:f>
        <x:v>0.11538461538461539</x:v>
      </x:c>
      <x:c r="R1128" s="15" t="n">
        <x:f>IF(E1128=0,"해당 없음",J1128/E1128)</x:f>
        <x:v>0.038461538461538464</x:v>
      </x:c>
      <x:c r="S1128" s="15" t="n">
        <x:f>IF(E1128=0,"해당 없음",K1128/E1128)</x:f>
        <x:v>0.07692307692307693</x:v>
      </x:c>
      <x:c r="T1128" s="15" t="n">
        <x:f>IF(E1128=0,"해당 없음",L1128/E1128)</x:f>
        <x:v>0.34615384615384615</x:v>
      </x:c>
      <x:c r="U1128" s="15" t="n">
        <x:f>IF(E1128=0,"해당 없음",M1128/E1128)</x:f>
        <x:v>0.17307692307692307</x:v>
      </x:c>
      <x:c r="V1128" s="16" t="n">
        <x:f>E1128/5</x:f>
        <x:v>20.8</x:v>
      </x:c>
    </x:row>
    <x:row r="1129" ht="22" customHeight="1">
      <x:c r="A1129" s="2" t="n">
        <x:v>562</x:v>
      </x:c>
      <x:c r="B1129" s="2" t="str">
        <x:v>NAVY</x:v>
      </x:c>
      <x:c r="C1129" s="2" t="str">
        <x:v>40만</x:v>
      </x:c>
      <x:c r="D1129" s="2" t="str">
        <x:v>120만</x:v>
      </x:c>
      <x:c r="E1129" s="14" t="n">
        <x:f>SUM(F1129:M1129)</x:f>
        <x:v>104</x:v>
      </x:c>
      <x:c r="F1129" s="14" t="n">
        <x:v>4</x:v>
      </x:c>
      <x:c r="G1129" s="14" t="n">
        <x:v>27</x:v>
      </x:c>
      <x:c r="H1129" s="14" t="n">
        <x:v>9</x:v>
      </x:c>
      <x:c r="I1129" s="14" t="n">
        <x:v>0</x:v>
      </x:c>
      <x:c r="J1129" s="14" t="n">
        <x:v>9</x:v>
      </x:c>
      <x:c r="K1129" s="14" t="n">
        <x:v>8</x:v>
      </x:c>
      <x:c r="L1129" s="14" t="n">
        <x:v>40</x:v>
      </x:c>
      <x:c r="M1129" s="14" t="n">
        <x:v>7</x:v>
      </x:c>
      <x:c r="N1129" s="15" t="n">
        <x:f>IF(E1129=0,"해당 없음",F1129/E1129)</x:f>
        <x:v>0.038461538461538464</x:v>
      </x:c>
      <x:c r="O1129" s="15" t="n">
        <x:f>IF(E1129=0,"해당 없음",G1129/E1129)</x:f>
        <x:v>0.25961538461538464</x:v>
      </x:c>
      <x:c r="P1129" s="15" t="n">
        <x:f>IF(E1129=0,"해당 없음",H1129/E1129)</x:f>
        <x:v>0.08653846153846154</x:v>
      </x:c>
      <x:c r="Q1129" s="15" t="n">
        <x:f>IF(E1129=0,"해당 없음",I1129/E1129)</x:f>
        <x:v>0</x:v>
      </x:c>
      <x:c r="R1129" s="15" t="n">
        <x:f>IF(E1129=0,"해당 없음",J1129/E1129)</x:f>
        <x:v>0.08653846153846154</x:v>
      </x:c>
      <x:c r="S1129" s="15" t="n">
        <x:f>IF(E1129=0,"해당 없음",K1129/E1129)</x:f>
        <x:v>0.07692307692307693</x:v>
      </x:c>
      <x:c r="T1129" s="15" t="n">
        <x:f>IF(E1129=0,"해당 없음",L1129/E1129)</x:f>
        <x:v>0.38461538461538464</x:v>
      </x:c>
      <x:c r="U1129" s="15" t="n">
        <x:f>IF(E1129=0,"해당 없음",M1129/E1129)</x:f>
        <x:v>0.0673076923076923</x:v>
      </x:c>
      <x:c r="V1129" s="16" t="n">
        <x:f>E1129/5</x:f>
        <x:v>20.8</x:v>
      </x:c>
    </x:row>
    <x:row r="1130" ht="22" customHeight="1">
      <x:c r="A1130" s="2" t="n">
        <x:v>563</x:v>
      </x:c>
      <x:c r="B1130" s="2" t="str">
        <x:v>RED</x:v>
      </x:c>
      <x:c r="C1130" s="2" t="str">
        <x:v>40만</x:v>
      </x:c>
      <x:c r="D1130" s="2" t="str">
        <x:v>120만</x:v>
      </x:c>
      <x:c r="E1130" s="14" t="n">
        <x:f>SUM(F1130:M1130)</x:f>
        <x:v>105</x:v>
      </x:c>
      <x:c r="F1130" s="14" t="n">
        <x:v>4</x:v>
      </x:c>
      <x:c r="G1130" s="14" t="n">
        <x:v>28</x:v>
      </x:c>
      <x:c r="H1130" s="14" t="n">
        <x:v>5</x:v>
      </x:c>
      <x:c r="I1130" s="14" t="n">
        <x:v>11</x:v>
      </x:c>
      <x:c r="J1130" s="14" t="n">
        <x:v>5</x:v>
      </x:c>
      <x:c r="K1130" s="14" t="n">
        <x:v>6</x:v>
      </x:c>
      <x:c r="L1130" s="14" t="n">
        <x:v>43</x:v>
      </x:c>
      <x:c r="M1130" s="14" t="n">
        <x:v>3</x:v>
      </x:c>
      <x:c r="N1130" s="15" t="n">
        <x:f>IF(E1130=0,"해당 없음",F1130/E1130)</x:f>
        <x:v>0.0380952380952381</x:v>
      </x:c>
      <x:c r="O1130" s="15" t="n">
        <x:f>IF(E1130=0,"해당 없음",G1130/E1130)</x:f>
        <x:v>0.26666666666666666</x:v>
      </x:c>
      <x:c r="P1130" s="15" t="n">
        <x:f>IF(E1130=0,"해당 없음",H1130/E1130)</x:f>
        <x:v>0.047619047619047616</x:v>
      </x:c>
      <x:c r="Q1130" s="15" t="n">
        <x:f>IF(E1130=0,"해당 없음",I1130/E1130)</x:f>
        <x:v>0.10476190476190476</x:v>
      </x:c>
      <x:c r="R1130" s="15" t="n">
        <x:f>IF(E1130=0,"해당 없음",J1130/E1130)</x:f>
        <x:v>0.047619047619047616</x:v>
      </x:c>
      <x:c r="S1130" s="15" t="n">
        <x:f>IF(E1130=0,"해당 없음",K1130/E1130)</x:f>
        <x:v>0.05714285714285714</x:v>
      </x:c>
      <x:c r="T1130" s="15" t="n">
        <x:f>IF(E1130=0,"해당 없음",L1130/E1130)</x:f>
        <x:v>0.4095238095238095</x:v>
      </x:c>
      <x:c r="U1130" s="15" t="n">
        <x:f>IF(E1130=0,"해당 없음",M1130/E1130)</x:f>
        <x:v>0.02857142857142857</x:v>
      </x:c>
      <x:c r="V1130" s="16" t="n">
        <x:f>E1130/5</x:f>
        <x:v>21</x:v>
      </x:c>
    </x:row>
    <x:row r="1131" ht="22" customHeight="1">
      <x:c r="A1131" s="2" t="n">
        <x:v>563</x:v>
      </x:c>
      <x:c r="B1131" s="2" t="str">
        <x:v>NAVY</x:v>
      </x:c>
      <x:c r="C1131" s="2" t="str">
        <x:v>120만</x:v>
      </x:c>
      <x:c r="D1131" s="2" t="str">
        <x:v>40만</x:v>
      </x:c>
      <x:c r="E1131" s="14" t="n">
        <x:f>SUM(F1131:M1131)</x:f>
        <x:v>105</x:v>
      </x:c>
      <x:c r="F1131" s="14" t="n">
        <x:v>1</x:v>
      </x:c>
      <x:c r="G1131" s="14" t="n">
        <x:v>11</x:v>
      </x:c>
      <x:c r="H1131" s="14" t="n">
        <x:v>4</x:v>
      </x:c>
      <x:c r="I1131" s="14" t="n">
        <x:v>11</x:v>
      </x:c>
      <x:c r="J1131" s="14" t="n">
        <x:v>8</x:v>
      </x:c>
      <x:c r="K1131" s="14" t="n">
        <x:v>6</x:v>
      </x:c>
      <x:c r="L1131" s="14" t="n">
        <x:v>41</x:v>
      </x:c>
      <x:c r="M1131" s="14" t="n">
        <x:v>23</x:v>
      </x:c>
      <x:c r="N1131" s="15" t="n">
        <x:f>IF(E1131=0,"해당 없음",F1131/E1131)</x:f>
        <x:v>0.009523809523809525</x:v>
      </x:c>
      <x:c r="O1131" s="15" t="n">
        <x:f>IF(E1131=0,"해당 없음",G1131/E1131)</x:f>
        <x:v>0.10476190476190476</x:v>
      </x:c>
      <x:c r="P1131" s="15" t="n">
        <x:f>IF(E1131=0,"해당 없음",H1131/E1131)</x:f>
        <x:v>0.0380952380952381</x:v>
      </x:c>
      <x:c r="Q1131" s="15" t="n">
        <x:f>IF(E1131=0,"해당 없음",I1131/E1131)</x:f>
        <x:v>0.10476190476190476</x:v>
      </x:c>
      <x:c r="R1131" s="15" t="n">
        <x:f>IF(E1131=0,"해당 없음",J1131/E1131)</x:f>
        <x:v>0.0761904761904762</x:v>
      </x:c>
      <x:c r="S1131" s="15" t="n">
        <x:f>IF(E1131=0,"해당 없음",K1131/E1131)</x:f>
        <x:v>0.05714285714285714</x:v>
      </x:c>
      <x:c r="T1131" s="15" t="n">
        <x:f>IF(E1131=0,"해당 없음",L1131/E1131)</x:f>
        <x:v>0.3904761904761905</x:v>
      </x:c>
      <x:c r="U1131" s="15" t="n">
        <x:f>IF(E1131=0,"해당 없음",M1131/E1131)</x:f>
        <x:v>0.21904761904761905</x:v>
      </x:c>
      <x:c r="V1131" s="16" t="n">
        <x:f>E1131/5</x:f>
        <x:v>21</x:v>
      </x:c>
    </x:row>
    <x:row r="1132" ht="22" customHeight="1">
      <x:c r="A1132" s="2" t="n">
        <x:v>564</x:v>
      </x:c>
      <x:c r="B1132" s="2" t="str">
        <x:v>RED</x:v>
      </x:c>
      <x:c r="C1132" s="2" t="str">
        <x:v>120만</x:v>
      </x:c>
      <x:c r="D1132" s="2" t="str">
        <x:v>40만</x:v>
      </x:c>
      <x:c r="E1132" s="14" t="n">
        <x:f>SUM(F1132:M1132)</x:f>
        <x:v>104</x:v>
      </x:c>
      <x:c r="F1132" s="14" t="n">
        <x:v>0</x:v>
      </x:c>
      <x:c r="G1132" s="14" t="n">
        <x:v>16</x:v>
      </x:c>
      <x:c r="H1132" s="14" t="n">
        <x:v>8</x:v>
      </x:c>
      <x:c r="I1132" s="14" t="n">
        <x:v>10</x:v>
      </x:c>
      <x:c r="J1132" s="14" t="n">
        <x:v>4</x:v>
      </x:c>
      <x:c r="K1132" s="14" t="n">
        <x:v>5</x:v>
      </x:c>
      <x:c r="L1132" s="14" t="n">
        <x:v>40</x:v>
      </x:c>
      <x:c r="M1132" s="14" t="n">
        <x:v>21</x:v>
      </x:c>
      <x:c r="N1132" s="15" t="n">
        <x:f>IF(E1132=0,"해당 없음",F1132/E1132)</x:f>
        <x:v>0</x:v>
      </x:c>
      <x:c r="O1132" s="15" t="n">
        <x:f>IF(E1132=0,"해당 없음",G1132/E1132)</x:f>
        <x:v>0.15384615384615385</x:v>
      </x:c>
      <x:c r="P1132" s="15" t="n">
        <x:f>IF(E1132=0,"해당 없음",H1132/E1132)</x:f>
        <x:v>0.07692307692307693</x:v>
      </x:c>
      <x:c r="Q1132" s="15" t="n">
        <x:f>IF(E1132=0,"해당 없음",I1132/E1132)</x:f>
        <x:v>0.09615384615384616</x:v>
      </x:c>
      <x:c r="R1132" s="15" t="n">
        <x:f>IF(E1132=0,"해당 없음",J1132/E1132)</x:f>
        <x:v>0.038461538461538464</x:v>
      </x:c>
      <x:c r="S1132" s="15" t="n">
        <x:f>IF(E1132=0,"해당 없음",K1132/E1132)</x:f>
        <x:v>0.04807692307692308</x:v>
      </x:c>
      <x:c r="T1132" s="15" t="n">
        <x:f>IF(E1132=0,"해당 없음",L1132/E1132)</x:f>
        <x:v>0.38461538461538464</x:v>
      </x:c>
      <x:c r="U1132" s="15" t="n">
        <x:f>IF(E1132=0,"해당 없음",M1132/E1132)</x:f>
        <x:v>0.20192307692307693</x:v>
      </x:c>
      <x:c r="V1132" s="16" t="n">
        <x:f>E1132/5</x:f>
        <x:v>20.8</x:v>
      </x:c>
    </x:row>
    <x:row r="1133" ht="22" customHeight="1">
      <x:c r="A1133" s="2" t="n">
        <x:v>564</x:v>
      </x:c>
      <x:c r="B1133" s="2" t="str">
        <x:v>NAVY</x:v>
      </x:c>
      <x:c r="C1133" s="2" t="str">
        <x:v>40만</x:v>
      </x:c>
      <x:c r="D1133" s="2" t="str">
        <x:v>120만</x:v>
      </x:c>
      <x:c r="E1133" s="14" t="n">
        <x:f>SUM(F1133:M1133)</x:f>
        <x:v>104</x:v>
      </x:c>
      <x:c r="F1133" s="14" t="n">
        <x:v>7</x:v>
      </x:c>
      <x:c r="G1133" s="14" t="n">
        <x:v>26</x:v>
      </x:c>
      <x:c r="H1133" s="14" t="n">
        <x:v>5</x:v>
      </x:c>
      <x:c r="I1133" s="14" t="n">
        <x:v>5</x:v>
      </x:c>
      <x:c r="J1133" s="14" t="n">
        <x:v>7</x:v>
      </x:c>
      <x:c r="K1133" s="14" t="n">
        <x:v>5</x:v>
      </x:c>
      <x:c r="L1133" s="14" t="n">
        <x:v>44</x:v>
      </x:c>
      <x:c r="M1133" s="14" t="n">
        <x:v>5</x:v>
      </x:c>
      <x:c r="N1133" s="15" t="n">
        <x:f>IF(E1133=0,"해당 없음",F1133/E1133)</x:f>
        <x:v>0.0673076923076923</x:v>
      </x:c>
      <x:c r="O1133" s="15" t="n">
        <x:f>IF(E1133=0,"해당 없음",G1133/E1133)</x:f>
        <x:v>0.25</x:v>
      </x:c>
      <x:c r="P1133" s="15" t="n">
        <x:f>IF(E1133=0,"해당 없음",H1133/E1133)</x:f>
        <x:v>0.04807692307692308</x:v>
      </x:c>
      <x:c r="Q1133" s="15" t="n">
        <x:f>IF(E1133=0,"해당 없음",I1133/E1133)</x:f>
        <x:v>0.04807692307692308</x:v>
      </x:c>
      <x:c r="R1133" s="15" t="n">
        <x:f>IF(E1133=0,"해당 없음",J1133/E1133)</x:f>
        <x:v>0.0673076923076923</x:v>
      </x:c>
      <x:c r="S1133" s="15" t="n">
        <x:f>IF(E1133=0,"해당 없음",K1133/E1133)</x:f>
        <x:v>0.04807692307692308</x:v>
      </x:c>
      <x:c r="T1133" s="15" t="n">
        <x:f>IF(E1133=0,"해당 없음",L1133/E1133)</x:f>
        <x:v>0.4230769230769231</x:v>
      </x:c>
      <x:c r="U1133" s="15" t="n">
        <x:f>IF(E1133=0,"해당 없음",M1133/E1133)</x:f>
        <x:v>0.04807692307692308</x:v>
      </x:c>
      <x:c r="V1133" s="16" t="n">
        <x:f>E1133/5</x:f>
        <x:v>20.8</x:v>
      </x:c>
    </x:row>
    <x:row r="1134" ht="22" customHeight="1">
      <x:c r="A1134" s="2" t="n">
        <x:v>565</x:v>
      </x:c>
      <x:c r="B1134" s="2" t="str">
        <x:v>RED</x:v>
      </x:c>
      <x:c r="C1134" s="2" t="str">
        <x:v>40만</x:v>
      </x:c>
      <x:c r="D1134" s="2" t="str">
        <x:v>120만</x:v>
      </x:c>
      <x:c r="E1134" s="14" t="n">
        <x:f>SUM(F1134:M1134)</x:f>
        <x:v>103</x:v>
      </x:c>
      <x:c r="F1134" s="14" t="n">
        <x:v>8</x:v>
      </x:c>
      <x:c r="G1134" s="14" t="n">
        <x:v>27</x:v>
      </x:c>
      <x:c r="H1134" s="14" t="n">
        <x:v>5</x:v>
      </x:c>
      <x:c r="I1134" s="14" t="n">
        <x:v>5</x:v>
      </x:c>
      <x:c r="J1134" s="14" t="n">
        <x:v>6</x:v>
      </x:c>
      <x:c r="K1134" s="14" t="n">
        <x:v>2</x:v>
      </x:c>
      <x:c r="L1134" s="14" t="n">
        <x:v>46</x:v>
      </x:c>
      <x:c r="M1134" s="14" t="n">
        <x:v>4</x:v>
      </x:c>
      <x:c r="N1134" s="15" t="n">
        <x:f>IF(E1134=0,"해당 없음",F1134/E1134)</x:f>
        <x:v>0.07766990291262135</x:v>
      </x:c>
      <x:c r="O1134" s="15" t="n">
        <x:f>IF(E1134=0,"해당 없음",G1134/E1134)</x:f>
        <x:v>0.2621359223300971</x:v>
      </x:c>
      <x:c r="P1134" s="15" t="n">
        <x:f>IF(E1134=0,"해당 없음",H1134/E1134)</x:f>
        <x:v>0.04854368932038835</x:v>
      </x:c>
      <x:c r="Q1134" s="15" t="n">
        <x:f>IF(E1134=0,"해당 없음",I1134/E1134)</x:f>
        <x:v>0.04854368932038835</x:v>
      </x:c>
      <x:c r="R1134" s="15" t="n">
        <x:f>IF(E1134=0,"해당 없음",J1134/E1134)</x:f>
        <x:v>0.05825242718446602</x:v>
      </x:c>
      <x:c r="S1134" s="15" t="n">
        <x:f>IF(E1134=0,"해당 없음",K1134/E1134)</x:f>
        <x:v>0.019417475728155338</x:v>
      </x:c>
      <x:c r="T1134" s="15" t="n">
        <x:f>IF(E1134=0,"해당 없음",L1134/E1134)</x:f>
        <x:v>0.44660194174757284</x:v>
      </x:c>
      <x:c r="U1134" s="15" t="n">
        <x:f>IF(E1134=0,"해당 없음",M1134/E1134)</x:f>
        <x:v>0.038834951456310676</x:v>
      </x:c>
      <x:c r="V1134" s="16" t="n">
        <x:f>E1134/5</x:f>
        <x:v>20.6</x:v>
      </x:c>
    </x:row>
    <x:row r="1135" ht="22" customHeight="1">
      <x:c r="A1135" s="2" t="n">
        <x:v>565</x:v>
      </x:c>
      <x:c r="B1135" s="2" t="str">
        <x:v>NAVY</x:v>
      </x:c>
      <x:c r="C1135" s="2" t="str">
        <x:v>120만</x:v>
      </x:c>
      <x:c r="D1135" s="2" t="str">
        <x:v>40만</x:v>
      </x:c>
      <x:c r="E1135" s="14" t="n">
        <x:f>SUM(F1135:M1135)</x:f>
        <x:v>105</x:v>
      </x:c>
      <x:c r="F1135" s="14" t="n">
        <x:v>1</x:v>
      </x:c>
      <x:c r="G1135" s="14" t="n">
        <x:v>15</x:v>
      </x:c>
      <x:c r="H1135" s="14" t="n">
        <x:v>5</x:v>
      </x:c>
      <x:c r="I1135" s="14" t="n">
        <x:v>7</x:v>
      </x:c>
      <x:c r="J1135" s="14" t="n">
        <x:v>10</x:v>
      </x:c>
      <x:c r="K1135" s="14" t="n">
        <x:v>9</x:v>
      </x:c>
      <x:c r="L1135" s="14" t="n">
        <x:v>36</x:v>
      </x:c>
      <x:c r="M1135" s="14" t="n">
        <x:v>22</x:v>
      </x:c>
      <x:c r="N1135" s="15" t="n">
        <x:f>IF(E1135=0,"해당 없음",F1135/E1135)</x:f>
        <x:v>0.009523809523809525</x:v>
      </x:c>
      <x:c r="O1135" s="15" t="n">
        <x:f>IF(E1135=0,"해당 없음",G1135/E1135)</x:f>
        <x:v>0.14285714285714285</x:v>
      </x:c>
      <x:c r="P1135" s="15" t="n">
        <x:f>IF(E1135=0,"해당 없음",H1135/E1135)</x:f>
        <x:v>0.047619047619047616</x:v>
      </x:c>
      <x:c r="Q1135" s="15" t="n">
        <x:f>IF(E1135=0,"해당 없음",I1135/E1135)</x:f>
        <x:v>0.06666666666666667</x:v>
      </x:c>
      <x:c r="R1135" s="15" t="n">
        <x:f>IF(E1135=0,"해당 없음",J1135/E1135)</x:f>
        <x:v>0.09523809523809523</x:v>
      </x:c>
      <x:c r="S1135" s="15" t="n">
        <x:f>IF(E1135=0,"해당 없음",K1135/E1135)</x:f>
        <x:v>0.08571428571428572</x:v>
      </x:c>
      <x:c r="T1135" s="15" t="n">
        <x:f>IF(E1135=0,"해당 없음",L1135/E1135)</x:f>
        <x:v>0.34285714285714286</x:v>
      </x:c>
      <x:c r="U1135" s="15" t="n">
        <x:f>IF(E1135=0,"해당 없음",M1135/E1135)</x:f>
        <x:v>0.20952380952380953</x:v>
      </x:c>
      <x:c r="V1135" s="16" t="n">
        <x:f>E1135/5</x:f>
        <x:v>21</x:v>
      </x:c>
    </x:row>
    <x:row r="1136" ht="22" customHeight="1">
      <x:c r="A1136" s="2" t="n">
        <x:v>566</x:v>
      </x:c>
      <x:c r="B1136" s="2" t="str">
        <x:v>RED</x:v>
      </x:c>
      <x:c r="C1136" s="2" t="str">
        <x:v>120만</x:v>
      </x:c>
      <x:c r="D1136" s="2" t="str">
        <x:v>40만</x:v>
      </x:c>
      <x:c r="E1136" s="14" t="n">
        <x:f>SUM(F1136:M1136)</x:f>
        <x:v>103</x:v>
      </x:c>
      <x:c r="F1136" s="14" t="n">
        <x:v>3</x:v>
      </x:c>
      <x:c r="G1136" s="14" t="n">
        <x:v>20</x:v>
      </x:c>
      <x:c r="H1136" s="14" t="n">
        <x:v>7</x:v>
      </x:c>
      <x:c r="I1136" s="14" t="n">
        <x:v>8</x:v>
      </x:c>
      <x:c r="J1136" s="14" t="n">
        <x:v>4</x:v>
      </x:c>
      <x:c r="K1136" s="14" t="n">
        <x:v>14</x:v>
      </x:c>
      <x:c r="L1136" s="14" t="n">
        <x:v>35</x:v>
      </x:c>
      <x:c r="M1136" s="14" t="n">
        <x:v>12</x:v>
      </x:c>
      <x:c r="N1136" s="15" t="n">
        <x:f>IF(E1136=0,"해당 없음",F1136/E1136)</x:f>
        <x:v>0.02912621359223301</x:v>
      </x:c>
      <x:c r="O1136" s="15" t="n">
        <x:f>IF(E1136=0,"해당 없음",G1136/E1136)</x:f>
        <x:v>0.1941747572815534</x:v>
      </x:c>
      <x:c r="P1136" s="15" t="n">
        <x:f>IF(E1136=0,"해당 없음",H1136/E1136)</x:f>
        <x:v>0.06796116504854369</x:v>
      </x:c>
      <x:c r="Q1136" s="15" t="n">
        <x:f>IF(E1136=0,"해당 없음",I1136/E1136)</x:f>
        <x:v>0.07766990291262135</x:v>
      </x:c>
      <x:c r="R1136" s="15" t="n">
        <x:f>IF(E1136=0,"해당 없음",J1136/E1136)</x:f>
        <x:v>0.038834951456310676</x:v>
      </x:c>
      <x:c r="S1136" s="15" t="n">
        <x:f>IF(E1136=0,"해당 없음",K1136/E1136)</x:f>
        <x:v>0.13592233009708737</x:v>
      </x:c>
      <x:c r="T1136" s="15" t="n">
        <x:f>IF(E1136=0,"해당 없음",L1136/E1136)</x:f>
        <x:v>0.33980582524271846</x:v>
      </x:c>
      <x:c r="U1136" s="15" t="n">
        <x:f>IF(E1136=0,"해당 없음",M1136/E1136)</x:f>
        <x:v>0.11650485436893204</x:v>
      </x:c>
      <x:c r="V1136" s="16" t="n">
        <x:f>E1136/5</x:f>
        <x:v>20.6</x:v>
      </x:c>
    </x:row>
    <x:row r="1137" ht="22" customHeight="1">
      <x:c r="A1137" s="2" t="n">
        <x:v>566</x:v>
      </x:c>
      <x:c r="B1137" s="2" t="str">
        <x:v>NAVY</x:v>
      </x:c>
      <x:c r="C1137" s="2" t="str">
        <x:v>40만</x:v>
      </x:c>
      <x:c r="D1137" s="2" t="str">
        <x:v>120만</x:v>
      </x:c>
      <x:c r="E1137" s="14" t="n">
        <x:f>SUM(F1137:M1137)</x:f>
        <x:v>103</x:v>
      </x:c>
      <x:c r="F1137" s="14" t="n">
        <x:v>4</x:v>
      </x:c>
      <x:c r="G1137" s="14" t="n">
        <x:v>26</x:v>
      </x:c>
      <x:c r="H1137" s="14" t="n">
        <x:v>6</x:v>
      </x:c>
      <x:c r="I1137" s="14" t="n">
        <x:v>7</x:v>
      </x:c>
      <x:c r="J1137" s="14" t="n">
        <x:v>15</x:v>
      </x:c>
      <x:c r="K1137" s="14" t="n">
        <x:v>3</x:v>
      </x:c>
      <x:c r="L1137" s="14" t="n">
        <x:v>38</x:v>
      </x:c>
      <x:c r="M1137" s="14" t="n">
        <x:v>4</x:v>
      </x:c>
      <x:c r="N1137" s="15" t="n">
        <x:f>IF(E1137=0,"해당 없음",F1137/E1137)</x:f>
        <x:v>0.038834951456310676</x:v>
      </x:c>
      <x:c r="O1137" s="15" t="n">
        <x:f>IF(E1137=0,"해당 없음",G1137/E1137)</x:f>
        <x:v>0.2524271844660194</x:v>
      </x:c>
      <x:c r="P1137" s="15" t="n">
        <x:f>IF(E1137=0,"해당 없음",H1137/E1137)</x:f>
        <x:v>0.05825242718446602</x:v>
      </x:c>
      <x:c r="Q1137" s="15" t="n">
        <x:f>IF(E1137=0,"해당 없음",I1137/E1137)</x:f>
        <x:v>0.06796116504854369</x:v>
      </x:c>
      <x:c r="R1137" s="15" t="n">
        <x:f>IF(E1137=0,"해당 없음",J1137/E1137)</x:f>
        <x:v>0.14563106796116504</x:v>
      </x:c>
      <x:c r="S1137" s="15" t="n">
        <x:f>IF(E1137=0,"해당 없음",K1137/E1137)</x:f>
        <x:v>0.02912621359223301</x:v>
      </x:c>
      <x:c r="T1137" s="15" t="n">
        <x:f>IF(E1137=0,"해당 없음",L1137/E1137)</x:f>
        <x:v>0.36893203883495146</x:v>
      </x:c>
      <x:c r="U1137" s="15" t="n">
        <x:f>IF(E1137=0,"해당 없음",M1137/E1137)</x:f>
        <x:v>0.038834951456310676</x:v>
      </x:c>
      <x:c r="V1137" s="16" t="n">
        <x:f>E1137/5</x:f>
        <x:v>20.6</x:v>
      </x:c>
    </x:row>
    <x:row r="1138" ht="22" customHeight="1">
      <x:c r="A1138" s="2" t="n">
        <x:v>567</x:v>
      </x:c>
      <x:c r="B1138" s="2" t="str">
        <x:v>RED</x:v>
      </x:c>
      <x:c r="C1138" s="2" t="str">
        <x:v>40만</x:v>
      </x:c>
      <x:c r="D1138" s="2" t="str">
        <x:v>120만</x:v>
      </x:c>
      <x:c r="E1138" s="14" t="n">
        <x:f>SUM(F1138:M1138)</x:f>
        <x:v>104</x:v>
      </x:c>
      <x:c r="F1138" s="14" t="n">
        <x:v>1</x:v>
      </x:c>
      <x:c r="G1138" s="14" t="n">
        <x:v>26</x:v>
      </x:c>
      <x:c r="H1138" s="14" t="n">
        <x:v>11</x:v>
      </x:c>
      <x:c r="I1138" s="14" t="n">
        <x:v>7</x:v>
      </x:c>
      <x:c r="J1138" s="14" t="n">
        <x:v>4</x:v>
      </x:c>
      <x:c r="K1138" s="14" t="n">
        <x:v>8</x:v>
      </x:c>
      <x:c r="L1138" s="14" t="n">
        <x:v>40</x:v>
      </x:c>
      <x:c r="M1138" s="14" t="n">
        <x:v>7</x:v>
      </x:c>
      <x:c r="N1138" s="15" t="n">
        <x:f>IF(E1138=0,"해당 없음",F1138/E1138)</x:f>
        <x:v>0.009615384615384616</x:v>
      </x:c>
      <x:c r="O1138" s="15" t="n">
        <x:f>IF(E1138=0,"해당 없음",G1138/E1138)</x:f>
        <x:v>0.25</x:v>
      </x:c>
      <x:c r="P1138" s="15" t="n">
        <x:f>IF(E1138=0,"해당 없음",H1138/E1138)</x:f>
        <x:v>0.10576923076923077</x:v>
      </x:c>
      <x:c r="Q1138" s="15" t="n">
        <x:f>IF(E1138=0,"해당 없음",I1138/E1138)</x:f>
        <x:v>0.0673076923076923</x:v>
      </x:c>
      <x:c r="R1138" s="15" t="n">
        <x:f>IF(E1138=0,"해당 없음",J1138/E1138)</x:f>
        <x:v>0.038461538461538464</x:v>
      </x:c>
      <x:c r="S1138" s="15" t="n">
        <x:f>IF(E1138=0,"해당 없음",K1138/E1138)</x:f>
        <x:v>0.07692307692307693</x:v>
      </x:c>
      <x:c r="T1138" s="15" t="n">
        <x:f>IF(E1138=0,"해당 없음",L1138/E1138)</x:f>
        <x:v>0.38461538461538464</x:v>
      </x:c>
      <x:c r="U1138" s="15" t="n">
        <x:f>IF(E1138=0,"해당 없음",M1138/E1138)</x:f>
        <x:v>0.0673076923076923</x:v>
      </x:c>
      <x:c r="V1138" s="16" t="n">
        <x:f>E1138/5</x:f>
        <x:v>20.8</x:v>
      </x:c>
    </x:row>
    <x:row r="1139" ht="22" customHeight="1">
      <x:c r="A1139" s="2" t="n">
        <x:v>567</x:v>
      </x:c>
      <x:c r="B1139" s="2" t="str">
        <x:v>NAVY</x:v>
      </x:c>
      <x:c r="C1139" s="2" t="str">
        <x:v>120만</x:v>
      </x:c>
      <x:c r="D1139" s="2" t="str">
        <x:v>40만</x:v>
      </x:c>
      <x:c r="E1139" s="14" t="n">
        <x:f>SUM(F1139:M1139)</x:f>
        <x:v>104</x:v>
      </x:c>
      <x:c r="F1139" s="14" t="n">
        <x:v>1</x:v>
      </x:c>
      <x:c r="G1139" s="14" t="n">
        <x:v>15</x:v>
      </x:c>
      <x:c r="H1139" s="14" t="n">
        <x:v>10</x:v>
      </x:c>
      <x:c r="I1139" s="14" t="n">
        <x:v>4</x:v>
      </x:c>
      <x:c r="J1139" s="14" t="n">
        <x:v>5</x:v>
      </x:c>
      <x:c r="K1139" s="14" t="n">
        <x:v>7</x:v>
      </x:c>
      <x:c r="L1139" s="14" t="n">
        <x:v>39</x:v>
      </x:c>
      <x:c r="M1139" s="14" t="n">
        <x:v>23</x:v>
      </x:c>
      <x:c r="N1139" s="15" t="n">
        <x:f>IF(E1139=0,"해당 없음",F1139/E1139)</x:f>
        <x:v>0.009615384615384616</x:v>
      </x:c>
      <x:c r="O1139" s="15" t="n">
        <x:f>IF(E1139=0,"해당 없음",G1139/E1139)</x:f>
        <x:v>0.14423076923076922</x:v>
      </x:c>
      <x:c r="P1139" s="15" t="n">
        <x:f>IF(E1139=0,"해당 없음",H1139/E1139)</x:f>
        <x:v>0.09615384615384616</x:v>
      </x:c>
      <x:c r="Q1139" s="15" t="n">
        <x:f>IF(E1139=0,"해당 없음",I1139/E1139)</x:f>
        <x:v>0.038461538461538464</x:v>
      </x:c>
      <x:c r="R1139" s="15" t="n">
        <x:f>IF(E1139=0,"해당 없음",J1139/E1139)</x:f>
        <x:v>0.04807692307692308</x:v>
      </x:c>
      <x:c r="S1139" s="15" t="n">
        <x:f>IF(E1139=0,"해당 없음",K1139/E1139)</x:f>
        <x:v>0.0673076923076923</x:v>
      </x:c>
      <x:c r="T1139" s="15" t="n">
        <x:f>IF(E1139=0,"해당 없음",L1139/E1139)</x:f>
        <x:v>0.375</x:v>
      </x:c>
      <x:c r="U1139" s="15" t="n">
        <x:f>IF(E1139=0,"해당 없음",M1139/E1139)</x:f>
        <x:v>0.22115384615384615</x:v>
      </x:c>
      <x:c r="V1139" s="16" t="n">
        <x:f>E1139/5</x:f>
        <x:v>20.8</x:v>
      </x:c>
    </x:row>
    <x:row r="1140" ht="22" customHeight="1">
      <x:c r="A1140" s="2" t="n">
        <x:v>568</x:v>
      </x:c>
      <x:c r="B1140" s="2" t="str">
        <x:v>RED</x:v>
      </x:c>
      <x:c r="C1140" s="2" t="str">
        <x:v>120만</x:v>
      </x:c>
      <x:c r="D1140" s="2" t="str">
        <x:v>40만</x:v>
      </x:c>
      <x:c r="E1140" s="14" t="n">
        <x:f>SUM(F1140:M1140)</x:f>
        <x:v>104</x:v>
      </x:c>
      <x:c r="F1140" s="14" t="n">
        <x:v>1</x:v>
      </x:c>
      <x:c r="G1140" s="14" t="n">
        <x:v>8</x:v>
      </x:c>
      <x:c r="H1140" s="14" t="n">
        <x:v>3</x:v>
      </x:c>
      <x:c r="I1140" s="14" t="n">
        <x:v>17</x:v>
      </x:c>
      <x:c r="J1140" s="14" t="n">
        <x:v>3</x:v>
      </x:c>
      <x:c r="K1140" s="14" t="n">
        <x:v>5</x:v>
      </x:c>
      <x:c r="L1140" s="14" t="n">
        <x:v>40</x:v>
      </x:c>
      <x:c r="M1140" s="14" t="n">
        <x:v>27</x:v>
      </x:c>
      <x:c r="N1140" s="15" t="n">
        <x:f>IF(E1140=0,"해당 없음",F1140/E1140)</x:f>
        <x:v>0.009615384615384616</x:v>
      </x:c>
      <x:c r="O1140" s="15" t="n">
        <x:f>IF(E1140=0,"해당 없음",G1140/E1140)</x:f>
        <x:v>0.07692307692307693</x:v>
      </x:c>
      <x:c r="P1140" s="15" t="n">
        <x:f>IF(E1140=0,"해당 없음",H1140/E1140)</x:f>
        <x:v>0.028846153846153848</x:v>
      </x:c>
      <x:c r="Q1140" s="15" t="n">
        <x:f>IF(E1140=0,"해당 없음",I1140/E1140)</x:f>
        <x:v>0.16346153846153846</x:v>
      </x:c>
      <x:c r="R1140" s="15" t="n">
        <x:f>IF(E1140=0,"해당 없음",J1140/E1140)</x:f>
        <x:v>0.028846153846153848</x:v>
      </x:c>
      <x:c r="S1140" s="15" t="n">
        <x:f>IF(E1140=0,"해당 없음",K1140/E1140)</x:f>
        <x:v>0.04807692307692308</x:v>
      </x:c>
      <x:c r="T1140" s="15" t="n">
        <x:f>IF(E1140=0,"해당 없음",L1140/E1140)</x:f>
        <x:v>0.38461538461538464</x:v>
      </x:c>
      <x:c r="U1140" s="15" t="n">
        <x:f>IF(E1140=0,"해당 없음",M1140/E1140)</x:f>
        <x:v>0.25961538461538464</x:v>
      </x:c>
      <x:c r="V1140" s="16" t="n">
        <x:f>E1140/5</x:f>
        <x:v>20.8</x:v>
      </x:c>
    </x:row>
    <x:row r="1141" ht="22" customHeight="1">
      <x:c r="A1141" s="2" t="n">
        <x:v>568</x:v>
      </x:c>
      <x:c r="B1141" s="2" t="str">
        <x:v>NAVY</x:v>
      </x:c>
      <x:c r="C1141" s="2" t="str">
        <x:v>40만</x:v>
      </x:c>
      <x:c r="D1141" s="2" t="str">
        <x:v>120만</x:v>
      </x:c>
      <x:c r="E1141" s="14" t="n">
        <x:f>SUM(F1141:M1141)</x:f>
        <x:v>104</x:v>
      </x:c>
      <x:c r="F1141" s="14" t="n">
        <x:v>4</x:v>
      </x:c>
      <x:c r="G1141" s="14" t="n">
        <x:v>30</x:v>
      </x:c>
      <x:c r="H1141" s="14" t="n">
        <x:v>11</x:v>
      </x:c>
      <x:c r="I1141" s="14" t="n">
        <x:v>4</x:v>
      </x:c>
      <x:c r="J1141" s="14" t="n">
        <x:v>5</x:v>
      </x:c>
      <x:c r="K1141" s="14" t="n">
        <x:v>4</x:v>
      </x:c>
      <x:c r="L1141" s="14" t="n">
        <x:v>42</x:v>
      </x:c>
      <x:c r="M1141" s="14" t="n">
        <x:v>4</x:v>
      </x:c>
      <x:c r="N1141" s="15" t="n">
        <x:f>IF(E1141=0,"해당 없음",F1141/E1141)</x:f>
        <x:v>0.038461538461538464</x:v>
      </x:c>
      <x:c r="O1141" s="15" t="n">
        <x:f>IF(E1141=0,"해당 없음",G1141/E1141)</x:f>
        <x:v>0.28846153846153844</x:v>
      </x:c>
      <x:c r="P1141" s="15" t="n">
        <x:f>IF(E1141=0,"해당 없음",H1141/E1141)</x:f>
        <x:v>0.10576923076923077</x:v>
      </x:c>
      <x:c r="Q1141" s="15" t="n">
        <x:f>IF(E1141=0,"해당 없음",I1141/E1141)</x:f>
        <x:v>0.038461538461538464</x:v>
      </x:c>
      <x:c r="R1141" s="15" t="n">
        <x:f>IF(E1141=0,"해당 없음",J1141/E1141)</x:f>
        <x:v>0.04807692307692308</x:v>
      </x:c>
      <x:c r="S1141" s="15" t="n">
        <x:f>IF(E1141=0,"해당 없음",K1141/E1141)</x:f>
        <x:v>0.038461538461538464</x:v>
      </x:c>
      <x:c r="T1141" s="15" t="n">
        <x:f>IF(E1141=0,"해당 없음",L1141/E1141)</x:f>
        <x:v>0.40384615384615385</x:v>
      </x:c>
      <x:c r="U1141" s="15" t="n">
        <x:f>IF(E1141=0,"해당 없음",M1141/E1141)</x:f>
        <x:v>0.038461538461538464</x:v>
      </x:c>
      <x:c r="V1141" s="16" t="n">
        <x:f>E1141/5</x:f>
        <x:v>20.8</x:v>
      </x:c>
    </x:row>
    <x:row r="1142" ht="22" customHeight="1">
      <x:c r="A1142" s="2" t="n">
        <x:v>569</x:v>
      </x:c>
      <x:c r="B1142" s="2" t="str">
        <x:v>RED</x:v>
      </x:c>
      <x:c r="C1142" s="2" t="str">
        <x:v>40만</x:v>
      </x:c>
      <x:c r="D1142" s="2" t="str">
        <x:v>120만</x:v>
      </x:c>
      <x:c r="E1142" s="14" t="n">
        <x:f>SUM(F1142:M1142)</x:f>
        <x:v>103</x:v>
      </x:c>
      <x:c r="F1142" s="14" t="n">
        <x:v>6</x:v>
      </x:c>
      <x:c r="G1142" s="14" t="n">
        <x:v>18</x:v>
      </x:c>
      <x:c r="H1142" s="14" t="n">
        <x:v>5</x:v>
      </x:c>
      <x:c r="I1142" s="14" t="n">
        <x:v>7</x:v>
      </x:c>
      <x:c r="J1142" s="14" t="n">
        <x:v>10</x:v>
      </x:c>
      <x:c r="K1142" s="14" t="n">
        <x:v>8</x:v>
      </x:c>
      <x:c r="L1142" s="14" t="n">
        <x:v>42</x:v>
      </x:c>
      <x:c r="M1142" s="14" t="n">
        <x:v>7</x:v>
      </x:c>
      <x:c r="N1142" s="15" t="n">
        <x:f>IF(E1142=0,"해당 없음",F1142/E1142)</x:f>
        <x:v>0.05825242718446602</x:v>
      </x:c>
      <x:c r="O1142" s="15" t="n">
        <x:f>IF(E1142=0,"해당 없음",G1142/E1142)</x:f>
        <x:v>0.17475728155339806</x:v>
      </x:c>
      <x:c r="P1142" s="15" t="n">
        <x:f>IF(E1142=0,"해당 없음",H1142/E1142)</x:f>
        <x:v>0.04854368932038835</x:v>
      </x:c>
      <x:c r="Q1142" s="15" t="n">
        <x:f>IF(E1142=0,"해당 없음",I1142/E1142)</x:f>
        <x:v>0.06796116504854369</x:v>
      </x:c>
      <x:c r="R1142" s="15" t="n">
        <x:f>IF(E1142=0,"해당 없음",J1142/E1142)</x:f>
        <x:v>0.0970873786407767</x:v>
      </x:c>
      <x:c r="S1142" s="15" t="n">
        <x:f>IF(E1142=0,"해당 없음",K1142/E1142)</x:f>
        <x:v>0.07766990291262135</x:v>
      </x:c>
      <x:c r="T1142" s="15" t="n">
        <x:f>IF(E1142=0,"해당 없음",L1142/E1142)</x:f>
        <x:v>0.4077669902912621</x:v>
      </x:c>
      <x:c r="U1142" s="15" t="n">
        <x:f>IF(E1142=0,"해당 없음",M1142/E1142)</x:f>
        <x:v>0.06796116504854369</x:v>
      </x:c>
      <x:c r="V1142" s="16" t="n">
        <x:f>E1142/5</x:f>
        <x:v>20.6</x:v>
      </x:c>
    </x:row>
    <x:row r="1143" ht="22" customHeight="1">
      <x:c r="A1143" s="2" t="n">
        <x:v>569</x:v>
      </x:c>
      <x:c r="B1143" s="2" t="str">
        <x:v>NAVY</x:v>
      </x:c>
      <x:c r="C1143" s="2" t="str">
        <x:v>120만</x:v>
      </x:c>
      <x:c r="D1143" s="2" t="str">
        <x:v>40만</x:v>
      </x:c>
      <x:c r="E1143" s="14" t="n">
        <x:f>SUM(F1143:M1143)</x:f>
        <x:v>105</x:v>
      </x:c>
      <x:c r="F1143" s="14" t="n">
        <x:v>3</x:v>
      </x:c>
      <x:c r="G1143" s="14" t="n">
        <x:v>9</x:v>
      </x:c>
      <x:c r="H1143" s="14" t="n">
        <x:v>5</x:v>
      </x:c>
      <x:c r="I1143" s="14" t="n">
        <x:v>9</x:v>
      </x:c>
      <x:c r="J1143" s="14" t="n">
        <x:v>6</x:v>
      </x:c>
      <x:c r="K1143" s="14" t="n">
        <x:v>8</x:v>
      </x:c>
      <x:c r="L1143" s="14" t="n">
        <x:v>41</x:v>
      </x:c>
      <x:c r="M1143" s="14" t="n">
        <x:v>24</x:v>
      </x:c>
      <x:c r="N1143" s="15" t="n">
        <x:f>IF(E1143=0,"해당 없음",F1143/E1143)</x:f>
        <x:v>0.02857142857142857</x:v>
      </x:c>
      <x:c r="O1143" s="15" t="n">
        <x:f>IF(E1143=0,"해당 없음",G1143/E1143)</x:f>
        <x:v>0.08571428571428572</x:v>
      </x:c>
      <x:c r="P1143" s="15" t="n">
        <x:f>IF(E1143=0,"해당 없음",H1143/E1143)</x:f>
        <x:v>0.047619047619047616</x:v>
      </x:c>
      <x:c r="Q1143" s="15" t="n">
        <x:f>IF(E1143=0,"해당 없음",I1143/E1143)</x:f>
        <x:v>0.08571428571428572</x:v>
      </x:c>
      <x:c r="R1143" s="15" t="n">
        <x:f>IF(E1143=0,"해당 없음",J1143/E1143)</x:f>
        <x:v>0.05714285714285714</x:v>
      </x:c>
      <x:c r="S1143" s="15" t="n">
        <x:f>IF(E1143=0,"해당 없음",K1143/E1143)</x:f>
        <x:v>0.0761904761904762</x:v>
      </x:c>
      <x:c r="T1143" s="15" t="n">
        <x:f>IF(E1143=0,"해당 없음",L1143/E1143)</x:f>
        <x:v>0.3904761904761905</x:v>
      </x:c>
      <x:c r="U1143" s="15" t="n">
        <x:f>IF(E1143=0,"해당 없음",M1143/E1143)</x:f>
        <x:v>0.22857142857142856</x:v>
      </x:c>
      <x:c r="V1143" s="16" t="n">
        <x:f>E1143/5</x:f>
        <x:v>21</x:v>
      </x:c>
    </x:row>
    <x:row r="1144" ht="22" customHeight="1">
      <x:c r="A1144" s="2" t="n">
        <x:v>570</x:v>
      </x:c>
      <x:c r="B1144" s="2" t="str">
        <x:v>RED</x:v>
      </x:c>
      <x:c r="C1144" s="2" t="str">
        <x:v>120만</x:v>
      </x:c>
      <x:c r="D1144" s="2" t="str">
        <x:v>40만</x:v>
      </x:c>
      <x:c r="E1144" s="14" t="n">
        <x:f>SUM(F1144:M1144)</x:f>
        <x:v>103</x:v>
      </x:c>
      <x:c r="F1144" s="14" t="n">
        <x:v>2</x:v>
      </x:c>
      <x:c r="G1144" s="14" t="n">
        <x:v>11</x:v>
      </x:c>
      <x:c r="H1144" s="14" t="n">
        <x:v>5</x:v>
      </x:c>
      <x:c r="I1144" s="14" t="n">
        <x:v>5</x:v>
      </x:c>
      <x:c r="J1144" s="14" t="n">
        <x:v>3</x:v>
      </x:c>
      <x:c r="K1144" s="14" t="n">
        <x:v>12</x:v>
      </x:c>
      <x:c r="L1144" s="14" t="n">
        <x:v>36</x:v>
      </x:c>
      <x:c r="M1144" s="14" t="n">
        <x:v>29</x:v>
      </x:c>
      <x:c r="N1144" s="15" t="n">
        <x:f>IF(E1144=0,"해당 없음",F1144/E1144)</x:f>
        <x:v>0.019417475728155338</x:v>
      </x:c>
      <x:c r="O1144" s="15" t="n">
        <x:f>IF(E1144=0,"해당 없음",G1144/E1144)</x:f>
        <x:v>0.10679611650485436</x:v>
      </x:c>
      <x:c r="P1144" s="15" t="n">
        <x:f>IF(E1144=0,"해당 없음",H1144/E1144)</x:f>
        <x:v>0.04854368932038835</x:v>
      </x:c>
      <x:c r="Q1144" s="15" t="n">
        <x:f>IF(E1144=0,"해당 없음",I1144/E1144)</x:f>
        <x:v>0.04854368932038835</x:v>
      </x:c>
      <x:c r="R1144" s="15" t="n">
        <x:f>IF(E1144=0,"해당 없음",J1144/E1144)</x:f>
        <x:v>0.02912621359223301</x:v>
      </x:c>
      <x:c r="S1144" s="15" t="n">
        <x:f>IF(E1144=0,"해당 없음",K1144/E1144)</x:f>
        <x:v>0.11650485436893204</x:v>
      </x:c>
      <x:c r="T1144" s="15" t="n">
        <x:f>IF(E1144=0,"해당 없음",L1144/E1144)</x:f>
        <x:v>0.34951456310679613</x:v>
      </x:c>
      <x:c r="U1144" s="15" t="n">
        <x:f>IF(E1144=0,"해당 없음",M1144/E1144)</x:f>
        <x:v>0.2815533980582524</x:v>
      </x:c>
      <x:c r="V1144" s="16" t="n">
        <x:f>E1144/5</x:f>
        <x:v>20.6</x:v>
      </x:c>
    </x:row>
    <x:row r="1145" ht="22" customHeight="1">
      <x:c r="A1145" s="2" t="n">
        <x:v>570</x:v>
      </x:c>
      <x:c r="B1145" s="2" t="str">
        <x:v>NAVY</x:v>
      </x:c>
      <x:c r="C1145" s="2" t="str">
        <x:v>40만</x:v>
      </x:c>
      <x:c r="D1145" s="2" t="str">
        <x:v>120만</x:v>
      </x:c>
      <x:c r="E1145" s="14" t="n">
        <x:f>SUM(F1145:M1145)</x:f>
        <x:v>102</x:v>
      </x:c>
      <x:c r="F1145" s="14" t="n">
        <x:v>3</x:v>
      </x:c>
      <x:c r="G1145" s="14" t="n">
        <x:v>28</x:v>
      </x:c>
      <x:c r="H1145" s="14" t="n">
        <x:v>4</x:v>
      </x:c>
      <x:c r="I1145" s="14" t="n">
        <x:v>5</x:v>
      </x:c>
      <x:c r="J1145" s="14" t="n">
        <x:v>4</x:v>
      </x:c>
      <x:c r="K1145" s="14" t="n">
        <x:v>15</x:v>
      </x:c>
      <x:c r="L1145" s="14" t="n">
        <x:v>36</x:v>
      </x:c>
      <x:c r="M1145" s="14" t="n">
        <x:v>7</x:v>
      </x:c>
      <x:c r="N1145" s="15" t="n">
        <x:f>IF(E1145=0,"해당 없음",F1145/E1145)</x:f>
        <x:v>0.029411764705882353</x:v>
      </x:c>
      <x:c r="O1145" s="15" t="n">
        <x:f>IF(E1145=0,"해당 없음",G1145/E1145)</x:f>
        <x:v>0.27450980392156865</x:v>
      </x:c>
      <x:c r="P1145" s="15" t="n">
        <x:f>IF(E1145=0,"해당 없음",H1145/E1145)</x:f>
        <x:v>0.0392156862745098</x:v>
      </x:c>
      <x:c r="Q1145" s="15" t="n">
        <x:f>IF(E1145=0,"해당 없음",I1145/E1145)</x:f>
        <x:v>0.049019607843137254</x:v>
      </x:c>
      <x:c r="R1145" s="15" t="n">
        <x:f>IF(E1145=0,"해당 없음",J1145/E1145)</x:f>
        <x:v>0.0392156862745098</x:v>
      </x:c>
      <x:c r="S1145" s="15" t="n">
        <x:f>IF(E1145=0,"해당 없음",K1145/E1145)</x:f>
        <x:v>0.14705882352941177</x:v>
      </x:c>
      <x:c r="T1145" s="15" t="n">
        <x:f>IF(E1145=0,"해당 없음",L1145/E1145)</x:f>
        <x:v>0.35294117647058826</x:v>
      </x:c>
      <x:c r="U1145" s="15" t="n">
        <x:f>IF(E1145=0,"해당 없음",M1145/E1145)</x:f>
        <x:v>0.06862745098039216</x:v>
      </x:c>
      <x:c r="V1145" s="16" t="n">
        <x:f>E1145/5</x:f>
        <x:v>20.4</x:v>
      </x:c>
    </x:row>
    <x:row r="1146" ht="22" customHeight="1">
      <x:c r="A1146" s="2" t="n">
        <x:v>571</x:v>
      </x:c>
      <x:c r="B1146" s="2" t="str">
        <x:v>RED</x:v>
      </x:c>
      <x:c r="C1146" s="2" t="str">
        <x:v>40만</x:v>
      </x:c>
      <x:c r="D1146" s="2" t="str">
        <x:v>120만</x:v>
      </x:c>
      <x:c r="E1146" s="14" t="n">
        <x:f>SUM(F1146:M1146)</x:f>
        <x:v>102</x:v>
      </x:c>
      <x:c r="F1146" s="14" t="n">
        <x:v>5</x:v>
      </x:c>
      <x:c r="G1146" s="14" t="n">
        <x:v>31</x:v>
      </x:c>
      <x:c r="H1146" s="14" t="n">
        <x:v>5</x:v>
      </x:c>
      <x:c r="I1146" s="14" t="n">
        <x:v>8</x:v>
      </x:c>
      <x:c r="J1146" s="14" t="n">
        <x:v>3</x:v>
      </x:c>
      <x:c r="K1146" s="14" t="n">
        <x:v>10</x:v>
      </x:c>
      <x:c r="L1146" s="14" t="n">
        <x:v>34</x:v>
      </x:c>
      <x:c r="M1146" s="14" t="n">
        <x:v>6</x:v>
      </x:c>
      <x:c r="N1146" s="15" t="n">
        <x:f>IF(E1146=0,"해당 없음",F1146/E1146)</x:f>
        <x:v>0.049019607843137254</x:v>
      </x:c>
      <x:c r="O1146" s="15" t="n">
        <x:f>IF(E1146=0,"해당 없음",G1146/E1146)</x:f>
        <x:v>0.30392156862745096</x:v>
      </x:c>
      <x:c r="P1146" s="15" t="n">
        <x:f>IF(E1146=0,"해당 없음",H1146/E1146)</x:f>
        <x:v>0.049019607843137254</x:v>
      </x:c>
      <x:c r="Q1146" s="15" t="n">
        <x:f>IF(E1146=0,"해당 없음",I1146/E1146)</x:f>
        <x:v>0.0784313725490196</x:v>
      </x:c>
      <x:c r="R1146" s="15" t="n">
        <x:f>IF(E1146=0,"해당 없음",J1146/E1146)</x:f>
        <x:v>0.029411764705882353</x:v>
      </x:c>
      <x:c r="S1146" s="15" t="n">
        <x:f>IF(E1146=0,"해당 없음",K1146/E1146)</x:f>
        <x:v>0.09803921568627451</x:v>
      </x:c>
      <x:c r="T1146" s="15" t="n">
        <x:f>IF(E1146=0,"해당 없음",L1146/E1146)</x:f>
        <x:v>0.3333333333333333</x:v>
      </x:c>
      <x:c r="U1146" s="15" t="n">
        <x:f>IF(E1146=0,"해당 없음",M1146/E1146)</x:f>
        <x:v>0.058823529411764705</x:v>
      </x:c>
      <x:c r="V1146" s="16" t="n">
        <x:f>E1146/5</x:f>
        <x:v>20.4</x:v>
      </x:c>
    </x:row>
    <x:row r="1147" ht="22" customHeight="1">
      <x:c r="A1147" s="2" t="n">
        <x:v>571</x:v>
      </x:c>
      <x:c r="B1147" s="2" t="str">
        <x:v>NAVY</x:v>
      </x:c>
      <x:c r="C1147" s="2" t="str">
        <x:v>120만</x:v>
      </x:c>
      <x:c r="D1147" s="2" t="str">
        <x:v>40만</x:v>
      </x:c>
      <x:c r="E1147" s="14" t="n">
        <x:f>SUM(F1147:M1147)</x:f>
        <x:v>101</x:v>
      </x:c>
      <x:c r="F1147" s="14" t="n">
        <x:v>1</x:v>
      </x:c>
      <x:c r="G1147" s="14" t="n">
        <x:v>24</x:v>
      </x:c>
      <x:c r="H1147" s="14" t="n">
        <x:v>7</x:v>
      </x:c>
      <x:c r="I1147" s="14" t="n">
        <x:v>4</x:v>
      </x:c>
      <x:c r="J1147" s="14" t="n">
        <x:v>2</x:v>
      </x:c>
      <x:c r="K1147" s="14" t="n">
        <x:v>10</x:v>
      </x:c>
      <x:c r="L1147" s="14" t="n">
        <x:v>34</x:v>
      </x:c>
      <x:c r="M1147" s="14" t="n">
        <x:v>19</x:v>
      </x:c>
      <x:c r="N1147" s="15" t="n">
        <x:f>IF(E1147=0,"해당 없음",F1147/E1147)</x:f>
        <x:v>0.009900990099009901</x:v>
      </x:c>
      <x:c r="O1147" s="15" t="n">
        <x:f>IF(E1147=0,"해당 없음",G1147/E1147)</x:f>
        <x:v>0.2376237623762376</x:v>
      </x:c>
      <x:c r="P1147" s="15" t="n">
        <x:f>IF(E1147=0,"해당 없음",H1147/E1147)</x:f>
        <x:v>0.06930693069306931</x:v>
      </x:c>
      <x:c r="Q1147" s="15" t="n">
        <x:f>IF(E1147=0,"해당 없음",I1147/E1147)</x:f>
        <x:v>0.039603960396039604</x:v>
      </x:c>
      <x:c r="R1147" s="15" t="n">
        <x:f>IF(E1147=0,"해당 없음",J1147/E1147)</x:f>
        <x:v>0.019801980198019802</x:v>
      </x:c>
      <x:c r="S1147" s="15" t="n">
        <x:f>IF(E1147=0,"해당 없음",K1147/E1147)</x:f>
        <x:v>0.09900990099009901</x:v>
      </x:c>
      <x:c r="T1147" s="15" t="n">
        <x:f>IF(E1147=0,"해당 없음",L1147/E1147)</x:f>
        <x:v>0.33663366336633666</x:v>
      </x:c>
      <x:c r="U1147" s="15" t="n">
        <x:f>IF(E1147=0,"해당 없음",M1147/E1147)</x:f>
        <x:v>0.18811881188118812</x:v>
      </x:c>
      <x:c r="V1147" s="16" t="n">
        <x:f>E1147/5</x:f>
        <x:v>20.2</x:v>
      </x:c>
    </x:row>
    <x:row r="1148" ht="22" customHeight="1">
      <x:c r="A1148" s="2" t="n">
        <x:v>572</x:v>
      </x:c>
      <x:c r="B1148" s="2" t="str">
        <x:v>RED</x:v>
      </x:c>
      <x:c r="C1148" s="2" t="str">
        <x:v>120만</x:v>
      </x:c>
      <x:c r="D1148" s="2" t="str">
        <x:v>40만</x:v>
      </x:c>
      <x:c r="E1148" s="14" t="n">
        <x:f>SUM(F1148:M1148)</x:f>
        <x:v>103</x:v>
      </x:c>
      <x:c r="F1148" s="14" t="n">
        <x:v>1</x:v>
      </x:c>
      <x:c r="G1148" s="14" t="n">
        <x:v>10</x:v>
      </x:c>
      <x:c r="H1148" s="14" t="n">
        <x:v>7</x:v>
      </x:c>
      <x:c r="I1148" s="14" t="n">
        <x:v>16</x:v>
      </x:c>
      <x:c r="J1148" s="14" t="n">
        <x:v>5</x:v>
      </x:c>
      <x:c r="K1148" s="14" t="n">
        <x:v>9</x:v>
      </x:c>
      <x:c r="L1148" s="14" t="n">
        <x:v>41</x:v>
      </x:c>
      <x:c r="M1148" s="14" t="n">
        <x:v>14</x:v>
      </x:c>
      <x:c r="N1148" s="15" t="n">
        <x:f>IF(E1148=0,"해당 없음",F1148/E1148)</x:f>
        <x:v>0.009708737864077669</x:v>
      </x:c>
      <x:c r="O1148" s="15" t="n">
        <x:f>IF(E1148=0,"해당 없음",G1148/E1148)</x:f>
        <x:v>0.0970873786407767</x:v>
      </x:c>
      <x:c r="P1148" s="15" t="n">
        <x:f>IF(E1148=0,"해당 없음",H1148/E1148)</x:f>
        <x:v>0.06796116504854369</x:v>
      </x:c>
      <x:c r="Q1148" s="15" t="n">
        <x:f>IF(E1148=0,"해당 없음",I1148/E1148)</x:f>
        <x:v>0.1553398058252427</x:v>
      </x:c>
      <x:c r="R1148" s="15" t="n">
        <x:f>IF(E1148=0,"해당 없음",J1148/E1148)</x:f>
        <x:v>0.04854368932038835</x:v>
      </x:c>
      <x:c r="S1148" s="15" t="n">
        <x:f>IF(E1148=0,"해당 없음",K1148/E1148)</x:f>
        <x:v>0.08737864077669903</x:v>
      </x:c>
      <x:c r="T1148" s="15" t="n">
        <x:f>IF(E1148=0,"해당 없음",L1148/E1148)</x:f>
        <x:v>0.39805825242718446</x:v>
      </x:c>
      <x:c r="U1148" s="15" t="n">
        <x:f>IF(E1148=0,"해당 없음",M1148/E1148)</x:f>
        <x:v>0.13592233009708737</x:v>
      </x:c>
      <x:c r="V1148" s="16" t="n">
        <x:f>E1148/5</x:f>
        <x:v>20.6</x:v>
      </x:c>
    </x:row>
    <x:row r="1149" ht="22" customHeight="1">
      <x:c r="A1149" s="2" t="n">
        <x:v>572</x:v>
      </x:c>
      <x:c r="B1149" s="2" t="str">
        <x:v>NAVY</x:v>
      </x:c>
      <x:c r="C1149" s="2" t="str">
        <x:v>40만</x:v>
      </x:c>
      <x:c r="D1149" s="2" t="str">
        <x:v>120만</x:v>
      </x:c>
      <x:c r="E1149" s="14" t="n">
        <x:f>SUM(F1149:M1149)</x:f>
        <x:v>103</x:v>
      </x:c>
      <x:c r="F1149" s="14" t="n">
        <x:v>2</x:v>
      </x:c>
      <x:c r="G1149" s="14" t="n">
        <x:v>26</x:v>
      </x:c>
      <x:c r="H1149" s="14" t="n">
        <x:v>5</x:v>
      </x:c>
      <x:c r="I1149" s="14" t="n">
        <x:v>4</x:v>
      </x:c>
      <x:c r="J1149" s="14" t="n">
        <x:v>8</x:v>
      </x:c>
      <x:c r="K1149" s="14" t="n">
        <x:v>7</x:v>
      </x:c>
      <x:c r="L1149" s="14" t="n">
        <x:v>44</x:v>
      </x:c>
      <x:c r="M1149" s="14" t="n">
        <x:v>7</x:v>
      </x:c>
      <x:c r="N1149" s="15" t="n">
        <x:f>IF(E1149=0,"해당 없음",F1149/E1149)</x:f>
        <x:v>0.019417475728155338</x:v>
      </x:c>
      <x:c r="O1149" s="15" t="n">
        <x:f>IF(E1149=0,"해당 없음",G1149/E1149)</x:f>
        <x:v>0.2524271844660194</x:v>
      </x:c>
      <x:c r="P1149" s="15" t="n">
        <x:f>IF(E1149=0,"해당 없음",H1149/E1149)</x:f>
        <x:v>0.04854368932038835</x:v>
      </x:c>
      <x:c r="Q1149" s="15" t="n">
        <x:f>IF(E1149=0,"해당 없음",I1149/E1149)</x:f>
        <x:v>0.038834951456310676</x:v>
      </x:c>
      <x:c r="R1149" s="15" t="n">
        <x:f>IF(E1149=0,"해당 없음",J1149/E1149)</x:f>
        <x:v>0.07766990291262135</x:v>
      </x:c>
      <x:c r="S1149" s="15" t="n">
        <x:f>IF(E1149=0,"해당 없음",K1149/E1149)</x:f>
        <x:v>0.06796116504854369</x:v>
      </x:c>
      <x:c r="T1149" s="15" t="n">
        <x:f>IF(E1149=0,"해당 없음",L1149/E1149)</x:f>
        <x:v>0.42718446601941745</x:v>
      </x:c>
      <x:c r="U1149" s="15" t="n">
        <x:f>IF(E1149=0,"해당 없음",M1149/E1149)</x:f>
        <x:v>0.06796116504854369</x:v>
      </x:c>
      <x:c r="V1149" s="16" t="n">
        <x:f>E1149/5</x:f>
        <x:v>20.6</x:v>
      </x:c>
    </x:row>
    <x:row r="1150" ht="22" customHeight="1">
      <x:c r="A1150" s="2" t="n">
        <x:v>573</x:v>
      </x:c>
      <x:c r="B1150" s="2" t="str">
        <x:v>RED</x:v>
      </x:c>
      <x:c r="C1150" s="2" t="str">
        <x:v>40만</x:v>
      </x:c>
      <x:c r="D1150" s="2" t="str">
        <x:v>120만</x:v>
      </x:c>
      <x:c r="E1150" s="14" t="n">
        <x:f>SUM(F1150:M1150)</x:f>
        <x:v>102</x:v>
      </x:c>
      <x:c r="F1150" s="14" t="n">
        <x:v>6</x:v>
      </x:c>
      <x:c r="G1150" s="14" t="n">
        <x:v>34</x:v>
      </x:c>
      <x:c r="H1150" s="14" t="n">
        <x:v>4</x:v>
      </x:c>
      <x:c r="I1150" s="14" t="n">
        <x:v>7</x:v>
      </x:c>
      <x:c r="J1150" s="14" t="n">
        <x:v>3</x:v>
      </x:c>
      <x:c r="K1150" s="14" t="n">
        <x:v>10</x:v>
      </x:c>
      <x:c r="L1150" s="14" t="n">
        <x:v>37</x:v>
      </x:c>
      <x:c r="M1150" s="14" t="n">
        <x:v>1</x:v>
      </x:c>
      <x:c r="N1150" s="15" t="n">
        <x:f>IF(E1150=0,"해당 없음",F1150/E1150)</x:f>
        <x:v>0.058823529411764705</x:v>
      </x:c>
      <x:c r="O1150" s="15" t="n">
        <x:f>IF(E1150=0,"해당 없음",G1150/E1150)</x:f>
        <x:v>0.3333333333333333</x:v>
      </x:c>
      <x:c r="P1150" s="15" t="n">
        <x:f>IF(E1150=0,"해당 없음",H1150/E1150)</x:f>
        <x:v>0.0392156862745098</x:v>
      </x:c>
      <x:c r="Q1150" s="15" t="n">
        <x:f>IF(E1150=0,"해당 없음",I1150/E1150)</x:f>
        <x:v>0.06862745098039216</x:v>
      </x:c>
      <x:c r="R1150" s="15" t="n">
        <x:f>IF(E1150=0,"해당 없음",J1150/E1150)</x:f>
        <x:v>0.029411764705882353</x:v>
      </x:c>
      <x:c r="S1150" s="15" t="n">
        <x:f>IF(E1150=0,"해당 없음",K1150/E1150)</x:f>
        <x:v>0.09803921568627451</x:v>
      </x:c>
      <x:c r="T1150" s="15" t="n">
        <x:f>IF(E1150=0,"해당 없음",L1150/E1150)</x:f>
        <x:v>0.3627450980392157</x:v>
      </x:c>
      <x:c r="U1150" s="15" t="n">
        <x:f>IF(E1150=0,"해당 없음",M1150/E1150)</x:f>
        <x:v>0.00980392156862745</x:v>
      </x:c>
      <x:c r="V1150" s="16" t="n">
        <x:f>E1150/5</x:f>
        <x:v>20.4</x:v>
      </x:c>
    </x:row>
    <x:row r="1151" ht="22" customHeight="1">
      <x:c r="A1151" s="2" t="n">
        <x:v>573</x:v>
      </x:c>
      <x:c r="B1151" s="2" t="str">
        <x:v>NAVY</x:v>
      </x:c>
      <x:c r="C1151" s="2" t="str">
        <x:v>120만</x:v>
      </x:c>
      <x:c r="D1151" s="2" t="str">
        <x:v>40만</x:v>
      </x:c>
      <x:c r="E1151" s="14" t="n">
        <x:f>SUM(F1151:M1151)</x:f>
        <x:v>104</x:v>
      </x:c>
      <x:c r="F1151" s="14" t="n">
        <x:v>0</x:v>
      </x:c>
      <x:c r="G1151" s="14" t="n">
        <x:v>14</x:v>
      </x:c>
      <x:c r="H1151" s="14" t="n">
        <x:v>8</x:v>
      </x:c>
      <x:c r="I1151" s="14" t="n">
        <x:v>5</x:v>
      </x:c>
      <x:c r="J1151" s="14" t="n">
        <x:v>9</x:v>
      </x:c>
      <x:c r="K1151" s="14" t="n">
        <x:v>3</x:v>
      </x:c>
      <x:c r="L1151" s="14" t="n">
        <x:v>42</x:v>
      </x:c>
      <x:c r="M1151" s="14" t="n">
        <x:v>23</x:v>
      </x:c>
      <x:c r="N1151" s="15" t="n">
        <x:f>IF(E1151=0,"해당 없음",F1151/E1151)</x:f>
        <x:v>0</x:v>
      </x:c>
      <x:c r="O1151" s="15" t="n">
        <x:f>IF(E1151=0,"해당 없음",G1151/E1151)</x:f>
        <x:v>0.1346153846153846</x:v>
      </x:c>
      <x:c r="P1151" s="15" t="n">
        <x:f>IF(E1151=0,"해당 없음",H1151/E1151)</x:f>
        <x:v>0.07692307692307693</x:v>
      </x:c>
      <x:c r="Q1151" s="15" t="n">
        <x:f>IF(E1151=0,"해당 없음",I1151/E1151)</x:f>
        <x:v>0.04807692307692308</x:v>
      </x:c>
      <x:c r="R1151" s="15" t="n">
        <x:f>IF(E1151=0,"해당 없음",J1151/E1151)</x:f>
        <x:v>0.08653846153846154</x:v>
      </x:c>
      <x:c r="S1151" s="15" t="n">
        <x:f>IF(E1151=0,"해당 없음",K1151/E1151)</x:f>
        <x:v>0.028846153846153848</x:v>
      </x:c>
      <x:c r="T1151" s="15" t="n">
        <x:f>IF(E1151=0,"해당 없음",L1151/E1151)</x:f>
        <x:v>0.40384615384615385</x:v>
      </x:c>
      <x:c r="U1151" s="15" t="n">
        <x:f>IF(E1151=0,"해당 없음",M1151/E1151)</x:f>
        <x:v>0.22115384615384615</x:v>
      </x:c>
      <x:c r="V1151" s="16" t="n">
        <x:f>E1151/5</x:f>
        <x:v>20.8</x:v>
      </x:c>
    </x:row>
    <x:row r="1152" ht="22" customHeight="1">
      <x:c r="A1152" s="2" t="n">
        <x:v>574</x:v>
      </x:c>
      <x:c r="B1152" s="2" t="str">
        <x:v>RED</x:v>
      </x:c>
      <x:c r="C1152" s="2" t="str">
        <x:v>120만</x:v>
      </x:c>
      <x:c r="D1152" s="2" t="str">
        <x:v>40만</x:v>
      </x:c>
      <x:c r="E1152" s="14" t="n">
        <x:f>SUM(F1152:M1152)</x:f>
        <x:v>105</x:v>
      </x:c>
      <x:c r="F1152" s="14" t="n">
        <x:v>1</x:v>
      </x:c>
      <x:c r="G1152" s="14" t="n">
        <x:v>11</x:v>
      </x:c>
      <x:c r="H1152" s="14" t="n">
        <x:v>6</x:v>
      </x:c>
      <x:c r="I1152" s="14" t="n">
        <x:v>9</x:v>
      </x:c>
      <x:c r="J1152" s="14" t="n">
        <x:v>7</x:v>
      </x:c>
      <x:c r="K1152" s="14" t="n">
        <x:v>6</x:v>
      </x:c>
      <x:c r="L1152" s="14" t="n">
        <x:v>44</x:v>
      </x:c>
      <x:c r="M1152" s="14" t="n">
        <x:v>21</x:v>
      </x:c>
      <x:c r="N1152" s="15" t="n">
        <x:f>IF(E1152=0,"해당 없음",F1152/E1152)</x:f>
        <x:v>0.009523809523809525</x:v>
      </x:c>
      <x:c r="O1152" s="15" t="n">
        <x:f>IF(E1152=0,"해당 없음",G1152/E1152)</x:f>
        <x:v>0.10476190476190476</x:v>
      </x:c>
      <x:c r="P1152" s="15" t="n">
        <x:f>IF(E1152=0,"해당 없음",H1152/E1152)</x:f>
        <x:v>0.05714285714285714</x:v>
      </x:c>
      <x:c r="Q1152" s="15" t="n">
        <x:f>IF(E1152=0,"해당 없음",I1152/E1152)</x:f>
        <x:v>0.08571428571428572</x:v>
      </x:c>
      <x:c r="R1152" s="15" t="n">
        <x:f>IF(E1152=0,"해당 없음",J1152/E1152)</x:f>
        <x:v>0.06666666666666667</x:v>
      </x:c>
      <x:c r="S1152" s="15" t="n">
        <x:f>IF(E1152=0,"해당 없음",K1152/E1152)</x:f>
        <x:v>0.05714285714285714</x:v>
      </x:c>
      <x:c r="T1152" s="15" t="n">
        <x:f>IF(E1152=0,"해당 없음",L1152/E1152)</x:f>
        <x:v>0.41904761904761906</x:v>
      </x:c>
      <x:c r="U1152" s="15" t="n">
        <x:f>IF(E1152=0,"해당 없음",M1152/E1152)</x:f>
        <x:v>0.2</x:v>
      </x:c>
      <x:c r="V1152" s="16" t="n">
        <x:f>E1152/5</x:f>
        <x:v>21</x:v>
      </x:c>
    </x:row>
    <x:row r="1153" ht="22" customHeight="1">
      <x:c r="A1153" s="2" t="n">
        <x:v>574</x:v>
      </x:c>
      <x:c r="B1153" s="2" t="str">
        <x:v>NAVY</x:v>
      </x:c>
      <x:c r="C1153" s="2" t="str">
        <x:v>40만</x:v>
      </x:c>
      <x:c r="D1153" s="2" t="str">
        <x:v>120만</x:v>
      </x:c>
      <x:c r="E1153" s="14" t="n">
        <x:f>SUM(F1153:M1153)</x:f>
        <x:v>103</x:v>
      </x:c>
      <x:c r="F1153" s="14" t="n">
        <x:v>10</x:v>
      </x:c>
      <x:c r="G1153" s="14" t="n">
        <x:v>28</x:v>
      </x:c>
      <x:c r="H1153" s="14" t="n">
        <x:v>3</x:v>
      </x:c>
      <x:c r="I1153" s="14" t="n">
        <x:v>3</x:v>
      </x:c>
      <x:c r="J1153" s="14" t="n">
        <x:v>7</x:v>
      </x:c>
      <x:c r="K1153" s="14" t="n">
        <x:v>5</x:v>
      </x:c>
      <x:c r="L1153" s="14" t="n">
        <x:v>42</x:v>
      </x:c>
      <x:c r="M1153" s="14" t="n">
        <x:v>5</x:v>
      </x:c>
      <x:c r="N1153" s="15" t="n">
        <x:f>IF(E1153=0,"해당 없음",F1153/E1153)</x:f>
        <x:v>0.0970873786407767</x:v>
      </x:c>
      <x:c r="O1153" s="15" t="n">
        <x:f>IF(E1153=0,"해당 없음",G1153/E1153)</x:f>
        <x:v>0.27184466019417475</x:v>
      </x:c>
      <x:c r="P1153" s="15" t="n">
        <x:f>IF(E1153=0,"해당 없음",H1153/E1153)</x:f>
        <x:v>0.02912621359223301</x:v>
      </x:c>
      <x:c r="Q1153" s="15" t="n">
        <x:f>IF(E1153=0,"해당 없음",I1153/E1153)</x:f>
        <x:v>0.02912621359223301</x:v>
      </x:c>
      <x:c r="R1153" s="15" t="n">
        <x:f>IF(E1153=0,"해당 없음",J1153/E1153)</x:f>
        <x:v>0.06796116504854369</x:v>
      </x:c>
      <x:c r="S1153" s="15" t="n">
        <x:f>IF(E1153=0,"해당 없음",K1153/E1153)</x:f>
        <x:v>0.04854368932038835</x:v>
      </x:c>
      <x:c r="T1153" s="15" t="n">
        <x:f>IF(E1153=0,"해당 없음",L1153/E1153)</x:f>
        <x:v>0.4077669902912621</x:v>
      </x:c>
      <x:c r="U1153" s="15" t="n">
        <x:f>IF(E1153=0,"해당 없음",M1153/E1153)</x:f>
        <x:v>0.04854368932038835</x:v>
      </x:c>
      <x:c r="V1153" s="16" t="n">
        <x:f>E1153/5</x:f>
        <x:v>20.6</x:v>
      </x:c>
    </x:row>
    <x:row r="1154" ht="22" customHeight="1">
      <x:c r="A1154" s="2" t="n">
        <x:v>575</x:v>
      </x:c>
      <x:c r="B1154" s="2" t="str">
        <x:v>RED</x:v>
      </x:c>
      <x:c r="C1154" s="2" t="str">
        <x:v>40만</x:v>
      </x:c>
      <x:c r="D1154" s="2" t="str">
        <x:v>120만</x:v>
      </x:c>
      <x:c r="E1154" s="14" t="n">
        <x:f>SUM(F1154:M1154)</x:f>
        <x:v>106</x:v>
      </x:c>
      <x:c r="F1154" s="14" t="n">
        <x:v>7</x:v>
      </x:c>
      <x:c r="G1154" s="14" t="n">
        <x:v>23</x:v>
      </x:c>
      <x:c r="H1154" s="14" t="n">
        <x:v>7</x:v>
      </x:c>
      <x:c r="I1154" s="14" t="n">
        <x:v>9</x:v>
      </x:c>
      <x:c r="J1154" s="14" t="n">
        <x:v>5</x:v>
      </x:c>
      <x:c r="K1154" s="14" t="n">
        <x:v>4</x:v>
      </x:c>
      <x:c r="L1154" s="14" t="n">
        <x:v>46</x:v>
      </x:c>
      <x:c r="M1154" s="14" t="n">
        <x:v>5</x:v>
      </x:c>
      <x:c r="N1154" s="15" t="n">
        <x:f>IF(E1154=0,"해당 없음",F1154/E1154)</x:f>
        <x:v>0.0660377358490566</x:v>
      </x:c>
      <x:c r="O1154" s="15" t="n">
        <x:f>IF(E1154=0,"해당 없음",G1154/E1154)</x:f>
        <x:v>0.2169811320754717</x:v>
      </x:c>
      <x:c r="P1154" s="15" t="n">
        <x:f>IF(E1154=0,"해당 없음",H1154/E1154)</x:f>
        <x:v>0.0660377358490566</x:v>
      </x:c>
      <x:c r="Q1154" s="15" t="n">
        <x:f>IF(E1154=0,"해당 없음",I1154/E1154)</x:f>
        <x:v>0.08490566037735849</x:v>
      </x:c>
      <x:c r="R1154" s="15" t="n">
        <x:f>IF(E1154=0,"해당 없음",J1154/E1154)</x:f>
        <x:v>0.04716981132075472</x:v>
      </x:c>
      <x:c r="S1154" s="15" t="n">
        <x:f>IF(E1154=0,"해당 없음",K1154/E1154)</x:f>
        <x:v>0.03773584905660377</x:v>
      </x:c>
      <x:c r="T1154" s="15" t="n">
        <x:f>IF(E1154=0,"해당 없음",L1154/E1154)</x:f>
        <x:v>0.4339622641509434</x:v>
      </x:c>
      <x:c r="U1154" s="15" t="n">
        <x:f>IF(E1154=0,"해당 없음",M1154/E1154)</x:f>
        <x:v>0.04716981132075472</x:v>
      </x:c>
      <x:c r="V1154" s="16" t="n">
        <x:f>E1154/5</x:f>
        <x:v>21.2</x:v>
      </x:c>
    </x:row>
    <x:row r="1155" ht="22" customHeight="1">
      <x:c r="A1155" s="2" t="n">
        <x:v>575</x:v>
      </x:c>
      <x:c r="B1155" s="2" t="str">
        <x:v>NAVY</x:v>
      </x:c>
      <x:c r="C1155" s="2" t="str">
        <x:v>120만</x:v>
      </x:c>
      <x:c r="D1155" s="2" t="str">
        <x:v>40만</x:v>
      </x:c>
      <x:c r="E1155" s="14" t="n">
        <x:f>SUM(F1155:M1155)</x:f>
        <x:v>106</x:v>
      </x:c>
      <x:c r="F1155" s="14" t="n">
        <x:v>0</x:v>
      </x:c>
      <x:c r="G1155" s="14" t="n">
        <x:v>11</x:v>
      </x:c>
      <x:c r="H1155" s="14" t="n">
        <x:v>6</x:v>
      </x:c>
      <x:c r="I1155" s="14" t="n">
        <x:v>8</x:v>
      </x:c>
      <x:c r="J1155" s="14" t="n">
        <x:v>6</x:v>
      </x:c>
      <x:c r="K1155" s="14" t="n">
        <x:v>8</x:v>
      </x:c>
      <x:c r="L1155" s="14" t="n">
        <x:v>39</x:v>
      </x:c>
      <x:c r="M1155" s="14" t="n">
        <x:v>28</x:v>
      </x:c>
      <x:c r="N1155" s="15" t="n">
        <x:f>IF(E1155=0,"해당 없음",F1155/E1155)</x:f>
        <x:v>0</x:v>
      </x:c>
      <x:c r="O1155" s="15" t="n">
        <x:f>IF(E1155=0,"해당 없음",G1155/E1155)</x:f>
        <x:v>0.10377358490566038</x:v>
      </x:c>
      <x:c r="P1155" s="15" t="n">
        <x:f>IF(E1155=0,"해당 없음",H1155/E1155)</x:f>
        <x:v>0.05660377358490566</x:v>
      </x:c>
      <x:c r="Q1155" s="15" t="n">
        <x:f>IF(E1155=0,"해당 없음",I1155/E1155)</x:f>
        <x:v>0.07547169811320754</x:v>
      </x:c>
      <x:c r="R1155" s="15" t="n">
        <x:f>IF(E1155=0,"해당 없음",J1155/E1155)</x:f>
        <x:v>0.05660377358490566</x:v>
      </x:c>
      <x:c r="S1155" s="15" t="n">
        <x:f>IF(E1155=0,"해당 없음",K1155/E1155)</x:f>
        <x:v>0.07547169811320754</x:v>
      </x:c>
      <x:c r="T1155" s="15" t="n">
        <x:f>IF(E1155=0,"해당 없음",L1155/E1155)</x:f>
        <x:v>0.36792452830188677</x:v>
      </x:c>
      <x:c r="U1155" s="15" t="n">
        <x:f>IF(E1155=0,"해당 없음",M1155/E1155)</x:f>
        <x:v>0.2641509433962264</x:v>
      </x:c>
      <x:c r="V1155" s="16" t="n">
        <x:f>E1155/5</x:f>
        <x:v>21.2</x:v>
      </x:c>
    </x:row>
    <x:row r="1156" ht="22" customHeight="1">
      <x:c r="A1156" s="2" t="n">
        <x:v>576</x:v>
      </x:c>
      <x:c r="B1156" s="2" t="str">
        <x:v>RED</x:v>
      </x:c>
      <x:c r="C1156" s="2" t="str">
        <x:v>120만</x:v>
      </x:c>
      <x:c r="D1156" s="2" t="str">
        <x:v>40만</x:v>
      </x:c>
      <x:c r="E1156" s="14" t="n">
        <x:f>SUM(F1156:M1156)</x:f>
        <x:v>105</x:v>
      </x:c>
      <x:c r="F1156" s="14" t="n">
        <x:v>4</x:v>
      </x:c>
      <x:c r="G1156" s="14" t="n">
        <x:v>11</x:v>
      </x:c>
      <x:c r="H1156" s="14" t="n">
        <x:v>9</x:v>
      </x:c>
      <x:c r="I1156" s="14" t="n">
        <x:v>10</x:v>
      </x:c>
      <x:c r="J1156" s="14" t="n">
        <x:v>3</x:v>
      </x:c>
      <x:c r="K1156" s="14" t="n">
        <x:v>6</x:v>
      </x:c>
      <x:c r="L1156" s="14" t="n">
        <x:v>37</x:v>
      </x:c>
      <x:c r="M1156" s="14" t="n">
        <x:v>25</x:v>
      </x:c>
      <x:c r="N1156" s="15" t="n">
        <x:f>IF(E1156=0,"해당 없음",F1156/E1156)</x:f>
        <x:v>0.0380952380952381</x:v>
      </x:c>
      <x:c r="O1156" s="15" t="n">
        <x:f>IF(E1156=0,"해당 없음",G1156/E1156)</x:f>
        <x:v>0.10476190476190476</x:v>
      </x:c>
      <x:c r="P1156" s="15" t="n">
        <x:f>IF(E1156=0,"해당 없음",H1156/E1156)</x:f>
        <x:v>0.08571428571428572</x:v>
      </x:c>
      <x:c r="Q1156" s="15" t="n">
        <x:f>IF(E1156=0,"해당 없음",I1156/E1156)</x:f>
        <x:v>0.09523809523809523</x:v>
      </x:c>
      <x:c r="R1156" s="15" t="n">
        <x:f>IF(E1156=0,"해당 없음",J1156/E1156)</x:f>
        <x:v>0.02857142857142857</x:v>
      </x:c>
      <x:c r="S1156" s="15" t="n">
        <x:f>IF(E1156=0,"해당 없음",K1156/E1156)</x:f>
        <x:v>0.05714285714285714</x:v>
      </x:c>
      <x:c r="T1156" s="15" t="n">
        <x:f>IF(E1156=0,"해당 없음",L1156/E1156)</x:f>
        <x:v>0.3523809523809524</x:v>
      </x:c>
      <x:c r="U1156" s="15" t="n">
        <x:f>IF(E1156=0,"해당 없음",M1156/E1156)</x:f>
        <x:v>0.23809523809523808</x:v>
      </x:c>
      <x:c r="V1156" s="16" t="n">
        <x:f>E1156/5</x:f>
        <x:v>21</x:v>
      </x:c>
    </x:row>
    <x:row r="1157" ht="22" customHeight="1">
      <x:c r="A1157" s="2" t="n">
        <x:v>576</x:v>
      </x:c>
      <x:c r="B1157" s="2" t="str">
        <x:v>NAVY</x:v>
      </x:c>
      <x:c r="C1157" s="2" t="str">
        <x:v>40만</x:v>
      </x:c>
      <x:c r="D1157" s="2" t="str">
        <x:v>120만</x:v>
      </x:c>
      <x:c r="E1157" s="14" t="n">
        <x:f>SUM(F1157:M1157)</x:f>
        <x:v>104</x:v>
      </x:c>
      <x:c r="F1157" s="14" t="n">
        <x:v>4</x:v>
      </x:c>
      <x:c r="G1157" s="14" t="n">
        <x:v>24</x:v>
      </x:c>
      <x:c r="H1157" s="14" t="n">
        <x:v>5</x:v>
      </x:c>
      <x:c r="I1157" s="14" t="n">
        <x:v>9</x:v>
      </x:c>
      <x:c r="J1157" s="14" t="n">
        <x:v>6</x:v>
      </x:c>
      <x:c r="K1157" s="14" t="n">
        <x:v>9</x:v>
      </x:c>
      <x:c r="L1157" s="14" t="n">
        <x:v>44</x:v>
      </x:c>
      <x:c r="M1157" s="14" t="n">
        <x:v>3</x:v>
      </x:c>
      <x:c r="N1157" s="15" t="n">
        <x:f>IF(E1157=0,"해당 없음",F1157/E1157)</x:f>
        <x:v>0.038461538461538464</x:v>
      </x:c>
      <x:c r="O1157" s="15" t="n">
        <x:f>IF(E1157=0,"해당 없음",G1157/E1157)</x:f>
        <x:v>0.23076923076923078</x:v>
      </x:c>
      <x:c r="P1157" s="15" t="n">
        <x:f>IF(E1157=0,"해당 없음",H1157/E1157)</x:f>
        <x:v>0.04807692307692308</x:v>
      </x:c>
      <x:c r="Q1157" s="15" t="n">
        <x:f>IF(E1157=0,"해당 없음",I1157/E1157)</x:f>
        <x:v>0.08653846153846154</x:v>
      </x:c>
      <x:c r="R1157" s="15" t="n">
        <x:f>IF(E1157=0,"해당 없음",J1157/E1157)</x:f>
        <x:v>0.057692307692307696</x:v>
      </x:c>
      <x:c r="S1157" s="15" t="n">
        <x:f>IF(E1157=0,"해당 없음",K1157/E1157)</x:f>
        <x:v>0.08653846153846154</x:v>
      </x:c>
      <x:c r="T1157" s="15" t="n">
        <x:f>IF(E1157=0,"해당 없음",L1157/E1157)</x:f>
        <x:v>0.4230769230769231</x:v>
      </x:c>
      <x:c r="U1157" s="15" t="n">
        <x:f>IF(E1157=0,"해당 없음",M1157/E1157)</x:f>
        <x:v>0.028846153846153848</x:v>
      </x:c>
      <x:c r="V1157" s="16" t="n">
        <x:f>E1157/5</x:f>
        <x:v>20.8</x:v>
      </x:c>
    </x:row>
    <x:row r="1158" ht="22" customHeight="1">
      <x:c r="A1158" s="2" t="n">
        <x:v>577</x:v>
      </x:c>
      <x:c r="B1158" s="2" t="str">
        <x:v>RED</x:v>
      </x:c>
      <x:c r="C1158" s="2" t="str">
        <x:v>40만</x:v>
      </x:c>
      <x:c r="D1158" s="2" t="str">
        <x:v>120만</x:v>
      </x:c>
      <x:c r="E1158" s="14" t="n">
        <x:f>SUM(F1158:M1158)</x:f>
        <x:v>102</x:v>
      </x:c>
      <x:c r="F1158" s="14" t="n">
        <x:v>6</x:v>
      </x:c>
      <x:c r="G1158" s="14" t="n">
        <x:v>22</x:v>
      </x:c>
      <x:c r="H1158" s="14" t="n">
        <x:v>9</x:v>
      </x:c>
      <x:c r="I1158" s="14" t="n">
        <x:v>8</x:v>
      </x:c>
      <x:c r="J1158" s="14" t="n">
        <x:v>6</x:v>
      </x:c>
      <x:c r="K1158" s="14" t="n">
        <x:v>7</x:v>
      </x:c>
      <x:c r="L1158" s="14" t="n">
        <x:v>38</x:v>
      </x:c>
      <x:c r="M1158" s="14" t="n">
        <x:v>6</x:v>
      </x:c>
      <x:c r="N1158" s="15" t="n">
        <x:f>IF(E1158=0,"해당 없음",F1158/E1158)</x:f>
        <x:v>0.058823529411764705</x:v>
      </x:c>
      <x:c r="O1158" s="15" t="n">
        <x:f>IF(E1158=0,"해당 없음",G1158/E1158)</x:f>
        <x:v>0.21568627450980393</x:v>
      </x:c>
      <x:c r="P1158" s="15" t="n">
        <x:f>IF(E1158=0,"해당 없음",H1158/E1158)</x:f>
        <x:v>0.08823529411764706</x:v>
      </x:c>
      <x:c r="Q1158" s="15" t="n">
        <x:f>IF(E1158=0,"해당 없음",I1158/E1158)</x:f>
        <x:v>0.0784313725490196</x:v>
      </x:c>
      <x:c r="R1158" s="15" t="n">
        <x:f>IF(E1158=0,"해당 없음",J1158/E1158)</x:f>
        <x:v>0.058823529411764705</x:v>
      </x:c>
      <x:c r="S1158" s="15" t="n">
        <x:f>IF(E1158=0,"해당 없음",K1158/E1158)</x:f>
        <x:v>0.06862745098039216</x:v>
      </x:c>
      <x:c r="T1158" s="15" t="n">
        <x:f>IF(E1158=0,"해당 없음",L1158/E1158)</x:f>
        <x:v>0.37254901960784315</x:v>
      </x:c>
      <x:c r="U1158" s="15" t="n">
        <x:f>IF(E1158=0,"해당 없음",M1158/E1158)</x:f>
        <x:v>0.058823529411764705</x:v>
      </x:c>
      <x:c r="V1158" s="16" t="n">
        <x:f>E1158/5</x:f>
        <x:v>20.4</x:v>
      </x:c>
    </x:row>
    <x:row r="1159" ht="22" customHeight="1">
      <x:c r="A1159" s="2" t="n">
        <x:v>577</x:v>
      </x:c>
      <x:c r="B1159" s="2" t="str">
        <x:v>NAVY</x:v>
      </x:c>
      <x:c r="C1159" s="2" t="str">
        <x:v>120만</x:v>
      </x:c>
      <x:c r="D1159" s="2" t="str">
        <x:v>40만</x:v>
      </x:c>
      <x:c r="E1159" s="14" t="n">
        <x:f>SUM(F1159:M1159)</x:f>
        <x:v>102</x:v>
      </x:c>
      <x:c r="F1159" s="14" t="n">
        <x:v>1</x:v>
      </x:c>
      <x:c r="G1159" s="14" t="n">
        <x:v>13</x:v>
      </x:c>
      <x:c r="H1159" s="14" t="n">
        <x:v>7</x:v>
      </x:c>
      <x:c r="I1159" s="14" t="n">
        <x:v>6</x:v>
      </x:c>
      <x:c r="J1159" s="14" t="n">
        <x:v>7</x:v>
      </x:c>
      <x:c r="K1159" s="14" t="n">
        <x:v>8</x:v>
      </x:c>
      <x:c r="L1159" s="14" t="n">
        <x:v>38</x:v>
      </x:c>
      <x:c r="M1159" s="14" t="n">
        <x:v>22</x:v>
      </x:c>
      <x:c r="N1159" s="15" t="n">
        <x:f>IF(E1159=0,"해당 없음",F1159/E1159)</x:f>
        <x:v>0.00980392156862745</x:v>
      </x:c>
      <x:c r="O1159" s="15" t="n">
        <x:f>IF(E1159=0,"해당 없음",G1159/E1159)</x:f>
        <x:v>0.12745098039215685</x:v>
      </x:c>
      <x:c r="P1159" s="15" t="n">
        <x:f>IF(E1159=0,"해당 없음",H1159/E1159)</x:f>
        <x:v>0.06862745098039216</x:v>
      </x:c>
      <x:c r="Q1159" s="15" t="n">
        <x:f>IF(E1159=0,"해당 없음",I1159/E1159)</x:f>
        <x:v>0.058823529411764705</x:v>
      </x:c>
      <x:c r="R1159" s="15" t="n">
        <x:f>IF(E1159=0,"해당 없음",J1159/E1159)</x:f>
        <x:v>0.06862745098039216</x:v>
      </x:c>
      <x:c r="S1159" s="15" t="n">
        <x:f>IF(E1159=0,"해당 없음",K1159/E1159)</x:f>
        <x:v>0.0784313725490196</x:v>
      </x:c>
      <x:c r="T1159" s="15" t="n">
        <x:f>IF(E1159=0,"해당 없음",L1159/E1159)</x:f>
        <x:v>0.37254901960784315</x:v>
      </x:c>
      <x:c r="U1159" s="15" t="n">
        <x:f>IF(E1159=0,"해당 없음",M1159/E1159)</x:f>
        <x:v>0.21568627450980393</x:v>
      </x:c>
      <x:c r="V1159" s="16" t="n">
        <x:f>E1159/5</x:f>
        <x:v>20.4</x:v>
      </x:c>
    </x:row>
    <x:row r="1160" ht="22" customHeight="1">
      <x:c r="A1160" s="2" t="n">
        <x:v>578</x:v>
      </x:c>
      <x:c r="B1160" s="2" t="str">
        <x:v>RED</x:v>
      </x:c>
      <x:c r="C1160" s="2" t="str">
        <x:v>120만</x:v>
      </x:c>
      <x:c r="D1160" s="2" t="str">
        <x:v>40만</x:v>
      </x:c>
      <x:c r="E1160" s="14" t="n">
        <x:f>SUM(F1160:M1160)</x:f>
        <x:v>103</x:v>
      </x:c>
      <x:c r="F1160" s="14" t="n">
        <x:v>3</x:v>
      </x:c>
      <x:c r="G1160" s="14" t="n">
        <x:v>7</x:v>
      </x:c>
      <x:c r="H1160" s="14" t="n">
        <x:v>9</x:v>
      </x:c>
      <x:c r="I1160" s="14" t="n">
        <x:v>9</x:v>
      </x:c>
      <x:c r="J1160" s="14" t="n">
        <x:v>5</x:v>
      </x:c>
      <x:c r="K1160" s="14" t="n">
        <x:v>5</x:v>
      </x:c>
      <x:c r="L1160" s="14" t="n">
        <x:v>33</x:v>
      </x:c>
      <x:c r="M1160" s="14" t="n">
        <x:v>32</x:v>
      </x:c>
      <x:c r="N1160" s="15" t="n">
        <x:f>IF(E1160=0,"해당 없음",F1160/E1160)</x:f>
        <x:v>0.02912621359223301</x:v>
      </x:c>
      <x:c r="O1160" s="15" t="n">
        <x:f>IF(E1160=0,"해당 없음",G1160/E1160)</x:f>
        <x:v>0.06796116504854369</x:v>
      </x:c>
      <x:c r="P1160" s="15" t="n">
        <x:f>IF(E1160=0,"해당 없음",H1160/E1160)</x:f>
        <x:v>0.08737864077669903</x:v>
      </x:c>
      <x:c r="Q1160" s="15" t="n">
        <x:f>IF(E1160=0,"해당 없음",I1160/E1160)</x:f>
        <x:v>0.08737864077669903</x:v>
      </x:c>
      <x:c r="R1160" s="15" t="n">
        <x:f>IF(E1160=0,"해당 없음",J1160/E1160)</x:f>
        <x:v>0.04854368932038835</x:v>
      </x:c>
      <x:c r="S1160" s="15" t="n">
        <x:f>IF(E1160=0,"해당 없음",K1160/E1160)</x:f>
        <x:v>0.04854368932038835</x:v>
      </x:c>
      <x:c r="T1160" s="15" t="n">
        <x:f>IF(E1160=0,"해당 없음",L1160/E1160)</x:f>
        <x:v>0.32038834951456313</x:v>
      </x:c>
      <x:c r="U1160" s="15" t="n">
        <x:f>IF(E1160=0,"해당 없음",M1160/E1160)</x:f>
        <x:v>0.3106796116504854</x:v>
      </x:c>
      <x:c r="V1160" s="16" t="n">
        <x:f>E1160/5</x:f>
        <x:v>20.6</x:v>
      </x:c>
    </x:row>
    <x:row r="1161" ht="22" customHeight="1">
      <x:c r="A1161" s="2" t="n">
        <x:v>578</x:v>
      </x:c>
      <x:c r="B1161" s="2" t="str">
        <x:v>NAVY</x:v>
      </x:c>
      <x:c r="C1161" s="2" t="str">
        <x:v>40만</x:v>
      </x:c>
      <x:c r="D1161" s="2" t="str">
        <x:v>120만</x:v>
      </x:c>
      <x:c r="E1161" s="14" t="n">
        <x:f>SUM(F1161:M1161)</x:f>
        <x:v>104</x:v>
      </x:c>
      <x:c r="F1161" s="14" t="n">
        <x:v>4</x:v>
      </x:c>
      <x:c r="G1161" s="14" t="n">
        <x:v>30</x:v>
      </x:c>
      <x:c r="H1161" s="14" t="n">
        <x:v>3</x:v>
      </x:c>
      <x:c r="I1161" s="14" t="n">
        <x:v>8</x:v>
      </x:c>
      <x:c r="J1161" s="14" t="n">
        <x:v>3</x:v>
      </x:c>
      <x:c r="K1161" s="14" t="n">
        <x:v>15</x:v>
      </x:c>
      <x:c r="L1161" s="14" t="n">
        <x:v>36</x:v>
      </x:c>
      <x:c r="M1161" s="14" t="n">
        <x:v>5</x:v>
      </x:c>
      <x:c r="N1161" s="15" t="n">
        <x:f>IF(E1161=0,"해당 없음",F1161/E1161)</x:f>
        <x:v>0.038461538461538464</x:v>
      </x:c>
      <x:c r="O1161" s="15" t="n">
        <x:f>IF(E1161=0,"해당 없음",G1161/E1161)</x:f>
        <x:v>0.28846153846153844</x:v>
      </x:c>
      <x:c r="P1161" s="15" t="n">
        <x:f>IF(E1161=0,"해당 없음",H1161/E1161)</x:f>
        <x:v>0.028846153846153848</x:v>
      </x:c>
      <x:c r="Q1161" s="15" t="n">
        <x:f>IF(E1161=0,"해당 없음",I1161/E1161)</x:f>
        <x:v>0.07692307692307693</x:v>
      </x:c>
      <x:c r="R1161" s="15" t="n">
        <x:f>IF(E1161=0,"해당 없음",J1161/E1161)</x:f>
        <x:v>0.028846153846153848</x:v>
      </x:c>
      <x:c r="S1161" s="15" t="n">
        <x:f>IF(E1161=0,"해당 없음",K1161/E1161)</x:f>
        <x:v>0.14423076923076922</x:v>
      </x:c>
      <x:c r="T1161" s="15" t="n">
        <x:f>IF(E1161=0,"해당 없음",L1161/E1161)</x:f>
        <x:v>0.34615384615384615</x:v>
      </x:c>
      <x:c r="U1161" s="15" t="n">
        <x:f>IF(E1161=0,"해당 없음",M1161/E1161)</x:f>
        <x:v>0.04807692307692308</x:v>
      </x:c>
      <x:c r="V1161" s="16" t="n">
        <x:f>E1161/5</x:f>
        <x:v>20.8</x:v>
      </x:c>
    </x:row>
    <x:row r="1162" ht="22" customHeight="1">
      <x:c r="A1162" s="2" t="n">
        <x:v>579</x:v>
      </x:c>
      <x:c r="B1162" s="2" t="str">
        <x:v>RED</x:v>
      </x:c>
      <x:c r="C1162" s="2" t="str">
        <x:v>40만</x:v>
      </x:c>
      <x:c r="D1162" s="2" t="str">
        <x:v>120만</x:v>
      </x:c>
      <x:c r="E1162" s="14" t="n">
        <x:f>SUM(F1162:M1162)</x:f>
        <x:v>105</x:v>
      </x:c>
      <x:c r="F1162" s="14" t="n">
        <x:v>9</x:v>
      </x:c>
      <x:c r="G1162" s="14" t="n">
        <x:v>28</x:v>
      </x:c>
      <x:c r="H1162" s="14" t="n">
        <x:v>3</x:v>
      </x:c>
      <x:c r="I1162" s="14" t="n">
        <x:v>8</x:v>
      </x:c>
      <x:c r="J1162" s="14" t="n">
        <x:v>4</x:v>
      </x:c>
      <x:c r="K1162" s="14" t="n">
        <x:v>9</x:v>
      </x:c>
      <x:c r="L1162" s="14" t="n">
        <x:v>41</x:v>
      </x:c>
      <x:c r="M1162" s="14" t="n">
        <x:v>3</x:v>
      </x:c>
      <x:c r="N1162" s="15" t="n">
        <x:f>IF(E1162=0,"해당 없음",F1162/E1162)</x:f>
        <x:v>0.08571428571428572</x:v>
      </x:c>
      <x:c r="O1162" s="15" t="n">
        <x:f>IF(E1162=0,"해당 없음",G1162/E1162)</x:f>
        <x:v>0.26666666666666666</x:v>
      </x:c>
      <x:c r="P1162" s="15" t="n">
        <x:f>IF(E1162=0,"해당 없음",H1162/E1162)</x:f>
        <x:v>0.02857142857142857</x:v>
      </x:c>
      <x:c r="Q1162" s="15" t="n">
        <x:f>IF(E1162=0,"해당 없음",I1162/E1162)</x:f>
        <x:v>0.0761904761904762</x:v>
      </x:c>
      <x:c r="R1162" s="15" t="n">
        <x:f>IF(E1162=0,"해당 없음",J1162/E1162)</x:f>
        <x:v>0.0380952380952381</x:v>
      </x:c>
      <x:c r="S1162" s="15" t="n">
        <x:f>IF(E1162=0,"해당 없음",K1162/E1162)</x:f>
        <x:v>0.08571428571428572</x:v>
      </x:c>
      <x:c r="T1162" s="15" t="n">
        <x:f>IF(E1162=0,"해당 없음",L1162/E1162)</x:f>
        <x:v>0.3904761904761905</x:v>
      </x:c>
      <x:c r="U1162" s="15" t="n">
        <x:f>IF(E1162=0,"해당 없음",M1162/E1162)</x:f>
        <x:v>0.02857142857142857</x:v>
      </x:c>
      <x:c r="V1162" s="16" t="n">
        <x:f>E1162/5</x:f>
        <x:v>21</x:v>
      </x:c>
    </x:row>
    <x:row r="1163" ht="22" customHeight="1">
      <x:c r="A1163" s="2" t="n">
        <x:v>579</x:v>
      </x:c>
      <x:c r="B1163" s="2" t="str">
        <x:v>NAVY</x:v>
      </x:c>
      <x:c r="C1163" s="2" t="str">
        <x:v>120만</x:v>
      </x:c>
      <x:c r="D1163" s="2" t="str">
        <x:v>40만</x:v>
      </x:c>
      <x:c r="E1163" s="14" t="n">
        <x:f>SUM(F1163:M1163)</x:f>
        <x:v>104</x:v>
      </x:c>
      <x:c r="F1163" s="14" t="n">
        <x:v>3</x:v>
      </x:c>
      <x:c r="G1163" s="14" t="n">
        <x:v>14</x:v>
      </x:c>
      <x:c r="H1163" s="14" t="n">
        <x:v>6</x:v>
      </x:c>
      <x:c r="I1163" s="14" t="n">
        <x:v>12</x:v>
      </x:c>
      <x:c r="J1163" s="14" t="n">
        <x:v>3</x:v>
      </x:c>
      <x:c r="K1163" s="14" t="n">
        <x:v>9</x:v>
      </x:c>
      <x:c r="L1163" s="14" t="n">
        <x:v>37</x:v>
      </x:c>
      <x:c r="M1163" s="14" t="n">
        <x:v>20</x:v>
      </x:c>
      <x:c r="N1163" s="15" t="n">
        <x:f>IF(E1163=0,"해당 없음",F1163/E1163)</x:f>
        <x:v>0.028846153846153848</x:v>
      </x:c>
      <x:c r="O1163" s="15" t="n">
        <x:f>IF(E1163=0,"해당 없음",G1163/E1163)</x:f>
        <x:v>0.1346153846153846</x:v>
      </x:c>
      <x:c r="P1163" s="15" t="n">
        <x:f>IF(E1163=0,"해당 없음",H1163/E1163)</x:f>
        <x:v>0.057692307692307696</x:v>
      </x:c>
      <x:c r="Q1163" s="15" t="n">
        <x:f>IF(E1163=0,"해당 없음",I1163/E1163)</x:f>
        <x:v>0.11538461538461539</x:v>
      </x:c>
      <x:c r="R1163" s="15" t="n">
        <x:f>IF(E1163=0,"해당 없음",J1163/E1163)</x:f>
        <x:v>0.028846153846153848</x:v>
      </x:c>
      <x:c r="S1163" s="15" t="n">
        <x:f>IF(E1163=0,"해당 없음",K1163/E1163)</x:f>
        <x:v>0.08653846153846154</x:v>
      </x:c>
      <x:c r="T1163" s="15" t="n">
        <x:f>IF(E1163=0,"해당 없음",L1163/E1163)</x:f>
        <x:v>0.3557692307692308</x:v>
      </x:c>
      <x:c r="U1163" s="15" t="n">
        <x:f>IF(E1163=0,"해당 없음",M1163/E1163)</x:f>
        <x:v>0.19230769230769232</x:v>
      </x:c>
      <x:c r="V1163" s="16" t="n">
        <x:f>E1163/5</x:f>
        <x:v>20.8</x:v>
      </x:c>
    </x:row>
    <x:row r="1164" ht="22" customHeight="1">
      <x:c r="A1164" s="2" t="n">
        <x:v>580</x:v>
      </x:c>
      <x:c r="B1164" s="2" t="str">
        <x:v>RED</x:v>
      </x:c>
      <x:c r="C1164" s="2" t="str">
        <x:v>120만</x:v>
      </x:c>
      <x:c r="D1164" s="2" t="str">
        <x:v>40만</x:v>
      </x:c>
      <x:c r="E1164" s="14" t="n">
        <x:f>SUM(F1164:M1164)</x:f>
        <x:v>103</x:v>
      </x:c>
      <x:c r="F1164" s="14" t="n">
        <x:v>4</x:v>
      </x:c>
      <x:c r="G1164" s="14" t="n">
        <x:v>17</x:v>
      </x:c>
      <x:c r="H1164" s="14" t="n">
        <x:v>8</x:v>
      </x:c>
      <x:c r="I1164" s="14" t="n">
        <x:v>12</x:v>
      </x:c>
      <x:c r="J1164" s="14" t="n">
        <x:v>3</x:v>
      </x:c>
      <x:c r="K1164" s="14" t="n">
        <x:v>3</x:v>
      </x:c>
      <x:c r="L1164" s="14" t="n">
        <x:v>38</x:v>
      </x:c>
      <x:c r="M1164" s="14" t="n">
        <x:v>18</x:v>
      </x:c>
      <x:c r="N1164" s="15" t="n">
        <x:f>IF(E1164=0,"해당 없음",F1164/E1164)</x:f>
        <x:v>0.038834951456310676</x:v>
      </x:c>
      <x:c r="O1164" s="15" t="n">
        <x:f>IF(E1164=0,"해당 없음",G1164/E1164)</x:f>
        <x:v>0.1650485436893204</x:v>
      </x:c>
      <x:c r="P1164" s="15" t="n">
        <x:f>IF(E1164=0,"해당 없음",H1164/E1164)</x:f>
        <x:v>0.07766990291262135</x:v>
      </x:c>
      <x:c r="Q1164" s="15" t="n">
        <x:f>IF(E1164=0,"해당 없음",I1164/E1164)</x:f>
        <x:v>0.11650485436893204</x:v>
      </x:c>
      <x:c r="R1164" s="15" t="n">
        <x:f>IF(E1164=0,"해당 없음",J1164/E1164)</x:f>
        <x:v>0.02912621359223301</x:v>
      </x:c>
      <x:c r="S1164" s="15" t="n">
        <x:f>IF(E1164=0,"해당 없음",K1164/E1164)</x:f>
        <x:v>0.02912621359223301</x:v>
      </x:c>
      <x:c r="T1164" s="15" t="n">
        <x:f>IF(E1164=0,"해당 없음",L1164/E1164)</x:f>
        <x:v>0.36893203883495146</x:v>
      </x:c>
      <x:c r="U1164" s="15" t="n">
        <x:f>IF(E1164=0,"해당 없음",M1164/E1164)</x:f>
        <x:v>0.17475728155339806</x:v>
      </x:c>
      <x:c r="V1164" s="16" t="n">
        <x:f>E1164/5</x:f>
        <x:v>20.6</x:v>
      </x:c>
    </x:row>
    <x:row r="1165" ht="22" customHeight="1">
      <x:c r="A1165" s="2" t="n">
        <x:v>580</x:v>
      </x:c>
      <x:c r="B1165" s="2" t="str">
        <x:v>NAVY</x:v>
      </x:c>
      <x:c r="C1165" s="2" t="str">
        <x:v>40만</x:v>
      </x:c>
      <x:c r="D1165" s="2" t="str">
        <x:v>120만</x:v>
      </x:c>
      <x:c r="E1165" s="14" t="n">
        <x:f>SUM(F1165:M1165)</x:f>
        <x:v>103</x:v>
      </x:c>
      <x:c r="F1165" s="14" t="n">
        <x:v>2</x:v>
      </x:c>
      <x:c r="G1165" s="14" t="n">
        <x:v>22</x:v>
      </x:c>
      <x:c r="H1165" s="14" t="n">
        <x:v>5</x:v>
      </x:c>
      <x:c r="I1165" s="14" t="n">
        <x:v>11</x:v>
      </x:c>
      <x:c r="J1165" s="14" t="n">
        <x:v>8</x:v>
      </x:c>
      <x:c r="K1165" s="14" t="n">
        <x:v>7</x:v>
      </x:c>
      <x:c r="L1165" s="14" t="n">
        <x:v>42</x:v>
      </x:c>
      <x:c r="M1165" s="14" t="n">
        <x:v>6</x:v>
      </x:c>
      <x:c r="N1165" s="15" t="n">
        <x:f>IF(E1165=0,"해당 없음",F1165/E1165)</x:f>
        <x:v>0.019417475728155338</x:v>
      </x:c>
      <x:c r="O1165" s="15" t="n">
        <x:f>IF(E1165=0,"해당 없음",G1165/E1165)</x:f>
        <x:v>0.21359223300970873</x:v>
      </x:c>
      <x:c r="P1165" s="15" t="n">
        <x:f>IF(E1165=0,"해당 없음",H1165/E1165)</x:f>
        <x:v>0.04854368932038835</x:v>
      </x:c>
      <x:c r="Q1165" s="15" t="n">
        <x:f>IF(E1165=0,"해당 없음",I1165/E1165)</x:f>
        <x:v>0.10679611650485436</x:v>
      </x:c>
      <x:c r="R1165" s="15" t="n">
        <x:f>IF(E1165=0,"해당 없음",J1165/E1165)</x:f>
        <x:v>0.07766990291262135</x:v>
      </x:c>
      <x:c r="S1165" s="15" t="n">
        <x:f>IF(E1165=0,"해당 없음",K1165/E1165)</x:f>
        <x:v>0.06796116504854369</x:v>
      </x:c>
      <x:c r="T1165" s="15" t="n">
        <x:f>IF(E1165=0,"해당 없음",L1165/E1165)</x:f>
        <x:v>0.4077669902912621</x:v>
      </x:c>
      <x:c r="U1165" s="15" t="n">
        <x:f>IF(E1165=0,"해당 없음",M1165/E1165)</x:f>
        <x:v>0.05825242718446602</x:v>
      </x:c>
      <x:c r="V1165" s="16" t="n">
        <x:f>E1165/5</x:f>
        <x:v>20.6</x:v>
      </x:c>
    </x:row>
    <x:row r="1166" ht="22" customHeight="1">
      <x:c r="A1166" s="2" t="n">
        <x:v>581</x:v>
      </x:c>
      <x:c r="B1166" s="2" t="str">
        <x:v>RED</x:v>
      </x:c>
      <x:c r="C1166" s="2" t="str">
        <x:v>40만</x:v>
      </x:c>
      <x:c r="D1166" s="2" t="str">
        <x:v>120만</x:v>
      </x:c>
      <x:c r="E1166" s="14" t="n">
        <x:f>SUM(F1166:M1166)</x:f>
        <x:v>104</x:v>
      </x:c>
      <x:c r="F1166" s="14" t="n">
        <x:v>3</x:v>
      </x:c>
      <x:c r="G1166" s="14" t="n">
        <x:v>33</x:v>
      </x:c>
      <x:c r="H1166" s="14" t="n">
        <x:v>5</x:v>
      </x:c>
      <x:c r="I1166" s="14" t="n">
        <x:v>5</x:v>
      </x:c>
      <x:c r="J1166" s="14" t="n">
        <x:v>6</x:v>
      </x:c>
      <x:c r="K1166" s="14" t="n">
        <x:v>8</x:v>
      </x:c>
      <x:c r="L1166" s="14" t="n">
        <x:v>39</x:v>
      </x:c>
      <x:c r="M1166" s="14" t="n">
        <x:v>5</x:v>
      </x:c>
      <x:c r="N1166" s="15" t="n">
        <x:f>IF(E1166=0,"해당 없음",F1166/E1166)</x:f>
        <x:v>0.028846153846153848</x:v>
      </x:c>
      <x:c r="O1166" s="15" t="n">
        <x:f>IF(E1166=0,"해당 없음",G1166/E1166)</x:f>
        <x:v>0.3173076923076923</x:v>
      </x:c>
      <x:c r="P1166" s="15" t="n">
        <x:f>IF(E1166=0,"해당 없음",H1166/E1166)</x:f>
        <x:v>0.04807692307692308</x:v>
      </x:c>
      <x:c r="Q1166" s="15" t="n">
        <x:f>IF(E1166=0,"해당 없음",I1166/E1166)</x:f>
        <x:v>0.04807692307692308</x:v>
      </x:c>
      <x:c r="R1166" s="15" t="n">
        <x:f>IF(E1166=0,"해당 없음",J1166/E1166)</x:f>
        <x:v>0.057692307692307696</x:v>
      </x:c>
      <x:c r="S1166" s="15" t="n">
        <x:f>IF(E1166=0,"해당 없음",K1166/E1166)</x:f>
        <x:v>0.07692307692307693</x:v>
      </x:c>
      <x:c r="T1166" s="15" t="n">
        <x:f>IF(E1166=0,"해당 없음",L1166/E1166)</x:f>
        <x:v>0.375</x:v>
      </x:c>
      <x:c r="U1166" s="15" t="n">
        <x:f>IF(E1166=0,"해당 없음",M1166/E1166)</x:f>
        <x:v>0.04807692307692308</x:v>
      </x:c>
      <x:c r="V1166" s="16" t="n">
        <x:f>E1166/5</x:f>
        <x:v>20.8</x:v>
      </x:c>
    </x:row>
    <x:row r="1167" ht="22" customHeight="1">
      <x:c r="A1167" s="2" t="n">
        <x:v>581</x:v>
      </x:c>
      <x:c r="B1167" s="2" t="str">
        <x:v>NAVY</x:v>
      </x:c>
      <x:c r="C1167" s="2" t="str">
        <x:v>120만</x:v>
      </x:c>
      <x:c r="D1167" s="2" t="str">
        <x:v>40만</x:v>
      </x:c>
      <x:c r="E1167" s="14" t="n">
        <x:f>SUM(F1167:M1167)</x:f>
        <x:v>104</x:v>
      </x:c>
      <x:c r="F1167" s="14" t="n">
        <x:v>1</x:v>
      </x:c>
      <x:c r="G1167" s="14" t="n">
        <x:v>21</x:v>
      </x:c>
      <x:c r="H1167" s="14" t="n">
        <x:v>8</x:v>
      </x:c>
      <x:c r="I1167" s="14" t="n">
        <x:v>5</x:v>
      </x:c>
      <x:c r="J1167" s="14" t="n">
        <x:v>3</x:v>
      </x:c>
      <x:c r="K1167" s="14" t="n">
        <x:v>6</x:v>
      </x:c>
      <x:c r="L1167" s="14" t="n">
        <x:v>33</x:v>
      </x:c>
      <x:c r="M1167" s="14" t="n">
        <x:v>27</x:v>
      </x:c>
      <x:c r="N1167" s="15" t="n">
        <x:f>IF(E1167=0,"해당 없음",F1167/E1167)</x:f>
        <x:v>0.009615384615384616</x:v>
      </x:c>
      <x:c r="O1167" s="15" t="n">
        <x:f>IF(E1167=0,"해당 없음",G1167/E1167)</x:f>
        <x:v>0.20192307692307693</x:v>
      </x:c>
      <x:c r="P1167" s="15" t="n">
        <x:f>IF(E1167=0,"해당 없음",H1167/E1167)</x:f>
        <x:v>0.07692307692307693</x:v>
      </x:c>
      <x:c r="Q1167" s="15" t="n">
        <x:f>IF(E1167=0,"해당 없음",I1167/E1167)</x:f>
        <x:v>0.04807692307692308</x:v>
      </x:c>
      <x:c r="R1167" s="15" t="n">
        <x:f>IF(E1167=0,"해당 없음",J1167/E1167)</x:f>
        <x:v>0.028846153846153848</x:v>
      </x:c>
      <x:c r="S1167" s="15" t="n">
        <x:f>IF(E1167=0,"해당 없음",K1167/E1167)</x:f>
        <x:v>0.057692307692307696</x:v>
      </x:c>
      <x:c r="T1167" s="15" t="n">
        <x:f>IF(E1167=0,"해당 없음",L1167/E1167)</x:f>
        <x:v>0.3173076923076923</x:v>
      </x:c>
      <x:c r="U1167" s="15" t="n">
        <x:f>IF(E1167=0,"해당 없음",M1167/E1167)</x:f>
        <x:v>0.25961538461538464</x:v>
      </x:c>
      <x:c r="V1167" s="16" t="n">
        <x:f>E1167/5</x:f>
        <x:v>20.8</x:v>
      </x:c>
    </x:row>
    <x:row r="1168" ht="22" customHeight="1">
      <x:c r="A1168" s="2" t="n">
        <x:v>582</x:v>
      </x:c>
      <x:c r="B1168" s="2" t="str">
        <x:v>RED</x:v>
      </x:c>
      <x:c r="C1168" s="2" t="str">
        <x:v>120만</x:v>
      </x:c>
      <x:c r="D1168" s="2" t="str">
        <x:v>40만</x:v>
      </x:c>
      <x:c r="E1168" s="14" t="n">
        <x:f>SUM(F1168:M1168)</x:f>
        <x:v>100</x:v>
      </x:c>
      <x:c r="F1168" s="14" t="n">
        <x:v>4</x:v>
      </x:c>
      <x:c r="G1168" s="14" t="n">
        <x:v>18</x:v>
      </x:c>
      <x:c r="H1168" s="14" t="n">
        <x:v>7</x:v>
      </x:c>
      <x:c r="I1168" s="14" t="n">
        <x:v>3</x:v>
      </x:c>
      <x:c r="J1168" s="14" t="n">
        <x:v>1</x:v>
      </x:c>
      <x:c r="K1168" s="14" t="n">
        <x:v>5</x:v>
      </x:c>
      <x:c r="L1168" s="14" t="n">
        <x:v>33</x:v>
      </x:c>
      <x:c r="M1168" s="14" t="n">
        <x:v>29</x:v>
      </x:c>
      <x:c r="N1168" s="15" t="n">
        <x:f>IF(E1168=0,"해당 없음",F1168/E1168)</x:f>
        <x:v>0.04</x:v>
      </x:c>
      <x:c r="O1168" s="15" t="n">
        <x:f>IF(E1168=0,"해당 없음",G1168/E1168)</x:f>
        <x:v>0.18</x:v>
      </x:c>
      <x:c r="P1168" s="15" t="n">
        <x:f>IF(E1168=0,"해당 없음",H1168/E1168)</x:f>
        <x:v>0.07</x:v>
      </x:c>
      <x:c r="Q1168" s="15" t="n">
        <x:f>IF(E1168=0,"해당 없음",I1168/E1168)</x:f>
        <x:v>0.03</x:v>
      </x:c>
      <x:c r="R1168" s="15" t="n">
        <x:f>IF(E1168=0,"해당 없음",J1168/E1168)</x:f>
        <x:v>0.01</x:v>
      </x:c>
      <x:c r="S1168" s="15" t="n">
        <x:f>IF(E1168=0,"해당 없음",K1168/E1168)</x:f>
        <x:v>0.05</x:v>
      </x:c>
      <x:c r="T1168" s="15" t="n">
        <x:f>IF(E1168=0,"해당 없음",L1168/E1168)</x:f>
        <x:v>0.33</x:v>
      </x:c>
      <x:c r="U1168" s="15" t="n">
        <x:f>IF(E1168=0,"해당 없음",M1168/E1168)</x:f>
        <x:v>0.29</x:v>
      </x:c>
      <x:c r="V1168" s="16" t="n">
        <x:f>E1168/5</x:f>
        <x:v>20</x:v>
      </x:c>
    </x:row>
    <x:row r="1169" ht="22" customHeight="1">
      <x:c r="A1169" s="2" t="n">
        <x:v>582</x:v>
      </x:c>
      <x:c r="B1169" s="2" t="str">
        <x:v>NAVY</x:v>
      </x:c>
      <x:c r="C1169" s="2" t="str">
        <x:v>40만</x:v>
      </x:c>
      <x:c r="D1169" s="2" t="str">
        <x:v>120만</x:v>
      </x:c>
      <x:c r="E1169" s="14" t="n">
        <x:f>SUM(F1169:M1169)</x:f>
        <x:v>102</x:v>
      </x:c>
      <x:c r="F1169" s="14" t="n">
        <x:v>4</x:v>
      </x:c>
      <x:c r="G1169" s="14" t="n">
        <x:v>29</x:v>
      </x:c>
      <x:c r="H1169" s="14" t="n">
        <x:v>10</x:v>
      </x:c>
      <x:c r="I1169" s="14" t="n">
        <x:v>7</x:v>
      </x:c>
      <x:c r="J1169" s="14" t="n">
        <x:v>3</x:v>
      </x:c>
      <x:c r="K1169" s="14" t="n">
        <x:v>11</x:v>
      </x:c>
      <x:c r="L1169" s="14" t="n">
        <x:v>34</x:v>
      </x:c>
      <x:c r="M1169" s="14" t="n">
        <x:v>4</x:v>
      </x:c>
      <x:c r="N1169" s="15" t="n">
        <x:f>IF(E1169=0,"해당 없음",F1169/E1169)</x:f>
        <x:v>0.0392156862745098</x:v>
      </x:c>
      <x:c r="O1169" s="15" t="n">
        <x:f>IF(E1169=0,"해당 없음",G1169/E1169)</x:f>
        <x:v>0.28431372549019607</x:v>
      </x:c>
      <x:c r="P1169" s="15" t="n">
        <x:f>IF(E1169=0,"해당 없음",H1169/E1169)</x:f>
        <x:v>0.09803921568627451</x:v>
      </x:c>
      <x:c r="Q1169" s="15" t="n">
        <x:f>IF(E1169=0,"해당 없음",I1169/E1169)</x:f>
        <x:v>0.06862745098039216</x:v>
      </x:c>
      <x:c r="R1169" s="15" t="n">
        <x:f>IF(E1169=0,"해당 없음",J1169/E1169)</x:f>
        <x:v>0.029411764705882353</x:v>
      </x:c>
      <x:c r="S1169" s="15" t="n">
        <x:f>IF(E1169=0,"해당 없음",K1169/E1169)</x:f>
        <x:v>0.10784313725490197</x:v>
      </x:c>
      <x:c r="T1169" s="15" t="n">
        <x:f>IF(E1169=0,"해당 없음",L1169/E1169)</x:f>
        <x:v>0.3333333333333333</x:v>
      </x:c>
      <x:c r="U1169" s="15" t="n">
        <x:f>IF(E1169=0,"해당 없음",M1169/E1169)</x:f>
        <x:v>0.0392156862745098</x:v>
      </x:c>
      <x:c r="V1169" s="16" t="n">
        <x:f>E1169/5</x:f>
        <x:v>20.4</x:v>
      </x:c>
    </x:row>
    <x:row r="1170" ht="22" customHeight="1">
      <x:c r="A1170" s="2" t="n">
        <x:v>583</x:v>
      </x:c>
      <x:c r="B1170" s="2" t="str">
        <x:v>RED</x:v>
      </x:c>
      <x:c r="C1170" s="2" t="str">
        <x:v>40만</x:v>
      </x:c>
      <x:c r="D1170" s="2" t="str">
        <x:v>120만</x:v>
      </x:c>
      <x:c r="E1170" s="14" t="n">
        <x:f>SUM(F1170:M1170)</x:f>
        <x:v>104</x:v>
      </x:c>
      <x:c r="F1170" s="14" t="n">
        <x:v>6</x:v>
      </x:c>
      <x:c r="G1170" s="14" t="n">
        <x:v>30</x:v>
      </x:c>
      <x:c r="H1170" s="14" t="n">
        <x:v>9</x:v>
      </x:c>
      <x:c r="I1170" s="14" t="n">
        <x:v>5</x:v>
      </x:c>
      <x:c r="J1170" s="14" t="n">
        <x:v>3</x:v>
      </x:c>
      <x:c r="K1170" s="14" t="n">
        <x:v>5</x:v>
      </x:c>
      <x:c r="L1170" s="14" t="n">
        <x:v>42</x:v>
      </x:c>
      <x:c r="M1170" s="14" t="n">
        <x:v>4</x:v>
      </x:c>
      <x:c r="N1170" s="15" t="n">
        <x:f>IF(E1170=0,"해당 없음",F1170/E1170)</x:f>
        <x:v>0.057692307692307696</x:v>
      </x:c>
      <x:c r="O1170" s="15" t="n">
        <x:f>IF(E1170=0,"해당 없음",G1170/E1170)</x:f>
        <x:v>0.28846153846153844</x:v>
      </x:c>
      <x:c r="P1170" s="15" t="n">
        <x:f>IF(E1170=0,"해당 없음",H1170/E1170)</x:f>
        <x:v>0.08653846153846154</x:v>
      </x:c>
      <x:c r="Q1170" s="15" t="n">
        <x:f>IF(E1170=0,"해당 없음",I1170/E1170)</x:f>
        <x:v>0.04807692307692308</x:v>
      </x:c>
      <x:c r="R1170" s="15" t="n">
        <x:f>IF(E1170=0,"해당 없음",J1170/E1170)</x:f>
        <x:v>0.028846153846153848</x:v>
      </x:c>
      <x:c r="S1170" s="15" t="n">
        <x:f>IF(E1170=0,"해당 없음",K1170/E1170)</x:f>
        <x:v>0.04807692307692308</x:v>
      </x:c>
      <x:c r="T1170" s="15" t="n">
        <x:f>IF(E1170=0,"해당 없음",L1170/E1170)</x:f>
        <x:v>0.40384615384615385</x:v>
      </x:c>
      <x:c r="U1170" s="15" t="n">
        <x:f>IF(E1170=0,"해당 없음",M1170/E1170)</x:f>
        <x:v>0.038461538461538464</x:v>
      </x:c>
      <x:c r="V1170" s="16" t="n">
        <x:f>E1170/5</x:f>
        <x:v>20.8</x:v>
      </x:c>
    </x:row>
    <x:row r="1171" ht="22" customHeight="1">
      <x:c r="A1171" s="2" t="n">
        <x:v>583</x:v>
      </x:c>
      <x:c r="B1171" s="2" t="str">
        <x:v>NAVY</x:v>
      </x:c>
      <x:c r="C1171" s="2" t="str">
        <x:v>120만</x:v>
      </x:c>
      <x:c r="D1171" s="2" t="str">
        <x:v>40만</x:v>
      </x:c>
      <x:c r="E1171" s="14" t="n">
        <x:f>SUM(F1171:M1171)</x:f>
        <x:v>106</x:v>
      </x:c>
      <x:c r="F1171" s="14" t="n">
        <x:v>3</x:v>
      </x:c>
      <x:c r="G1171" s="14" t="n">
        <x:v>9</x:v>
      </x:c>
      <x:c r="H1171" s="14" t="n">
        <x:v>7</x:v>
      </x:c>
      <x:c r="I1171" s="14" t="n">
        <x:v>11</x:v>
      </x:c>
      <x:c r="J1171" s="14" t="n">
        <x:v>5</x:v>
      </x:c>
      <x:c r="K1171" s="14" t="n">
        <x:v>13</x:v>
      </x:c>
      <x:c r="L1171" s="14" t="n">
        <x:v>42</x:v>
      </x:c>
      <x:c r="M1171" s="14" t="n">
        <x:v>16</x:v>
      </x:c>
      <x:c r="N1171" s="15" t="n">
        <x:f>IF(E1171=0,"해당 없음",F1171/E1171)</x:f>
        <x:v>0.02830188679245283</x:v>
      </x:c>
      <x:c r="O1171" s="15" t="n">
        <x:f>IF(E1171=0,"해당 없음",G1171/E1171)</x:f>
        <x:v>0.08490566037735849</x:v>
      </x:c>
      <x:c r="P1171" s="15" t="n">
        <x:f>IF(E1171=0,"해당 없음",H1171/E1171)</x:f>
        <x:v>0.0660377358490566</x:v>
      </x:c>
      <x:c r="Q1171" s="15" t="n">
        <x:f>IF(E1171=0,"해당 없음",I1171/E1171)</x:f>
        <x:v>0.10377358490566038</x:v>
      </x:c>
      <x:c r="R1171" s="15" t="n">
        <x:f>IF(E1171=0,"해당 없음",J1171/E1171)</x:f>
        <x:v>0.04716981132075472</x:v>
      </x:c>
      <x:c r="S1171" s="15" t="n">
        <x:f>IF(E1171=0,"해당 없음",K1171/E1171)</x:f>
        <x:v>0.12264150943396226</x:v>
      </x:c>
      <x:c r="T1171" s="15" t="n">
        <x:f>IF(E1171=0,"해당 없음",L1171/E1171)</x:f>
        <x:v>0.39622641509433965</x:v>
      </x:c>
      <x:c r="U1171" s="15" t="n">
        <x:f>IF(E1171=0,"해당 없음",M1171/E1171)</x:f>
        <x:v>0.1509433962264151</x:v>
      </x:c>
      <x:c r="V1171" s="16" t="n">
        <x:f>E1171/5</x:f>
        <x:v>21.2</x:v>
      </x:c>
    </x:row>
    <x:row r="1172" ht="22" customHeight="1">
      <x:c r="A1172" s="2" t="n">
        <x:v>584</x:v>
      </x:c>
      <x:c r="B1172" s="2" t="str">
        <x:v>RED</x:v>
      </x:c>
      <x:c r="C1172" s="2" t="str">
        <x:v>120만</x:v>
      </x:c>
      <x:c r="D1172" s="2" t="str">
        <x:v>40만</x:v>
      </x:c>
      <x:c r="E1172" s="14" t="n">
        <x:f>SUM(F1172:M1172)</x:f>
        <x:v>105</x:v>
      </x:c>
      <x:c r="F1172" s="14" t="n">
        <x:v>4</x:v>
      </x:c>
      <x:c r="G1172" s="14" t="n">
        <x:v>13</x:v>
      </x:c>
      <x:c r="H1172" s="14" t="n">
        <x:v>8</x:v>
      </x:c>
      <x:c r="I1172" s="14" t="n">
        <x:v>8</x:v>
      </x:c>
      <x:c r="J1172" s="14" t="n">
        <x:v>5</x:v>
      </x:c>
      <x:c r="K1172" s="14" t="n">
        <x:v>5</x:v>
      </x:c>
      <x:c r="L1172" s="14" t="n">
        <x:v>36</x:v>
      </x:c>
      <x:c r="M1172" s="14" t="n">
        <x:v>26</x:v>
      </x:c>
      <x:c r="N1172" s="15" t="n">
        <x:f>IF(E1172=0,"해당 없음",F1172/E1172)</x:f>
        <x:v>0.0380952380952381</x:v>
      </x:c>
      <x:c r="O1172" s="15" t="n">
        <x:f>IF(E1172=0,"해당 없음",G1172/E1172)</x:f>
        <x:v>0.12380952380952381</x:v>
      </x:c>
      <x:c r="P1172" s="15" t="n">
        <x:f>IF(E1172=0,"해당 없음",H1172/E1172)</x:f>
        <x:v>0.0761904761904762</x:v>
      </x:c>
      <x:c r="Q1172" s="15" t="n">
        <x:f>IF(E1172=0,"해당 없음",I1172/E1172)</x:f>
        <x:v>0.0761904761904762</x:v>
      </x:c>
      <x:c r="R1172" s="15" t="n">
        <x:f>IF(E1172=0,"해당 없음",J1172/E1172)</x:f>
        <x:v>0.047619047619047616</x:v>
      </x:c>
      <x:c r="S1172" s="15" t="n">
        <x:f>IF(E1172=0,"해당 없음",K1172/E1172)</x:f>
        <x:v>0.047619047619047616</x:v>
      </x:c>
      <x:c r="T1172" s="15" t="n">
        <x:f>IF(E1172=0,"해당 없음",L1172/E1172)</x:f>
        <x:v>0.34285714285714286</x:v>
      </x:c>
      <x:c r="U1172" s="15" t="n">
        <x:f>IF(E1172=0,"해당 없음",M1172/E1172)</x:f>
        <x:v>0.24761904761904763</x:v>
      </x:c>
      <x:c r="V1172" s="16" t="n">
        <x:f>E1172/5</x:f>
        <x:v>21</x:v>
      </x:c>
    </x:row>
    <x:row r="1173" ht="22" customHeight="1">
      <x:c r="A1173" s="2" t="n">
        <x:v>584</x:v>
      </x:c>
      <x:c r="B1173" s="2" t="str">
        <x:v>NAVY</x:v>
      </x:c>
      <x:c r="C1173" s="2" t="str">
        <x:v>40만</x:v>
      </x:c>
      <x:c r="D1173" s="2" t="str">
        <x:v>120만</x:v>
      </x:c>
      <x:c r="E1173" s="14" t="n">
        <x:f>SUM(F1173:M1173)</x:f>
        <x:v>105</x:v>
      </x:c>
      <x:c r="F1173" s="14" t="n">
        <x:v>5</x:v>
      </x:c>
      <x:c r="G1173" s="14" t="n">
        <x:v>25</x:v>
      </x:c>
      <x:c r="H1173" s="14" t="n">
        <x:v>8</x:v>
      </x:c>
      <x:c r="I1173" s="14" t="n">
        <x:v>6</x:v>
      </x:c>
      <x:c r="J1173" s="14" t="n">
        <x:v>8</x:v>
      </x:c>
      <x:c r="K1173" s="14" t="n">
        <x:v>12</x:v>
      </x:c>
      <x:c r="L1173" s="14" t="n">
        <x:v>38</x:v>
      </x:c>
      <x:c r="M1173" s="14" t="n">
        <x:v>3</x:v>
      </x:c>
      <x:c r="N1173" s="15" t="n">
        <x:f>IF(E1173=0,"해당 없음",F1173/E1173)</x:f>
        <x:v>0.047619047619047616</x:v>
      </x:c>
      <x:c r="O1173" s="15" t="n">
        <x:f>IF(E1173=0,"해당 없음",G1173/E1173)</x:f>
        <x:v>0.23809523809523808</x:v>
      </x:c>
      <x:c r="P1173" s="15" t="n">
        <x:f>IF(E1173=0,"해당 없음",H1173/E1173)</x:f>
        <x:v>0.0761904761904762</x:v>
      </x:c>
      <x:c r="Q1173" s="15" t="n">
        <x:f>IF(E1173=0,"해당 없음",I1173/E1173)</x:f>
        <x:v>0.05714285714285714</x:v>
      </x:c>
      <x:c r="R1173" s="15" t="n">
        <x:f>IF(E1173=0,"해당 없음",J1173/E1173)</x:f>
        <x:v>0.0761904761904762</x:v>
      </x:c>
      <x:c r="S1173" s="15" t="n">
        <x:f>IF(E1173=0,"해당 없음",K1173/E1173)</x:f>
        <x:v>0.11428571428571428</x:v>
      </x:c>
      <x:c r="T1173" s="15" t="n">
        <x:f>IF(E1173=0,"해당 없음",L1173/E1173)</x:f>
        <x:v>0.3619047619047619</x:v>
      </x:c>
      <x:c r="U1173" s="15" t="n">
        <x:f>IF(E1173=0,"해당 없음",M1173/E1173)</x:f>
        <x:v>0.02857142857142857</x:v>
      </x:c>
      <x:c r="V1173" s="16" t="n">
        <x:f>E1173/5</x:f>
        <x:v>21</x:v>
      </x:c>
    </x:row>
    <x:row r="1174" ht="22" customHeight="1">
      <x:c r="A1174" s="2" t="n">
        <x:v>585</x:v>
      </x:c>
      <x:c r="B1174" s="2" t="str">
        <x:v>RED</x:v>
      </x:c>
      <x:c r="C1174" s="2" t="str">
        <x:v>40만</x:v>
      </x:c>
      <x:c r="D1174" s="2" t="str">
        <x:v>120만</x:v>
      </x:c>
      <x:c r="E1174" s="14" t="n">
        <x:f>SUM(F1174:M1174)</x:f>
        <x:v>103</x:v>
      </x:c>
      <x:c r="F1174" s="14" t="n">
        <x:v>9</x:v>
      </x:c>
      <x:c r="G1174" s="14" t="n">
        <x:v>27</x:v>
      </x:c>
      <x:c r="H1174" s="14" t="n">
        <x:v>7</x:v>
      </x:c>
      <x:c r="I1174" s="14" t="n">
        <x:v>5</x:v>
      </x:c>
      <x:c r="J1174" s="14" t="n">
        <x:v>7</x:v>
      </x:c>
      <x:c r="K1174" s="14" t="n">
        <x:v>4</x:v>
      </x:c>
      <x:c r="L1174" s="14" t="n">
        <x:v>41</x:v>
      </x:c>
      <x:c r="M1174" s="14" t="n">
        <x:v>3</x:v>
      </x:c>
      <x:c r="N1174" s="15" t="n">
        <x:f>IF(E1174=0,"해당 없음",F1174/E1174)</x:f>
        <x:v>0.08737864077669903</x:v>
      </x:c>
      <x:c r="O1174" s="15" t="n">
        <x:f>IF(E1174=0,"해당 없음",G1174/E1174)</x:f>
        <x:v>0.2621359223300971</x:v>
      </x:c>
      <x:c r="P1174" s="15" t="n">
        <x:f>IF(E1174=0,"해당 없음",H1174/E1174)</x:f>
        <x:v>0.06796116504854369</x:v>
      </x:c>
      <x:c r="Q1174" s="15" t="n">
        <x:f>IF(E1174=0,"해당 없음",I1174/E1174)</x:f>
        <x:v>0.04854368932038835</x:v>
      </x:c>
      <x:c r="R1174" s="15" t="n">
        <x:f>IF(E1174=0,"해당 없음",J1174/E1174)</x:f>
        <x:v>0.06796116504854369</x:v>
      </x:c>
      <x:c r="S1174" s="15" t="n">
        <x:f>IF(E1174=0,"해당 없음",K1174/E1174)</x:f>
        <x:v>0.038834951456310676</x:v>
      </x:c>
      <x:c r="T1174" s="15" t="n">
        <x:f>IF(E1174=0,"해당 없음",L1174/E1174)</x:f>
        <x:v>0.39805825242718446</x:v>
      </x:c>
      <x:c r="U1174" s="15" t="n">
        <x:f>IF(E1174=0,"해당 없음",M1174/E1174)</x:f>
        <x:v>0.02912621359223301</x:v>
      </x:c>
      <x:c r="V1174" s="16" t="n">
        <x:f>E1174/5</x:f>
        <x:v>20.6</x:v>
      </x:c>
    </x:row>
    <x:row r="1175" ht="22" customHeight="1">
      <x:c r="A1175" s="2" t="n">
        <x:v>585</x:v>
      </x:c>
      <x:c r="B1175" s="2" t="str">
        <x:v>NAVY</x:v>
      </x:c>
      <x:c r="C1175" s="2" t="str">
        <x:v>120만</x:v>
      </x:c>
      <x:c r="D1175" s="2" t="str">
        <x:v>40만</x:v>
      </x:c>
      <x:c r="E1175" s="14" t="n">
        <x:f>SUM(F1175:M1175)</x:f>
        <x:v>104</x:v>
      </x:c>
      <x:c r="F1175" s="14" t="n">
        <x:v>1</x:v>
      </x:c>
      <x:c r="G1175" s="14" t="n">
        <x:v>11</x:v>
      </x:c>
      <x:c r="H1175" s="14" t="n">
        <x:v>9</x:v>
      </x:c>
      <x:c r="I1175" s="14" t="n">
        <x:v>9</x:v>
      </x:c>
      <x:c r="J1175" s="14" t="n">
        <x:v>5</x:v>
      </x:c>
      <x:c r="K1175" s="14" t="n">
        <x:v>10</x:v>
      </x:c>
      <x:c r="L1175" s="14" t="n">
        <x:v>39</x:v>
      </x:c>
      <x:c r="M1175" s="14" t="n">
        <x:v>20</x:v>
      </x:c>
      <x:c r="N1175" s="15" t="n">
        <x:f>IF(E1175=0,"해당 없음",F1175/E1175)</x:f>
        <x:v>0.009615384615384616</x:v>
      </x:c>
      <x:c r="O1175" s="15" t="n">
        <x:f>IF(E1175=0,"해당 없음",G1175/E1175)</x:f>
        <x:v>0.10576923076923077</x:v>
      </x:c>
      <x:c r="P1175" s="15" t="n">
        <x:f>IF(E1175=0,"해당 없음",H1175/E1175)</x:f>
        <x:v>0.08653846153846154</x:v>
      </x:c>
      <x:c r="Q1175" s="15" t="n">
        <x:f>IF(E1175=0,"해당 없음",I1175/E1175)</x:f>
        <x:v>0.08653846153846154</x:v>
      </x:c>
      <x:c r="R1175" s="15" t="n">
        <x:f>IF(E1175=0,"해당 없음",J1175/E1175)</x:f>
        <x:v>0.04807692307692308</x:v>
      </x:c>
      <x:c r="S1175" s="15" t="n">
        <x:f>IF(E1175=0,"해당 없음",K1175/E1175)</x:f>
        <x:v>0.09615384615384616</x:v>
      </x:c>
      <x:c r="T1175" s="15" t="n">
        <x:f>IF(E1175=0,"해당 없음",L1175/E1175)</x:f>
        <x:v>0.375</x:v>
      </x:c>
      <x:c r="U1175" s="15" t="n">
        <x:f>IF(E1175=0,"해당 없음",M1175/E1175)</x:f>
        <x:v>0.19230769230769232</x:v>
      </x:c>
      <x:c r="V1175" s="16" t="n">
        <x:f>E1175/5</x:f>
        <x:v>20.8</x:v>
      </x:c>
    </x:row>
    <x:row r="1176" ht="22" customHeight="1">
      <x:c r="A1176" s="2" t="n">
        <x:v>586</x:v>
      </x:c>
      <x:c r="B1176" s="2" t="str">
        <x:v>RED</x:v>
      </x:c>
      <x:c r="C1176" s="2" t="str">
        <x:v>120만</x:v>
      </x:c>
      <x:c r="D1176" s="2" t="str">
        <x:v>40만</x:v>
      </x:c>
      <x:c r="E1176" s="14" t="n">
        <x:f>SUM(F1176:M1176)</x:f>
        <x:v>107</x:v>
      </x:c>
      <x:c r="F1176" s="14" t="n">
        <x:v>1</x:v>
      </x:c>
      <x:c r="G1176" s="14" t="n">
        <x:v>6</x:v>
      </x:c>
      <x:c r="H1176" s="14" t="n">
        <x:v>9</x:v>
      </x:c>
      <x:c r="I1176" s="14" t="n">
        <x:v>12</x:v>
      </x:c>
      <x:c r="J1176" s="14" t="n">
        <x:v>6</x:v>
      </x:c>
      <x:c r="K1176" s="14" t="n">
        <x:v>10</x:v>
      </x:c>
      <x:c r="L1176" s="14" t="n">
        <x:v>43</x:v>
      </x:c>
      <x:c r="M1176" s="14" t="n">
        <x:v>20</x:v>
      </x:c>
      <x:c r="N1176" s="15" t="n">
        <x:f>IF(E1176=0,"해당 없음",F1176/E1176)</x:f>
        <x:v>0.009345794392523364</x:v>
      </x:c>
      <x:c r="O1176" s="15" t="n">
        <x:f>IF(E1176=0,"해당 없음",G1176/E1176)</x:f>
        <x:v>0.056074766355140186</x:v>
      </x:c>
      <x:c r="P1176" s="15" t="n">
        <x:f>IF(E1176=0,"해당 없음",H1176/E1176)</x:f>
        <x:v>0.08411214953271028</x:v>
      </x:c>
      <x:c r="Q1176" s="15" t="n">
        <x:f>IF(E1176=0,"해당 없음",I1176/E1176)</x:f>
        <x:v>0.11214953271028037</x:v>
      </x:c>
      <x:c r="R1176" s="15" t="n">
        <x:f>IF(E1176=0,"해당 없음",J1176/E1176)</x:f>
        <x:v>0.056074766355140186</x:v>
      </x:c>
      <x:c r="S1176" s="15" t="n">
        <x:f>IF(E1176=0,"해당 없음",K1176/E1176)</x:f>
        <x:v>0.09345794392523364</x:v>
      </x:c>
      <x:c r="T1176" s="15" t="n">
        <x:f>IF(E1176=0,"해당 없음",L1176/E1176)</x:f>
        <x:v>0.40186915887850466</x:v>
      </x:c>
      <x:c r="U1176" s="15" t="n">
        <x:f>IF(E1176=0,"해당 없음",M1176/E1176)</x:f>
        <x:v>0.18691588785046728</x:v>
      </x:c>
      <x:c r="V1176" s="16" t="n">
        <x:f>E1176/5</x:f>
        <x:v>21.4</x:v>
      </x:c>
    </x:row>
    <x:row r="1177" ht="22" customHeight="1">
      <x:c r="A1177" s="2" t="n">
        <x:v>586</x:v>
      </x:c>
      <x:c r="B1177" s="2" t="str">
        <x:v>NAVY</x:v>
      </x:c>
      <x:c r="C1177" s="2" t="str">
        <x:v>40만</x:v>
      </x:c>
      <x:c r="D1177" s="2" t="str">
        <x:v>120만</x:v>
      </x:c>
      <x:c r="E1177" s="14" t="n">
        <x:f>SUM(F1177:M1177)</x:f>
        <x:v>108</x:v>
      </x:c>
      <x:c r="F1177" s="14" t="n">
        <x:v>3</x:v>
      </x:c>
      <x:c r="G1177" s="14" t="n">
        <x:v>22</x:v>
      </x:c>
      <x:c r="H1177" s="14" t="n">
        <x:v>6</x:v>
      </x:c>
      <x:c r="I1177" s="14" t="n">
        <x:v>7</x:v>
      </x:c>
      <x:c r="J1177" s="14" t="n">
        <x:v>11</x:v>
      </x:c>
      <x:c r="K1177" s="14" t="n">
        <x:v>9</x:v>
      </x:c>
      <x:c r="L1177" s="14" t="n">
        <x:v>47</x:v>
      </x:c>
      <x:c r="M1177" s="14" t="n">
        <x:v>3</x:v>
      </x:c>
      <x:c r="N1177" s="15" t="n">
        <x:f>IF(E1177=0,"해당 없음",F1177/E1177)</x:f>
        <x:v>0.027777777777777776</x:v>
      </x:c>
      <x:c r="O1177" s="15" t="n">
        <x:f>IF(E1177=0,"해당 없음",G1177/E1177)</x:f>
        <x:v>0.2037037037037037</x:v>
      </x:c>
      <x:c r="P1177" s="15" t="n">
        <x:f>IF(E1177=0,"해당 없음",H1177/E1177)</x:f>
        <x:v>0.05555555555555555</x:v>
      </x:c>
      <x:c r="Q1177" s="15" t="n">
        <x:f>IF(E1177=0,"해당 없음",I1177/E1177)</x:f>
        <x:v>0.06481481481481481</x:v>
      </x:c>
      <x:c r="R1177" s="15" t="n">
        <x:f>IF(E1177=0,"해당 없음",J1177/E1177)</x:f>
        <x:v>0.10185185185185185</x:v>
      </x:c>
      <x:c r="S1177" s="15" t="n">
        <x:f>IF(E1177=0,"해당 없음",K1177/E1177)</x:f>
        <x:v>0.08333333333333333</x:v>
      </x:c>
      <x:c r="T1177" s="15" t="n">
        <x:f>IF(E1177=0,"해당 없음",L1177/E1177)</x:f>
        <x:v>0.4351851851851852</x:v>
      </x:c>
      <x:c r="U1177" s="15" t="n">
        <x:f>IF(E1177=0,"해당 없음",M1177/E1177)</x:f>
        <x:v>0.027777777777777776</x:v>
      </x:c>
      <x:c r="V1177" s="16" t="n">
        <x:f>E1177/5</x:f>
        <x:v>21.6</x:v>
      </x:c>
    </x:row>
    <x:row r="1178" ht="22" customHeight="1">
      <x:c r="A1178" s="2" t="n">
        <x:v>587</x:v>
      </x:c>
      <x:c r="B1178" s="2" t="str">
        <x:v>RED</x:v>
      </x:c>
      <x:c r="C1178" s="2" t="str">
        <x:v>40만</x:v>
      </x:c>
      <x:c r="D1178" s="2" t="str">
        <x:v>120만</x:v>
      </x:c>
      <x:c r="E1178" s="14" t="n">
        <x:f>SUM(F1178:M1178)</x:f>
        <x:v>104</x:v>
      </x:c>
      <x:c r="F1178" s="14" t="n">
        <x:v>6</x:v>
      </x:c>
      <x:c r="G1178" s="14" t="n">
        <x:v>19</x:v>
      </x:c>
      <x:c r="H1178" s="14" t="n">
        <x:v>10</x:v>
      </x:c>
      <x:c r="I1178" s="14" t="n">
        <x:v>9</x:v>
      </x:c>
      <x:c r="J1178" s="14" t="n">
        <x:v>4</x:v>
      </x:c>
      <x:c r="K1178" s="14" t="n">
        <x:v>10</x:v>
      </x:c>
      <x:c r="L1178" s="14" t="n">
        <x:v>41</x:v>
      </x:c>
      <x:c r="M1178" s="14" t="n">
        <x:v>5</x:v>
      </x:c>
      <x:c r="N1178" s="15" t="n">
        <x:f>IF(E1178=0,"해당 없음",F1178/E1178)</x:f>
        <x:v>0.057692307692307696</x:v>
      </x:c>
      <x:c r="O1178" s="15" t="n">
        <x:f>IF(E1178=0,"해당 없음",G1178/E1178)</x:f>
        <x:v>0.18269230769230768</x:v>
      </x:c>
      <x:c r="P1178" s="15" t="n">
        <x:f>IF(E1178=0,"해당 없음",H1178/E1178)</x:f>
        <x:v>0.09615384615384616</x:v>
      </x:c>
      <x:c r="Q1178" s="15" t="n">
        <x:f>IF(E1178=0,"해당 없음",I1178/E1178)</x:f>
        <x:v>0.08653846153846154</x:v>
      </x:c>
      <x:c r="R1178" s="15" t="n">
        <x:f>IF(E1178=0,"해당 없음",J1178/E1178)</x:f>
        <x:v>0.038461538461538464</x:v>
      </x:c>
      <x:c r="S1178" s="15" t="n">
        <x:f>IF(E1178=0,"해당 없음",K1178/E1178)</x:f>
        <x:v>0.09615384615384616</x:v>
      </x:c>
      <x:c r="T1178" s="15" t="n">
        <x:f>IF(E1178=0,"해당 없음",L1178/E1178)</x:f>
        <x:v>0.3942307692307692</x:v>
      </x:c>
      <x:c r="U1178" s="15" t="n">
        <x:f>IF(E1178=0,"해당 없음",M1178/E1178)</x:f>
        <x:v>0.04807692307692308</x:v>
      </x:c>
      <x:c r="V1178" s="16" t="n">
        <x:f>E1178/5</x:f>
        <x:v>20.8</x:v>
      </x:c>
    </x:row>
    <x:row r="1179" ht="22" customHeight="1">
      <x:c r="A1179" s="2" t="n">
        <x:v>587</x:v>
      </x:c>
      <x:c r="B1179" s="2" t="str">
        <x:v>NAVY</x:v>
      </x:c>
      <x:c r="C1179" s="2" t="str">
        <x:v>120만</x:v>
      </x:c>
      <x:c r="D1179" s="2" t="str">
        <x:v>40만</x:v>
      </x:c>
      <x:c r="E1179" s="14" t="n">
        <x:f>SUM(F1179:M1179)</x:f>
        <x:v>104</x:v>
      </x:c>
      <x:c r="F1179" s="14" t="n">
        <x:v>1</x:v>
      </x:c>
      <x:c r="G1179" s="14" t="n">
        <x:v>18</x:v>
      </x:c>
      <x:c r="H1179" s="14" t="n">
        <x:v>4</x:v>
      </x:c>
      <x:c r="I1179" s="14" t="n">
        <x:v>6</x:v>
      </x:c>
      <x:c r="J1179" s="14" t="n">
        <x:v>8</x:v>
      </x:c>
      <x:c r="K1179" s="14" t="n">
        <x:v>9</x:v>
      </x:c>
      <x:c r="L1179" s="14" t="n">
        <x:v>38</x:v>
      </x:c>
      <x:c r="M1179" s="14" t="n">
        <x:v>20</x:v>
      </x:c>
      <x:c r="N1179" s="15" t="n">
        <x:f>IF(E1179=0,"해당 없음",F1179/E1179)</x:f>
        <x:v>0.009615384615384616</x:v>
      </x:c>
      <x:c r="O1179" s="15" t="n">
        <x:f>IF(E1179=0,"해당 없음",G1179/E1179)</x:f>
        <x:v>0.17307692307692307</x:v>
      </x:c>
      <x:c r="P1179" s="15" t="n">
        <x:f>IF(E1179=0,"해당 없음",H1179/E1179)</x:f>
        <x:v>0.038461538461538464</x:v>
      </x:c>
      <x:c r="Q1179" s="15" t="n">
        <x:f>IF(E1179=0,"해당 없음",I1179/E1179)</x:f>
        <x:v>0.057692307692307696</x:v>
      </x:c>
      <x:c r="R1179" s="15" t="n">
        <x:f>IF(E1179=0,"해당 없음",J1179/E1179)</x:f>
        <x:v>0.07692307692307693</x:v>
      </x:c>
      <x:c r="S1179" s="15" t="n">
        <x:f>IF(E1179=0,"해당 없음",K1179/E1179)</x:f>
        <x:v>0.08653846153846154</x:v>
      </x:c>
      <x:c r="T1179" s="15" t="n">
        <x:f>IF(E1179=0,"해당 없음",L1179/E1179)</x:f>
        <x:v>0.36538461538461536</x:v>
      </x:c>
      <x:c r="U1179" s="15" t="n">
        <x:f>IF(E1179=0,"해당 없음",M1179/E1179)</x:f>
        <x:v>0.19230769230769232</x:v>
      </x:c>
      <x:c r="V1179" s="16" t="n">
        <x:f>E1179/5</x:f>
        <x:v>20.8</x:v>
      </x:c>
    </x:row>
    <x:row r="1180" ht="22" customHeight="1">
      <x:c r="A1180" s="2" t="n">
        <x:v>588</x:v>
      </x:c>
      <x:c r="B1180" s="2" t="str">
        <x:v>RED</x:v>
      </x:c>
      <x:c r="C1180" s="2" t="str">
        <x:v>120만</x:v>
      </x:c>
      <x:c r="D1180" s="2" t="str">
        <x:v>40만</x:v>
      </x:c>
      <x:c r="E1180" s="14" t="n">
        <x:f>SUM(F1180:M1180)</x:f>
        <x:v>102</x:v>
      </x:c>
      <x:c r="F1180" s="14" t="n">
        <x:v>1</x:v>
      </x:c>
      <x:c r="G1180" s="14" t="n">
        <x:v>11</x:v>
      </x:c>
      <x:c r="H1180" s="14" t="n">
        <x:v>7</x:v>
      </x:c>
      <x:c r="I1180" s="14" t="n">
        <x:v>8</x:v>
      </x:c>
      <x:c r="J1180" s="14" t="n">
        <x:v>5</x:v>
      </x:c>
      <x:c r="K1180" s="14" t="n">
        <x:v>4</x:v>
      </x:c>
      <x:c r="L1180" s="14" t="n">
        <x:v>42</x:v>
      </x:c>
      <x:c r="M1180" s="14" t="n">
        <x:v>24</x:v>
      </x:c>
      <x:c r="N1180" s="15" t="n">
        <x:f>IF(E1180=0,"해당 없음",F1180/E1180)</x:f>
        <x:v>0.00980392156862745</x:v>
      </x:c>
      <x:c r="O1180" s="15" t="n">
        <x:f>IF(E1180=0,"해당 없음",G1180/E1180)</x:f>
        <x:v>0.10784313725490197</x:v>
      </x:c>
      <x:c r="P1180" s="15" t="n">
        <x:f>IF(E1180=0,"해당 없음",H1180/E1180)</x:f>
        <x:v>0.06862745098039216</x:v>
      </x:c>
      <x:c r="Q1180" s="15" t="n">
        <x:f>IF(E1180=0,"해당 없음",I1180/E1180)</x:f>
        <x:v>0.0784313725490196</x:v>
      </x:c>
      <x:c r="R1180" s="15" t="n">
        <x:f>IF(E1180=0,"해당 없음",J1180/E1180)</x:f>
        <x:v>0.049019607843137254</x:v>
      </x:c>
      <x:c r="S1180" s="15" t="n">
        <x:f>IF(E1180=0,"해당 없음",K1180/E1180)</x:f>
        <x:v>0.0392156862745098</x:v>
      </x:c>
      <x:c r="T1180" s="15" t="n">
        <x:f>IF(E1180=0,"해당 없음",L1180/E1180)</x:f>
        <x:v>0.4117647058823529</x:v>
      </x:c>
      <x:c r="U1180" s="15" t="n">
        <x:f>IF(E1180=0,"해당 없음",M1180/E1180)</x:f>
        <x:v>0.23529411764705882</x:v>
      </x:c>
      <x:c r="V1180" s="16" t="n">
        <x:f>E1180/5</x:f>
        <x:v>20.4</x:v>
      </x:c>
    </x:row>
    <x:row r="1181" ht="22" customHeight="1">
      <x:c r="A1181" s="2" t="n">
        <x:v>588</x:v>
      </x:c>
      <x:c r="B1181" s="2" t="str">
        <x:v>NAVY</x:v>
      </x:c>
      <x:c r="C1181" s="2" t="str">
        <x:v>40만</x:v>
      </x:c>
      <x:c r="D1181" s="2" t="str">
        <x:v>120만</x:v>
      </x:c>
      <x:c r="E1181" s="14" t="n">
        <x:f>SUM(F1181:M1181)</x:f>
        <x:v>102</x:v>
      </x:c>
      <x:c r="F1181" s="14" t="n">
        <x:v>1</x:v>
      </x:c>
      <x:c r="G1181" s="14" t="n">
        <x:v>17</x:v>
      </x:c>
      <x:c r="H1181" s="14" t="n">
        <x:v>9</x:v>
      </x:c>
      <x:c r="I1181" s="14" t="n">
        <x:v>10</x:v>
      </x:c>
      <x:c r="J1181" s="14" t="n">
        <x:v>9</x:v>
      </x:c>
      <x:c r="K1181" s="14" t="n">
        <x:v>4</x:v>
      </x:c>
      <x:c r="L1181" s="14" t="n">
        <x:v>40</x:v>
      </x:c>
      <x:c r="M1181" s="14" t="n">
        <x:v>12</x:v>
      </x:c>
      <x:c r="N1181" s="15" t="n">
        <x:f>IF(E1181=0,"해당 없음",F1181/E1181)</x:f>
        <x:v>0.00980392156862745</x:v>
      </x:c>
      <x:c r="O1181" s="15" t="n">
        <x:f>IF(E1181=0,"해당 없음",G1181/E1181)</x:f>
        <x:v>0.16666666666666666</x:v>
      </x:c>
      <x:c r="P1181" s="15" t="n">
        <x:f>IF(E1181=0,"해당 없음",H1181/E1181)</x:f>
        <x:v>0.08823529411764706</x:v>
      </x:c>
      <x:c r="Q1181" s="15" t="n">
        <x:f>IF(E1181=0,"해당 없음",I1181/E1181)</x:f>
        <x:v>0.09803921568627451</x:v>
      </x:c>
      <x:c r="R1181" s="15" t="n">
        <x:f>IF(E1181=0,"해당 없음",J1181/E1181)</x:f>
        <x:v>0.08823529411764706</x:v>
      </x:c>
      <x:c r="S1181" s="15" t="n">
        <x:f>IF(E1181=0,"해당 없음",K1181/E1181)</x:f>
        <x:v>0.0392156862745098</x:v>
      </x:c>
      <x:c r="T1181" s="15" t="n">
        <x:f>IF(E1181=0,"해당 없음",L1181/E1181)</x:f>
        <x:v>0.39215686274509803</x:v>
      </x:c>
      <x:c r="U1181" s="15" t="n">
        <x:f>IF(E1181=0,"해당 없음",M1181/E1181)</x:f>
        <x:v>0.11764705882352941</x:v>
      </x:c>
      <x:c r="V1181" s="16" t="n">
        <x:f>E1181/5</x:f>
        <x:v>20.4</x:v>
      </x:c>
    </x:row>
    <x:row r="1182" ht="22" customHeight="1">
      <x:c r="A1182" s="2" t="n">
        <x:v>589</x:v>
      </x:c>
      <x:c r="B1182" s="2" t="str">
        <x:v>RED</x:v>
      </x:c>
      <x:c r="C1182" s="2" t="str">
        <x:v>40만</x:v>
      </x:c>
      <x:c r="D1182" s="2" t="str">
        <x:v>120만</x:v>
      </x:c>
      <x:c r="E1182" s="14" t="n">
        <x:f>SUM(F1182:M1182)</x:f>
        <x:v>102</x:v>
      </x:c>
      <x:c r="F1182" s="14" t="n">
        <x:v>7</x:v>
      </x:c>
      <x:c r="G1182" s="14" t="n">
        <x:v>26</x:v>
      </x:c>
      <x:c r="H1182" s="14" t="n">
        <x:v>3</x:v>
      </x:c>
      <x:c r="I1182" s="14" t="n">
        <x:v>4</x:v>
      </x:c>
      <x:c r="J1182" s="14" t="n">
        <x:v>8</x:v>
      </x:c>
      <x:c r="K1182" s="14" t="n">
        <x:v>8</x:v>
      </x:c>
      <x:c r="L1182" s="14" t="n">
        <x:v>43</x:v>
      </x:c>
      <x:c r="M1182" s="14" t="n">
        <x:v>3</x:v>
      </x:c>
      <x:c r="N1182" s="15" t="n">
        <x:f>IF(E1182=0,"해당 없음",F1182/E1182)</x:f>
        <x:v>0.06862745098039216</x:v>
      </x:c>
      <x:c r="O1182" s="15" t="n">
        <x:f>IF(E1182=0,"해당 없음",G1182/E1182)</x:f>
        <x:v>0.2549019607843137</x:v>
      </x:c>
      <x:c r="P1182" s="15" t="n">
        <x:f>IF(E1182=0,"해당 없음",H1182/E1182)</x:f>
        <x:v>0.029411764705882353</x:v>
      </x:c>
      <x:c r="Q1182" s="15" t="n">
        <x:f>IF(E1182=0,"해당 없음",I1182/E1182)</x:f>
        <x:v>0.0392156862745098</x:v>
      </x:c>
      <x:c r="R1182" s="15" t="n">
        <x:f>IF(E1182=0,"해당 없음",J1182/E1182)</x:f>
        <x:v>0.0784313725490196</x:v>
      </x:c>
      <x:c r="S1182" s="15" t="n">
        <x:f>IF(E1182=0,"해당 없음",K1182/E1182)</x:f>
        <x:v>0.0784313725490196</x:v>
      </x:c>
      <x:c r="T1182" s="15" t="n">
        <x:f>IF(E1182=0,"해당 없음",L1182/E1182)</x:f>
        <x:v>0.4215686274509804</x:v>
      </x:c>
      <x:c r="U1182" s="15" t="n">
        <x:f>IF(E1182=0,"해당 없음",M1182/E1182)</x:f>
        <x:v>0.029411764705882353</x:v>
      </x:c>
      <x:c r="V1182" s="16" t="n">
        <x:f>E1182/5</x:f>
        <x:v>20.4</x:v>
      </x:c>
    </x:row>
    <x:row r="1183" ht="22" customHeight="1">
      <x:c r="A1183" s="2" t="n">
        <x:v>589</x:v>
      </x:c>
      <x:c r="B1183" s="2" t="str">
        <x:v>NAVY</x:v>
      </x:c>
      <x:c r="C1183" s="2" t="str">
        <x:v>120만</x:v>
      </x:c>
      <x:c r="D1183" s="2" t="str">
        <x:v>40만</x:v>
      </x:c>
      <x:c r="E1183" s="14" t="n">
        <x:f>SUM(F1183:M1183)</x:f>
        <x:v>103</x:v>
      </x:c>
      <x:c r="F1183" s="14" t="n">
        <x:v>2</x:v>
      </x:c>
      <x:c r="G1183" s="14" t="n">
        <x:v>8</x:v>
      </x:c>
      <x:c r="H1183" s="14" t="n">
        <x:v>5</x:v>
      </x:c>
      <x:c r="I1183" s="14" t="n">
        <x:v>6</x:v>
      </x:c>
      <x:c r="J1183" s="14" t="n">
        <x:v>5</x:v>
      </x:c>
      <x:c r="K1183" s="14" t="n">
        <x:v>5</x:v>
      </x:c>
      <x:c r="L1183" s="14" t="n">
        <x:v>37</x:v>
      </x:c>
      <x:c r="M1183" s="14" t="n">
        <x:v>35</x:v>
      </x:c>
      <x:c r="N1183" s="15" t="n">
        <x:f>IF(E1183=0,"해당 없음",F1183/E1183)</x:f>
        <x:v>0.019417475728155338</x:v>
      </x:c>
      <x:c r="O1183" s="15" t="n">
        <x:f>IF(E1183=0,"해당 없음",G1183/E1183)</x:f>
        <x:v>0.07766990291262135</x:v>
      </x:c>
      <x:c r="P1183" s="15" t="n">
        <x:f>IF(E1183=0,"해당 없음",H1183/E1183)</x:f>
        <x:v>0.04854368932038835</x:v>
      </x:c>
      <x:c r="Q1183" s="15" t="n">
        <x:f>IF(E1183=0,"해당 없음",I1183/E1183)</x:f>
        <x:v>0.05825242718446602</x:v>
      </x:c>
      <x:c r="R1183" s="15" t="n">
        <x:f>IF(E1183=0,"해당 없음",J1183/E1183)</x:f>
        <x:v>0.04854368932038835</x:v>
      </x:c>
      <x:c r="S1183" s="15" t="n">
        <x:f>IF(E1183=0,"해당 없음",K1183/E1183)</x:f>
        <x:v>0.04854368932038835</x:v>
      </x:c>
      <x:c r="T1183" s="15" t="n">
        <x:f>IF(E1183=0,"해당 없음",L1183/E1183)</x:f>
        <x:v>0.3592233009708738</x:v>
      </x:c>
      <x:c r="U1183" s="15" t="n">
        <x:f>IF(E1183=0,"해당 없음",M1183/E1183)</x:f>
        <x:v>0.33980582524271846</x:v>
      </x:c>
      <x:c r="V1183" s="16" t="n">
        <x:f>E1183/5</x:f>
        <x:v>20.6</x:v>
      </x:c>
    </x:row>
    <x:row r="1184" ht="22" customHeight="1">
      <x:c r="A1184" s="2" t="n">
        <x:v>590</x:v>
      </x:c>
      <x:c r="B1184" s="2" t="str">
        <x:v>RED</x:v>
      </x:c>
      <x:c r="C1184" s="2" t="str">
        <x:v>120만</x:v>
      </x:c>
      <x:c r="D1184" s="2" t="str">
        <x:v>40만</x:v>
      </x:c>
      <x:c r="E1184" s="14" t="n">
        <x:f>SUM(F1184:M1184)</x:f>
        <x:v>104</x:v>
      </x:c>
      <x:c r="F1184" s="14" t="n">
        <x:v>1</x:v>
      </x:c>
      <x:c r="G1184" s="14" t="n">
        <x:v>12</x:v>
      </x:c>
      <x:c r="H1184" s="14" t="n">
        <x:v>10</x:v>
      </x:c>
      <x:c r="I1184" s="14" t="n">
        <x:v>13</x:v>
      </x:c>
      <x:c r="J1184" s="14" t="n">
        <x:v>5</x:v>
      </x:c>
      <x:c r="K1184" s="14" t="n">
        <x:v>1</x:v>
      </x:c>
      <x:c r="L1184" s="14" t="n">
        <x:v>44</x:v>
      </x:c>
      <x:c r="M1184" s="14" t="n">
        <x:v>18</x:v>
      </x:c>
      <x:c r="N1184" s="15" t="n">
        <x:f>IF(E1184=0,"해당 없음",F1184/E1184)</x:f>
        <x:v>0.009615384615384616</x:v>
      </x:c>
      <x:c r="O1184" s="15" t="n">
        <x:f>IF(E1184=0,"해당 없음",G1184/E1184)</x:f>
        <x:v>0.11538461538461539</x:v>
      </x:c>
      <x:c r="P1184" s="15" t="n">
        <x:f>IF(E1184=0,"해당 없음",H1184/E1184)</x:f>
        <x:v>0.09615384615384616</x:v>
      </x:c>
      <x:c r="Q1184" s="15" t="n">
        <x:f>IF(E1184=0,"해당 없음",I1184/E1184)</x:f>
        <x:v>0.125</x:v>
      </x:c>
      <x:c r="R1184" s="15" t="n">
        <x:f>IF(E1184=0,"해당 없음",J1184/E1184)</x:f>
        <x:v>0.04807692307692308</x:v>
      </x:c>
      <x:c r="S1184" s="15" t="n">
        <x:f>IF(E1184=0,"해당 없음",K1184/E1184)</x:f>
        <x:v>0.009615384615384616</x:v>
      </x:c>
      <x:c r="T1184" s="15" t="n">
        <x:f>IF(E1184=0,"해당 없음",L1184/E1184)</x:f>
        <x:v>0.4230769230769231</x:v>
      </x:c>
      <x:c r="U1184" s="15" t="n">
        <x:f>IF(E1184=0,"해당 없음",M1184/E1184)</x:f>
        <x:v>0.17307692307692307</x:v>
      </x:c>
      <x:c r="V1184" s="16" t="n">
        <x:f>E1184/5</x:f>
        <x:v>20.8</x:v>
      </x:c>
    </x:row>
    <x:row r="1185" ht="22" customHeight="1">
      <x:c r="A1185" s="2" t="n">
        <x:v>590</x:v>
      </x:c>
      <x:c r="B1185" s="2" t="str">
        <x:v>NAVY</x:v>
      </x:c>
      <x:c r="C1185" s="2" t="str">
        <x:v>40만</x:v>
      </x:c>
      <x:c r="D1185" s="2" t="str">
        <x:v>120만</x:v>
      </x:c>
      <x:c r="E1185" s="14" t="n">
        <x:f>SUM(F1185:M1185)</x:f>
        <x:v>103</x:v>
      </x:c>
      <x:c r="F1185" s="14" t="n">
        <x:v>2</x:v>
      </x:c>
      <x:c r="G1185" s="14" t="n">
        <x:v>30</x:v>
      </x:c>
      <x:c r="H1185" s="14" t="n">
        <x:v>10</x:v>
      </x:c>
      <x:c r="I1185" s="14" t="n">
        <x:v>6</x:v>
      </x:c>
      <x:c r="J1185" s="14" t="n">
        <x:v>6</x:v>
      </x:c>
      <x:c r="K1185" s="14" t="n">
        <x:v>7</x:v>
      </x:c>
      <x:c r="L1185" s="14" t="n">
        <x:v>36</x:v>
      </x:c>
      <x:c r="M1185" s="14" t="n">
        <x:v>6</x:v>
      </x:c>
      <x:c r="N1185" s="15" t="n">
        <x:f>IF(E1185=0,"해당 없음",F1185/E1185)</x:f>
        <x:v>0.019417475728155338</x:v>
      </x:c>
      <x:c r="O1185" s="15" t="n">
        <x:f>IF(E1185=0,"해당 없음",G1185/E1185)</x:f>
        <x:v>0.2912621359223301</x:v>
      </x:c>
      <x:c r="P1185" s="15" t="n">
        <x:f>IF(E1185=0,"해당 없음",H1185/E1185)</x:f>
        <x:v>0.0970873786407767</x:v>
      </x:c>
      <x:c r="Q1185" s="15" t="n">
        <x:f>IF(E1185=0,"해당 없음",I1185/E1185)</x:f>
        <x:v>0.05825242718446602</x:v>
      </x:c>
      <x:c r="R1185" s="15" t="n">
        <x:f>IF(E1185=0,"해당 없음",J1185/E1185)</x:f>
        <x:v>0.05825242718446602</x:v>
      </x:c>
      <x:c r="S1185" s="15" t="n">
        <x:f>IF(E1185=0,"해당 없음",K1185/E1185)</x:f>
        <x:v>0.06796116504854369</x:v>
      </x:c>
      <x:c r="T1185" s="15" t="n">
        <x:f>IF(E1185=0,"해당 없음",L1185/E1185)</x:f>
        <x:v>0.34951456310679613</x:v>
      </x:c>
      <x:c r="U1185" s="15" t="n">
        <x:f>IF(E1185=0,"해당 없음",M1185/E1185)</x:f>
        <x:v>0.05825242718446602</x:v>
      </x:c>
      <x:c r="V1185" s="16" t="n">
        <x:f>E1185/5</x:f>
        <x:v>20.6</x:v>
      </x:c>
    </x:row>
    <x:row r="1186" ht="22" customHeight="1">
      <x:c r="A1186" s="2" t="n">
        <x:v>591</x:v>
      </x:c>
      <x:c r="B1186" s="2" t="str">
        <x:v>RED</x:v>
      </x:c>
      <x:c r="C1186" s="2" t="str">
        <x:v>40만</x:v>
      </x:c>
      <x:c r="D1186" s="2" t="str">
        <x:v>120만</x:v>
      </x:c>
      <x:c r="E1186" s="14" t="n">
        <x:f>SUM(F1186:M1186)</x:f>
        <x:v>103</x:v>
      </x:c>
      <x:c r="F1186" s="14" t="n">
        <x:v>5</x:v>
      </x:c>
      <x:c r="G1186" s="14" t="n">
        <x:v>32</x:v>
      </x:c>
      <x:c r="H1186" s="14" t="n">
        <x:v>3</x:v>
      </x:c>
      <x:c r="I1186" s="14" t="n">
        <x:v>6</x:v>
      </x:c>
      <x:c r="J1186" s="14" t="n">
        <x:v>3</x:v>
      </x:c>
      <x:c r="K1186" s="14" t="n">
        <x:v>4</x:v>
      </x:c>
      <x:c r="L1186" s="14" t="n">
        <x:v>45</x:v>
      </x:c>
      <x:c r="M1186" s="14" t="n">
        <x:v>5</x:v>
      </x:c>
      <x:c r="N1186" s="15" t="n">
        <x:f>IF(E1186=0,"해당 없음",F1186/E1186)</x:f>
        <x:v>0.04854368932038835</x:v>
      </x:c>
      <x:c r="O1186" s="15" t="n">
        <x:f>IF(E1186=0,"해당 없음",G1186/E1186)</x:f>
        <x:v>0.3106796116504854</x:v>
      </x:c>
      <x:c r="P1186" s="15" t="n">
        <x:f>IF(E1186=0,"해당 없음",H1186/E1186)</x:f>
        <x:v>0.02912621359223301</x:v>
      </x:c>
      <x:c r="Q1186" s="15" t="n">
        <x:f>IF(E1186=0,"해당 없음",I1186/E1186)</x:f>
        <x:v>0.05825242718446602</x:v>
      </x:c>
      <x:c r="R1186" s="15" t="n">
        <x:f>IF(E1186=0,"해당 없음",J1186/E1186)</x:f>
        <x:v>0.02912621359223301</x:v>
      </x:c>
      <x:c r="S1186" s="15" t="n">
        <x:f>IF(E1186=0,"해당 없음",K1186/E1186)</x:f>
        <x:v>0.038834951456310676</x:v>
      </x:c>
      <x:c r="T1186" s="15" t="n">
        <x:f>IF(E1186=0,"해당 없음",L1186/E1186)</x:f>
        <x:v>0.4368932038834951</x:v>
      </x:c>
      <x:c r="U1186" s="15" t="n">
        <x:f>IF(E1186=0,"해당 없음",M1186/E1186)</x:f>
        <x:v>0.04854368932038835</x:v>
      </x:c>
      <x:c r="V1186" s="16" t="n">
        <x:f>E1186/5</x:f>
        <x:v>20.6</x:v>
      </x:c>
    </x:row>
    <x:row r="1187" ht="22" customHeight="1">
      <x:c r="A1187" s="2" t="n">
        <x:v>591</x:v>
      </x:c>
      <x:c r="B1187" s="2" t="str">
        <x:v>NAVY</x:v>
      </x:c>
      <x:c r="C1187" s="2" t="str">
        <x:v>120만</x:v>
      </x:c>
      <x:c r="D1187" s="2" t="str">
        <x:v>40만</x:v>
      </x:c>
      <x:c r="E1187" s="14" t="n">
        <x:f>SUM(F1187:M1187)</x:f>
        <x:v>103</x:v>
      </x:c>
      <x:c r="F1187" s="14" t="n">
        <x:v>2</x:v>
      </x:c>
      <x:c r="G1187" s="14" t="n">
        <x:v>19</x:v>
      </x:c>
      <x:c r="H1187" s="14" t="n">
        <x:v>10</x:v>
      </x:c>
      <x:c r="I1187" s="14" t="n">
        <x:v>7</x:v>
      </x:c>
      <x:c r="J1187" s="14" t="n">
        <x:v>0</x:v>
      </x:c>
      <x:c r="K1187" s="14" t="n">
        <x:v>10</x:v>
      </x:c>
      <x:c r="L1187" s="14" t="n">
        <x:v>36</x:v>
      </x:c>
      <x:c r="M1187" s="14" t="n">
        <x:v>19</x:v>
      </x:c>
      <x:c r="N1187" s="15" t="n">
        <x:f>IF(E1187=0,"해당 없음",F1187/E1187)</x:f>
        <x:v>0.019417475728155338</x:v>
      </x:c>
      <x:c r="O1187" s="15" t="n">
        <x:f>IF(E1187=0,"해당 없음",G1187/E1187)</x:f>
        <x:v>0.18446601941747573</x:v>
      </x:c>
      <x:c r="P1187" s="15" t="n">
        <x:f>IF(E1187=0,"해당 없음",H1187/E1187)</x:f>
        <x:v>0.0970873786407767</x:v>
      </x:c>
      <x:c r="Q1187" s="15" t="n">
        <x:f>IF(E1187=0,"해당 없음",I1187/E1187)</x:f>
        <x:v>0.06796116504854369</x:v>
      </x:c>
      <x:c r="R1187" s="15" t="n">
        <x:f>IF(E1187=0,"해당 없음",J1187/E1187)</x:f>
        <x:v>0</x:v>
      </x:c>
      <x:c r="S1187" s="15" t="n">
        <x:f>IF(E1187=0,"해당 없음",K1187/E1187)</x:f>
        <x:v>0.0970873786407767</x:v>
      </x:c>
      <x:c r="T1187" s="15" t="n">
        <x:f>IF(E1187=0,"해당 없음",L1187/E1187)</x:f>
        <x:v>0.34951456310679613</x:v>
      </x:c>
      <x:c r="U1187" s="15" t="n">
        <x:f>IF(E1187=0,"해당 없음",M1187/E1187)</x:f>
        <x:v>0.18446601941747573</x:v>
      </x:c>
      <x:c r="V1187" s="16" t="n">
        <x:f>E1187/5</x:f>
        <x:v>20.6</x:v>
      </x:c>
    </x:row>
    <x:row r="1188" ht="22" customHeight="1">
      <x:c r="A1188" s="2" t="n">
        <x:v>592</x:v>
      </x:c>
      <x:c r="B1188" s="2" t="str">
        <x:v>RED</x:v>
      </x:c>
      <x:c r="C1188" s="2" t="str">
        <x:v>120만</x:v>
      </x:c>
      <x:c r="D1188" s="2" t="str">
        <x:v>40만</x:v>
      </x:c>
      <x:c r="E1188" s="14" t="n">
        <x:f>SUM(F1188:M1188)</x:f>
        <x:v>105</x:v>
      </x:c>
      <x:c r="F1188" s="14" t="n">
        <x:v>0</x:v>
      </x:c>
      <x:c r="G1188" s="14" t="n">
        <x:v>12</x:v>
      </x:c>
      <x:c r="H1188" s="14" t="n">
        <x:v>4</x:v>
      </x:c>
      <x:c r="I1188" s="14" t="n">
        <x:v>13</x:v>
      </x:c>
      <x:c r="J1188" s="14" t="n">
        <x:v>1</x:v>
      </x:c>
      <x:c r="K1188" s="14" t="n">
        <x:v>15</x:v>
      </x:c>
      <x:c r="L1188" s="14" t="n">
        <x:v>35</x:v>
      </x:c>
      <x:c r="M1188" s="14" t="n">
        <x:v>25</x:v>
      </x:c>
      <x:c r="N1188" s="15" t="n">
        <x:f>IF(E1188=0,"해당 없음",F1188/E1188)</x:f>
        <x:v>0</x:v>
      </x:c>
      <x:c r="O1188" s="15" t="n">
        <x:f>IF(E1188=0,"해당 없음",G1188/E1188)</x:f>
        <x:v>0.11428571428571428</x:v>
      </x:c>
      <x:c r="P1188" s="15" t="n">
        <x:f>IF(E1188=0,"해당 없음",H1188/E1188)</x:f>
        <x:v>0.0380952380952381</x:v>
      </x:c>
      <x:c r="Q1188" s="15" t="n">
        <x:f>IF(E1188=0,"해당 없음",I1188/E1188)</x:f>
        <x:v>0.12380952380952381</x:v>
      </x:c>
      <x:c r="R1188" s="15" t="n">
        <x:f>IF(E1188=0,"해당 없음",J1188/E1188)</x:f>
        <x:v>0.009523809523809525</x:v>
      </x:c>
      <x:c r="S1188" s="15" t="n">
        <x:f>IF(E1188=0,"해당 없음",K1188/E1188)</x:f>
        <x:v>0.14285714285714285</x:v>
      </x:c>
      <x:c r="T1188" s="15" t="n">
        <x:f>IF(E1188=0,"해당 없음",L1188/E1188)</x:f>
        <x:v>0.3333333333333333</x:v>
      </x:c>
      <x:c r="U1188" s="15" t="n">
        <x:f>IF(E1188=0,"해당 없음",M1188/E1188)</x:f>
        <x:v>0.23809523809523808</x:v>
      </x:c>
      <x:c r="V1188" s="16" t="n">
        <x:f>E1188/5</x:f>
        <x:v>21</x:v>
      </x:c>
    </x:row>
    <x:row r="1189" ht="22" customHeight="1">
      <x:c r="A1189" s="2" t="n">
        <x:v>592</x:v>
      </x:c>
      <x:c r="B1189" s="2" t="str">
        <x:v>NAVY</x:v>
      </x:c>
      <x:c r="C1189" s="2" t="str">
        <x:v>40만</x:v>
      </x:c>
      <x:c r="D1189" s="2" t="str">
        <x:v>120만</x:v>
      </x:c>
      <x:c r="E1189" s="14" t="n">
        <x:f>SUM(F1189:M1189)</x:f>
        <x:v>102</x:v>
      </x:c>
      <x:c r="F1189" s="14" t="n">
        <x:v>6</x:v>
      </x:c>
      <x:c r="G1189" s="14" t="n">
        <x:v>30</x:v>
      </x:c>
      <x:c r="H1189" s="14" t="n">
        <x:v>3</x:v>
      </x:c>
      <x:c r="I1189" s="14" t="n">
        <x:v>3</x:v>
      </x:c>
      <x:c r="J1189" s="14" t="n">
        <x:v>7</x:v>
      </x:c>
      <x:c r="K1189" s="14" t="n">
        <x:v>6</x:v>
      </x:c>
      <x:c r="L1189" s="14" t="n">
        <x:v>42</x:v>
      </x:c>
      <x:c r="M1189" s="14" t="n">
        <x:v>5</x:v>
      </x:c>
      <x:c r="N1189" s="15" t="n">
        <x:f>IF(E1189=0,"해당 없음",F1189/E1189)</x:f>
        <x:v>0.058823529411764705</x:v>
      </x:c>
      <x:c r="O1189" s="15" t="n">
        <x:f>IF(E1189=0,"해당 없음",G1189/E1189)</x:f>
        <x:v>0.29411764705882354</x:v>
      </x:c>
      <x:c r="P1189" s="15" t="n">
        <x:f>IF(E1189=0,"해당 없음",H1189/E1189)</x:f>
        <x:v>0.029411764705882353</x:v>
      </x:c>
      <x:c r="Q1189" s="15" t="n">
        <x:f>IF(E1189=0,"해당 없음",I1189/E1189)</x:f>
        <x:v>0.029411764705882353</x:v>
      </x:c>
      <x:c r="R1189" s="15" t="n">
        <x:f>IF(E1189=0,"해당 없음",J1189/E1189)</x:f>
        <x:v>0.06862745098039216</x:v>
      </x:c>
      <x:c r="S1189" s="15" t="n">
        <x:f>IF(E1189=0,"해당 없음",K1189/E1189)</x:f>
        <x:v>0.058823529411764705</x:v>
      </x:c>
      <x:c r="T1189" s="15" t="n">
        <x:f>IF(E1189=0,"해당 없음",L1189/E1189)</x:f>
        <x:v>0.4117647058823529</x:v>
      </x:c>
      <x:c r="U1189" s="15" t="n">
        <x:f>IF(E1189=0,"해당 없음",M1189/E1189)</x:f>
        <x:v>0.049019607843137254</x:v>
      </x:c>
      <x:c r="V1189" s="16" t="n">
        <x:f>E1189/5</x:f>
        <x:v>20.4</x:v>
      </x:c>
    </x:row>
    <x:row r="1190" ht="22" customHeight="1">
      <x:c r="A1190" s="2" t="n">
        <x:v>593</x:v>
      </x:c>
      <x:c r="B1190" s="2" t="str">
        <x:v>RED</x:v>
      </x:c>
      <x:c r="C1190" s="2" t="str">
        <x:v>40만</x:v>
      </x:c>
      <x:c r="D1190" s="2" t="str">
        <x:v>120만</x:v>
      </x:c>
      <x:c r="E1190" s="14" t="n">
        <x:f>SUM(F1190:M1190)</x:f>
        <x:v>104</x:v>
      </x:c>
      <x:c r="F1190" s="14" t="n">
        <x:v>6</x:v>
      </x:c>
      <x:c r="G1190" s="14" t="n">
        <x:v>29</x:v>
      </x:c>
      <x:c r="H1190" s="14" t="n">
        <x:v>11</x:v>
      </x:c>
      <x:c r="I1190" s="14" t="n">
        <x:v>3</x:v>
      </x:c>
      <x:c r="J1190" s="14" t="n">
        <x:v>2</x:v>
      </x:c>
      <x:c r="K1190" s="14" t="n">
        <x:v>10</x:v>
      </x:c>
      <x:c r="L1190" s="14" t="n">
        <x:v>40</x:v>
      </x:c>
      <x:c r="M1190" s="14" t="n">
        <x:v>3</x:v>
      </x:c>
      <x:c r="N1190" s="15" t="n">
        <x:f>IF(E1190=0,"해당 없음",F1190/E1190)</x:f>
        <x:v>0.057692307692307696</x:v>
      </x:c>
      <x:c r="O1190" s="15" t="n">
        <x:f>IF(E1190=0,"해당 없음",G1190/E1190)</x:f>
        <x:v>0.27884615384615385</x:v>
      </x:c>
      <x:c r="P1190" s="15" t="n">
        <x:f>IF(E1190=0,"해당 없음",H1190/E1190)</x:f>
        <x:v>0.10576923076923077</x:v>
      </x:c>
      <x:c r="Q1190" s="15" t="n">
        <x:f>IF(E1190=0,"해당 없음",I1190/E1190)</x:f>
        <x:v>0.028846153846153848</x:v>
      </x:c>
      <x:c r="R1190" s="15" t="n">
        <x:f>IF(E1190=0,"해당 없음",J1190/E1190)</x:f>
        <x:v>0.019230769230769232</x:v>
      </x:c>
      <x:c r="S1190" s="15" t="n">
        <x:f>IF(E1190=0,"해당 없음",K1190/E1190)</x:f>
        <x:v>0.09615384615384616</x:v>
      </x:c>
      <x:c r="T1190" s="15" t="n">
        <x:f>IF(E1190=0,"해당 없음",L1190/E1190)</x:f>
        <x:v>0.38461538461538464</x:v>
      </x:c>
      <x:c r="U1190" s="15" t="n">
        <x:f>IF(E1190=0,"해당 없음",M1190/E1190)</x:f>
        <x:v>0.028846153846153848</x:v>
      </x:c>
      <x:c r="V1190" s="16" t="n">
        <x:f>E1190/5</x:f>
        <x:v>20.8</x:v>
      </x:c>
    </x:row>
    <x:row r="1191" ht="22" customHeight="1">
      <x:c r="A1191" s="2" t="n">
        <x:v>593</x:v>
      </x:c>
      <x:c r="B1191" s="2" t="str">
        <x:v>NAVY</x:v>
      </x:c>
      <x:c r="C1191" s="2" t="str">
        <x:v>120만</x:v>
      </x:c>
      <x:c r="D1191" s="2" t="str">
        <x:v>40만</x:v>
      </x:c>
      <x:c r="E1191" s="14" t="n">
        <x:f>SUM(F1191:M1191)</x:f>
        <x:v>103</x:v>
      </x:c>
      <x:c r="F1191" s="14" t="n">
        <x:v>1</x:v>
      </x:c>
      <x:c r="G1191" s="14" t="n">
        <x:v>14</x:v>
      </x:c>
      <x:c r="H1191" s="14" t="n">
        <x:v>5</x:v>
      </x:c>
      <x:c r="I1191" s="14" t="n">
        <x:v>6</x:v>
      </x:c>
      <x:c r="J1191" s="14" t="n">
        <x:v>9</x:v>
      </x:c>
      <x:c r="K1191" s="14" t="n">
        <x:v>8</x:v>
      </x:c>
      <x:c r="L1191" s="14" t="n">
        <x:v>40</x:v>
      </x:c>
      <x:c r="M1191" s="14" t="n">
        <x:v>20</x:v>
      </x:c>
      <x:c r="N1191" s="15" t="n">
        <x:f>IF(E1191=0,"해당 없음",F1191/E1191)</x:f>
        <x:v>0.009708737864077669</x:v>
      </x:c>
      <x:c r="O1191" s="15" t="n">
        <x:f>IF(E1191=0,"해당 없음",G1191/E1191)</x:f>
        <x:v>0.13592233009708737</x:v>
      </x:c>
      <x:c r="P1191" s="15" t="n">
        <x:f>IF(E1191=0,"해당 없음",H1191/E1191)</x:f>
        <x:v>0.04854368932038835</x:v>
      </x:c>
      <x:c r="Q1191" s="15" t="n">
        <x:f>IF(E1191=0,"해당 없음",I1191/E1191)</x:f>
        <x:v>0.05825242718446602</x:v>
      </x:c>
      <x:c r="R1191" s="15" t="n">
        <x:f>IF(E1191=0,"해당 없음",J1191/E1191)</x:f>
        <x:v>0.08737864077669903</x:v>
      </x:c>
      <x:c r="S1191" s="15" t="n">
        <x:f>IF(E1191=0,"해당 없음",K1191/E1191)</x:f>
        <x:v>0.07766990291262135</x:v>
      </x:c>
      <x:c r="T1191" s="15" t="n">
        <x:f>IF(E1191=0,"해당 없음",L1191/E1191)</x:f>
        <x:v>0.3883495145631068</x:v>
      </x:c>
      <x:c r="U1191" s="15" t="n">
        <x:f>IF(E1191=0,"해당 없음",M1191/E1191)</x:f>
        <x:v>0.1941747572815534</x:v>
      </x:c>
      <x:c r="V1191" s="16" t="n">
        <x:f>E1191/5</x:f>
        <x:v>20.6</x:v>
      </x:c>
    </x:row>
    <x:row r="1192" ht="22" customHeight="1">
      <x:c r="A1192" s="2" t="n">
        <x:v>594</x:v>
      </x:c>
      <x:c r="B1192" s="2" t="str">
        <x:v>RED</x:v>
      </x:c>
      <x:c r="C1192" s="2" t="str">
        <x:v>120만</x:v>
      </x:c>
      <x:c r="D1192" s="2" t="str">
        <x:v>40만</x:v>
      </x:c>
      <x:c r="E1192" s="14" t="n">
        <x:f>SUM(F1192:M1192)</x:f>
        <x:v>102</x:v>
      </x:c>
      <x:c r="F1192" s="14" t="n">
        <x:v>1</x:v>
      </x:c>
      <x:c r="G1192" s="14" t="n">
        <x:v>20</x:v>
      </x:c>
      <x:c r="H1192" s="14" t="n">
        <x:v>7</x:v>
      </x:c>
      <x:c r="I1192" s="14" t="n">
        <x:v>5</x:v>
      </x:c>
      <x:c r="J1192" s="14" t="n">
        <x:v>5</x:v>
      </x:c>
      <x:c r="K1192" s="14" t="n">
        <x:v>8</x:v>
      </x:c>
      <x:c r="L1192" s="14" t="n">
        <x:v>35</x:v>
      </x:c>
      <x:c r="M1192" s="14" t="n">
        <x:v>21</x:v>
      </x:c>
      <x:c r="N1192" s="15" t="n">
        <x:f>IF(E1192=0,"해당 없음",F1192/E1192)</x:f>
        <x:v>0.00980392156862745</x:v>
      </x:c>
      <x:c r="O1192" s="15" t="n">
        <x:f>IF(E1192=0,"해당 없음",G1192/E1192)</x:f>
        <x:v>0.19607843137254902</x:v>
      </x:c>
      <x:c r="P1192" s="15" t="n">
        <x:f>IF(E1192=0,"해당 없음",H1192/E1192)</x:f>
        <x:v>0.06862745098039216</x:v>
      </x:c>
      <x:c r="Q1192" s="15" t="n">
        <x:f>IF(E1192=0,"해당 없음",I1192/E1192)</x:f>
        <x:v>0.049019607843137254</x:v>
      </x:c>
      <x:c r="R1192" s="15" t="n">
        <x:f>IF(E1192=0,"해당 없음",J1192/E1192)</x:f>
        <x:v>0.049019607843137254</x:v>
      </x:c>
      <x:c r="S1192" s="15" t="n">
        <x:f>IF(E1192=0,"해당 없음",K1192/E1192)</x:f>
        <x:v>0.0784313725490196</x:v>
      </x:c>
      <x:c r="T1192" s="15" t="n">
        <x:f>IF(E1192=0,"해당 없음",L1192/E1192)</x:f>
        <x:v>0.3431372549019608</x:v>
      </x:c>
      <x:c r="U1192" s="15" t="n">
        <x:f>IF(E1192=0,"해당 없음",M1192/E1192)</x:f>
        <x:v>0.20588235294117646</x:v>
      </x:c>
      <x:c r="V1192" s="16" t="n">
        <x:f>E1192/5</x:f>
        <x:v>20.4</x:v>
      </x:c>
    </x:row>
    <x:row r="1193" ht="22" customHeight="1">
      <x:c r="A1193" s="2" t="n">
        <x:v>594</x:v>
      </x:c>
      <x:c r="B1193" s="2" t="str">
        <x:v>NAVY</x:v>
      </x:c>
      <x:c r="C1193" s="2" t="str">
        <x:v>40만</x:v>
      </x:c>
      <x:c r="D1193" s="2" t="str">
        <x:v>120만</x:v>
      </x:c>
      <x:c r="E1193" s="14" t="n">
        <x:f>SUM(F1193:M1193)</x:f>
        <x:v>103</x:v>
      </x:c>
      <x:c r="F1193" s="14" t="n">
        <x:v>7</x:v>
      </x:c>
      <x:c r="G1193" s="14" t="n">
        <x:v>26</x:v>
      </x:c>
      <x:c r="H1193" s="14" t="n">
        <x:v>2</x:v>
      </x:c>
      <x:c r="I1193" s="14" t="n">
        <x:v>7</x:v>
      </x:c>
      <x:c r="J1193" s="14" t="n">
        <x:v>6</x:v>
      </x:c>
      <x:c r="K1193" s="14" t="n">
        <x:v>13</x:v>
      </x:c>
      <x:c r="L1193" s="14" t="n">
        <x:v>37</x:v>
      </x:c>
      <x:c r="M1193" s="14" t="n">
        <x:v>5</x:v>
      </x:c>
      <x:c r="N1193" s="15" t="n">
        <x:f>IF(E1193=0,"해당 없음",F1193/E1193)</x:f>
        <x:v>0.06796116504854369</x:v>
      </x:c>
      <x:c r="O1193" s="15" t="n">
        <x:f>IF(E1193=0,"해당 없음",G1193/E1193)</x:f>
        <x:v>0.2524271844660194</x:v>
      </x:c>
      <x:c r="P1193" s="15" t="n">
        <x:f>IF(E1193=0,"해당 없음",H1193/E1193)</x:f>
        <x:v>0.019417475728155338</x:v>
      </x:c>
      <x:c r="Q1193" s="15" t="n">
        <x:f>IF(E1193=0,"해당 없음",I1193/E1193)</x:f>
        <x:v>0.06796116504854369</x:v>
      </x:c>
      <x:c r="R1193" s="15" t="n">
        <x:f>IF(E1193=0,"해당 없음",J1193/E1193)</x:f>
        <x:v>0.05825242718446602</x:v>
      </x:c>
      <x:c r="S1193" s="15" t="n">
        <x:f>IF(E1193=0,"해당 없음",K1193/E1193)</x:f>
        <x:v>0.1262135922330097</x:v>
      </x:c>
      <x:c r="T1193" s="15" t="n">
        <x:f>IF(E1193=0,"해당 없음",L1193/E1193)</x:f>
        <x:v>0.3592233009708738</x:v>
      </x:c>
      <x:c r="U1193" s="15" t="n">
        <x:f>IF(E1193=0,"해당 없음",M1193/E1193)</x:f>
        <x:v>0.04854368932038835</x:v>
      </x:c>
      <x:c r="V1193" s="16" t="n">
        <x:f>E1193/5</x:f>
        <x:v>20.6</x:v>
      </x:c>
    </x:row>
    <x:row r="1194" ht="22" customHeight="1">
      <x:c r="A1194" s="2" t="n">
        <x:v>595</x:v>
      </x:c>
      <x:c r="B1194" s="2" t="str">
        <x:v>RED</x:v>
      </x:c>
      <x:c r="C1194" s="2" t="str">
        <x:v>40만</x:v>
      </x:c>
      <x:c r="D1194" s="2" t="str">
        <x:v>120만</x:v>
      </x:c>
      <x:c r="E1194" s="14" t="n">
        <x:f>SUM(F1194:M1194)</x:f>
        <x:v>103</x:v>
      </x:c>
      <x:c r="F1194" s="14" t="n">
        <x:v>1</x:v>
      </x:c>
      <x:c r="G1194" s="14" t="n">
        <x:v>35</x:v>
      </x:c>
      <x:c r="H1194" s="14" t="n">
        <x:v>6</x:v>
      </x:c>
      <x:c r="I1194" s="14" t="n">
        <x:v>8</x:v>
      </x:c>
      <x:c r="J1194" s="14" t="n">
        <x:v>9</x:v>
      </x:c>
      <x:c r="K1194" s="14" t="n">
        <x:v>4</x:v>
      </x:c>
      <x:c r="L1194" s="14" t="n">
        <x:v>37</x:v>
      </x:c>
      <x:c r="M1194" s="14" t="n">
        <x:v>3</x:v>
      </x:c>
      <x:c r="N1194" s="15" t="n">
        <x:f>IF(E1194=0,"해당 없음",F1194/E1194)</x:f>
        <x:v>0.009708737864077669</x:v>
      </x:c>
      <x:c r="O1194" s="15" t="n">
        <x:f>IF(E1194=0,"해당 없음",G1194/E1194)</x:f>
        <x:v>0.33980582524271846</x:v>
      </x:c>
      <x:c r="P1194" s="15" t="n">
        <x:f>IF(E1194=0,"해당 없음",H1194/E1194)</x:f>
        <x:v>0.05825242718446602</x:v>
      </x:c>
      <x:c r="Q1194" s="15" t="n">
        <x:f>IF(E1194=0,"해당 없음",I1194/E1194)</x:f>
        <x:v>0.07766990291262135</x:v>
      </x:c>
      <x:c r="R1194" s="15" t="n">
        <x:f>IF(E1194=0,"해당 없음",J1194/E1194)</x:f>
        <x:v>0.08737864077669903</x:v>
      </x:c>
      <x:c r="S1194" s="15" t="n">
        <x:f>IF(E1194=0,"해당 없음",K1194/E1194)</x:f>
        <x:v>0.038834951456310676</x:v>
      </x:c>
      <x:c r="T1194" s="15" t="n">
        <x:f>IF(E1194=0,"해당 없음",L1194/E1194)</x:f>
        <x:v>0.3592233009708738</x:v>
      </x:c>
      <x:c r="U1194" s="15" t="n">
        <x:f>IF(E1194=0,"해당 없음",M1194/E1194)</x:f>
        <x:v>0.02912621359223301</x:v>
      </x:c>
      <x:c r="V1194" s="16" t="n">
        <x:f>E1194/5</x:f>
        <x:v>20.6</x:v>
      </x:c>
    </x:row>
    <x:row r="1195" ht="22" customHeight="1">
      <x:c r="A1195" s="2" t="n">
        <x:v>595</x:v>
      </x:c>
      <x:c r="B1195" s="2" t="str">
        <x:v>NAVY</x:v>
      </x:c>
      <x:c r="C1195" s="2" t="str">
        <x:v>120만</x:v>
      </x:c>
      <x:c r="D1195" s="2" t="str">
        <x:v>40만</x:v>
      </x:c>
      <x:c r="E1195" s="14" t="n">
        <x:f>SUM(F1195:M1195)</x:f>
        <x:v>104</x:v>
      </x:c>
      <x:c r="F1195" s="14" t="n">
        <x:v>2</x:v>
      </x:c>
      <x:c r="G1195" s="14" t="n">
        <x:v>10</x:v>
      </x:c>
      <x:c r="H1195" s="14" t="n">
        <x:v>6</x:v>
      </x:c>
      <x:c r="I1195" s="14" t="n">
        <x:v>4</x:v>
      </x:c>
      <x:c r="J1195" s="14" t="n">
        <x:v>3</x:v>
      </x:c>
      <x:c r="K1195" s="14" t="n">
        <x:v>8</x:v>
      </x:c>
      <x:c r="L1195" s="14" t="n">
        <x:v>41</x:v>
      </x:c>
      <x:c r="M1195" s="14" t="n">
        <x:v>30</x:v>
      </x:c>
      <x:c r="N1195" s="15" t="n">
        <x:f>IF(E1195=0,"해당 없음",F1195/E1195)</x:f>
        <x:v>0.019230769230769232</x:v>
      </x:c>
      <x:c r="O1195" s="15" t="n">
        <x:f>IF(E1195=0,"해당 없음",G1195/E1195)</x:f>
        <x:v>0.09615384615384616</x:v>
      </x:c>
      <x:c r="P1195" s="15" t="n">
        <x:f>IF(E1195=0,"해당 없음",H1195/E1195)</x:f>
        <x:v>0.057692307692307696</x:v>
      </x:c>
      <x:c r="Q1195" s="15" t="n">
        <x:f>IF(E1195=0,"해당 없음",I1195/E1195)</x:f>
        <x:v>0.038461538461538464</x:v>
      </x:c>
      <x:c r="R1195" s="15" t="n">
        <x:f>IF(E1195=0,"해당 없음",J1195/E1195)</x:f>
        <x:v>0.028846153846153848</x:v>
      </x:c>
      <x:c r="S1195" s="15" t="n">
        <x:f>IF(E1195=0,"해당 없음",K1195/E1195)</x:f>
        <x:v>0.07692307692307693</x:v>
      </x:c>
      <x:c r="T1195" s="15" t="n">
        <x:f>IF(E1195=0,"해당 없음",L1195/E1195)</x:f>
        <x:v>0.3942307692307692</x:v>
      </x:c>
      <x:c r="U1195" s="15" t="n">
        <x:f>IF(E1195=0,"해당 없음",M1195/E1195)</x:f>
        <x:v>0.28846153846153844</x:v>
      </x:c>
      <x:c r="V1195" s="16" t="n">
        <x:f>E1195/5</x:f>
        <x:v>20.8</x:v>
      </x:c>
    </x:row>
    <x:row r="1196" ht="22" customHeight="1">
      <x:c r="A1196" s="2" t="n">
        <x:v>596</x:v>
      </x:c>
      <x:c r="B1196" s="2" t="str">
        <x:v>RED</x:v>
      </x:c>
      <x:c r="C1196" s="2" t="str">
        <x:v>120만</x:v>
      </x:c>
      <x:c r="D1196" s="2" t="str">
        <x:v>40만</x:v>
      </x:c>
      <x:c r="E1196" s="14" t="n">
        <x:f>SUM(F1196:M1196)</x:f>
        <x:v>104</x:v>
      </x:c>
      <x:c r="F1196" s="14" t="n">
        <x:v>2</x:v>
      </x:c>
      <x:c r="G1196" s="14" t="n">
        <x:v>15</x:v>
      </x:c>
      <x:c r="H1196" s="14" t="n">
        <x:v>7</x:v>
      </x:c>
      <x:c r="I1196" s="14" t="n">
        <x:v>7</x:v>
      </x:c>
      <x:c r="J1196" s="14" t="n">
        <x:v>2</x:v>
      </x:c>
      <x:c r="K1196" s="14" t="n">
        <x:v>6</x:v>
      </x:c>
      <x:c r="L1196" s="14" t="n">
        <x:v>38</x:v>
      </x:c>
      <x:c r="M1196" s="14" t="n">
        <x:v>27</x:v>
      </x:c>
      <x:c r="N1196" s="15" t="n">
        <x:f>IF(E1196=0,"해당 없음",F1196/E1196)</x:f>
        <x:v>0.019230769230769232</x:v>
      </x:c>
      <x:c r="O1196" s="15" t="n">
        <x:f>IF(E1196=0,"해당 없음",G1196/E1196)</x:f>
        <x:v>0.14423076923076922</x:v>
      </x:c>
      <x:c r="P1196" s="15" t="n">
        <x:f>IF(E1196=0,"해당 없음",H1196/E1196)</x:f>
        <x:v>0.0673076923076923</x:v>
      </x:c>
      <x:c r="Q1196" s="15" t="n">
        <x:f>IF(E1196=0,"해당 없음",I1196/E1196)</x:f>
        <x:v>0.0673076923076923</x:v>
      </x:c>
      <x:c r="R1196" s="15" t="n">
        <x:f>IF(E1196=0,"해당 없음",J1196/E1196)</x:f>
        <x:v>0.019230769230769232</x:v>
      </x:c>
      <x:c r="S1196" s="15" t="n">
        <x:f>IF(E1196=0,"해당 없음",K1196/E1196)</x:f>
        <x:v>0.057692307692307696</x:v>
      </x:c>
      <x:c r="T1196" s="15" t="n">
        <x:f>IF(E1196=0,"해당 없음",L1196/E1196)</x:f>
        <x:v>0.36538461538461536</x:v>
      </x:c>
      <x:c r="U1196" s="15" t="n">
        <x:f>IF(E1196=0,"해당 없음",M1196/E1196)</x:f>
        <x:v>0.25961538461538464</x:v>
      </x:c>
      <x:c r="V1196" s="16" t="n">
        <x:f>E1196/5</x:f>
        <x:v>20.8</x:v>
      </x:c>
    </x:row>
    <x:row r="1197" ht="22" customHeight="1">
      <x:c r="A1197" s="2" t="n">
        <x:v>596</x:v>
      </x:c>
      <x:c r="B1197" s="2" t="str">
        <x:v>NAVY</x:v>
      </x:c>
      <x:c r="C1197" s="2" t="str">
        <x:v>40만</x:v>
      </x:c>
      <x:c r="D1197" s="2" t="str">
        <x:v>120만</x:v>
      </x:c>
      <x:c r="E1197" s="14" t="n">
        <x:f>SUM(F1197:M1197)</x:f>
        <x:v>105</x:v>
      </x:c>
      <x:c r="F1197" s="14" t="n">
        <x:v>4</x:v>
      </x:c>
      <x:c r="G1197" s="14" t="n">
        <x:v>26</x:v>
      </x:c>
      <x:c r="H1197" s="14" t="n">
        <x:v>7</x:v>
      </x:c>
      <x:c r="I1197" s="14" t="n">
        <x:v>7</x:v>
      </x:c>
      <x:c r="J1197" s="14" t="n">
        <x:v>9</x:v>
      </x:c>
      <x:c r="K1197" s="14" t="n">
        <x:v>7</x:v>
      </x:c>
      <x:c r="L1197" s="14" t="n">
        <x:v>41</x:v>
      </x:c>
      <x:c r="M1197" s="14" t="n">
        <x:v>4</x:v>
      </x:c>
      <x:c r="N1197" s="15" t="n">
        <x:f>IF(E1197=0,"해당 없음",F1197/E1197)</x:f>
        <x:v>0.0380952380952381</x:v>
      </x:c>
      <x:c r="O1197" s="15" t="n">
        <x:f>IF(E1197=0,"해당 없음",G1197/E1197)</x:f>
        <x:v>0.24761904761904763</x:v>
      </x:c>
      <x:c r="P1197" s="15" t="n">
        <x:f>IF(E1197=0,"해당 없음",H1197/E1197)</x:f>
        <x:v>0.06666666666666667</x:v>
      </x:c>
      <x:c r="Q1197" s="15" t="n">
        <x:f>IF(E1197=0,"해당 없음",I1197/E1197)</x:f>
        <x:v>0.06666666666666667</x:v>
      </x:c>
      <x:c r="R1197" s="15" t="n">
        <x:f>IF(E1197=0,"해당 없음",J1197/E1197)</x:f>
        <x:v>0.08571428571428572</x:v>
      </x:c>
      <x:c r="S1197" s="15" t="n">
        <x:f>IF(E1197=0,"해당 없음",K1197/E1197)</x:f>
        <x:v>0.06666666666666667</x:v>
      </x:c>
      <x:c r="T1197" s="15" t="n">
        <x:f>IF(E1197=0,"해당 없음",L1197/E1197)</x:f>
        <x:v>0.3904761904761905</x:v>
      </x:c>
      <x:c r="U1197" s="15" t="n">
        <x:f>IF(E1197=0,"해당 없음",M1197/E1197)</x:f>
        <x:v>0.0380952380952381</x:v>
      </x:c>
      <x:c r="V1197" s="16" t="n">
        <x:f>E1197/5</x:f>
        <x:v>21</x:v>
      </x:c>
    </x:row>
    <x:row r="1198" ht="22" customHeight="1">
      <x:c r="A1198" s="2" t="n">
        <x:v>597</x:v>
      </x:c>
      <x:c r="B1198" s="2" t="str">
        <x:v>RED</x:v>
      </x:c>
      <x:c r="C1198" s="2" t="str">
        <x:v>40만</x:v>
      </x:c>
      <x:c r="D1198" s="2" t="str">
        <x:v>120만</x:v>
      </x:c>
      <x:c r="E1198" s="14" t="n">
        <x:f>SUM(F1198:M1198)</x:f>
        <x:v>103</x:v>
      </x:c>
      <x:c r="F1198" s="14" t="n">
        <x:v>5</x:v>
      </x:c>
      <x:c r="G1198" s="14" t="n">
        <x:v>24</x:v>
      </x:c>
      <x:c r="H1198" s="14" t="n">
        <x:v>10</x:v>
      </x:c>
      <x:c r="I1198" s="14" t="n">
        <x:v>4</x:v>
      </x:c>
      <x:c r="J1198" s="14" t="n">
        <x:v>9</x:v>
      </x:c>
      <x:c r="K1198" s="14" t="n">
        <x:v>5</x:v>
      </x:c>
      <x:c r="L1198" s="14" t="n">
        <x:v>41</x:v>
      </x:c>
      <x:c r="M1198" s="14" t="n">
        <x:v>5</x:v>
      </x:c>
      <x:c r="N1198" s="15" t="n">
        <x:f>IF(E1198=0,"해당 없음",F1198/E1198)</x:f>
        <x:v>0.04854368932038835</x:v>
      </x:c>
      <x:c r="O1198" s="15" t="n">
        <x:f>IF(E1198=0,"해당 없음",G1198/E1198)</x:f>
        <x:v>0.23300970873786409</x:v>
      </x:c>
      <x:c r="P1198" s="15" t="n">
        <x:f>IF(E1198=0,"해당 없음",H1198/E1198)</x:f>
        <x:v>0.0970873786407767</x:v>
      </x:c>
      <x:c r="Q1198" s="15" t="n">
        <x:f>IF(E1198=0,"해당 없음",I1198/E1198)</x:f>
        <x:v>0.038834951456310676</x:v>
      </x:c>
      <x:c r="R1198" s="15" t="n">
        <x:f>IF(E1198=0,"해당 없음",J1198/E1198)</x:f>
        <x:v>0.08737864077669903</x:v>
      </x:c>
      <x:c r="S1198" s="15" t="n">
        <x:f>IF(E1198=0,"해당 없음",K1198/E1198)</x:f>
        <x:v>0.04854368932038835</x:v>
      </x:c>
      <x:c r="T1198" s="15" t="n">
        <x:f>IF(E1198=0,"해당 없음",L1198/E1198)</x:f>
        <x:v>0.39805825242718446</x:v>
      </x:c>
      <x:c r="U1198" s="15" t="n">
        <x:f>IF(E1198=0,"해당 없음",M1198/E1198)</x:f>
        <x:v>0.04854368932038835</x:v>
      </x:c>
      <x:c r="V1198" s="16" t="n">
        <x:f>E1198/5</x:f>
        <x:v>20.6</x:v>
      </x:c>
    </x:row>
    <x:row r="1199" ht="22" customHeight="1">
      <x:c r="A1199" s="2" t="n">
        <x:v>597</x:v>
      </x:c>
      <x:c r="B1199" s="2" t="str">
        <x:v>NAVY</x:v>
      </x:c>
      <x:c r="C1199" s="2" t="str">
        <x:v>120만</x:v>
      </x:c>
      <x:c r="D1199" s="2" t="str">
        <x:v>40만</x:v>
      </x:c>
      <x:c r="E1199" s="14" t="n">
        <x:f>SUM(F1199:M1199)</x:f>
        <x:v>102</x:v>
      </x:c>
      <x:c r="F1199" s="14" t="n">
        <x:v>3</x:v>
      </x:c>
      <x:c r="G1199" s="14" t="n">
        <x:v>19</x:v>
      </x:c>
      <x:c r="H1199" s="14" t="n">
        <x:v>4</x:v>
      </x:c>
      <x:c r="I1199" s="14" t="n">
        <x:v>4</x:v>
      </x:c>
      <x:c r="J1199" s="14" t="n">
        <x:v>8</x:v>
      </x:c>
      <x:c r="K1199" s="14" t="n">
        <x:v>7</x:v>
      </x:c>
      <x:c r="L1199" s="14" t="n">
        <x:v>37</x:v>
      </x:c>
      <x:c r="M1199" s="14" t="n">
        <x:v>20</x:v>
      </x:c>
      <x:c r="N1199" s="15" t="n">
        <x:f>IF(E1199=0,"해당 없음",F1199/E1199)</x:f>
        <x:v>0.029411764705882353</x:v>
      </x:c>
      <x:c r="O1199" s="15" t="n">
        <x:f>IF(E1199=0,"해당 없음",G1199/E1199)</x:f>
        <x:v>0.18627450980392157</x:v>
      </x:c>
      <x:c r="P1199" s="15" t="n">
        <x:f>IF(E1199=0,"해당 없음",H1199/E1199)</x:f>
        <x:v>0.0392156862745098</x:v>
      </x:c>
      <x:c r="Q1199" s="15" t="n">
        <x:f>IF(E1199=0,"해당 없음",I1199/E1199)</x:f>
        <x:v>0.0392156862745098</x:v>
      </x:c>
      <x:c r="R1199" s="15" t="n">
        <x:f>IF(E1199=0,"해당 없음",J1199/E1199)</x:f>
        <x:v>0.0784313725490196</x:v>
      </x:c>
      <x:c r="S1199" s="15" t="n">
        <x:f>IF(E1199=0,"해당 없음",K1199/E1199)</x:f>
        <x:v>0.06862745098039216</x:v>
      </x:c>
      <x:c r="T1199" s="15" t="n">
        <x:f>IF(E1199=0,"해당 없음",L1199/E1199)</x:f>
        <x:v>0.3627450980392157</x:v>
      </x:c>
      <x:c r="U1199" s="15" t="n">
        <x:f>IF(E1199=0,"해당 없음",M1199/E1199)</x:f>
        <x:v>0.19607843137254902</x:v>
      </x:c>
      <x:c r="V1199" s="16" t="n">
        <x:f>E1199/5</x:f>
        <x:v>20.4</x:v>
      </x:c>
    </x:row>
    <x:row r="1200" ht="22" customHeight="1">
      <x:c r="A1200" s="2" t="n">
        <x:v>598</x:v>
      </x:c>
      <x:c r="B1200" s="2" t="str">
        <x:v>RED</x:v>
      </x:c>
      <x:c r="C1200" s="2" t="str">
        <x:v>120만</x:v>
      </x:c>
      <x:c r="D1200" s="2" t="str">
        <x:v>40만</x:v>
      </x:c>
      <x:c r="E1200" s="14" t="n">
        <x:f>SUM(F1200:M1200)</x:f>
        <x:v>101</x:v>
      </x:c>
      <x:c r="F1200" s="14" t="n">
        <x:v>2</x:v>
      </x:c>
      <x:c r="G1200" s="14" t="n">
        <x:v>20</x:v>
      </x:c>
      <x:c r="H1200" s="14" t="n">
        <x:v>6</x:v>
      </x:c>
      <x:c r="I1200" s="14" t="n">
        <x:v>6</x:v>
      </x:c>
      <x:c r="J1200" s="14" t="n">
        <x:v>4</x:v>
      </x:c>
      <x:c r="K1200" s="14" t="n">
        <x:v>7</x:v>
      </x:c>
      <x:c r="L1200" s="14" t="n">
        <x:v>34</x:v>
      </x:c>
      <x:c r="M1200" s="14" t="n">
        <x:v>22</x:v>
      </x:c>
      <x:c r="N1200" s="15" t="n">
        <x:f>IF(E1200=0,"해당 없음",F1200/E1200)</x:f>
        <x:v>0.019801980198019802</x:v>
      </x:c>
      <x:c r="O1200" s="15" t="n">
        <x:f>IF(E1200=0,"해당 없음",G1200/E1200)</x:f>
        <x:v>0.19801980198019803</x:v>
      </x:c>
      <x:c r="P1200" s="15" t="n">
        <x:f>IF(E1200=0,"해당 없음",H1200/E1200)</x:f>
        <x:v>0.0594059405940594</x:v>
      </x:c>
      <x:c r="Q1200" s="15" t="n">
        <x:f>IF(E1200=0,"해당 없음",I1200/E1200)</x:f>
        <x:v>0.0594059405940594</x:v>
      </x:c>
      <x:c r="R1200" s="15" t="n">
        <x:f>IF(E1200=0,"해당 없음",J1200/E1200)</x:f>
        <x:v>0.039603960396039604</x:v>
      </x:c>
      <x:c r="S1200" s="15" t="n">
        <x:f>IF(E1200=0,"해당 없음",K1200/E1200)</x:f>
        <x:v>0.06930693069306931</x:v>
      </x:c>
      <x:c r="T1200" s="15" t="n">
        <x:f>IF(E1200=0,"해당 없음",L1200/E1200)</x:f>
        <x:v>0.33663366336633666</x:v>
      </x:c>
      <x:c r="U1200" s="15" t="n">
        <x:f>IF(E1200=0,"해당 없음",M1200/E1200)</x:f>
        <x:v>0.21782178217821782</x:v>
      </x:c>
      <x:c r="V1200" s="16" t="n">
        <x:f>E1200/5</x:f>
        <x:v>20.2</x:v>
      </x:c>
    </x:row>
    <x:row r="1201" ht="22" customHeight="1">
      <x:c r="A1201" s="2" t="n">
        <x:v>598</x:v>
      </x:c>
      <x:c r="B1201" s="2" t="str">
        <x:v>NAVY</x:v>
      </x:c>
      <x:c r="C1201" s="2" t="str">
        <x:v>40만</x:v>
      </x:c>
      <x:c r="D1201" s="2" t="str">
        <x:v>120만</x:v>
      </x:c>
      <x:c r="E1201" s="14" t="n">
        <x:f>SUM(F1201:M1201)</x:f>
        <x:v>101</x:v>
      </x:c>
      <x:c r="F1201" s="14" t="n">
        <x:v>8</x:v>
      </x:c>
      <x:c r="G1201" s="14" t="n">
        <x:v>28</x:v>
      </x:c>
      <x:c r="H1201" s="14" t="n">
        <x:v>5</x:v>
      </x:c>
      <x:c r="I1201" s="14" t="n">
        <x:v>7</x:v>
      </x:c>
      <x:c r="J1201" s="14" t="n">
        <x:v>7</x:v>
      </x:c>
      <x:c r="K1201" s="14" t="n">
        <x:v>4</x:v>
      </x:c>
      <x:c r="L1201" s="14" t="n">
        <x:v>39</x:v>
      </x:c>
      <x:c r="M1201" s="14" t="n">
        <x:v>3</x:v>
      </x:c>
      <x:c r="N1201" s="15" t="n">
        <x:f>IF(E1201=0,"해당 없음",F1201/E1201)</x:f>
        <x:v>0.07920792079207921</x:v>
      </x:c>
      <x:c r="O1201" s="15" t="n">
        <x:f>IF(E1201=0,"해당 없음",G1201/E1201)</x:f>
        <x:v>0.27722772277227725</x:v>
      </x:c>
      <x:c r="P1201" s="15" t="n">
        <x:f>IF(E1201=0,"해당 없음",H1201/E1201)</x:f>
        <x:v>0.04950495049504951</x:v>
      </x:c>
      <x:c r="Q1201" s="15" t="n">
        <x:f>IF(E1201=0,"해당 없음",I1201/E1201)</x:f>
        <x:v>0.06930693069306931</x:v>
      </x:c>
      <x:c r="R1201" s="15" t="n">
        <x:f>IF(E1201=0,"해당 없음",J1201/E1201)</x:f>
        <x:v>0.06930693069306931</x:v>
      </x:c>
      <x:c r="S1201" s="15" t="n">
        <x:f>IF(E1201=0,"해당 없음",K1201/E1201)</x:f>
        <x:v>0.039603960396039604</x:v>
      </x:c>
      <x:c r="T1201" s="15" t="n">
        <x:f>IF(E1201=0,"해당 없음",L1201/E1201)</x:f>
        <x:v>0.38613861386138615</x:v>
      </x:c>
      <x:c r="U1201" s="15" t="n">
        <x:f>IF(E1201=0,"해당 없음",M1201/E1201)</x:f>
        <x:v>0.0297029702970297</x:v>
      </x:c>
      <x:c r="V1201" s="16" t="n">
        <x:f>E1201/5</x:f>
        <x:v>20.2</x:v>
      </x:c>
    </x:row>
    <x:row r="1202" ht="22" customHeight="1">
      <x:c r="A1202" s="2" t="n">
        <x:v>599</x:v>
      </x:c>
      <x:c r="B1202" s="2" t="str">
        <x:v>RED</x:v>
      </x:c>
      <x:c r="C1202" s="2" t="str">
        <x:v>40만</x:v>
      </x:c>
      <x:c r="D1202" s="2" t="str">
        <x:v>120만</x:v>
      </x:c>
      <x:c r="E1202" s="14" t="n">
        <x:f>SUM(F1202:M1202)</x:f>
        <x:v>102</x:v>
      </x:c>
      <x:c r="F1202" s="14" t="n">
        <x:v>6</x:v>
      </x:c>
      <x:c r="G1202" s="14" t="n">
        <x:v>32</x:v>
      </x:c>
      <x:c r="H1202" s="14" t="n">
        <x:v>5</x:v>
      </x:c>
      <x:c r="I1202" s="14" t="n">
        <x:v>3</x:v>
      </x:c>
      <x:c r="J1202" s="14" t="n">
        <x:v>5</x:v>
      </x:c>
      <x:c r="K1202" s="14" t="n">
        <x:v>9</x:v>
      </x:c>
      <x:c r="L1202" s="14" t="n">
        <x:v>38</x:v>
      </x:c>
      <x:c r="M1202" s="14" t="n">
        <x:v>4</x:v>
      </x:c>
      <x:c r="N1202" s="15" t="n">
        <x:f>IF(E1202=0,"해당 없음",F1202/E1202)</x:f>
        <x:v>0.058823529411764705</x:v>
      </x:c>
      <x:c r="O1202" s="15" t="n">
        <x:f>IF(E1202=0,"해당 없음",G1202/E1202)</x:f>
        <x:v>0.3137254901960784</x:v>
      </x:c>
      <x:c r="P1202" s="15" t="n">
        <x:f>IF(E1202=0,"해당 없음",H1202/E1202)</x:f>
        <x:v>0.049019607843137254</x:v>
      </x:c>
      <x:c r="Q1202" s="15" t="n">
        <x:f>IF(E1202=0,"해당 없음",I1202/E1202)</x:f>
        <x:v>0.029411764705882353</x:v>
      </x:c>
      <x:c r="R1202" s="15" t="n">
        <x:f>IF(E1202=0,"해당 없음",J1202/E1202)</x:f>
        <x:v>0.049019607843137254</x:v>
      </x:c>
      <x:c r="S1202" s="15" t="n">
        <x:f>IF(E1202=0,"해당 없음",K1202/E1202)</x:f>
        <x:v>0.08823529411764706</x:v>
      </x:c>
      <x:c r="T1202" s="15" t="n">
        <x:f>IF(E1202=0,"해당 없음",L1202/E1202)</x:f>
        <x:v>0.37254901960784315</x:v>
      </x:c>
      <x:c r="U1202" s="15" t="n">
        <x:f>IF(E1202=0,"해당 없음",M1202/E1202)</x:f>
        <x:v>0.0392156862745098</x:v>
      </x:c>
      <x:c r="V1202" s="16" t="n">
        <x:f>E1202/5</x:f>
        <x:v>20.4</x:v>
      </x:c>
    </x:row>
    <x:row r="1203" ht="22" customHeight="1">
      <x:c r="A1203" s="2" t="n">
        <x:v>599</x:v>
      </x:c>
      <x:c r="B1203" s="2" t="str">
        <x:v>NAVY</x:v>
      </x:c>
      <x:c r="C1203" s="2" t="str">
        <x:v>120만</x:v>
      </x:c>
      <x:c r="D1203" s="2" t="str">
        <x:v>40만</x:v>
      </x:c>
      <x:c r="E1203" s="14" t="n">
        <x:f>SUM(F1203:M1203)</x:f>
        <x:v>102</x:v>
      </x:c>
      <x:c r="F1203" s="14" t="n">
        <x:v>2</x:v>
      </x:c>
      <x:c r="G1203" s="14" t="n">
        <x:v>17</x:v>
      </x:c>
      <x:c r="H1203" s="14" t="n">
        <x:v>6</x:v>
      </x:c>
      <x:c r="I1203" s="14" t="n">
        <x:v>8</x:v>
      </x:c>
      <x:c r="J1203" s="14" t="n">
        <x:v>6</x:v>
      </x:c>
      <x:c r="K1203" s="14" t="n">
        <x:v>8</x:v>
      </x:c>
      <x:c r="L1203" s="14" t="n">
        <x:v>35</x:v>
      </x:c>
      <x:c r="M1203" s="14" t="n">
        <x:v>20</x:v>
      </x:c>
      <x:c r="N1203" s="15" t="n">
        <x:f>IF(E1203=0,"해당 없음",F1203/E1203)</x:f>
        <x:v>0.0196078431372549</x:v>
      </x:c>
      <x:c r="O1203" s="15" t="n">
        <x:f>IF(E1203=0,"해당 없음",G1203/E1203)</x:f>
        <x:v>0.16666666666666666</x:v>
      </x:c>
      <x:c r="P1203" s="15" t="n">
        <x:f>IF(E1203=0,"해당 없음",H1203/E1203)</x:f>
        <x:v>0.058823529411764705</x:v>
      </x:c>
      <x:c r="Q1203" s="15" t="n">
        <x:f>IF(E1203=0,"해당 없음",I1203/E1203)</x:f>
        <x:v>0.0784313725490196</x:v>
      </x:c>
      <x:c r="R1203" s="15" t="n">
        <x:f>IF(E1203=0,"해당 없음",J1203/E1203)</x:f>
        <x:v>0.058823529411764705</x:v>
      </x:c>
      <x:c r="S1203" s="15" t="n">
        <x:f>IF(E1203=0,"해당 없음",K1203/E1203)</x:f>
        <x:v>0.0784313725490196</x:v>
      </x:c>
      <x:c r="T1203" s="15" t="n">
        <x:f>IF(E1203=0,"해당 없음",L1203/E1203)</x:f>
        <x:v>0.3431372549019608</x:v>
      </x:c>
      <x:c r="U1203" s="15" t="n">
        <x:f>IF(E1203=0,"해당 없음",M1203/E1203)</x:f>
        <x:v>0.19607843137254902</x:v>
      </x:c>
      <x:c r="V1203" s="16" t="n">
        <x:f>E1203/5</x:f>
        <x:v>20.4</x:v>
      </x:c>
    </x:row>
    <x:row r="1204" ht="22" customHeight="1">
      <x:c r="A1204" s="2" t="n">
        <x:v>600</x:v>
      </x:c>
      <x:c r="B1204" s="2" t="str">
        <x:v>RED</x:v>
      </x:c>
      <x:c r="C1204" s="2" t="str">
        <x:v>120만</x:v>
      </x:c>
      <x:c r="D1204" s="2" t="str">
        <x:v>40만</x:v>
      </x:c>
      <x:c r="E1204" s="14" t="n">
        <x:f>SUM(F1204:M1204)</x:f>
        <x:v>102</x:v>
      </x:c>
      <x:c r="F1204" s="14" t="n">
        <x:v>2</x:v>
      </x:c>
      <x:c r="G1204" s="14" t="n">
        <x:v>15</x:v>
      </x:c>
      <x:c r="H1204" s="14" t="n">
        <x:v>6</x:v>
      </x:c>
      <x:c r="I1204" s="14" t="n">
        <x:v>3</x:v>
      </x:c>
      <x:c r="J1204" s="14" t="n">
        <x:v>6</x:v>
      </x:c>
      <x:c r="K1204" s="14" t="n">
        <x:v>7</x:v>
      </x:c>
      <x:c r="L1204" s="14" t="n">
        <x:v>39</x:v>
      </x:c>
      <x:c r="M1204" s="14" t="n">
        <x:v>24</x:v>
      </x:c>
      <x:c r="N1204" s="15" t="n">
        <x:f>IF(E1204=0,"해당 없음",F1204/E1204)</x:f>
        <x:v>0.0196078431372549</x:v>
      </x:c>
      <x:c r="O1204" s="15" t="n">
        <x:f>IF(E1204=0,"해당 없음",G1204/E1204)</x:f>
        <x:v>0.14705882352941177</x:v>
      </x:c>
      <x:c r="P1204" s="15" t="n">
        <x:f>IF(E1204=0,"해당 없음",H1204/E1204)</x:f>
        <x:v>0.058823529411764705</x:v>
      </x:c>
      <x:c r="Q1204" s="15" t="n">
        <x:f>IF(E1204=0,"해당 없음",I1204/E1204)</x:f>
        <x:v>0.029411764705882353</x:v>
      </x:c>
      <x:c r="R1204" s="15" t="n">
        <x:f>IF(E1204=0,"해당 없음",J1204/E1204)</x:f>
        <x:v>0.058823529411764705</x:v>
      </x:c>
      <x:c r="S1204" s="15" t="n">
        <x:f>IF(E1204=0,"해당 없음",K1204/E1204)</x:f>
        <x:v>0.06862745098039216</x:v>
      </x:c>
      <x:c r="T1204" s="15" t="n">
        <x:f>IF(E1204=0,"해당 없음",L1204/E1204)</x:f>
        <x:v>0.38235294117647056</x:v>
      </x:c>
      <x:c r="U1204" s="15" t="n">
        <x:f>IF(E1204=0,"해당 없음",M1204/E1204)</x:f>
        <x:v>0.23529411764705882</x:v>
      </x:c>
      <x:c r="V1204" s="16" t="n">
        <x:f>E1204/5</x:f>
        <x:v>20.4</x:v>
      </x:c>
    </x:row>
    <x:row r="1205" ht="22" customHeight="1">
      <x:c r="A1205" s="2" t="n">
        <x:v>600</x:v>
      </x:c>
      <x:c r="B1205" s="2" t="str">
        <x:v>NAVY</x:v>
      </x:c>
      <x:c r="C1205" s="2" t="str">
        <x:v>40만</x:v>
      </x:c>
      <x:c r="D1205" s="2" t="str">
        <x:v>120만</x:v>
      </x:c>
      <x:c r="E1205" s="14" t="n">
        <x:f>SUM(F1205:M1205)</x:f>
        <x:v>103</x:v>
      </x:c>
      <x:c r="F1205" s="14" t="n">
        <x:v>4</x:v>
      </x:c>
      <x:c r="G1205" s="14" t="n">
        <x:v>31</x:v>
      </x:c>
      <x:c r="H1205" s="14" t="n">
        <x:v>3</x:v>
      </x:c>
      <x:c r="I1205" s="14" t="n">
        <x:v>9</x:v>
      </x:c>
      <x:c r="J1205" s="14" t="n">
        <x:v>5</x:v>
      </x:c>
      <x:c r="K1205" s="14" t="n">
        <x:v>12</x:v>
      </x:c>
      <x:c r="L1205" s="14" t="n">
        <x:v>37</x:v>
      </x:c>
      <x:c r="M1205" s="14" t="n">
        <x:v>2</x:v>
      </x:c>
      <x:c r="N1205" s="15" t="n">
        <x:f>IF(E1205=0,"해당 없음",F1205/E1205)</x:f>
        <x:v>0.038834951456310676</x:v>
      </x:c>
      <x:c r="O1205" s="15" t="n">
        <x:f>IF(E1205=0,"해당 없음",G1205/E1205)</x:f>
        <x:v>0.30097087378640774</x:v>
      </x:c>
      <x:c r="P1205" s="15" t="n">
        <x:f>IF(E1205=0,"해당 없음",H1205/E1205)</x:f>
        <x:v>0.02912621359223301</x:v>
      </x:c>
      <x:c r="Q1205" s="15" t="n">
        <x:f>IF(E1205=0,"해당 없음",I1205/E1205)</x:f>
        <x:v>0.08737864077669903</x:v>
      </x:c>
      <x:c r="R1205" s="15" t="n">
        <x:f>IF(E1205=0,"해당 없음",J1205/E1205)</x:f>
        <x:v>0.04854368932038835</x:v>
      </x:c>
      <x:c r="S1205" s="15" t="n">
        <x:f>IF(E1205=0,"해당 없음",K1205/E1205)</x:f>
        <x:v>0.11650485436893204</x:v>
      </x:c>
      <x:c r="T1205" s="15" t="n">
        <x:f>IF(E1205=0,"해당 없음",L1205/E1205)</x:f>
        <x:v>0.3592233009708738</x:v>
      </x:c>
      <x:c r="U1205" s="15" t="n">
        <x:f>IF(E1205=0,"해당 없음",M1205/E1205)</x:f>
        <x:v>0.019417475728155338</x:v>
      </x:c>
      <x:c r="V1205" s="16" t="n">
        <x:f>E1205/5</x:f>
        <x:v>20.6</x:v>
      </x:c>
    </x:row>
    <x:row r="1206" ht="22" customHeight="1">
      <x:c r="A1206" s="2" t="n">
        <x:v>601</x:v>
      </x:c>
      <x:c r="B1206" s="2" t="str">
        <x:v>RED</x:v>
      </x:c>
      <x:c r="C1206" s="2" t="str">
        <x:v>40만</x:v>
      </x:c>
      <x:c r="D1206" s="2" t="str">
        <x:v>160만</x:v>
      </x:c>
      <x:c r="E1206" s="14" t="n">
        <x:f>SUM(F1206:M1206)</x:f>
        <x:v>105</x:v>
      </x:c>
      <x:c r="F1206" s="14" t="n">
        <x:v>2</x:v>
      </x:c>
      <x:c r="G1206" s="14" t="n">
        <x:v>27</x:v>
      </x:c>
      <x:c r="H1206" s="14" t="n">
        <x:v>5</x:v>
      </x:c>
      <x:c r="I1206" s="14" t="n">
        <x:v>4</x:v>
      </x:c>
      <x:c r="J1206" s="14" t="n">
        <x:v>9</x:v>
      </x:c>
      <x:c r="K1206" s="14" t="n">
        <x:v>8</x:v>
      </x:c>
      <x:c r="L1206" s="14" t="n">
        <x:v>42</x:v>
      </x:c>
      <x:c r="M1206" s="14" t="n">
        <x:v>8</x:v>
      </x:c>
      <x:c r="N1206" s="15" t="n">
        <x:f>IF(E1206=0,"해당 없음",F1206/E1206)</x:f>
        <x:v>0.01904761904761905</x:v>
      </x:c>
      <x:c r="O1206" s="15" t="n">
        <x:f>IF(E1206=0,"해당 없음",G1206/E1206)</x:f>
        <x:v>0.2571428571428571</x:v>
      </x:c>
      <x:c r="P1206" s="15" t="n">
        <x:f>IF(E1206=0,"해당 없음",H1206/E1206)</x:f>
        <x:v>0.047619047619047616</x:v>
      </x:c>
      <x:c r="Q1206" s="15" t="n">
        <x:f>IF(E1206=0,"해당 없음",I1206/E1206)</x:f>
        <x:v>0.0380952380952381</x:v>
      </x:c>
      <x:c r="R1206" s="15" t="n">
        <x:f>IF(E1206=0,"해당 없음",J1206/E1206)</x:f>
        <x:v>0.08571428571428572</x:v>
      </x:c>
      <x:c r="S1206" s="15" t="n">
        <x:f>IF(E1206=0,"해당 없음",K1206/E1206)</x:f>
        <x:v>0.0761904761904762</x:v>
      </x:c>
      <x:c r="T1206" s="15" t="n">
        <x:f>IF(E1206=0,"해당 없음",L1206/E1206)</x:f>
        <x:v>0.4</x:v>
      </x:c>
      <x:c r="U1206" s="15" t="n">
        <x:f>IF(E1206=0,"해당 없음",M1206/E1206)</x:f>
        <x:v>0.0761904761904762</x:v>
      </x:c>
      <x:c r="V1206" s="16" t="n">
        <x:f>E1206/5</x:f>
        <x:v>21</x:v>
      </x:c>
    </x:row>
    <x:row r="1207" ht="22" customHeight="1">
      <x:c r="A1207" s="2" t="n">
        <x:v>601</x:v>
      </x:c>
      <x:c r="B1207" s="2" t="str">
        <x:v>NAVY</x:v>
      </x:c>
      <x:c r="C1207" s="2" t="str">
        <x:v>160만</x:v>
      </x:c>
      <x:c r="D1207" s="2" t="str">
        <x:v>40만</x:v>
      </x:c>
      <x:c r="E1207" s="14" t="n">
        <x:f>SUM(F1207:M1207)</x:f>
        <x:v>105</x:v>
      </x:c>
      <x:c r="F1207" s="14" t="n">
        <x:v>4</x:v>
      </x:c>
      <x:c r="G1207" s="14" t="n">
        <x:v>12</x:v>
      </x:c>
      <x:c r="H1207" s="14" t="n">
        <x:v>2</x:v>
      </x:c>
      <x:c r="I1207" s="14" t="n">
        <x:v>6</x:v>
      </x:c>
      <x:c r="J1207" s="14" t="n">
        <x:v>6</x:v>
      </x:c>
      <x:c r="K1207" s="14" t="n">
        <x:v>5</x:v>
      </x:c>
      <x:c r="L1207" s="14" t="n">
        <x:v>33</x:v>
      </x:c>
      <x:c r="M1207" s="14" t="n">
        <x:v>37</x:v>
      </x:c>
      <x:c r="N1207" s="15" t="n">
        <x:f>IF(E1207=0,"해당 없음",F1207/E1207)</x:f>
        <x:v>0.0380952380952381</x:v>
      </x:c>
      <x:c r="O1207" s="15" t="n">
        <x:f>IF(E1207=0,"해당 없음",G1207/E1207)</x:f>
        <x:v>0.11428571428571428</x:v>
      </x:c>
      <x:c r="P1207" s="15" t="n">
        <x:f>IF(E1207=0,"해당 없음",H1207/E1207)</x:f>
        <x:v>0.01904761904761905</x:v>
      </x:c>
      <x:c r="Q1207" s="15" t="n">
        <x:f>IF(E1207=0,"해당 없음",I1207/E1207)</x:f>
        <x:v>0.05714285714285714</x:v>
      </x:c>
      <x:c r="R1207" s="15" t="n">
        <x:f>IF(E1207=0,"해당 없음",J1207/E1207)</x:f>
        <x:v>0.05714285714285714</x:v>
      </x:c>
      <x:c r="S1207" s="15" t="n">
        <x:f>IF(E1207=0,"해당 없음",K1207/E1207)</x:f>
        <x:v>0.047619047619047616</x:v>
      </x:c>
      <x:c r="T1207" s="15" t="n">
        <x:f>IF(E1207=0,"해당 없음",L1207/E1207)</x:f>
        <x:v>0.3142857142857143</x:v>
      </x:c>
      <x:c r="U1207" s="15" t="n">
        <x:f>IF(E1207=0,"해당 없음",M1207/E1207)</x:f>
        <x:v>0.3523809523809524</x:v>
      </x:c>
      <x:c r="V1207" s="16" t="n">
        <x:f>E1207/5</x:f>
        <x:v>21</x:v>
      </x:c>
    </x:row>
    <x:row r="1208" ht="22" customHeight="1">
      <x:c r="A1208" s="2" t="n">
        <x:v>602</x:v>
      </x:c>
      <x:c r="B1208" s="2" t="str">
        <x:v>RED</x:v>
      </x:c>
      <x:c r="C1208" s="2" t="str">
        <x:v>160만</x:v>
      </x:c>
      <x:c r="D1208" s="2" t="str">
        <x:v>40만</x:v>
      </x:c>
      <x:c r="E1208" s="14" t="n">
        <x:f>SUM(F1208:M1208)</x:f>
        <x:v>104</x:v>
      </x:c>
      <x:c r="F1208" s="14" t="n">
        <x:v>2</x:v>
      </x:c>
      <x:c r="G1208" s="14" t="n">
        <x:v>11</x:v>
      </x:c>
      <x:c r="H1208" s="14" t="n">
        <x:v>4</x:v>
      </x:c>
      <x:c r="I1208" s="14" t="n">
        <x:v>6</x:v>
      </x:c>
      <x:c r="J1208" s="14" t="n">
        <x:v>5</x:v>
      </x:c>
      <x:c r="K1208" s="14" t="n">
        <x:v>4</x:v>
      </x:c>
      <x:c r="L1208" s="14" t="n">
        <x:v>38</x:v>
      </x:c>
      <x:c r="M1208" s="14" t="n">
        <x:v>34</x:v>
      </x:c>
      <x:c r="N1208" s="15" t="n">
        <x:f>IF(E1208=0,"해당 없음",F1208/E1208)</x:f>
        <x:v>0.019230769230769232</x:v>
      </x:c>
      <x:c r="O1208" s="15" t="n">
        <x:f>IF(E1208=0,"해당 없음",G1208/E1208)</x:f>
        <x:v>0.10576923076923077</x:v>
      </x:c>
      <x:c r="P1208" s="15" t="n">
        <x:f>IF(E1208=0,"해당 없음",H1208/E1208)</x:f>
        <x:v>0.038461538461538464</x:v>
      </x:c>
      <x:c r="Q1208" s="15" t="n">
        <x:f>IF(E1208=0,"해당 없음",I1208/E1208)</x:f>
        <x:v>0.057692307692307696</x:v>
      </x:c>
      <x:c r="R1208" s="15" t="n">
        <x:f>IF(E1208=0,"해당 없음",J1208/E1208)</x:f>
        <x:v>0.04807692307692308</x:v>
      </x:c>
      <x:c r="S1208" s="15" t="n">
        <x:f>IF(E1208=0,"해당 없음",K1208/E1208)</x:f>
        <x:v>0.038461538461538464</x:v>
      </x:c>
      <x:c r="T1208" s="15" t="n">
        <x:f>IF(E1208=0,"해당 없음",L1208/E1208)</x:f>
        <x:v>0.36538461538461536</x:v>
      </x:c>
      <x:c r="U1208" s="15" t="n">
        <x:f>IF(E1208=0,"해당 없음",M1208/E1208)</x:f>
        <x:v>0.3269230769230769</x:v>
      </x:c>
      <x:c r="V1208" s="16" t="n">
        <x:f>E1208/5</x:f>
        <x:v>20.8</x:v>
      </x:c>
    </x:row>
    <x:row r="1209" ht="22" customHeight="1">
      <x:c r="A1209" s="2" t="n">
        <x:v>602</x:v>
      </x:c>
      <x:c r="B1209" s="2" t="str">
        <x:v>NAVY</x:v>
      </x:c>
      <x:c r="C1209" s="2" t="str">
        <x:v>40만</x:v>
      </x:c>
      <x:c r="D1209" s="2" t="str">
        <x:v>160만</x:v>
      </x:c>
      <x:c r="E1209" s="14" t="n">
        <x:f>SUM(F1209:M1209)</x:f>
        <x:v>103</x:v>
      </x:c>
      <x:c r="F1209" s="14" t="n">
        <x:v>2</x:v>
      </x:c>
      <x:c r="G1209" s="14" t="n">
        <x:v>29</x:v>
      </x:c>
      <x:c r="H1209" s="14" t="n">
        <x:v>7</x:v>
      </x:c>
      <x:c r="I1209" s="14" t="n">
        <x:v>5</x:v>
      </x:c>
      <x:c r="J1209" s="14" t="n">
        <x:v>8</x:v>
      </x:c>
      <x:c r="K1209" s="14" t="n">
        <x:v>8</x:v>
      </x:c>
      <x:c r="L1209" s="14" t="n">
        <x:v>38</x:v>
      </x:c>
      <x:c r="M1209" s="14" t="n">
        <x:v>6</x:v>
      </x:c>
      <x:c r="N1209" s="15" t="n">
        <x:f>IF(E1209=0,"해당 없음",F1209/E1209)</x:f>
        <x:v>0.019417475728155338</x:v>
      </x:c>
      <x:c r="O1209" s="15" t="n">
        <x:f>IF(E1209=0,"해당 없음",G1209/E1209)</x:f>
        <x:v>0.2815533980582524</x:v>
      </x:c>
      <x:c r="P1209" s="15" t="n">
        <x:f>IF(E1209=0,"해당 없음",H1209/E1209)</x:f>
        <x:v>0.06796116504854369</x:v>
      </x:c>
      <x:c r="Q1209" s="15" t="n">
        <x:f>IF(E1209=0,"해당 없음",I1209/E1209)</x:f>
        <x:v>0.04854368932038835</x:v>
      </x:c>
      <x:c r="R1209" s="15" t="n">
        <x:f>IF(E1209=0,"해당 없음",J1209/E1209)</x:f>
        <x:v>0.07766990291262135</x:v>
      </x:c>
      <x:c r="S1209" s="15" t="n">
        <x:f>IF(E1209=0,"해당 없음",K1209/E1209)</x:f>
        <x:v>0.07766990291262135</x:v>
      </x:c>
      <x:c r="T1209" s="15" t="n">
        <x:f>IF(E1209=0,"해당 없음",L1209/E1209)</x:f>
        <x:v>0.36893203883495146</x:v>
      </x:c>
      <x:c r="U1209" s="15" t="n">
        <x:f>IF(E1209=0,"해당 없음",M1209/E1209)</x:f>
        <x:v>0.05825242718446602</x:v>
      </x:c>
      <x:c r="V1209" s="16" t="n">
        <x:f>E1209/5</x:f>
        <x:v>20.6</x:v>
      </x:c>
    </x:row>
    <x:row r="1210" ht="22" customHeight="1">
      <x:c r="A1210" s="2" t="n">
        <x:v>603</x:v>
      </x:c>
      <x:c r="B1210" s="2" t="str">
        <x:v>RED</x:v>
      </x:c>
      <x:c r="C1210" s="2" t="str">
        <x:v>40만</x:v>
      </x:c>
      <x:c r="D1210" s="2" t="str">
        <x:v>160만</x:v>
      </x:c>
      <x:c r="E1210" s="14" t="n">
        <x:f>SUM(F1210:M1210)</x:f>
        <x:v>101</x:v>
      </x:c>
      <x:c r="F1210" s="14" t="n">
        <x:v>7</x:v>
      </x:c>
      <x:c r="G1210" s="14" t="n">
        <x:v>28</x:v>
      </x:c>
      <x:c r="H1210" s="14" t="n">
        <x:v>3</x:v>
      </x:c>
      <x:c r="I1210" s="14" t="n">
        <x:v>10</x:v>
      </x:c>
      <x:c r="J1210" s="14" t="n">
        <x:v>3</x:v>
      </x:c>
      <x:c r="K1210" s="14" t="n">
        <x:v>9</x:v>
      </x:c>
      <x:c r="L1210" s="14" t="n">
        <x:v>36</x:v>
      </x:c>
      <x:c r="M1210" s="14" t="n">
        <x:v>5</x:v>
      </x:c>
      <x:c r="N1210" s="15" t="n">
        <x:f>IF(E1210=0,"해당 없음",F1210/E1210)</x:f>
        <x:v>0.06930693069306931</x:v>
      </x:c>
      <x:c r="O1210" s="15" t="n">
        <x:f>IF(E1210=0,"해당 없음",G1210/E1210)</x:f>
        <x:v>0.27722772277227725</x:v>
      </x:c>
      <x:c r="P1210" s="15" t="n">
        <x:f>IF(E1210=0,"해당 없음",H1210/E1210)</x:f>
        <x:v>0.0297029702970297</x:v>
      </x:c>
      <x:c r="Q1210" s="15" t="n">
        <x:f>IF(E1210=0,"해당 없음",I1210/E1210)</x:f>
        <x:v>0.09900990099009901</x:v>
      </x:c>
      <x:c r="R1210" s="15" t="n">
        <x:f>IF(E1210=0,"해당 없음",J1210/E1210)</x:f>
        <x:v>0.0297029702970297</x:v>
      </x:c>
      <x:c r="S1210" s="15" t="n">
        <x:f>IF(E1210=0,"해당 없음",K1210/E1210)</x:f>
        <x:v>0.0891089108910891</x:v>
      </x:c>
      <x:c r="T1210" s="15" t="n">
        <x:f>IF(E1210=0,"해당 없음",L1210/E1210)</x:f>
        <x:v>0.3564356435643564</x:v>
      </x:c>
      <x:c r="U1210" s="15" t="n">
        <x:f>IF(E1210=0,"해당 없음",M1210/E1210)</x:f>
        <x:v>0.04950495049504951</x:v>
      </x:c>
      <x:c r="V1210" s="16" t="n">
        <x:f>E1210/5</x:f>
        <x:v>20.2</x:v>
      </x:c>
    </x:row>
    <x:row r="1211" ht="22" customHeight="1">
      <x:c r="A1211" s="2" t="n">
        <x:v>603</x:v>
      </x:c>
      <x:c r="B1211" s="2" t="str">
        <x:v>NAVY</x:v>
      </x:c>
      <x:c r="C1211" s="2" t="str">
        <x:v>160만</x:v>
      </x:c>
      <x:c r="D1211" s="2" t="str">
        <x:v>40만</x:v>
      </x:c>
      <x:c r="E1211" s="14" t="n">
        <x:f>SUM(F1211:M1211)</x:f>
        <x:v>102</x:v>
      </x:c>
      <x:c r="F1211" s="14" t="n">
        <x:v>1</x:v>
      </x:c>
      <x:c r="G1211" s="14" t="n">
        <x:v>28</x:v>
      </x:c>
      <x:c r="H1211" s="14" t="n">
        <x:v>2</x:v>
      </x:c>
      <x:c r="I1211" s="14" t="n">
        <x:v>1</x:v>
      </x:c>
      <x:c r="J1211" s="14" t="n">
        <x:v>4</x:v>
      </x:c>
      <x:c r="K1211" s="14" t="n">
        <x:v>3</x:v>
      </x:c>
      <x:c r="L1211" s="14" t="n">
        <x:v>30</x:v>
      </x:c>
      <x:c r="M1211" s="14" t="n">
        <x:v>33</x:v>
      </x:c>
      <x:c r="N1211" s="15" t="n">
        <x:f>IF(E1211=0,"해당 없음",F1211/E1211)</x:f>
        <x:v>0.00980392156862745</x:v>
      </x:c>
      <x:c r="O1211" s="15" t="n">
        <x:f>IF(E1211=0,"해당 없음",G1211/E1211)</x:f>
        <x:v>0.27450980392156865</x:v>
      </x:c>
      <x:c r="P1211" s="15" t="n">
        <x:f>IF(E1211=0,"해당 없음",H1211/E1211)</x:f>
        <x:v>0.0196078431372549</x:v>
      </x:c>
      <x:c r="Q1211" s="15" t="n">
        <x:f>IF(E1211=0,"해당 없음",I1211/E1211)</x:f>
        <x:v>0.00980392156862745</x:v>
      </x:c>
      <x:c r="R1211" s="15" t="n">
        <x:f>IF(E1211=0,"해당 없음",J1211/E1211)</x:f>
        <x:v>0.0392156862745098</x:v>
      </x:c>
      <x:c r="S1211" s="15" t="n">
        <x:f>IF(E1211=0,"해당 없음",K1211/E1211)</x:f>
        <x:v>0.029411764705882353</x:v>
      </x:c>
      <x:c r="T1211" s="15" t="n">
        <x:f>IF(E1211=0,"해당 없음",L1211/E1211)</x:f>
        <x:v>0.29411764705882354</x:v>
      </x:c>
      <x:c r="U1211" s="15" t="n">
        <x:f>IF(E1211=0,"해당 없음",M1211/E1211)</x:f>
        <x:v>0.3235294117647059</x:v>
      </x:c>
      <x:c r="V1211" s="16" t="n">
        <x:f>E1211/5</x:f>
        <x:v>20.4</x:v>
      </x:c>
    </x:row>
    <x:row r="1212" ht="22" customHeight="1">
      <x:c r="A1212" s="2" t="n">
        <x:v>604</x:v>
      </x:c>
      <x:c r="B1212" s="2" t="str">
        <x:v>RED</x:v>
      </x:c>
      <x:c r="C1212" s="2" t="str">
        <x:v>160만</x:v>
      </x:c>
      <x:c r="D1212" s="2" t="str">
        <x:v>40만</x:v>
      </x:c>
      <x:c r="E1212" s="14" t="n">
        <x:f>SUM(F1212:M1212)</x:f>
        <x:v>103</x:v>
      </x:c>
      <x:c r="F1212" s="14" t="n">
        <x:v>4</x:v>
      </x:c>
      <x:c r="G1212" s="14" t="n">
        <x:v>14</x:v>
      </x:c>
      <x:c r="H1212" s="14" t="n">
        <x:v>7</x:v>
      </x:c>
      <x:c r="I1212" s="14" t="n">
        <x:v>8</x:v>
      </x:c>
      <x:c r="J1212" s="14" t="n">
        <x:v>3</x:v>
      </x:c>
      <x:c r="K1212" s="14" t="n">
        <x:v>3</x:v>
      </x:c>
      <x:c r="L1212" s="14" t="n">
        <x:v>34</x:v>
      </x:c>
      <x:c r="M1212" s="14" t="n">
        <x:v>30</x:v>
      </x:c>
      <x:c r="N1212" s="15" t="n">
        <x:f>IF(E1212=0,"해당 없음",F1212/E1212)</x:f>
        <x:v>0.038834951456310676</x:v>
      </x:c>
      <x:c r="O1212" s="15" t="n">
        <x:f>IF(E1212=0,"해당 없음",G1212/E1212)</x:f>
        <x:v>0.13592233009708737</x:v>
      </x:c>
      <x:c r="P1212" s="15" t="n">
        <x:f>IF(E1212=0,"해당 없음",H1212/E1212)</x:f>
        <x:v>0.06796116504854369</x:v>
      </x:c>
      <x:c r="Q1212" s="15" t="n">
        <x:f>IF(E1212=0,"해당 없음",I1212/E1212)</x:f>
        <x:v>0.07766990291262135</x:v>
      </x:c>
      <x:c r="R1212" s="15" t="n">
        <x:f>IF(E1212=0,"해당 없음",J1212/E1212)</x:f>
        <x:v>0.02912621359223301</x:v>
      </x:c>
      <x:c r="S1212" s="15" t="n">
        <x:f>IF(E1212=0,"해당 없음",K1212/E1212)</x:f>
        <x:v>0.02912621359223301</x:v>
      </x:c>
      <x:c r="T1212" s="15" t="n">
        <x:f>IF(E1212=0,"해당 없음",L1212/E1212)</x:f>
        <x:v>0.3300970873786408</x:v>
      </x:c>
      <x:c r="U1212" s="15" t="n">
        <x:f>IF(E1212=0,"해당 없음",M1212/E1212)</x:f>
        <x:v>0.2912621359223301</x:v>
      </x:c>
      <x:c r="V1212" s="16" t="n">
        <x:f>E1212/5</x:f>
        <x:v>20.6</x:v>
      </x:c>
    </x:row>
    <x:row r="1213" ht="22" customHeight="1">
      <x:c r="A1213" s="2" t="n">
        <x:v>604</x:v>
      </x:c>
      <x:c r="B1213" s="2" t="str">
        <x:v>NAVY</x:v>
      </x:c>
      <x:c r="C1213" s="2" t="str">
        <x:v>40만</x:v>
      </x:c>
      <x:c r="D1213" s="2" t="str">
        <x:v>160만</x:v>
      </x:c>
      <x:c r="E1213" s="14" t="n">
        <x:f>SUM(F1213:M1213)</x:f>
        <x:v>104</x:v>
      </x:c>
      <x:c r="F1213" s="14" t="n">
        <x:v>6</x:v>
      </x:c>
      <x:c r="G1213" s="14" t="n">
        <x:v>29</x:v>
      </x:c>
      <x:c r="H1213" s="14" t="n">
        <x:v>6</x:v>
      </x:c>
      <x:c r="I1213" s="14" t="n">
        <x:v>6</x:v>
      </x:c>
      <x:c r="J1213" s="14" t="n">
        <x:v>3</x:v>
      </x:c>
      <x:c r="K1213" s="14" t="n">
        <x:v>11</x:v>
      </x:c>
      <x:c r="L1213" s="14" t="n">
        <x:v>40</x:v>
      </x:c>
      <x:c r="M1213" s="14" t="n">
        <x:v>3</x:v>
      </x:c>
      <x:c r="N1213" s="15" t="n">
        <x:f>IF(E1213=0,"해당 없음",F1213/E1213)</x:f>
        <x:v>0.057692307692307696</x:v>
      </x:c>
      <x:c r="O1213" s="15" t="n">
        <x:f>IF(E1213=0,"해당 없음",G1213/E1213)</x:f>
        <x:v>0.27884615384615385</x:v>
      </x:c>
      <x:c r="P1213" s="15" t="n">
        <x:f>IF(E1213=0,"해당 없음",H1213/E1213)</x:f>
        <x:v>0.057692307692307696</x:v>
      </x:c>
      <x:c r="Q1213" s="15" t="n">
        <x:f>IF(E1213=0,"해당 없음",I1213/E1213)</x:f>
        <x:v>0.057692307692307696</x:v>
      </x:c>
      <x:c r="R1213" s="15" t="n">
        <x:f>IF(E1213=0,"해당 없음",J1213/E1213)</x:f>
        <x:v>0.028846153846153848</x:v>
      </x:c>
      <x:c r="S1213" s="15" t="n">
        <x:f>IF(E1213=0,"해당 없음",K1213/E1213)</x:f>
        <x:v>0.10576923076923077</x:v>
      </x:c>
      <x:c r="T1213" s="15" t="n">
        <x:f>IF(E1213=0,"해당 없음",L1213/E1213)</x:f>
        <x:v>0.38461538461538464</x:v>
      </x:c>
      <x:c r="U1213" s="15" t="n">
        <x:f>IF(E1213=0,"해당 없음",M1213/E1213)</x:f>
        <x:v>0.028846153846153848</x:v>
      </x:c>
      <x:c r="V1213" s="16" t="n">
        <x:f>E1213/5</x:f>
        <x:v>20.8</x:v>
      </x:c>
    </x:row>
    <x:row r="1214" ht="22" customHeight="1">
      <x:c r="A1214" s="2" t="n">
        <x:v>605</x:v>
      </x:c>
      <x:c r="B1214" s="2" t="str">
        <x:v>RED</x:v>
      </x:c>
      <x:c r="C1214" s="2" t="str">
        <x:v>40만</x:v>
      </x:c>
      <x:c r="D1214" s="2" t="str">
        <x:v>160만</x:v>
      </x:c>
      <x:c r="E1214" s="14" t="n">
        <x:f>SUM(F1214:M1214)</x:f>
        <x:v>103</x:v>
      </x:c>
      <x:c r="F1214" s="14" t="n">
        <x:v>5</x:v>
      </x:c>
      <x:c r="G1214" s="14" t="n">
        <x:v>28</x:v>
      </x:c>
      <x:c r="H1214" s="14" t="n">
        <x:v>8</x:v>
      </x:c>
      <x:c r="I1214" s="14" t="n">
        <x:v>6</x:v>
      </x:c>
      <x:c r="J1214" s="14" t="n">
        <x:v>8</x:v>
      </x:c>
      <x:c r="K1214" s="14" t="n">
        <x:v>3</x:v>
      </x:c>
      <x:c r="L1214" s="14" t="n">
        <x:v>40</x:v>
      </x:c>
      <x:c r="M1214" s="14" t="n">
        <x:v>5</x:v>
      </x:c>
      <x:c r="N1214" s="15" t="n">
        <x:f>IF(E1214=0,"해당 없음",F1214/E1214)</x:f>
        <x:v>0.04854368932038835</x:v>
      </x:c>
      <x:c r="O1214" s="15" t="n">
        <x:f>IF(E1214=0,"해당 없음",G1214/E1214)</x:f>
        <x:v>0.27184466019417475</x:v>
      </x:c>
      <x:c r="P1214" s="15" t="n">
        <x:f>IF(E1214=0,"해당 없음",H1214/E1214)</x:f>
        <x:v>0.07766990291262135</x:v>
      </x:c>
      <x:c r="Q1214" s="15" t="n">
        <x:f>IF(E1214=0,"해당 없음",I1214/E1214)</x:f>
        <x:v>0.05825242718446602</x:v>
      </x:c>
      <x:c r="R1214" s="15" t="n">
        <x:f>IF(E1214=0,"해당 없음",J1214/E1214)</x:f>
        <x:v>0.07766990291262135</x:v>
      </x:c>
      <x:c r="S1214" s="15" t="n">
        <x:f>IF(E1214=0,"해당 없음",K1214/E1214)</x:f>
        <x:v>0.02912621359223301</x:v>
      </x:c>
      <x:c r="T1214" s="15" t="n">
        <x:f>IF(E1214=0,"해당 없음",L1214/E1214)</x:f>
        <x:v>0.3883495145631068</x:v>
      </x:c>
      <x:c r="U1214" s="15" t="n">
        <x:f>IF(E1214=0,"해당 없음",M1214/E1214)</x:f>
        <x:v>0.04854368932038835</x:v>
      </x:c>
      <x:c r="V1214" s="16" t="n">
        <x:f>E1214/5</x:f>
        <x:v>20.6</x:v>
      </x:c>
    </x:row>
    <x:row r="1215" ht="22" customHeight="1">
      <x:c r="A1215" s="2" t="n">
        <x:v>605</x:v>
      </x:c>
      <x:c r="B1215" s="2" t="str">
        <x:v>NAVY</x:v>
      </x:c>
      <x:c r="C1215" s="2" t="str">
        <x:v>160만</x:v>
      </x:c>
      <x:c r="D1215" s="2" t="str">
        <x:v>40만</x:v>
      </x:c>
      <x:c r="E1215" s="14" t="n">
        <x:f>SUM(F1215:M1215)</x:f>
        <x:v>102</x:v>
      </x:c>
      <x:c r="F1215" s="14" t="n">
        <x:v>3</x:v>
      </x:c>
      <x:c r="G1215" s="14" t="n">
        <x:v>19</x:v>
      </x:c>
      <x:c r="H1215" s="14" t="n">
        <x:v>4</x:v>
      </x:c>
      <x:c r="I1215" s="14" t="n">
        <x:v>2</x:v>
      </x:c>
      <x:c r="J1215" s="14" t="n">
        <x:v>5</x:v>
      </x:c>
      <x:c r="K1215" s="14" t="n">
        <x:v>5</x:v>
      </x:c>
      <x:c r="L1215" s="14" t="n">
        <x:v>36</x:v>
      </x:c>
      <x:c r="M1215" s="14" t="n">
        <x:v>28</x:v>
      </x:c>
      <x:c r="N1215" s="15" t="n">
        <x:f>IF(E1215=0,"해당 없음",F1215/E1215)</x:f>
        <x:v>0.029411764705882353</x:v>
      </x:c>
      <x:c r="O1215" s="15" t="n">
        <x:f>IF(E1215=0,"해당 없음",G1215/E1215)</x:f>
        <x:v>0.18627450980392157</x:v>
      </x:c>
      <x:c r="P1215" s="15" t="n">
        <x:f>IF(E1215=0,"해당 없음",H1215/E1215)</x:f>
        <x:v>0.0392156862745098</x:v>
      </x:c>
      <x:c r="Q1215" s="15" t="n">
        <x:f>IF(E1215=0,"해당 없음",I1215/E1215)</x:f>
        <x:v>0.0196078431372549</x:v>
      </x:c>
      <x:c r="R1215" s="15" t="n">
        <x:f>IF(E1215=0,"해당 없음",J1215/E1215)</x:f>
        <x:v>0.049019607843137254</x:v>
      </x:c>
      <x:c r="S1215" s="15" t="n">
        <x:f>IF(E1215=0,"해당 없음",K1215/E1215)</x:f>
        <x:v>0.049019607843137254</x:v>
      </x:c>
      <x:c r="T1215" s="15" t="n">
        <x:f>IF(E1215=0,"해당 없음",L1215/E1215)</x:f>
        <x:v>0.35294117647058826</x:v>
      </x:c>
      <x:c r="U1215" s="15" t="n">
        <x:f>IF(E1215=0,"해당 없음",M1215/E1215)</x:f>
        <x:v>0.27450980392156865</x:v>
      </x:c>
      <x:c r="V1215" s="16" t="n">
        <x:f>E1215/5</x:f>
        <x:v>20.4</x:v>
      </x:c>
    </x:row>
    <x:row r="1216" ht="22" customHeight="1">
      <x:c r="A1216" s="2" t="n">
        <x:v>606</x:v>
      </x:c>
      <x:c r="B1216" s="2" t="str">
        <x:v>RED</x:v>
      </x:c>
      <x:c r="C1216" s="2" t="str">
        <x:v>160만</x:v>
      </x:c>
      <x:c r="D1216" s="2" t="str">
        <x:v>40만</x:v>
      </x:c>
      <x:c r="E1216" s="14" t="n">
        <x:f>SUM(F1216:M1216)</x:f>
        <x:v>102</x:v>
      </x:c>
      <x:c r="F1216" s="14" t="n">
        <x:v>5</x:v>
      </x:c>
      <x:c r="G1216" s="14" t="n">
        <x:v>21</x:v>
      </x:c>
      <x:c r="H1216" s="14" t="n">
        <x:v>6</x:v>
      </x:c>
      <x:c r="I1216" s="14" t="n">
        <x:v>1</x:v>
      </x:c>
      <x:c r="J1216" s="14" t="n">
        <x:v>7</x:v>
      </x:c>
      <x:c r="K1216" s="14" t="n">
        <x:v>8</x:v>
      </x:c>
      <x:c r="L1216" s="14" t="n">
        <x:v>31</x:v>
      </x:c>
      <x:c r="M1216" s="14" t="n">
        <x:v>23</x:v>
      </x:c>
      <x:c r="N1216" s="15" t="n">
        <x:f>IF(E1216=0,"해당 없음",F1216/E1216)</x:f>
        <x:v>0.049019607843137254</x:v>
      </x:c>
      <x:c r="O1216" s="15" t="n">
        <x:f>IF(E1216=0,"해당 없음",G1216/E1216)</x:f>
        <x:v>0.20588235294117646</x:v>
      </x:c>
      <x:c r="P1216" s="15" t="n">
        <x:f>IF(E1216=0,"해당 없음",H1216/E1216)</x:f>
        <x:v>0.058823529411764705</x:v>
      </x:c>
      <x:c r="Q1216" s="15" t="n">
        <x:f>IF(E1216=0,"해당 없음",I1216/E1216)</x:f>
        <x:v>0.00980392156862745</x:v>
      </x:c>
      <x:c r="R1216" s="15" t="n">
        <x:f>IF(E1216=0,"해당 없음",J1216/E1216)</x:f>
        <x:v>0.06862745098039216</x:v>
      </x:c>
      <x:c r="S1216" s="15" t="n">
        <x:f>IF(E1216=0,"해당 없음",K1216/E1216)</x:f>
        <x:v>0.0784313725490196</x:v>
      </x:c>
      <x:c r="T1216" s="15" t="n">
        <x:f>IF(E1216=0,"해당 없음",L1216/E1216)</x:f>
        <x:v>0.30392156862745096</x:v>
      </x:c>
      <x:c r="U1216" s="15" t="n">
        <x:f>IF(E1216=0,"해당 없음",M1216/E1216)</x:f>
        <x:v>0.22549019607843138</x:v>
      </x:c>
      <x:c r="V1216" s="16" t="n">
        <x:f>E1216/5</x:f>
        <x:v>20.4</x:v>
      </x:c>
    </x:row>
    <x:row r="1217" ht="22" customHeight="1">
      <x:c r="A1217" s="2" t="n">
        <x:v>606</x:v>
      </x:c>
      <x:c r="B1217" s="2" t="str">
        <x:v>NAVY</x:v>
      </x:c>
      <x:c r="C1217" s="2" t="str">
        <x:v>40만</x:v>
      </x:c>
      <x:c r="D1217" s="2" t="str">
        <x:v>160만</x:v>
      </x:c>
      <x:c r="E1217" s="14" t="n">
        <x:f>SUM(F1217:M1217)</x:f>
        <x:v>102</x:v>
      </x:c>
      <x:c r="F1217" s="14" t="n">
        <x:v>3</x:v>
      </x:c>
      <x:c r="G1217" s="14" t="n">
        <x:v>32</x:v>
      </x:c>
      <x:c r="H1217" s="14" t="n">
        <x:v>7</x:v>
      </x:c>
      <x:c r="I1217" s="14" t="n">
        <x:v>10</x:v>
      </x:c>
      <x:c r="J1217" s="14" t="n">
        <x:v>3</x:v>
      </x:c>
      <x:c r="K1217" s="14" t="n">
        <x:v>5</x:v>
      </x:c>
      <x:c r="L1217" s="14" t="n">
        <x:v>40</x:v>
      </x:c>
      <x:c r="M1217" s="14" t="n">
        <x:v>2</x:v>
      </x:c>
      <x:c r="N1217" s="15" t="n">
        <x:f>IF(E1217=0,"해당 없음",F1217/E1217)</x:f>
        <x:v>0.029411764705882353</x:v>
      </x:c>
      <x:c r="O1217" s="15" t="n">
        <x:f>IF(E1217=0,"해당 없음",G1217/E1217)</x:f>
        <x:v>0.3137254901960784</x:v>
      </x:c>
      <x:c r="P1217" s="15" t="n">
        <x:f>IF(E1217=0,"해당 없음",H1217/E1217)</x:f>
        <x:v>0.06862745098039216</x:v>
      </x:c>
      <x:c r="Q1217" s="15" t="n">
        <x:f>IF(E1217=0,"해당 없음",I1217/E1217)</x:f>
        <x:v>0.09803921568627451</x:v>
      </x:c>
      <x:c r="R1217" s="15" t="n">
        <x:f>IF(E1217=0,"해당 없음",J1217/E1217)</x:f>
        <x:v>0.029411764705882353</x:v>
      </x:c>
      <x:c r="S1217" s="15" t="n">
        <x:f>IF(E1217=0,"해당 없음",K1217/E1217)</x:f>
        <x:v>0.049019607843137254</x:v>
      </x:c>
      <x:c r="T1217" s="15" t="n">
        <x:f>IF(E1217=0,"해당 없음",L1217/E1217)</x:f>
        <x:v>0.39215686274509803</x:v>
      </x:c>
      <x:c r="U1217" s="15" t="n">
        <x:f>IF(E1217=0,"해당 없음",M1217/E1217)</x:f>
        <x:v>0.0196078431372549</x:v>
      </x:c>
      <x:c r="V1217" s="16" t="n">
        <x:f>E1217/5</x:f>
        <x:v>20.4</x:v>
      </x:c>
    </x:row>
    <x:row r="1218" ht="22" customHeight="1">
      <x:c r="A1218" s="2" t="n">
        <x:v>607</x:v>
      </x:c>
      <x:c r="B1218" s="2" t="str">
        <x:v>RED</x:v>
      </x:c>
      <x:c r="C1218" s="2" t="str">
        <x:v>40만</x:v>
      </x:c>
      <x:c r="D1218" s="2" t="str">
        <x:v>160만</x:v>
      </x:c>
      <x:c r="E1218" s="14" t="n">
        <x:f>SUM(F1218:M1218)</x:f>
        <x:v>102</x:v>
      </x:c>
      <x:c r="F1218" s="14" t="n">
        <x:v>2</x:v>
      </x:c>
      <x:c r="G1218" s="14" t="n">
        <x:v>31</x:v>
      </x:c>
      <x:c r="H1218" s="14" t="n">
        <x:v>9</x:v>
      </x:c>
      <x:c r="I1218" s="14" t="n">
        <x:v>8</x:v>
      </x:c>
      <x:c r="J1218" s="14" t="n">
        <x:v>4</x:v>
      </x:c>
      <x:c r="K1218" s="14" t="n">
        <x:v>5</x:v>
      </x:c>
      <x:c r="L1218" s="14" t="n">
        <x:v>38</x:v>
      </x:c>
      <x:c r="M1218" s="14" t="n">
        <x:v>5</x:v>
      </x:c>
      <x:c r="N1218" s="15" t="n">
        <x:f>IF(E1218=0,"해당 없음",F1218/E1218)</x:f>
        <x:v>0.0196078431372549</x:v>
      </x:c>
      <x:c r="O1218" s="15" t="n">
        <x:f>IF(E1218=0,"해당 없음",G1218/E1218)</x:f>
        <x:v>0.30392156862745096</x:v>
      </x:c>
      <x:c r="P1218" s="15" t="n">
        <x:f>IF(E1218=0,"해당 없음",H1218/E1218)</x:f>
        <x:v>0.08823529411764706</x:v>
      </x:c>
      <x:c r="Q1218" s="15" t="n">
        <x:f>IF(E1218=0,"해당 없음",I1218/E1218)</x:f>
        <x:v>0.0784313725490196</x:v>
      </x:c>
      <x:c r="R1218" s="15" t="n">
        <x:f>IF(E1218=0,"해당 없음",J1218/E1218)</x:f>
        <x:v>0.0392156862745098</x:v>
      </x:c>
      <x:c r="S1218" s="15" t="n">
        <x:f>IF(E1218=0,"해당 없음",K1218/E1218)</x:f>
        <x:v>0.049019607843137254</x:v>
      </x:c>
      <x:c r="T1218" s="15" t="n">
        <x:f>IF(E1218=0,"해당 없음",L1218/E1218)</x:f>
        <x:v>0.37254901960784315</x:v>
      </x:c>
      <x:c r="U1218" s="15" t="n">
        <x:f>IF(E1218=0,"해당 없음",M1218/E1218)</x:f>
        <x:v>0.049019607843137254</x:v>
      </x:c>
      <x:c r="V1218" s="16" t="n">
        <x:f>E1218/5</x:f>
        <x:v>20.4</x:v>
      </x:c>
    </x:row>
    <x:row r="1219" ht="22" customHeight="1">
      <x:c r="A1219" s="2" t="n">
        <x:v>607</x:v>
      </x:c>
      <x:c r="B1219" s="2" t="str">
        <x:v>NAVY</x:v>
      </x:c>
      <x:c r="C1219" s="2" t="str">
        <x:v>160만</x:v>
      </x:c>
      <x:c r="D1219" s="2" t="str">
        <x:v>40만</x:v>
      </x:c>
      <x:c r="E1219" s="14" t="n">
        <x:f>SUM(F1219:M1219)</x:f>
        <x:v>103</x:v>
      </x:c>
      <x:c r="F1219" s="14" t="n">
        <x:v>4</x:v>
      </x:c>
      <x:c r="G1219" s="14" t="n">
        <x:v>21</x:v>
      </x:c>
      <x:c r="H1219" s="14" t="n">
        <x:v>10</x:v>
      </x:c>
      <x:c r="I1219" s="14" t="n">
        <x:v>1</x:v>
      </x:c>
      <x:c r="J1219" s="14" t="n">
        <x:v>4</x:v>
      </x:c>
      <x:c r="K1219" s="14" t="n">
        <x:v>7</x:v>
      </x:c>
      <x:c r="L1219" s="14" t="n">
        <x:v>29</x:v>
      </x:c>
      <x:c r="M1219" s="14" t="n">
        <x:v>27</x:v>
      </x:c>
      <x:c r="N1219" s="15" t="n">
        <x:f>IF(E1219=0,"해당 없음",F1219/E1219)</x:f>
        <x:v>0.038834951456310676</x:v>
      </x:c>
      <x:c r="O1219" s="15" t="n">
        <x:f>IF(E1219=0,"해당 없음",G1219/E1219)</x:f>
        <x:v>0.20388349514563106</x:v>
      </x:c>
      <x:c r="P1219" s="15" t="n">
        <x:f>IF(E1219=0,"해당 없음",H1219/E1219)</x:f>
        <x:v>0.0970873786407767</x:v>
      </x:c>
      <x:c r="Q1219" s="15" t="n">
        <x:f>IF(E1219=0,"해당 없음",I1219/E1219)</x:f>
        <x:v>0.009708737864077669</x:v>
      </x:c>
      <x:c r="R1219" s="15" t="n">
        <x:f>IF(E1219=0,"해당 없음",J1219/E1219)</x:f>
        <x:v>0.038834951456310676</x:v>
      </x:c>
      <x:c r="S1219" s="15" t="n">
        <x:f>IF(E1219=0,"해당 없음",K1219/E1219)</x:f>
        <x:v>0.06796116504854369</x:v>
      </x:c>
      <x:c r="T1219" s="15" t="n">
        <x:f>IF(E1219=0,"해당 없음",L1219/E1219)</x:f>
        <x:v>0.2815533980582524</x:v>
      </x:c>
      <x:c r="U1219" s="15" t="n">
        <x:f>IF(E1219=0,"해당 없음",M1219/E1219)</x:f>
        <x:v>0.2621359223300971</x:v>
      </x:c>
      <x:c r="V1219" s="16" t="n">
        <x:f>E1219/5</x:f>
        <x:v>20.6</x:v>
      </x:c>
    </x:row>
    <x:row r="1220" ht="22" customHeight="1">
      <x:c r="A1220" s="2" t="n">
        <x:v>608</x:v>
      </x:c>
      <x:c r="B1220" s="2" t="str">
        <x:v>RED</x:v>
      </x:c>
      <x:c r="C1220" s="2" t="str">
        <x:v>160만</x:v>
      </x:c>
      <x:c r="D1220" s="2" t="str">
        <x:v>40만</x:v>
      </x:c>
      <x:c r="E1220" s="14" t="n">
        <x:f>SUM(F1220:M1220)</x:f>
        <x:v>104</x:v>
      </x:c>
      <x:c r="F1220" s="14" t="n">
        <x:v>3</x:v>
      </x:c>
      <x:c r="G1220" s="14" t="n">
        <x:v>10</x:v>
      </x:c>
      <x:c r="H1220" s="14" t="n">
        <x:v>8</x:v>
      </x:c>
      <x:c r="I1220" s="14" t="n">
        <x:v>9</x:v>
      </x:c>
      <x:c r="J1220" s="14" t="n">
        <x:v>4</x:v>
      </x:c>
      <x:c r="K1220" s="14" t="n">
        <x:v>4</x:v>
      </x:c>
      <x:c r="L1220" s="14" t="n">
        <x:v>38</x:v>
      </x:c>
      <x:c r="M1220" s="14" t="n">
        <x:v>28</x:v>
      </x:c>
      <x:c r="N1220" s="15" t="n">
        <x:f>IF(E1220=0,"해당 없음",F1220/E1220)</x:f>
        <x:v>0.028846153846153848</x:v>
      </x:c>
      <x:c r="O1220" s="15" t="n">
        <x:f>IF(E1220=0,"해당 없음",G1220/E1220)</x:f>
        <x:v>0.09615384615384616</x:v>
      </x:c>
      <x:c r="P1220" s="15" t="n">
        <x:f>IF(E1220=0,"해당 없음",H1220/E1220)</x:f>
        <x:v>0.07692307692307693</x:v>
      </x:c>
      <x:c r="Q1220" s="15" t="n">
        <x:f>IF(E1220=0,"해당 없음",I1220/E1220)</x:f>
        <x:v>0.08653846153846154</x:v>
      </x:c>
      <x:c r="R1220" s="15" t="n">
        <x:f>IF(E1220=0,"해당 없음",J1220/E1220)</x:f>
        <x:v>0.038461538461538464</x:v>
      </x:c>
      <x:c r="S1220" s="15" t="n">
        <x:f>IF(E1220=0,"해당 없음",K1220/E1220)</x:f>
        <x:v>0.038461538461538464</x:v>
      </x:c>
      <x:c r="T1220" s="15" t="n">
        <x:f>IF(E1220=0,"해당 없음",L1220/E1220)</x:f>
        <x:v>0.36538461538461536</x:v>
      </x:c>
      <x:c r="U1220" s="15" t="n">
        <x:f>IF(E1220=0,"해당 없음",M1220/E1220)</x:f>
        <x:v>0.2692307692307692</x:v>
      </x:c>
      <x:c r="V1220" s="16" t="n">
        <x:f>E1220/5</x:f>
        <x:v>20.8</x:v>
      </x:c>
    </x:row>
    <x:row r="1221" ht="22" customHeight="1">
      <x:c r="A1221" s="2" t="n">
        <x:v>608</x:v>
      </x:c>
      <x:c r="B1221" s="2" t="str">
        <x:v>NAVY</x:v>
      </x:c>
      <x:c r="C1221" s="2" t="str">
        <x:v>40만</x:v>
      </x:c>
      <x:c r="D1221" s="2" t="str">
        <x:v>160만</x:v>
      </x:c>
      <x:c r="E1221" s="14" t="n">
        <x:f>SUM(F1221:M1221)</x:f>
        <x:v>106</x:v>
      </x:c>
      <x:c r="F1221" s="14" t="n">
        <x:v>5</x:v>
      </x:c>
      <x:c r="G1221" s="14" t="n">
        <x:v>30</x:v>
      </x:c>
      <x:c r="H1221" s="14" t="n">
        <x:v>8</x:v>
      </x:c>
      <x:c r="I1221" s="14" t="n">
        <x:v>6</x:v>
      </x:c>
      <x:c r="J1221" s="14" t="n">
        <x:v>6</x:v>
      </x:c>
      <x:c r="K1221" s="14" t="n">
        <x:v>6</x:v>
      </x:c>
      <x:c r="L1221" s="14" t="n">
        <x:v>42</x:v>
      </x:c>
      <x:c r="M1221" s="14" t="n">
        <x:v>3</x:v>
      </x:c>
      <x:c r="N1221" s="15" t="n">
        <x:f>IF(E1221=0,"해당 없음",F1221/E1221)</x:f>
        <x:v>0.04716981132075472</x:v>
      </x:c>
      <x:c r="O1221" s="15" t="n">
        <x:f>IF(E1221=0,"해당 없음",G1221/E1221)</x:f>
        <x:v>0.2830188679245283</x:v>
      </x:c>
      <x:c r="P1221" s="15" t="n">
        <x:f>IF(E1221=0,"해당 없음",H1221/E1221)</x:f>
        <x:v>0.07547169811320754</x:v>
      </x:c>
      <x:c r="Q1221" s="15" t="n">
        <x:f>IF(E1221=0,"해당 없음",I1221/E1221)</x:f>
        <x:v>0.05660377358490566</x:v>
      </x:c>
      <x:c r="R1221" s="15" t="n">
        <x:f>IF(E1221=0,"해당 없음",J1221/E1221)</x:f>
        <x:v>0.05660377358490566</x:v>
      </x:c>
      <x:c r="S1221" s="15" t="n">
        <x:f>IF(E1221=0,"해당 없음",K1221/E1221)</x:f>
        <x:v>0.05660377358490566</x:v>
      </x:c>
      <x:c r="T1221" s="15" t="n">
        <x:f>IF(E1221=0,"해당 없음",L1221/E1221)</x:f>
        <x:v>0.39622641509433965</x:v>
      </x:c>
      <x:c r="U1221" s="15" t="n">
        <x:f>IF(E1221=0,"해당 없음",M1221/E1221)</x:f>
        <x:v>0.02830188679245283</x:v>
      </x:c>
      <x:c r="V1221" s="16" t="n">
        <x:f>E1221/5</x:f>
        <x:v>21.2</x:v>
      </x:c>
    </x:row>
    <x:row r="1222" ht="22" customHeight="1">
      <x:c r="A1222" s="2" t="n">
        <x:v>609</x:v>
      </x:c>
      <x:c r="B1222" s="2" t="str">
        <x:v>RED</x:v>
      </x:c>
      <x:c r="C1222" s="2" t="str">
        <x:v>40만</x:v>
      </x:c>
      <x:c r="D1222" s="2" t="str">
        <x:v>160만</x:v>
      </x:c>
      <x:c r="E1222" s="14" t="n">
        <x:f>SUM(F1222:M1222)</x:f>
        <x:v>106</x:v>
      </x:c>
      <x:c r="F1222" s="14" t="n">
        <x:v>4</x:v>
      </x:c>
      <x:c r="G1222" s="14" t="n">
        <x:v>25</x:v>
      </x:c>
      <x:c r="H1222" s="14" t="n">
        <x:v>9</x:v>
      </x:c>
      <x:c r="I1222" s="14" t="n">
        <x:v>4</x:v>
      </x:c>
      <x:c r="J1222" s="14" t="n">
        <x:v>3</x:v>
      </x:c>
      <x:c r="K1222" s="14" t="n">
        <x:v>11</x:v>
      </x:c>
      <x:c r="L1222" s="14" t="n">
        <x:v>43</x:v>
      </x:c>
      <x:c r="M1222" s="14" t="n">
        <x:v>7</x:v>
      </x:c>
      <x:c r="N1222" s="15" t="n">
        <x:f>IF(E1222=0,"해당 없음",F1222/E1222)</x:f>
        <x:v>0.03773584905660377</x:v>
      </x:c>
      <x:c r="O1222" s="15" t="n">
        <x:f>IF(E1222=0,"해당 없음",G1222/E1222)</x:f>
        <x:v>0.2358490566037736</x:v>
      </x:c>
      <x:c r="P1222" s="15" t="n">
        <x:f>IF(E1222=0,"해당 없음",H1222/E1222)</x:f>
        <x:v>0.08490566037735849</x:v>
      </x:c>
      <x:c r="Q1222" s="15" t="n">
        <x:f>IF(E1222=0,"해당 없음",I1222/E1222)</x:f>
        <x:v>0.03773584905660377</x:v>
      </x:c>
      <x:c r="R1222" s="15" t="n">
        <x:f>IF(E1222=0,"해당 없음",J1222/E1222)</x:f>
        <x:v>0.02830188679245283</x:v>
      </x:c>
      <x:c r="S1222" s="15" t="n">
        <x:f>IF(E1222=0,"해당 없음",K1222/E1222)</x:f>
        <x:v>0.10377358490566038</x:v>
      </x:c>
      <x:c r="T1222" s="15" t="n">
        <x:f>IF(E1222=0,"해당 없음",L1222/E1222)</x:f>
        <x:v>0.4056603773584906</x:v>
      </x:c>
      <x:c r="U1222" s="15" t="n">
        <x:f>IF(E1222=0,"해당 없음",M1222/E1222)</x:f>
        <x:v>0.0660377358490566</x:v>
      </x:c>
      <x:c r="V1222" s="16" t="n">
        <x:f>E1222/5</x:f>
        <x:v>21.2</x:v>
      </x:c>
    </x:row>
    <x:row r="1223" ht="22" customHeight="1">
      <x:c r="A1223" s="2" t="n">
        <x:v>609</x:v>
      </x:c>
      <x:c r="B1223" s="2" t="str">
        <x:v>NAVY</x:v>
      </x:c>
      <x:c r="C1223" s="2" t="str">
        <x:v>160만</x:v>
      </x:c>
      <x:c r="D1223" s="2" t="str">
        <x:v>40만</x:v>
      </x:c>
      <x:c r="E1223" s="14" t="n">
        <x:f>SUM(F1223:M1223)</x:f>
        <x:v>104</x:v>
      </x:c>
      <x:c r="F1223" s="14" t="n">
        <x:v>6</x:v>
      </x:c>
      <x:c r="G1223" s="14" t="n">
        <x:v>12</x:v>
      </x:c>
      <x:c r="H1223" s="14" t="n">
        <x:v>8</x:v>
      </x:c>
      <x:c r="I1223" s="14" t="n">
        <x:v>4</x:v>
      </x:c>
      <x:c r="J1223" s="14" t="n">
        <x:v>7</x:v>
      </x:c>
      <x:c r="K1223" s="14" t="n">
        <x:v>3</x:v>
      </x:c>
      <x:c r="L1223" s="14" t="n">
        <x:v>31</x:v>
      </x:c>
      <x:c r="M1223" s="14" t="n">
        <x:v>33</x:v>
      </x:c>
      <x:c r="N1223" s="15" t="n">
        <x:f>IF(E1223=0,"해당 없음",F1223/E1223)</x:f>
        <x:v>0.057692307692307696</x:v>
      </x:c>
      <x:c r="O1223" s="15" t="n">
        <x:f>IF(E1223=0,"해당 없음",G1223/E1223)</x:f>
        <x:v>0.11538461538461539</x:v>
      </x:c>
      <x:c r="P1223" s="15" t="n">
        <x:f>IF(E1223=0,"해당 없음",H1223/E1223)</x:f>
        <x:v>0.07692307692307693</x:v>
      </x:c>
      <x:c r="Q1223" s="15" t="n">
        <x:f>IF(E1223=0,"해당 없음",I1223/E1223)</x:f>
        <x:v>0.038461538461538464</x:v>
      </x:c>
      <x:c r="R1223" s="15" t="n">
        <x:f>IF(E1223=0,"해당 없음",J1223/E1223)</x:f>
        <x:v>0.0673076923076923</x:v>
      </x:c>
      <x:c r="S1223" s="15" t="n">
        <x:f>IF(E1223=0,"해당 없음",K1223/E1223)</x:f>
        <x:v>0.028846153846153848</x:v>
      </x:c>
      <x:c r="T1223" s="15" t="n">
        <x:f>IF(E1223=0,"해당 없음",L1223/E1223)</x:f>
        <x:v>0.2980769230769231</x:v>
      </x:c>
      <x:c r="U1223" s="15" t="n">
        <x:f>IF(E1223=0,"해당 없음",M1223/E1223)</x:f>
        <x:v>0.3173076923076923</x:v>
      </x:c>
      <x:c r="V1223" s="16" t="n">
        <x:f>E1223/5</x:f>
        <x:v>20.8</x:v>
      </x:c>
    </x:row>
    <x:row r="1224" ht="22" customHeight="1">
      <x:c r="A1224" s="2" t="n">
        <x:v>610</x:v>
      </x:c>
      <x:c r="B1224" s="2" t="str">
        <x:v>RED</x:v>
      </x:c>
      <x:c r="C1224" s="2" t="str">
        <x:v>160만</x:v>
      </x:c>
      <x:c r="D1224" s="2" t="str">
        <x:v>40만</x:v>
      </x:c>
      <x:c r="E1224" s="14" t="n">
        <x:f>SUM(F1224:M1224)</x:f>
        <x:v>103</x:v>
      </x:c>
      <x:c r="F1224" s="14" t="n">
        <x:v>2</x:v>
      </x:c>
      <x:c r="G1224" s="14" t="n">
        <x:v>21</x:v>
      </x:c>
      <x:c r="H1224" s="14" t="n">
        <x:v>8</x:v>
      </x:c>
      <x:c r="I1224" s="14" t="n">
        <x:v>2</x:v>
      </x:c>
      <x:c r="J1224" s="14" t="n">
        <x:v>5</x:v>
      </x:c>
      <x:c r="K1224" s="14" t="n">
        <x:v>10</x:v>
      </x:c>
      <x:c r="L1224" s="14" t="n">
        <x:v>27</x:v>
      </x:c>
      <x:c r="M1224" s="14" t="n">
        <x:v>28</x:v>
      </x:c>
      <x:c r="N1224" s="15" t="n">
        <x:f>IF(E1224=0,"해당 없음",F1224/E1224)</x:f>
        <x:v>0.019417475728155338</x:v>
      </x:c>
      <x:c r="O1224" s="15" t="n">
        <x:f>IF(E1224=0,"해당 없음",G1224/E1224)</x:f>
        <x:v>0.20388349514563106</x:v>
      </x:c>
      <x:c r="P1224" s="15" t="n">
        <x:f>IF(E1224=0,"해당 없음",H1224/E1224)</x:f>
        <x:v>0.07766990291262135</x:v>
      </x:c>
      <x:c r="Q1224" s="15" t="n">
        <x:f>IF(E1224=0,"해당 없음",I1224/E1224)</x:f>
        <x:v>0.019417475728155338</x:v>
      </x:c>
      <x:c r="R1224" s="15" t="n">
        <x:f>IF(E1224=0,"해당 없음",J1224/E1224)</x:f>
        <x:v>0.04854368932038835</x:v>
      </x:c>
      <x:c r="S1224" s="15" t="n">
        <x:f>IF(E1224=0,"해당 없음",K1224/E1224)</x:f>
        <x:v>0.0970873786407767</x:v>
      </x:c>
      <x:c r="T1224" s="15" t="n">
        <x:f>IF(E1224=0,"해당 없음",L1224/E1224)</x:f>
        <x:v>0.2621359223300971</x:v>
      </x:c>
      <x:c r="U1224" s="15" t="n">
        <x:f>IF(E1224=0,"해당 없음",M1224/E1224)</x:f>
        <x:v>0.27184466019417475</x:v>
      </x:c>
      <x:c r="V1224" s="16" t="n">
        <x:f>E1224/5</x:f>
        <x:v>20.6</x:v>
      </x:c>
    </x:row>
    <x:row r="1225" ht="22" customHeight="1">
      <x:c r="A1225" s="2" t="n">
        <x:v>610</x:v>
      </x:c>
      <x:c r="B1225" s="2" t="str">
        <x:v>NAVY</x:v>
      </x:c>
      <x:c r="C1225" s="2" t="str">
        <x:v>40만</x:v>
      </x:c>
      <x:c r="D1225" s="2" t="str">
        <x:v>160만</x:v>
      </x:c>
      <x:c r="E1225" s="14" t="n">
        <x:f>SUM(F1225:M1225)</x:f>
        <x:v>103</x:v>
      </x:c>
      <x:c r="F1225" s="14" t="n">
        <x:v>3</x:v>
      </x:c>
      <x:c r="G1225" s="14" t="n">
        <x:v>29</x:v>
      </x:c>
      <x:c r="H1225" s="14" t="n">
        <x:v>2</x:v>
      </x:c>
      <x:c r="I1225" s="14" t="n">
        <x:v>7</x:v>
      </x:c>
      <x:c r="J1225" s="14" t="n">
        <x:v>4</x:v>
      </x:c>
      <x:c r="K1225" s="14" t="n">
        <x:v>11</x:v>
      </x:c>
      <x:c r="L1225" s="14" t="n">
        <x:v>40</x:v>
      </x:c>
      <x:c r="M1225" s="14" t="n">
        <x:v>7</x:v>
      </x:c>
      <x:c r="N1225" s="15" t="n">
        <x:f>IF(E1225=0,"해당 없음",F1225/E1225)</x:f>
        <x:v>0.02912621359223301</x:v>
      </x:c>
      <x:c r="O1225" s="15" t="n">
        <x:f>IF(E1225=0,"해당 없음",G1225/E1225)</x:f>
        <x:v>0.2815533980582524</x:v>
      </x:c>
      <x:c r="P1225" s="15" t="n">
        <x:f>IF(E1225=0,"해당 없음",H1225/E1225)</x:f>
        <x:v>0.019417475728155338</x:v>
      </x:c>
      <x:c r="Q1225" s="15" t="n">
        <x:f>IF(E1225=0,"해당 없음",I1225/E1225)</x:f>
        <x:v>0.06796116504854369</x:v>
      </x:c>
      <x:c r="R1225" s="15" t="n">
        <x:f>IF(E1225=0,"해당 없음",J1225/E1225)</x:f>
        <x:v>0.038834951456310676</x:v>
      </x:c>
      <x:c r="S1225" s="15" t="n">
        <x:f>IF(E1225=0,"해당 없음",K1225/E1225)</x:f>
        <x:v>0.10679611650485436</x:v>
      </x:c>
      <x:c r="T1225" s="15" t="n">
        <x:f>IF(E1225=0,"해당 없음",L1225/E1225)</x:f>
        <x:v>0.3883495145631068</x:v>
      </x:c>
      <x:c r="U1225" s="15" t="n">
        <x:f>IF(E1225=0,"해당 없음",M1225/E1225)</x:f>
        <x:v>0.06796116504854369</x:v>
      </x:c>
      <x:c r="V1225" s="16" t="n">
        <x:f>E1225/5</x:f>
        <x:v>20.6</x:v>
      </x:c>
    </x:row>
    <x:row r="1226" ht="22" customHeight="1">
      <x:c r="A1226" s="2" t="n">
        <x:v>611</x:v>
      </x:c>
      <x:c r="B1226" s="2" t="str">
        <x:v>RED</x:v>
      </x:c>
      <x:c r="C1226" s="2" t="str">
        <x:v>40만</x:v>
      </x:c>
      <x:c r="D1226" s="2" t="str">
        <x:v>160만</x:v>
      </x:c>
      <x:c r="E1226" s="14" t="n">
        <x:f>SUM(F1226:M1226)</x:f>
        <x:v>101</x:v>
      </x:c>
      <x:c r="F1226" s="14" t="n">
        <x:v>3</x:v>
      </x:c>
      <x:c r="G1226" s="14" t="n">
        <x:v>28</x:v>
      </x:c>
      <x:c r="H1226" s="14" t="n">
        <x:v>6</x:v>
      </x:c>
      <x:c r="I1226" s="14" t="n">
        <x:v>5</x:v>
      </x:c>
      <x:c r="J1226" s="14" t="n">
        <x:v>4</x:v>
      </x:c>
      <x:c r="K1226" s="14" t="n">
        <x:v>7</x:v>
      </x:c>
      <x:c r="L1226" s="14" t="n">
        <x:v>42</x:v>
      </x:c>
      <x:c r="M1226" s="14" t="n">
        <x:v>6</x:v>
      </x:c>
      <x:c r="N1226" s="15" t="n">
        <x:f>IF(E1226=0,"해당 없음",F1226/E1226)</x:f>
        <x:v>0.0297029702970297</x:v>
      </x:c>
      <x:c r="O1226" s="15" t="n">
        <x:f>IF(E1226=0,"해당 없음",G1226/E1226)</x:f>
        <x:v>0.27722772277227725</x:v>
      </x:c>
      <x:c r="P1226" s="15" t="n">
        <x:f>IF(E1226=0,"해당 없음",H1226/E1226)</x:f>
        <x:v>0.0594059405940594</x:v>
      </x:c>
      <x:c r="Q1226" s="15" t="n">
        <x:f>IF(E1226=0,"해당 없음",I1226/E1226)</x:f>
        <x:v>0.04950495049504951</x:v>
      </x:c>
      <x:c r="R1226" s="15" t="n">
        <x:f>IF(E1226=0,"해당 없음",J1226/E1226)</x:f>
        <x:v>0.039603960396039604</x:v>
      </x:c>
      <x:c r="S1226" s="15" t="n">
        <x:f>IF(E1226=0,"해당 없음",K1226/E1226)</x:f>
        <x:v>0.06930693069306931</x:v>
      </x:c>
      <x:c r="T1226" s="15" t="n">
        <x:f>IF(E1226=0,"해당 없음",L1226/E1226)</x:f>
        <x:v>0.4158415841584158</x:v>
      </x:c>
      <x:c r="U1226" s="15" t="n">
        <x:f>IF(E1226=0,"해당 없음",M1226/E1226)</x:f>
        <x:v>0.0594059405940594</x:v>
      </x:c>
      <x:c r="V1226" s="16" t="n">
        <x:f>E1226/5</x:f>
        <x:v>20.2</x:v>
      </x:c>
    </x:row>
    <x:row r="1227" ht="22" customHeight="1">
      <x:c r="A1227" s="2" t="n">
        <x:v>611</x:v>
      </x:c>
      <x:c r="B1227" s="2" t="str">
        <x:v>NAVY</x:v>
      </x:c>
      <x:c r="C1227" s="2" t="str">
        <x:v>160만</x:v>
      </x:c>
      <x:c r="D1227" s="2" t="str">
        <x:v>40만</x:v>
      </x:c>
      <x:c r="E1227" s="14" t="n">
        <x:f>SUM(F1227:M1227)</x:f>
        <x:v>102</x:v>
      </x:c>
      <x:c r="F1227" s="14" t="n">
        <x:v>2</x:v>
      </x:c>
      <x:c r="G1227" s="14" t="n">
        <x:v>23</x:v>
      </x:c>
      <x:c r="H1227" s="14" t="n">
        <x:v>9</x:v>
      </x:c>
      <x:c r="I1227" s="14" t="n">
        <x:v>2</x:v>
      </x:c>
      <x:c r="J1227" s="14" t="n">
        <x:v>4</x:v>
      </x:c>
      <x:c r="K1227" s="14" t="n">
        <x:v>14</x:v>
      </x:c>
      <x:c r="L1227" s="14" t="n">
        <x:v>23</x:v>
      </x:c>
      <x:c r="M1227" s="14" t="n">
        <x:v>25</x:v>
      </x:c>
      <x:c r="N1227" s="15" t="n">
        <x:f>IF(E1227=0,"해당 없음",F1227/E1227)</x:f>
        <x:v>0.0196078431372549</x:v>
      </x:c>
      <x:c r="O1227" s="15" t="n">
        <x:f>IF(E1227=0,"해당 없음",G1227/E1227)</x:f>
        <x:v>0.22549019607843138</x:v>
      </x:c>
      <x:c r="P1227" s="15" t="n">
        <x:f>IF(E1227=0,"해당 없음",H1227/E1227)</x:f>
        <x:v>0.08823529411764706</x:v>
      </x:c>
      <x:c r="Q1227" s="15" t="n">
        <x:f>IF(E1227=0,"해당 없음",I1227/E1227)</x:f>
        <x:v>0.0196078431372549</x:v>
      </x:c>
      <x:c r="R1227" s="15" t="n">
        <x:f>IF(E1227=0,"해당 없음",J1227/E1227)</x:f>
        <x:v>0.0392156862745098</x:v>
      </x:c>
      <x:c r="S1227" s="15" t="n">
        <x:f>IF(E1227=0,"해당 없음",K1227/E1227)</x:f>
        <x:v>0.13725490196078433</x:v>
      </x:c>
      <x:c r="T1227" s="15" t="n">
        <x:f>IF(E1227=0,"해당 없음",L1227/E1227)</x:f>
        <x:v>0.22549019607843138</x:v>
      </x:c>
      <x:c r="U1227" s="15" t="n">
        <x:f>IF(E1227=0,"해당 없음",M1227/E1227)</x:f>
        <x:v>0.24509803921568626</x:v>
      </x:c>
      <x:c r="V1227" s="16" t="n">
        <x:f>E1227/5</x:f>
        <x:v>20.4</x:v>
      </x:c>
    </x:row>
    <x:row r="1228" ht="22" customHeight="1">
      <x:c r="A1228" s="2" t="n">
        <x:v>612</x:v>
      </x:c>
      <x:c r="B1228" s="2" t="str">
        <x:v>RED</x:v>
      </x:c>
      <x:c r="C1228" s="2" t="str">
        <x:v>160만</x:v>
      </x:c>
      <x:c r="D1228" s="2" t="str">
        <x:v>40만</x:v>
      </x:c>
      <x:c r="E1228" s="14" t="n">
        <x:f>SUM(F1228:M1228)</x:f>
        <x:v>102</x:v>
      </x:c>
      <x:c r="F1228" s="14" t="n">
        <x:v>2</x:v>
      </x:c>
      <x:c r="G1228" s="14" t="n">
        <x:v>11</x:v>
      </x:c>
      <x:c r="H1228" s="14" t="n">
        <x:v>8</x:v>
      </x:c>
      <x:c r="I1228" s="14" t="n">
        <x:v>8</x:v>
      </x:c>
      <x:c r="J1228" s="14" t="n">
        <x:v>4</x:v>
      </x:c>
      <x:c r="K1228" s="14" t="n">
        <x:v>5</x:v>
      </x:c>
      <x:c r="L1228" s="14" t="n">
        <x:v>35</x:v>
      </x:c>
      <x:c r="M1228" s="14" t="n">
        <x:v>29</x:v>
      </x:c>
      <x:c r="N1228" s="15" t="n">
        <x:f>IF(E1228=0,"해당 없음",F1228/E1228)</x:f>
        <x:v>0.0196078431372549</x:v>
      </x:c>
      <x:c r="O1228" s="15" t="n">
        <x:f>IF(E1228=0,"해당 없음",G1228/E1228)</x:f>
        <x:v>0.10784313725490197</x:v>
      </x:c>
      <x:c r="P1228" s="15" t="n">
        <x:f>IF(E1228=0,"해당 없음",H1228/E1228)</x:f>
        <x:v>0.0784313725490196</x:v>
      </x:c>
      <x:c r="Q1228" s="15" t="n">
        <x:f>IF(E1228=0,"해당 없음",I1228/E1228)</x:f>
        <x:v>0.0784313725490196</x:v>
      </x:c>
      <x:c r="R1228" s="15" t="n">
        <x:f>IF(E1228=0,"해당 없음",J1228/E1228)</x:f>
        <x:v>0.0392156862745098</x:v>
      </x:c>
      <x:c r="S1228" s="15" t="n">
        <x:f>IF(E1228=0,"해당 없음",K1228/E1228)</x:f>
        <x:v>0.049019607843137254</x:v>
      </x:c>
      <x:c r="T1228" s="15" t="n">
        <x:f>IF(E1228=0,"해당 없음",L1228/E1228)</x:f>
        <x:v>0.3431372549019608</x:v>
      </x:c>
      <x:c r="U1228" s="15" t="n">
        <x:f>IF(E1228=0,"해당 없음",M1228/E1228)</x:f>
        <x:v>0.28431372549019607</x:v>
      </x:c>
      <x:c r="V1228" s="16" t="n">
        <x:f>E1228/5</x:f>
        <x:v>20.4</x:v>
      </x:c>
    </x:row>
    <x:row r="1229" ht="22" customHeight="1">
      <x:c r="A1229" s="2" t="n">
        <x:v>612</x:v>
      </x:c>
      <x:c r="B1229" s="2" t="str">
        <x:v>NAVY</x:v>
      </x:c>
      <x:c r="C1229" s="2" t="str">
        <x:v>40만</x:v>
      </x:c>
      <x:c r="D1229" s="2" t="str">
        <x:v>160만</x:v>
      </x:c>
      <x:c r="E1229" s="14" t="n">
        <x:f>SUM(F1229:M1229)</x:f>
        <x:v>103</x:v>
      </x:c>
      <x:c r="F1229" s="14" t="n">
        <x:v>2</x:v>
      </x:c>
      <x:c r="G1229" s="14" t="n">
        <x:v>26</x:v>
      </x:c>
      <x:c r="H1229" s="14" t="n">
        <x:v>5</x:v>
      </x:c>
      <x:c r="I1229" s="14" t="n">
        <x:v>4</x:v>
      </x:c>
      <x:c r="J1229" s="14" t="n">
        <x:v>6</x:v>
      </x:c>
      <x:c r="K1229" s="14" t="n">
        <x:v>11</x:v>
      </x:c>
      <x:c r="L1229" s="14" t="n">
        <x:v>39</x:v>
      </x:c>
      <x:c r="M1229" s="14" t="n">
        <x:v>10</x:v>
      </x:c>
      <x:c r="N1229" s="15" t="n">
        <x:f>IF(E1229=0,"해당 없음",F1229/E1229)</x:f>
        <x:v>0.019417475728155338</x:v>
      </x:c>
      <x:c r="O1229" s="15" t="n">
        <x:f>IF(E1229=0,"해당 없음",G1229/E1229)</x:f>
        <x:v>0.2524271844660194</x:v>
      </x:c>
      <x:c r="P1229" s="15" t="n">
        <x:f>IF(E1229=0,"해당 없음",H1229/E1229)</x:f>
        <x:v>0.04854368932038835</x:v>
      </x:c>
      <x:c r="Q1229" s="15" t="n">
        <x:f>IF(E1229=0,"해당 없음",I1229/E1229)</x:f>
        <x:v>0.038834951456310676</x:v>
      </x:c>
      <x:c r="R1229" s="15" t="n">
        <x:f>IF(E1229=0,"해당 없음",J1229/E1229)</x:f>
        <x:v>0.05825242718446602</x:v>
      </x:c>
      <x:c r="S1229" s="15" t="n">
        <x:f>IF(E1229=0,"해당 없음",K1229/E1229)</x:f>
        <x:v>0.10679611650485436</x:v>
      </x:c>
      <x:c r="T1229" s="15" t="n">
        <x:f>IF(E1229=0,"해당 없음",L1229/E1229)</x:f>
        <x:v>0.3786407766990291</x:v>
      </x:c>
      <x:c r="U1229" s="15" t="n">
        <x:f>IF(E1229=0,"해당 없음",M1229/E1229)</x:f>
        <x:v>0.0970873786407767</x:v>
      </x:c>
      <x:c r="V1229" s="16" t="n">
        <x:f>E1229/5</x:f>
        <x:v>20.6</x:v>
      </x:c>
    </x:row>
    <x:row r="1230" ht="22" customHeight="1">
      <x:c r="A1230" s="2" t="n">
        <x:v>613</x:v>
      </x:c>
      <x:c r="B1230" s="2" t="str">
        <x:v>RED</x:v>
      </x:c>
      <x:c r="C1230" s="2" t="str">
        <x:v>40만</x:v>
      </x:c>
      <x:c r="D1230" s="2" t="str">
        <x:v>160만</x:v>
      </x:c>
      <x:c r="E1230" s="14" t="n">
        <x:f>SUM(F1230:M1230)</x:f>
        <x:v>103</x:v>
      </x:c>
      <x:c r="F1230" s="14" t="n">
        <x:v>7</x:v>
      </x:c>
      <x:c r="G1230" s="14" t="n">
        <x:v>30</x:v>
      </x:c>
      <x:c r="H1230" s="14" t="n">
        <x:v>4</x:v>
      </x:c>
      <x:c r="I1230" s="14" t="n">
        <x:v>6</x:v>
      </x:c>
      <x:c r="J1230" s="14" t="n">
        <x:v>6</x:v>
      </x:c>
      <x:c r="K1230" s="14" t="n">
        <x:v>5</x:v>
      </x:c>
      <x:c r="L1230" s="14" t="n">
        <x:v>40</x:v>
      </x:c>
      <x:c r="M1230" s="14" t="n">
        <x:v>5</x:v>
      </x:c>
      <x:c r="N1230" s="15" t="n">
        <x:f>IF(E1230=0,"해당 없음",F1230/E1230)</x:f>
        <x:v>0.06796116504854369</x:v>
      </x:c>
      <x:c r="O1230" s="15" t="n">
        <x:f>IF(E1230=0,"해당 없음",G1230/E1230)</x:f>
        <x:v>0.2912621359223301</x:v>
      </x:c>
      <x:c r="P1230" s="15" t="n">
        <x:f>IF(E1230=0,"해당 없음",H1230/E1230)</x:f>
        <x:v>0.038834951456310676</x:v>
      </x:c>
      <x:c r="Q1230" s="15" t="n">
        <x:f>IF(E1230=0,"해당 없음",I1230/E1230)</x:f>
        <x:v>0.05825242718446602</x:v>
      </x:c>
      <x:c r="R1230" s="15" t="n">
        <x:f>IF(E1230=0,"해당 없음",J1230/E1230)</x:f>
        <x:v>0.05825242718446602</x:v>
      </x:c>
      <x:c r="S1230" s="15" t="n">
        <x:f>IF(E1230=0,"해당 없음",K1230/E1230)</x:f>
        <x:v>0.04854368932038835</x:v>
      </x:c>
      <x:c r="T1230" s="15" t="n">
        <x:f>IF(E1230=0,"해당 없음",L1230/E1230)</x:f>
        <x:v>0.3883495145631068</x:v>
      </x:c>
      <x:c r="U1230" s="15" t="n">
        <x:f>IF(E1230=0,"해당 없음",M1230/E1230)</x:f>
        <x:v>0.04854368932038835</x:v>
      </x:c>
      <x:c r="V1230" s="16" t="n">
        <x:f>E1230/5</x:f>
        <x:v>20.6</x:v>
      </x:c>
    </x:row>
    <x:row r="1231" ht="22" customHeight="1">
      <x:c r="A1231" s="2" t="n">
        <x:v>613</x:v>
      </x:c>
      <x:c r="B1231" s="2" t="str">
        <x:v>NAVY</x:v>
      </x:c>
      <x:c r="C1231" s="2" t="str">
        <x:v>160만</x:v>
      </x:c>
      <x:c r="D1231" s="2" t="str">
        <x:v>40만</x:v>
      </x:c>
      <x:c r="E1231" s="14" t="n">
        <x:f>SUM(F1231:M1231)</x:f>
        <x:v>105</x:v>
      </x:c>
      <x:c r="F1231" s="14" t="n">
        <x:v>7</x:v>
      </x:c>
      <x:c r="G1231" s="14" t="n">
        <x:v>21</x:v>
      </x:c>
      <x:c r="H1231" s="14" t="n">
        <x:v>7</x:v>
      </x:c>
      <x:c r="I1231" s="14" t="n">
        <x:v>5</x:v>
      </x:c>
      <x:c r="J1231" s="14" t="n">
        <x:v>4</x:v>
      </x:c>
      <x:c r="K1231" s="14" t="n">
        <x:v>9</x:v>
      </x:c>
      <x:c r="L1231" s="14" t="n">
        <x:v>31</x:v>
      </x:c>
      <x:c r="M1231" s="14" t="n">
        <x:v>21</x:v>
      </x:c>
      <x:c r="N1231" s="15" t="n">
        <x:f>IF(E1231=0,"해당 없음",F1231/E1231)</x:f>
        <x:v>0.06666666666666667</x:v>
      </x:c>
      <x:c r="O1231" s="15" t="n">
        <x:f>IF(E1231=0,"해당 없음",G1231/E1231)</x:f>
        <x:v>0.2</x:v>
      </x:c>
      <x:c r="P1231" s="15" t="n">
        <x:f>IF(E1231=0,"해당 없음",H1231/E1231)</x:f>
        <x:v>0.06666666666666667</x:v>
      </x:c>
      <x:c r="Q1231" s="15" t="n">
        <x:f>IF(E1231=0,"해당 없음",I1231/E1231)</x:f>
        <x:v>0.047619047619047616</x:v>
      </x:c>
      <x:c r="R1231" s="15" t="n">
        <x:f>IF(E1231=0,"해당 없음",J1231/E1231)</x:f>
        <x:v>0.0380952380952381</x:v>
      </x:c>
      <x:c r="S1231" s="15" t="n">
        <x:f>IF(E1231=0,"해당 없음",K1231/E1231)</x:f>
        <x:v>0.08571428571428572</x:v>
      </x:c>
      <x:c r="T1231" s="15" t="n">
        <x:f>IF(E1231=0,"해당 없음",L1231/E1231)</x:f>
        <x:v>0.29523809523809524</x:v>
      </x:c>
      <x:c r="U1231" s="15" t="n">
        <x:f>IF(E1231=0,"해당 없음",M1231/E1231)</x:f>
        <x:v>0.2</x:v>
      </x:c>
      <x:c r="V1231" s="16" t="n">
        <x:f>E1231/5</x:f>
        <x:v>21</x:v>
      </x:c>
    </x:row>
    <x:row r="1232" ht="22" customHeight="1">
      <x:c r="A1232" s="2" t="n">
        <x:v>614</x:v>
      </x:c>
      <x:c r="B1232" s="2" t="str">
        <x:v>RED</x:v>
      </x:c>
      <x:c r="C1232" s="2" t="str">
        <x:v>160만</x:v>
      </x:c>
      <x:c r="D1232" s="2" t="str">
        <x:v>40만</x:v>
      </x:c>
      <x:c r="E1232" s="14" t="n">
        <x:f>SUM(F1232:M1232)</x:f>
        <x:v>104</x:v>
      </x:c>
      <x:c r="F1232" s="14" t="n">
        <x:v>3</x:v>
      </x:c>
      <x:c r="G1232" s="14" t="n">
        <x:v>17</x:v>
      </x:c>
      <x:c r="H1232" s="14" t="n">
        <x:v>6</x:v>
      </x:c>
      <x:c r="I1232" s="14" t="n">
        <x:v>9</x:v>
      </x:c>
      <x:c r="J1232" s="14" t="n">
        <x:v>5</x:v>
      </x:c>
      <x:c r="K1232" s="14" t="n">
        <x:v>13</x:v>
      </x:c>
      <x:c r="L1232" s="14" t="n">
        <x:v>34</x:v>
      </x:c>
      <x:c r="M1232" s="14" t="n">
        <x:v>17</x:v>
      </x:c>
      <x:c r="N1232" s="15" t="n">
        <x:f>IF(E1232=0,"해당 없음",F1232/E1232)</x:f>
        <x:v>0.028846153846153848</x:v>
      </x:c>
      <x:c r="O1232" s="15" t="n">
        <x:f>IF(E1232=0,"해당 없음",G1232/E1232)</x:f>
        <x:v>0.16346153846153846</x:v>
      </x:c>
      <x:c r="P1232" s="15" t="n">
        <x:f>IF(E1232=0,"해당 없음",H1232/E1232)</x:f>
        <x:v>0.057692307692307696</x:v>
      </x:c>
      <x:c r="Q1232" s="15" t="n">
        <x:f>IF(E1232=0,"해당 없음",I1232/E1232)</x:f>
        <x:v>0.08653846153846154</x:v>
      </x:c>
      <x:c r="R1232" s="15" t="n">
        <x:f>IF(E1232=0,"해당 없음",J1232/E1232)</x:f>
        <x:v>0.04807692307692308</x:v>
      </x:c>
      <x:c r="S1232" s="15" t="n">
        <x:f>IF(E1232=0,"해당 없음",K1232/E1232)</x:f>
        <x:v>0.125</x:v>
      </x:c>
      <x:c r="T1232" s="15" t="n">
        <x:f>IF(E1232=0,"해당 없음",L1232/E1232)</x:f>
        <x:v>0.3269230769230769</x:v>
      </x:c>
      <x:c r="U1232" s="15" t="n">
        <x:f>IF(E1232=0,"해당 없음",M1232/E1232)</x:f>
        <x:v>0.16346153846153846</x:v>
      </x:c>
      <x:c r="V1232" s="16" t="n">
        <x:f>E1232/5</x:f>
        <x:v>20.8</x:v>
      </x:c>
    </x:row>
    <x:row r="1233" ht="22" customHeight="1">
      <x:c r="A1233" s="2" t="n">
        <x:v>614</x:v>
      </x:c>
      <x:c r="B1233" s="2" t="str">
        <x:v>NAVY</x:v>
      </x:c>
      <x:c r="C1233" s="2" t="str">
        <x:v>40만</x:v>
      </x:c>
      <x:c r="D1233" s="2" t="str">
        <x:v>160만</x:v>
      </x:c>
      <x:c r="E1233" s="14" t="n">
        <x:f>SUM(F1233:M1233)</x:f>
        <x:v>104</x:v>
      </x:c>
      <x:c r="F1233" s="14" t="n">
        <x:v>8</x:v>
      </x:c>
      <x:c r="G1233" s="14" t="n">
        <x:v>27</x:v>
      </x:c>
      <x:c r="H1233" s="14" t="n">
        <x:v>5</x:v>
      </x:c>
      <x:c r="I1233" s="14" t="n">
        <x:v>3</x:v>
      </x:c>
      <x:c r="J1233" s="14" t="n">
        <x:v>10</x:v>
      </x:c>
      <x:c r="K1233" s="14" t="n">
        <x:v>7</x:v>
      </x:c>
      <x:c r="L1233" s="14" t="n">
        <x:v>43</x:v>
      </x:c>
      <x:c r="M1233" s="14" t="n">
        <x:v>1</x:v>
      </x:c>
      <x:c r="N1233" s="15" t="n">
        <x:f>IF(E1233=0,"해당 없음",F1233/E1233)</x:f>
        <x:v>0.07692307692307693</x:v>
      </x:c>
      <x:c r="O1233" s="15" t="n">
        <x:f>IF(E1233=0,"해당 없음",G1233/E1233)</x:f>
        <x:v>0.25961538461538464</x:v>
      </x:c>
      <x:c r="P1233" s="15" t="n">
        <x:f>IF(E1233=0,"해당 없음",H1233/E1233)</x:f>
        <x:v>0.04807692307692308</x:v>
      </x:c>
      <x:c r="Q1233" s="15" t="n">
        <x:f>IF(E1233=0,"해당 없음",I1233/E1233)</x:f>
        <x:v>0.028846153846153848</x:v>
      </x:c>
      <x:c r="R1233" s="15" t="n">
        <x:f>IF(E1233=0,"해당 없음",J1233/E1233)</x:f>
        <x:v>0.09615384615384616</x:v>
      </x:c>
      <x:c r="S1233" s="15" t="n">
        <x:f>IF(E1233=0,"해당 없음",K1233/E1233)</x:f>
        <x:v>0.0673076923076923</x:v>
      </x:c>
      <x:c r="T1233" s="15" t="n">
        <x:f>IF(E1233=0,"해당 없음",L1233/E1233)</x:f>
        <x:v>0.41346153846153844</x:v>
      </x:c>
      <x:c r="U1233" s="15" t="n">
        <x:f>IF(E1233=0,"해당 없음",M1233/E1233)</x:f>
        <x:v>0.009615384615384616</x:v>
      </x:c>
      <x:c r="V1233" s="16" t="n">
        <x:f>E1233/5</x:f>
        <x:v>20.8</x:v>
      </x:c>
    </x:row>
    <x:row r="1234" ht="22" customHeight="1">
      <x:c r="A1234" s="2" t="n">
        <x:v>615</x:v>
      </x:c>
      <x:c r="B1234" s="2" t="str">
        <x:v>RED</x:v>
      </x:c>
      <x:c r="C1234" s="2" t="str">
        <x:v>40만</x:v>
      </x:c>
      <x:c r="D1234" s="2" t="str">
        <x:v>160만</x:v>
      </x:c>
      <x:c r="E1234" s="14" t="n">
        <x:f>SUM(F1234:M1234)</x:f>
        <x:v>103</x:v>
      </x:c>
      <x:c r="F1234" s="14" t="n">
        <x:v>6</x:v>
      </x:c>
      <x:c r="G1234" s="14" t="n">
        <x:v>24</x:v>
      </x:c>
      <x:c r="H1234" s="14" t="n">
        <x:v>7</x:v>
      </x:c>
      <x:c r="I1234" s="14" t="n">
        <x:v>10</x:v>
      </x:c>
      <x:c r="J1234" s="14" t="n">
        <x:v>5</x:v>
      </x:c>
      <x:c r="K1234" s="14" t="n">
        <x:v>7</x:v>
      </x:c>
      <x:c r="L1234" s="14" t="n">
        <x:v>42</x:v>
      </x:c>
      <x:c r="M1234" s="14" t="n">
        <x:v>2</x:v>
      </x:c>
      <x:c r="N1234" s="15" t="n">
        <x:f>IF(E1234=0,"해당 없음",F1234/E1234)</x:f>
        <x:v>0.05825242718446602</x:v>
      </x:c>
      <x:c r="O1234" s="15" t="n">
        <x:f>IF(E1234=0,"해당 없음",G1234/E1234)</x:f>
        <x:v>0.23300970873786409</x:v>
      </x:c>
      <x:c r="P1234" s="15" t="n">
        <x:f>IF(E1234=0,"해당 없음",H1234/E1234)</x:f>
        <x:v>0.06796116504854369</x:v>
      </x:c>
      <x:c r="Q1234" s="15" t="n">
        <x:f>IF(E1234=0,"해당 없음",I1234/E1234)</x:f>
        <x:v>0.0970873786407767</x:v>
      </x:c>
      <x:c r="R1234" s="15" t="n">
        <x:f>IF(E1234=0,"해당 없음",J1234/E1234)</x:f>
        <x:v>0.04854368932038835</x:v>
      </x:c>
      <x:c r="S1234" s="15" t="n">
        <x:f>IF(E1234=0,"해당 없음",K1234/E1234)</x:f>
        <x:v>0.06796116504854369</x:v>
      </x:c>
      <x:c r="T1234" s="15" t="n">
        <x:f>IF(E1234=0,"해당 없음",L1234/E1234)</x:f>
        <x:v>0.4077669902912621</x:v>
      </x:c>
      <x:c r="U1234" s="15" t="n">
        <x:f>IF(E1234=0,"해당 없음",M1234/E1234)</x:f>
        <x:v>0.019417475728155338</x:v>
      </x:c>
      <x:c r="V1234" s="16" t="n">
        <x:f>E1234/5</x:f>
        <x:v>20.6</x:v>
      </x:c>
    </x:row>
    <x:row r="1235" ht="22" customHeight="1">
      <x:c r="A1235" s="2" t="n">
        <x:v>615</x:v>
      </x:c>
      <x:c r="B1235" s="2" t="str">
        <x:v>NAVY</x:v>
      </x:c>
      <x:c r="C1235" s="2" t="str">
        <x:v>160만</x:v>
      </x:c>
      <x:c r="D1235" s="2" t="str">
        <x:v>40만</x:v>
      </x:c>
      <x:c r="E1235" s="14" t="n">
        <x:f>SUM(F1235:M1235)</x:f>
        <x:v>104</x:v>
      </x:c>
      <x:c r="F1235" s="14" t="n">
        <x:v>4</x:v>
      </x:c>
      <x:c r="G1235" s="14" t="n">
        <x:v>20</x:v>
      </x:c>
      <x:c r="H1235" s="14" t="n">
        <x:v>7</x:v>
      </x:c>
      <x:c r="I1235" s="14" t="n">
        <x:v>4</x:v>
      </x:c>
      <x:c r="J1235" s="14" t="n">
        <x:v>3</x:v>
      </x:c>
      <x:c r="K1235" s="14" t="n">
        <x:v>8</x:v>
      </x:c>
      <x:c r="L1235" s="14" t="n">
        <x:v>34</x:v>
      </x:c>
      <x:c r="M1235" s="14" t="n">
        <x:v>24</x:v>
      </x:c>
      <x:c r="N1235" s="15" t="n">
        <x:f>IF(E1235=0,"해당 없음",F1235/E1235)</x:f>
        <x:v>0.038461538461538464</x:v>
      </x:c>
      <x:c r="O1235" s="15" t="n">
        <x:f>IF(E1235=0,"해당 없음",G1235/E1235)</x:f>
        <x:v>0.19230769230769232</x:v>
      </x:c>
      <x:c r="P1235" s="15" t="n">
        <x:f>IF(E1235=0,"해당 없음",H1235/E1235)</x:f>
        <x:v>0.0673076923076923</x:v>
      </x:c>
      <x:c r="Q1235" s="15" t="n">
        <x:f>IF(E1235=0,"해당 없음",I1235/E1235)</x:f>
        <x:v>0.038461538461538464</x:v>
      </x:c>
      <x:c r="R1235" s="15" t="n">
        <x:f>IF(E1235=0,"해당 없음",J1235/E1235)</x:f>
        <x:v>0.028846153846153848</x:v>
      </x:c>
      <x:c r="S1235" s="15" t="n">
        <x:f>IF(E1235=0,"해당 없음",K1235/E1235)</x:f>
        <x:v>0.07692307692307693</x:v>
      </x:c>
      <x:c r="T1235" s="15" t="n">
        <x:f>IF(E1235=0,"해당 없음",L1235/E1235)</x:f>
        <x:v>0.3269230769230769</x:v>
      </x:c>
      <x:c r="U1235" s="15" t="n">
        <x:f>IF(E1235=0,"해당 없음",M1235/E1235)</x:f>
        <x:v>0.23076923076923078</x:v>
      </x:c>
      <x:c r="V1235" s="16" t="n">
        <x:f>E1235/5</x:f>
        <x:v>20.8</x:v>
      </x:c>
    </x:row>
    <x:row r="1236" ht="22" customHeight="1">
      <x:c r="A1236" s="2" t="n">
        <x:v>616</x:v>
      </x:c>
      <x:c r="B1236" s="2" t="str">
        <x:v>RED</x:v>
      </x:c>
      <x:c r="C1236" s="2" t="str">
        <x:v>160만</x:v>
      </x:c>
      <x:c r="D1236" s="2" t="str">
        <x:v>40만</x:v>
      </x:c>
      <x:c r="E1236" s="14" t="n">
        <x:f>SUM(F1236:M1236)</x:f>
        <x:v>103</x:v>
      </x:c>
      <x:c r="F1236" s="14" t="n">
        <x:v>7</x:v>
      </x:c>
      <x:c r="G1236" s="14" t="n">
        <x:v>10</x:v>
      </x:c>
      <x:c r="H1236" s="14" t="n">
        <x:v>2</x:v>
      </x:c>
      <x:c r="I1236" s="14" t="n">
        <x:v>9</x:v>
      </x:c>
      <x:c r="J1236" s="14" t="n">
        <x:v>1</x:v>
      </x:c>
      <x:c r="K1236" s="14" t="n">
        <x:v>7</x:v>
      </x:c>
      <x:c r="L1236" s="14" t="n">
        <x:v>31</x:v>
      </x:c>
      <x:c r="M1236" s="14" t="n">
        <x:v>36</x:v>
      </x:c>
      <x:c r="N1236" s="15" t="n">
        <x:f>IF(E1236=0,"해당 없음",F1236/E1236)</x:f>
        <x:v>0.06796116504854369</x:v>
      </x:c>
      <x:c r="O1236" s="15" t="n">
        <x:f>IF(E1236=0,"해당 없음",G1236/E1236)</x:f>
        <x:v>0.0970873786407767</x:v>
      </x:c>
      <x:c r="P1236" s="15" t="n">
        <x:f>IF(E1236=0,"해당 없음",H1236/E1236)</x:f>
        <x:v>0.019417475728155338</x:v>
      </x:c>
      <x:c r="Q1236" s="15" t="n">
        <x:f>IF(E1236=0,"해당 없음",I1236/E1236)</x:f>
        <x:v>0.08737864077669903</x:v>
      </x:c>
      <x:c r="R1236" s="15" t="n">
        <x:f>IF(E1236=0,"해당 없음",J1236/E1236)</x:f>
        <x:v>0.009708737864077669</x:v>
      </x:c>
      <x:c r="S1236" s="15" t="n">
        <x:f>IF(E1236=0,"해당 없음",K1236/E1236)</x:f>
        <x:v>0.06796116504854369</x:v>
      </x:c>
      <x:c r="T1236" s="15" t="n">
        <x:f>IF(E1236=0,"해당 없음",L1236/E1236)</x:f>
        <x:v>0.30097087378640774</x:v>
      </x:c>
      <x:c r="U1236" s="15" t="n">
        <x:f>IF(E1236=0,"해당 없음",M1236/E1236)</x:f>
        <x:v>0.34951456310679613</x:v>
      </x:c>
      <x:c r="V1236" s="16" t="n">
        <x:f>E1236/5</x:f>
        <x:v>20.6</x:v>
      </x:c>
    </x:row>
    <x:row r="1237" ht="22" customHeight="1">
      <x:c r="A1237" s="2" t="n">
        <x:v>616</x:v>
      </x:c>
      <x:c r="B1237" s="2" t="str">
        <x:v>NAVY</x:v>
      </x:c>
      <x:c r="C1237" s="2" t="str">
        <x:v>40만</x:v>
      </x:c>
      <x:c r="D1237" s="2" t="str">
        <x:v>160만</x:v>
      </x:c>
      <x:c r="E1237" s="14" t="n">
        <x:f>SUM(F1237:M1237)</x:f>
        <x:v>103</x:v>
      </x:c>
      <x:c r="F1237" s="14" t="n">
        <x:v>5</x:v>
      </x:c>
      <x:c r="G1237" s="14" t="n">
        <x:v>31</x:v>
      </x:c>
      <x:c r="H1237" s="14" t="n">
        <x:v>6</x:v>
      </x:c>
      <x:c r="I1237" s="14" t="n">
        <x:v>7</x:v>
      </x:c>
      <x:c r="J1237" s="14" t="n">
        <x:v>7</x:v>
      </x:c>
      <x:c r="K1237" s="14" t="n">
        <x:v>8</x:v>
      </x:c>
      <x:c r="L1237" s="14" t="n">
        <x:v>38</x:v>
      </x:c>
      <x:c r="M1237" s="14" t="n">
        <x:v>1</x:v>
      </x:c>
      <x:c r="N1237" s="15" t="n">
        <x:f>IF(E1237=0,"해당 없음",F1237/E1237)</x:f>
        <x:v>0.04854368932038835</x:v>
      </x:c>
      <x:c r="O1237" s="15" t="n">
        <x:f>IF(E1237=0,"해당 없음",G1237/E1237)</x:f>
        <x:v>0.30097087378640774</x:v>
      </x:c>
      <x:c r="P1237" s="15" t="n">
        <x:f>IF(E1237=0,"해당 없음",H1237/E1237)</x:f>
        <x:v>0.05825242718446602</x:v>
      </x:c>
      <x:c r="Q1237" s="15" t="n">
        <x:f>IF(E1237=0,"해당 없음",I1237/E1237)</x:f>
        <x:v>0.06796116504854369</x:v>
      </x:c>
      <x:c r="R1237" s="15" t="n">
        <x:f>IF(E1237=0,"해당 없음",J1237/E1237)</x:f>
        <x:v>0.06796116504854369</x:v>
      </x:c>
      <x:c r="S1237" s="15" t="n">
        <x:f>IF(E1237=0,"해당 없음",K1237/E1237)</x:f>
        <x:v>0.07766990291262135</x:v>
      </x:c>
      <x:c r="T1237" s="15" t="n">
        <x:f>IF(E1237=0,"해당 없음",L1237/E1237)</x:f>
        <x:v>0.36893203883495146</x:v>
      </x:c>
      <x:c r="U1237" s="15" t="n">
        <x:f>IF(E1237=0,"해당 없음",M1237/E1237)</x:f>
        <x:v>0.009708737864077669</x:v>
      </x:c>
      <x:c r="V1237" s="16" t="n">
        <x:f>E1237/5</x:f>
        <x:v>20.6</x:v>
      </x:c>
    </x:row>
    <x:row r="1238" ht="22" customHeight="1">
      <x:c r="A1238" s="2" t="n">
        <x:v>617</x:v>
      </x:c>
      <x:c r="B1238" s="2" t="str">
        <x:v>RED</x:v>
      </x:c>
      <x:c r="C1238" s="2" t="str">
        <x:v>40만</x:v>
      </x:c>
      <x:c r="D1238" s="2" t="str">
        <x:v>160만</x:v>
      </x:c>
      <x:c r="E1238" s="14" t="n">
        <x:f>SUM(F1238:M1238)</x:f>
        <x:v>103</x:v>
      </x:c>
      <x:c r="F1238" s="14" t="n">
        <x:v>2</x:v>
      </x:c>
      <x:c r="G1238" s="14" t="n">
        <x:v>27</x:v>
      </x:c>
      <x:c r="H1238" s="14" t="n">
        <x:v>3</x:v>
      </x:c>
      <x:c r="I1238" s="14" t="n">
        <x:v>6</x:v>
      </x:c>
      <x:c r="J1238" s="14" t="n">
        <x:v>5</x:v>
      </x:c>
      <x:c r="K1238" s="14" t="n">
        <x:v>12</x:v>
      </x:c>
      <x:c r="L1238" s="14" t="n">
        <x:v>40</x:v>
      </x:c>
      <x:c r="M1238" s="14" t="n">
        <x:v>8</x:v>
      </x:c>
      <x:c r="N1238" s="15" t="n">
        <x:f>IF(E1238=0,"해당 없음",F1238/E1238)</x:f>
        <x:v>0.019417475728155338</x:v>
      </x:c>
      <x:c r="O1238" s="15" t="n">
        <x:f>IF(E1238=0,"해당 없음",G1238/E1238)</x:f>
        <x:v>0.2621359223300971</x:v>
      </x:c>
      <x:c r="P1238" s="15" t="n">
        <x:f>IF(E1238=0,"해당 없음",H1238/E1238)</x:f>
        <x:v>0.02912621359223301</x:v>
      </x:c>
      <x:c r="Q1238" s="15" t="n">
        <x:f>IF(E1238=0,"해당 없음",I1238/E1238)</x:f>
        <x:v>0.05825242718446602</x:v>
      </x:c>
      <x:c r="R1238" s="15" t="n">
        <x:f>IF(E1238=0,"해당 없음",J1238/E1238)</x:f>
        <x:v>0.04854368932038835</x:v>
      </x:c>
      <x:c r="S1238" s="15" t="n">
        <x:f>IF(E1238=0,"해당 없음",K1238/E1238)</x:f>
        <x:v>0.11650485436893204</x:v>
      </x:c>
      <x:c r="T1238" s="15" t="n">
        <x:f>IF(E1238=0,"해당 없음",L1238/E1238)</x:f>
        <x:v>0.3883495145631068</x:v>
      </x:c>
      <x:c r="U1238" s="15" t="n">
        <x:f>IF(E1238=0,"해당 없음",M1238/E1238)</x:f>
        <x:v>0.07766990291262135</x:v>
      </x:c>
      <x:c r="V1238" s="16" t="n">
        <x:f>E1238/5</x:f>
        <x:v>20.6</x:v>
      </x:c>
    </x:row>
    <x:row r="1239" ht="22" customHeight="1">
      <x:c r="A1239" s="2" t="n">
        <x:v>617</x:v>
      </x:c>
      <x:c r="B1239" s="2" t="str">
        <x:v>NAVY</x:v>
      </x:c>
      <x:c r="C1239" s="2" t="str">
        <x:v>160만</x:v>
      </x:c>
      <x:c r="D1239" s="2" t="str">
        <x:v>40만</x:v>
      </x:c>
      <x:c r="E1239" s="14" t="n">
        <x:f>SUM(F1239:M1239)</x:f>
        <x:v>103</x:v>
      </x:c>
      <x:c r="F1239" s="14" t="n">
        <x:v>2</x:v>
      </x:c>
      <x:c r="G1239" s="14" t="n">
        <x:v>26</x:v>
      </x:c>
      <x:c r="H1239" s="14" t="n">
        <x:v>3</x:v>
      </x:c>
      <x:c r="I1239" s="14" t="n">
        <x:v>3</x:v>
      </x:c>
      <x:c r="J1239" s="14" t="n">
        <x:v>6</x:v>
      </x:c>
      <x:c r="K1239" s="14" t="n">
        <x:v>9</x:v>
      </x:c>
      <x:c r="L1239" s="14" t="n">
        <x:v>28</x:v>
      </x:c>
      <x:c r="M1239" s="14" t="n">
        <x:v>26</x:v>
      </x:c>
      <x:c r="N1239" s="15" t="n">
        <x:f>IF(E1239=0,"해당 없음",F1239/E1239)</x:f>
        <x:v>0.019417475728155338</x:v>
      </x:c>
      <x:c r="O1239" s="15" t="n">
        <x:f>IF(E1239=0,"해당 없음",G1239/E1239)</x:f>
        <x:v>0.2524271844660194</x:v>
      </x:c>
      <x:c r="P1239" s="15" t="n">
        <x:f>IF(E1239=0,"해당 없음",H1239/E1239)</x:f>
        <x:v>0.02912621359223301</x:v>
      </x:c>
      <x:c r="Q1239" s="15" t="n">
        <x:f>IF(E1239=0,"해당 없음",I1239/E1239)</x:f>
        <x:v>0.02912621359223301</x:v>
      </x:c>
      <x:c r="R1239" s="15" t="n">
        <x:f>IF(E1239=0,"해당 없음",J1239/E1239)</x:f>
        <x:v>0.05825242718446602</x:v>
      </x:c>
      <x:c r="S1239" s="15" t="n">
        <x:f>IF(E1239=0,"해당 없음",K1239/E1239)</x:f>
        <x:v>0.08737864077669903</x:v>
      </x:c>
      <x:c r="T1239" s="15" t="n">
        <x:f>IF(E1239=0,"해당 없음",L1239/E1239)</x:f>
        <x:v>0.27184466019417475</x:v>
      </x:c>
      <x:c r="U1239" s="15" t="n">
        <x:f>IF(E1239=0,"해당 없음",M1239/E1239)</x:f>
        <x:v>0.2524271844660194</x:v>
      </x:c>
      <x:c r="V1239" s="16" t="n">
        <x:f>E1239/5</x:f>
        <x:v>20.6</x:v>
      </x:c>
    </x:row>
    <x:row r="1240" ht="22" customHeight="1">
      <x:c r="A1240" s="2" t="n">
        <x:v>618</x:v>
      </x:c>
      <x:c r="B1240" s="2" t="str">
        <x:v>RED</x:v>
      </x:c>
      <x:c r="C1240" s="2" t="str">
        <x:v>160만</x:v>
      </x:c>
      <x:c r="D1240" s="2" t="str">
        <x:v>40만</x:v>
      </x:c>
      <x:c r="E1240" s="14" t="n">
        <x:f>SUM(F1240:M1240)</x:f>
        <x:v>103</x:v>
      </x:c>
      <x:c r="F1240" s="14" t="n">
        <x:v>5</x:v>
      </x:c>
      <x:c r="G1240" s="14" t="n">
        <x:v>19</x:v>
      </x:c>
      <x:c r="H1240" s="14" t="n">
        <x:v>7</x:v>
      </x:c>
      <x:c r="I1240" s="14" t="n">
        <x:v>7</x:v>
      </x:c>
      <x:c r="J1240" s="14" t="n">
        <x:v>3</x:v>
      </x:c>
      <x:c r="K1240" s="14" t="n">
        <x:v>9</x:v>
      </x:c>
      <x:c r="L1240" s="14" t="n">
        <x:v>27</x:v>
      </x:c>
      <x:c r="M1240" s="14" t="n">
        <x:v>26</x:v>
      </x:c>
      <x:c r="N1240" s="15" t="n">
        <x:f>IF(E1240=0,"해당 없음",F1240/E1240)</x:f>
        <x:v>0.04854368932038835</x:v>
      </x:c>
      <x:c r="O1240" s="15" t="n">
        <x:f>IF(E1240=0,"해당 없음",G1240/E1240)</x:f>
        <x:v>0.18446601941747573</x:v>
      </x:c>
      <x:c r="P1240" s="15" t="n">
        <x:f>IF(E1240=0,"해당 없음",H1240/E1240)</x:f>
        <x:v>0.06796116504854369</x:v>
      </x:c>
      <x:c r="Q1240" s="15" t="n">
        <x:f>IF(E1240=0,"해당 없음",I1240/E1240)</x:f>
        <x:v>0.06796116504854369</x:v>
      </x:c>
      <x:c r="R1240" s="15" t="n">
        <x:f>IF(E1240=0,"해당 없음",J1240/E1240)</x:f>
        <x:v>0.02912621359223301</x:v>
      </x:c>
      <x:c r="S1240" s="15" t="n">
        <x:f>IF(E1240=0,"해당 없음",K1240/E1240)</x:f>
        <x:v>0.08737864077669903</x:v>
      </x:c>
      <x:c r="T1240" s="15" t="n">
        <x:f>IF(E1240=0,"해당 없음",L1240/E1240)</x:f>
        <x:v>0.2621359223300971</x:v>
      </x:c>
      <x:c r="U1240" s="15" t="n">
        <x:f>IF(E1240=0,"해당 없음",M1240/E1240)</x:f>
        <x:v>0.2524271844660194</x:v>
      </x:c>
      <x:c r="V1240" s="16" t="n">
        <x:f>E1240/5</x:f>
        <x:v>20.6</x:v>
      </x:c>
    </x:row>
    <x:row r="1241" ht="22" customHeight="1">
      <x:c r="A1241" s="2" t="n">
        <x:v>618</x:v>
      </x:c>
      <x:c r="B1241" s="2" t="str">
        <x:v>NAVY</x:v>
      </x:c>
      <x:c r="C1241" s="2" t="str">
        <x:v>40만</x:v>
      </x:c>
      <x:c r="D1241" s="2" t="str">
        <x:v>160만</x:v>
      </x:c>
      <x:c r="E1241" s="14" t="n">
        <x:f>SUM(F1241:M1241)</x:f>
        <x:v>101</x:v>
      </x:c>
      <x:c r="F1241" s="14" t="n">
        <x:v>3</x:v>
      </x:c>
      <x:c r="G1241" s="14" t="n">
        <x:v>31</x:v>
      </x:c>
      <x:c r="H1241" s="14" t="n">
        <x:v>9</x:v>
      </x:c>
      <x:c r="I1241" s="14" t="n">
        <x:v>6</x:v>
      </x:c>
      <x:c r="J1241" s="14" t="n">
        <x:v>5</x:v>
      </x:c>
      <x:c r="K1241" s="14" t="n">
        <x:v>9</x:v>
      </x:c>
      <x:c r="L1241" s="14" t="n">
        <x:v>34</x:v>
      </x:c>
      <x:c r="M1241" s="14" t="n">
        <x:v>4</x:v>
      </x:c>
      <x:c r="N1241" s="15" t="n">
        <x:f>IF(E1241=0,"해당 없음",F1241/E1241)</x:f>
        <x:v>0.0297029702970297</x:v>
      </x:c>
      <x:c r="O1241" s="15" t="n">
        <x:f>IF(E1241=0,"해당 없음",G1241/E1241)</x:f>
        <x:v>0.3069306930693069</x:v>
      </x:c>
      <x:c r="P1241" s="15" t="n">
        <x:f>IF(E1241=0,"해당 없음",H1241/E1241)</x:f>
        <x:v>0.0891089108910891</x:v>
      </x:c>
      <x:c r="Q1241" s="15" t="n">
        <x:f>IF(E1241=0,"해당 없음",I1241/E1241)</x:f>
        <x:v>0.0594059405940594</x:v>
      </x:c>
      <x:c r="R1241" s="15" t="n">
        <x:f>IF(E1241=0,"해당 없음",J1241/E1241)</x:f>
        <x:v>0.04950495049504951</x:v>
      </x:c>
      <x:c r="S1241" s="15" t="n">
        <x:f>IF(E1241=0,"해당 없음",K1241/E1241)</x:f>
        <x:v>0.0891089108910891</x:v>
      </x:c>
      <x:c r="T1241" s="15" t="n">
        <x:f>IF(E1241=0,"해당 없음",L1241/E1241)</x:f>
        <x:v>0.33663366336633666</x:v>
      </x:c>
      <x:c r="U1241" s="15" t="n">
        <x:f>IF(E1241=0,"해당 없음",M1241/E1241)</x:f>
        <x:v>0.039603960396039604</x:v>
      </x:c>
      <x:c r="V1241" s="16" t="n">
        <x:f>E1241/5</x:f>
        <x:v>20.2</x:v>
      </x:c>
    </x:row>
    <x:row r="1242" ht="22" customHeight="1">
      <x:c r="A1242" s="2" t="n">
        <x:v>619</x:v>
      </x:c>
      <x:c r="B1242" s="2" t="str">
        <x:v>RED</x:v>
      </x:c>
      <x:c r="C1242" s="2" t="str">
        <x:v>40만</x:v>
      </x:c>
      <x:c r="D1242" s="2" t="str">
        <x:v>160만</x:v>
      </x:c>
      <x:c r="E1242" s="14" t="n">
        <x:f>SUM(F1242:M1242)</x:f>
        <x:v>103</x:v>
      </x:c>
      <x:c r="F1242" s="14" t="n">
        <x:v>5</x:v>
      </x:c>
      <x:c r="G1242" s="14" t="n">
        <x:v>23</x:v>
      </x:c>
      <x:c r="H1242" s="14" t="n">
        <x:v>5</x:v>
      </x:c>
      <x:c r="I1242" s="14" t="n">
        <x:v>10</x:v>
      </x:c>
      <x:c r="J1242" s="14" t="n">
        <x:v>4</x:v>
      </x:c>
      <x:c r="K1242" s="14" t="n">
        <x:v>11</x:v>
      </x:c>
      <x:c r="L1242" s="14" t="n">
        <x:v>41</x:v>
      </x:c>
      <x:c r="M1242" s="14" t="n">
        <x:v>4</x:v>
      </x:c>
      <x:c r="N1242" s="15" t="n">
        <x:f>IF(E1242=0,"해당 없음",F1242/E1242)</x:f>
        <x:v>0.04854368932038835</x:v>
      </x:c>
      <x:c r="O1242" s="15" t="n">
        <x:f>IF(E1242=0,"해당 없음",G1242/E1242)</x:f>
        <x:v>0.22330097087378642</x:v>
      </x:c>
      <x:c r="P1242" s="15" t="n">
        <x:f>IF(E1242=0,"해당 없음",H1242/E1242)</x:f>
        <x:v>0.04854368932038835</x:v>
      </x:c>
      <x:c r="Q1242" s="15" t="n">
        <x:f>IF(E1242=0,"해당 없음",I1242/E1242)</x:f>
        <x:v>0.0970873786407767</x:v>
      </x:c>
      <x:c r="R1242" s="15" t="n">
        <x:f>IF(E1242=0,"해당 없음",J1242/E1242)</x:f>
        <x:v>0.038834951456310676</x:v>
      </x:c>
      <x:c r="S1242" s="15" t="n">
        <x:f>IF(E1242=0,"해당 없음",K1242/E1242)</x:f>
        <x:v>0.10679611650485436</x:v>
      </x:c>
      <x:c r="T1242" s="15" t="n">
        <x:f>IF(E1242=0,"해당 없음",L1242/E1242)</x:f>
        <x:v>0.39805825242718446</x:v>
      </x:c>
      <x:c r="U1242" s="15" t="n">
        <x:f>IF(E1242=0,"해당 없음",M1242/E1242)</x:f>
        <x:v>0.038834951456310676</x:v>
      </x:c>
      <x:c r="V1242" s="16" t="n">
        <x:f>E1242/5</x:f>
        <x:v>20.6</x:v>
      </x:c>
    </x:row>
    <x:row r="1243" ht="22" customHeight="1">
      <x:c r="A1243" s="2" t="n">
        <x:v>619</x:v>
      </x:c>
      <x:c r="B1243" s="2" t="str">
        <x:v>NAVY</x:v>
      </x:c>
      <x:c r="C1243" s="2" t="str">
        <x:v>160만</x:v>
      </x:c>
      <x:c r="D1243" s="2" t="str">
        <x:v>40만</x:v>
      </x:c>
      <x:c r="E1243" s="14" t="n">
        <x:f>SUM(F1243:M1243)</x:f>
        <x:v>102</x:v>
      </x:c>
      <x:c r="F1243" s="14" t="n">
        <x:v>6</x:v>
      </x:c>
      <x:c r="G1243" s="14" t="n">
        <x:v>27</x:v>
      </x:c>
      <x:c r="H1243" s="14" t="n">
        <x:v>2</x:v>
      </x:c>
      <x:c r="I1243" s="14" t="n">
        <x:v>1</x:v>
      </x:c>
      <x:c r="J1243" s="14" t="n">
        <x:v>6</x:v>
      </x:c>
      <x:c r="K1243" s="14" t="n">
        <x:v>3</x:v>
      </x:c>
      <x:c r="L1243" s="14" t="n">
        <x:v>27</x:v>
      </x:c>
      <x:c r="M1243" s="14" t="n">
        <x:v>30</x:v>
      </x:c>
      <x:c r="N1243" s="15" t="n">
        <x:f>IF(E1243=0,"해당 없음",F1243/E1243)</x:f>
        <x:v>0.058823529411764705</x:v>
      </x:c>
      <x:c r="O1243" s="15" t="n">
        <x:f>IF(E1243=0,"해당 없음",G1243/E1243)</x:f>
        <x:v>0.2647058823529412</x:v>
      </x:c>
      <x:c r="P1243" s="15" t="n">
        <x:f>IF(E1243=0,"해당 없음",H1243/E1243)</x:f>
        <x:v>0.0196078431372549</x:v>
      </x:c>
      <x:c r="Q1243" s="15" t="n">
        <x:f>IF(E1243=0,"해당 없음",I1243/E1243)</x:f>
        <x:v>0.00980392156862745</x:v>
      </x:c>
      <x:c r="R1243" s="15" t="n">
        <x:f>IF(E1243=0,"해당 없음",J1243/E1243)</x:f>
        <x:v>0.058823529411764705</x:v>
      </x:c>
      <x:c r="S1243" s="15" t="n">
        <x:f>IF(E1243=0,"해당 없음",K1243/E1243)</x:f>
        <x:v>0.029411764705882353</x:v>
      </x:c>
      <x:c r="T1243" s="15" t="n">
        <x:f>IF(E1243=0,"해당 없음",L1243/E1243)</x:f>
        <x:v>0.2647058823529412</x:v>
      </x:c>
      <x:c r="U1243" s="15" t="n">
        <x:f>IF(E1243=0,"해당 없음",M1243/E1243)</x:f>
        <x:v>0.29411764705882354</x:v>
      </x:c>
      <x:c r="V1243" s="16" t="n">
        <x:f>E1243/5</x:f>
        <x:v>20.4</x:v>
      </x:c>
    </x:row>
    <x:row r="1244" ht="22" customHeight="1">
      <x:c r="A1244" s="2" t="n">
        <x:v>620</x:v>
      </x:c>
      <x:c r="B1244" s="2" t="str">
        <x:v>RED</x:v>
      </x:c>
      <x:c r="C1244" s="2" t="str">
        <x:v>160만</x:v>
      </x:c>
      <x:c r="D1244" s="2" t="str">
        <x:v>40만</x:v>
      </x:c>
      <x:c r="E1244" s="14" t="n">
        <x:f>SUM(F1244:M1244)</x:f>
        <x:v>102</x:v>
      </x:c>
      <x:c r="F1244" s="14" t="n">
        <x:v>6</x:v>
      </x:c>
      <x:c r="G1244" s="14" t="n">
        <x:v>23</x:v>
      </x:c>
      <x:c r="H1244" s="14" t="n">
        <x:v>5</x:v>
      </x:c>
      <x:c r="I1244" s="14" t="n">
        <x:v>3</x:v>
      </x:c>
      <x:c r="J1244" s="14" t="n">
        <x:v>7</x:v>
      </x:c>
      <x:c r="K1244" s="14" t="n">
        <x:v>6</x:v>
      </x:c>
      <x:c r="L1244" s="14" t="n">
        <x:v>27</x:v>
      </x:c>
      <x:c r="M1244" s="14" t="n">
        <x:v>25</x:v>
      </x:c>
      <x:c r="N1244" s="15" t="n">
        <x:f>IF(E1244=0,"해당 없음",F1244/E1244)</x:f>
        <x:v>0.058823529411764705</x:v>
      </x:c>
      <x:c r="O1244" s="15" t="n">
        <x:f>IF(E1244=0,"해당 없음",G1244/E1244)</x:f>
        <x:v>0.22549019607843138</x:v>
      </x:c>
      <x:c r="P1244" s="15" t="n">
        <x:f>IF(E1244=0,"해당 없음",H1244/E1244)</x:f>
        <x:v>0.049019607843137254</x:v>
      </x:c>
      <x:c r="Q1244" s="15" t="n">
        <x:f>IF(E1244=0,"해당 없음",I1244/E1244)</x:f>
        <x:v>0.029411764705882353</x:v>
      </x:c>
      <x:c r="R1244" s="15" t="n">
        <x:f>IF(E1244=0,"해당 없음",J1244/E1244)</x:f>
        <x:v>0.06862745098039216</x:v>
      </x:c>
      <x:c r="S1244" s="15" t="n">
        <x:f>IF(E1244=0,"해당 없음",K1244/E1244)</x:f>
        <x:v>0.058823529411764705</x:v>
      </x:c>
      <x:c r="T1244" s="15" t="n">
        <x:f>IF(E1244=0,"해당 없음",L1244/E1244)</x:f>
        <x:v>0.2647058823529412</x:v>
      </x:c>
      <x:c r="U1244" s="15" t="n">
        <x:f>IF(E1244=0,"해당 없음",M1244/E1244)</x:f>
        <x:v>0.24509803921568626</x:v>
      </x:c>
      <x:c r="V1244" s="16" t="n">
        <x:f>E1244/5</x:f>
        <x:v>20.4</x:v>
      </x:c>
    </x:row>
    <x:row r="1245" ht="22" customHeight="1">
      <x:c r="A1245" s="2" t="n">
        <x:v>620</x:v>
      </x:c>
      <x:c r="B1245" s="2" t="str">
        <x:v>NAVY</x:v>
      </x:c>
      <x:c r="C1245" s="2" t="str">
        <x:v>40만</x:v>
      </x:c>
      <x:c r="D1245" s="2" t="str">
        <x:v>160만</x:v>
      </x:c>
      <x:c r="E1245" s="14" t="n">
        <x:f>SUM(F1245:M1245)</x:f>
        <x:v>102</x:v>
      </x:c>
      <x:c r="F1245" s="14" t="n">
        <x:v>7</x:v>
      </x:c>
      <x:c r="G1245" s="14" t="n">
        <x:v>24</x:v>
      </x:c>
      <x:c r="H1245" s="14" t="n">
        <x:v>9</x:v>
      </x:c>
      <x:c r="I1245" s="14" t="n">
        <x:v>3</x:v>
      </x:c>
      <x:c r="J1245" s="14" t="n">
        <x:v>7</x:v>
      </x:c>
      <x:c r="K1245" s="14" t="n">
        <x:v>7</x:v>
      </x:c>
      <x:c r="L1245" s="14" t="n">
        <x:v>40</x:v>
      </x:c>
      <x:c r="M1245" s="14" t="n">
        <x:v>5</x:v>
      </x:c>
      <x:c r="N1245" s="15" t="n">
        <x:f>IF(E1245=0,"해당 없음",F1245/E1245)</x:f>
        <x:v>0.06862745098039216</x:v>
      </x:c>
      <x:c r="O1245" s="15" t="n">
        <x:f>IF(E1245=0,"해당 없음",G1245/E1245)</x:f>
        <x:v>0.23529411764705882</x:v>
      </x:c>
      <x:c r="P1245" s="15" t="n">
        <x:f>IF(E1245=0,"해당 없음",H1245/E1245)</x:f>
        <x:v>0.08823529411764706</x:v>
      </x:c>
      <x:c r="Q1245" s="15" t="n">
        <x:f>IF(E1245=0,"해당 없음",I1245/E1245)</x:f>
        <x:v>0.029411764705882353</x:v>
      </x:c>
      <x:c r="R1245" s="15" t="n">
        <x:f>IF(E1245=0,"해당 없음",J1245/E1245)</x:f>
        <x:v>0.06862745098039216</x:v>
      </x:c>
      <x:c r="S1245" s="15" t="n">
        <x:f>IF(E1245=0,"해당 없음",K1245/E1245)</x:f>
        <x:v>0.06862745098039216</x:v>
      </x:c>
      <x:c r="T1245" s="15" t="n">
        <x:f>IF(E1245=0,"해당 없음",L1245/E1245)</x:f>
        <x:v>0.39215686274509803</x:v>
      </x:c>
      <x:c r="U1245" s="15" t="n">
        <x:f>IF(E1245=0,"해당 없음",M1245/E1245)</x:f>
        <x:v>0.049019607843137254</x:v>
      </x:c>
      <x:c r="V1245" s="16" t="n">
        <x:f>E1245/5</x:f>
        <x:v>20.4</x:v>
      </x:c>
    </x:row>
    <x:row r="1246" ht="22" customHeight="1">
      <x:c r="A1246" s="2" t="n">
        <x:v>621</x:v>
      </x:c>
      <x:c r="B1246" s="2" t="str">
        <x:v>RED</x:v>
      </x:c>
      <x:c r="C1246" s="2" t="str">
        <x:v>40만</x:v>
      </x:c>
      <x:c r="D1246" s="2" t="str">
        <x:v>160만</x:v>
      </x:c>
      <x:c r="E1246" s="14" t="n">
        <x:f>SUM(F1246:M1246)</x:f>
        <x:v>102</x:v>
      </x:c>
      <x:c r="F1246" s="14" t="n">
        <x:v>3</x:v>
      </x:c>
      <x:c r="G1246" s="14" t="n">
        <x:v>30</x:v>
      </x:c>
      <x:c r="H1246" s="14" t="n">
        <x:v>8</x:v>
      </x:c>
      <x:c r="I1246" s="14" t="n">
        <x:v>12</x:v>
      </x:c>
      <x:c r="J1246" s="14" t="n">
        <x:v>6</x:v>
      </x:c>
      <x:c r="K1246" s="14" t="n">
        <x:v>10</x:v>
      </x:c>
      <x:c r="L1246" s="14" t="n">
        <x:v>30</x:v>
      </x:c>
      <x:c r="M1246" s="14" t="n">
        <x:v>3</x:v>
      </x:c>
      <x:c r="N1246" s="15" t="n">
        <x:f>IF(E1246=0,"해당 없음",F1246/E1246)</x:f>
        <x:v>0.029411764705882353</x:v>
      </x:c>
      <x:c r="O1246" s="15" t="n">
        <x:f>IF(E1246=0,"해당 없음",G1246/E1246)</x:f>
        <x:v>0.29411764705882354</x:v>
      </x:c>
      <x:c r="P1246" s="15" t="n">
        <x:f>IF(E1246=0,"해당 없음",H1246/E1246)</x:f>
        <x:v>0.0784313725490196</x:v>
      </x:c>
      <x:c r="Q1246" s="15" t="n">
        <x:f>IF(E1246=0,"해당 없음",I1246/E1246)</x:f>
        <x:v>0.11764705882352941</x:v>
      </x:c>
      <x:c r="R1246" s="15" t="n">
        <x:f>IF(E1246=0,"해당 없음",J1246/E1246)</x:f>
        <x:v>0.058823529411764705</x:v>
      </x:c>
      <x:c r="S1246" s="15" t="n">
        <x:f>IF(E1246=0,"해당 없음",K1246/E1246)</x:f>
        <x:v>0.09803921568627451</x:v>
      </x:c>
      <x:c r="T1246" s="15" t="n">
        <x:f>IF(E1246=0,"해당 없음",L1246/E1246)</x:f>
        <x:v>0.29411764705882354</x:v>
      </x:c>
      <x:c r="U1246" s="15" t="n">
        <x:f>IF(E1246=0,"해당 없음",M1246/E1246)</x:f>
        <x:v>0.029411764705882353</x:v>
      </x:c>
      <x:c r="V1246" s="16" t="n">
        <x:f>E1246/5</x:f>
        <x:v>20.4</x:v>
      </x:c>
    </x:row>
    <x:row r="1247" ht="22" customHeight="1">
      <x:c r="A1247" s="2" t="n">
        <x:v>621</x:v>
      </x:c>
      <x:c r="B1247" s="2" t="str">
        <x:v>NAVY</x:v>
      </x:c>
      <x:c r="C1247" s="2" t="str">
        <x:v>160만</x:v>
      </x:c>
      <x:c r="D1247" s="2" t="str">
        <x:v>40만</x:v>
      </x:c>
      <x:c r="E1247" s="14" t="n">
        <x:f>SUM(F1247:M1247)</x:f>
        <x:v>102</x:v>
      </x:c>
      <x:c r="F1247" s="14" t="n">
        <x:v>1</x:v>
      </x:c>
      <x:c r="G1247" s="14" t="n">
        <x:v>15</x:v>
      </x:c>
      <x:c r="H1247" s="14" t="n">
        <x:v>9</x:v>
      </x:c>
      <x:c r="I1247" s="14" t="n">
        <x:v>1</x:v>
      </x:c>
      <x:c r="J1247" s="14" t="n">
        <x:v>4</x:v>
      </x:c>
      <x:c r="K1247" s="14" t="n">
        <x:v>4</x:v>
      </x:c>
      <x:c r="L1247" s="14" t="n">
        <x:v>31</x:v>
      </x:c>
      <x:c r="M1247" s="14" t="n">
        <x:v>37</x:v>
      </x:c>
      <x:c r="N1247" s="15" t="n">
        <x:f>IF(E1247=0,"해당 없음",F1247/E1247)</x:f>
        <x:v>0.00980392156862745</x:v>
      </x:c>
      <x:c r="O1247" s="15" t="n">
        <x:f>IF(E1247=0,"해당 없음",G1247/E1247)</x:f>
        <x:v>0.14705882352941177</x:v>
      </x:c>
      <x:c r="P1247" s="15" t="n">
        <x:f>IF(E1247=0,"해당 없음",H1247/E1247)</x:f>
        <x:v>0.08823529411764706</x:v>
      </x:c>
      <x:c r="Q1247" s="15" t="n">
        <x:f>IF(E1247=0,"해당 없음",I1247/E1247)</x:f>
        <x:v>0.00980392156862745</x:v>
      </x:c>
      <x:c r="R1247" s="15" t="n">
        <x:f>IF(E1247=0,"해당 없음",J1247/E1247)</x:f>
        <x:v>0.0392156862745098</x:v>
      </x:c>
      <x:c r="S1247" s="15" t="n">
        <x:f>IF(E1247=0,"해당 없음",K1247/E1247)</x:f>
        <x:v>0.0392156862745098</x:v>
      </x:c>
      <x:c r="T1247" s="15" t="n">
        <x:f>IF(E1247=0,"해당 없음",L1247/E1247)</x:f>
        <x:v>0.30392156862745096</x:v>
      </x:c>
      <x:c r="U1247" s="15" t="n">
        <x:f>IF(E1247=0,"해당 없음",M1247/E1247)</x:f>
        <x:v>0.3627450980392157</x:v>
      </x:c>
      <x:c r="V1247" s="16" t="n">
        <x:f>E1247/5</x:f>
        <x:v>20.4</x:v>
      </x:c>
    </x:row>
    <x:row r="1248" ht="22" customHeight="1">
      <x:c r="A1248" s="2" t="n">
        <x:v>622</x:v>
      </x:c>
      <x:c r="B1248" s="2" t="str">
        <x:v>RED</x:v>
      </x:c>
      <x:c r="C1248" s="2" t="str">
        <x:v>160만</x:v>
      </x:c>
      <x:c r="D1248" s="2" t="str">
        <x:v>40만</x:v>
      </x:c>
      <x:c r="E1248" s="14" t="n">
        <x:f>SUM(F1248:M1248)</x:f>
        <x:v>103</x:v>
      </x:c>
      <x:c r="F1248" s="14" t="n">
        <x:v>4</x:v>
      </x:c>
      <x:c r="G1248" s="14" t="n">
        <x:v>16</x:v>
      </x:c>
      <x:c r="H1248" s="14" t="n">
        <x:v>6</x:v>
      </x:c>
      <x:c r="I1248" s="14" t="n">
        <x:v>5</x:v>
      </x:c>
      <x:c r="J1248" s="14" t="n">
        <x:v>2</x:v>
      </x:c>
      <x:c r="K1248" s="14" t="n">
        <x:v>5</x:v>
      </x:c>
      <x:c r="L1248" s="14" t="n">
        <x:v>37</x:v>
      </x:c>
      <x:c r="M1248" s="14" t="n">
        <x:v>28</x:v>
      </x:c>
      <x:c r="N1248" s="15" t="n">
        <x:f>IF(E1248=0,"해당 없음",F1248/E1248)</x:f>
        <x:v>0.038834951456310676</x:v>
      </x:c>
      <x:c r="O1248" s="15" t="n">
        <x:f>IF(E1248=0,"해당 없음",G1248/E1248)</x:f>
        <x:v>0.1553398058252427</x:v>
      </x:c>
      <x:c r="P1248" s="15" t="n">
        <x:f>IF(E1248=0,"해당 없음",H1248/E1248)</x:f>
        <x:v>0.05825242718446602</x:v>
      </x:c>
      <x:c r="Q1248" s="15" t="n">
        <x:f>IF(E1248=0,"해당 없음",I1248/E1248)</x:f>
        <x:v>0.04854368932038835</x:v>
      </x:c>
      <x:c r="R1248" s="15" t="n">
        <x:f>IF(E1248=0,"해당 없음",J1248/E1248)</x:f>
        <x:v>0.019417475728155338</x:v>
      </x:c>
      <x:c r="S1248" s="15" t="n">
        <x:f>IF(E1248=0,"해당 없음",K1248/E1248)</x:f>
        <x:v>0.04854368932038835</x:v>
      </x:c>
      <x:c r="T1248" s="15" t="n">
        <x:f>IF(E1248=0,"해당 없음",L1248/E1248)</x:f>
        <x:v>0.3592233009708738</x:v>
      </x:c>
      <x:c r="U1248" s="15" t="n">
        <x:f>IF(E1248=0,"해당 없음",M1248/E1248)</x:f>
        <x:v>0.27184466019417475</x:v>
      </x:c>
      <x:c r="V1248" s="16" t="n">
        <x:f>E1248/5</x:f>
        <x:v>20.6</x:v>
      </x:c>
    </x:row>
    <x:row r="1249" ht="22" customHeight="1">
      <x:c r="A1249" s="2" t="n">
        <x:v>622</x:v>
      </x:c>
      <x:c r="B1249" s="2" t="str">
        <x:v>NAVY</x:v>
      </x:c>
      <x:c r="C1249" s="2" t="str">
        <x:v>40만</x:v>
      </x:c>
      <x:c r="D1249" s="2" t="str">
        <x:v>160만</x:v>
      </x:c>
      <x:c r="E1249" s="14" t="n">
        <x:f>SUM(F1249:M1249)</x:f>
        <x:v>103</x:v>
      </x:c>
      <x:c r="F1249" s="14" t="n">
        <x:v>2</x:v>
      </x:c>
      <x:c r="G1249" s="14" t="n">
        <x:v>28</x:v>
      </x:c>
      <x:c r="H1249" s="14" t="n">
        <x:v>11</x:v>
      </x:c>
      <x:c r="I1249" s="14" t="n">
        <x:v>5</x:v>
      </x:c>
      <x:c r="J1249" s="14" t="n">
        <x:v>6</x:v>
      </x:c>
      <x:c r="K1249" s="14" t="n">
        <x:v>9</x:v>
      </x:c>
      <x:c r="L1249" s="14" t="n">
        <x:v>37</x:v>
      </x:c>
      <x:c r="M1249" s="14" t="n">
        <x:v>5</x:v>
      </x:c>
      <x:c r="N1249" s="15" t="n">
        <x:f>IF(E1249=0,"해당 없음",F1249/E1249)</x:f>
        <x:v>0.019417475728155338</x:v>
      </x:c>
      <x:c r="O1249" s="15" t="n">
        <x:f>IF(E1249=0,"해당 없음",G1249/E1249)</x:f>
        <x:v>0.27184466019417475</x:v>
      </x:c>
      <x:c r="P1249" s="15" t="n">
        <x:f>IF(E1249=0,"해당 없음",H1249/E1249)</x:f>
        <x:v>0.10679611650485436</x:v>
      </x:c>
      <x:c r="Q1249" s="15" t="n">
        <x:f>IF(E1249=0,"해당 없음",I1249/E1249)</x:f>
        <x:v>0.04854368932038835</x:v>
      </x:c>
      <x:c r="R1249" s="15" t="n">
        <x:f>IF(E1249=0,"해당 없음",J1249/E1249)</x:f>
        <x:v>0.05825242718446602</x:v>
      </x:c>
      <x:c r="S1249" s="15" t="n">
        <x:f>IF(E1249=0,"해당 없음",K1249/E1249)</x:f>
        <x:v>0.08737864077669903</x:v>
      </x:c>
      <x:c r="T1249" s="15" t="n">
        <x:f>IF(E1249=0,"해당 없음",L1249/E1249)</x:f>
        <x:v>0.3592233009708738</x:v>
      </x:c>
      <x:c r="U1249" s="15" t="n">
        <x:f>IF(E1249=0,"해당 없음",M1249/E1249)</x:f>
        <x:v>0.04854368932038835</x:v>
      </x:c>
      <x:c r="V1249" s="16" t="n">
        <x:f>E1249/5</x:f>
        <x:v>20.6</x:v>
      </x:c>
    </x:row>
    <x:row r="1250" ht="22" customHeight="1">
      <x:c r="A1250" s="2" t="n">
        <x:v>623</x:v>
      </x:c>
      <x:c r="B1250" s="2" t="str">
        <x:v>RED</x:v>
      </x:c>
      <x:c r="C1250" s="2" t="str">
        <x:v>40만</x:v>
      </x:c>
      <x:c r="D1250" s="2" t="str">
        <x:v>160만</x:v>
      </x:c>
      <x:c r="E1250" s="14" t="n">
        <x:f>SUM(F1250:M1250)</x:f>
        <x:v>105</x:v>
      </x:c>
      <x:c r="F1250" s="14" t="n">
        <x:v>9</x:v>
      </x:c>
      <x:c r="G1250" s="14" t="n">
        <x:v>30</x:v>
      </x:c>
      <x:c r="H1250" s="14" t="n">
        <x:v>7</x:v>
      </x:c>
      <x:c r="I1250" s="14" t="n">
        <x:v>3</x:v>
      </x:c>
      <x:c r="J1250" s="14" t="n">
        <x:v>3</x:v>
      </x:c>
      <x:c r="K1250" s="14" t="n">
        <x:v>12</x:v>
      </x:c>
      <x:c r="L1250" s="14" t="n">
        <x:v>37</x:v>
      </x:c>
      <x:c r="M1250" s="14" t="n">
        <x:v>4</x:v>
      </x:c>
      <x:c r="N1250" s="15" t="n">
        <x:f>IF(E1250=0,"해당 없음",F1250/E1250)</x:f>
        <x:v>0.08571428571428572</x:v>
      </x:c>
      <x:c r="O1250" s="15" t="n">
        <x:f>IF(E1250=0,"해당 없음",G1250/E1250)</x:f>
        <x:v>0.2857142857142857</x:v>
      </x:c>
      <x:c r="P1250" s="15" t="n">
        <x:f>IF(E1250=0,"해당 없음",H1250/E1250)</x:f>
        <x:v>0.06666666666666667</x:v>
      </x:c>
      <x:c r="Q1250" s="15" t="n">
        <x:f>IF(E1250=0,"해당 없음",I1250/E1250)</x:f>
        <x:v>0.02857142857142857</x:v>
      </x:c>
      <x:c r="R1250" s="15" t="n">
        <x:f>IF(E1250=0,"해당 없음",J1250/E1250)</x:f>
        <x:v>0.02857142857142857</x:v>
      </x:c>
      <x:c r="S1250" s="15" t="n">
        <x:f>IF(E1250=0,"해당 없음",K1250/E1250)</x:f>
        <x:v>0.11428571428571428</x:v>
      </x:c>
      <x:c r="T1250" s="15" t="n">
        <x:f>IF(E1250=0,"해당 없음",L1250/E1250)</x:f>
        <x:v>0.3523809523809524</x:v>
      </x:c>
      <x:c r="U1250" s="15" t="n">
        <x:f>IF(E1250=0,"해당 없음",M1250/E1250)</x:f>
        <x:v>0.0380952380952381</x:v>
      </x:c>
      <x:c r="V1250" s="16" t="n">
        <x:f>E1250/5</x:f>
        <x:v>21</x:v>
      </x:c>
    </x:row>
    <x:row r="1251" ht="22" customHeight="1">
      <x:c r="A1251" s="2" t="n">
        <x:v>623</x:v>
      </x:c>
      <x:c r="B1251" s="2" t="str">
        <x:v>NAVY</x:v>
      </x:c>
      <x:c r="C1251" s="2" t="str">
        <x:v>160만</x:v>
      </x:c>
      <x:c r="D1251" s="2" t="str">
        <x:v>40만</x:v>
      </x:c>
      <x:c r="E1251" s="14" t="n">
        <x:f>SUM(F1251:M1251)</x:f>
        <x:v>104</x:v>
      </x:c>
      <x:c r="F1251" s="14" t="n">
        <x:v>4</x:v>
      </x:c>
      <x:c r="G1251" s="14" t="n">
        <x:v>17</x:v>
      </x:c>
      <x:c r="H1251" s="14" t="n">
        <x:v>5</x:v>
      </x:c>
      <x:c r="I1251" s="14" t="n">
        <x:v>5</x:v>
      </x:c>
      <x:c r="J1251" s="14" t="n">
        <x:v>5</x:v>
      </x:c>
      <x:c r="K1251" s="14" t="n">
        <x:v>4</x:v>
      </x:c>
      <x:c r="L1251" s="14" t="n">
        <x:v>32</x:v>
      </x:c>
      <x:c r="M1251" s="14" t="n">
        <x:v>32</x:v>
      </x:c>
      <x:c r="N1251" s="15" t="n">
        <x:f>IF(E1251=0,"해당 없음",F1251/E1251)</x:f>
        <x:v>0.038461538461538464</x:v>
      </x:c>
      <x:c r="O1251" s="15" t="n">
        <x:f>IF(E1251=0,"해당 없음",G1251/E1251)</x:f>
        <x:v>0.16346153846153846</x:v>
      </x:c>
      <x:c r="P1251" s="15" t="n">
        <x:f>IF(E1251=0,"해당 없음",H1251/E1251)</x:f>
        <x:v>0.04807692307692308</x:v>
      </x:c>
      <x:c r="Q1251" s="15" t="n">
        <x:f>IF(E1251=0,"해당 없음",I1251/E1251)</x:f>
        <x:v>0.04807692307692308</x:v>
      </x:c>
      <x:c r="R1251" s="15" t="n">
        <x:f>IF(E1251=0,"해당 없음",J1251/E1251)</x:f>
        <x:v>0.04807692307692308</x:v>
      </x:c>
      <x:c r="S1251" s="15" t="n">
        <x:f>IF(E1251=0,"해당 없음",K1251/E1251)</x:f>
        <x:v>0.038461538461538464</x:v>
      </x:c>
      <x:c r="T1251" s="15" t="n">
        <x:f>IF(E1251=0,"해당 없음",L1251/E1251)</x:f>
        <x:v>0.3076923076923077</x:v>
      </x:c>
      <x:c r="U1251" s="15" t="n">
        <x:f>IF(E1251=0,"해당 없음",M1251/E1251)</x:f>
        <x:v>0.3076923076923077</x:v>
      </x:c>
      <x:c r="V1251" s="16" t="n">
        <x:f>E1251/5</x:f>
        <x:v>20.8</x:v>
      </x:c>
    </x:row>
    <x:row r="1252" ht="22" customHeight="1">
      <x:c r="A1252" s="2" t="n">
        <x:v>624</x:v>
      </x:c>
      <x:c r="B1252" s="2" t="str">
        <x:v>RED</x:v>
      </x:c>
      <x:c r="C1252" s="2" t="str">
        <x:v>160만</x:v>
      </x:c>
      <x:c r="D1252" s="2" t="str">
        <x:v>40만</x:v>
      </x:c>
      <x:c r="E1252" s="14" t="n">
        <x:f>SUM(F1252:M1252)</x:f>
        <x:v>103</x:v>
      </x:c>
      <x:c r="F1252" s="14" t="n">
        <x:v>5</x:v>
      </x:c>
      <x:c r="G1252" s="14" t="n">
        <x:v>22</x:v>
      </x:c>
      <x:c r="H1252" s="14" t="n">
        <x:v>6</x:v>
      </x:c>
      <x:c r="I1252" s="14" t="n">
        <x:v>3</x:v>
      </x:c>
      <x:c r="J1252" s="14" t="n">
        <x:v>7</x:v>
      </x:c>
      <x:c r="K1252" s="14" t="n">
        <x:v>2</x:v>
      </x:c>
      <x:c r="L1252" s="14" t="n">
        <x:v>29</x:v>
      </x:c>
      <x:c r="M1252" s="14" t="n">
        <x:v>29</x:v>
      </x:c>
      <x:c r="N1252" s="15" t="n">
        <x:f>IF(E1252=0,"해당 없음",F1252/E1252)</x:f>
        <x:v>0.04854368932038835</x:v>
      </x:c>
      <x:c r="O1252" s="15" t="n">
        <x:f>IF(E1252=0,"해당 없음",G1252/E1252)</x:f>
        <x:v>0.21359223300970873</x:v>
      </x:c>
      <x:c r="P1252" s="15" t="n">
        <x:f>IF(E1252=0,"해당 없음",H1252/E1252)</x:f>
        <x:v>0.05825242718446602</x:v>
      </x:c>
      <x:c r="Q1252" s="15" t="n">
        <x:f>IF(E1252=0,"해당 없음",I1252/E1252)</x:f>
        <x:v>0.02912621359223301</x:v>
      </x:c>
      <x:c r="R1252" s="15" t="n">
        <x:f>IF(E1252=0,"해당 없음",J1252/E1252)</x:f>
        <x:v>0.06796116504854369</x:v>
      </x:c>
      <x:c r="S1252" s="15" t="n">
        <x:f>IF(E1252=0,"해당 없음",K1252/E1252)</x:f>
        <x:v>0.019417475728155338</x:v>
      </x:c>
      <x:c r="T1252" s="15" t="n">
        <x:f>IF(E1252=0,"해당 없음",L1252/E1252)</x:f>
        <x:v>0.2815533980582524</x:v>
      </x:c>
      <x:c r="U1252" s="15" t="n">
        <x:f>IF(E1252=0,"해당 없음",M1252/E1252)</x:f>
        <x:v>0.2815533980582524</x:v>
      </x:c>
      <x:c r="V1252" s="16" t="n">
        <x:f>E1252/5</x:f>
        <x:v>20.6</x:v>
      </x:c>
    </x:row>
    <x:row r="1253" ht="22" customHeight="1">
      <x:c r="A1253" s="2" t="n">
        <x:v>624</x:v>
      </x:c>
      <x:c r="B1253" s="2" t="str">
        <x:v>NAVY</x:v>
      </x:c>
      <x:c r="C1253" s="2" t="str">
        <x:v>40만</x:v>
      </x:c>
      <x:c r="D1253" s="2" t="str">
        <x:v>160만</x:v>
      </x:c>
      <x:c r="E1253" s="14" t="n">
        <x:f>SUM(F1253:M1253)</x:f>
        <x:v>104</x:v>
      </x:c>
      <x:c r="F1253" s="14" t="n">
        <x:v>5</x:v>
      </x:c>
      <x:c r="G1253" s="14" t="n">
        <x:v>25</x:v>
      </x:c>
      <x:c r="H1253" s="14" t="n">
        <x:v>10</x:v>
      </x:c>
      <x:c r="I1253" s="14" t="n">
        <x:v>5</x:v>
      </x:c>
      <x:c r="J1253" s="14" t="n">
        <x:v>3</x:v>
      </x:c>
      <x:c r="K1253" s="14" t="n">
        <x:v>14</x:v>
      </x:c>
      <x:c r="L1253" s="14" t="n">
        <x:v>37</x:v>
      </x:c>
      <x:c r="M1253" s="14" t="n">
        <x:v>5</x:v>
      </x:c>
      <x:c r="N1253" s="15" t="n">
        <x:f>IF(E1253=0,"해당 없음",F1253/E1253)</x:f>
        <x:v>0.04807692307692308</x:v>
      </x:c>
      <x:c r="O1253" s="15" t="n">
        <x:f>IF(E1253=0,"해당 없음",G1253/E1253)</x:f>
        <x:v>0.2403846153846154</x:v>
      </x:c>
      <x:c r="P1253" s="15" t="n">
        <x:f>IF(E1253=0,"해당 없음",H1253/E1253)</x:f>
        <x:v>0.09615384615384616</x:v>
      </x:c>
      <x:c r="Q1253" s="15" t="n">
        <x:f>IF(E1253=0,"해당 없음",I1253/E1253)</x:f>
        <x:v>0.04807692307692308</x:v>
      </x:c>
      <x:c r="R1253" s="15" t="n">
        <x:f>IF(E1253=0,"해당 없음",J1253/E1253)</x:f>
        <x:v>0.028846153846153848</x:v>
      </x:c>
      <x:c r="S1253" s="15" t="n">
        <x:f>IF(E1253=0,"해당 없음",K1253/E1253)</x:f>
        <x:v>0.1346153846153846</x:v>
      </x:c>
      <x:c r="T1253" s="15" t="n">
        <x:f>IF(E1253=0,"해당 없음",L1253/E1253)</x:f>
        <x:v>0.3557692307692308</x:v>
      </x:c>
      <x:c r="U1253" s="15" t="n">
        <x:f>IF(E1253=0,"해당 없음",M1253/E1253)</x:f>
        <x:v>0.04807692307692308</x:v>
      </x:c>
      <x:c r="V1253" s="16" t="n">
        <x:f>E1253/5</x:f>
        <x:v>20.8</x:v>
      </x:c>
    </x:row>
    <x:row r="1254" ht="22" customHeight="1">
      <x:c r="A1254" s="2" t="n">
        <x:v>625</x:v>
      </x:c>
      <x:c r="B1254" s="2" t="str">
        <x:v>RED</x:v>
      </x:c>
      <x:c r="C1254" s="2" t="str">
        <x:v>40만</x:v>
      </x:c>
      <x:c r="D1254" s="2" t="str">
        <x:v>160만</x:v>
      </x:c>
      <x:c r="E1254" s="14" t="n">
        <x:f>SUM(F1254:M1254)</x:f>
        <x:v>103</x:v>
      </x:c>
      <x:c r="F1254" s="14" t="n">
        <x:v>3</x:v>
      </x:c>
      <x:c r="G1254" s="14" t="n">
        <x:v>21</x:v>
      </x:c>
      <x:c r="H1254" s="14" t="n">
        <x:v>7</x:v>
      </x:c>
      <x:c r="I1254" s="14" t="n">
        <x:v>8</x:v>
      </x:c>
      <x:c r="J1254" s="14" t="n">
        <x:v>6</x:v>
      </x:c>
      <x:c r="K1254" s="14" t="n">
        <x:v>10</x:v>
      </x:c>
      <x:c r="L1254" s="14" t="n">
        <x:v>43</x:v>
      </x:c>
      <x:c r="M1254" s="14" t="n">
        <x:v>5</x:v>
      </x:c>
      <x:c r="N1254" s="15" t="n">
        <x:f>IF(E1254=0,"해당 없음",F1254/E1254)</x:f>
        <x:v>0.02912621359223301</x:v>
      </x:c>
      <x:c r="O1254" s="15" t="n">
        <x:f>IF(E1254=0,"해당 없음",G1254/E1254)</x:f>
        <x:v>0.20388349514563106</x:v>
      </x:c>
      <x:c r="P1254" s="15" t="n">
        <x:f>IF(E1254=0,"해당 없음",H1254/E1254)</x:f>
        <x:v>0.06796116504854369</x:v>
      </x:c>
      <x:c r="Q1254" s="15" t="n">
        <x:f>IF(E1254=0,"해당 없음",I1254/E1254)</x:f>
        <x:v>0.07766990291262135</x:v>
      </x:c>
      <x:c r="R1254" s="15" t="n">
        <x:f>IF(E1254=0,"해당 없음",J1254/E1254)</x:f>
        <x:v>0.05825242718446602</x:v>
      </x:c>
      <x:c r="S1254" s="15" t="n">
        <x:f>IF(E1254=0,"해당 없음",K1254/E1254)</x:f>
        <x:v>0.0970873786407767</x:v>
      </x:c>
      <x:c r="T1254" s="15" t="n">
        <x:f>IF(E1254=0,"해당 없음",L1254/E1254)</x:f>
        <x:v>0.4174757281553398</x:v>
      </x:c>
      <x:c r="U1254" s="15" t="n">
        <x:f>IF(E1254=0,"해당 없음",M1254/E1254)</x:f>
        <x:v>0.04854368932038835</x:v>
      </x:c>
      <x:c r="V1254" s="16" t="n">
        <x:f>E1254/5</x:f>
        <x:v>20.6</x:v>
      </x:c>
    </x:row>
    <x:row r="1255" ht="22" customHeight="1">
      <x:c r="A1255" s="2" t="n">
        <x:v>625</x:v>
      </x:c>
      <x:c r="B1255" s="2" t="str">
        <x:v>NAVY</x:v>
      </x:c>
      <x:c r="C1255" s="2" t="str">
        <x:v>160만</x:v>
      </x:c>
      <x:c r="D1255" s="2" t="str">
        <x:v>40만</x:v>
      </x:c>
      <x:c r="E1255" s="14" t="n">
        <x:f>SUM(F1255:M1255)</x:f>
        <x:v>104</x:v>
      </x:c>
      <x:c r="F1255" s="14" t="n">
        <x:v>2</x:v>
      </x:c>
      <x:c r="G1255" s="14" t="n">
        <x:v>22</x:v>
      </x:c>
      <x:c r="H1255" s="14" t="n">
        <x:v>5</x:v>
      </x:c>
      <x:c r="I1255" s="14" t="n">
        <x:v>7</x:v>
      </x:c>
      <x:c r="J1255" s="14" t="n">
        <x:v>3</x:v>
      </x:c>
      <x:c r="K1255" s="14" t="n">
        <x:v>5</x:v>
      </x:c>
      <x:c r="L1255" s="14" t="n">
        <x:v>33</x:v>
      </x:c>
      <x:c r="M1255" s="14" t="n">
        <x:v>27</x:v>
      </x:c>
      <x:c r="N1255" s="15" t="n">
        <x:f>IF(E1255=0,"해당 없음",F1255/E1255)</x:f>
        <x:v>0.019230769230769232</x:v>
      </x:c>
      <x:c r="O1255" s="15" t="n">
        <x:f>IF(E1255=0,"해당 없음",G1255/E1255)</x:f>
        <x:v>0.21153846153846154</x:v>
      </x:c>
      <x:c r="P1255" s="15" t="n">
        <x:f>IF(E1255=0,"해당 없음",H1255/E1255)</x:f>
        <x:v>0.04807692307692308</x:v>
      </x:c>
      <x:c r="Q1255" s="15" t="n">
        <x:f>IF(E1255=0,"해당 없음",I1255/E1255)</x:f>
        <x:v>0.0673076923076923</x:v>
      </x:c>
      <x:c r="R1255" s="15" t="n">
        <x:f>IF(E1255=0,"해당 없음",J1255/E1255)</x:f>
        <x:v>0.028846153846153848</x:v>
      </x:c>
      <x:c r="S1255" s="15" t="n">
        <x:f>IF(E1255=0,"해당 없음",K1255/E1255)</x:f>
        <x:v>0.04807692307692308</x:v>
      </x:c>
      <x:c r="T1255" s="15" t="n">
        <x:f>IF(E1255=0,"해당 없음",L1255/E1255)</x:f>
        <x:v>0.3173076923076923</x:v>
      </x:c>
      <x:c r="U1255" s="15" t="n">
        <x:f>IF(E1255=0,"해당 없음",M1255/E1255)</x:f>
        <x:v>0.25961538461538464</x:v>
      </x:c>
      <x:c r="V1255" s="16" t="n">
        <x:f>E1255/5</x:f>
        <x:v>20.8</x:v>
      </x:c>
    </x:row>
    <x:row r="1256" ht="22" customHeight="1">
      <x:c r="A1256" s="2" t="n">
        <x:v>626</x:v>
      </x:c>
      <x:c r="B1256" s="2" t="str">
        <x:v>RED</x:v>
      </x:c>
      <x:c r="C1256" s="2" t="str">
        <x:v>160만</x:v>
      </x:c>
      <x:c r="D1256" s="2" t="str">
        <x:v>40만</x:v>
      </x:c>
      <x:c r="E1256" s="14" t="n">
        <x:f>SUM(F1256:M1256)</x:f>
        <x:v>100</x:v>
      </x:c>
      <x:c r="F1256" s="14" t="n">
        <x:v>3</x:v>
      </x:c>
      <x:c r="G1256" s="14" t="n">
        <x:v>20</x:v>
      </x:c>
      <x:c r="H1256" s="14" t="n">
        <x:v>6</x:v>
      </x:c>
      <x:c r="I1256" s="14" t="n">
        <x:v>4</x:v>
      </x:c>
      <x:c r="J1256" s="14" t="n">
        <x:v>1</x:v>
      </x:c>
      <x:c r="K1256" s="14" t="n">
        <x:v>10</x:v>
      </x:c>
      <x:c r="L1256" s="14" t="n">
        <x:v>25</x:v>
      </x:c>
      <x:c r="M1256" s="14" t="n">
        <x:v>31</x:v>
      </x:c>
      <x:c r="N1256" s="15" t="n">
        <x:f>IF(E1256=0,"해당 없음",F1256/E1256)</x:f>
        <x:v>0.03</x:v>
      </x:c>
      <x:c r="O1256" s="15" t="n">
        <x:f>IF(E1256=0,"해당 없음",G1256/E1256)</x:f>
        <x:v>0.2</x:v>
      </x:c>
      <x:c r="P1256" s="15" t="n">
        <x:f>IF(E1256=0,"해당 없음",H1256/E1256)</x:f>
        <x:v>0.06</x:v>
      </x:c>
      <x:c r="Q1256" s="15" t="n">
        <x:f>IF(E1256=0,"해당 없음",I1256/E1256)</x:f>
        <x:v>0.04</x:v>
      </x:c>
      <x:c r="R1256" s="15" t="n">
        <x:f>IF(E1256=0,"해당 없음",J1256/E1256)</x:f>
        <x:v>0.01</x:v>
      </x:c>
      <x:c r="S1256" s="15" t="n">
        <x:f>IF(E1256=0,"해당 없음",K1256/E1256)</x:f>
        <x:v>0.1</x:v>
      </x:c>
      <x:c r="T1256" s="15" t="n">
        <x:f>IF(E1256=0,"해당 없음",L1256/E1256)</x:f>
        <x:v>0.25</x:v>
      </x:c>
      <x:c r="U1256" s="15" t="n">
        <x:f>IF(E1256=0,"해당 없음",M1256/E1256)</x:f>
        <x:v>0.31</x:v>
      </x:c>
      <x:c r="V1256" s="16" t="n">
        <x:f>E1256/5</x:f>
        <x:v>20</x:v>
      </x:c>
    </x:row>
    <x:row r="1257" ht="22" customHeight="1">
      <x:c r="A1257" s="2" t="n">
        <x:v>626</x:v>
      </x:c>
      <x:c r="B1257" s="2" t="str">
        <x:v>NAVY</x:v>
      </x:c>
      <x:c r="C1257" s="2" t="str">
        <x:v>40만</x:v>
      </x:c>
      <x:c r="D1257" s="2" t="str">
        <x:v>160만</x:v>
      </x:c>
      <x:c r="E1257" s="14" t="n">
        <x:f>SUM(F1257:M1257)</x:f>
        <x:v>101</x:v>
      </x:c>
      <x:c r="F1257" s="14" t="n">
        <x:v>2</x:v>
      </x:c>
      <x:c r="G1257" s="14" t="n">
        <x:v>29</x:v>
      </x:c>
      <x:c r="H1257" s="14" t="n">
        <x:v>7</x:v>
      </x:c>
      <x:c r="I1257" s="14" t="n">
        <x:v>5</x:v>
      </x:c>
      <x:c r="J1257" s="14" t="n">
        <x:v>7</x:v>
      </x:c>
      <x:c r="K1257" s="14" t="n">
        <x:v>16</x:v>
      </x:c>
      <x:c r="L1257" s="14" t="n">
        <x:v>32</x:v>
      </x:c>
      <x:c r="M1257" s="14" t="n">
        <x:v>3</x:v>
      </x:c>
      <x:c r="N1257" s="15" t="n">
        <x:f>IF(E1257=0,"해당 없음",F1257/E1257)</x:f>
        <x:v>0.019801980198019802</x:v>
      </x:c>
      <x:c r="O1257" s="15" t="n">
        <x:f>IF(E1257=0,"해당 없음",G1257/E1257)</x:f>
        <x:v>0.2871287128712871</x:v>
      </x:c>
      <x:c r="P1257" s="15" t="n">
        <x:f>IF(E1257=0,"해당 없음",H1257/E1257)</x:f>
        <x:v>0.06930693069306931</x:v>
      </x:c>
      <x:c r="Q1257" s="15" t="n">
        <x:f>IF(E1257=0,"해당 없음",I1257/E1257)</x:f>
        <x:v>0.04950495049504951</x:v>
      </x:c>
      <x:c r="R1257" s="15" t="n">
        <x:f>IF(E1257=0,"해당 없음",J1257/E1257)</x:f>
        <x:v>0.06930693069306931</x:v>
      </x:c>
      <x:c r="S1257" s="15" t="n">
        <x:f>IF(E1257=0,"해당 없음",K1257/E1257)</x:f>
        <x:v>0.15841584158415842</x:v>
      </x:c>
      <x:c r="T1257" s="15" t="n">
        <x:f>IF(E1257=0,"해당 없음",L1257/E1257)</x:f>
        <x:v>0.31683168316831684</x:v>
      </x:c>
      <x:c r="U1257" s="15" t="n">
        <x:f>IF(E1257=0,"해당 없음",M1257/E1257)</x:f>
        <x:v>0.0297029702970297</x:v>
      </x:c>
      <x:c r="V1257" s="16" t="n">
        <x:f>E1257/5</x:f>
        <x:v>20.2</x:v>
      </x:c>
    </x:row>
    <x:row r="1258" ht="22" customHeight="1">
      <x:c r="A1258" s="2" t="n">
        <x:v>627</x:v>
      </x:c>
      <x:c r="B1258" s="2" t="str">
        <x:v>RED</x:v>
      </x:c>
      <x:c r="C1258" s="2" t="str">
        <x:v>40만</x:v>
      </x:c>
      <x:c r="D1258" s="2" t="str">
        <x:v>160만</x:v>
      </x:c>
      <x:c r="E1258" s="14" t="n">
        <x:f>SUM(F1258:M1258)</x:f>
        <x:v>102</x:v>
      </x:c>
      <x:c r="F1258" s="14" t="n">
        <x:v>3</x:v>
      </x:c>
      <x:c r="G1258" s="14" t="n">
        <x:v>22</x:v>
      </x:c>
      <x:c r="H1258" s="14" t="n">
        <x:v>3</x:v>
      </x:c>
      <x:c r="I1258" s="14" t="n">
        <x:v>9</x:v>
      </x:c>
      <x:c r="J1258" s="14" t="n">
        <x:v>9</x:v>
      </x:c>
      <x:c r="K1258" s="14" t="n">
        <x:v>8</x:v>
      </x:c>
      <x:c r="L1258" s="14" t="n">
        <x:v>41</x:v>
      </x:c>
      <x:c r="M1258" s="14" t="n">
        <x:v>7</x:v>
      </x:c>
      <x:c r="N1258" s="15" t="n">
        <x:f>IF(E1258=0,"해당 없음",F1258/E1258)</x:f>
        <x:v>0.029411764705882353</x:v>
      </x:c>
      <x:c r="O1258" s="15" t="n">
        <x:f>IF(E1258=0,"해당 없음",G1258/E1258)</x:f>
        <x:v>0.21568627450980393</x:v>
      </x:c>
      <x:c r="P1258" s="15" t="n">
        <x:f>IF(E1258=0,"해당 없음",H1258/E1258)</x:f>
        <x:v>0.029411764705882353</x:v>
      </x:c>
      <x:c r="Q1258" s="15" t="n">
        <x:f>IF(E1258=0,"해당 없음",I1258/E1258)</x:f>
        <x:v>0.08823529411764706</x:v>
      </x:c>
      <x:c r="R1258" s="15" t="n">
        <x:f>IF(E1258=0,"해당 없음",J1258/E1258)</x:f>
        <x:v>0.08823529411764706</x:v>
      </x:c>
      <x:c r="S1258" s="15" t="n">
        <x:f>IF(E1258=0,"해당 없음",K1258/E1258)</x:f>
        <x:v>0.0784313725490196</x:v>
      </x:c>
      <x:c r="T1258" s="15" t="n">
        <x:f>IF(E1258=0,"해당 없음",L1258/E1258)</x:f>
        <x:v>0.4019607843137255</x:v>
      </x:c>
      <x:c r="U1258" s="15" t="n">
        <x:f>IF(E1258=0,"해당 없음",M1258/E1258)</x:f>
        <x:v>0.06862745098039216</x:v>
      </x:c>
      <x:c r="V1258" s="16" t="n">
        <x:f>E1258/5</x:f>
        <x:v>20.4</x:v>
      </x:c>
    </x:row>
    <x:row r="1259" ht="22" customHeight="1">
      <x:c r="A1259" s="2" t="n">
        <x:v>627</x:v>
      </x:c>
      <x:c r="B1259" s="2" t="str">
        <x:v>NAVY</x:v>
      </x:c>
      <x:c r="C1259" s="2" t="str">
        <x:v>160만</x:v>
      </x:c>
      <x:c r="D1259" s="2" t="str">
        <x:v>40만</x:v>
      </x:c>
      <x:c r="E1259" s="14" t="n">
        <x:f>SUM(F1259:M1259)</x:f>
        <x:v>106</x:v>
      </x:c>
      <x:c r="F1259" s="14" t="n">
        <x:v>2</x:v>
      </x:c>
      <x:c r="G1259" s="14" t="n">
        <x:v>19</x:v>
      </x:c>
      <x:c r="H1259" s="14" t="n">
        <x:v>5</x:v>
      </x:c>
      <x:c r="I1259" s="14" t="n">
        <x:v>5</x:v>
      </x:c>
      <x:c r="J1259" s="14" t="n">
        <x:v>6</x:v>
      </x:c>
      <x:c r="K1259" s="14" t="n">
        <x:v>10</x:v>
      </x:c>
      <x:c r="L1259" s="14" t="n">
        <x:v>33</x:v>
      </x:c>
      <x:c r="M1259" s="14" t="n">
        <x:v>26</x:v>
      </x:c>
      <x:c r="N1259" s="15" t="n">
        <x:f>IF(E1259=0,"해당 없음",F1259/E1259)</x:f>
        <x:v>0.018867924528301886</x:v>
      </x:c>
      <x:c r="O1259" s="15" t="n">
        <x:f>IF(E1259=0,"해당 없음",G1259/E1259)</x:f>
        <x:v>0.1792452830188679</x:v>
      </x:c>
      <x:c r="P1259" s="15" t="n">
        <x:f>IF(E1259=0,"해당 없음",H1259/E1259)</x:f>
        <x:v>0.04716981132075472</x:v>
      </x:c>
      <x:c r="Q1259" s="15" t="n">
        <x:f>IF(E1259=0,"해당 없음",I1259/E1259)</x:f>
        <x:v>0.04716981132075472</x:v>
      </x:c>
      <x:c r="R1259" s="15" t="n">
        <x:f>IF(E1259=0,"해당 없음",J1259/E1259)</x:f>
        <x:v>0.05660377358490566</x:v>
      </x:c>
      <x:c r="S1259" s="15" t="n">
        <x:f>IF(E1259=0,"해당 없음",K1259/E1259)</x:f>
        <x:v>0.09433962264150944</x:v>
      </x:c>
      <x:c r="T1259" s="15" t="n">
        <x:f>IF(E1259=0,"해당 없음",L1259/E1259)</x:f>
        <x:v>0.3113207547169811</x:v>
      </x:c>
      <x:c r="U1259" s="15" t="n">
        <x:f>IF(E1259=0,"해당 없음",M1259/E1259)</x:f>
        <x:v>0.24528301886792453</x:v>
      </x:c>
      <x:c r="V1259" s="16" t="n">
        <x:f>E1259/5</x:f>
        <x:v>21.2</x:v>
      </x:c>
    </x:row>
    <x:row r="1260" ht="22" customHeight="1">
      <x:c r="A1260" s="2" t="n">
        <x:v>628</x:v>
      </x:c>
      <x:c r="B1260" s="2" t="str">
        <x:v>RED</x:v>
      </x:c>
      <x:c r="C1260" s="2" t="str">
        <x:v>160만</x:v>
      </x:c>
      <x:c r="D1260" s="2" t="str">
        <x:v>40만</x:v>
      </x:c>
      <x:c r="E1260" s="14" t="n">
        <x:f>SUM(F1260:M1260)</x:f>
        <x:v>102</x:v>
      </x:c>
      <x:c r="F1260" s="14" t="n">
        <x:v>6</x:v>
      </x:c>
      <x:c r="G1260" s="14" t="n">
        <x:v>13</x:v>
      </x:c>
      <x:c r="H1260" s="14" t="n">
        <x:v>9</x:v>
      </x:c>
      <x:c r="I1260" s="14" t="n">
        <x:v>4</x:v>
      </x:c>
      <x:c r="J1260" s="14" t="n">
        <x:v>6</x:v>
      </x:c>
      <x:c r="K1260" s="14" t="n">
        <x:v>7</x:v>
      </x:c>
      <x:c r="L1260" s="14" t="n">
        <x:v>31</x:v>
      </x:c>
      <x:c r="M1260" s="14" t="n">
        <x:v>26</x:v>
      </x:c>
      <x:c r="N1260" s="15" t="n">
        <x:f>IF(E1260=0,"해당 없음",F1260/E1260)</x:f>
        <x:v>0.058823529411764705</x:v>
      </x:c>
      <x:c r="O1260" s="15" t="n">
        <x:f>IF(E1260=0,"해당 없음",G1260/E1260)</x:f>
        <x:v>0.12745098039215685</x:v>
      </x:c>
      <x:c r="P1260" s="15" t="n">
        <x:f>IF(E1260=0,"해당 없음",H1260/E1260)</x:f>
        <x:v>0.08823529411764706</x:v>
      </x:c>
      <x:c r="Q1260" s="15" t="n">
        <x:f>IF(E1260=0,"해당 없음",I1260/E1260)</x:f>
        <x:v>0.0392156862745098</x:v>
      </x:c>
      <x:c r="R1260" s="15" t="n">
        <x:f>IF(E1260=0,"해당 없음",J1260/E1260)</x:f>
        <x:v>0.058823529411764705</x:v>
      </x:c>
      <x:c r="S1260" s="15" t="n">
        <x:f>IF(E1260=0,"해당 없음",K1260/E1260)</x:f>
        <x:v>0.06862745098039216</x:v>
      </x:c>
      <x:c r="T1260" s="15" t="n">
        <x:f>IF(E1260=0,"해당 없음",L1260/E1260)</x:f>
        <x:v>0.30392156862745096</x:v>
      </x:c>
      <x:c r="U1260" s="15" t="n">
        <x:f>IF(E1260=0,"해당 없음",M1260/E1260)</x:f>
        <x:v>0.2549019607843137</x:v>
      </x:c>
      <x:c r="V1260" s="16" t="n">
        <x:f>E1260/5</x:f>
        <x:v>20.4</x:v>
      </x:c>
    </x:row>
    <x:row r="1261" ht="22" customHeight="1">
      <x:c r="A1261" s="2" t="n">
        <x:v>628</x:v>
      </x:c>
      <x:c r="B1261" s="2" t="str">
        <x:v>NAVY</x:v>
      </x:c>
      <x:c r="C1261" s="2" t="str">
        <x:v>40만</x:v>
      </x:c>
      <x:c r="D1261" s="2" t="str">
        <x:v>160만</x:v>
      </x:c>
      <x:c r="E1261" s="14" t="n">
        <x:f>SUM(F1261:M1261)</x:f>
        <x:v>104</x:v>
      </x:c>
      <x:c r="F1261" s="14" t="n">
        <x:v>0</x:v>
      </x:c>
      <x:c r="G1261" s="14" t="n">
        <x:v>30</x:v>
      </x:c>
      <x:c r="H1261" s="14" t="n">
        <x:v>7</x:v>
      </x:c>
      <x:c r="I1261" s="14" t="n">
        <x:v>9</x:v>
      </x:c>
      <x:c r="J1261" s="14" t="n">
        <x:v>7</x:v>
      </x:c>
      <x:c r="K1261" s="14" t="n">
        <x:v>10</x:v>
      </x:c>
      <x:c r="L1261" s="14" t="n">
        <x:v>34</x:v>
      </x:c>
      <x:c r="M1261" s="14" t="n">
        <x:v>7</x:v>
      </x:c>
      <x:c r="N1261" s="15" t="n">
        <x:f>IF(E1261=0,"해당 없음",F1261/E1261)</x:f>
        <x:v>0</x:v>
      </x:c>
      <x:c r="O1261" s="15" t="n">
        <x:f>IF(E1261=0,"해당 없음",G1261/E1261)</x:f>
        <x:v>0.28846153846153844</x:v>
      </x:c>
      <x:c r="P1261" s="15" t="n">
        <x:f>IF(E1261=0,"해당 없음",H1261/E1261)</x:f>
        <x:v>0.0673076923076923</x:v>
      </x:c>
      <x:c r="Q1261" s="15" t="n">
        <x:f>IF(E1261=0,"해당 없음",I1261/E1261)</x:f>
        <x:v>0.08653846153846154</x:v>
      </x:c>
      <x:c r="R1261" s="15" t="n">
        <x:f>IF(E1261=0,"해당 없음",J1261/E1261)</x:f>
        <x:v>0.0673076923076923</x:v>
      </x:c>
      <x:c r="S1261" s="15" t="n">
        <x:f>IF(E1261=0,"해당 없음",K1261/E1261)</x:f>
        <x:v>0.09615384615384616</x:v>
      </x:c>
      <x:c r="T1261" s="15" t="n">
        <x:f>IF(E1261=0,"해당 없음",L1261/E1261)</x:f>
        <x:v>0.3269230769230769</x:v>
      </x:c>
      <x:c r="U1261" s="15" t="n">
        <x:f>IF(E1261=0,"해당 없음",M1261/E1261)</x:f>
        <x:v>0.0673076923076923</x:v>
      </x:c>
      <x:c r="V1261" s="16" t="n">
        <x:f>E1261/5</x:f>
        <x:v>20.8</x:v>
      </x:c>
    </x:row>
    <x:row r="1262" ht="22" customHeight="1">
      <x:c r="A1262" s="2" t="n">
        <x:v>629</x:v>
      </x:c>
      <x:c r="B1262" s="2" t="str">
        <x:v>RED</x:v>
      </x:c>
      <x:c r="C1262" s="2" t="str">
        <x:v>40만</x:v>
      </x:c>
      <x:c r="D1262" s="2" t="str">
        <x:v>160만</x:v>
      </x:c>
      <x:c r="E1262" s="14" t="n">
        <x:f>SUM(F1262:M1262)</x:f>
        <x:v>104</x:v>
      </x:c>
      <x:c r="F1262" s="14" t="n">
        <x:v>2</x:v>
      </x:c>
      <x:c r="G1262" s="14" t="n">
        <x:v>27</x:v>
      </x:c>
      <x:c r="H1262" s="14" t="n">
        <x:v>6</x:v>
      </x:c>
      <x:c r="I1262" s="14" t="n">
        <x:v>4</x:v>
      </x:c>
      <x:c r="J1262" s="14" t="n">
        <x:v>8</x:v>
      </x:c>
      <x:c r="K1262" s="14" t="n">
        <x:v>11</x:v>
      </x:c>
      <x:c r="L1262" s="14" t="n">
        <x:v>41</x:v>
      </x:c>
      <x:c r="M1262" s="14" t="n">
        <x:v>5</x:v>
      </x:c>
      <x:c r="N1262" s="15" t="n">
        <x:f>IF(E1262=0,"해당 없음",F1262/E1262)</x:f>
        <x:v>0.019230769230769232</x:v>
      </x:c>
      <x:c r="O1262" s="15" t="n">
        <x:f>IF(E1262=0,"해당 없음",G1262/E1262)</x:f>
        <x:v>0.25961538461538464</x:v>
      </x:c>
      <x:c r="P1262" s="15" t="n">
        <x:f>IF(E1262=0,"해당 없음",H1262/E1262)</x:f>
        <x:v>0.057692307692307696</x:v>
      </x:c>
      <x:c r="Q1262" s="15" t="n">
        <x:f>IF(E1262=0,"해당 없음",I1262/E1262)</x:f>
        <x:v>0.038461538461538464</x:v>
      </x:c>
      <x:c r="R1262" s="15" t="n">
        <x:f>IF(E1262=0,"해당 없음",J1262/E1262)</x:f>
        <x:v>0.07692307692307693</x:v>
      </x:c>
      <x:c r="S1262" s="15" t="n">
        <x:f>IF(E1262=0,"해당 없음",K1262/E1262)</x:f>
        <x:v>0.10576923076923077</x:v>
      </x:c>
      <x:c r="T1262" s="15" t="n">
        <x:f>IF(E1262=0,"해당 없음",L1262/E1262)</x:f>
        <x:v>0.3942307692307692</x:v>
      </x:c>
      <x:c r="U1262" s="15" t="n">
        <x:f>IF(E1262=0,"해당 없음",M1262/E1262)</x:f>
        <x:v>0.04807692307692308</x:v>
      </x:c>
      <x:c r="V1262" s="16" t="n">
        <x:f>E1262/5</x:f>
        <x:v>20.8</x:v>
      </x:c>
    </x:row>
    <x:row r="1263" ht="22" customHeight="1">
      <x:c r="A1263" s="2" t="n">
        <x:v>629</x:v>
      </x:c>
      <x:c r="B1263" s="2" t="str">
        <x:v>NAVY</x:v>
      </x:c>
      <x:c r="C1263" s="2" t="str">
        <x:v>160만</x:v>
      </x:c>
      <x:c r="D1263" s="2" t="str">
        <x:v>40만</x:v>
      </x:c>
      <x:c r="E1263" s="14" t="n">
        <x:f>SUM(F1263:M1263)</x:f>
        <x:v>102</x:v>
      </x:c>
      <x:c r="F1263" s="14" t="n">
        <x:v>5</x:v>
      </x:c>
      <x:c r="G1263" s="14" t="n">
        <x:v>16</x:v>
      </x:c>
      <x:c r="H1263" s="14" t="n">
        <x:v>7</x:v>
      </x:c>
      <x:c r="I1263" s="14" t="n">
        <x:v>4</x:v>
      </x:c>
      <x:c r="J1263" s="14" t="n">
        <x:v>4</x:v>
      </x:c>
      <x:c r="K1263" s="14" t="n">
        <x:v>3</x:v>
      </x:c>
      <x:c r="L1263" s="14" t="n">
        <x:v>35</x:v>
      </x:c>
      <x:c r="M1263" s="14" t="n">
        <x:v>28</x:v>
      </x:c>
      <x:c r="N1263" s="15" t="n">
        <x:f>IF(E1263=0,"해당 없음",F1263/E1263)</x:f>
        <x:v>0.049019607843137254</x:v>
      </x:c>
      <x:c r="O1263" s="15" t="n">
        <x:f>IF(E1263=0,"해당 없음",G1263/E1263)</x:f>
        <x:v>0.1568627450980392</x:v>
      </x:c>
      <x:c r="P1263" s="15" t="n">
        <x:f>IF(E1263=0,"해당 없음",H1263/E1263)</x:f>
        <x:v>0.06862745098039216</x:v>
      </x:c>
      <x:c r="Q1263" s="15" t="n">
        <x:f>IF(E1263=0,"해당 없음",I1263/E1263)</x:f>
        <x:v>0.0392156862745098</x:v>
      </x:c>
      <x:c r="R1263" s="15" t="n">
        <x:f>IF(E1263=0,"해당 없음",J1263/E1263)</x:f>
        <x:v>0.0392156862745098</x:v>
      </x:c>
      <x:c r="S1263" s="15" t="n">
        <x:f>IF(E1263=0,"해당 없음",K1263/E1263)</x:f>
        <x:v>0.029411764705882353</x:v>
      </x:c>
      <x:c r="T1263" s="15" t="n">
        <x:f>IF(E1263=0,"해당 없음",L1263/E1263)</x:f>
        <x:v>0.3431372549019608</x:v>
      </x:c>
      <x:c r="U1263" s="15" t="n">
        <x:f>IF(E1263=0,"해당 없음",M1263/E1263)</x:f>
        <x:v>0.27450980392156865</x:v>
      </x:c>
      <x:c r="V1263" s="16" t="n">
        <x:f>E1263/5</x:f>
        <x:v>20.4</x:v>
      </x:c>
    </x:row>
    <x:row r="1264" ht="22" customHeight="1">
      <x:c r="A1264" s="2" t="n">
        <x:v>630</x:v>
      </x:c>
      <x:c r="B1264" s="2" t="str">
        <x:v>RED</x:v>
      </x:c>
      <x:c r="C1264" s="2" t="str">
        <x:v>160만</x:v>
      </x:c>
      <x:c r="D1264" s="2" t="str">
        <x:v>40만</x:v>
      </x:c>
      <x:c r="E1264" s="14" t="n">
        <x:f>SUM(F1264:M1264)</x:f>
        <x:v>103</x:v>
      </x:c>
      <x:c r="F1264" s="14" t="n">
        <x:v>3</x:v>
      </x:c>
      <x:c r="G1264" s="14" t="n">
        <x:v>13</x:v>
      </x:c>
      <x:c r="H1264" s="14" t="n">
        <x:v>3</x:v>
      </x:c>
      <x:c r="I1264" s="14" t="n">
        <x:v>8</x:v>
      </x:c>
      <x:c r="J1264" s="14" t="n">
        <x:v>4</x:v>
      </x:c>
      <x:c r="K1264" s="14" t="n">
        <x:v>6</x:v>
      </x:c>
      <x:c r="L1264" s="14" t="n">
        <x:v>32</x:v>
      </x:c>
      <x:c r="M1264" s="14" t="n">
        <x:v>34</x:v>
      </x:c>
      <x:c r="N1264" s="15" t="n">
        <x:f>IF(E1264=0,"해당 없음",F1264/E1264)</x:f>
        <x:v>0.02912621359223301</x:v>
      </x:c>
      <x:c r="O1264" s="15" t="n">
        <x:f>IF(E1264=0,"해당 없음",G1264/E1264)</x:f>
        <x:v>0.1262135922330097</x:v>
      </x:c>
      <x:c r="P1264" s="15" t="n">
        <x:f>IF(E1264=0,"해당 없음",H1264/E1264)</x:f>
        <x:v>0.02912621359223301</x:v>
      </x:c>
      <x:c r="Q1264" s="15" t="n">
        <x:f>IF(E1264=0,"해당 없음",I1264/E1264)</x:f>
        <x:v>0.07766990291262135</x:v>
      </x:c>
      <x:c r="R1264" s="15" t="n">
        <x:f>IF(E1264=0,"해당 없음",J1264/E1264)</x:f>
        <x:v>0.038834951456310676</x:v>
      </x:c>
      <x:c r="S1264" s="15" t="n">
        <x:f>IF(E1264=0,"해당 없음",K1264/E1264)</x:f>
        <x:v>0.05825242718446602</x:v>
      </x:c>
      <x:c r="T1264" s="15" t="n">
        <x:f>IF(E1264=0,"해당 없음",L1264/E1264)</x:f>
        <x:v>0.3106796116504854</x:v>
      </x:c>
      <x:c r="U1264" s="15" t="n">
        <x:f>IF(E1264=0,"해당 없음",M1264/E1264)</x:f>
        <x:v>0.3300970873786408</x:v>
      </x:c>
      <x:c r="V1264" s="16" t="n">
        <x:f>E1264/5</x:f>
        <x:v>20.6</x:v>
      </x:c>
    </x:row>
    <x:row r="1265" ht="22" customHeight="1">
      <x:c r="A1265" s="2" t="n">
        <x:v>630</x:v>
      </x:c>
      <x:c r="B1265" s="2" t="str">
        <x:v>NAVY</x:v>
      </x:c>
      <x:c r="C1265" s="2" t="str">
        <x:v>40만</x:v>
      </x:c>
      <x:c r="D1265" s="2" t="str">
        <x:v>160만</x:v>
      </x:c>
      <x:c r="E1265" s="14" t="n">
        <x:f>SUM(F1265:M1265)</x:f>
        <x:v>103</x:v>
      </x:c>
      <x:c r="F1265" s="14" t="n">
        <x:v>1</x:v>
      </x:c>
      <x:c r="G1265" s="14" t="n">
        <x:v>31</x:v>
      </x:c>
      <x:c r="H1265" s="14" t="n">
        <x:v>4</x:v>
      </x:c>
      <x:c r="I1265" s="14" t="n">
        <x:v>5</x:v>
      </x:c>
      <x:c r="J1265" s="14" t="n">
        <x:v>7</x:v>
      </x:c>
      <x:c r="K1265" s="14" t="n">
        <x:v>10</x:v>
      </x:c>
      <x:c r="L1265" s="14" t="n">
        <x:v>43</x:v>
      </x:c>
      <x:c r="M1265" s="14" t="n">
        <x:v>2</x:v>
      </x:c>
      <x:c r="N1265" s="15" t="n">
        <x:f>IF(E1265=0,"해당 없음",F1265/E1265)</x:f>
        <x:v>0.009708737864077669</x:v>
      </x:c>
      <x:c r="O1265" s="15" t="n">
        <x:f>IF(E1265=0,"해당 없음",G1265/E1265)</x:f>
        <x:v>0.30097087378640774</x:v>
      </x:c>
      <x:c r="P1265" s="15" t="n">
        <x:f>IF(E1265=0,"해당 없음",H1265/E1265)</x:f>
        <x:v>0.038834951456310676</x:v>
      </x:c>
      <x:c r="Q1265" s="15" t="n">
        <x:f>IF(E1265=0,"해당 없음",I1265/E1265)</x:f>
        <x:v>0.04854368932038835</x:v>
      </x:c>
      <x:c r="R1265" s="15" t="n">
        <x:f>IF(E1265=0,"해당 없음",J1265/E1265)</x:f>
        <x:v>0.06796116504854369</x:v>
      </x:c>
      <x:c r="S1265" s="15" t="n">
        <x:f>IF(E1265=0,"해당 없음",K1265/E1265)</x:f>
        <x:v>0.0970873786407767</x:v>
      </x:c>
      <x:c r="T1265" s="15" t="n">
        <x:f>IF(E1265=0,"해당 없음",L1265/E1265)</x:f>
        <x:v>0.4174757281553398</x:v>
      </x:c>
      <x:c r="U1265" s="15" t="n">
        <x:f>IF(E1265=0,"해당 없음",M1265/E1265)</x:f>
        <x:v>0.019417475728155338</x:v>
      </x:c>
      <x:c r="V1265" s="16" t="n">
        <x:f>E1265/5</x:f>
        <x:v>20.6</x:v>
      </x:c>
    </x:row>
    <x:row r="1266" ht="22" customHeight="1">
      <x:c r="A1266" s="2" t="n">
        <x:v>631</x:v>
      </x:c>
      <x:c r="B1266" s="2" t="str">
        <x:v>RED</x:v>
      </x:c>
      <x:c r="C1266" s="2" t="str">
        <x:v>40만</x:v>
      </x:c>
      <x:c r="D1266" s="2" t="str">
        <x:v>160만</x:v>
      </x:c>
      <x:c r="E1266" s="14" t="n">
        <x:f>SUM(F1266:M1266)</x:f>
        <x:v>103</x:v>
      </x:c>
      <x:c r="F1266" s="14" t="n">
        <x:v>2</x:v>
      </x:c>
      <x:c r="G1266" s="14" t="n">
        <x:v>29</x:v>
      </x:c>
      <x:c r="H1266" s="14" t="n">
        <x:v>4</x:v>
      </x:c>
      <x:c r="I1266" s="14" t="n">
        <x:v>4</x:v>
      </x:c>
      <x:c r="J1266" s="14" t="n">
        <x:v>5</x:v>
      </x:c>
      <x:c r="K1266" s="14" t="n">
        <x:v>10</x:v>
      </x:c>
      <x:c r="L1266" s="14" t="n">
        <x:v>42</x:v>
      </x:c>
      <x:c r="M1266" s="14" t="n">
        <x:v>7</x:v>
      </x:c>
      <x:c r="N1266" s="15" t="n">
        <x:f>IF(E1266=0,"해당 없음",F1266/E1266)</x:f>
        <x:v>0.019417475728155338</x:v>
      </x:c>
      <x:c r="O1266" s="15" t="n">
        <x:f>IF(E1266=0,"해당 없음",G1266/E1266)</x:f>
        <x:v>0.2815533980582524</x:v>
      </x:c>
      <x:c r="P1266" s="15" t="n">
        <x:f>IF(E1266=0,"해당 없음",H1266/E1266)</x:f>
        <x:v>0.038834951456310676</x:v>
      </x:c>
      <x:c r="Q1266" s="15" t="n">
        <x:f>IF(E1266=0,"해당 없음",I1266/E1266)</x:f>
        <x:v>0.038834951456310676</x:v>
      </x:c>
      <x:c r="R1266" s="15" t="n">
        <x:f>IF(E1266=0,"해당 없음",J1266/E1266)</x:f>
        <x:v>0.04854368932038835</x:v>
      </x:c>
      <x:c r="S1266" s="15" t="n">
        <x:f>IF(E1266=0,"해당 없음",K1266/E1266)</x:f>
        <x:v>0.0970873786407767</x:v>
      </x:c>
      <x:c r="T1266" s="15" t="n">
        <x:f>IF(E1266=0,"해당 없음",L1266/E1266)</x:f>
        <x:v>0.4077669902912621</x:v>
      </x:c>
      <x:c r="U1266" s="15" t="n">
        <x:f>IF(E1266=0,"해당 없음",M1266/E1266)</x:f>
        <x:v>0.06796116504854369</x:v>
      </x:c>
      <x:c r="V1266" s="16" t="n">
        <x:f>E1266/5</x:f>
        <x:v>20.6</x:v>
      </x:c>
    </x:row>
    <x:row r="1267" ht="22" customHeight="1">
      <x:c r="A1267" s="2" t="n">
        <x:v>631</x:v>
      </x:c>
      <x:c r="B1267" s="2" t="str">
        <x:v>NAVY</x:v>
      </x:c>
      <x:c r="C1267" s="2" t="str">
        <x:v>160만</x:v>
      </x:c>
      <x:c r="D1267" s="2" t="str">
        <x:v>40만</x:v>
      </x:c>
      <x:c r="E1267" s="14" t="n">
        <x:f>SUM(F1267:M1267)</x:f>
        <x:v>103</x:v>
      </x:c>
      <x:c r="F1267" s="14" t="n">
        <x:v>3</x:v>
      </x:c>
      <x:c r="G1267" s="14" t="n">
        <x:v>19</x:v>
      </x:c>
      <x:c r="H1267" s="14" t="n">
        <x:v>7</x:v>
      </x:c>
      <x:c r="I1267" s="14" t="n">
        <x:v>4</x:v>
      </x:c>
      <x:c r="J1267" s="14" t="n">
        <x:v>7</x:v>
      </x:c>
      <x:c r="K1267" s="14" t="n">
        <x:v>8</x:v>
      </x:c>
      <x:c r="L1267" s="14" t="n">
        <x:v>38</x:v>
      </x:c>
      <x:c r="M1267" s="14" t="n">
        <x:v>17</x:v>
      </x:c>
      <x:c r="N1267" s="15" t="n">
        <x:f>IF(E1267=0,"해당 없음",F1267/E1267)</x:f>
        <x:v>0.02912621359223301</x:v>
      </x:c>
      <x:c r="O1267" s="15" t="n">
        <x:f>IF(E1267=0,"해당 없음",G1267/E1267)</x:f>
        <x:v>0.18446601941747573</x:v>
      </x:c>
      <x:c r="P1267" s="15" t="n">
        <x:f>IF(E1267=0,"해당 없음",H1267/E1267)</x:f>
        <x:v>0.06796116504854369</x:v>
      </x:c>
      <x:c r="Q1267" s="15" t="n">
        <x:f>IF(E1267=0,"해당 없음",I1267/E1267)</x:f>
        <x:v>0.038834951456310676</x:v>
      </x:c>
      <x:c r="R1267" s="15" t="n">
        <x:f>IF(E1267=0,"해당 없음",J1267/E1267)</x:f>
        <x:v>0.06796116504854369</x:v>
      </x:c>
      <x:c r="S1267" s="15" t="n">
        <x:f>IF(E1267=0,"해당 없음",K1267/E1267)</x:f>
        <x:v>0.07766990291262135</x:v>
      </x:c>
      <x:c r="T1267" s="15" t="n">
        <x:f>IF(E1267=0,"해당 없음",L1267/E1267)</x:f>
        <x:v>0.36893203883495146</x:v>
      </x:c>
      <x:c r="U1267" s="15" t="n">
        <x:f>IF(E1267=0,"해당 없음",M1267/E1267)</x:f>
        <x:v>0.1650485436893204</x:v>
      </x:c>
      <x:c r="V1267" s="16" t="n">
        <x:f>E1267/5</x:f>
        <x:v>20.6</x:v>
      </x:c>
    </x:row>
    <x:row r="1268" ht="22" customHeight="1">
      <x:c r="A1268" s="2" t="n">
        <x:v>632</x:v>
      </x:c>
      <x:c r="B1268" s="2" t="str">
        <x:v>RED</x:v>
      </x:c>
      <x:c r="C1268" s="2" t="str">
        <x:v>160만</x:v>
      </x:c>
      <x:c r="D1268" s="2" t="str">
        <x:v>40만</x:v>
      </x:c>
      <x:c r="E1268" s="14" t="n">
        <x:f>SUM(F1268:M1268)</x:f>
        <x:v>105</x:v>
      </x:c>
      <x:c r="F1268" s="14" t="n">
        <x:v>4</x:v>
      </x:c>
      <x:c r="G1268" s="14" t="n">
        <x:v>18</x:v>
      </x:c>
      <x:c r="H1268" s="14" t="n">
        <x:v>11</x:v>
      </x:c>
      <x:c r="I1268" s="14" t="n">
        <x:v>5</x:v>
      </x:c>
      <x:c r="J1268" s="14" t="n">
        <x:v>2</x:v>
      </x:c>
      <x:c r="K1268" s="14" t="n">
        <x:v>5</x:v>
      </x:c>
      <x:c r="L1268" s="14" t="n">
        <x:v>40</x:v>
      </x:c>
      <x:c r="M1268" s="14" t="n">
        <x:v>20</x:v>
      </x:c>
      <x:c r="N1268" s="15" t="n">
        <x:f>IF(E1268=0,"해당 없음",F1268/E1268)</x:f>
        <x:v>0.0380952380952381</x:v>
      </x:c>
      <x:c r="O1268" s="15" t="n">
        <x:f>IF(E1268=0,"해당 없음",G1268/E1268)</x:f>
        <x:v>0.17142857142857143</x:v>
      </x:c>
      <x:c r="P1268" s="15" t="n">
        <x:f>IF(E1268=0,"해당 없음",H1268/E1268)</x:f>
        <x:v>0.10476190476190476</x:v>
      </x:c>
      <x:c r="Q1268" s="15" t="n">
        <x:f>IF(E1268=0,"해당 없음",I1268/E1268)</x:f>
        <x:v>0.047619047619047616</x:v>
      </x:c>
      <x:c r="R1268" s="15" t="n">
        <x:f>IF(E1268=0,"해당 없음",J1268/E1268)</x:f>
        <x:v>0.01904761904761905</x:v>
      </x:c>
      <x:c r="S1268" s="15" t="n">
        <x:f>IF(E1268=0,"해당 없음",K1268/E1268)</x:f>
        <x:v>0.047619047619047616</x:v>
      </x:c>
      <x:c r="T1268" s="15" t="n">
        <x:f>IF(E1268=0,"해당 없음",L1268/E1268)</x:f>
        <x:v>0.38095238095238093</x:v>
      </x:c>
      <x:c r="U1268" s="15" t="n">
        <x:f>IF(E1268=0,"해당 없음",M1268/E1268)</x:f>
        <x:v>0.19047619047619047</x:v>
      </x:c>
      <x:c r="V1268" s="16" t="n">
        <x:f>E1268/5</x:f>
        <x:v>21</x:v>
      </x:c>
    </x:row>
    <x:row r="1269" ht="22" customHeight="1">
      <x:c r="A1269" s="2" t="n">
        <x:v>632</x:v>
      </x:c>
      <x:c r="B1269" s="2" t="str">
        <x:v>NAVY</x:v>
      </x:c>
      <x:c r="C1269" s="2" t="str">
        <x:v>40만</x:v>
      </x:c>
      <x:c r="D1269" s="2" t="str">
        <x:v>160만</x:v>
      </x:c>
      <x:c r="E1269" s="14" t="n">
        <x:f>SUM(F1269:M1269)</x:f>
        <x:v>104</x:v>
      </x:c>
      <x:c r="F1269" s="14" t="n">
        <x:v>7</x:v>
      </x:c>
      <x:c r="G1269" s="14" t="n">
        <x:v>30</x:v>
      </x:c>
      <x:c r="H1269" s="14" t="n">
        <x:v>2</x:v>
      </x:c>
      <x:c r="I1269" s="14" t="n">
        <x:v>5</x:v>
      </x:c>
      <x:c r="J1269" s="14" t="n">
        <x:v>4</x:v>
      </x:c>
      <x:c r="K1269" s="14" t="n">
        <x:v>10</x:v>
      </x:c>
      <x:c r="L1269" s="14" t="n">
        <x:v>44</x:v>
      </x:c>
      <x:c r="M1269" s="14" t="n">
        <x:v>2</x:v>
      </x:c>
      <x:c r="N1269" s="15" t="n">
        <x:f>IF(E1269=0,"해당 없음",F1269/E1269)</x:f>
        <x:v>0.0673076923076923</x:v>
      </x:c>
      <x:c r="O1269" s="15" t="n">
        <x:f>IF(E1269=0,"해당 없음",G1269/E1269)</x:f>
        <x:v>0.28846153846153844</x:v>
      </x:c>
      <x:c r="P1269" s="15" t="n">
        <x:f>IF(E1269=0,"해당 없음",H1269/E1269)</x:f>
        <x:v>0.019230769230769232</x:v>
      </x:c>
      <x:c r="Q1269" s="15" t="n">
        <x:f>IF(E1269=0,"해당 없음",I1269/E1269)</x:f>
        <x:v>0.04807692307692308</x:v>
      </x:c>
      <x:c r="R1269" s="15" t="n">
        <x:f>IF(E1269=0,"해당 없음",J1269/E1269)</x:f>
        <x:v>0.038461538461538464</x:v>
      </x:c>
      <x:c r="S1269" s="15" t="n">
        <x:f>IF(E1269=0,"해당 없음",K1269/E1269)</x:f>
        <x:v>0.09615384615384616</x:v>
      </x:c>
      <x:c r="T1269" s="15" t="n">
        <x:f>IF(E1269=0,"해당 없음",L1269/E1269)</x:f>
        <x:v>0.4230769230769231</x:v>
      </x:c>
      <x:c r="U1269" s="15" t="n">
        <x:f>IF(E1269=0,"해당 없음",M1269/E1269)</x:f>
        <x:v>0.019230769230769232</x:v>
      </x:c>
      <x:c r="V1269" s="16" t="n">
        <x:f>E1269/5</x:f>
        <x:v>20.8</x:v>
      </x:c>
    </x:row>
    <x:row r="1270" ht="22" customHeight="1">
      <x:c r="A1270" s="2" t="n">
        <x:v>633</x:v>
      </x:c>
      <x:c r="B1270" s="2" t="str">
        <x:v>RED</x:v>
      </x:c>
      <x:c r="C1270" s="2" t="str">
        <x:v>40만</x:v>
      </x:c>
      <x:c r="D1270" s="2" t="str">
        <x:v>160만</x:v>
      </x:c>
      <x:c r="E1270" s="14" t="n">
        <x:f>SUM(F1270:M1270)</x:f>
        <x:v>103</x:v>
      </x:c>
      <x:c r="F1270" s="14" t="n">
        <x:v>6</x:v>
      </x:c>
      <x:c r="G1270" s="14" t="n">
        <x:v>27</x:v>
      </x:c>
      <x:c r="H1270" s="14" t="n">
        <x:v>6</x:v>
      </x:c>
      <x:c r="I1270" s="14" t="n">
        <x:v>10</x:v>
      </x:c>
      <x:c r="J1270" s="14" t="n">
        <x:v>4</x:v>
      </x:c>
      <x:c r="K1270" s="14" t="n">
        <x:v>6</x:v>
      </x:c>
      <x:c r="L1270" s="14" t="n">
        <x:v>40</x:v>
      </x:c>
      <x:c r="M1270" s="14" t="n">
        <x:v>4</x:v>
      </x:c>
      <x:c r="N1270" s="15" t="n">
        <x:f>IF(E1270=0,"해당 없음",F1270/E1270)</x:f>
        <x:v>0.05825242718446602</x:v>
      </x:c>
      <x:c r="O1270" s="15" t="n">
        <x:f>IF(E1270=0,"해당 없음",G1270/E1270)</x:f>
        <x:v>0.2621359223300971</x:v>
      </x:c>
      <x:c r="P1270" s="15" t="n">
        <x:f>IF(E1270=0,"해당 없음",H1270/E1270)</x:f>
        <x:v>0.05825242718446602</x:v>
      </x:c>
      <x:c r="Q1270" s="15" t="n">
        <x:f>IF(E1270=0,"해당 없음",I1270/E1270)</x:f>
        <x:v>0.0970873786407767</x:v>
      </x:c>
      <x:c r="R1270" s="15" t="n">
        <x:f>IF(E1270=0,"해당 없음",J1270/E1270)</x:f>
        <x:v>0.038834951456310676</x:v>
      </x:c>
      <x:c r="S1270" s="15" t="n">
        <x:f>IF(E1270=0,"해당 없음",K1270/E1270)</x:f>
        <x:v>0.05825242718446602</x:v>
      </x:c>
      <x:c r="T1270" s="15" t="n">
        <x:f>IF(E1270=0,"해당 없음",L1270/E1270)</x:f>
        <x:v>0.3883495145631068</x:v>
      </x:c>
      <x:c r="U1270" s="15" t="n">
        <x:f>IF(E1270=0,"해당 없음",M1270/E1270)</x:f>
        <x:v>0.038834951456310676</x:v>
      </x:c>
      <x:c r="V1270" s="16" t="n">
        <x:f>E1270/5</x:f>
        <x:v>20.6</x:v>
      </x:c>
    </x:row>
    <x:row r="1271" ht="22" customHeight="1">
      <x:c r="A1271" s="2" t="n">
        <x:v>633</x:v>
      </x:c>
      <x:c r="B1271" s="2" t="str">
        <x:v>NAVY</x:v>
      </x:c>
      <x:c r="C1271" s="2" t="str">
        <x:v>160만</x:v>
      </x:c>
      <x:c r="D1271" s="2" t="str">
        <x:v>40만</x:v>
      </x:c>
      <x:c r="E1271" s="14" t="n">
        <x:f>SUM(F1271:M1271)</x:f>
        <x:v>102</x:v>
      </x:c>
      <x:c r="F1271" s="14" t="n">
        <x:v>1</x:v>
      </x:c>
      <x:c r="G1271" s="14" t="n">
        <x:v>18</x:v>
      </x:c>
      <x:c r="H1271" s="14" t="n">
        <x:v>8</x:v>
      </x:c>
      <x:c r="I1271" s="14" t="n">
        <x:v>5</x:v>
      </x:c>
      <x:c r="J1271" s="14" t="n">
        <x:v>6</x:v>
      </x:c>
      <x:c r="K1271" s="14" t="n">
        <x:v>5</x:v>
      </x:c>
      <x:c r="L1271" s="14" t="n">
        <x:v>29</x:v>
      </x:c>
      <x:c r="M1271" s="14" t="n">
        <x:v>30</x:v>
      </x:c>
      <x:c r="N1271" s="15" t="n">
        <x:f>IF(E1271=0,"해당 없음",F1271/E1271)</x:f>
        <x:v>0.00980392156862745</x:v>
      </x:c>
      <x:c r="O1271" s="15" t="n">
        <x:f>IF(E1271=0,"해당 없음",G1271/E1271)</x:f>
        <x:v>0.17647058823529413</x:v>
      </x:c>
      <x:c r="P1271" s="15" t="n">
        <x:f>IF(E1271=0,"해당 없음",H1271/E1271)</x:f>
        <x:v>0.0784313725490196</x:v>
      </x:c>
      <x:c r="Q1271" s="15" t="n">
        <x:f>IF(E1271=0,"해당 없음",I1271/E1271)</x:f>
        <x:v>0.049019607843137254</x:v>
      </x:c>
      <x:c r="R1271" s="15" t="n">
        <x:f>IF(E1271=0,"해당 없음",J1271/E1271)</x:f>
        <x:v>0.058823529411764705</x:v>
      </x:c>
      <x:c r="S1271" s="15" t="n">
        <x:f>IF(E1271=0,"해당 없음",K1271/E1271)</x:f>
        <x:v>0.049019607843137254</x:v>
      </x:c>
      <x:c r="T1271" s="15" t="n">
        <x:f>IF(E1271=0,"해당 없음",L1271/E1271)</x:f>
        <x:v>0.28431372549019607</x:v>
      </x:c>
      <x:c r="U1271" s="15" t="n">
        <x:f>IF(E1271=0,"해당 없음",M1271/E1271)</x:f>
        <x:v>0.29411764705882354</x:v>
      </x:c>
      <x:c r="V1271" s="16" t="n">
        <x:f>E1271/5</x:f>
        <x:v>20.4</x:v>
      </x:c>
    </x:row>
    <x:row r="1272" ht="22" customHeight="1">
      <x:c r="A1272" s="2" t="n">
        <x:v>634</x:v>
      </x:c>
      <x:c r="B1272" s="2" t="str">
        <x:v>RED</x:v>
      </x:c>
      <x:c r="C1272" s="2" t="str">
        <x:v>160만</x:v>
      </x:c>
      <x:c r="D1272" s="2" t="str">
        <x:v>40만</x:v>
      </x:c>
      <x:c r="E1272" s="14" t="n">
        <x:f>SUM(F1272:M1272)</x:f>
        <x:v>102</x:v>
      </x:c>
      <x:c r="F1272" s="14" t="n">
        <x:v>0</x:v>
      </x:c>
      <x:c r="G1272" s="14" t="n">
        <x:v>11</x:v>
      </x:c>
      <x:c r="H1272" s="14" t="n">
        <x:v>5</x:v>
      </x:c>
      <x:c r="I1272" s="14" t="n">
        <x:v>7</x:v>
      </x:c>
      <x:c r="J1272" s="14" t="n">
        <x:v>3</x:v>
      </x:c>
      <x:c r="K1272" s="14" t="n">
        <x:v>4</x:v>
      </x:c>
      <x:c r="L1272" s="14" t="n">
        <x:v>36</x:v>
      </x:c>
      <x:c r="M1272" s="14" t="n">
        <x:v>36</x:v>
      </x:c>
      <x:c r="N1272" s="15" t="n">
        <x:f>IF(E1272=0,"해당 없음",F1272/E1272)</x:f>
        <x:v>0</x:v>
      </x:c>
      <x:c r="O1272" s="15" t="n">
        <x:f>IF(E1272=0,"해당 없음",G1272/E1272)</x:f>
        <x:v>0.10784313725490197</x:v>
      </x:c>
      <x:c r="P1272" s="15" t="n">
        <x:f>IF(E1272=0,"해당 없음",H1272/E1272)</x:f>
        <x:v>0.049019607843137254</x:v>
      </x:c>
      <x:c r="Q1272" s="15" t="n">
        <x:f>IF(E1272=0,"해당 없음",I1272/E1272)</x:f>
        <x:v>0.06862745098039216</x:v>
      </x:c>
      <x:c r="R1272" s="15" t="n">
        <x:f>IF(E1272=0,"해당 없음",J1272/E1272)</x:f>
        <x:v>0.029411764705882353</x:v>
      </x:c>
      <x:c r="S1272" s="15" t="n">
        <x:f>IF(E1272=0,"해당 없음",K1272/E1272)</x:f>
        <x:v>0.0392156862745098</x:v>
      </x:c>
      <x:c r="T1272" s="15" t="n">
        <x:f>IF(E1272=0,"해당 없음",L1272/E1272)</x:f>
        <x:v>0.35294117647058826</x:v>
      </x:c>
      <x:c r="U1272" s="15" t="n">
        <x:f>IF(E1272=0,"해당 없음",M1272/E1272)</x:f>
        <x:v>0.35294117647058826</x:v>
      </x:c>
      <x:c r="V1272" s="16" t="n">
        <x:f>E1272/5</x:f>
        <x:v>20.4</x:v>
      </x:c>
    </x:row>
    <x:row r="1273" ht="22" customHeight="1">
      <x:c r="A1273" s="2" t="n">
        <x:v>634</x:v>
      </x:c>
      <x:c r="B1273" s="2" t="str">
        <x:v>NAVY</x:v>
      </x:c>
      <x:c r="C1273" s="2" t="str">
        <x:v>40만</x:v>
      </x:c>
      <x:c r="D1273" s="2" t="str">
        <x:v>160만</x:v>
      </x:c>
      <x:c r="E1273" s="14" t="n">
        <x:f>SUM(F1273:M1273)</x:f>
        <x:v>104</x:v>
      </x:c>
      <x:c r="F1273" s="14" t="n">
        <x:v>4</x:v>
      </x:c>
      <x:c r="G1273" s="14" t="n">
        <x:v>29</x:v>
      </x:c>
      <x:c r="H1273" s="14" t="n">
        <x:v>8</x:v>
      </x:c>
      <x:c r="I1273" s="14" t="n">
        <x:v>4</x:v>
      </x:c>
      <x:c r="J1273" s="14" t="n">
        <x:v>8</x:v>
      </x:c>
      <x:c r="K1273" s="14" t="n">
        <x:v>6</x:v>
      </x:c>
      <x:c r="L1273" s="14" t="n">
        <x:v>40</x:v>
      </x:c>
      <x:c r="M1273" s="14" t="n">
        <x:v>5</x:v>
      </x:c>
      <x:c r="N1273" s="15" t="n">
        <x:f>IF(E1273=0,"해당 없음",F1273/E1273)</x:f>
        <x:v>0.038461538461538464</x:v>
      </x:c>
      <x:c r="O1273" s="15" t="n">
        <x:f>IF(E1273=0,"해당 없음",G1273/E1273)</x:f>
        <x:v>0.27884615384615385</x:v>
      </x:c>
      <x:c r="P1273" s="15" t="n">
        <x:f>IF(E1273=0,"해당 없음",H1273/E1273)</x:f>
        <x:v>0.07692307692307693</x:v>
      </x:c>
      <x:c r="Q1273" s="15" t="n">
        <x:f>IF(E1273=0,"해당 없음",I1273/E1273)</x:f>
        <x:v>0.038461538461538464</x:v>
      </x:c>
      <x:c r="R1273" s="15" t="n">
        <x:f>IF(E1273=0,"해당 없음",J1273/E1273)</x:f>
        <x:v>0.07692307692307693</x:v>
      </x:c>
      <x:c r="S1273" s="15" t="n">
        <x:f>IF(E1273=0,"해당 없음",K1273/E1273)</x:f>
        <x:v>0.057692307692307696</x:v>
      </x:c>
      <x:c r="T1273" s="15" t="n">
        <x:f>IF(E1273=0,"해당 없음",L1273/E1273)</x:f>
        <x:v>0.38461538461538464</x:v>
      </x:c>
      <x:c r="U1273" s="15" t="n">
        <x:f>IF(E1273=0,"해당 없음",M1273/E1273)</x:f>
        <x:v>0.04807692307692308</x:v>
      </x:c>
      <x:c r="V1273" s="16" t="n">
        <x:f>E1273/5</x:f>
        <x:v>20.8</x:v>
      </x:c>
    </x:row>
    <x:row r="1274" ht="22" customHeight="1">
      <x:c r="A1274" s="2" t="n">
        <x:v>635</x:v>
      </x:c>
      <x:c r="B1274" s="2" t="str">
        <x:v>RED</x:v>
      </x:c>
      <x:c r="C1274" s="2" t="str">
        <x:v>40만</x:v>
      </x:c>
      <x:c r="D1274" s="2" t="str">
        <x:v>160만</x:v>
      </x:c>
      <x:c r="E1274" s="14" t="n">
        <x:f>SUM(F1274:M1274)</x:f>
        <x:v>101</x:v>
      </x:c>
      <x:c r="F1274" s="14" t="n">
        <x:v>5</x:v>
      </x:c>
      <x:c r="G1274" s="14" t="n">
        <x:v>26</x:v>
      </x:c>
      <x:c r="H1274" s="14" t="n">
        <x:v>10</x:v>
      </x:c>
      <x:c r="I1274" s="14" t="n">
        <x:v>6</x:v>
      </x:c>
      <x:c r="J1274" s="14" t="n">
        <x:v>8</x:v>
      </x:c>
      <x:c r="K1274" s="14" t="n">
        <x:v>4</x:v>
      </x:c>
      <x:c r="L1274" s="14" t="n">
        <x:v>36</x:v>
      </x:c>
      <x:c r="M1274" s="14" t="n">
        <x:v>6</x:v>
      </x:c>
      <x:c r="N1274" s="15" t="n">
        <x:f>IF(E1274=0,"해당 없음",F1274/E1274)</x:f>
        <x:v>0.04950495049504951</x:v>
      </x:c>
      <x:c r="O1274" s="15" t="n">
        <x:f>IF(E1274=0,"해당 없음",G1274/E1274)</x:f>
        <x:v>0.25742574257425743</x:v>
      </x:c>
      <x:c r="P1274" s="15" t="n">
        <x:f>IF(E1274=0,"해당 없음",H1274/E1274)</x:f>
        <x:v>0.09900990099009901</x:v>
      </x:c>
      <x:c r="Q1274" s="15" t="n">
        <x:f>IF(E1274=0,"해당 없음",I1274/E1274)</x:f>
        <x:v>0.0594059405940594</x:v>
      </x:c>
      <x:c r="R1274" s="15" t="n">
        <x:f>IF(E1274=0,"해당 없음",J1274/E1274)</x:f>
        <x:v>0.07920792079207921</x:v>
      </x:c>
      <x:c r="S1274" s="15" t="n">
        <x:f>IF(E1274=0,"해당 없음",K1274/E1274)</x:f>
        <x:v>0.039603960396039604</x:v>
      </x:c>
      <x:c r="T1274" s="15" t="n">
        <x:f>IF(E1274=0,"해당 없음",L1274/E1274)</x:f>
        <x:v>0.3564356435643564</x:v>
      </x:c>
      <x:c r="U1274" s="15" t="n">
        <x:f>IF(E1274=0,"해당 없음",M1274/E1274)</x:f>
        <x:v>0.0594059405940594</x:v>
      </x:c>
      <x:c r="V1274" s="16" t="n">
        <x:f>E1274/5</x:f>
        <x:v>20.2</x:v>
      </x:c>
    </x:row>
    <x:row r="1275" ht="22" customHeight="1">
      <x:c r="A1275" s="2" t="n">
        <x:v>635</x:v>
      </x:c>
      <x:c r="B1275" s="2" t="str">
        <x:v>NAVY</x:v>
      </x:c>
      <x:c r="C1275" s="2" t="str">
        <x:v>160만</x:v>
      </x:c>
      <x:c r="D1275" s="2" t="str">
        <x:v>40만</x:v>
      </x:c>
      <x:c r="E1275" s="14" t="n">
        <x:f>SUM(F1275:M1275)</x:f>
        <x:v>101</x:v>
      </x:c>
      <x:c r="F1275" s="14" t="n">
        <x:v>3</x:v>
      </x:c>
      <x:c r="G1275" s="14" t="n">
        <x:v>16</x:v>
      </x:c>
      <x:c r="H1275" s="14" t="n">
        <x:v>6</x:v>
      </x:c>
      <x:c r="I1275" s="14" t="n">
        <x:v>8</x:v>
      </x:c>
      <x:c r="J1275" s="14" t="n">
        <x:v>1</x:v>
      </x:c>
      <x:c r="K1275" s="14" t="n">
        <x:v>16</x:v>
      </x:c>
      <x:c r="L1275" s="14" t="n">
        <x:v>34</x:v>
      </x:c>
      <x:c r="M1275" s="14" t="n">
        <x:v>17</x:v>
      </x:c>
      <x:c r="N1275" s="15" t="n">
        <x:f>IF(E1275=0,"해당 없음",F1275/E1275)</x:f>
        <x:v>0.0297029702970297</x:v>
      </x:c>
      <x:c r="O1275" s="15" t="n">
        <x:f>IF(E1275=0,"해당 없음",G1275/E1275)</x:f>
        <x:v>0.15841584158415842</x:v>
      </x:c>
      <x:c r="P1275" s="15" t="n">
        <x:f>IF(E1275=0,"해당 없음",H1275/E1275)</x:f>
        <x:v>0.0594059405940594</x:v>
      </x:c>
      <x:c r="Q1275" s="15" t="n">
        <x:f>IF(E1275=0,"해당 없음",I1275/E1275)</x:f>
        <x:v>0.07920792079207921</x:v>
      </x:c>
      <x:c r="R1275" s="15" t="n">
        <x:f>IF(E1275=0,"해당 없음",J1275/E1275)</x:f>
        <x:v>0.009900990099009901</x:v>
      </x:c>
      <x:c r="S1275" s="15" t="n">
        <x:f>IF(E1275=0,"해당 없음",K1275/E1275)</x:f>
        <x:v>0.15841584158415842</x:v>
      </x:c>
      <x:c r="T1275" s="15" t="n">
        <x:f>IF(E1275=0,"해당 없음",L1275/E1275)</x:f>
        <x:v>0.33663366336633666</x:v>
      </x:c>
      <x:c r="U1275" s="15" t="n">
        <x:f>IF(E1275=0,"해당 없음",M1275/E1275)</x:f>
        <x:v>0.16831683168316833</x:v>
      </x:c>
      <x:c r="V1275" s="16" t="n">
        <x:f>E1275/5</x:f>
        <x:v>20.2</x:v>
      </x:c>
    </x:row>
    <x:row r="1276" ht="22" customHeight="1">
      <x:c r="A1276" s="2" t="n">
        <x:v>636</x:v>
      </x:c>
      <x:c r="B1276" s="2" t="str">
        <x:v>RED</x:v>
      </x:c>
      <x:c r="C1276" s="2" t="str">
        <x:v>160만</x:v>
      </x:c>
      <x:c r="D1276" s="2" t="str">
        <x:v>40만</x:v>
      </x:c>
      <x:c r="E1276" s="14" t="n">
        <x:f>SUM(F1276:M1276)</x:f>
        <x:v>104</x:v>
      </x:c>
      <x:c r="F1276" s="14" t="n">
        <x:v>3</x:v>
      </x:c>
      <x:c r="G1276" s="14" t="n">
        <x:v>13</x:v>
      </x:c>
      <x:c r="H1276" s="14" t="n">
        <x:v>8</x:v>
      </x:c>
      <x:c r="I1276" s="14" t="n">
        <x:v>7</x:v>
      </x:c>
      <x:c r="J1276" s="14" t="n">
        <x:v>5</x:v>
      </x:c>
      <x:c r="K1276" s="14" t="n">
        <x:v>3</x:v>
      </x:c>
      <x:c r="L1276" s="14" t="n">
        <x:v>27</x:v>
      </x:c>
      <x:c r="M1276" s="14" t="n">
        <x:v>38</x:v>
      </x:c>
      <x:c r="N1276" s="15" t="n">
        <x:f>IF(E1276=0,"해당 없음",F1276/E1276)</x:f>
        <x:v>0.028846153846153848</x:v>
      </x:c>
      <x:c r="O1276" s="15" t="n">
        <x:f>IF(E1276=0,"해당 없음",G1276/E1276)</x:f>
        <x:v>0.125</x:v>
      </x:c>
      <x:c r="P1276" s="15" t="n">
        <x:f>IF(E1276=0,"해당 없음",H1276/E1276)</x:f>
        <x:v>0.07692307692307693</x:v>
      </x:c>
      <x:c r="Q1276" s="15" t="n">
        <x:f>IF(E1276=0,"해당 없음",I1276/E1276)</x:f>
        <x:v>0.0673076923076923</x:v>
      </x:c>
      <x:c r="R1276" s="15" t="n">
        <x:f>IF(E1276=0,"해당 없음",J1276/E1276)</x:f>
        <x:v>0.04807692307692308</x:v>
      </x:c>
      <x:c r="S1276" s="15" t="n">
        <x:f>IF(E1276=0,"해당 없음",K1276/E1276)</x:f>
        <x:v>0.028846153846153848</x:v>
      </x:c>
      <x:c r="T1276" s="15" t="n">
        <x:f>IF(E1276=0,"해당 없음",L1276/E1276)</x:f>
        <x:v>0.25961538461538464</x:v>
      </x:c>
      <x:c r="U1276" s="15" t="n">
        <x:f>IF(E1276=0,"해당 없음",M1276/E1276)</x:f>
        <x:v>0.36538461538461536</x:v>
      </x:c>
      <x:c r="V1276" s="16" t="n">
        <x:f>E1276/5</x:f>
        <x:v>20.8</x:v>
      </x:c>
    </x:row>
    <x:row r="1277" ht="22" customHeight="1">
      <x:c r="A1277" s="2" t="n">
        <x:v>636</x:v>
      </x:c>
      <x:c r="B1277" s="2" t="str">
        <x:v>NAVY</x:v>
      </x:c>
      <x:c r="C1277" s="2" t="str">
        <x:v>40만</x:v>
      </x:c>
      <x:c r="D1277" s="2" t="str">
        <x:v>160만</x:v>
      </x:c>
      <x:c r="E1277" s="14" t="n">
        <x:f>SUM(F1277:M1277)</x:f>
        <x:v>105</x:v>
      </x:c>
      <x:c r="F1277" s="14" t="n">
        <x:v>6</x:v>
      </x:c>
      <x:c r="G1277" s="14" t="n">
        <x:v>30</x:v>
      </x:c>
      <x:c r="H1277" s="14" t="n">
        <x:v>6</x:v>
      </x:c>
      <x:c r="I1277" s="14" t="n">
        <x:v>4</x:v>
      </x:c>
      <x:c r="J1277" s="14" t="n">
        <x:v>4</x:v>
      </x:c>
      <x:c r="K1277" s="14" t="n">
        <x:v>8</x:v>
      </x:c>
      <x:c r="L1277" s="14" t="n">
        <x:v>42</x:v>
      </x:c>
      <x:c r="M1277" s="14" t="n">
        <x:v>5</x:v>
      </x:c>
      <x:c r="N1277" s="15" t="n">
        <x:f>IF(E1277=0,"해당 없음",F1277/E1277)</x:f>
        <x:v>0.05714285714285714</x:v>
      </x:c>
      <x:c r="O1277" s="15" t="n">
        <x:f>IF(E1277=0,"해당 없음",G1277/E1277)</x:f>
        <x:v>0.2857142857142857</x:v>
      </x:c>
      <x:c r="P1277" s="15" t="n">
        <x:f>IF(E1277=0,"해당 없음",H1277/E1277)</x:f>
        <x:v>0.05714285714285714</x:v>
      </x:c>
      <x:c r="Q1277" s="15" t="n">
        <x:f>IF(E1277=0,"해당 없음",I1277/E1277)</x:f>
        <x:v>0.0380952380952381</x:v>
      </x:c>
      <x:c r="R1277" s="15" t="n">
        <x:f>IF(E1277=0,"해당 없음",J1277/E1277)</x:f>
        <x:v>0.0380952380952381</x:v>
      </x:c>
      <x:c r="S1277" s="15" t="n">
        <x:f>IF(E1277=0,"해당 없음",K1277/E1277)</x:f>
        <x:v>0.0761904761904762</x:v>
      </x:c>
      <x:c r="T1277" s="15" t="n">
        <x:f>IF(E1277=0,"해당 없음",L1277/E1277)</x:f>
        <x:v>0.4</x:v>
      </x:c>
      <x:c r="U1277" s="15" t="n">
        <x:f>IF(E1277=0,"해당 없음",M1277/E1277)</x:f>
        <x:v>0.047619047619047616</x:v>
      </x:c>
      <x:c r="V1277" s="16" t="n">
        <x:f>E1277/5</x:f>
        <x:v>21</x:v>
      </x:c>
    </x:row>
    <x:row r="1278" ht="22" customHeight="1">
      <x:c r="A1278" s="2" t="n">
        <x:v>637</x:v>
      </x:c>
      <x:c r="B1278" s="2" t="str">
        <x:v>RED</x:v>
      </x:c>
      <x:c r="C1278" s="2" t="str">
        <x:v>40만</x:v>
      </x:c>
      <x:c r="D1278" s="2" t="str">
        <x:v>160만</x:v>
      </x:c>
      <x:c r="E1278" s="14" t="n">
        <x:f>SUM(F1278:M1278)</x:f>
        <x:v>102</x:v>
      </x:c>
      <x:c r="F1278" s="14" t="n">
        <x:v>6</x:v>
      </x:c>
      <x:c r="G1278" s="14" t="n">
        <x:v>28</x:v>
      </x:c>
      <x:c r="H1278" s="14" t="n">
        <x:v>4</x:v>
      </x:c>
      <x:c r="I1278" s="14" t="n">
        <x:v>6</x:v>
      </x:c>
      <x:c r="J1278" s="14" t="n">
        <x:v>1</x:v>
      </x:c>
      <x:c r="K1278" s="14" t="n">
        <x:v>9</x:v>
      </x:c>
      <x:c r="L1278" s="14" t="n">
        <x:v>43</x:v>
      </x:c>
      <x:c r="M1278" s="14" t="n">
        <x:v>5</x:v>
      </x:c>
      <x:c r="N1278" s="15" t="n">
        <x:f>IF(E1278=0,"해당 없음",F1278/E1278)</x:f>
        <x:v>0.058823529411764705</x:v>
      </x:c>
      <x:c r="O1278" s="15" t="n">
        <x:f>IF(E1278=0,"해당 없음",G1278/E1278)</x:f>
        <x:v>0.27450980392156865</x:v>
      </x:c>
      <x:c r="P1278" s="15" t="n">
        <x:f>IF(E1278=0,"해당 없음",H1278/E1278)</x:f>
        <x:v>0.0392156862745098</x:v>
      </x:c>
      <x:c r="Q1278" s="15" t="n">
        <x:f>IF(E1278=0,"해당 없음",I1278/E1278)</x:f>
        <x:v>0.058823529411764705</x:v>
      </x:c>
      <x:c r="R1278" s="15" t="n">
        <x:f>IF(E1278=0,"해당 없음",J1278/E1278)</x:f>
        <x:v>0.00980392156862745</x:v>
      </x:c>
      <x:c r="S1278" s="15" t="n">
        <x:f>IF(E1278=0,"해당 없음",K1278/E1278)</x:f>
        <x:v>0.08823529411764706</x:v>
      </x:c>
      <x:c r="T1278" s="15" t="n">
        <x:f>IF(E1278=0,"해당 없음",L1278/E1278)</x:f>
        <x:v>0.4215686274509804</x:v>
      </x:c>
      <x:c r="U1278" s="15" t="n">
        <x:f>IF(E1278=0,"해당 없음",M1278/E1278)</x:f>
        <x:v>0.049019607843137254</x:v>
      </x:c>
      <x:c r="V1278" s="16" t="n">
        <x:f>E1278/5</x:f>
        <x:v>20.4</x:v>
      </x:c>
    </x:row>
    <x:row r="1279" ht="22" customHeight="1">
      <x:c r="A1279" s="2" t="n">
        <x:v>637</x:v>
      </x:c>
      <x:c r="B1279" s="2" t="str">
        <x:v>NAVY</x:v>
      </x:c>
      <x:c r="C1279" s="2" t="str">
        <x:v>160만</x:v>
      </x:c>
      <x:c r="D1279" s="2" t="str">
        <x:v>40만</x:v>
      </x:c>
      <x:c r="E1279" s="14" t="n">
        <x:f>SUM(F1279:M1279)</x:f>
        <x:v>102</x:v>
      </x:c>
      <x:c r="F1279" s="14" t="n">
        <x:v>6</x:v>
      </x:c>
      <x:c r="G1279" s="14" t="n">
        <x:v>15</x:v>
      </x:c>
      <x:c r="H1279" s="14" t="n">
        <x:v>7</x:v>
      </x:c>
      <x:c r="I1279" s="14" t="n">
        <x:v>7</x:v>
      </x:c>
      <x:c r="J1279" s="14" t="n">
        <x:v>4</x:v>
      </x:c>
      <x:c r="K1279" s="14" t="n">
        <x:v>3</x:v>
      </x:c>
      <x:c r="L1279" s="14" t="n">
        <x:v>29</x:v>
      </x:c>
      <x:c r="M1279" s="14" t="n">
        <x:v>31</x:v>
      </x:c>
      <x:c r="N1279" s="15" t="n">
        <x:f>IF(E1279=0,"해당 없음",F1279/E1279)</x:f>
        <x:v>0.058823529411764705</x:v>
      </x:c>
      <x:c r="O1279" s="15" t="n">
        <x:f>IF(E1279=0,"해당 없음",G1279/E1279)</x:f>
        <x:v>0.14705882352941177</x:v>
      </x:c>
      <x:c r="P1279" s="15" t="n">
        <x:f>IF(E1279=0,"해당 없음",H1279/E1279)</x:f>
        <x:v>0.06862745098039216</x:v>
      </x:c>
      <x:c r="Q1279" s="15" t="n">
        <x:f>IF(E1279=0,"해당 없음",I1279/E1279)</x:f>
        <x:v>0.06862745098039216</x:v>
      </x:c>
      <x:c r="R1279" s="15" t="n">
        <x:f>IF(E1279=0,"해당 없음",J1279/E1279)</x:f>
        <x:v>0.0392156862745098</x:v>
      </x:c>
      <x:c r="S1279" s="15" t="n">
        <x:f>IF(E1279=0,"해당 없음",K1279/E1279)</x:f>
        <x:v>0.029411764705882353</x:v>
      </x:c>
      <x:c r="T1279" s="15" t="n">
        <x:f>IF(E1279=0,"해당 없음",L1279/E1279)</x:f>
        <x:v>0.28431372549019607</x:v>
      </x:c>
      <x:c r="U1279" s="15" t="n">
        <x:f>IF(E1279=0,"해당 없음",M1279/E1279)</x:f>
        <x:v>0.30392156862745096</x:v>
      </x:c>
      <x:c r="V1279" s="16" t="n">
        <x:f>E1279/5</x:f>
        <x:v>20.4</x:v>
      </x:c>
    </x:row>
    <x:row r="1280" ht="22" customHeight="1">
      <x:c r="A1280" s="2" t="n">
        <x:v>638</x:v>
      </x:c>
      <x:c r="B1280" s="2" t="str">
        <x:v>RED</x:v>
      </x:c>
      <x:c r="C1280" s="2" t="str">
        <x:v>160만</x:v>
      </x:c>
      <x:c r="D1280" s="2" t="str">
        <x:v>40만</x:v>
      </x:c>
      <x:c r="E1280" s="14" t="n">
        <x:f>SUM(F1280:M1280)</x:f>
        <x:v>105</x:v>
      </x:c>
      <x:c r="F1280" s="14" t="n">
        <x:v>7</x:v>
      </x:c>
      <x:c r="G1280" s="14" t="n">
        <x:v>17</x:v>
      </x:c>
      <x:c r="H1280" s="14" t="n">
        <x:v>5</x:v>
      </x:c>
      <x:c r="I1280" s="14" t="n">
        <x:v>2</x:v>
      </x:c>
      <x:c r="J1280" s="14" t="n">
        <x:v>3</x:v>
      </x:c>
      <x:c r="K1280" s="14" t="n">
        <x:v>10</x:v>
      </x:c>
      <x:c r="L1280" s="14" t="n">
        <x:v>31</x:v>
      </x:c>
      <x:c r="M1280" s="14" t="n">
        <x:v>30</x:v>
      </x:c>
      <x:c r="N1280" s="15" t="n">
        <x:f>IF(E1280=0,"해당 없음",F1280/E1280)</x:f>
        <x:v>0.06666666666666667</x:v>
      </x:c>
      <x:c r="O1280" s="15" t="n">
        <x:f>IF(E1280=0,"해당 없음",G1280/E1280)</x:f>
        <x:v>0.1619047619047619</x:v>
      </x:c>
      <x:c r="P1280" s="15" t="n">
        <x:f>IF(E1280=0,"해당 없음",H1280/E1280)</x:f>
        <x:v>0.047619047619047616</x:v>
      </x:c>
      <x:c r="Q1280" s="15" t="n">
        <x:f>IF(E1280=0,"해당 없음",I1280/E1280)</x:f>
        <x:v>0.01904761904761905</x:v>
      </x:c>
      <x:c r="R1280" s="15" t="n">
        <x:f>IF(E1280=0,"해당 없음",J1280/E1280)</x:f>
        <x:v>0.02857142857142857</x:v>
      </x:c>
      <x:c r="S1280" s="15" t="n">
        <x:f>IF(E1280=0,"해당 없음",K1280/E1280)</x:f>
        <x:v>0.09523809523809523</x:v>
      </x:c>
      <x:c r="T1280" s="15" t="n">
        <x:f>IF(E1280=0,"해당 없음",L1280/E1280)</x:f>
        <x:v>0.29523809523809524</x:v>
      </x:c>
      <x:c r="U1280" s="15" t="n">
        <x:f>IF(E1280=0,"해당 없음",M1280/E1280)</x:f>
        <x:v>0.2857142857142857</x:v>
      </x:c>
      <x:c r="V1280" s="16" t="n">
        <x:f>E1280/5</x:f>
        <x:v>21</x:v>
      </x:c>
    </x:row>
    <x:row r="1281" ht="22" customHeight="1">
      <x:c r="A1281" s="2" t="n">
        <x:v>638</x:v>
      </x:c>
      <x:c r="B1281" s="2" t="str">
        <x:v>NAVY</x:v>
      </x:c>
      <x:c r="C1281" s="2" t="str">
        <x:v>40만</x:v>
      </x:c>
      <x:c r="D1281" s="2" t="str">
        <x:v>160만</x:v>
      </x:c>
      <x:c r="E1281" s="14" t="n">
        <x:f>SUM(F1281:M1281)</x:f>
        <x:v>105</x:v>
      </x:c>
      <x:c r="F1281" s="14" t="n">
        <x:v>3</x:v>
      </x:c>
      <x:c r="G1281" s="14" t="n">
        <x:v>35</x:v>
      </x:c>
      <x:c r="H1281" s="14" t="n">
        <x:v>5</x:v>
      </x:c>
      <x:c r="I1281" s="14" t="n">
        <x:v>1</x:v>
      </x:c>
      <x:c r="J1281" s="14" t="n">
        <x:v>9</x:v>
      </x:c>
      <x:c r="K1281" s="14" t="n">
        <x:v>8</x:v>
      </x:c>
      <x:c r="L1281" s="14" t="n">
        <x:v>39</x:v>
      </x:c>
      <x:c r="M1281" s="14" t="n">
        <x:v>5</x:v>
      </x:c>
      <x:c r="N1281" s="15" t="n">
        <x:f>IF(E1281=0,"해당 없음",F1281/E1281)</x:f>
        <x:v>0.02857142857142857</x:v>
      </x:c>
      <x:c r="O1281" s="15" t="n">
        <x:f>IF(E1281=0,"해당 없음",G1281/E1281)</x:f>
        <x:v>0.3333333333333333</x:v>
      </x:c>
      <x:c r="P1281" s="15" t="n">
        <x:f>IF(E1281=0,"해당 없음",H1281/E1281)</x:f>
        <x:v>0.047619047619047616</x:v>
      </x:c>
      <x:c r="Q1281" s="15" t="n">
        <x:f>IF(E1281=0,"해당 없음",I1281/E1281)</x:f>
        <x:v>0.009523809523809525</x:v>
      </x:c>
      <x:c r="R1281" s="15" t="n">
        <x:f>IF(E1281=0,"해당 없음",J1281/E1281)</x:f>
        <x:v>0.08571428571428572</x:v>
      </x:c>
      <x:c r="S1281" s="15" t="n">
        <x:f>IF(E1281=0,"해당 없음",K1281/E1281)</x:f>
        <x:v>0.0761904761904762</x:v>
      </x:c>
      <x:c r="T1281" s="15" t="n">
        <x:f>IF(E1281=0,"해당 없음",L1281/E1281)</x:f>
        <x:v>0.37142857142857144</x:v>
      </x:c>
      <x:c r="U1281" s="15" t="n">
        <x:f>IF(E1281=0,"해당 없음",M1281/E1281)</x:f>
        <x:v>0.047619047619047616</x:v>
      </x:c>
      <x:c r="V1281" s="16" t="n">
        <x:f>E1281/5</x:f>
        <x:v>21</x:v>
      </x:c>
    </x:row>
    <x:row r="1282" ht="22" customHeight="1">
      <x:c r="A1282" s="2" t="n">
        <x:v>639</x:v>
      </x:c>
      <x:c r="B1282" s="2" t="str">
        <x:v>RED</x:v>
      </x:c>
      <x:c r="C1282" s="2" t="str">
        <x:v>40만</x:v>
      </x:c>
      <x:c r="D1282" s="2" t="str">
        <x:v>160만</x:v>
      </x:c>
      <x:c r="E1282" s="14" t="n">
        <x:f>SUM(F1282:M1282)</x:f>
        <x:v>104</x:v>
      </x:c>
      <x:c r="F1282" s="14" t="n">
        <x:v>8</x:v>
      </x:c>
      <x:c r="G1282" s="14" t="n">
        <x:v>33</x:v>
      </x:c>
      <x:c r="H1282" s="14" t="n">
        <x:v>9</x:v>
      </x:c>
      <x:c r="I1282" s="14" t="n">
        <x:v>6</x:v>
      </x:c>
      <x:c r="J1282" s="14" t="n">
        <x:v>3</x:v>
      </x:c>
      <x:c r="K1282" s="14" t="n">
        <x:v>4</x:v>
      </x:c>
      <x:c r="L1282" s="14" t="n">
        <x:v>36</x:v>
      </x:c>
      <x:c r="M1282" s="14" t="n">
        <x:v>5</x:v>
      </x:c>
      <x:c r="N1282" s="15" t="n">
        <x:f>IF(E1282=0,"해당 없음",F1282/E1282)</x:f>
        <x:v>0.07692307692307693</x:v>
      </x:c>
      <x:c r="O1282" s="15" t="n">
        <x:f>IF(E1282=0,"해당 없음",G1282/E1282)</x:f>
        <x:v>0.3173076923076923</x:v>
      </x:c>
      <x:c r="P1282" s="15" t="n">
        <x:f>IF(E1282=0,"해당 없음",H1282/E1282)</x:f>
        <x:v>0.08653846153846154</x:v>
      </x:c>
      <x:c r="Q1282" s="15" t="n">
        <x:f>IF(E1282=0,"해당 없음",I1282/E1282)</x:f>
        <x:v>0.057692307692307696</x:v>
      </x:c>
      <x:c r="R1282" s="15" t="n">
        <x:f>IF(E1282=0,"해당 없음",J1282/E1282)</x:f>
        <x:v>0.028846153846153848</x:v>
      </x:c>
      <x:c r="S1282" s="15" t="n">
        <x:f>IF(E1282=0,"해당 없음",K1282/E1282)</x:f>
        <x:v>0.038461538461538464</x:v>
      </x:c>
      <x:c r="T1282" s="15" t="n">
        <x:f>IF(E1282=0,"해당 없음",L1282/E1282)</x:f>
        <x:v>0.34615384615384615</x:v>
      </x:c>
      <x:c r="U1282" s="15" t="n">
        <x:f>IF(E1282=0,"해당 없음",M1282/E1282)</x:f>
        <x:v>0.04807692307692308</x:v>
      </x:c>
      <x:c r="V1282" s="16" t="n">
        <x:f>E1282/5</x:f>
        <x:v>20.8</x:v>
      </x:c>
    </x:row>
    <x:row r="1283" ht="22" customHeight="1">
      <x:c r="A1283" s="2" t="n">
        <x:v>639</x:v>
      </x:c>
      <x:c r="B1283" s="2" t="str">
        <x:v>NAVY</x:v>
      </x:c>
      <x:c r="C1283" s="2" t="str">
        <x:v>160만</x:v>
      </x:c>
      <x:c r="D1283" s="2" t="str">
        <x:v>40만</x:v>
      </x:c>
      <x:c r="E1283" s="14" t="n">
        <x:f>SUM(F1283:M1283)</x:f>
        <x:v>104</x:v>
      </x:c>
      <x:c r="F1283" s="14" t="n">
        <x:v>2</x:v>
      </x:c>
      <x:c r="G1283" s="14" t="n">
        <x:v>20</x:v>
      </x:c>
      <x:c r="H1283" s="14" t="n">
        <x:v>5</x:v>
      </x:c>
      <x:c r="I1283" s="14" t="n">
        <x:v>4</x:v>
      </x:c>
      <x:c r="J1283" s="14" t="n">
        <x:v>7</x:v>
      </x:c>
      <x:c r="K1283" s="14" t="n">
        <x:v>10</x:v>
      </x:c>
      <x:c r="L1283" s="14" t="n">
        <x:v>32</x:v>
      </x:c>
      <x:c r="M1283" s="14" t="n">
        <x:v>24</x:v>
      </x:c>
      <x:c r="N1283" s="15" t="n">
        <x:f>IF(E1283=0,"해당 없음",F1283/E1283)</x:f>
        <x:v>0.019230769230769232</x:v>
      </x:c>
      <x:c r="O1283" s="15" t="n">
        <x:f>IF(E1283=0,"해당 없음",G1283/E1283)</x:f>
        <x:v>0.19230769230769232</x:v>
      </x:c>
      <x:c r="P1283" s="15" t="n">
        <x:f>IF(E1283=0,"해당 없음",H1283/E1283)</x:f>
        <x:v>0.04807692307692308</x:v>
      </x:c>
      <x:c r="Q1283" s="15" t="n">
        <x:f>IF(E1283=0,"해당 없음",I1283/E1283)</x:f>
        <x:v>0.038461538461538464</x:v>
      </x:c>
      <x:c r="R1283" s="15" t="n">
        <x:f>IF(E1283=0,"해당 없음",J1283/E1283)</x:f>
        <x:v>0.0673076923076923</x:v>
      </x:c>
      <x:c r="S1283" s="15" t="n">
        <x:f>IF(E1283=0,"해당 없음",K1283/E1283)</x:f>
        <x:v>0.09615384615384616</x:v>
      </x:c>
      <x:c r="T1283" s="15" t="n">
        <x:f>IF(E1283=0,"해당 없음",L1283/E1283)</x:f>
        <x:v>0.3076923076923077</x:v>
      </x:c>
      <x:c r="U1283" s="15" t="n">
        <x:f>IF(E1283=0,"해당 없음",M1283/E1283)</x:f>
        <x:v>0.23076923076923078</x:v>
      </x:c>
      <x:c r="V1283" s="16" t="n">
        <x:f>E1283/5</x:f>
        <x:v>20.8</x:v>
      </x:c>
    </x:row>
    <x:row r="1284" ht="22" customHeight="1">
      <x:c r="A1284" s="2" t="n">
        <x:v>640</x:v>
      </x:c>
      <x:c r="B1284" s="2" t="str">
        <x:v>RED</x:v>
      </x:c>
      <x:c r="C1284" s="2" t="str">
        <x:v>160만</x:v>
      </x:c>
      <x:c r="D1284" s="2" t="str">
        <x:v>40만</x:v>
      </x:c>
      <x:c r="E1284" s="14" t="n">
        <x:f>SUM(F1284:M1284)</x:f>
        <x:v>102</x:v>
      </x:c>
      <x:c r="F1284" s="14" t="n">
        <x:v>4</x:v>
      </x:c>
      <x:c r="G1284" s="14" t="n">
        <x:v>18</x:v>
      </x:c>
      <x:c r="H1284" s="14" t="n">
        <x:v>9</x:v>
      </x:c>
      <x:c r="I1284" s="14" t="n">
        <x:v>3</x:v>
      </x:c>
      <x:c r="J1284" s="14" t="n">
        <x:v>3</x:v>
      </x:c>
      <x:c r="K1284" s="14" t="n">
        <x:v>3</x:v>
      </x:c>
      <x:c r="L1284" s="14" t="n">
        <x:v>26</x:v>
      </x:c>
      <x:c r="M1284" s="14" t="n">
        <x:v>36</x:v>
      </x:c>
      <x:c r="N1284" s="15" t="n">
        <x:f>IF(E1284=0,"해당 없음",F1284/E1284)</x:f>
        <x:v>0.0392156862745098</x:v>
      </x:c>
      <x:c r="O1284" s="15" t="n">
        <x:f>IF(E1284=0,"해당 없음",G1284/E1284)</x:f>
        <x:v>0.17647058823529413</x:v>
      </x:c>
      <x:c r="P1284" s="15" t="n">
        <x:f>IF(E1284=0,"해당 없음",H1284/E1284)</x:f>
        <x:v>0.08823529411764706</x:v>
      </x:c>
      <x:c r="Q1284" s="15" t="n">
        <x:f>IF(E1284=0,"해당 없음",I1284/E1284)</x:f>
        <x:v>0.029411764705882353</x:v>
      </x:c>
      <x:c r="R1284" s="15" t="n">
        <x:f>IF(E1284=0,"해당 없음",J1284/E1284)</x:f>
        <x:v>0.029411764705882353</x:v>
      </x:c>
      <x:c r="S1284" s="15" t="n">
        <x:f>IF(E1284=0,"해당 없음",K1284/E1284)</x:f>
        <x:v>0.029411764705882353</x:v>
      </x:c>
      <x:c r="T1284" s="15" t="n">
        <x:f>IF(E1284=0,"해당 없음",L1284/E1284)</x:f>
        <x:v>0.2549019607843137</x:v>
      </x:c>
      <x:c r="U1284" s="15" t="n">
        <x:f>IF(E1284=0,"해당 없음",M1284/E1284)</x:f>
        <x:v>0.35294117647058826</x:v>
      </x:c>
      <x:c r="V1284" s="16" t="n">
        <x:f>E1284/5</x:f>
        <x:v>20.4</x:v>
      </x:c>
    </x:row>
    <x:row r="1285" ht="22" customHeight="1">
      <x:c r="A1285" s="2" t="n">
        <x:v>640</x:v>
      </x:c>
      <x:c r="B1285" s="2" t="str">
        <x:v>NAVY</x:v>
      </x:c>
      <x:c r="C1285" s="2" t="str">
        <x:v>40만</x:v>
      </x:c>
      <x:c r="D1285" s="2" t="str">
        <x:v>160만</x:v>
      </x:c>
      <x:c r="E1285" s="14" t="n">
        <x:f>SUM(F1285:M1285)</x:f>
        <x:v>102</x:v>
      </x:c>
      <x:c r="F1285" s="14" t="n">
        <x:v>3</x:v>
      </x:c>
      <x:c r="G1285" s="14" t="n">
        <x:v>27</x:v>
      </x:c>
      <x:c r="H1285" s="14" t="n">
        <x:v>4</x:v>
      </x:c>
      <x:c r="I1285" s="14" t="n">
        <x:v>11</x:v>
      </x:c>
      <x:c r="J1285" s="14" t="n">
        <x:v>6</x:v>
      </x:c>
      <x:c r="K1285" s="14" t="n">
        <x:v>9</x:v>
      </x:c>
      <x:c r="L1285" s="14" t="n">
        <x:v>39</x:v>
      </x:c>
      <x:c r="M1285" s="14" t="n">
        <x:v>3</x:v>
      </x:c>
      <x:c r="N1285" s="15" t="n">
        <x:f>IF(E1285=0,"해당 없음",F1285/E1285)</x:f>
        <x:v>0.029411764705882353</x:v>
      </x:c>
      <x:c r="O1285" s="15" t="n">
        <x:f>IF(E1285=0,"해당 없음",G1285/E1285)</x:f>
        <x:v>0.2647058823529412</x:v>
      </x:c>
      <x:c r="P1285" s="15" t="n">
        <x:f>IF(E1285=0,"해당 없음",H1285/E1285)</x:f>
        <x:v>0.0392156862745098</x:v>
      </x:c>
      <x:c r="Q1285" s="15" t="n">
        <x:f>IF(E1285=0,"해당 없음",I1285/E1285)</x:f>
        <x:v>0.10784313725490197</x:v>
      </x:c>
      <x:c r="R1285" s="15" t="n">
        <x:f>IF(E1285=0,"해당 없음",J1285/E1285)</x:f>
        <x:v>0.058823529411764705</x:v>
      </x:c>
      <x:c r="S1285" s="15" t="n">
        <x:f>IF(E1285=0,"해당 없음",K1285/E1285)</x:f>
        <x:v>0.08823529411764706</x:v>
      </x:c>
      <x:c r="T1285" s="15" t="n">
        <x:f>IF(E1285=0,"해당 없음",L1285/E1285)</x:f>
        <x:v>0.38235294117647056</x:v>
      </x:c>
      <x:c r="U1285" s="15" t="n">
        <x:f>IF(E1285=0,"해당 없음",M1285/E1285)</x:f>
        <x:v>0.029411764705882353</x:v>
      </x:c>
      <x:c r="V1285" s="16" t="n">
        <x:f>E1285/5</x:f>
        <x:v>20.4</x:v>
      </x:c>
    </x:row>
    <x:row r="1286" ht="22" customHeight="1">
      <x:c r="A1286" s="2" t="n">
        <x:v>641</x:v>
      </x:c>
      <x:c r="B1286" s="2" t="str">
        <x:v>RED</x:v>
      </x:c>
      <x:c r="C1286" s="2" t="str">
        <x:v>40만</x:v>
      </x:c>
      <x:c r="D1286" s="2" t="str">
        <x:v>200만</x:v>
      </x:c>
      <x:c r="E1286" s="14" t="n">
        <x:f>SUM(F1286:M1286)</x:f>
        <x:v>102</x:v>
      </x:c>
      <x:c r="F1286" s="14" t="n">
        <x:v>5</x:v>
      </x:c>
      <x:c r="G1286" s="14" t="n">
        <x:v>24</x:v>
      </x:c>
      <x:c r="H1286" s="14" t="n">
        <x:v>9</x:v>
      </x:c>
      <x:c r="I1286" s="14" t="n">
        <x:v>5</x:v>
      </x:c>
      <x:c r="J1286" s="14" t="n">
        <x:v>4</x:v>
      </x:c>
      <x:c r="K1286" s="14" t="n">
        <x:v>10</x:v>
      </x:c>
      <x:c r="L1286" s="14" t="n">
        <x:v>39</x:v>
      </x:c>
      <x:c r="M1286" s="14" t="n">
        <x:v>6</x:v>
      </x:c>
      <x:c r="N1286" s="15" t="n">
        <x:f>IF(E1286=0,"해당 없음",F1286/E1286)</x:f>
        <x:v>0.049019607843137254</x:v>
      </x:c>
      <x:c r="O1286" s="15" t="n">
        <x:f>IF(E1286=0,"해당 없음",G1286/E1286)</x:f>
        <x:v>0.23529411764705882</x:v>
      </x:c>
      <x:c r="P1286" s="15" t="n">
        <x:f>IF(E1286=0,"해당 없음",H1286/E1286)</x:f>
        <x:v>0.08823529411764706</x:v>
      </x:c>
      <x:c r="Q1286" s="15" t="n">
        <x:f>IF(E1286=0,"해당 없음",I1286/E1286)</x:f>
        <x:v>0.049019607843137254</x:v>
      </x:c>
      <x:c r="R1286" s="15" t="n">
        <x:f>IF(E1286=0,"해당 없음",J1286/E1286)</x:f>
        <x:v>0.0392156862745098</x:v>
      </x:c>
      <x:c r="S1286" s="15" t="n">
        <x:f>IF(E1286=0,"해당 없음",K1286/E1286)</x:f>
        <x:v>0.09803921568627451</x:v>
      </x:c>
      <x:c r="T1286" s="15" t="n">
        <x:f>IF(E1286=0,"해당 없음",L1286/E1286)</x:f>
        <x:v>0.38235294117647056</x:v>
      </x:c>
      <x:c r="U1286" s="15" t="n">
        <x:f>IF(E1286=0,"해당 없음",M1286/E1286)</x:f>
        <x:v>0.058823529411764705</x:v>
      </x:c>
      <x:c r="V1286" s="16" t="n">
        <x:f>E1286/5</x:f>
        <x:v>20.4</x:v>
      </x:c>
    </x:row>
    <x:row r="1287" ht="22" customHeight="1">
      <x:c r="A1287" s="2" t="n">
        <x:v>641</x:v>
      </x:c>
      <x:c r="B1287" s="2" t="str">
        <x:v>NAVY</x:v>
      </x:c>
      <x:c r="C1287" s="2" t="str">
        <x:v>200만</x:v>
      </x:c>
      <x:c r="D1287" s="2" t="str">
        <x:v>40만</x:v>
      </x:c>
      <x:c r="E1287" s="14" t="n">
        <x:f>SUM(F1287:M1287)</x:f>
        <x:v>102</x:v>
      </x:c>
      <x:c r="F1287" s="14" t="n">
        <x:v>3</x:v>
      </x:c>
      <x:c r="G1287" s="14" t="n">
        <x:v>12</x:v>
      </x:c>
      <x:c r="H1287" s="14" t="n">
        <x:v>2</x:v>
      </x:c>
      <x:c r="I1287" s="14" t="n">
        <x:v>2</x:v>
      </x:c>
      <x:c r="J1287" s="14" t="n">
        <x:v>8</x:v>
      </x:c>
      <x:c r="K1287" s="14" t="n">
        <x:v>4</x:v>
      </x:c>
      <x:c r="L1287" s="14" t="n">
        <x:v>31</x:v>
      </x:c>
      <x:c r="M1287" s="14" t="n">
        <x:v>40</x:v>
      </x:c>
      <x:c r="N1287" s="15" t="n">
        <x:f>IF(E1287=0,"해당 없음",F1287/E1287)</x:f>
        <x:v>0.029411764705882353</x:v>
      </x:c>
      <x:c r="O1287" s="15" t="n">
        <x:f>IF(E1287=0,"해당 없음",G1287/E1287)</x:f>
        <x:v>0.11764705882352941</x:v>
      </x:c>
      <x:c r="P1287" s="15" t="n">
        <x:f>IF(E1287=0,"해당 없음",H1287/E1287)</x:f>
        <x:v>0.0196078431372549</x:v>
      </x:c>
      <x:c r="Q1287" s="15" t="n">
        <x:f>IF(E1287=0,"해당 없음",I1287/E1287)</x:f>
        <x:v>0.0196078431372549</x:v>
      </x:c>
      <x:c r="R1287" s="15" t="n">
        <x:f>IF(E1287=0,"해당 없음",J1287/E1287)</x:f>
        <x:v>0.0784313725490196</x:v>
      </x:c>
      <x:c r="S1287" s="15" t="n">
        <x:f>IF(E1287=0,"해당 없음",K1287/E1287)</x:f>
        <x:v>0.0392156862745098</x:v>
      </x:c>
      <x:c r="T1287" s="15" t="n">
        <x:f>IF(E1287=0,"해당 없음",L1287/E1287)</x:f>
        <x:v>0.30392156862745096</x:v>
      </x:c>
      <x:c r="U1287" s="15" t="n">
        <x:f>IF(E1287=0,"해당 없음",M1287/E1287)</x:f>
        <x:v>0.39215686274509803</x:v>
      </x:c>
      <x:c r="V1287" s="16" t="n">
        <x:f>E1287/5</x:f>
        <x:v>20.4</x:v>
      </x:c>
    </x:row>
    <x:row r="1288" ht="22" customHeight="1">
      <x:c r="A1288" s="2" t="n">
        <x:v>642</x:v>
      </x:c>
      <x:c r="B1288" s="2" t="str">
        <x:v>RED</x:v>
      </x:c>
      <x:c r="C1288" s="2" t="str">
        <x:v>200만</x:v>
      </x:c>
      <x:c r="D1288" s="2" t="str">
        <x:v>40만</x:v>
      </x:c>
      <x:c r="E1288" s="14" t="n">
        <x:f>SUM(F1288:M1288)</x:f>
        <x:v>103</x:v>
      </x:c>
      <x:c r="F1288" s="14" t="n">
        <x:v>4</x:v>
      </x:c>
      <x:c r="G1288" s="14" t="n">
        <x:v>18</x:v>
      </x:c>
      <x:c r="H1288" s="14" t="n">
        <x:v>2</x:v>
      </x:c>
      <x:c r="I1288" s="14" t="n">
        <x:v>3</x:v>
      </x:c>
      <x:c r="J1288" s="14" t="n">
        <x:v>3</x:v>
      </x:c>
      <x:c r="K1288" s="14" t="n">
        <x:v>2</x:v>
      </x:c>
      <x:c r="L1288" s="14" t="n">
        <x:v>32</x:v>
      </x:c>
      <x:c r="M1288" s="14" t="n">
        <x:v>39</x:v>
      </x:c>
      <x:c r="N1288" s="15" t="n">
        <x:f>IF(E1288=0,"해당 없음",F1288/E1288)</x:f>
        <x:v>0.038834951456310676</x:v>
      </x:c>
      <x:c r="O1288" s="15" t="n">
        <x:f>IF(E1288=0,"해당 없음",G1288/E1288)</x:f>
        <x:v>0.17475728155339806</x:v>
      </x:c>
      <x:c r="P1288" s="15" t="n">
        <x:f>IF(E1288=0,"해당 없음",H1288/E1288)</x:f>
        <x:v>0.019417475728155338</x:v>
      </x:c>
      <x:c r="Q1288" s="15" t="n">
        <x:f>IF(E1288=0,"해당 없음",I1288/E1288)</x:f>
        <x:v>0.02912621359223301</x:v>
      </x:c>
      <x:c r="R1288" s="15" t="n">
        <x:f>IF(E1288=0,"해당 없음",J1288/E1288)</x:f>
        <x:v>0.02912621359223301</x:v>
      </x:c>
      <x:c r="S1288" s="15" t="n">
        <x:f>IF(E1288=0,"해당 없음",K1288/E1288)</x:f>
        <x:v>0.019417475728155338</x:v>
      </x:c>
      <x:c r="T1288" s="15" t="n">
        <x:f>IF(E1288=0,"해당 없음",L1288/E1288)</x:f>
        <x:v>0.3106796116504854</x:v>
      </x:c>
      <x:c r="U1288" s="15" t="n">
        <x:f>IF(E1288=0,"해당 없음",M1288/E1288)</x:f>
        <x:v>0.3786407766990291</x:v>
      </x:c>
      <x:c r="V1288" s="16" t="n">
        <x:f>E1288/5</x:f>
        <x:v>20.6</x:v>
      </x:c>
    </x:row>
    <x:row r="1289" ht="22" customHeight="1">
      <x:c r="A1289" s="2" t="n">
        <x:v>642</x:v>
      </x:c>
      <x:c r="B1289" s="2" t="str">
        <x:v>NAVY</x:v>
      </x:c>
      <x:c r="C1289" s="2" t="str">
        <x:v>40만</x:v>
      </x:c>
      <x:c r="D1289" s="2" t="str">
        <x:v>200만</x:v>
      </x:c>
      <x:c r="E1289" s="14" t="n">
        <x:f>SUM(F1289:M1289)</x:f>
        <x:v>104</x:v>
      </x:c>
      <x:c r="F1289" s="14" t="n">
        <x:v>2</x:v>
      </x:c>
      <x:c r="G1289" s="14" t="n">
        <x:v>23</x:v>
      </x:c>
      <x:c r="H1289" s="14" t="n">
        <x:v>7</x:v>
      </x:c>
      <x:c r="I1289" s="14" t="n">
        <x:v>9</x:v>
      </x:c>
      <x:c r="J1289" s="14" t="n">
        <x:v>6</x:v>
      </x:c>
      <x:c r="K1289" s="14" t="n">
        <x:v>8</x:v>
      </x:c>
      <x:c r="L1289" s="14" t="n">
        <x:v>43</x:v>
      </x:c>
      <x:c r="M1289" s="14" t="n">
        <x:v>6</x:v>
      </x:c>
      <x:c r="N1289" s="15" t="n">
        <x:f>IF(E1289=0,"해당 없음",F1289/E1289)</x:f>
        <x:v>0.019230769230769232</x:v>
      </x:c>
      <x:c r="O1289" s="15" t="n">
        <x:f>IF(E1289=0,"해당 없음",G1289/E1289)</x:f>
        <x:v>0.22115384615384615</x:v>
      </x:c>
      <x:c r="P1289" s="15" t="n">
        <x:f>IF(E1289=0,"해당 없음",H1289/E1289)</x:f>
        <x:v>0.0673076923076923</x:v>
      </x:c>
      <x:c r="Q1289" s="15" t="n">
        <x:f>IF(E1289=0,"해당 없음",I1289/E1289)</x:f>
        <x:v>0.08653846153846154</x:v>
      </x:c>
      <x:c r="R1289" s="15" t="n">
        <x:f>IF(E1289=0,"해당 없음",J1289/E1289)</x:f>
        <x:v>0.057692307692307696</x:v>
      </x:c>
      <x:c r="S1289" s="15" t="n">
        <x:f>IF(E1289=0,"해당 없음",K1289/E1289)</x:f>
        <x:v>0.07692307692307693</x:v>
      </x:c>
      <x:c r="T1289" s="15" t="n">
        <x:f>IF(E1289=0,"해당 없음",L1289/E1289)</x:f>
        <x:v>0.41346153846153844</x:v>
      </x:c>
      <x:c r="U1289" s="15" t="n">
        <x:f>IF(E1289=0,"해당 없음",M1289/E1289)</x:f>
        <x:v>0.057692307692307696</x:v>
      </x:c>
      <x:c r="V1289" s="16" t="n">
        <x:f>E1289/5</x:f>
        <x:v>20.8</x:v>
      </x:c>
    </x:row>
    <x:row r="1290" ht="22" customHeight="1">
      <x:c r="A1290" s="2" t="n">
        <x:v>643</x:v>
      </x:c>
      <x:c r="B1290" s="2" t="str">
        <x:v>RED</x:v>
      </x:c>
      <x:c r="C1290" s="2" t="str">
        <x:v>40만</x:v>
      </x:c>
      <x:c r="D1290" s="2" t="str">
        <x:v>200만</x:v>
      </x:c>
      <x:c r="E1290" s="14" t="n">
        <x:f>SUM(F1290:M1290)</x:f>
        <x:v>103</x:v>
      </x:c>
      <x:c r="F1290" s="14" t="n">
        <x:v>2</x:v>
      </x:c>
      <x:c r="G1290" s="14" t="n">
        <x:v>28</x:v>
      </x:c>
      <x:c r="H1290" s="14" t="n">
        <x:v>6</x:v>
      </x:c>
      <x:c r="I1290" s="14" t="n">
        <x:v>10</x:v>
      </x:c>
      <x:c r="J1290" s="14" t="n">
        <x:v>4</x:v>
      </x:c>
      <x:c r="K1290" s="14" t="n">
        <x:v>6</x:v>
      </x:c>
      <x:c r="L1290" s="14" t="n">
        <x:v>40</x:v>
      </x:c>
      <x:c r="M1290" s="14" t="n">
        <x:v>7</x:v>
      </x:c>
      <x:c r="N1290" s="15" t="n">
        <x:f>IF(E1290=0,"해당 없음",F1290/E1290)</x:f>
        <x:v>0.019417475728155338</x:v>
      </x:c>
      <x:c r="O1290" s="15" t="n">
        <x:f>IF(E1290=0,"해당 없음",G1290/E1290)</x:f>
        <x:v>0.27184466019417475</x:v>
      </x:c>
      <x:c r="P1290" s="15" t="n">
        <x:f>IF(E1290=0,"해당 없음",H1290/E1290)</x:f>
        <x:v>0.05825242718446602</x:v>
      </x:c>
      <x:c r="Q1290" s="15" t="n">
        <x:f>IF(E1290=0,"해당 없음",I1290/E1290)</x:f>
        <x:v>0.0970873786407767</x:v>
      </x:c>
      <x:c r="R1290" s="15" t="n">
        <x:f>IF(E1290=0,"해당 없음",J1290/E1290)</x:f>
        <x:v>0.038834951456310676</x:v>
      </x:c>
      <x:c r="S1290" s="15" t="n">
        <x:f>IF(E1290=0,"해당 없음",K1290/E1290)</x:f>
        <x:v>0.05825242718446602</x:v>
      </x:c>
      <x:c r="T1290" s="15" t="n">
        <x:f>IF(E1290=0,"해당 없음",L1290/E1290)</x:f>
        <x:v>0.3883495145631068</x:v>
      </x:c>
      <x:c r="U1290" s="15" t="n">
        <x:f>IF(E1290=0,"해당 없음",M1290/E1290)</x:f>
        <x:v>0.06796116504854369</x:v>
      </x:c>
      <x:c r="V1290" s="16" t="n">
        <x:f>E1290/5</x:f>
        <x:v>20.6</x:v>
      </x:c>
    </x:row>
    <x:row r="1291" ht="22" customHeight="1">
      <x:c r="A1291" s="2" t="n">
        <x:v>643</x:v>
      </x:c>
      <x:c r="B1291" s="2" t="str">
        <x:v>NAVY</x:v>
      </x:c>
      <x:c r="C1291" s="2" t="str">
        <x:v>200만</x:v>
      </x:c>
      <x:c r="D1291" s="2" t="str">
        <x:v>40만</x:v>
      </x:c>
      <x:c r="E1291" s="14" t="n">
        <x:f>SUM(F1291:M1291)</x:f>
        <x:v>102</x:v>
      </x:c>
      <x:c r="F1291" s="14" t="n">
        <x:v>5</x:v>
      </x:c>
      <x:c r="G1291" s="14" t="n">
        <x:v>11</x:v>
      </x:c>
      <x:c r="H1291" s="14" t="n">
        <x:v>3</x:v>
      </x:c>
      <x:c r="I1291" s="14" t="n">
        <x:v>2</x:v>
      </x:c>
      <x:c r="J1291" s="14" t="n">
        <x:v>4</x:v>
      </x:c>
      <x:c r="K1291" s="14" t="n">
        <x:v>3</x:v>
      </x:c>
      <x:c r="L1291" s="14" t="n">
        <x:v>35</x:v>
      </x:c>
      <x:c r="M1291" s="14" t="n">
        <x:v>39</x:v>
      </x:c>
      <x:c r="N1291" s="15" t="n">
        <x:f>IF(E1291=0,"해당 없음",F1291/E1291)</x:f>
        <x:v>0.049019607843137254</x:v>
      </x:c>
      <x:c r="O1291" s="15" t="n">
        <x:f>IF(E1291=0,"해당 없음",G1291/E1291)</x:f>
        <x:v>0.10784313725490197</x:v>
      </x:c>
      <x:c r="P1291" s="15" t="n">
        <x:f>IF(E1291=0,"해당 없음",H1291/E1291)</x:f>
        <x:v>0.029411764705882353</x:v>
      </x:c>
      <x:c r="Q1291" s="15" t="n">
        <x:f>IF(E1291=0,"해당 없음",I1291/E1291)</x:f>
        <x:v>0.0196078431372549</x:v>
      </x:c>
      <x:c r="R1291" s="15" t="n">
        <x:f>IF(E1291=0,"해당 없음",J1291/E1291)</x:f>
        <x:v>0.0392156862745098</x:v>
      </x:c>
      <x:c r="S1291" s="15" t="n">
        <x:f>IF(E1291=0,"해당 없음",K1291/E1291)</x:f>
        <x:v>0.029411764705882353</x:v>
      </x:c>
      <x:c r="T1291" s="15" t="n">
        <x:f>IF(E1291=0,"해당 없음",L1291/E1291)</x:f>
        <x:v>0.3431372549019608</x:v>
      </x:c>
      <x:c r="U1291" s="15" t="n">
        <x:f>IF(E1291=0,"해당 없음",M1291/E1291)</x:f>
        <x:v>0.38235294117647056</x:v>
      </x:c>
      <x:c r="V1291" s="16" t="n">
        <x:f>E1291/5</x:f>
        <x:v>20.4</x:v>
      </x:c>
    </x:row>
    <x:row r="1292" ht="22" customHeight="1">
      <x:c r="A1292" s="2" t="n">
        <x:v>644</x:v>
      </x:c>
      <x:c r="B1292" s="2" t="str">
        <x:v>RED</x:v>
      </x:c>
      <x:c r="C1292" s="2" t="str">
        <x:v>200만</x:v>
      </x:c>
      <x:c r="D1292" s="2" t="str">
        <x:v>40만</x:v>
      </x:c>
      <x:c r="E1292" s="14" t="n">
        <x:f>SUM(F1292:M1292)</x:f>
        <x:v>103</x:v>
      </x:c>
      <x:c r="F1292" s="14" t="n">
        <x:v>1</x:v>
      </x:c>
      <x:c r="G1292" s="14" t="n">
        <x:v>16</x:v>
      </x:c>
      <x:c r="H1292" s="14" t="n">
        <x:v>7</x:v>
      </x:c>
      <x:c r="I1292" s="14" t="n">
        <x:v>4</x:v>
      </x:c>
      <x:c r="J1292" s="14" t="n">
        <x:v>3</x:v>
      </x:c>
      <x:c r="K1292" s="14" t="n">
        <x:v>1</x:v>
      </x:c>
      <x:c r="L1292" s="14" t="n">
        <x:v>27</x:v>
      </x:c>
      <x:c r="M1292" s="14" t="n">
        <x:v>44</x:v>
      </x:c>
      <x:c r="N1292" s="15" t="n">
        <x:f>IF(E1292=0,"해당 없음",F1292/E1292)</x:f>
        <x:v>0.009708737864077669</x:v>
      </x:c>
      <x:c r="O1292" s="15" t="n">
        <x:f>IF(E1292=0,"해당 없음",G1292/E1292)</x:f>
        <x:v>0.1553398058252427</x:v>
      </x:c>
      <x:c r="P1292" s="15" t="n">
        <x:f>IF(E1292=0,"해당 없음",H1292/E1292)</x:f>
        <x:v>0.06796116504854369</x:v>
      </x:c>
      <x:c r="Q1292" s="15" t="n">
        <x:f>IF(E1292=0,"해당 없음",I1292/E1292)</x:f>
        <x:v>0.038834951456310676</x:v>
      </x:c>
      <x:c r="R1292" s="15" t="n">
        <x:f>IF(E1292=0,"해당 없음",J1292/E1292)</x:f>
        <x:v>0.02912621359223301</x:v>
      </x:c>
      <x:c r="S1292" s="15" t="n">
        <x:f>IF(E1292=0,"해당 없음",K1292/E1292)</x:f>
        <x:v>0.009708737864077669</x:v>
      </x:c>
      <x:c r="T1292" s="15" t="n">
        <x:f>IF(E1292=0,"해당 없음",L1292/E1292)</x:f>
        <x:v>0.2621359223300971</x:v>
      </x:c>
      <x:c r="U1292" s="15" t="n">
        <x:f>IF(E1292=0,"해당 없음",M1292/E1292)</x:f>
        <x:v>0.42718446601941745</x:v>
      </x:c>
      <x:c r="V1292" s="16" t="n">
        <x:f>E1292/5</x:f>
        <x:v>20.6</x:v>
      </x:c>
    </x:row>
    <x:row r="1293" ht="22" customHeight="1">
      <x:c r="A1293" s="2" t="n">
        <x:v>644</x:v>
      </x:c>
      <x:c r="B1293" s="2" t="str">
        <x:v>NAVY</x:v>
      </x:c>
      <x:c r="C1293" s="2" t="str">
        <x:v>40만</x:v>
      </x:c>
      <x:c r="D1293" s="2" t="str">
        <x:v>200만</x:v>
      </x:c>
      <x:c r="E1293" s="14" t="n">
        <x:f>SUM(F1293:M1293)</x:f>
        <x:v>103</x:v>
      </x:c>
      <x:c r="F1293" s="14" t="n">
        <x:v>6</x:v>
      </x:c>
      <x:c r="G1293" s="14" t="n">
        <x:v>25</x:v>
      </x:c>
      <x:c r="H1293" s="14" t="n">
        <x:v>5</x:v>
      </x:c>
      <x:c r="I1293" s="14" t="n">
        <x:v>8</x:v>
      </x:c>
      <x:c r="J1293" s="14" t="n">
        <x:v>2</x:v>
      </x:c>
      <x:c r="K1293" s="14" t="n">
        <x:v>9</x:v>
      </x:c>
      <x:c r="L1293" s="14" t="n">
        <x:v>43</x:v>
      </x:c>
      <x:c r="M1293" s="14" t="n">
        <x:v>5</x:v>
      </x:c>
      <x:c r="N1293" s="15" t="n">
        <x:f>IF(E1293=0,"해당 없음",F1293/E1293)</x:f>
        <x:v>0.05825242718446602</x:v>
      </x:c>
      <x:c r="O1293" s="15" t="n">
        <x:f>IF(E1293=0,"해당 없음",G1293/E1293)</x:f>
        <x:v>0.24271844660194175</x:v>
      </x:c>
      <x:c r="P1293" s="15" t="n">
        <x:f>IF(E1293=0,"해당 없음",H1293/E1293)</x:f>
        <x:v>0.04854368932038835</x:v>
      </x:c>
      <x:c r="Q1293" s="15" t="n">
        <x:f>IF(E1293=0,"해당 없음",I1293/E1293)</x:f>
        <x:v>0.07766990291262135</x:v>
      </x:c>
      <x:c r="R1293" s="15" t="n">
        <x:f>IF(E1293=0,"해당 없음",J1293/E1293)</x:f>
        <x:v>0.019417475728155338</x:v>
      </x:c>
      <x:c r="S1293" s="15" t="n">
        <x:f>IF(E1293=0,"해당 없음",K1293/E1293)</x:f>
        <x:v>0.08737864077669903</x:v>
      </x:c>
      <x:c r="T1293" s="15" t="n">
        <x:f>IF(E1293=0,"해당 없음",L1293/E1293)</x:f>
        <x:v>0.4174757281553398</x:v>
      </x:c>
      <x:c r="U1293" s="15" t="n">
        <x:f>IF(E1293=0,"해당 없음",M1293/E1293)</x:f>
        <x:v>0.04854368932038835</x:v>
      </x:c>
      <x:c r="V1293" s="16" t="n">
        <x:f>E1293/5</x:f>
        <x:v>20.6</x:v>
      </x:c>
    </x:row>
    <x:row r="1294" ht="22" customHeight="1">
      <x:c r="A1294" s="2" t="n">
        <x:v>645</x:v>
      </x:c>
      <x:c r="B1294" s="2" t="str">
        <x:v>RED</x:v>
      </x:c>
      <x:c r="C1294" s="2" t="str">
        <x:v>40만</x:v>
      </x:c>
      <x:c r="D1294" s="2" t="str">
        <x:v>200만</x:v>
      </x:c>
      <x:c r="E1294" s="14" t="n">
        <x:f>SUM(F1294:M1294)</x:f>
        <x:v>103</x:v>
      </x:c>
      <x:c r="F1294" s="14" t="n">
        <x:v>6</x:v>
      </x:c>
      <x:c r="G1294" s="14" t="n">
        <x:v>24</x:v>
      </x:c>
      <x:c r="H1294" s="14" t="n">
        <x:v>6</x:v>
      </x:c>
      <x:c r="I1294" s="14" t="n">
        <x:v>6</x:v>
      </x:c>
      <x:c r="J1294" s="14" t="n">
        <x:v>5</x:v>
      </x:c>
      <x:c r="K1294" s="14" t="n">
        <x:v>8</x:v>
      </x:c>
      <x:c r="L1294" s="14" t="n">
        <x:v>43</x:v>
      </x:c>
      <x:c r="M1294" s="14" t="n">
        <x:v>5</x:v>
      </x:c>
      <x:c r="N1294" s="15" t="n">
        <x:f>IF(E1294=0,"해당 없음",F1294/E1294)</x:f>
        <x:v>0.05825242718446602</x:v>
      </x:c>
      <x:c r="O1294" s="15" t="n">
        <x:f>IF(E1294=0,"해당 없음",G1294/E1294)</x:f>
        <x:v>0.23300970873786409</x:v>
      </x:c>
      <x:c r="P1294" s="15" t="n">
        <x:f>IF(E1294=0,"해당 없음",H1294/E1294)</x:f>
        <x:v>0.05825242718446602</x:v>
      </x:c>
      <x:c r="Q1294" s="15" t="n">
        <x:f>IF(E1294=0,"해당 없음",I1294/E1294)</x:f>
        <x:v>0.05825242718446602</x:v>
      </x:c>
      <x:c r="R1294" s="15" t="n">
        <x:f>IF(E1294=0,"해당 없음",J1294/E1294)</x:f>
        <x:v>0.04854368932038835</x:v>
      </x:c>
      <x:c r="S1294" s="15" t="n">
        <x:f>IF(E1294=0,"해당 없음",K1294/E1294)</x:f>
        <x:v>0.07766990291262135</x:v>
      </x:c>
      <x:c r="T1294" s="15" t="n">
        <x:f>IF(E1294=0,"해당 없음",L1294/E1294)</x:f>
        <x:v>0.4174757281553398</x:v>
      </x:c>
      <x:c r="U1294" s="15" t="n">
        <x:f>IF(E1294=0,"해당 없음",M1294/E1294)</x:f>
        <x:v>0.04854368932038835</x:v>
      </x:c>
      <x:c r="V1294" s="16" t="n">
        <x:f>E1294/5</x:f>
        <x:v>20.6</x:v>
      </x:c>
    </x:row>
    <x:row r="1295" ht="22" customHeight="1">
      <x:c r="A1295" s="2" t="n">
        <x:v>645</x:v>
      </x:c>
      <x:c r="B1295" s="2" t="str">
        <x:v>NAVY</x:v>
      </x:c>
      <x:c r="C1295" s="2" t="str">
        <x:v>200만</x:v>
      </x:c>
      <x:c r="D1295" s="2" t="str">
        <x:v>40만</x:v>
      </x:c>
      <x:c r="E1295" s="14" t="n">
        <x:f>SUM(F1295:M1295)</x:f>
        <x:v>104</x:v>
      </x:c>
      <x:c r="F1295" s="14" t="n">
        <x:v>5</x:v>
      </x:c>
      <x:c r="G1295" s="14" t="n">
        <x:v>16</x:v>
      </x:c>
      <x:c r="H1295" s="14" t="n">
        <x:v>4</x:v>
      </x:c>
      <x:c r="I1295" s="14" t="n">
        <x:v>3</x:v>
      </x:c>
      <x:c r="J1295" s="14" t="n">
        <x:v>5</x:v>
      </x:c>
      <x:c r="K1295" s="14" t="n">
        <x:v>2</x:v>
      </x:c>
      <x:c r="L1295" s="14" t="n">
        <x:v>36</x:v>
      </x:c>
      <x:c r="M1295" s="14" t="n">
        <x:v>33</x:v>
      </x:c>
      <x:c r="N1295" s="15" t="n">
        <x:f>IF(E1295=0,"해당 없음",F1295/E1295)</x:f>
        <x:v>0.04807692307692308</x:v>
      </x:c>
      <x:c r="O1295" s="15" t="n">
        <x:f>IF(E1295=0,"해당 없음",G1295/E1295)</x:f>
        <x:v>0.15384615384615385</x:v>
      </x:c>
      <x:c r="P1295" s="15" t="n">
        <x:f>IF(E1295=0,"해당 없음",H1295/E1295)</x:f>
        <x:v>0.038461538461538464</x:v>
      </x:c>
      <x:c r="Q1295" s="15" t="n">
        <x:f>IF(E1295=0,"해당 없음",I1295/E1295)</x:f>
        <x:v>0.028846153846153848</x:v>
      </x:c>
      <x:c r="R1295" s="15" t="n">
        <x:f>IF(E1295=0,"해당 없음",J1295/E1295)</x:f>
        <x:v>0.04807692307692308</x:v>
      </x:c>
      <x:c r="S1295" s="15" t="n">
        <x:f>IF(E1295=0,"해당 없음",K1295/E1295)</x:f>
        <x:v>0.019230769230769232</x:v>
      </x:c>
      <x:c r="T1295" s="15" t="n">
        <x:f>IF(E1295=0,"해당 없음",L1295/E1295)</x:f>
        <x:v>0.34615384615384615</x:v>
      </x:c>
      <x:c r="U1295" s="15" t="n">
        <x:f>IF(E1295=0,"해당 없음",M1295/E1295)</x:f>
        <x:v>0.3173076923076923</x:v>
      </x:c>
      <x:c r="V1295" s="16" t="n">
        <x:f>E1295/5</x:f>
        <x:v>20.8</x:v>
      </x:c>
    </x:row>
    <x:row r="1296" ht="22" customHeight="1">
      <x:c r="A1296" s="2" t="n">
        <x:v>646</x:v>
      </x:c>
      <x:c r="B1296" s="2" t="str">
        <x:v>RED</x:v>
      </x:c>
      <x:c r="C1296" s="2" t="str">
        <x:v>200만</x:v>
      </x:c>
      <x:c r="D1296" s="2" t="str">
        <x:v>40만</x:v>
      </x:c>
      <x:c r="E1296" s="14" t="n">
        <x:f>SUM(F1296:M1296)</x:f>
        <x:v>101</x:v>
      </x:c>
      <x:c r="F1296" s="14" t="n">
        <x:v>5</x:v>
      </x:c>
      <x:c r="G1296" s="14" t="n">
        <x:v>7</x:v>
      </x:c>
      <x:c r="H1296" s="14" t="n">
        <x:v>5</x:v>
      </x:c>
      <x:c r="I1296" s="14" t="n">
        <x:v>5</x:v>
      </x:c>
      <x:c r="J1296" s="14" t="n">
        <x:v>1</x:v>
      </x:c>
      <x:c r="K1296" s="14" t="n">
        <x:v>4</x:v>
      </x:c>
      <x:c r="L1296" s="14" t="n">
        <x:v>35</x:v>
      </x:c>
      <x:c r="M1296" s="14" t="n">
        <x:v>39</x:v>
      </x:c>
      <x:c r="N1296" s="15" t="n">
        <x:f>IF(E1296=0,"해당 없음",F1296/E1296)</x:f>
        <x:v>0.04950495049504951</x:v>
      </x:c>
      <x:c r="O1296" s="15" t="n">
        <x:f>IF(E1296=0,"해당 없음",G1296/E1296)</x:f>
        <x:v>0.06930693069306931</x:v>
      </x:c>
      <x:c r="P1296" s="15" t="n">
        <x:f>IF(E1296=0,"해당 없음",H1296/E1296)</x:f>
        <x:v>0.04950495049504951</x:v>
      </x:c>
      <x:c r="Q1296" s="15" t="n">
        <x:f>IF(E1296=0,"해당 없음",I1296/E1296)</x:f>
        <x:v>0.04950495049504951</x:v>
      </x:c>
      <x:c r="R1296" s="15" t="n">
        <x:f>IF(E1296=0,"해당 없음",J1296/E1296)</x:f>
        <x:v>0.009900990099009901</x:v>
      </x:c>
      <x:c r="S1296" s="15" t="n">
        <x:f>IF(E1296=0,"해당 없음",K1296/E1296)</x:f>
        <x:v>0.039603960396039604</x:v>
      </x:c>
      <x:c r="T1296" s="15" t="n">
        <x:f>IF(E1296=0,"해당 없음",L1296/E1296)</x:f>
        <x:v>0.3465346534653465</x:v>
      </x:c>
      <x:c r="U1296" s="15" t="n">
        <x:f>IF(E1296=0,"해당 없음",M1296/E1296)</x:f>
        <x:v>0.38613861386138615</x:v>
      </x:c>
      <x:c r="V1296" s="16" t="n">
        <x:f>E1296/5</x:f>
        <x:v>20.2</x:v>
      </x:c>
    </x:row>
    <x:row r="1297" ht="22" customHeight="1">
      <x:c r="A1297" s="2" t="n">
        <x:v>646</x:v>
      </x:c>
      <x:c r="B1297" s="2" t="str">
        <x:v>NAVY</x:v>
      </x:c>
      <x:c r="C1297" s="2" t="str">
        <x:v>40만</x:v>
      </x:c>
      <x:c r="D1297" s="2" t="str">
        <x:v>200만</x:v>
      </x:c>
      <x:c r="E1297" s="14" t="n">
        <x:f>SUM(F1297:M1297)</x:f>
        <x:v>100</x:v>
      </x:c>
      <x:c r="F1297" s="14" t="n">
        <x:v>5</x:v>
      </x:c>
      <x:c r="G1297" s="14" t="n">
        <x:v>30</x:v>
      </x:c>
      <x:c r="H1297" s="14" t="n">
        <x:v>8</x:v>
      </x:c>
      <x:c r="I1297" s="14" t="n">
        <x:v>4</x:v>
      </x:c>
      <x:c r="J1297" s="14" t="n">
        <x:v>9</x:v>
      </x:c>
      <x:c r="K1297" s="14" t="n">
        <x:v>9</x:v>
      </x:c>
      <x:c r="L1297" s="14" t="n">
        <x:v>35</x:v>
      </x:c>
      <x:c r="M1297" s="14" t="n">
        <x:v>0</x:v>
      </x:c>
      <x:c r="N1297" s="15" t="n">
        <x:f>IF(E1297=0,"해당 없음",F1297/E1297)</x:f>
        <x:v>0.05</x:v>
      </x:c>
      <x:c r="O1297" s="15" t="n">
        <x:f>IF(E1297=0,"해당 없음",G1297/E1297)</x:f>
        <x:v>0.3</x:v>
      </x:c>
      <x:c r="P1297" s="15" t="n">
        <x:f>IF(E1297=0,"해당 없음",H1297/E1297)</x:f>
        <x:v>0.08</x:v>
      </x:c>
      <x:c r="Q1297" s="15" t="n">
        <x:f>IF(E1297=0,"해당 없음",I1297/E1297)</x:f>
        <x:v>0.04</x:v>
      </x:c>
      <x:c r="R1297" s="15" t="n">
        <x:f>IF(E1297=0,"해당 없음",J1297/E1297)</x:f>
        <x:v>0.09</x:v>
      </x:c>
      <x:c r="S1297" s="15" t="n">
        <x:f>IF(E1297=0,"해당 없음",K1297/E1297)</x:f>
        <x:v>0.09</x:v>
      </x:c>
      <x:c r="T1297" s="15" t="n">
        <x:f>IF(E1297=0,"해당 없음",L1297/E1297)</x:f>
        <x:v>0.35</x:v>
      </x:c>
      <x:c r="U1297" s="15" t="n">
        <x:f>IF(E1297=0,"해당 없음",M1297/E1297)</x:f>
        <x:v>0</x:v>
      </x:c>
      <x:c r="V1297" s="16" t="n">
        <x:f>E1297/5</x:f>
        <x:v>20</x:v>
      </x:c>
    </x:row>
    <x:row r="1298" ht="22" customHeight="1">
      <x:c r="A1298" s="2" t="n">
        <x:v>647</x:v>
      </x:c>
      <x:c r="B1298" s="2" t="str">
        <x:v>RED</x:v>
      </x:c>
      <x:c r="C1298" s="2" t="str">
        <x:v>40만</x:v>
      </x:c>
      <x:c r="D1298" s="2" t="str">
        <x:v>200만</x:v>
      </x:c>
      <x:c r="E1298" s="14" t="n">
        <x:f>SUM(F1298:M1298)</x:f>
        <x:v>106</x:v>
      </x:c>
      <x:c r="F1298" s="14" t="n">
        <x:v>4</x:v>
      </x:c>
      <x:c r="G1298" s="14" t="n">
        <x:v>27</x:v>
      </x:c>
      <x:c r="H1298" s="14" t="n">
        <x:v>7</x:v>
      </x:c>
      <x:c r="I1298" s="14" t="n">
        <x:v>6</x:v>
      </x:c>
      <x:c r="J1298" s="14" t="n">
        <x:v>3</x:v>
      </x:c>
      <x:c r="K1298" s="14" t="n">
        <x:v>8</x:v>
      </x:c>
      <x:c r="L1298" s="14" t="n">
        <x:v>45</x:v>
      </x:c>
      <x:c r="M1298" s="14" t="n">
        <x:v>6</x:v>
      </x:c>
      <x:c r="N1298" s="15" t="n">
        <x:f>IF(E1298=0,"해당 없음",F1298/E1298)</x:f>
        <x:v>0.03773584905660377</x:v>
      </x:c>
      <x:c r="O1298" s="15" t="n">
        <x:f>IF(E1298=0,"해당 없음",G1298/E1298)</x:f>
        <x:v>0.25471698113207547</x:v>
      </x:c>
      <x:c r="P1298" s="15" t="n">
        <x:f>IF(E1298=0,"해당 없음",H1298/E1298)</x:f>
        <x:v>0.0660377358490566</x:v>
      </x:c>
      <x:c r="Q1298" s="15" t="n">
        <x:f>IF(E1298=0,"해당 없음",I1298/E1298)</x:f>
        <x:v>0.05660377358490566</x:v>
      </x:c>
      <x:c r="R1298" s="15" t="n">
        <x:f>IF(E1298=0,"해당 없음",J1298/E1298)</x:f>
        <x:v>0.02830188679245283</x:v>
      </x:c>
      <x:c r="S1298" s="15" t="n">
        <x:f>IF(E1298=0,"해당 없음",K1298/E1298)</x:f>
        <x:v>0.07547169811320754</x:v>
      </x:c>
      <x:c r="T1298" s="15" t="n">
        <x:f>IF(E1298=0,"해당 없음",L1298/E1298)</x:f>
        <x:v>0.42452830188679247</x:v>
      </x:c>
      <x:c r="U1298" s="15" t="n">
        <x:f>IF(E1298=0,"해당 없음",M1298/E1298)</x:f>
        <x:v>0.05660377358490566</x:v>
      </x:c>
      <x:c r="V1298" s="16" t="n">
        <x:f>E1298/5</x:f>
        <x:v>21.2</x:v>
      </x:c>
    </x:row>
    <x:row r="1299" ht="22" customHeight="1">
      <x:c r="A1299" s="2" t="n">
        <x:v>647</x:v>
      </x:c>
      <x:c r="B1299" s="2" t="str">
        <x:v>NAVY</x:v>
      </x:c>
      <x:c r="C1299" s="2" t="str">
        <x:v>200만</x:v>
      </x:c>
      <x:c r="D1299" s="2" t="str">
        <x:v>40만</x:v>
      </x:c>
      <x:c r="E1299" s="14" t="n">
        <x:f>SUM(F1299:M1299)</x:f>
        <x:v>108</x:v>
      </x:c>
      <x:c r="F1299" s="14" t="n">
        <x:v>5</x:v>
      </x:c>
      <x:c r="G1299" s="14" t="n">
        <x:v>13</x:v>
      </x:c>
      <x:c r="H1299" s="14" t="n">
        <x:v>7</x:v>
      </x:c>
      <x:c r="I1299" s="14" t="n">
        <x:v>6</x:v>
      </x:c>
      <x:c r="J1299" s="14" t="n">
        <x:v>7</x:v>
      </x:c>
      <x:c r="K1299" s="14" t="n">
        <x:v>6</x:v>
      </x:c>
      <x:c r="L1299" s="14" t="n">
        <x:v>35</x:v>
      </x:c>
      <x:c r="M1299" s="14" t="n">
        <x:v>29</x:v>
      </x:c>
      <x:c r="N1299" s="15" t="n">
        <x:f>IF(E1299=0,"해당 없음",F1299/E1299)</x:f>
        <x:v>0.046296296296296294</x:v>
      </x:c>
      <x:c r="O1299" s="15" t="n">
        <x:f>IF(E1299=0,"해당 없음",G1299/E1299)</x:f>
        <x:v>0.12037037037037036</x:v>
      </x:c>
      <x:c r="P1299" s="15" t="n">
        <x:f>IF(E1299=0,"해당 없음",H1299/E1299)</x:f>
        <x:v>0.06481481481481481</x:v>
      </x:c>
      <x:c r="Q1299" s="15" t="n">
        <x:f>IF(E1299=0,"해당 없음",I1299/E1299)</x:f>
        <x:v>0.05555555555555555</x:v>
      </x:c>
      <x:c r="R1299" s="15" t="n">
        <x:f>IF(E1299=0,"해당 없음",J1299/E1299)</x:f>
        <x:v>0.06481481481481481</x:v>
      </x:c>
      <x:c r="S1299" s="15" t="n">
        <x:f>IF(E1299=0,"해당 없음",K1299/E1299)</x:f>
        <x:v>0.05555555555555555</x:v>
      </x:c>
      <x:c r="T1299" s="15" t="n">
        <x:f>IF(E1299=0,"해당 없음",L1299/E1299)</x:f>
        <x:v>0.32407407407407407</x:v>
      </x:c>
      <x:c r="U1299" s="15" t="n">
        <x:f>IF(E1299=0,"해당 없음",M1299/E1299)</x:f>
        <x:v>0.26851851851851855</x:v>
      </x:c>
      <x:c r="V1299" s="16" t="n">
        <x:f>E1299/5</x:f>
        <x:v>21.6</x:v>
      </x:c>
    </x:row>
    <x:row r="1300" ht="22" customHeight="1">
      <x:c r="A1300" s="2" t="n">
        <x:v>648</x:v>
      </x:c>
      <x:c r="B1300" s="2" t="str">
        <x:v>RED</x:v>
      </x:c>
      <x:c r="C1300" s="2" t="str">
        <x:v>200만</x:v>
      </x:c>
      <x:c r="D1300" s="2" t="str">
        <x:v>40만</x:v>
      </x:c>
      <x:c r="E1300" s="14" t="n">
        <x:f>SUM(F1300:M1300)</x:f>
        <x:v>104</x:v>
      </x:c>
      <x:c r="F1300" s="14" t="n">
        <x:v>7</x:v>
      </x:c>
      <x:c r="G1300" s="14" t="n">
        <x:v>13</x:v>
      </x:c>
      <x:c r="H1300" s="14" t="n">
        <x:v>9</x:v>
      </x:c>
      <x:c r="I1300" s="14" t="n">
        <x:v>3</x:v>
      </x:c>
      <x:c r="J1300" s="14" t="n">
        <x:v>3</x:v>
      </x:c>
      <x:c r="K1300" s="14" t="n">
        <x:v>6</x:v>
      </x:c>
      <x:c r="L1300" s="14" t="n">
        <x:v>31</x:v>
      </x:c>
      <x:c r="M1300" s="14" t="n">
        <x:v>32</x:v>
      </x:c>
      <x:c r="N1300" s="15" t="n">
        <x:f>IF(E1300=0,"해당 없음",F1300/E1300)</x:f>
        <x:v>0.0673076923076923</x:v>
      </x:c>
      <x:c r="O1300" s="15" t="n">
        <x:f>IF(E1300=0,"해당 없음",G1300/E1300)</x:f>
        <x:v>0.125</x:v>
      </x:c>
      <x:c r="P1300" s="15" t="n">
        <x:f>IF(E1300=0,"해당 없음",H1300/E1300)</x:f>
        <x:v>0.08653846153846154</x:v>
      </x:c>
      <x:c r="Q1300" s="15" t="n">
        <x:f>IF(E1300=0,"해당 없음",I1300/E1300)</x:f>
        <x:v>0.028846153846153848</x:v>
      </x:c>
      <x:c r="R1300" s="15" t="n">
        <x:f>IF(E1300=0,"해당 없음",J1300/E1300)</x:f>
        <x:v>0.028846153846153848</x:v>
      </x:c>
      <x:c r="S1300" s="15" t="n">
        <x:f>IF(E1300=0,"해당 없음",K1300/E1300)</x:f>
        <x:v>0.057692307692307696</x:v>
      </x:c>
      <x:c r="T1300" s="15" t="n">
        <x:f>IF(E1300=0,"해당 없음",L1300/E1300)</x:f>
        <x:v>0.2980769230769231</x:v>
      </x:c>
      <x:c r="U1300" s="15" t="n">
        <x:f>IF(E1300=0,"해당 없음",M1300/E1300)</x:f>
        <x:v>0.3076923076923077</x:v>
      </x:c>
      <x:c r="V1300" s="16" t="n">
        <x:f>E1300/5</x:f>
        <x:v>20.8</x:v>
      </x:c>
    </x:row>
    <x:row r="1301" ht="22" customHeight="1">
      <x:c r="A1301" s="2" t="n">
        <x:v>648</x:v>
      </x:c>
      <x:c r="B1301" s="2" t="str">
        <x:v>NAVY</x:v>
      </x:c>
      <x:c r="C1301" s="2" t="str">
        <x:v>40만</x:v>
      </x:c>
      <x:c r="D1301" s="2" t="str">
        <x:v>200만</x:v>
      </x:c>
      <x:c r="E1301" s="14" t="n">
        <x:f>SUM(F1301:M1301)</x:f>
        <x:v>102</x:v>
      </x:c>
      <x:c r="F1301" s="14" t="n">
        <x:v>3</x:v>
      </x:c>
      <x:c r="G1301" s="14" t="n">
        <x:v>29</x:v>
      </x:c>
      <x:c r="H1301" s="14" t="n">
        <x:v>8</x:v>
      </x:c>
      <x:c r="I1301" s="14" t="n">
        <x:v>8</x:v>
      </x:c>
      <x:c r="J1301" s="14" t="n">
        <x:v>4</x:v>
      </x:c>
      <x:c r="K1301" s="14" t="n">
        <x:v>5</x:v>
      </x:c>
      <x:c r="L1301" s="14" t="n">
        <x:v>40</x:v>
      </x:c>
      <x:c r="M1301" s="14" t="n">
        <x:v>5</x:v>
      </x:c>
      <x:c r="N1301" s="15" t="n">
        <x:f>IF(E1301=0,"해당 없음",F1301/E1301)</x:f>
        <x:v>0.029411764705882353</x:v>
      </x:c>
      <x:c r="O1301" s="15" t="n">
        <x:f>IF(E1301=0,"해당 없음",G1301/E1301)</x:f>
        <x:v>0.28431372549019607</x:v>
      </x:c>
      <x:c r="P1301" s="15" t="n">
        <x:f>IF(E1301=0,"해당 없음",H1301/E1301)</x:f>
        <x:v>0.0784313725490196</x:v>
      </x:c>
      <x:c r="Q1301" s="15" t="n">
        <x:f>IF(E1301=0,"해당 없음",I1301/E1301)</x:f>
        <x:v>0.0784313725490196</x:v>
      </x:c>
      <x:c r="R1301" s="15" t="n">
        <x:f>IF(E1301=0,"해당 없음",J1301/E1301)</x:f>
        <x:v>0.0392156862745098</x:v>
      </x:c>
      <x:c r="S1301" s="15" t="n">
        <x:f>IF(E1301=0,"해당 없음",K1301/E1301)</x:f>
        <x:v>0.049019607843137254</x:v>
      </x:c>
      <x:c r="T1301" s="15" t="n">
        <x:f>IF(E1301=0,"해당 없음",L1301/E1301)</x:f>
        <x:v>0.39215686274509803</x:v>
      </x:c>
      <x:c r="U1301" s="15" t="n">
        <x:f>IF(E1301=0,"해당 없음",M1301/E1301)</x:f>
        <x:v>0.049019607843137254</x:v>
      </x:c>
      <x:c r="V1301" s="16" t="n">
        <x:f>E1301/5</x:f>
        <x:v>20.4</x:v>
      </x:c>
    </x:row>
    <x:row r="1302" ht="22" customHeight="1">
      <x:c r="A1302" s="2" t="n">
        <x:v>649</x:v>
      </x:c>
      <x:c r="B1302" s="2" t="str">
        <x:v>RED</x:v>
      </x:c>
      <x:c r="C1302" s="2" t="str">
        <x:v>40만</x:v>
      </x:c>
      <x:c r="D1302" s="2" t="str">
        <x:v>200만</x:v>
      </x:c>
      <x:c r="E1302" s="14" t="n">
        <x:f>SUM(F1302:M1302)</x:f>
        <x:v>105</x:v>
      </x:c>
      <x:c r="F1302" s="14" t="n">
        <x:v>3</x:v>
      </x:c>
      <x:c r="G1302" s="14" t="n">
        <x:v>19</x:v>
      </x:c>
      <x:c r="H1302" s="14" t="n">
        <x:v>5</x:v>
      </x:c>
      <x:c r="I1302" s="14" t="n">
        <x:v>9</x:v>
      </x:c>
      <x:c r="J1302" s="14" t="n">
        <x:v>2</x:v>
      </x:c>
      <x:c r="K1302" s="14" t="n">
        <x:v>19</x:v>
      </x:c>
      <x:c r="L1302" s="14" t="n">
        <x:v>41</x:v>
      </x:c>
      <x:c r="M1302" s="14" t="n">
        <x:v>7</x:v>
      </x:c>
      <x:c r="N1302" s="15" t="n">
        <x:f>IF(E1302=0,"해당 없음",F1302/E1302)</x:f>
        <x:v>0.02857142857142857</x:v>
      </x:c>
      <x:c r="O1302" s="15" t="n">
        <x:f>IF(E1302=0,"해당 없음",G1302/E1302)</x:f>
        <x:v>0.18095238095238095</x:v>
      </x:c>
      <x:c r="P1302" s="15" t="n">
        <x:f>IF(E1302=0,"해당 없음",H1302/E1302)</x:f>
        <x:v>0.047619047619047616</x:v>
      </x:c>
      <x:c r="Q1302" s="15" t="n">
        <x:f>IF(E1302=0,"해당 없음",I1302/E1302)</x:f>
        <x:v>0.08571428571428572</x:v>
      </x:c>
      <x:c r="R1302" s="15" t="n">
        <x:f>IF(E1302=0,"해당 없음",J1302/E1302)</x:f>
        <x:v>0.01904761904761905</x:v>
      </x:c>
      <x:c r="S1302" s="15" t="n">
        <x:f>IF(E1302=0,"해당 없음",K1302/E1302)</x:f>
        <x:v>0.18095238095238095</x:v>
      </x:c>
      <x:c r="T1302" s="15" t="n">
        <x:f>IF(E1302=0,"해당 없음",L1302/E1302)</x:f>
        <x:v>0.3904761904761905</x:v>
      </x:c>
      <x:c r="U1302" s="15" t="n">
        <x:f>IF(E1302=0,"해당 없음",M1302/E1302)</x:f>
        <x:v>0.06666666666666667</x:v>
      </x:c>
      <x:c r="V1302" s="16" t="n">
        <x:f>E1302/5</x:f>
        <x:v>21</x:v>
      </x:c>
    </x:row>
    <x:row r="1303" ht="22" customHeight="1">
      <x:c r="A1303" s="2" t="n">
        <x:v>649</x:v>
      </x:c>
      <x:c r="B1303" s="2" t="str">
        <x:v>NAVY</x:v>
      </x:c>
      <x:c r="C1303" s="2" t="str">
        <x:v>200만</x:v>
      </x:c>
      <x:c r="D1303" s="2" t="str">
        <x:v>40만</x:v>
      </x:c>
      <x:c r="E1303" s="14" t="n">
        <x:f>SUM(F1303:M1303)</x:f>
        <x:v>105</x:v>
      </x:c>
      <x:c r="F1303" s="14" t="n">
        <x:v>4</x:v>
      </x:c>
      <x:c r="G1303" s="14" t="n">
        <x:v>14</x:v>
      </x:c>
      <x:c r="H1303" s="14" t="n">
        <x:v>4</x:v>
      </x:c>
      <x:c r="I1303" s="14" t="n">
        <x:v>2</x:v>
      </x:c>
      <x:c r="J1303" s="14" t="n">
        <x:v>5</x:v>
      </x:c>
      <x:c r="K1303" s="14" t="n">
        <x:v>2</x:v>
      </x:c>
      <x:c r="L1303" s="14" t="n">
        <x:v>31</x:v>
      </x:c>
      <x:c r="M1303" s="14" t="n">
        <x:v>43</x:v>
      </x:c>
      <x:c r="N1303" s="15" t="n">
        <x:f>IF(E1303=0,"해당 없음",F1303/E1303)</x:f>
        <x:v>0.0380952380952381</x:v>
      </x:c>
      <x:c r="O1303" s="15" t="n">
        <x:f>IF(E1303=0,"해당 없음",G1303/E1303)</x:f>
        <x:v>0.13333333333333333</x:v>
      </x:c>
      <x:c r="P1303" s="15" t="n">
        <x:f>IF(E1303=0,"해당 없음",H1303/E1303)</x:f>
        <x:v>0.0380952380952381</x:v>
      </x:c>
      <x:c r="Q1303" s="15" t="n">
        <x:f>IF(E1303=0,"해당 없음",I1303/E1303)</x:f>
        <x:v>0.01904761904761905</x:v>
      </x:c>
      <x:c r="R1303" s="15" t="n">
        <x:f>IF(E1303=0,"해당 없음",J1303/E1303)</x:f>
        <x:v>0.047619047619047616</x:v>
      </x:c>
      <x:c r="S1303" s="15" t="n">
        <x:f>IF(E1303=0,"해당 없음",K1303/E1303)</x:f>
        <x:v>0.01904761904761905</x:v>
      </x:c>
      <x:c r="T1303" s="15" t="n">
        <x:f>IF(E1303=0,"해당 없음",L1303/E1303)</x:f>
        <x:v>0.29523809523809524</x:v>
      </x:c>
      <x:c r="U1303" s="15" t="n">
        <x:f>IF(E1303=0,"해당 없음",M1303/E1303)</x:f>
        <x:v>0.4095238095238095</x:v>
      </x:c>
      <x:c r="V1303" s="16" t="n">
        <x:f>E1303/5</x:f>
        <x:v>21</x:v>
      </x:c>
    </x:row>
    <x:row r="1304" ht="22" customHeight="1">
      <x:c r="A1304" s="2" t="n">
        <x:v>650</x:v>
      </x:c>
      <x:c r="B1304" s="2" t="str">
        <x:v>RED</x:v>
      </x:c>
      <x:c r="C1304" s="2" t="str">
        <x:v>200만</x:v>
      </x:c>
      <x:c r="D1304" s="2" t="str">
        <x:v>40만</x:v>
      </x:c>
      <x:c r="E1304" s="14" t="n">
        <x:f>SUM(F1304:M1304)</x:f>
        <x:v>105</x:v>
      </x:c>
      <x:c r="F1304" s="14" t="n">
        <x:v>4</x:v>
      </x:c>
      <x:c r="G1304" s="14" t="n">
        <x:v>13</x:v>
      </x:c>
      <x:c r="H1304" s="14" t="n">
        <x:v>3</x:v>
      </x:c>
      <x:c r="I1304" s="14" t="n">
        <x:v>3</x:v>
      </x:c>
      <x:c r="J1304" s="14" t="n">
        <x:v>1</x:v>
      </x:c>
      <x:c r="K1304" s="14" t="n">
        <x:v>5</x:v>
      </x:c>
      <x:c r="L1304" s="14" t="n">
        <x:v>33</x:v>
      </x:c>
      <x:c r="M1304" s="14" t="n">
        <x:v>43</x:v>
      </x:c>
      <x:c r="N1304" s="15" t="n">
        <x:f>IF(E1304=0,"해당 없음",F1304/E1304)</x:f>
        <x:v>0.0380952380952381</x:v>
      </x:c>
      <x:c r="O1304" s="15" t="n">
        <x:f>IF(E1304=0,"해당 없음",G1304/E1304)</x:f>
        <x:v>0.12380952380952381</x:v>
      </x:c>
      <x:c r="P1304" s="15" t="n">
        <x:f>IF(E1304=0,"해당 없음",H1304/E1304)</x:f>
        <x:v>0.02857142857142857</x:v>
      </x:c>
      <x:c r="Q1304" s="15" t="n">
        <x:f>IF(E1304=0,"해당 없음",I1304/E1304)</x:f>
        <x:v>0.02857142857142857</x:v>
      </x:c>
      <x:c r="R1304" s="15" t="n">
        <x:f>IF(E1304=0,"해당 없음",J1304/E1304)</x:f>
        <x:v>0.009523809523809525</x:v>
      </x:c>
      <x:c r="S1304" s="15" t="n">
        <x:f>IF(E1304=0,"해당 없음",K1304/E1304)</x:f>
        <x:v>0.047619047619047616</x:v>
      </x:c>
      <x:c r="T1304" s="15" t="n">
        <x:f>IF(E1304=0,"해당 없음",L1304/E1304)</x:f>
        <x:v>0.3142857142857143</x:v>
      </x:c>
      <x:c r="U1304" s="15" t="n">
        <x:f>IF(E1304=0,"해당 없음",M1304/E1304)</x:f>
        <x:v>0.4095238095238095</x:v>
      </x:c>
      <x:c r="V1304" s="16" t="n">
        <x:f>E1304/5</x:f>
        <x:v>21</x:v>
      </x:c>
    </x:row>
    <x:row r="1305" ht="22" customHeight="1">
      <x:c r="A1305" s="2" t="n">
        <x:v>650</x:v>
      </x:c>
      <x:c r="B1305" s="2" t="str">
        <x:v>NAVY</x:v>
      </x:c>
      <x:c r="C1305" s="2" t="str">
        <x:v>40만</x:v>
      </x:c>
      <x:c r="D1305" s="2" t="str">
        <x:v>200만</x:v>
      </x:c>
      <x:c r="E1305" s="14" t="n">
        <x:f>SUM(F1305:M1305)</x:f>
        <x:v>103</x:v>
      </x:c>
      <x:c r="F1305" s="14" t="n">
        <x:v>3</x:v>
      </x:c>
      <x:c r="G1305" s="14" t="n">
        <x:v>26</x:v>
      </x:c>
      <x:c r="H1305" s="14" t="n">
        <x:v>5</x:v>
      </x:c>
      <x:c r="I1305" s="14" t="n">
        <x:v>4</x:v>
      </x:c>
      <x:c r="J1305" s="14" t="n">
        <x:v>6</x:v>
      </x:c>
      <x:c r="K1305" s="14" t="n">
        <x:v>14</x:v>
      </x:c>
      <x:c r="L1305" s="14" t="n">
        <x:v>40</x:v>
      </x:c>
      <x:c r="M1305" s="14" t="n">
        <x:v>5</x:v>
      </x:c>
      <x:c r="N1305" s="15" t="n">
        <x:f>IF(E1305=0,"해당 없음",F1305/E1305)</x:f>
        <x:v>0.02912621359223301</x:v>
      </x:c>
      <x:c r="O1305" s="15" t="n">
        <x:f>IF(E1305=0,"해당 없음",G1305/E1305)</x:f>
        <x:v>0.2524271844660194</x:v>
      </x:c>
      <x:c r="P1305" s="15" t="n">
        <x:f>IF(E1305=0,"해당 없음",H1305/E1305)</x:f>
        <x:v>0.04854368932038835</x:v>
      </x:c>
      <x:c r="Q1305" s="15" t="n">
        <x:f>IF(E1305=0,"해당 없음",I1305/E1305)</x:f>
        <x:v>0.038834951456310676</x:v>
      </x:c>
      <x:c r="R1305" s="15" t="n">
        <x:f>IF(E1305=0,"해당 없음",J1305/E1305)</x:f>
        <x:v>0.05825242718446602</x:v>
      </x:c>
      <x:c r="S1305" s="15" t="n">
        <x:f>IF(E1305=0,"해당 없음",K1305/E1305)</x:f>
        <x:v>0.13592233009708737</x:v>
      </x:c>
      <x:c r="T1305" s="15" t="n">
        <x:f>IF(E1305=0,"해당 없음",L1305/E1305)</x:f>
        <x:v>0.3883495145631068</x:v>
      </x:c>
      <x:c r="U1305" s="15" t="n">
        <x:f>IF(E1305=0,"해당 없음",M1305/E1305)</x:f>
        <x:v>0.04854368932038835</x:v>
      </x:c>
      <x:c r="V1305" s="16" t="n">
        <x:f>E1305/5</x:f>
        <x:v>20.6</x:v>
      </x:c>
    </x:row>
    <x:row r="1306" ht="22" customHeight="1">
      <x:c r="A1306" s="2" t="n">
        <x:v>651</x:v>
      </x:c>
      <x:c r="B1306" s="2" t="str">
        <x:v>RED</x:v>
      </x:c>
      <x:c r="C1306" s="2" t="str">
        <x:v>40만</x:v>
      </x:c>
      <x:c r="D1306" s="2" t="str">
        <x:v>200만</x:v>
      </x:c>
      <x:c r="E1306" s="14" t="n">
        <x:f>SUM(F1306:M1306)</x:f>
        <x:v>104</x:v>
      </x:c>
      <x:c r="F1306" s="14" t="n">
        <x:v>3</x:v>
      </x:c>
      <x:c r="G1306" s="14" t="n">
        <x:v>29</x:v>
      </x:c>
      <x:c r="H1306" s="14" t="n">
        <x:v>10</x:v>
      </x:c>
      <x:c r="I1306" s="14" t="n">
        <x:v>5</x:v>
      </x:c>
      <x:c r="J1306" s="14" t="n">
        <x:v>4</x:v>
      </x:c>
      <x:c r="K1306" s="14" t="n">
        <x:v>6</x:v>
      </x:c>
      <x:c r="L1306" s="14" t="n">
        <x:v>41</x:v>
      </x:c>
      <x:c r="M1306" s="14" t="n">
        <x:v>6</x:v>
      </x:c>
      <x:c r="N1306" s="15" t="n">
        <x:f>IF(E1306=0,"해당 없음",F1306/E1306)</x:f>
        <x:v>0.028846153846153848</x:v>
      </x:c>
      <x:c r="O1306" s="15" t="n">
        <x:f>IF(E1306=0,"해당 없음",G1306/E1306)</x:f>
        <x:v>0.27884615384615385</x:v>
      </x:c>
      <x:c r="P1306" s="15" t="n">
        <x:f>IF(E1306=0,"해당 없음",H1306/E1306)</x:f>
        <x:v>0.09615384615384616</x:v>
      </x:c>
      <x:c r="Q1306" s="15" t="n">
        <x:f>IF(E1306=0,"해당 없음",I1306/E1306)</x:f>
        <x:v>0.04807692307692308</x:v>
      </x:c>
      <x:c r="R1306" s="15" t="n">
        <x:f>IF(E1306=0,"해당 없음",J1306/E1306)</x:f>
        <x:v>0.038461538461538464</x:v>
      </x:c>
      <x:c r="S1306" s="15" t="n">
        <x:f>IF(E1306=0,"해당 없음",K1306/E1306)</x:f>
        <x:v>0.057692307692307696</x:v>
      </x:c>
      <x:c r="T1306" s="15" t="n">
        <x:f>IF(E1306=0,"해당 없음",L1306/E1306)</x:f>
        <x:v>0.3942307692307692</x:v>
      </x:c>
      <x:c r="U1306" s="15" t="n">
        <x:f>IF(E1306=0,"해당 없음",M1306/E1306)</x:f>
        <x:v>0.057692307692307696</x:v>
      </x:c>
      <x:c r="V1306" s="16" t="n">
        <x:f>E1306/5</x:f>
        <x:v>20.8</x:v>
      </x:c>
    </x:row>
    <x:row r="1307" ht="22" customHeight="1">
      <x:c r="A1307" s="2" t="n">
        <x:v>651</x:v>
      </x:c>
      <x:c r="B1307" s="2" t="str">
        <x:v>NAVY</x:v>
      </x:c>
      <x:c r="C1307" s="2" t="str">
        <x:v>200만</x:v>
      </x:c>
      <x:c r="D1307" s="2" t="str">
        <x:v>40만</x:v>
      </x:c>
      <x:c r="E1307" s="14" t="n">
        <x:f>SUM(F1307:M1307)</x:f>
        <x:v>102</x:v>
      </x:c>
      <x:c r="F1307" s="14" t="n">
        <x:v>8</x:v>
      </x:c>
      <x:c r="G1307" s="14" t="n">
        <x:v>15</x:v>
      </x:c>
      <x:c r="H1307" s="14" t="n">
        <x:v>2</x:v>
      </x:c>
      <x:c r="I1307" s="14" t="n">
        <x:v>3</x:v>
      </x:c>
      <x:c r="J1307" s="14" t="n">
        <x:v>5</x:v>
      </x:c>
      <x:c r="K1307" s="14" t="n">
        <x:v>6</x:v>
      </x:c>
      <x:c r="L1307" s="14" t="n">
        <x:v>28</x:v>
      </x:c>
      <x:c r="M1307" s="14" t="n">
        <x:v>35</x:v>
      </x:c>
      <x:c r="N1307" s="15" t="n">
        <x:f>IF(E1307=0,"해당 없음",F1307/E1307)</x:f>
        <x:v>0.0784313725490196</x:v>
      </x:c>
      <x:c r="O1307" s="15" t="n">
        <x:f>IF(E1307=0,"해당 없음",G1307/E1307)</x:f>
        <x:v>0.14705882352941177</x:v>
      </x:c>
      <x:c r="P1307" s="15" t="n">
        <x:f>IF(E1307=0,"해당 없음",H1307/E1307)</x:f>
        <x:v>0.0196078431372549</x:v>
      </x:c>
      <x:c r="Q1307" s="15" t="n">
        <x:f>IF(E1307=0,"해당 없음",I1307/E1307)</x:f>
        <x:v>0.029411764705882353</x:v>
      </x:c>
      <x:c r="R1307" s="15" t="n">
        <x:f>IF(E1307=0,"해당 없음",J1307/E1307)</x:f>
        <x:v>0.049019607843137254</x:v>
      </x:c>
      <x:c r="S1307" s="15" t="n">
        <x:f>IF(E1307=0,"해당 없음",K1307/E1307)</x:f>
        <x:v>0.058823529411764705</x:v>
      </x:c>
      <x:c r="T1307" s="15" t="n">
        <x:f>IF(E1307=0,"해당 없음",L1307/E1307)</x:f>
        <x:v>0.27450980392156865</x:v>
      </x:c>
      <x:c r="U1307" s="15" t="n">
        <x:f>IF(E1307=0,"해당 없음",M1307/E1307)</x:f>
        <x:v>0.3431372549019608</x:v>
      </x:c>
      <x:c r="V1307" s="16" t="n">
        <x:f>E1307/5</x:f>
        <x:v>20.4</x:v>
      </x:c>
    </x:row>
    <x:row r="1308" ht="22" customHeight="1">
      <x:c r="A1308" s="2" t="n">
        <x:v>652</x:v>
      </x:c>
      <x:c r="B1308" s="2" t="str">
        <x:v>RED</x:v>
      </x:c>
      <x:c r="C1308" s="2" t="str">
        <x:v>200만</x:v>
      </x:c>
      <x:c r="D1308" s="2" t="str">
        <x:v>40만</x:v>
      </x:c>
      <x:c r="E1308" s="14" t="n">
        <x:f>SUM(F1308:M1308)</x:f>
        <x:v>103</x:v>
      </x:c>
      <x:c r="F1308" s="14" t="n">
        <x:v>4</x:v>
      </x:c>
      <x:c r="G1308" s="14" t="n">
        <x:v>8</x:v>
      </x:c>
      <x:c r="H1308" s="14" t="n">
        <x:v>3</x:v>
      </x:c>
      <x:c r="I1308" s="14" t="n">
        <x:v>1</x:v>
      </x:c>
      <x:c r="J1308" s="14" t="n">
        <x:v>2</x:v>
      </x:c>
      <x:c r="K1308" s="14" t="n">
        <x:v>4</x:v>
      </x:c>
      <x:c r="L1308" s="14" t="n">
        <x:v>25</x:v>
      </x:c>
      <x:c r="M1308" s="14" t="n">
        <x:v>56</x:v>
      </x:c>
      <x:c r="N1308" s="15" t="n">
        <x:f>IF(E1308=0,"해당 없음",F1308/E1308)</x:f>
        <x:v>0.038834951456310676</x:v>
      </x:c>
      <x:c r="O1308" s="15" t="n">
        <x:f>IF(E1308=0,"해당 없음",G1308/E1308)</x:f>
        <x:v>0.07766990291262135</x:v>
      </x:c>
      <x:c r="P1308" s="15" t="n">
        <x:f>IF(E1308=0,"해당 없음",H1308/E1308)</x:f>
        <x:v>0.02912621359223301</x:v>
      </x:c>
      <x:c r="Q1308" s="15" t="n">
        <x:f>IF(E1308=0,"해당 없음",I1308/E1308)</x:f>
        <x:v>0.009708737864077669</x:v>
      </x:c>
      <x:c r="R1308" s="15" t="n">
        <x:f>IF(E1308=0,"해당 없음",J1308/E1308)</x:f>
        <x:v>0.019417475728155338</x:v>
      </x:c>
      <x:c r="S1308" s="15" t="n">
        <x:f>IF(E1308=0,"해당 없음",K1308/E1308)</x:f>
        <x:v>0.038834951456310676</x:v>
      </x:c>
      <x:c r="T1308" s="15" t="n">
        <x:f>IF(E1308=0,"해당 없음",L1308/E1308)</x:f>
        <x:v>0.24271844660194175</x:v>
      </x:c>
      <x:c r="U1308" s="15" t="n">
        <x:f>IF(E1308=0,"해당 없음",M1308/E1308)</x:f>
        <x:v>0.5436893203883495</x:v>
      </x:c>
      <x:c r="V1308" s="16" t="n">
        <x:f>E1308/5</x:f>
        <x:v>20.6</x:v>
      </x:c>
    </x:row>
    <x:row r="1309" ht="22" customHeight="1">
      <x:c r="A1309" s="2" t="n">
        <x:v>652</x:v>
      </x:c>
      <x:c r="B1309" s="2" t="str">
        <x:v>NAVY</x:v>
      </x:c>
      <x:c r="C1309" s="2" t="str">
        <x:v>40만</x:v>
      </x:c>
      <x:c r="D1309" s="2" t="str">
        <x:v>200만</x:v>
      </x:c>
      <x:c r="E1309" s="14" t="n">
        <x:f>SUM(F1309:M1309)</x:f>
        <x:v>104</x:v>
      </x:c>
      <x:c r="F1309" s="14" t="n">
        <x:v>2</x:v>
      </x:c>
      <x:c r="G1309" s="14" t="n">
        <x:v>32</x:v>
      </x:c>
      <x:c r="H1309" s="14" t="n">
        <x:v>2</x:v>
      </x:c>
      <x:c r="I1309" s="14" t="n">
        <x:v>10</x:v>
      </x:c>
      <x:c r="J1309" s="14" t="n">
        <x:v>6</x:v>
      </x:c>
      <x:c r="K1309" s="14" t="n">
        <x:v>12</x:v>
      </x:c>
      <x:c r="L1309" s="14" t="n">
        <x:v>36</x:v>
      </x:c>
      <x:c r="M1309" s="14" t="n">
        <x:v>4</x:v>
      </x:c>
      <x:c r="N1309" s="15" t="n">
        <x:f>IF(E1309=0,"해당 없음",F1309/E1309)</x:f>
        <x:v>0.019230769230769232</x:v>
      </x:c>
      <x:c r="O1309" s="15" t="n">
        <x:f>IF(E1309=0,"해당 없음",G1309/E1309)</x:f>
        <x:v>0.3076923076923077</x:v>
      </x:c>
      <x:c r="P1309" s="15" t="n">
        <x:f>IF(E1309=0,"해당 없음",H1309/E1309)</x:f>
        <x:v>0.019230769230769232</x:v>
      </x:c>
      <x:c r="Q1309" s="15" t="n">
        <x:f>IF(E1309=0,"해당 없음",I1309/E1309)</x:f>
        <x:v>0.09615384615384616</x:v>
      </x:c>
      <x:c r="R1309" s="15" t="n">
        <x:f>IF(E1309=0,"해당 없음",J1309/E1309)</x:f>
        <x:v>0.057692307692307696</x:v>
      </x:c>
      <x:c r="S1309" s="15" t="n">
        <x:f>IF(E1309=0,"해당 없음",K1309/E1309)</x:f>
        <x:v>0.11538461538461539</x:v>
      </x:c>
      <x:c r="T1309" s="15" t="n">
        <x:f>IF(E1309=0,"해당 없음",L1309/E1309)</x:f>
        <x:v>0.34615384615384615</x:v>
      </x:c>
      <x:c r="U1309" s="15" t="n">
        <x:f>IF(E1309=0,"해당 없음",M1309/E1309)</x:f>
        <x:v>0.038461538461538464</x:v>
      </x:c>
      <x:c r="V1309" s="16" t="n">
        <x:f>E1309/5</x:f>
        <x:v>20.8</x:v>
      </x:c>
    </x:row>
    <x:row r="1310" ht="22" customHeight="1">
      <x:c r="A1310" s="2" t="n">
        <x:v>653</x:v>
      </x:c>
      <x:c r="B1310" s="2" t="str">
        <x:v>RED</x:v>
      </x:c>
      <x:c r="C1310" s="2" t="str">
        <x:v>40만</x:v>
      </x:c>
      <x:c r="D1310" s="2" t="str">
        <x:v>200만</x:v>
      </x:c>
      <x:c r="E1310" s="14" t="n">
        <x:f>SUM(F1310:M1310)</x:f>
        <x:v>102</x:v>
      </x:c>
      <x:c r="F1310" s="14" t="n">
        <x:v>5</x:v>
      </x:c>
      <x:c r="G1310" s="14" t="n">
        <x:v>28</x:v>
      </x:c>
      <x:c r="H1310" s="14" t="n">
        <x:v>9</x:v>
      </x:c>
      <x:c r="I1310" s="14" t="n">
        <x:v>8</x:v>
      </x:c>
      <x:c r="J1310" s="14" t="n">
        <x:v>2</x:v>
      </x:c>
      <x:c r="K1310" s="14" t="n">
        <x:v>14</x:v>
      </x:c>
      <x:c r="L1310" s="14" t="n">
        <x:v>34</x:v>
      </x:c>
      <x:c r="M1310" s="14" t="n">
        <x:v>2</x:v>
      </x:c>
      <x:c r="N1310" s="15" t="n">
        <x:f>IF(E1310=0,"해당 없음",F1310/E1310)</x:f>
        <x:v>0.049019607843137254</x:v>
      </x:c>
      <x:c r="O1310" s="15" t="n">
        <x:f>IF(E1310=0,"해당 없음",G1310/E1310)</x:f>
        <x:v>0.27450980392156865</x:v>
      </x:c>
      <x:c r="P1310" s="15" t="n">
        <x:f>IF(E1310=0,"해당 없음",H1310/E1310)</x:f>
        <x:v>0.08823529411764706</x:v>
      </x:c>
      <x:c r="Q1310" s="15" t="n">
        <x:f>IF(E1310=0,"해당 없음",I1310/E1310)</x:f>
        <x:v>0.0784313725490196</x:v>
      </x:c>
      <x:c r="R1310" s="15" t="n">
        <x:f>IF(E1310=0,"해당 없음",J1310/E1310)</x:f>
        <x:v>0.0196078431372549</x:v>
      </x:c>
      <x:c r="S1310" s="15" t="n">
        <x:f>IF(E1310=0,"해당 없음",K1310/E1310)</x:f>
        <x:v>0.13725490196078433</x:v>
      </x:c>
      <x:c r="T1310" s="15" t="n">
        <x:f>IF(E1310=0,"해당 없음",L1310/E1310)</x:f>
        <x:v>0.3333333333333333</x:v>
      </x:c>
      <x:c r="U1310" s="15" t="n">
        <x:f>IF(E1310=0,"해당 없음",M1310/E1310)</x:f>
        <x:v>0.0196078431372549</x:v>
      </x:c>
      <x:c r="V1310" s="16" t="n">
        <x:f>E1310/5</x:f>
        <x:v>20.4</x:v>
      </x:c>
    </x:row>
    <x:row r="1311" ht="22" customHeight="1">
      <x:c r="A1311" s="2" t="n">
        <x:v>653</x:v>
      </x:c>
      <x:c r="B1311" s="2" t="str">
        <x:v>NAVY</x:v>
      </x:c>
      <x:c r="C1311" s="2" t="str">
        <x:v>200만</x:v>
      </x:c>
      <x:c r="D1311" s="2" t="str">
        <x:v>40만</x:v>
      </x:c>
      <x:c r="E1311" s="14" t="n">
        <x:f>SUM(F1311:M1311)</x:f>
        <x:v>102</x:v>
      </x:c>
      <x:c r="F1311" s="14" t="n">
        <x:v>2</x:v>
      </x:c>
      <x:c r="G1311" s="14" t="n">
        <x:v>19</x:v>
      </x:c>
      <x:c r="H1311" s="14" t="n">
        <x:v>3</x:v>
      </x:c>
      <x:c r="I1311" s="14" t="n">
        <x:v>1</x:v>
      </x:c>
      <x:c r="J1311" s="14" t="n">
        <x:v>6</x:v>
      </x:c>
      <x:c r="K1311" s="14" t="n">
        <x:v>1</x:v>
      </x:c>
      <x:c r="L1311" s="14" t="n">
        <x:v>23</x:v>
      </x:c>
      <x:c r="M1311" s="14" t="n">
        <x:v>47</x:v>
      </x:c>
      <x:c r="N1311" s="15" t="n">
        <x:f>IF(E1311=0,"해당 없음",F1311/E1311)</x:f>
        <x:v>0.0196078431372549</x:v>
      </x:c>
      <x:c r="O1311" s="15" t="n">
        <x:f>IF(E1311=0,"해당 없음",G1311/E1311)</x:f>
        <x:v>0.18627450980392157</x:v>
      </x:c>
      <x:c r="P1311" s="15" t="n">
        <x:f>IF(E1311=0,"해당 없음",H1311/E1311)</x:f>
        <x:v>0.029411764705882353</x:v>
      </x:c>
      <x:c r="Q1311" s="15" t="n">
        <x:f>IF(E1311=0,"해당 없음",I1311/E1311)</x:f>
        <x:v>0.00980392156862745</x:v>
      </x:c>
      <x:c r="R1311" s="15" t="n">
        <x:f>IF(E1311=0,"해당 없음",J1311/E1311)</x:f>
        <x:v>0.058823529411764705</x:v>
      </x:c>
      <x:c r="S1311" s="15" t="n">
        <x:f>IF(E1311=0,"해당 없음",K1311/E1311)</x:f>
        <x:v>0.00980392156862745</x:v>
      </x:c>
      <x:c r="T1311" s="15" t="n">
        <x:f>IF(E1311=0,"해당 없음",L1311/E1311)</x:f>
        <x:v>0.22549019607843138</x:v>
      </x:c>
      <x:c r="U1311" s="15" t="n">
        <x:f>IF(E1311=0,"해당 없음",M1311/E1311)</x:f>
        <x:v>0.46078431372549017</x:v>
      </x:c>
      <x:c r="V1311" s="16" t="n">
        <x:f>E1311/5</x:f>
        <x:v>20.4</x:v>
      </x:c>
    </x:row>
    <x:row r="1312" ht="22" customHeight="1">
      <x:c r="A1312" s="2" t="n">
        <x:v>654</x:v>
      </x:c>
      <x:c r="B1312" s="2" t="str">
        <x:v>RED</x:v>
      </x:c>
      <x:c r="C1312" s="2" t="str">
        <x:v>200만</x:v>
      </x:c>
      <x:c r="D1312" s="2" t="str">
        <x:v>40만</x:v>
      </x:c>
      <x:c r="E1312" s="14" t="n">
        <x:f>SUM(F1312:M1312)</x:f>
        <x:v>102</x:v>
      </x:c>
      <x:c r="F1312" s="14" t="n">
        <x:v>5</x:v>
      </x:c>
      <x:c r="G1312" s="14" t="n">
        <x:v>21</x:v>
      </x:c>
      <x:c r="H1312" s="14" t="n">
        <x:v>3</x:v>
      </x:c>
      <x:c r="I1312" s="14" t="n">
        <x:v>5</x:v>
      </x:c>
      <x:c r="J1312" s="14" t="n">
        <x:v>0</x:v>
      </x:c>
      <x:c r="K1312" s="14" t="n">
        <x:v>8</x:v>
      </x:c>
      <x:c r="L1312" s="14" t="n">
        <x:v>33</x:v>
      </x:c>
      <x:c r="M1312" s="14" t="n">
        <x:v>27</x:v>
      </x:c>
      <x:c r="N1312" s="15" t="n">
        <x:f>IF(E1312=0,"해당 없음",F1312/E1312)</x:f>
        <x:v>0.049019607843137254</x:v>
      </x:c>
      <x:c r="O1312" s="15" t="n">
        <x:f>IF(E1312=0,"해당 없음",G1312/E1312)</x:f>
        <x:v>0.20588235294117646</x:v>
      </x:c>
      <x:c r="P1312" s="15" t="n">
        <x:f>IF(E1312=0,"해당 없음",H1312/E1312)</x:f>
        <x:v>0.029411764705882353</x:v>
      </x:c>
      <x:c r="Q1312" s="15" t="n">
        <x:f>IF(E1312=0,"해당 없음",I1312/E1312)</x:f>
        <x:v>0.049019607843137254</x:v>
      </x:c>
      <x:c r="R1312" s="15" t="n">
        <x:f>IF(E1312=0,"해당 없음",J1312/E1312)</x:f>
        <x:v>0</x:v>
      </x:c>
      <x:c r="S1312" s="15" t="n">
        <x:f>IF(E1312=0,"해당 없음",K1312/E1312)</x:f>
        <x:v>0.0784313725490196</x:v>
      </x:c>
      <x:c r="T1312" s="15" t="n">
        <x:f>IF(E1312=0,"해당 없음",L1312/E1312)</x:f>
        <x:v>0.3235294117647059</x:v>
      </x:c>
      <x:c r="U1312" s="15" t="n">
        <x:f>IF(E1312=0,"해당 없음",M1312/E1312)</x:f>
        <x:v>0.2647058823529412</x:v>
      </x:c>
      <x:c r="V1312" s="16" t="n">
        <x:f>E1312/5</x:f>
        <x:v>20.4</x:v>
      </x:c>
    </x:row>
    <x:row r="1313" ht="22" customHeight="1">
      <x:c r="A1313" s="2" t="n">
        <x:v>654</x:v>
      </x:c>
      <x:c r="B1313" s="2" t="str">
        <x:v>NAVY</x:v>
      </x:c>
      <x:c r="C1313" s="2" t="str">
        <x:v>40만</x:v>
      </x:c>
      <x:c r="D1313" s="2" t="str">
        <x:v>200만</x:v>
      </x:c>
      <x:c r="E1313" s="14" t="n">
        <x:f>SUM(F1313:M1313)</x:f>
        <x:v>102</x:v>
      </x:c>
      <x:c r="F1313" s="14" t="n">
        <x:v>5</x:v>
      </x:c>
      <x:c r="G1313" s="14" t="n">
        <x:v>38</x:v>
      </x:c>
      <x:c r="H1313" s="14" t="n">
        <x:v>7</x:v>
      </x:c>
      <x:c r="I1313" s="14" t="n">
        <x:v>6</x:v>
      </x:c>
      <x:c r="J1313" s="14" t="n">
        <x:v>4</x:v>
      </x:c>
      <x:c r="K1313" s="14" t="n">
        <x:v>8</x:v>
      </x:c>
      <x:c r="L1313" s="14" t="n">
        <x:v>31</x:v>
      </x:c>
      <x:c r="M1313" s="14" t="n">
        <x:v>3</x:v>
      </x:c>
      <x:c r="N1313" s="15" t="n">
        <x:f>IF(E1313=0,"해당 없음",F1313/E1313)</x:f>
        <x:v>0.049019607843137254</x:v>
      </x:c>
      <x:c r="O1313" s="15" t="n">
        <x:f>IF(E1313=0,"해당 없음",G1313/E1313)</x:f>
        <x:v>0.37254901960784315</x:v>
      </x:c>
      <x:c r="P1313" s="15" t="n">
        <x:f>IF(E1313=0,"해당 없음",H1313/E1313)</x:f>
        <x:v>0.06862745098039216</x:v>
      </x:c>
      <x:c r="Q1313" s="15" t="n">
        <x:f>IF(E1313=0,"해당 없음",I1313/E1313)</x:f>
        <x:v>0.058823529411764705</x:v>
      </x:c>
      <x:c r="R1313" s="15" t="n">
        <x:f>IF(E1313=0,"해당 없음",J1313/E1313)</x:f>
        <x:v>0.0392156862745098</x:v>
      </x:c>
      <x:c r="S1313" s="15" t="n">
        <x:f>IF(E1313=0,"해당 없음",K1313/E1313)</x:f>
        <x:v>0.0784313725490196</x:v>
      </x:c>
      <x:c r="T1313" s="15" t="n">
        <x:f>IF(E1313=0,"해당 없음",L1313/E1313)</x:f>
        <x:v>0.30392156862745096</x:v>
      </x:c>
      <x:c r="U1313" s="15" t="n">
        <x:f>IF(E1313=0,"해당 없음",M1313/E1313)</x:f>
        <x:v>0.029411764705882353</x:v>
      </x:c>
      <x:c r="V1313" s="16" t="n">
        <x:f>E1313/5</x:f>
        <x:v>20.4</x:v>
      </x:c>
    </x:row>
    <x:row r="1314" ht="22" customHeight="1">
      <x:c r="A1314" s="2" t="n">
        <x:v>655</x:v>
      </x:c>
      <x:c r="B1314" s="2" t="str">
        <x:v>RED</x:v>
      </x:c>
      <x:c r="C1314" s="2" t="str">
        <x:v>40만</x:v>
      </x:c>
      <x:c r="D1314" s="2" t="str">
        <x:v>200만</x:v>
      </x:c>
      <x:c r="E1314" s="14" t="n">
        <x:f>SUM(F1314:M1314)</x:f>
        <x:v>104</x:v>
      </x:c>
      <x:c r="F1314" s="14" t="n">
        <x:v>4</x:v>
      </x:c>
      <x:c r="G1314" s="14" t="n">
        <x:v>18</x:v>
      </x:c>
      <x:c r="H1314" s="14" t="n">
        <x:v>11</x:v>
      </x:c>
      <x:c r="I1314" s="14" t="n">
        <x:v>8</x:v>
      </x:c>
      <x:c r="J1314" s="14" t="n">
        <x:v>5</x:v>
      </x:c>
      <x:c r="K1314" s="14" t="n">
        <x:v>6</x:v>
      </x:c>
      <x:c r="L1314" s="14" t="n">
        <x:v>42</x:v>
      </x:c>
      <x:c r="M1314" s="14" t="n">
        <x:v>10</x:v>
      </x:c>
      <x:c r="N1314" s="15" t="n">
        <x:f>IF(E1314=0,"해당 없음",F1314/E1314)</x:f>
        <x:v>0.038461538461538464</x:v>
      </x:c>
      <x:c r="O1314" s="15" t="n">
        <x:f>IF(E1314=0,"해당 없음",G1314/E1314)</x:f>
        <x:v>0.17307692307692307</x:v>
      </x:c>
      <x:c r="P1314" s="15" t="n">
        <x:f>IF(E1314=0,"해당 없음",H1314/E1314)</x:f>
        <x:v>0.10576923076923077</x:v>
      </x:c>
      <x:c r="Q1314" s="15" t="n">
        <x:f>IF(E1314=0,"해당 없음",I1314/E1314)</x:f>
        <x:v>0.07692307692307693</x:v>
      </x:c>
      <x:c r="R1314" s="15" t="n">
        <x:f>IF(E1314=0,"해당 없음",J1314/E1314)</x:f>
        <x:v>0.04807692307692308</x:v>
      </x:c>
      <x:c r="S1314" s="15" t="n">
        <x:f>IF(E1314=0,"해당 없음",K1314/E1314)</x:f>
        <x:v>0.057692307692307696</x:v>
      </x:c>
      <x:c r="T1314" s="15" t="n">
        <x:f>IF(E1314=0,"해당 없음",L1314/E1314)</x:f>
        <x:v>0.40384615384615385</x:v>
      </x:c>
      <x:c r="U1314" s="15" t="n">
        <x:f>IF(E1314=0,"해당 없음",M1314/E1314)</x:f>
        <x:v>0.09615384615384616</x:v>
      </x:c>
      <x:c r="V1314" s="16" t="n">
        <x:f>E1314/5</x:f>
        <x:v>20.8</x:v>
      </x:c>
    </x:row>
    <x:row r="1315" ht="22" customHeight="1">
      <x:c r="A1315" s="2" t="n">
        <x:v>655</x:v>
      </x:c>
      <x:c r="B1315" s="2" t="str">
        <x:v>NAVY</x:v>
      </x:c>
      <x:c r="C1315" s="2" t="str">
        <x:v>200만</x:v>
      </x:c>
      <x:c r="D1315" s="2" t="str">
        <x:v>40만</x:v>
      </x:c>
      <x:c r="E1315" s="14" t="n">
        <x:f>SUM(F1315:M1315)</x:f>
        <x:v>104</x:v>
      </x:c>
      <x:c r="F1315" s="14" t="n">
        <x:v>7</x:v>
      </x:c>
      <x:c r="G1315" s="14" t="n">
        <x:v>14</x:v>
      </x:c>
      <x:c r="H1315" s="14" t="n">
        <x:v>1</x:v>
      </x:c>
      <x:c r="I1315" s="14" t="n">
        <x:v>2</x:v>
      </x:c>
      <x:c r="J1315" s="14" t="n">
        <x:v>6</x:v>
      </x:c>
      <x:c r="K1315" s="14" t="n">
        <x:v>2</x:v>
      </x:c>
      <x:c r="L1315" s="14" t="n">
        <x:v>27</x:v>
      </x:c>
      <x:c r="M1315" s="14" t="n">
        <x:v>45</x:v>
      </x:c>
      <x:c r="N1315" s="15" t="n">
        <x:f>IF(E1315=0,"해당 없음",F1315/E1315)</x:f>
        <x:v>0.0673076923076923</x:v>
      </x:c>
      <x:c r="O1315" s="15" t="n">
        <x:f>IF(E1315=0,"해당 없음",G1315/E1315)</x:f>
        <x:v>0.1346153846153846</x:v>
      </x:c>
      <x:c r="P1315" s="15" t="n">
        <x:f>IF(E1315=0,"해당 없음",H1315/E1315)</x:f>
        <x:v>0.009615384615384616</x:v>
      </x:c>
      <x:c r="Q1315" s="15" t="n">
        <x:f>IF(E1315=0,"해당 없음",I1315/E1315)</x:f>
        <x:v>0.019230769230769232</x:v>
      </x:c>
      <x:c r="R1315" s="15" t="n">
        <x:f>IF(E1315=0,"해당 없음",J1315/E1315)</x:f>
        <x:v>0.057692307692307696</x:v>
      </x:c>
      <x:c r="S1315" s="15" t="n">
        <x:f>IF(E1315=0,"해당 없음",K1315/E1315)</x:f>
        <x:v>0.019230769230769232</x:v>
      </x:c>
      <x:c r="T1315" s="15" t="n">
        <x:f>IF(E1315=0,"해당 없음",L1315/E1315)</x:f>
        <x:v>0.25961538461538464</x:v>
      </x:c>
      <x:c r="U1315" s="15" t="n">
        <x:f>IF(E1315=0,"해당 없음",M1315/E1315)</x:f>
        <x:v>0.4326923076923077</x:v>
      </x:c>
      <x:c r="V1315" s="16" t="n">
        <x:f>E1315/5</x:f>
        <x:v>20.8</x:v>
      </x:c>
    </x:row>
    <x:row r="1316" ht="22" customHeight="1">
      <x:c r="A1316" s="2" t="n">
        <x:v>656</x:v>
      </x:c>
      <x:c r="B1316" s="2" t="str">
        <x:v>RED</x:v>
      </x:c>
      <x:c r="C1316" s="2" t="str">
        <x:v>200만</x:v>
      </x:c>
      <x:c r="D1316" s="2" t="str">
        <x:v>40만</x:v>
      </x:c>
      <x:c r="E1316" s="14" t="n">
        <x:f>SUM(F1316:M1316)</x:f>
        <x:v>103</x:v>
      </x:c>
      <x:c r="F1316" s="14" t="n">
        <x:v>7</x:v>
      </x:c>
      <x:c r="G1316" s="14" t="n">
        <x:v>21</x:v>
      </x:c>
      <x:c r="H1316" s="14" t="n">
        <x:v>0</x:v>
      </x:c>
      <x:c r="I1316" s="14" t="n">
        <x:v>3</x:v>
      </x:c>
      <x:c r="J1316" s="14" t="n">
        <x:v>0</x:v>
      </x:c>
      <x:c r="K1316" s="14" t="n">
        <x:v>9</x:v>
      </x:c>
      <x:c r="L1316" s="14" t="n">
        <x:v>29</x:v>
      </x:c>
      <x:c r="M1316" s="14" t="n">
        <x:v>34</x:v>
      </x:c>
      <x:c r="N1316" s="15" t="n">
        <x:f>IF(E1316=0,"해당 없음",F1316/E1316)</x:f>
        <x:v>0.06796116504854369</x:v>
      </x:c>
      <x:c r="O1316" s="15" t="n">
        <x:f>IF(E1316=0,"해당 없음",G1316/E1316)</x:f>
        <x:v>0.20388349514563106</x:v>
      </x:c>
      <x:c r="P1316" s="15" t="n">
        <x:f>IF(E1316=0,"해당 없음",H1316/E1316)</x:f>
        <x:v>0</x:v>
      </x:c>
      <x:c r="Q1316" s="15" t="n">
        <x:f>IF(E1316=0,"해당 없음",I1316/E1316)</x:f>
        <x:v>0.02912621359223301</x:v>
      </x:c>
      <x:c r="R1316" s="15" t="n">
        <x:f>IF(E1316=0,"해당 없음",J1316/E1316)</x:f>
        <x:v>0</x:v>
      </x:c>
      <x:c r="S1316" s="15" t="n">
        <x:f>IF(E1316=0,"해당 없음",K1316/E1316)</x:f>
        <x:v>0.08737864077669903</x:v>
      </x:c>
      <x:c r="T1316" s="15" t="n">
        <x:f>IF(E1316=0,"해당 없음",L1316/E1316)</x:f>
        <x:v>0.2815533980582524</x:v>
      </x:c>
      <x:c r="U1316" s="15" t="n">
        <x:f>IF(E1316=0,"해당 없음",M1316/E1316)</x:f>
        <x:v>0.3300970873786408</x:v>
      </x:c>
      <x:c r="V1316" s="16" t="n">
        <x:f>E1316/5</x:f>
        <x:v>20.6</x:v>
      </x:c>
    </x:row>
    <x:row r="1317" ht="22" customHeight="1">
      <x:c r="A1317" s="2" t="n">
        <x:v>656</x:v>
      </x:c>
      <x:c r="B1317" s="2" t="str">
        <x:v>NAVY</x:v>
      </x:c>
      <x:c r="C1317" s="2" t="str">
        <x:v>40만</x:v>
      </x:c>
      <x:c r="D1317" s="2" t="str">
        <x:v>200만</x:v>
      </x:c>
      <x:c r="E1317" s="14" t="n">
        <x:f>SUM(F1317:M1317)</x:f>
        <x:v>103</x:v>
      </x:c>
      <x:c r="F1317" s="14" t="n">
        <x:v>6</x:v>
      </x:c>
      <x:c r="G1317" s="14" t="n">
        <x:v>31</x:v>
      </x:c>
      <x:c r="H1317" s="14" t="n">
        <x:v>4</x:v>
      </x:c>
      <x:c r="I1317" s="14" t="n">
        <x:v>4</x:v>
      </x:c>
      <x:c r="J1317" s="14" t="n">
        <x:v>5</x:v>
      </x:c>
      <x:c r="K1317" s="14" t="n">
        <x:v>6</x:v>
      </x:c>
      <x:c r="L1317" s="14" t="n">
        <x:v>39</x:v>
      </x:c>
      <x:c r="M1317" s="14" t="n">
        <x:v>8</x:v>
      </x:c>
      <x:c r="N1317" s="15" t="n">
        <x:f>IF(E1317=0,"해당 없음",F1317/E1317)</x:f>
        <x:v>0.05825242718446602</x:v>
      </x:c>
      <x:c r="O1317" s="15" t="n">
        <x:f>IF(E1317=0,"해당 없음",G1317/E1317)</x:f>
        <x:v>0.30097087378640774</x:v>
      </x:c>
      <x:c r="P1317" s="15" t="n">
        <x:f>IF(E1317=0,"해당 없음",H1317/E1317)</x:f>
        <x:v>0.038834951456310676</x:v>
      </x:c>
      <x:c r="Q1317" s="15" t="n">
        <x:f>IF(E1317=0,"해당 없음",I1317/E1317)</x:f>
        <x:v>0.038834951456310676</x:v>
      </x:c>
      <x:c r="R1317" s="15" t="n">
        <x:f>IF(E1317=0,"해당 없음",J1317/E1317)</x:f>
        <x:v>0.04854368932038835</x:v>
      </x:c>
      <x:c r="S1317" s="15" t="n">
        <x:f>IF(E1317=0,"해당 없음",K1317/E1317)</x:f>
        <x:v>0.05825242718446602</x:v>
      </x:c>
      <x:c r="T1317" s="15" t="n">
        <x:f>IF(E1317=0,"해당 없음",L1317/E1317)</x:f>
        <x:v>0.3786407766990291</x:v>
      </x:c>
      <x:c r="U1317" s="15" t="n">
        <x:f>IF(E1317=0,"해당 없음",M1317/E1317)</x:f>
        <x:v>0.07766990291262135</x:v>
      </x:c>
      <x:c r="V1317" s="16" t="n">
        <x:f>E1317/5</x:f>
        <x:v>20.6</x:v>
      </x:c>
    </x:row>
    <x:row r="1318" ht="22" customHeight="1">
      <x:c r="A1318" s="2" t="n">
        <x:v>657</x:v>
      </x:c>
      <x:c r="B1318" s="2" t="str">
        <x:v>RED</x:v>
      </x:c>
      <x:c r="C1318" s="2" t="str">
        <x:v>40만</x:v>
      </x:c>
      <x:c r="D1318" s="2" t="str">
        <x:v>200만</x:v>
      </x:c>
      <x:c r="E1318" s="14" t="n">
        <x:f>SUM(F1318:M1318)</x:f>
        <x:v>104</x:v>
      </x:c>
      <x:c r="F1318" s="14" t="n">
        <x:v>5</x:v>
      </x:c>
      <x:c r="G1318" s="14" t="n">
        <x:v>27</x:v>
      </x:c>
      <x:c r="H1318" s="14" t="n">
        <x:v>3</x:v>
      </x:c>
      <x:c r="I1318" s="14" t="n">
        <x:v>9</x:v>
      </x:c>
      <x:c r="J1318" s="14" t="n">
        <x:v>3</x:v>
      </x:c>
      <x:c r="K1318" s="14" t="n">
        <x:v>8</x:v>
      </x:c>
      <x:c r="L1318" s="14" t="n">
        <x:v>41</x:v>
      </x:c>
      <x:c r="M1318" s="14" t="n">
        <x:v>8</x:v>
      </x:c>
      <x:c r="N1318" s="15" t="n">
        <x:f>IF(E1318=0,"해당 없음",F1318/E1318)</x:f>
        <x:v>0.04807692307692308</x:v>
      </x:c>
      <x:c r="O1318" s="15" t="n">
        <x:f>IF(E1318=0,"해당 없음",G1318/E1318)</x:f>
        <x:v>0.25961538461538464</x:v>
      </x:c>
      <x:c r="P1318" s="15" t="n">
        <x:f>IF(E1318=0,"해당 없음",H1318/E1318)</x:f>
        <x:v>0.028846153846153848</x:v>
      </x:c>
      <x:c r="Q1318" s="15" t="n">
        <x:f>IF(E1318=0,"해당 없음",I1318/E1318)</x:f>
        <x:v>0.08653846153846154</x:v>
      </x:c>
      <x:c r="R1318" s="15" t="n">
        <x:f>IF(E1318=0,"해당 없음",J1318/E1318)</x:f>
        <x:v>0.028846153846153848</x:v>
      </x:c>
      <x:c r="S1318" s="15" t="n">
        <x:f>IF(E1318=0,"해당 없음",K1318/E1318)</x:f>
        <x:v>0.07692307692307693</x:v>
      </x:c>
      <x:c r="T1318" s="15" t="n">
        <x:f>IF(E1318=0,"해당 없음",L1318/E1318)</x:f>
        <x:v>0.3942307692307692</x:v>
      </x:c>
      <x:c r="U1318" s="15" t="n">
        <x:f>IF(E1318=0,"해당 없음",M1318/E1318)</x:f>
        <x:v>0.07692307692307693</x:v>
      </x:c>
      <x:c r="V1318" s="16" t="n">
        <x:f>E1318/5</x:f>
        <x:v>20.8</x:v>
      </x:c>
    </x:row>
    <x:row r="1319" ht="22" customHeight="1">
      <x:c r="A1319" s="2" t="n">
        <x:v>657</x:v>
      </x:c>
      <x:c r="B1319" s="2" t="str">
        <x:v>NAVY</x:v>
      </x:c>
      <x:c r="C1319" s="2" t="str">
        <x:v>200만</x:v>
      </x:c>
      <x:c r="D1319" s="2" t="str">
        <x:v>40만</x:v>
      </x:c>
      <x:c r="E1319" s="14" t="n">
        <x:f>SUM(F1319:M1319)</x:f>
        <x:v>104</x:v>
      </x:c>
      <x:c r="F1319" s="14" t="n">
        <x:v>3</x:v>
      </x:c>
      <x:c r="G1319" s="14" t="n">
        <x:v>11</x:v>
      </x:c>
      <x:c r="H1319" s="14" t="n">
        <x:v>2</x:v>
      </x:c>
      <x:c r="I1319" s="14" t="n">
        <x:v>2</x:v>
      </x:c>
      <x:c r="J1319" s="14" t="n">
        <x:v>4</x:v>
      </x:c>
      <x:c r="K1319" s="14" t="n">
        <x:v>10</x:v>
      </x:c>
      <x:c r="L1319" s="14" t="n">
        <x:v>35</x:v>
      </x:c>
      <x:c r="M1319" s="14" t="n">
        <x:v>37</x:v>
      </x:c>
      <x:c r="N1319" s="15" t="n">
        <x:f>IF(E1319=0,"해당 없음",F1319/E1319)</x:f>
        <x:v>0.028846153846153848</x:v>
      </x:c>
      <x:c r="O1319" s="15" t="n">
        <x:f>IF(E1319=0,"해당 없음",G1319/E1319)</x:f>
        <x:v>0.10576923076923077</x:v>
      </x:c>
      <x:c r="P1319" s="15" t="n">
        <x:f>IF(E1319=0,"해당 없음",H1319/E1319)</x:f>
        <x:v>0.019230769230769232</x:v>
      </x:c>
      <x:c r="Q1319" s="15" t="n">
        <x:f>IF(E1319=0,"해당 없음",I1319/E1319)</x:f>
        <x:v>0.019230769230769232</x:v>
      </x:c>
      <x:c r="R1319" s="15" t="n">
        <x:f>IF(E1319=0,"해당 없음",J1319/E1319)</x:f>
        <x:v>0.038461538461538464</x:v>
      </x:c>
      <x:c r="S1319" s="15" t="n">
        <x:f>IF(E1319=0,"해당 없음",K1319/E1319)</x:f>
        <x:v>0.09615384615384616</x:v>
      </x:c>
      <x:c r="T1319" s="15" t="n">
        <x:f>IF(E1319=0,"해당 없음",L1319/E1319)</x:f>
        <x:v>0.33653846153846156</x:v>
      </x:c>
      <x:c r="U1319" s="15" t="n">
        <x:f>IF(E1319=0,"해당 없음",M1319/E1319)</x:f>
        <x:v>0.3557692307692308</x:v>
      </x:c>
      <x:c r="V1319" s="16" t="n">
        <x:f>E1319/5</x:f>
        <x:v>20.8</x:v>
      </x:c>
    </x:row>
    <x:row r="1320" ht="22" customHeight="1">
      <x:c r="A1320" s="2" t="n">
        <x:v>658</x:v>
      </x:c>
      <x:c r="B1320" s="2" t="str">
        <x:v>RED</x:v>
      </x:c>
      <x:c r="C1320" s="2" t="str">
        <x:v>200만</x:v>
      </x:c>
      <x:c r="D1320" s="2" t="str">
        <x:v>40만</x:v>
      </x:c>
      <x:c r="E1320" s="14" t="n">
        <x:f>SUM(F1320:M1320)</x:f>
        <x:v>103</x:v>
      </x:c>
      <x:c r="F1320" s="14" t="n">
        <x:v>4</x:v>
      </x:c>
      <x:c r="G1320" s="14" t="n">
        <x:v>13</x:v>
      </x:c>
      <x:c r="H1320" s="14" t="n">
        <x:v>4</x:v>
      </x:c>
      <x:c r="I1320" s="14" t="n">
        <x:v>4</x:v>
      </x:c>
      <x:c r="J1320" s="14" t="n">
        <x:v>2</x:v>
      </x:c>
      <x:c r="K1320" s="14" t="n">
        <x:v>4</x:v>
      </x:c>
      <x:c r="L1320" s="14" t="n">
        <x:v>34</x:v>
      </x:c>
      <x:c r="M1320" s="14" t="n">
        <x:v>38</x:v>
      </x:c>
      <x:c r="N1320" s="15" t="n">
        <x:f>IF(E1320=0,"해당 없음",F1320/E1320)</x:f>
        <x:v>0.038834951456310676</x:v>
      </x:c>
      <x:c r="O1320" s="15" t="n">
        <x:f>IF(E1320=0,"해당 없음",G1320/E1320)</x:f>
        <x:v>0.1262135922330097</x:v>
      </x:c>
      <x:c r="P1320" s="15" t="n">
        <x:f>IF(E1320=0,"해당 없음",H1320/E1320)</x:f>
        <x:v>0.038834951456310676</x:v>
      </x:c>
      <x:c r="Q1320" s="15" t="n">
        <x:f>IF(E1320=0,"해당 없음",I1320/E1320)</x:f>
        <x:v>0.038834951456310676</x:v>
      </x:c>
      <x:c r="R1320" s="15" t="n">
        <x:f>IF(E1320=0,"해당 없음",J1320/E1320)</x:f>
        <x:v>0.019417475728155338</x:v>
      </x:c>
      <x:c r="S1320" s="15" t="n">
        <x:f>IF(E1320=0,"해당 없음",K1320/E1320)</x:f>
        <x:v>0.038834951456310676</x:v>
      </x:c>
      <x:c r="T1320" s="15" t="n">
        <x:f>IF(E1320=0,"해당 없음",L1320/E1320)</x:f>
        <x:v>0.3300970873786408</x:v>
      </x:c>
      <x:c r="U1320" s="15" t="n">
        <x:f>IF(E1320=0,"해당 없음",M1320/E1320)</x:f>
        <x:v>0.36893203883495146</x:v>
      </x:c>
      <x:c r="V1320" s="16" t="n">
        <x:f>E1320/5</x:f>
        <x:v>20.6</x:v>
      </x:c>
    </x:row>
    <x:row r="1321" ht="22" customHeight="1">
      <x:c r="A1321" s="2" t="n">
        <x:v>658</x:v>
      </x:c>
      <x:c r="B1321" s="2" t="str">
        <x:v>NAVY</x:v>
      </x:c>
      <x:c r="C1321" s="2" t="str">
        <x:v>40만</x:v>
      </x:c>
      <x:c r="D1321" s="2" t="str">
        <x:v>200만</x:v>
      </x:c>
      <x:c r="E1321" s="14" t="n">
        <x:f>SUM(F1321:M1321)</x:f>
        <x:v>105</x:v>
      </x:c>
      <x:c r="F1321" s="14" t="n">
        <x:v>5</x:v>
      </x:c>
      <x:c r="G1321" s="14" t="n">
        <x:v>26</x:v>
      </x:c>
      <x:c r="H1321" s="14" t="n">
        <x:v>9</x:v>
      </x:c>
      <x:c r="I1321" s="14" t="n">
        <x:v>5</x:v>
      </x:c>
      <x:c r="J1321" s="14" t="n">
        <x:v>5</x:v>
      </x:c>
      <x:c r="K1321" s="14" t="n">
        <x:v>14</x:v>
      </x:c>
      <x:c r="L1321" s="14" t="n">
        <x:v>37</x:v>
      </x:c>
      <x:c r="M1321" s="14" t="n">
        <x:v>4</x:v>
      </x:c>
      <x:c r="N1321" s="15" t="n">
        <x:f>IF(E1321=0,"해당 없음",F1321/E1321)</x:f>
        <x:v>0.047619047619047616</x:v>
      </x:c>
      <x:c r="O1321" s="15" t="n">
        <x:f>IF(E1321=0,"해당 없음",G1321/E1321)</x:f>
        <x:v>0.24761904761904763</x:v>
      </x:c>
      <x:c r="P1321" s="15" t="n">
        <x:f>IF(E1321=0,"해당 없음",H1321/E1321)</x:f>
        <x:v>0.08571428571428572</x:v>
      </x:c>
      <x:c r="Q1321" s="15" t="n">
        <x:f>IF(E1321=0,"해당 없음",I1321/E1321)</x:f>
        <x:v>0.047619047619047616</x:v>
      </x:c>
      <x:c r="R1321" s="15" t="n">
        <x:f>IF(E1321=0,"해당 없음",J1321/E1321)</x:f>
        <x:v>0.047619047619047616</x:v>
      </x:c>
      <x:c r="S1321" s="15" t="n">
        <x:f>IF(E1321=0,"해당 없음",K1321/E1321)</x:f>
        <x:v>0.13333333333333333</x:v>
      </x:c>
      <x:c r="T1321" s="15" t="n">
        <x:f>IF(E1321=0,"해당 없음",L1321/E1321)</x:f>
        <x:v>0.3523809523809524</x:v>
      </x:c>
      <x:c r="U1321" s="15" t="n">
        <x:f>IF(E1321=0,"해당 없음",M1321/E1321)</x:f>
        <x:v>0.0380952380952381</x:v>
      </x:c>
      <x:c r="V1321" s="16" t="n">
        <x:f>E1321/5</x:f>
        <x:v>21</x:v>
      </x:c>
    </x:row>
    <x:row r="1322" ht="22" customHeight="1">
      <x:c r="A1322" s="2" t="n">
        <x:v>659</x:v>
      </x:c>
      <x:c r="B1322" s="2" t="str">
        <x:v>RED</x:v>
      </x:c>
      <x:c r="C1322" s="2" t="str">
        <x:v>40만</x:v>
      </x:c>
      <x:c r="D1322" s="2" t="str">
        <x:v>200만</x:v>
      </x:c>
      <x:c r="E1322" s="14" t="n">
        <x:f>SUM(F1322:M1322)</x:f>
        <x:v>101</x:v>
      </x:c>
      <x:c r="F1322" s="14" t="n">
        <x:v>3</x:v>
      </x:c>
      <x:c r="G1322" s="14" t="n">
        <x:v>25</x:v>
      </x:c>
      <x:c r="H1322" s="14" t="n">
        <x:v>9</x:v>
      </x:c>
      <x:c r="I1322" s="14" t="n">
        <x:v>7</x:v>
      </x:c>
      <x:c r="J1322" s="14" t="n">
        <x:v>4</x:v>
      </x:c>
      <x:c r="K1322" s="14" t="n">
        <x:v>13</x:v>
      </x:c>
      <x:c r="L1322" s="14" t="n">
        <x:v>38</x:v>
      </x:c>
      <x:c r="M1322" s="14" t="n">
        <x:v>2</x:v>
      </x:c>
      <x:c r="N1322" s="15" t="n">
        <x:f>IF(E1322=0,"해당 없음",F1322/E1322)</x:f>
        <x:v>0.0297029702970297</x:v>
      </x:c>
      <x:c r="O1322" s="15" t="n">
        <x:f>IF(E1322=0,"해당 없음",G1322/E1322)</x:f>
        <x:v>0.24752475247524752</x:v>
      </x:c>
      <x:c r="P1322" s="15" t="n">
        <x:f>IF(E1322=0,"해당 없음",H1322/E1322)</x:f>
        <x:v>0.0891089108910891</x:v>
      </x:c>
      <x:c r="Q1322" s="15" t="n">
        <x:f>IF(E1322=0,"해당 없음",I1322/E1322)</x:f>
        <x:v>0.06930693069306931</x:v>
      </x:c>
      <x:c r="R1322" s="15" t="n">
        <x:f>IF(E1322=0,"해당 없음",J1322/E1322)</x:f>
        <x:v>0.039603960396039604</x:v>
      </x:c>
      <x:c r="S1322" s="15" t="n">
        <x:f>IF(E1322=0,"해당 없음",K1322/E1322)</x:f>
        <x:v>0.12871287128712872</x:v>
      </x:c>
      <x:c r="T1322" s="15" t="n">
        <x:f>IF(E1322=0,"해당 없음",L1322/E1322)</x:f>
        <x:v>0.37623762376237624</x:v>
      </x:c>
      <x:c r="U1322" s="15" t="n">
        <x:f>IF(E1322=0,"해당 없음",M1322/E1322)</x:f>
        <x:v>0.019801980198019802</x:v>
      </x:c>
      <x:c r="V1322" s="16" t="n">
        <x:f>E1322/5</x:f>
        <x:v>20.2</x:v>
      </x:c>
    </x:row>
    <x:row r="1323" ht="22" customHeight="1">
      <x:c r="A1323" s="2" t="n">
        <x:v>659</x:v>
      </x:c>
      <x:c r="B1323" s="2" t="str">
        <x:v>NAVY</x:v>
      </x:c>
      <x:c r="C1323" s="2" t="str">
        <x:v>200만</x:v>
      </x:c>
      <x:c r="D1323" s="2" t="str">
        <x:v>40만</x:v>
      </x:c>
      <x:c r="E1323" s="14" t="n">
        <x:f>SUM(F1323:M1323)</x:f>
        <x:v>103</x:v>
      </x:c>
      <x:c r="F1323" s="14" t="n">
        <x:v>6</x:v>
      </x:c>
      <x:c r="G1323" s="14" t="n">
        <x:v>21</x:v>
      </x:c>
      <x:c r="H1323" s="14" t="n">
        <x:v>4</x:v>
      </x:c>
      <x:c r="I1323" s="14" t="n">
        <x:v>6</x:v>
      </x:c>
      <x:c r="J1323" s="14" t="n">
        <x:v>2</x:v>
      </x:c>
      <x:c r="K1323" s="14" t="n">
        <x:v>6</x:v>
      </x:c>
      <x:c r="L1323" s="14" t="n">
        <x:v>30</x:v>
      </x:c>
      <x:c r="M1323" s="14" t="n">
        <x:v>28</x:v>
      </x:c>
      <x:c r="N1323" s="15" t="n">
        <x:f>IF(E1323=0,"해당 없음",F1323/E1323)</x:f>
        <x:v>0.05825242718446602</x:v>
      </x:c>
      <x:c r="O1323" s="15" t="n">
        <x:f>IF(E1323=0,"해당 없음",G1323/E1323)</x:f>
        <x:v>0.20388349514563106</x:v>
      </x:c>
      <x:c r="P1323" s="15" t="n">
        <x:f>IF(E1323=0,"해당 없음",H1323/E1323)</x:f>
        <x:v>0.038834951456310676</x:v>
      </x:c>
      <x:c r="Q1323" s="15" t="n">
        <x:f>IF(E1323=0,"해당 없음",I1323/E1323)</x:f>
        <x:v>0.05825242718446602</x:v>
      </x:c>
      <x:c r="R1323" s="15" t="n">
        <x:f>IF(E1323=0,"해당 없음",J1323/E1323)</x:f>
        <x:v>0.019417475728155338</x:v>
      </x:c>
      <x:c r="S1323" s="15" t="n">
        <x:f>IF(E1323=0,"해당 없음",K1323/E1323)</x:f>
        <x:v>0.05825242718446602</x:v>
      </x:c>
      <x:c r="T1323" s="15" t="n">
        <x:f>IF(E1323=0,"해당 없음",L1323/E1323)</x:f>
        <x:v>0.2912621359223301</x:v>
      </x:c>
      <x:c r="U1323" s="15" t="n">
        <x:f>IF(E1323=0,"해당 없음",M1323/E1323)</x:f>
        <x:v>0.27184466019417475</x:v>
      </x:c>
      <x:c r="V1323" s="16" t="n">
        <x:f>E1323/5</x:f>
        <x:v>20.6</x:v>
      </x:c>
    </x:row>
    <x:row r="1324" ht="22" customHeight="1">
      <x:c r="A1324" s="2" t="n">
        <x:v>660</x:v>
      </x:c>
      <x:c r="B1324" s="2" t="str">
        <x:v>RED</x:v>
      </x:c>
      <x:c r="C1324" s="2" t="str">
        <x:v>200만</x:v>
      </x:c>
      <x:c r="D1324" s="2" t="str">
        <x:v>40만</x:v>
      </x:c>
      <x:c r="E1324" s="14" t="n">
        <x:f>SUM(F1324:M1324)</x:f>
        <x:v>103</x:v>
      </x:c>
      <x:c r="F1324" s="14" t="n">
        <x:v>6</x:v>
      </x:c>
      <x:c r="G1324" s="14" t="n">
        <x:v>15</x:v>
      </x:c>
      <x:c r="H1324" s="14" t="n">
        <x:v>2</x:v>
      </x:c>
      <x:c r="I1324" s="14" t="n">
        <x:v>3</x:v>
      </x:c>
      <x:c r="J1324" s="14" t="n">
        <x:v>6</x:v>
      </x:c>
      <x:c r="K1324" s="14" t="n">
        <x:v>3</x:v>
      </x:c>
      <x:c r="L1324" s="14" t="n">
        <x:v>29</x:v>
      </x:c>
      <x:c r="M1324" s="14" t="n">
        <x:v>39</x:v>
      </x:c>
      <x:c r="N1324" s="15" t="n">
        <x:f>IF(E1324=0,"해당 없음",F1324/E1324)</x:f>
        <x:v>0.05825242718446602</x:v>
      </x:c>
      <x:c r="O1324" s="15" t="n">
        <x:f>IF(E1324=0,"해당 없음",G1324/E1324)</x:f>
        <x:v>0.14563106796116504</x:v>
      </x:c>
      <x:c r="P1324" s="15" t="n">
        <x:f>IF(E1324=0,"해당 없음",H1324/E1324)</x:f>
        <x:v>0.019417475728155338</x:v>
      </x:c>
      <x:c r="Q1324" s="15" t="n">
        <x:f>IF(E1324=0,"해당 없음",I1324/E1324)</x:f>
        <x:v>0.02912621359223301</x:v>
      </x:c>
      <x:c r="R1324" s="15" t="n">
        <x:f>IF(E1324=0,"해당 없음",J1324/E1324)</x:f>
        <x:v>0.05825242718446602</x:v>
      </x:c>
      <x:c r="S1324" s="15" t="n">
        <x:f>IF(E1324=0,"해당 없음",K1324/E1324)</x:f>
        <x:v>0.02912621359223301</x:v>
      </x:c>
      <x:c r="T1324" s="15" t="n">
        <x:f>IF(E1324=0,"해당 없음",L1324/E1324)</x:f>
        <x:v>0.2815533980582524</x:v>
      </x:c>
      <x:c r="U1324" s="15" t="n">
        <x:f>IF(E1324=0,"해당 없음",M1324/E1324)</x:f>
        <x:v>0.3786407766990291</x:v>
      </x:c>
      <x:c r="V1324" s="16" t="n">
        <x:f>E1324/5</x:f>
        <x:v>20.6</x:v>
      </x:c>
    </x:row>
    <x:row r="1325" ht="22" customHeight="1">
      <x:c r="A1325" s="2" t="n">
        <x:v>660</x:v>
      </x:c>
      <x:c r="B1325" s="2" t="str">
        <x:v>NAVY</x:v>
      </x:c>
      <x:c r="C1325" s="2" t="str">
        <x:v>40만</x:v>
      </x:c>
      <x:c r="D1325" s="2" t="str">
        <x:v>200만</x:v>
      </x:c>
      <x:c r="E1325" s="14" t="n">
        <x:f>SUM(F1325:M1325)</x:f>
        <x:v>103</x:v>
      </x:c>
      <x:c r="F1325" s="14" t="n">
        <x:v>5</x:v>
      </x:c>
      <x:c r="G1325" s="14" t="n">
        <x:v>26</x:v>
      </x:c>
      <x:c r="H1325" s="14" t="n">
        <x:v>8</x:v>
      </x:c>
      <x:c r="I1325" s="14" t="n">
        <x:v>6</x:v>
      </x:c>
      <x:c r="J1325" s="14" t="n">
        <x:v>9</x:v>
      </x:c>
      <x:c r="K1325" s="14" t="n">
        <x:v>8</x:v>
      </x:c>
      <x:c r="L1325" s="14" t="n">
        <x:v>38</x:v>
      </x:c>
      <x:c r="M1325" s="14" t="n">
        <x:v>3</x:v>
      </x:c>
      <x:c r="N1325" s="15" t="n">
        <x:f>IF(E1325=0,"해당 없음",F1325/E1325)</x:f>
        <x:v>0.04854368932038835</x:v>
      </x:c>
      <x:c r="O1325" s="15" t="n">
        <x:f>IF(E1325=0,"해당 없음",G1325/E1325)</x:f>
        <x:v>0.2524271844660194</x:v>
      </x:c>
      <x:c r="P1325" s="15" t="n">
        <x:f>IF(E1325=0,"해당 없음",H1325/E1325)</x:f>
        <x:v>0.07766990291262135</x:v>
      </x:c>
      <x:c r="Q1325" s="15" t="n">
        <x:f>IF(E1325=0,"해당 없음",I1325/E1325)</x:f>
        <x:v>0.05825242718446602</x:v>
      </x:c>
      <x:c r="R1325" s="15" t="n">
        <x:f>IF(E1325=0,"해당 없음",J1325/E1325)</x:f>
        <x:v>0.08737864077669903</x:v>
      </x:c>
      <x:c r="S1325" s="15" t="n">
        <x:f>IF(E1325=0,"해당 없음",K1325/E1325)</x:f>
        <x:v>0.07766990291262135</x:v>
      </x:c>
      <x:c r="T1325" s="15" t="n">
        <x:f>IF(E1325=0,"해당 없음",L1325/E1325)</x:f>
        <x:v>0.36893203883495146</x:v>
      </x:c>
      <x:c r="U1325" s="15" t="n">
        <x:f>IF(E1325=0,"해당 없음",M1325/E1325)</x:f>
        <x:v>0.02912621359223301</x:v>
      </x:c>
      <x:c r="V1325" s="16" t="n">
        <x:f>E1325/5</x:f>
        <x:v>20.6</x:v>
      </x:c>
    </x:row>
    <x:row r="1326" ht="22" customHeight="1">
      <x:c r="A1326" s="2" t="n">
        <x:v>661</x:v>
      </x:c>
      <x:c r="B1326" s="2" t="str">
        <x:v>RED</x:v>
      </x:c>
      <x:c r="C1326" s="2" t="str">
        <x:v>40만</x:v>
      </x:c>
      <x:c r="D1326" s="2" t="str">
        <x:v>200만</x:v>
      </x:c>
      <x:c r="E1326" s="14" t="n">
        <x:f>SUM(F1326:M1326)</x:f>
        <x:v>105</x:v>
      </x:c>
      <x:c r="F1326" s="14" t="n">
        <x:v>2</x:v>
      </x:c>
      <x:c r="G1326" s="14" t="n">
        <x:v>25</x:v>
      </x:c>
      <x:c r="H1326" s="14" t="n">
        <x:v>7</x:v>
      </x:c>
      <x:c r="I1326" s="14" t="n">
        <x:v>10</x:v>
      </x:c>
      <x:c r="J1326" s="14" t="n">
        <x:v>3</x:v>
      </x:c>
      <x:c r="K1326" s="14" t="n">
        <x:v>10</x:v>
      </x:c>
      <x:c r="L1326" s="14" t="n">
        <x:v>42</x:v>
      </x:c>
      <x:c r="M1326" s="14" t="n">
        <x:v>6</x:v>
      </x:c>
      <x:c r="N1326" s="15" t="n">
        <x:f>IF(E1326=0,"해당 없음",F1326/E1326)</x:f>
        <x:v>0.01904761904761905</x:v>
      </x:c>
      <x:c r="O1326" s="15" t="n">
        <x:f>IF(E1326=0,"해당 없음",G1326/E1326)</x:f>
        <x:v>0.23809523809523808</x:v>
      </x:c>
      <x:c r="P1326" s="15" t="n">
        <x:f>IF(E1326=0,"해당 없음",H1326/E1326)</x:f>
        <x:v>0.06666666666666667</x:v>
      </x:c>
      <x:c r="Q1326" s="15" t="n">
        <x:f>IF(E1326=0,"해당 없음",I1326/E1326)</x:f>
        <x:v>0.09523809523809523</x:v>
      </x:c>
      <x:c r="R1326" s="15" t="n">
        <x:f>IF(E1326=0,"해당 없음",J1326/E1326)</x:f>
        <x:v>0.02857142857142857</x:v>
      </x:c>
      <x:c r="S1326" s="15" t="n">
        <x:f>IF(E1326=0,"해당 없음",K1326/E1326)</x:f>
        <x:v>0.09523809523809523</x:v>
      </x:c>
      <x:c r="T1326" s="15" t="n">
        <x:f>IF(E1326=0,"해당 없음",L1326/E1326)</x:f>
        <x:v>0.4</x:v>
      </x:c>
      <x:c r="U1326" s="15" t="n">
        <x:f>IF(E1326=0,"해당 없음",M1326/E1326)</x:f>
        <x:v>0.05714285714285714</x:v>
      </x:c>
      <x:c r="V1326" s="16" t="n">
        <x:f>E1326/5</x:f>
        <x:v>21</x:v>
      </x:c>
    </x:row>
    <x:row r="1327" ht="22" customHeight="1">
      <x:c r="A1327" s="2" t="n">
        <x:v>661</x:v>
      </x:c>
      <x:c r="B1327" s="2" t="str">
        <x:v>NAVY</x:v>
      </x:c>
      <x:c r="C1327" s="2" t="str">
        <x:v>200만</x:v>
      </x:c>
      <x:c r="D1327" s="2" t="str">
        <x:v>40만</x:v>
      </x:c>
      <x:c r="E1327" s="14" t="n">
        <x:f>SUM(F1327:M1327)</x:f>
        <x:v>105</x:v>
      </x:c>
      <x:c r="F1327" s="14" t="n">
        <x:v>5</x:v>
      </x:c>
      <x:c r="G1327" s="14" t="n">
        <x:v>15</x:v>
      </x:c>
      <x:c r="H1327" s="14" t="n">
        <x:v>4</x:v>
      </x:c>
      <x:c r="I1327" s="14" t="n">
        <x:v>3</x:v>
      </x:c>
      <x:c r="J1327" s="14" t="n">
        <x:v>3</x:v>
      </x:c>
      <x:c r="K1327" s="14" t="n">
        <x:v>5</x:v>
      </x:c>
      <x:c r="L1327" s="14" t="n">
        <x:v>27</x:v>
      </x:c>
      <x:c r="M1327" s="14" t="n">
        <x:v>43</x:v>
      </x:c>
      <x:c r="N1327" s="15" t="n">
        <x:f>IF(E1327=0,"해당 없음",F1327/E1327)</x:f>
        <x:v>0.047619047619047616</x:v>
      </x:c>
      <x:c r="O1327" s="15" t="n">
        <x:f>IF(E1327=0,"해당 없음",G1327/E1327)</x:f>
        <x:v>0.14285714285714285</x:v>
      </x:c>
      <x:c r="P1327" s="15" t="n">
        <x:f>IF(E1327=0,"해당 없음",H1327/E1327)</x:f>
        <x:v>0.0380952380952381</x:v>
      </x:c>
      <x:c r="Q1327" s="15" t="n">
        <x:f>IF(E1327=0,"해당 없음",I1327/E1327)</x:f>
        <x:v>0.02857142857142857</x:v>
      </x:c>
      <x:c r="R1327" s="15" t="n">
        <x:f>IF(E1327=0,"해당 없음",J1327/E1327)</x:f>
        <x:v>0.02857142857142857</x:v>
      </x:c>
      <x:c r="S1327" s="15" t="n">
        <x:f>IF(E1327=0,"해당 없음",K1327/E1327)</x:f>
        <x:v>0.047619047619047616</x:v>
      </x:c>
      <x:c r="T1327" s="15" t="n">
        <x:f>IF(E1327=0,"해당 없음",L1327/E1327)</x:f>
        <x:v>0.2571428571428571</x:v>
      </x:c>
      <x:c r="U1327" s="15" t="n">
        <x:f>IF(E1327=0,"해당 없음",M1327/E1327)</x:f>
        <x:v>0.4095238095238095</x:v>
      </x:c>
      <x:c r="V1327" s="16" t="n">
        <x:f>E1327/5</x:f>
        <x:v>21</x:v>
      </x:c>
    </x:row>
    <x:row r="1328" ht="22" customHeight="1">
      <x:c r="A1328" s="2" t="n">
        <x:v>662</x:v>
      </x:c>
      <x:c r="B1328" s="2" t="str">
        <x:v>RED</x:v>
      </x:c>
      <x:c r="C1328" s="2" t="str">
        <x:v>200만</x:v>
      </x:c>
      <x:c r="D1328" s="2" t="str">
        <x:v>40만</x:v>
      </x:c>
      <x:c r="E1328" s="14" t="n">
        <x:f>SUM(F1328:M1328)</x:f>
        <x:v>103</x:v>
      </x:c>
      <x:c r="F1328" s="14" t="n">
        <x:v>3</x:v>
      </x:c>
      <x:c r="G1328" s="14" t="n">
        <x:v>17</x:v>
      </x:c>
      <x:c r="H1328" s="14" t="n">
        <x:v>4</x:v>
      </x:c>
      <x:c r="I1328" s="14" t="n">
        <x:v>3</x:v>
      </x:c>
      <x:c r="J1328" s="14" t="n">
        <x:v>2</x:v>
      </x:c>
      <x:c r="K1328" s="14" t="n">
        <x:v>9</x:v>
      </x:c>
      <x:c r="L1328" s="14" t="n">
        <x:v>32</x:v>
      </x:c>
      <x:c r="M1328" s="14" t="n">
        <x:v>33</x:v>
      </x:c>
      <x:c r="N1328" s="15" t="n">
        <x:f>IF(E1328=0,"해당 없음",F1328/E1328)</x:f>
        <x:v>0.02912621359223301</x:v>
      </x:c>
      <x:c r="O1328" s="15" t="n">
        <x:f>IF(E1328=0,"해당 없음",G1328/E1328)</x:f>
        <x:v>0.1650485436893204</x:v>
      </x:c>
      <x:c r="P1328" s="15" t="n">
        <x:f>IF(E1328=0,"해당 없음",H1328/E1328)</x:f>
        <x:v>0.038834951456310676</x:v>
      </x:c>
      <x:c r="Q1328" s="15" t="n">
        <x:f>IF(E1328=0,"해당 없음",I1328/E1328)</x:f>
        <x:v>0.02912621359223301</x:v>
      </x:c>
      <x:c r="R1328" s="15" t="n">
        <x:f>IF(E1328=0,"해당 없음",J1328/E1328)</x:f>
        <x:v>0.019417475728155338</x:v>
      </x:c>
      <x:c r="S1328" s="15" t="n">
        <x:f>IF(E1328=0,"해당 없음",K1328/E1328)</x:f>
        <x:v>0.08737864077669903</x:v>
      </x:c>
      <x:c r="T1328" s="15" t="n">
        <x:f>IF(E1328=0,"해당 없음",L1328/E1328)</x:f>
        <x:v>0.3106796116504854</x:v>
      </x:c>
      <x:c r="U1328" s="15" t="n">
        <x:f>IF(E1328=0,"해당 없음",M1328/E1328)</x:f>
        <x:v>0.32038834951456313</x:v>
      </x:c>
      <x:c r="V1328" s="16" t="n">
        <x:f>E1328/5</x:f>
        <x:v>20.6</x:v>
      </x:c>
    </x:row>
    <x:row r="1329" ht="22" customHeight="1">
      <x:c r="A1329" s="2" t="n">
        <x:v>662</x:v>
      </x:c>
      <x:c r="B1329" s="2" t="str">
        <x:v>NAVY</x:v>
      </x:c>
      <x:c r="C1329" s="2" t="str">
        <x:v>40만</x:v>
      </x:c>
      <x:c r="D1329" s="2" t="str">
        <x:v>200만</x:v>
      </x:c>
      <x:c r="E1329" s="14" t="n">
        <x:f>SUM(F1329:M1329)</x:f>
        <x:v>101</x:v>
      </x:c>
      <x:c r="F1329" s="14" t="n">
        <x:v>2</x:v>
      </x:c>
      <x:c r="G1329" s="14" t="n">
        <x:v>35</x:v>
      </x:c>
      <x:c r="H1329" s="14" t="n">
        <x:v>7</x:v>
      </x:c>
      <x:c r="I1329" s="14" t="n">
        <x:v>9</x:v>
      </x:c>
      <x:c r="J1329" s="14" t="n">
        <x:v>6</x:v>
      </x:c>
      <x:c r="K1329" s="14" t="n">
        <x:v>4</x:v>
      </x:c>
      <x:c r="L1329" s="14" t="n">
        <x:v>36</x:v>
      </x:c>
      <x:c r="M1329" s="14" t="n">
        <x:v>2</x:v>
      </x:c>
      <x:c r="N1329" s="15" t="n">
        <x:f>IF(E1329=0,"해당 없음",F1329/E1329)</x:f>
        <x:v>0.019801980198019802</x:v>
      </x:c>
      <x:c r="O1329" s="15" t="n">
        <x:f>IF(E1329=0,"해당 없음",G1329/E1329)</x:f>
        <x:v>0.3465346534653465</x:v>
      </x:c>
      <x:c r="P1329" s="15" t="n">
        <x:f>IF(E1329=0,"해당 없음",H1329/E1329)</x:f>
        <x:v>0.06930693069306931</x:v>
      </x:c>
      <x:c r="Q1329" s="15" t="n">
        <x:f>IF(E1329=0,"해당 없음",I1329/E1329)</x:f>
        <x:v>0.0891089108910891</x:v>
      </x:c>
      <x:c r="R1329" s="15" t="n">
        <x:f>IF(E1329=0,"해당 없음",J1329/E1329)</x:f>
        <x:v>0.0594059405940594</x:v>
      </x:c>
      <x:c r="S1329" s="15" t="n">
        <x:f>IF(E1329=0,"해당 없음",K1329/E1329)</x:f>
        <x:v>0.039603960396039604</x:v>
      </x:c>
      <x:c r="T1329" s="15" t="n">
        <x:f>IF(E1329=0,"해당 없음",L1329/E1329)</x:f>
        <x:v>0.3564356435643564</x:v>
      </x:c>
      <x:c r="U1329" s="15" t="n">
        <x:f>IF(E1329=0,"해당 없음",M1329/E1329)</x:f>
        <x:v>0.019801980198019802</x:v>
      </x:c>
      <x:c r="V1329" s="16" t="n">
        <x:f>E1329/5</x:f>
        <x:v>20.2</x:v>
      </x:c>
    </x:row>
    <x:row r="1330" ht="22" customHeight="1">
      <x:c r="A1330" s="2" t="n">
        <x:v>663</x:v>
      </x:c>
      <x:c r="B1330" s="2" t="str">
        <x:v>RED</x:v>
      </x:c>
      <x:c r="C1330" s="2" t="str">
        <x:v>40만</x:v>
      </x:c>
      <x:c r="D1330" s="2" t="str">
        <x:v>200만</x:v>
      </x:c>
      <x:c r="E1330" s="14" t="n">
        <x:f>SUM(F1330:M1330)</x:f>
        <x:v>102</x:v>
      </x:c>
      <x:c r="F1330" s="14" t="n">
        <x:v>9</x:v>
      </x:c>
      <x:c r="G1330" s="14" t="n">
        <x:v>22</x:v>
      </x:c>
      <x:c r="H1330" s="14" t="n">
        <x:v>5</x:v>
      </x:c>
      <x:c r="I1330" s="14" t="n">
        <x:v>4</x:v>
      </x:c>
      <x:c r="J1330" s="14" t="n">
        <x:v>5</x:v>
      </x:c>
      <x:c r="K1330" s="14" t="n">
        <x:v>15</x:v>
      </x:c>
      <x:c r="L1330" s="14" t="n">
        <x:v>38</x:v>
      </x:c>
      <x:c r="M1330" s="14" t="n">
        <x:v>4</x:v>
      </x:c>
      <x:c r="N1330" s="15" t="n">
        <x:f>IF(E1330=0,"해당 없음",F1330/E1330)</x:f>
        <x:v>0.08823529411764706</x:v>
      </x:c>
      <x:c r="O1330" s="15" t="n">
        <x:f>IF(E1330=0,"해당 없음",G1330/E1330)</x:f>
        <x:v>0.21568627450980393</x:v>
      </x:c>
      <x:c r="P1330" s="15" t="n">
        <x:f>IF(E1330=0,"해당 없음",H1330/E1330)</x:f>
        <x:v>0.049019607843137254</x:v>
      </x:c>
      <x:c r="Q1330" s="15" t="n">
        <x:f>IF(E1330=0,"해당 없음",I1330/E1330)</x:f>
        <x:v>0.0392156862745098</x:v>
      </x:c>
      <x:c r="R1330" s="15" t="n">
        <x:f>IF(E1330=0,"해당 없음",J1330/E1330)</x:f>
        <x:v>0.049019607843137254</x:v>
      </x:c>
      <x:c r="S1330" s="15" t="n">
        <x:f>IF(E1330=0,"해당 없음",K1330/E1330)</x:f>
        <x:v>0.14705882352941177</x:v>
      </x:c>
      <x:c r="T1330" s="15" t="n">
        <x:f>IF(E1330=0,"해당 없음",L1330/E1330)</x:f>
        <x:v>0.37254901960784315</x:v>
      </x:c>
      <x:c r="U1330" s="15" t="n">
        <x:f>IF(E1330=0,"해당 없음",M1330/E1330)</x:f>
        <x:v>0.0392156862745098</x:v>
      </x:c>
      <x:c r="V1330" s="16" t="n">
        <x:f>E1330/5</x:f>
        <x:v>20.4</x:v>
      </x:c>
    </x:row>
    <x:row r="1331" ht="22" customHeight="1">
      <x:c r="A1331" s="2" t="n">
        <x:v>663</x:v>
      </x:c>
      <x:c r="B1331" s="2" t="str">
        <x:v>NAVY</x:v>
      </x:c>
      <x:c r="C1331" s="2" t="str">
        <x:v>200만</x:v>
      </x:c>
      <x:c r="D1331" s="2" t="str">
        <x:v>40만</x:v>
      </x:c>
      <x:c r="E1331" s="14" t="n">
        <x:f>SUM(F1331:M1331)</x:f>
        <x:v>103</x:v>
      </x:c>
      <x:c r="F1331" s="14" t="n">
        <x:v>3</x:v>
      </x:c>
      <x:c r="G1331" s="14" t="n">
        <x:v>15</x:v>
      </x:c>
      <x:c r="H1331" s="14" t="n">
        <x:v>2</x:v>
      </x:c>
      <x:c r="I1331" s="14" t="n">
        <x:v>1</x:v>
      </x:c>
      <x:c r="J1331" s="14" t="n">
        <x:v>5</x:v>
      </x:c>
      <x:c r="K1331" s="14" t="n">
        <x:v>3</x:v>
      </x:c>
      <x:c r="L1331" s="14" t="n">
        <x:v>31</x:v>
      </x:c>
      <x:c r="M1331" s="14" t="n">
        <x:v>43</x:v>
      </x:c>
      <x:c r="N1331" s="15" t="n">
        <x:f>IF(E1331=0,"해당 없음",F1331/E1331)</x:f>
        <x:v>0.02912621359223301</x:v>
      </x:c>
      <x:c r="O1331" s="15" t="n">
        <x:f>IF(E1331=0,"해당 없음",G1331/E1331)</x:f>
        <x:v>0.14563106796116504</x:v>
      </x:c>
      <x:c r="P1331" s="15" t="n">
        <x:f>IF(E1331=0,"해당 없음",H1331/E1331)</x:f>
        <x:v>0.019417475728155338</x:v>
      </x:c>
      <x:c r="Q1331" s="15" t="n">
        <x:f>IF(E1331=0,"해당 없음",I1331/E1331)</x:f>
        <x:v>0.009708737864077669</x:v>
      </x:c>
      <x:c r="R1331" s="15" t="n">
        <x:f>IF(E1331=0,"해당 없음",J1331/E1331)</x:f>
        <x:v>0.04854368932038835</x:v>
      </x:c>
      <x:c r="S1331" s="15" t="n">
        <x:f>IF(E1331=0,"해당 없음",K1331/E1331)</x:f>
        <x:v>0.02912621359223301</x:v>
      </x:c>
      <x:c r="T1331" s="15" t="n">
        <x:f>IF(E1331=0,"해당 없음",L1331/E1331)</x:f>
        <x:v>0.30097087378640774</x:v>
      </x:c>
      <x:c r="U1331" s="15" t="n">
        <x:f>IF(E1331=0,"해당 없음",M1331/E1331)</x:f>
        <x:v>0.4174757281553398</x:v>
      </x:c>
      <x:c r="V1331" s="16" t="n">
        <x:f>E1331/5</x:f>
        <x:v>20.6</x:v>
      </x:c>
    </x:row>
    <x:row r="1332" ht="22" customHeight="1">
      <x:c r="A1332" s="2" t="n">
        <x:v>664</x:v>
      </x:c>
      <x:c r="B1332" s="2" t="str">
        <x:v>RED</x:v>
      </x:c>
      <x:c r="C1332" s="2" t="str">
        <x:v>200만</x:v>
      </x:c>
      <x:c r="D1332" s="2" t="str">
        <x:v>40만</x:v>
      </x:c>
      <x:c r="E1332" s="14" t="n">
        <x:f>SUM(F1332:M1332)</x:f>
        <x:v>103</x:v>
      </x:c>
      <x:c r="F1332" s="14" t="n">
        <x:v>2</x:v>
      </x:c>
      <x:c r="G1332" s="14" t="n">
        <x:v>20</x:v>
      </x:c>
      <x:c r="H1332" s="14" t="n">
        <x:v>4</x:v>
      </x:c>
      <x:c r="I1332" s="14" t="n">
        <x:v>2</x:v>
      </x:c>
      <x:c r="J1332" s="14" t="n">
        <x:v>3</x:v>
      </x:c>
      <x:c r="K1332" s="14" t="n">
        <x:v>5</x:v>
      </x:c>
      <x:c r="L1332" s="14" t="n">
        <x:v>30</x:v>
      </x:c>
      <x:c r="M1332" s="14" t="n">
        <x:v>37</x:v>
      </x:c>
      <x:c r="N1332" s="15" t="n">
        <x:f>IF(E1332=0,"해당 없음",F1332/E1332)</x:f>
        <x:v>0.019417475728155338</x:v>
      </x:c>
      <x:c r="O1332" s="15" t="n">
        <x:f>IF(E1332=0,"해당 없음",G1332/E1332)</x:f>
        <x:v>0.1941747572815534</x:v>
      </x:c>
      <x:c r="P1332" s="15" t="n">
        <x:f>IF(E1332=0,"해당 없음",H1332/E1332)</x:f>
        <x:v>0.038834951456310676</x:v>
      </x:c>
      <x:c r="Q1332" s="15" t="n">
        <x:f>IF(E1332=0,"해당 없음",I1332/E1332)</x:f>
        <x:v>0.019417475728155338</x:v>
      </x:c>
      <x:c r="R1332" s="15" t="n">
        <x:f>IF(E1332=0,"해당 없음",J1332/E1332)</x:f>
        <x:v>0.02912621359223301</x:v>
      </x:c>
      <x:c r="S1332" s="15" t="n">
        <x:f>IF(E1332=0,"해당 없음",K1332/E1332)</x:f>
        <x:v>0.04854368932038835</x:v>
      </x:c>
      <x:c r="T1332" s="15" t="n">
        <x:f>IF(E1332=0,"해당 없음",L1332/E1332)</x:f>
        <x:v>0.2912621359223301</x:v>
      </x:c>
      <x:c r="U1332" s="15" t="n">
        <x:f>IF(E1332=0,"해당 없음",M1332/E1332)</x:f>
        <x:v>0.3592233009708738</x:v>
      </x:c>
      <x:c r="V1332" s="16" t="n">
        <x:f>E1332/5</x:f>
        <x:v>20.6</x:v>
      </x:c>
    </x:row>
    <x:row r="1333" ht="22" customHeight="1">
      <x:c r="A1333" s="2" t="n">
        <x:v>664</x:v>
      </x:c>
      <x:c r="B1333" s="2" t="str">
        <x:v>NAVY</x:v>
      </x:c>
      <x:c r="C1333" s="2" t="str">
        <x:v>40만</x:v>
      </x:c>
      <x:c r="D1333" s="2" t="str">
        <x:v>200만</x:v>
      </x:c>
      <x:c r="E1333" s="14" t="n">
        <x:f>SUM(F1333:M1333)</x:f>
        <x:v>104</x:v>
      </x:c>
      <x:c r="F1333" s="14" t="n">
        <x:v>5</x:v>
      </x:c>
      <x:c r="G1333" s="14" t="n">
        <x:v>31</x:v>
      </x:c>
      <x:c r="H1333" s="14" t="n">
        <x:v>9</x:v>
      </x:c>
      <x:c r="I1333" s="14" t="n">
        <x:v>5</x:v>
      </x:c>
      <x:c r="J1333" s="14" t="n">
        <x:v>3</x:v>
      </x:c>
      <x:c r="K1333" s="14" t="n">
        <x:v>9</x:v>
      </x:c>
      <x:c r="L1333" s="14" t="n">
        <x:v>39</x:v>
      </x:c>
      <x:c r="M1333" s="14" t="n">
        <x:v>3</x:v>
      </x:c>
      <x:c r="N1333" s="15" t="n">
        <x:f>IF(E1333=0,"해당 없음",F1333/E1333)</x:f>
        <x:v>0.04807692307692308</x:v>
      </x:c>
      <x:c r="O1333" s="15" t="n">
        <x:f>IF(E1333=0,"해당 없음",G1333/E1333)</x:f>
        <x:v>0.2980769230769231</x:v>
      </x:c>
      <x:c r="P1333" s="15" t="n">
        <x:f>IF(E1333=0,"해당 없음",H1333/E1333)</x:f>
        <x:v>0.08653846153846154</x:v>
      </x:c>
      <x:c r="Q1333" s="15" t="n">
        <x:f>IF(E1333=0,"해당 없음",I1333/E1333)</x:f>
        <x:v>0.04807692307692308</x:v>
      </x:c>
      <x:c r="R1333" s="15" t="n">
        <x:f>IF(E1333=0,"해당 없음",J1333/E1333)</x:f>
        <x:v>0.028846153846153848</x:v>
      </x:c>
      <x:c r="S1333" s="15" t="n">
        <x:f>IF(E1333=0,"해당 없음",K1333/E1333)</x:f>
        <x:v>0.08653846153846154</x:v>
      </x:c>
      <x:c r="T1333" s="15" t="n">
        <x:f>IF(E1333=0,"해당 없음",L1333/E1333)</x:f>
        <x:v>0.375</x:v>
      </x:c>
      <x:c r="U1333" s="15" t="n">
        <x:f>IF(E1333=0,"해당 없음",M1333/E1333)</x:f>
        <x:v>0.028846153846153848</x:v>
      </x:c>
      <x:c r="V1333" s="16" t="n">
        <x:f>E1333/5</x:f>
        <x:v>20.8</x:v>
      </x:c>
    </x:row>
    <x:row r="1334" ht="22" customHeight="1">
      <x:c r="A1334" s="2" t="n">
        <x:v>665</x:v>
      </x:c>
      <x:c r="B1334" s="2" t="str">
        <x:v>RED</x:v>
      </x:c>
      <x:c r="C1334" s="2" t="str">
        <x:v>40만</x:v>
      </x:c>
      <x:c r="D1334" s="2" t="str">
        <x:v>200만</x:v>
      </x:c>
      <x:c r="E1334" s="14" t="n">
        <x:f>SUM(F1334:M1334)</x:f>
        <x:v>105</x:v>
      </x:c>
      <x:c r="F1334" s="14" t="n">
        <x:v>4</x:v>
      </x:c>
      <x:c r="G1334" s="14" t="n">
        <x:v>27</x:v>
      </x:c>
      <x:c r="H1334" s="14" t="n">
        <x:v>5</x:v>
      </x:c>
      <x:c r="I1334" s="14" t="n">
        <x:v>5</x:v>
      </x:c>
      <x:c r="J1334" s="14" t="n">
        <x:v>12</x:v>
      </x:c>
      <x:c r="K1334" s="14" t="n">
        <x:v>7</x:v>
      </x:c>
      <x:c r="L1334" s="14" t="n">
        <x:v>43</x:v>
      </x:c>
      <x:c r="M1334" s="14" t="n">
        <x:v>2</x:v>
      </x:c>
      <x:c r="N1334" s="15" t="n">
        <x:f>IF(E1334=0,"해당 없음",F1334/E1334)</x:f>
        <x:v>0.0380952380952381</x:v>
      </x:c>
      <x:c r="O1334" s="15" t="n">
        <x:f>IF(E1334=0,"해당 없음",G1334/E1334)</x:f>
        <x:v>0.2571428571428571</x:v>
      </x:c>
      <x:c r="P1334" s="15" t="n">
        <x:f>IF(E1334=0,"해당 없음",H1334/E1334)</x:f>
        <x:v>0.047619047619047616</x:v>
      </x:c>
      <x:c r="Q1334" s="15" t="n">
        <x:f>IF(E1334=0,"해당 없음",I1334/E1334)</x:f>
        <x:v>0.047619047619047616</x:v>
      </x:c>
      <x:c r="R1334" s="15" t="n">
        <x:f>IF(E1334=0,"해당 없음",J1334/E1334)</x:f>
        <x:v>0.11428571428571428</x:v>
      </x:c>
      <x:c r="S1334" s="15" t="n">
        <x:f>IF(E1334=0,"해당 없음",K1334/E1334)</x:f>
        <x:v>0.06666666666666667</x:v>
      </x:c>
      <x:c r="T1334" s="15" t="n">
        <x:f>IF(E1334=0,"해당 없음",L1334/E1334)</x:f>
        <x:v>0.4095238095238095</x:v>
      </x:c>
      <x:c r="U1334" s="15" t="n">
        <x:f>IF(E1334=0,"해당 없음",M1334/E1334)</x:f>
        <x:v>0.01904761904761905</x:v>
      </x:c>
      <x:c r="V1334" s="16" t="n">
        <x:f>E1334/5</x:f>
        <x:v>21</x:v>
      </x:c>
    </x:row>
    <x:row r="1335" ht="22" customHeight="1">
      <x:c r="A1335" s="2" t="n">
        <x:v>665</x:v>
      </x:c>
      <x:c r="B1335" s="2" t="str">
        <x:v>NAVY</x:v>
      </x:c>
      <x:c r="C1335" s="2" t="str">
        <x:v>200만</x:v>
      </x:c>
      <x:c r="D1335" s="2" t="str">
        <x:v>40만</x:v>
      </x:c>
      <x:c r="E1335" s="14" t="n">
        <x:f>SUM(F1335:M1335)</x:f>
        <x:v>105</x:v>
      </x:c>
      <x:c r="F1335" s="14" t="n">
        <x:v>4</x:v>
      </x:c>
      <x:c r="G1335" s="14" t="n">
        <x:v>19</x:v>
      </x:c>
      <x:c r="H1335" s="14" t="n">
        <x:v>5</x:v>
      </x:c>
      <x:c r="I1335" s="14" t="n">
        <x:v>2</x:v>
      </x:c>
      <x:c r="J1335" s="14" t="n">
        <x:v>5</x:v>
      </x:c>
      <x:c r="K1335" s="14" t="n">
        <x:v>3</x:v>
      </x:c>
      <x:c r="L1335" s="14" t="n">
        <x:v>37</x:v>
      </x:c>
      <x:c r="M1335" s="14" t="n">
        <x:v>30</x:v>
      </x:c>
      <x:c r="N1335" s="15" t="n">
        <x:f>IF(E1335=0,"해당 없음",F1335/E1335)</x:f>
        <x:v>0.0380952380952381</x:v>
      </x:c>
      <x:c r="O1335" s="15" t="n">
        <x:f>IF(E1335=0,"해당 없음",G1335/E1335)</x:f>
        <x:v>0.18095238095238095</x:v>
      </x:c>
      <x:c r="P1335" s="15" t="n">
        <x:f>IF(E1335=0,"해당 없음",H1335/E1335)</x:f>
        <x:v>0.047619047619047616</x:v>
      </x:c>
      <x:c r="Q1335" s="15" t="n">
        <x:f>IF(E1335=0,"해당 없음",I1335/E1335)</x:f>
        <x:v>0.01904761904761905</x:v>
      </x:c>
      <x:c r="R1335" s="15" t="n">
        <x:f>IF(E1335=0,"해당 없음",J1335/E1335)</x:f>
        <x:v>0.047619047619047616</x:v>
      </x:c>
      <x:c r="S1335" s="15" t="n">
        <x:f>IF(E1335=0,"해당 없음",K1335/E1335)</x:f>
        <x:v>0.02857142857142857</x:v>
      </x:c>
      <x:c r="T1335" s="15" t="n">
        <x:f>IF(E1335=0,"해당 없음",L1335/E1335)</x:f>
        <x:v>0.3523809523809524</x:v>
      </x:c>
      <x:c r="U1335" s="15" t="n">
        <x:f>IF(E1335=0,"해당 없음",M1335/E1335)</x:f>
        <x:v>0.2857142857142857</x:v>
      </x:c>
      <x:c r="V1335" s="16" t="n">
        <x:f>E1335/5</x:f>
        <x:v>21</x:v>
      </x:c>
    </x:row>
    <x:row r="1336" ht="22" customHeight="1">
      <x:c r="A1336" s="2" t="n">
        <x:v>666</x:v>
      </x:c>
      <x:c r="B1336" s="2" t="str">
        <x:v>RED</x:v>
      </x:c>
      <x:c r="C1336" s="2" t="str">
        <x:v>200만</x:v>
      </x:c>
      <x:c r="D1336" s="2" t="str">
        <x:v>40만</x:v>
      </x:c>
      <x:c r="E1336" s="14" t="n">
        <x:f>SUM(F1336:M1336)</x:f>
        <x:v>102</x:v>
      </x:c>
      <x:c r="F1336" s="14" t="n">
        <x:v>7</x:v>
      </x:c>
      <x:c r="G1336" s="14" t="n">
        <x:v>9</x:v>
      </x:c>
      <x:c r="H1336" s="14" t="n">
        <x:v>2</x:v>
      </x:c>
      <x:c r="I1336" s="14" t="n">
        <x:v>11</x:v>
      </x:c>
      <x:c r="J1336" s="14" t="n">
        <x:v>1</x:v>
      </x:c>
      <x:c r="K1336" s="14" t="n">
        <x:v>2</x:v>
      </x:c>
      <x:c r="L1336" s="14" t="n">
        <x:v>31</x:v>
      </x:c>
      <x:c r="M1336" s="14" t="n">
        <x:v>39</x:v>
      </x:c>
      <x:c r="N1336" s="15" t="n">
        <x:f>IF(E1336=0,"해당 없음",F1336/E1336)</x:f>
        <x:v>0.06862745098039216</x:v>
      </x:c>
      <x:c r="O1336" s="15" t="n">
        <x:f>IF(E1336=0,"해당 없음",G1336/E1336)</x:f>
        <x:v>0.08823529411764706</x:v>
      </x:c>
      <x:c r="P1336" s="15" t="n">
        <x:f>IF(E1336=0,"해당 없음",H1336/E1336)</x:f>
        <x:v>0.0196078431372549</x:v>
      </x:c>
      <x:c r="Q1336" s="15" t="n">
        <x:f>IF(E1336=0,"해당 없음",I1336/E1336)</x:f>
        <x:v>0.10784313725490197</x:v>
      </x:c>
      <x:c r="R1336" s="15" t="n">
        <x:f>IF(E1336=0,"해당 없음",J1336/E1336)</x:f>
        <x:v>0.00980392156862745</x:v>
      </x:c>
      <x:c r="S1336" s="15" t="n">
        <x:f>IF(E1336=0,"해당 없음",K1336/E1336)</x:f>
        <x:v>0.0196078431372549</x:v>
      </x:c>
      <x:c r="T1336" s="15" t="n">
        <x:f>IF(E1336=0,"해당 없음",L1336/E1336)</x:f>
        <x:v>0.30392156862745096</x:v>
      </x:c>
      <x:c r="U1336" s="15" t="n">
        <x:f>IF(E1336=0,"해당 없음",M1336/E1336)</x:f>
        <x:v>0.38235294117647056</x:v>
      </x:c>
      <x:c r="V1336" s="16" t="n">
        <x:f>E1336/5</x:f>
        <x:v>20.4</x:v>
      </x:c>
    </x:row>
    <x:row r="1337" ht="22" customHeight="1">
      <x:c r="A1337" s="2" t="n">
        <x:v>666</x:v>
      </x:c>
      <x:c r="B1337" s="2" t="str">
        <x:v>NAVY</x:v>
      </x:c>
      <x:c r="C1337" s="2" t="str">
        <x:v>40만</x:v>
      </x:c>
      <x:c r="D1337" s="2" t="str">
        <x:v>200만</x:v>
      </x:c>
      <x:c r="E1337" s="14" t="n">
        <x:f>SUM(F1337:M1337)</x:f>
        <x:v>102</x:v>
      </x:c>
      <x:c r="F1337" s="14" t="n">
        <x:v>5</x:v>
      </x:c>
      <x:c r="G1337" s="14" t="n">
        <x:v>25</x:v>
      </x:c>
      <x:c r="H1337" s="14" t="n">
        <x:v>6</x:v>
      </x:c>
      <x:c r="I1337" s="14" t="n">
        <x:v>6</x:v>
      </x:c>
      <x:c r="J1337" s="14" t="n">
        <x:v>9</x:v>
      </x:c>
      <x:c r="K1337" s="14" t="n">
        <x:v>14</x:v>
      </x:c>
      <x:c r="L1337" s="14" t="n">
        <x:v>36</x:v>
      </x:c>
      <x:c r="M1337" s="14" t="n">
        <x:v>1</x:v>
      </x:c>
      <x:c r="N1337" s="15" t="n">
        <x:f>IF(E1337=0,"해당 없음",F1337/E1337)</x:f>
        <x:v>0.049019607843137254</x:v>
      </x:c>
      <x:c r="O1337" s="15" t="n">
        <x:f>IF(E1337=0,"해당 없음",G1337/E1337)</x:f>
        <x:v>0.24509803921568626</x:v>
      </x:c>
      <x:c r="P1337" s="15" t="n">
        <x:f>IF(E1337=0,"해당 없음",H1337/E1337)</x:f>
        <x:v>0.058823529411764705</x:v>
      </x:c>
      <x:c r="Q1337" s="15" t="n">
        <x:f>IF(E1337=0,"해당 없음",I1337/E1337)</x:f>
        <x:v>0.058823529411764705</x:v>
      </x:c>
      <x:c r="R1337" s="15" t="n">
        <x:f>IF(E1337=0,"해당 없음",J1337/E1337)</x:f>
        <x:v>0.08823529411764706</x:v>
      </x:c>
      <x:c r="S1337" s="15" t="n">
        <x:f>IF(E1337=0,"해당 없음",K1337/E1337)</x:f>
        <x:v>0.13725490196078433</x:v>
      </x:c>
      <x:c r="T1337" s="15" t="n">
        <x:f>IF(E1337=0,"해당 없음",L1337/E1337)</x:f>
        <x:v>0.35294117647058826</x:v>
      </x:c>
      <x:c r="U1337" s="15" t="n">
        <x:f>IF(E1337=0,"해당 없음",M1337/E1337)</x:f>
        <x:v>0.00980392156862745</x:v>
      </x:c>
      <x:c r="V1337" s="16" t="n">
        <x:f>E1337/5</x:f>
        <x:v>20.4</x:v>
      </x:c>
    </x:row>
    <x:row r="1338" ht="22" customHeight="1">
      <x:c r="A1338" s="2" t="n">
        <x:v>667</x:v>
      </x:c>
      <x:c r="B1338" s="2" t="str">
        <x:v>RED</x:v>
      </x:c>
      <x:c r="C1338" s="2" t="str">
        <x:v>40만</x:v>
      </x:c>
      <x:c r="D1338" s="2" t="str">
        <x:v>200만</x:v>
      </x:c>
      <x:c r="E1338" s="14" t="n">
        <x:f>SUM(F1338:M1338)</x:f>
        <x:v>104</x:v>
      </x:c>
      <x:c r="F1338" s="14" t="n">
        <x:v>1</x:v>
      </x:c>
      <x:c r="G1338" s="14" t="n">
        <x:v>24</x:v>
      </x:c>
      <x:c r="H1338" s="14" t="n">
        <x:v>7</x:v>
      </x:c>
      <x:c r="I1338" s="14" t="n">
        <x:v>8</x:v>
      </x:c>
      <x:c r="J1338" s="14" t="n">
        <x:v>4</x:v>
      </x:c>
      <x:c r="K1338" s="14" t="n">
        <x:v>11</x:v>
      </x:c>
      <x:c r="L1338" s="14" t="n">
        <x:v>43</x:v>
      </x:c>
      <x:c r="M1338" s="14" t="n">
        <x:v>6</x:v>
      </x:c>
      <x:c r="N1338" s="15" t="n">
        <x:f>IF(E1338=0,"해당 없음",F1338/E1338)</x:f>
        <x:v>0.009615384615384616</x:v>
      </x:c>
      <x:c r="O1338" s="15" t="n">
        <x:f>IF(E1338=0,"해당 없음",G1338/E1338)</x:f>
        <x:v>0.23076923076923078</x:v>
      </x:c>
      <x:c r="P1338" s="15" t="n">
        <x:f>IF(E1338=0,"해당 없음",H1338/E1338)</x:f>
        <x:v>0.0673076923076923</x:v>
      </x:c>
      <x:c r="Q1338" s="15" t="n">
        <x:f>IF(E1338=0,"해당 없음",I1338/E1338)</x:f>
        <x:v>0.07692307692307693</x:v>
      </x:c>
      <x:c r="R1338" s="15" t="n">
        <x:f>IF(E1338=0,"해당 없음",J1338/E1338)</x:f>
        <x:v>0.038461538461538464</x:v>
      </x:c>
      <x:c r="S1338" s="15" t="n">
        <x:f>IF(E1338=0,"해당 없음",K1338/E1338)</x:f>
        <x:v>0.10576923076923077</x:v>
      </x:c>
      <x:c r="T1338" s="15" t="n">
        <x:f>IF(E1338=0,"해당 없음",L1338/E1338)</x:f>
        <x:v>0.41346153846153844</x:v>
      </x:c>
      <x:c r="U1338" s="15" t="n">
        <x:f>IF(E1338=0,"해당 없음",M1338/E1338)</x:f>
        <x:v>0.057692307692307696</x:v>
      </x:c>
      <x:c r="V1338" s="16" t="n">
        <x:f>E1338/5</x:f>
        <x:v>20.8</x:v>
      </x:c>
    </x:row>
    <x:row r="1339" ht="22" customHeight="1">
      <x:c r="A1339" s="2" t="n">
        <x:v>667</x:v>
      </x:c>
      <x:c r="B1339" s="2" t="str">
        <x:v>NAVY</x:v>
      </x:c>
      <x:c r="C1339" s="2" t="str">
        <x:v>200만</x:v>
      </x:c>
      <x:c r="D1339" s="2" t="str">
        <x:v>40만</x:v>
      </x:c>
      <x:c r="E1339" s="14" t="n">
        <x:f>SUM(F1339:M1339)</x:f>
        <x:v>105</x:v>
      </x:c>
      <x:c r="F1339" s="14" t="n">
        <x:v>4</x:v>
      </x:c>
      <x:c r="G1339" s="14" t="n">
        <x:v>16</x:v>
      </x:c>
      <x:c r="H1339" s="14" t="n">
        <x:v>0</x:v>
      </x:c>
      <x:c r="I1339" s="14" t="n">
        <x:v>4</x:v>
      </x:c>
      <x:c r="J1339" s="14" t="n">
        <x:v>3</x:v>
      </x:c>
      <x:c r="K1339" s="14" t="n">
        <x:v>6</x:v>
      </x:c>
      <x:c r="L1339" s="14" t="n">
        <x:v>32</x:v>
      </x:c>
      <x:c r="M1339" s="14" t="n">
        <x:v>40</x:v>
      </x:c>
      <x:c r="N1339" s="15" t="n">
        <x:f>IF(E1339=0,"해당 없음",F1339/E1339)</x:f>
        <x:v>0.0380952380952381</x:v>
      </x:c>
      <x:c r="O1339" s="15" t="n">
        <x:f>IF(E1339=0,"해당 없음",G1339/E1339)</x:f>
        <x:v>0.1523809523809524</x:v>
      </x:c>
      <x:c r="P1339" s="15" t="n">
        <x:f>IF(E1339=0,"해당 없음",H1339/E1339)</x:f>
        <x:v>0</x:v>
      </x:c>
      <x:c r="Q1339" s="15" t="n">
        <x:f>IF(E1339=0,"해당 없음",I1339/E1339)</x:f>
        <x:v>0.0380952380952381</x:v>
      </x:c>
      <x:c r="R1339" s="15" t="n">
        <x:f>IF(E1339=0,"해당 없음",J1339/E1339)</x:f>
        <x:v>0.02857142857142857</x:v>
      </x:c>
      <x:c r="S1339" s="15" t="n">
        <x:f>IF(E1339=0,"해당 없음",K1339/E1339)</x:f>
        <x:v>0.05714285714285714</x:v>
      </x:c>
      <x:c r="T1339" s="15" t="n">
        <x:f>IF(E1339=0,"해당 없음",L1339/E1339)</x:f>
        <x:v>0.3047619047619048</x:v>
      </x:c>
      <x:c r="U1339" s="15" t="n">
        <x:f>IF(E1339=0,"해당 없음",M1339/E1339)</x:f>
        <x:v>0.38095238095238093</x:v>
      </x:c>
      <x:c r="V1339" s="16" t="n">
        <x:f>E1339/5</x:f>
        <x:v>21</x:v>
      </x:c>
    </x:row>
    <x:row r="1340" ht="22" customHeight="1">
      <x:c r="A1340" s="2" t="n">
        <x:v>668</x:v>
      </x:c>
      <x:c r="B1340" s="2" t="str">
        <x:v>RED</x:v>
      </x:c>
      <x:c r="C1340" s="2" t="str">
        <x:v>200만</x:v>
      </x:c>
      <x:c r="D1340" s="2" t="str">
        <x:v>40만</x:v>
      </x:c>
      <x:c r="E1340" s="14" t="n">
        <x:f>SUM(F1340:M1340)</x:f>
        <x:v>101</x:v>
      </x:c>
      <x:c r="F1340" s="14" t="n">
        <x:v>1</x:v>
      </x:c>
      <x:c r="G1340" s="14" t="n">
        <x:v>18</x:v>
      </x:c>
      <x:c r="H1340" s="14" t="n">
        <x:v>3</x:v>
      </x:c>
      <x:c r="I1340" s="14" t="n">
        <x:v>4</x:v>
      </x:c>
      <x:c r="J1340" s="14" t="n">
        <x:v>0</x:v>
      </x:c>
      <x:c r="K1340" s="14" t="n">
        <x:v>4</x:v>
      </x:c>
      <x:c r="L1340" s="14" t="n">
        <x:v>33</x:v>
      </x:c>
      <x:c r="M1340" s="14" t="n">
        <x:v>38</x:v>
      </x:c>
      <x:c r="N1340" s="15" t="n">
        <x:f>IF(E1340=0,"해당 없음",F1340/E1340)</x:f>
        <x:v>0.009900990099009901</x:v>
      </x:c>
      <x:c r="O1340" s="15" t="n">
        <x:f>IF(E1340=0,"해당 없음",G1340/E1340)</x:f>
        <x:v>0.1782178217821782</x:v>
      </x:c>
      <x:c r="P1340" s="15" t="n">
        <x:f>IF(E1340=0,"해당 없음",H1340/E1340)</x:f>
        <x:v>0.0297029702970297</x:v>
      </x:c>
      <x:c r="Q1340" s="15" t="n">
        <x:f>IF(E1340=0,"해당 없음",I1340/E1340)</x:f>
        <x:v>0.039603960396039604</x:v>
      </x:c>
      <x:c r="R1340" s="15" t="n">
        <x:f>IF(E1340=0,"해당 없음",J1340/E1340)</x:f>
        <x:v>0</x:v>
      </x:c>
      <x:c r="S1340" s="15" t="n">
        <x:f>IF(E1340=0,"해당 없음",K1340/E1340)</x:f>
        <x:v>0.039603960396039604</x:v>
      </x:c>
      <x:c r="T1340" s="15" t="n">
        <x:f>IF(E1340=0,"해당 없음",L1340/E1340)</x:f>
        <x:v>0.32673267326732675</x:v>
      </x:c>
      <x:c r="U1340" s="15" t="n">
        <x:f>IF(E1340=0,"해당 없음",M1340/E1340)</x:f>
        <x:v>0.37623762376237624</x:v>
      </x:c>
      <x:c r="V1340" s="16" t="n">
        <x:f>E1340/5</x:f>
        <x:v>20.2</x:v>
      </x:c>
    </x:row>
    <x:row r="1341" ht="22" customHeight="1">
      <x:c r="A1341" s="2" t="n">
        <x:v>668</x:v>
      </x:c>
      <x:c r="B1341" s="2" t="str">
        <x:v>NAVY</x:v>
      </x:c>
      <x:c r="C1341" s="2" t="str">
        <x:v>40만</x:v>
      </x:c>
      <x:c r="D1341" s="2" t="str">
        <x:v>200만</x:v>
      </x:c>
      <x:c r="E1341" s="14" t="n">
        <x:f>SUM(F1341:M1341)</x:f>
        <x:v>101</x:v>
      </x:c>
      <x:c r="F1341" s="14" t="n">
        <x:v>3</x:v>
      </x:c>
      <x:c r="G1341" s="14" t="n">
        <x:v>25</x:v>
      </x:c>
      <x:c r="H1341" s="14" t="n">
        <x:v>6</x:v>
      </x:c>
      <x:c r="I1341" s="14" t="n">
        <x:v>12</x:v>
      </x:c>
      <x:c r="J1341" s="14" t="n">
        <x:v>8</x:v>
      </x:c>
      <x:c r="K1341" s="14" t="n">
        <x:v>6</x:v>
      </x:c>
      <x:c r="L1341" s="14" t="n">
        <x:v>33</x:v>
      </x:c>
      <x:c r="M1341" s="14" t="n">
        <x:v>8</x:v>
      </x:c>
      <x:c r="N1341" s="15" t="n">
        <x:f>IF(E1341=0,"해당 없음",F1341/E1341)</x:f>
        <x:v>0.0297029702970297</x:v>
      </x:c>
      <x:c r="O1341" s="15" t="n">
        <x:f>IF(E1341=0,"해당 없음",G1341/E1341)</x:f>
        <x:v>0.24752475247524752</x:v>
      </x:c>
      <x:c r="P1341" s="15" t="n">
        <x:f>IF(E1341=0,"해당 없음",H1341/E1341)</x:f>
        <x:v>0.0594059405940594</x:v>
      </x:c>
      <x:c r="Q1341" s="15" t="n">
        <x:f>IF(E1341=0,"해당 없음",I1341/E1341)</x:f>
        <x:v>0.1188118811881188</x:v>
      </x:c>
      <x:c r="R1341" s="15" t="n">
        <x:f>IF(E1341=0,"해당 없음",J1341/E1341)</x:f>
        <x:v>0.07920792079207921</x:v>
      </x:c>
      <x:c r="S1341" s="15" t="n">
        <x:f>IF(E1341=0,"해당 없음",K1341/E1341)</x:f>
        <x:v>0.0594059405940594</x:v>
      </x:c>
      <x:c r="T1341" s="15" t="n">
        <x:f>IF(E1341=0,"해당 없음",L1341/E1341)</x:f>
        <x:v>0.32673267326732675</x:v>
      </x:c>
      <x:c r="U1341" s="15" t="n">
        <x:f>IF(E1341=0,"해당 없음",M1341/E1341)</x:f>
        <x:v>0.07920792079207921</x:v>
      </x:c>
      <x:c r="V1341" s="16" t="n">
        <x:f>E1341/5</x:f>
        <x:v>20.2</x:v>
      </x:c>
    </x:row>
    <x:row r="1342" ht="22" customHeight="1">
      <x:c r="A1342" s="2" t="n">
        <x:v>669</x:v>
      </x:c>
      <x:c r="B1342" s="2" t="str">
        <x:v>RED</x:v>
      </x:c>
      <x:c r="C1342" s="2" t="str">
        <x:v>40만</x:v>
      </x:c>
      <x:c r="D1342" s="2" t="str">
        <x:v>200만</x:v>
      </x:c>
      <x:c r="E1342" s="14" t="n">
        <x:f>SUM(F1342:M1342)</x:f>
        <x:v>98</x:v>
      </x:c>
      <x:c r="F1342" s="14" t="n">
        <x:v>5</x:v>
      </x:c>
      <x:c r="G1342" s="14" t="n">
        <x:v>30</x:v>
      </x:c>
      <x:c r="H1342" s="14" t="n">
        <x:v>5</x:v>
      </x:c>
      <x:c r="I1342" s="14" t="n">
        <x:v>6</x:v>
      </x:c>
      <x:c r="J1342" s="14" t="n">
        <x:v>7</x:v>
      </x:c>
      <x:c r="K1342" s="14" t="n">
        <x:v>5</x:v>
      </x:c>
      <x:c r="L1342" s="14" t="n">
        <x:v>37</x:v>
      </x:c>
      <x:c r="M1342" s="14" t="n">
        <x:v>3</x:v>
      </x:c>
      <x:c r="N1342" s="15" t="n">
        <x:f>IF(E1342=0,"해당 없음",F1342/E1342)</x:f>
        <x:v>0.05102040816326531</x:v>
      </x:c>
      <x:c r="O1342" s="15" t="n">
        <x:f>IF(E1342=0,"해당 없음",G1342/E1342)</x:f>
        <x:v>0.30612244897959184</x:v>
      </x:c>
      <x:c r="P1342" s="15" t="n">
        <x:f>IF(E1342=0,"해당 없음",H1342/E1342)</x:f>
        <x:v>0.05102040816326531</x:v>
      </x:c>
      <x:c r="Q1342" s="15" t="n">
        <x:f>IF(E1342=0,"해당 없음",I1342/E1342)</x:f>
        <x:v>0.061224489795918366</x:v>
      </x:c>
      <x:c r="R1342" s="15" t="n">
        <x:f>IF(E1342=0,"해당 없음",J1342/E1342)</x:f>
        <x:v>0.07142857142857142</x:v>
      </x:c>
      <x:c r="S1342" s="15" t="n">
        <x:f>IF(E1342=0,"해당 없음",K1342/E1342)</x:f>
        <x:v>0.05102040816326531</x:v>
      </x:c>
      <x:c r="T1342" s="15" t="n">
        <x:f>IF(E1342=0,"해당 없음",L1342/E1342)</x:f>
        <x:v>0.37755102040816324</x:v>
      </x:c>
      <x:c r="U1342" s="15" t="n">
        <x:f>IF(E1342=0,"해당 없음",M1342/E1342)</x:f>
        <x:v>0.030612244897959183</x:v>
      </x:c>
      <x:c r="V1342" s="16" t="n">
        <x:f>E1342/5</x:f>
        <x:v>19.6</x:v>
      </x:c>
    </x:row>
    <x:row r="1343" ht="22" customHeight="1">
      <x:c r="A1343" s="2" t="n">
        <x:v>669</x:v>
      </x:c>
      <x:c r="B1343" s="2" t="str">
        <x:v>NAVY</x:v>
      </x:c>
      <x:c r="C1343" s="2" t="str">
        <x:v>200만</x:v>
      </x:c>
      <x:c r="D1343" s="2" t="str">
        <x:v>40만</x:v>
      </x:c>
      <x:c r="E1343" s="14" t="n">
        <x:f>SUM(F1343:M1343)</x:f>
        <x:v>102</x:v>
      </x:c>
      <x:c r="F1343" s="14" t="n">
        <x:v>6</x:v>
      </x:c>
      <x:c r="G1343" s="14" t="n">
        <x:v>26</x:v>
      </x:c>
      <x:c r="H1343" s="14" t="n">
        <x:v>2</x:v>
      </x:c>
      <x:c r="I1343" s="14" t="n">
        <x:v>2</x:v>
      </x:c>
      <x:c r="J1343" s="14" t="n">
        <x:v>2</x:v>
      </x:c>
      <x:c r="K1343" s="14" t="n">
        <x:v>7</x:v>
      </x:c>
      <x:c r="L1343" s="14" t="n">
        <x:v>31</x:v>
      </x:c>
      <x:c r="M1343" s="14" t="n">
        <x:v>26</x:v>
      </x:c>
      <x:c r="N1343" s="15" t="n">
        <x:f>IF(E1343=0,"해당 없음",F1343/E1343)</x:f>
        <x:v>0.058823529411764705</x:v>
      </x:c>
      <x:c r="O1343" s="15" t="n">
        <x:f>IF(E1343=0,"해당 없음",G1343/E1343)</x:f>
        <x:v>0.2549019607843137</x:v>
      </x:c>
      <x:c r="P1343" s="15" t="n">
        <x:f>IF(E1343=0,"해당 없음",H1343/E1343)</x:f>
        <x:v>0.0196078431372549</x:v>
      </x:c>
      <x:c r="Q1343" s="15" t="n">
        <x:f>IF(E1343=0,"해당 없음",I1343/E1343)</x:f>
        <x:v>0.0196078431372549</x:v>
      </x:c>
      <x:c r="R1343" s="15" t="n">
        <x:f>IF(E1343=0,"해당 없음",J1343/E1343)</x:f>
        <x:v>0.0196078431372549</x:v>
      </x:c>
      <x:c r="S1343" s="15" t="n">
        <x:f>IF(E1343=0,"해당 없음",K1343/E1343)</x:f>
        <x:v>0.06862745098039216</x:v>
      </x:c>
      <x:c r="T1343" s="15" t="n">
        <x:f>IF(E1343=0,"해당 없음",L1343/E1343)</x:f>
        <x:v>0.30392156862745096</x:v>
      </x:c>
      <x:c r="U1343" s="15" t="n">
        <x:f>IF(E1343=0,"해당 없음",M1343/E1343)</x:f>
        <x:v>0.2549019607843137</x:v>
      </x:c>
      <x:c r="V1343" s="16" t="n">
        <x:f>E1343/5</x:f>
        <x:v>20.4</x:v>
      </x:c>
    </x:row>
    <x:row r="1344" ht="22" customHeight="1">
      <x:c r="A1344" s="2" t="n">
        <x:v>670</x:v>
      </x:c>
      <x:c r="B1344" s="2" t="str">
        <x:v>RED</x:v>
      </x:c>
      <x:c r="C1344" s="2" t="str">
        <x:v>200만</x:v>
      </x:c>
      <x:c r="D1344" s="2" t="str">
        <x:v>40만</x:v>
      </x:c>
      <x:c r="E1344" s="14" t="n">
        <x:f>SUM(F1344:M1344)</x:f>
        <x:v>105</x:v>
      </x:c>
      <x:c r="F1344" s="14" t="n">
        <x:v>3</x:v>
      </x:c>
      <x:c r="G1344" s="14" t="n">
        <x:v>14</x:v>
      </x:c>
      <x:c r="H1344" s="14" t="n">
        <x:v>4</x:v>
      </x:c>
      <x:c r="I1344" s="14" t="n">
        <x:v>3</x:v>
      </x:c>
      <x:c r="J1344" s="14" t="n">
        <x:v>2</x:v>
      </x:c>
      <x:c r="K1344" s="14" t="n">
        <x:v>2</x:v>
      </x:c>
      <x:c r="L1344" s="14" t="n">
        <x:v>40</x:v>
      </x:c>
      <x:c r="M1344" s="14" t="n">
        <x:v>37</x:v>
      </x:c>
      <x:c r="N1344" s="15" t="n">
        <x:f>IF(E1344=0,"해당 없음",F1344/E1344)</x:f>
        <x:v>0.02857142857142857</x:v>
      </x:c>
      <x:c r="O1344" s="15" t="n">
        <x:f>IF(E1344=0,"해당 없음",G1344/E1344)</x:f>
        <x:v>0.13333333333333333</x:v>
      </x:c>
      <x:c r="P1344" s="15" t="n">
        <x:f>IF(E1344=0,"해당 없음",H1344/E1344)</x:f>
        <x:v>0.0380952380952381</x:v>
      </x:c>
      <x:c r="Q1344" s="15" t="n">
        <x:f>IF(E1344=0,"해당 없음",I1344/E1344)</x:f>
        <x:v>0.02857142857142857</x:v>
      </x:c>
      <x:c r="R1344" s="15" t="n">
        <x:f>IF(E1344=0,"해당 없음",J1344/E1344)</x:f>
        <x:v>0.01904761904761905</x:v>
      </x:c>
      <x:c r="S1344" s="15" t="n">
        <x:f>IF(E1344=0,"해당 없음",K1344/E1344)</x:f>
        <x:v>0.01904761904761905</x:v>
      </x:c>
      <x:c r="T1344" s="15" t="n">
        <x:f>IF(E1344=0,"해당 없음",L1344/E1344)</x:f>
        <x:v>0.38095238095238093</x:v>
      </x:c>
      <x:c r="U1344" s="15" t="n">
        <x:f>IF(E1344=0,"해당 없음",M1344/E1344)</x:f>
        <x:v>0.3523809523809524</x:v>
      </x:c>
      <x:c r="V1344" s="16" t="n">
        <x:f>E1344/5</x:f>
        <x:v>21</x:v>
      </x:c>
    </x:row>
    <x:row r="1345" ht="22" customHeight="1">
      <x:c r="A1345" s="2" t="n">
        <x:v>670</x:v>
      </x:c>
      <x:c r="B1345" s="2" t="str">
        <x:v>NAVY</x:v>
      </x:c>
      <x:c r="C1345" s="2" t="str">
        <x:v>40만</x:v>
      </x:c>
      <x:c r="D1345" s="2" t="str">
        <x:v>200만</x:v>
      </x:c>
      <x:c r="E1345" s="14" t="n">
        <x:f>SUM(F1345:M1345)</x:f>
        <x:v>105</x:v>
      </x:c>
      <x:c r="F1345" s="14" t="n">
        <x:v>4</x:v>
      </x:c>
      <x:c r="G1345" s="14" t="n">
        <x:v>26</x:v>
      </x:c>
      <x:c r="H1345" s="14" t="n">
        <x:v>7</x:v>
      </x:c>
      <x:c r="I1345" s="14" t="n">
        <x:v>8</x:v>
      </x:c>
      <x:c r="J1345" s="14" t="n">
        <x:v>3</x:v>
      </x:c>
      <x:c r="K1345" s="14" t="n">
        <x:v>15</x:v>
      </x:c>
      <x:c r="L1345" s="14" t="n">
        <x:v>40</x:v>
      </x:c>
      <x:c r="M1345" s="14" t="n">
        <x:v>2</x:v>
      </x:c>
      <x:c r="N1345" s="15" t="n">
        <x:f>IF(E1345=0,"해당 없음",F1345/E1345)</x:f>
        <x:v>0.0380952380952381</x:v>
      </x:c>
      <x:c r="O1345" s="15" t="n">
        <x:f>IF(E1345=0,"해당 없음",G1345/E1345)</x:f>
        <x:v>0.24761904761904763</x:v>
      </x:c>
      <x:c r="P1345" s="15" t="n">
        <x:f>IF(E1345=0,"해당 없음",H1345/E1345)</x:f>
        <x:v>0.06666666666666667</x:v>
      </x:c>
      <x:c r="Q1345" s="15" t="n">
        <x:f>IF(E1345=0,"해당 없음",I1345/E1345)</x:f>
        <x:v>0.0761904761904762</x:v>
      </x:c>
      <x:c r="R1345" s="15" t="n">
        <x:f>IF(E1345=0,"해당 없음",J1345/E1345)</x:f>
        <x:v>0.02857142857142857</x:v>
      </x:c>
      <x:c r="S1345" s="15" t="n">
        <x:f>IF(E1345=0,"해당 없음",K1345/E1345)</x:f>
        <x:v>0.14285714285714285</x:v>
      </x:c>
      <x:c r="T1345" s="15" t="n">
        <x:f>IF(E1345=0,"해당 없음",L1345/E1345)</x:f>
        <x:v>0.38095238095238093</x:v>
      </x:c>
      <x:c r="U1345" s="15" t="n">
        <x:f>IF(E1345=0,"해당 없음",M1345/E1345)</x:f>
        <x:v>0.01904761904761905</x:v>
      </x:c>
      <x:c r="V1345" s="16" t="n">
        <x:f>E1345/5</x:f>
        <x:v>21</x:v>
      </x:c>
    </x:row>
    <x:row r="1346" ht="22" customHeight="1">
      <x:c r="A1346" s="2" t="n">
        <x:v>671</x:v>
      </x:c>
      <x:c r="B1346" s="2" t="str">
        <x:v>RED</x:v>
      </x:c>
      <x:c r="C1346" s="2" t="str">
        <x:v>40만</x:v>
      </x:c>
      <x:c r="D1346" s="2" t="str">
        <x:v>200만</x:v>
      </x:c>
      <x:c r="E1346" s="14" t="n">
        <x:f>SUM(F1346:M1346)</x:f>
        <x:v>107</x:v>
      </x:c>
      <x:c r="F1346" s="14" t="n">
        <x:v>1</x:v>
      </x:c>
      <x:c r="G1346" s="14" t="n">
        <x:v>30</x:v>
      </x:c>
      <x:c r="H1346" s="14" t="n">
        <x:v>5</x:v>
      </x:c>
      <x:c r="I1346" s="14" t="n">
        <x:v>5</x:v>
      </x:c>
      <x:c r="J1346" s="14" t="n">
        <x:v>5</x:v>
      </x:c>
      <x:c r="K1346" s="14" t="n">
        <x:v>6</x:v>
      </x:c>
      <x:c r="L1346" s="14" t="n">
        <x:v>47</x:v>
      </x:c>
      <x:c r="M1346" s="14" t="n">
        <x:v>8</x:v>
      </x:c>
      <x:c r="N1346" s="15" t="n">
        <x:f>IF(E1346=0,"해당 없음",F1346/E1346)</x:f>
        <x:v>0.009345794392523364</x:v>
      </x:c>
      <x:c r="O1346" s="15" t="n">
        <x:f>IF(E1346=0,"해당 없음",G1346/E1346)</x:f>
        <x:v>0.2803738317757009</x:v>
      </x:c>
      <x:c r="P1346" s="15" t="n">
        <x:f>IF(E1346=0,"해당 없음",H1346/E1346)</x:f>
        <x:v>0.04672897196261682</x:v>
      </x:c>
      <x:c r="Q1346" s="15" t="n">
        <x:f>IF(E1346=0,"해당 없음",I1346/E1346)</x:f>
        <x:v>0.04672897196261682</x:v>
      </x:c>
      <x:c r="R1346" s="15" t="n">
        <x:f>IF(E1346=0,"해당 없음",J1346/E1346)</x:f>
        <x:v>0.04672897196261682</x:v>
      </x:c>
      <x:c r="S1346" s="15" t="n">
        <x:f>IF(E1346=0,"해당 없음",K1346/E1346)</x:f>
        <x:v>0.056074766355140186</x:v>
      </x:c>
      <x:c r="T1346" s="15" t="n">
        <x:f>IF(E1346=0,"해당 없음",L1346/E1346)</x:f>
        <x:v>0.4392523364485981</x:v>
      </x:c>
      <x:c r="U1346" s="15" t="n">
        <x:f>IF(E1346=0,"해당 없음",M1346/E1346)</x:f>
        <x:v>0.07476635514018691</x:v>
      </x:c>
      <x:c r="V1346" s="16" t="n">
        <x:f>E1346/5</x:f>
        <x:v>21.4</x:v>
      </x:c>
    </x:row>
    <x:row r="1347" ht="22" customHeight="1">
      <x:c r="A1347" s="2" t="n">
        <x:v>671</x:v>
      </x:c>
      <x:c r="B1347" s="2" t="str">
        <x:v>NAVY</x:v>
      </x:c>
      <x:c r="C1347" s="2" t="str">
        <x:v>200만</x:v>
      </x:c>
      <x:c r="D1347" s="2" t="str">
        <x:v>40만</x:v>
      </x:c>
      <x:c r="E1347" s="14" t="n">
        <x:f>SUM(F1347:M1347)</x:f>
        <x:v>107</x:v>
      </x:c>
      <x:c r="F1347" s="14" t="n">
        <x:v>5</x:v>
      </x:c>
      <x:c r="G1347" s="14" t="n">
        <x:v>15</x:v>
      </x:c>
      <x:c r="H1347" s="14" t="n">
        <x:v>5</x:v>
      </x:c>
      <x:c r="I1347" s="14" t="n">
        <x:v>0</x:v>
      </x:c>
      <x:c r="J1347" s="14" t="n">
        <x:v>6</x:v>
      </x:c>
      <x:c r="K1347" s="14" t="n">
        <x:v>5</x:v>
      </x:c>
      <x:c r="L1347" s="14" t="n">
        <x:v>31</x:v>
      </x:c>
      <x:c r="M1347" s="14" t="n">
        <x:v>40</x:v>
      </x:c>
      <x:c r="N1347" s="15" t="n">
        <x:f>IF(E1347=0,"해당 없음",F1347/E1347)</x:f>
        <x:v>0.04672897196261682</x:v>
      </x:c>
      <x:c r="O1347" s="15" t="n">
        <x:f>IF(E1347=0,"해당 없음",G1347/E1347)</x:f>
        <x:v>0.14018691588785046</x:v>
      </x:c>
      <x:c r="P1347" s="15" t="n">
        <x:f>IF(E1347=0,"해당 없음",H1347/E1347)</x:f>
        <x:v>0.04672897196261682</x:v>
      </x:c>
      <x:c r="Q1347" s="15" t="n">
        <x:f>IF(E1347=0,"해당 없음",I1347/E1347)</x:f>
        <x:v>0</x:v>
      </x:c>
      <x:c r="R1347" s="15" t="n">
        <x:f>IF(E1347=0,"해당 없음",J1347/E1347)</x:f>
        <x:v>0.056074766355140186</x:v>
      </x:c>
      <x:c r="S1347" s="15" t="n">
        <x:f>IF(E1347=0,"해당 없음",K1347/E1347)</x:f>
        <x:v>0.04672897196261682</x:v>
      </x:c>
      <x:c r="T1347" s="15" t="n">
        <x:f>IF(E1347=0,"해당 없음",L1347/E1347)</x:f>
        <x:v>0.2897196261682243</x:v>
      </x:c>
      <x:c r="U1347" s="15" t="n">
        <x:f>IF(E1347=0,"해당 없음",M1347/E1347)</x:f>
        <x:v>0.37383177570093457</x:v>
      </x:c>
      <x:c r="V1347" s="16" t="n">
        <x:f>E1347/5</x:f>
        <x:v>21.4</x:v>
      </x:c>
    </x:row>
    <x:row r="1348" ht="22" customHeight="1">
      <x:c r="A1348" s="2" t="n">
        <x:v>672</x:v>
      </x:c>
      <x:c r="B1348" s="2" t="str">
        <x:v>RED</x:v>
      </x:c>
      <x:c r="C1348" s="2" t="str">
        <x:v>200만</x:v>
      </x:c>
      <x:c r="D1348" s="2" t="str">
        <x:v>40만</x:v>
      </x:c>
      <x:c r="E1348" s="14" t="n">
        <x:f>SUM(F1348:M1348)</x:f>
        <x:v>102</x:v>
      </x:c>
      <x:c r="F1348" s="14" t="n">
        <x:v>2</x:v>
      </x:c>
      <x:c r="G1348" s="14" t="n">
        <x:v>7</x:v>
      </x:c>
      <x:c r="H1348" s="14" t="n">
        <x:v>2</x:v>
      </x:c>
      <x:c r="I1348" s="14" t="n">
        <x:v>8</x:v>
      </x:c>
      <x:c r="J1348" s="14" t="n">
        <x:v>4</x:v>
      </x:c>
      <x:c r="K1348" s="14" t="n">
        <x:v>4</x:v>
      </x:c>
      <x:c r="L1348" s="14" t="n">
        <x:v>39</x:v>
      </x:c>
      <x:c r="M1348" s="14" t="n">
        <x:v>36</x:v>
      </x:c>
      <x:c r="N1348" s="15" t="n">
        <x:f>IF(E1348=0,"해당 없음",F1348/E1348)</x:f>
        <x:v>0.0196078431372549</x:v>
      </x:c>
      <x:c r="O1348" s="15" t="n">
        <x:f>IF(E1348=0,"해당 없음",G1348/E1348)</x:f>
        <x:v>0.06862745098039216</x:v>
      </x:c>
      <x:c r="P1348" s="15" t="n">
        <x:f>IF(E1348=0,"해당 없음",H1348/E1348)</x:f>
        <x:v>0.0196078431372549</x:v>
      </x:c>
      <x:c r="Q1348" s="15" t="n">
        <x:f>IF(E1348=0,"해당 없음",I1348/E1348)</x:f>
        <x:v>0.0784313725490196</x:v>
      </x:c>
      <x:c r="R1348" s="15" t="n">
        <x:f>IF(E1348=0,"해당 없음",J1348/E1348)</x:f>
        <x:v>0.0392156862745098</x:v>
      </x:c>
      <x:c r="S1348" s="15" t="n">
        <x:f>IF(E1348=0,"해당 없음",K1348/E1348)</x:f>
        <x:v>0.0392156862745098</x:v>
      </x:c>
      <x:c r="T1348" s="15" t="n">
        <x:f>IF(E1348=0,"해당 없음",L1348/E1348)</x:f>
        <x:v>0.38235294117647056</x:v>
      </x:c>
      <x:c r="U1348" s="15" t="n">
        <x:f>IF(E1348=0,"해당 없음",M1348/E1348)</x:f>
        <x:v>0.35294117647058826</x:v>
      </x:c>
      <x:c r="V1348" s="16" t="n">
        <x:f>E1348/5</x:f>
        <x:v>20.4</x:v>
      </x:c>
    </x:row>
    <x:row r="1349" ht="22" customHeight="1">
      <x:c r="A1349" s="2" t="n">
        <x:v>672</x:v>
      </x:c>
      <x:c r="B1349" s="2" t="str">
        <x:v>NAVY</x:v>
      </x:c>
      <x:c r="C1349" s="2" t="str">
        <x:v>40만</x:v>
      </x:c>
      <x:c r="D1349" s="2" t="str">
        <x:v>200만</x:v>
      </x:c>
      <x:c r="E1349" s="14" t="n">
        <x:f>SUM(F1349:M1349)</x:f>
        <x:v>105</x:v>
      </x:c>
      <x:c r="F1349" s="14" t="n">
        <x:v>4</x:v>
      </x:c>
      <x:c r="G1349" s="14" t="n">
        <x:v>33</x:v>
      </x:c>
      <x:c r="H1349" s="14" t="n">
        <x:v>2</x:v>
      </x:c>
      <x:c r="I1349" s="14" t="n">
        <x:v>3</x:v>
      </x:c>
      <x:c r="J1349" s="14" t="n">
        <x:v>10</x:v>
      </x:c>
      <x:c r="K1349" s="14" t="n">
        <x:v>4</x:v>
      </x:c>
      <x:c r="L1349" s="14" t="n">
        <x:v>44</x:v>
      </x:c>
      <x:c r="M1349" s="14" t="n">
        <x:v>5</x:v>
      </x:c>
      <x:c r="N1349" s="15" t="n">
        <x:f>IF(E1349=0,"해당 없음",F1349/E1349)</x:f>
        <x:v>0.0380952380952381</x:v>
      </x:c>
      <x:c r="O1349" s="15" t="n">
        <x:f>IF(E1349=0,"해당 없음",G1349/E1349)</x:f>
        <x:v>0.3142857142857143</x:v>
      </x:c>
      <x:c r="P1349" s="15" t="n">
        <x:f>IF(E1349=0,"해당 없음",H1349/E1349)</x:f>
        <x:v>0.01904761904761905</x:v>
      </x:c>
      <x:c r="Q1349" s="15" t="n">
        <x:f>IF(E1349=0,"해당 없음",I1349/E1349)</x:f>
        <x:v>0.02857142857142857</x:v>
      </x:c>
      <x:c r="R1349" s="15" t="n">
        <x:f>IF(E1349=0,"해당 없음",J1349/E1349)</x:f>
        <x:v>0.09523809523809523</x:v>
      </x:c>
      <x:c r="S1349" s="15" t="n">
        <x:f>IF(E1349=0,"해당 없음",K1349/E1349)</x:f>
        <x:v>0.0380952380952381</x:v>
      </x:c>
      <x:c r="T1349" s="15" t="n">
        <x:f>IF(E1349=0,"해당 없음",L1349/E1349)</x:f>
        <x:v>0.41904761904761906</x:v>
      </x:c>
      <x:c r="U1349" s="15" t="n">
        <x:f>IF(E1349=0,"해당 없음",M1349/E1349)</x:f>
        <x:v>0.047619047619047616</x:v>
      </x:c>
      <x:c r="V1349" s="16" t="n">
        <x:f>E1349/5</x:f>
        <x:v>21</x:v>
      </x:c>
    </x:row>
    <x:row r="1350" ht="22" customHeight="1">
      <x:c r="A1350" s="2" t="n">
        <x:v>673</x:v>
      </x:c>
      <x:c r="B1350" s="2" t="str">
        <x:v>RED</x:v>
      </x:c>
      <x:c r="C1350" s="2" t="str">
        <x:v>40만</x:v>
      </x:c>
      <x:c r="D1350" s="2" t="str">
        <x:v>200만</x:v>
      </x:c>
      <x:c r="E1350" s="14" t="n">
        <x:f>SUM(F1350:M1350)</x:f>
        <x:v>104</x:v>
      </x:c>
      <x:c r="F1350" s="14" t="n">
        <x:v>7</x:v>
      </x:c>
      <x:c r="G1350" s="14" t="n">
        <x:v>28</x:v>
      </x:c>
      <x:c r="H1350" s="14" t="n">
        <x:v>3</x:v>
      </x:c>
      <x:c r="I1350" s="14" t="n">
        <x:v>5</x:v>
      </x:c>
      <x:c r="J1350" s="14" t="n">
        <x:v>4</x:v>
      </x:c>
      <x:c r="K1350" s="14" t="n">
        <x:v>12</x:v>
      </x:c>
      <x:c r="L1350" s="14" t="n">
        <x:v>41</x:v>
      </x:c>
      <x:c r="M1350" s="14" t="n">
        <x:v>4</x:v>
      </x:c>
      <x:c r="N1350" s="15" t="n">
        <x:f>IF(E1350=0,"해당 없음",F1350/E1350)</x:f>
        <x:v>0.0673076923076923</x:v>
      </x:c>
      <x:c r="O1350" s="15" t="n">
        <x:f>IF(E1350=0,"해당 없음",G1350/E1350)</x:f>
        <x:v>0.2692307692307692</x:v>
      </x:c>
      <x:c r="P1350" s="15" t="n">
        <x:f>IF(E1350=0,"해당 없음",H1350/E1350)</x:f>
        <x:v>0.028846153846153848</x:v>
      </x:c>
      <x:c r="Q1350" s="15" t="n">
        <x:f>IF(E1350=0,"해당 없음",I1350/E1350)</x:f>
        <x:v>0.04807692307692308</x:v>
      </x:c>
      <x:c r="R1350" s="15" t="n">
        <x:f>IF(E1350=0,"해당 없음",J1350/E1350)</x:f>
        <x:v>0.038461538461538464</x:v>
      </x:c>
      <x:c r="S1350" s="15" t="n">
        <x:f>IF(E1350=0,"해당 없음",K1350/E1350)</x:f>
        <x:v>0.11538461538461539</x:v>
      </x:c>
      <x:c r="T1350" s="15" t="n">
        <x:f>IF(E1350=0,"해당 없음",L1350/E1350)</x:f>
        <x:v>0.3942307692307692</x:v>
      </x:c>
      <x:c r="U1350" s="15" t="n">
        <x:f>IF(E1350=0,"해당 없음",M1350/E1350)</x:f>
        <x:v>0.038461538461538464</x:v>
      </x:c>
      <x:c r="V1350" s="16" t="n">
        <x:f>E1350/5</x:f>
        <x:v>20.8</x:v>
      </x:c>
    </x:row>
    <x:row r="1351" ht="22" customHeight="1">
      <x:c r="A1351" s="2" t="n">
        <x:v>673</x:v>
      </x:c>
      <x:c r="B1351" s="2" t="str">
        <x:v>NAVY</x:v>
      </x:c>
      <x:c r="C1351" s="2" t="str">
        <x:v>200만</x:v>
      </x:c>
      <x:c r="D1351" s="2" t="str">
        <x:v>40만</x:v>
      </x:c>
      <x:c r="E1351" s="14" t="n">
        <x:f>SUM(F1351:M1351)</x:f>
        <x:v>104</x:v>
      </x:c>
      <x:c r="F1351" s="14" t="n">
        <x:v>2</x:v>
      </x:c>
      <x:c r="G1351" s="14" t="n">
        <x:v>10</x:v>
      </x:c>
      <x:c r="H1351" s="14" t="n">
        <x:v>3</x:v>
      </x:c>
      <x:c r="I1351" s="14" t="n">
        <x:v>2</x:v>
      </x:c>
      <x:c r="J1351" s="14" t="n">
        <x:v>4</x:v>
      </x:c>
      <x:c r="K1351" s="14" t="n">
        <x:v>2</x:v>
      </x:c>
      <x:c r="L1351" s="14" t="n">
        <x:v>33</x:v>
      </x:c>
      <x:c r="M1351" s="14" t="n">
        <x:v>48</x:v>
      </x:c>
      <x:c r="N1351" s="15" t="n">
        <x:f>IF(E1351=0,"해당 없음",F1351/E1351)</x:f>
        <x:v>0.019230769230769232</x:v>
      </x:c>
      <x:c r="O1351" s="15" t="n">
        <x:f>IF(E1351=0,"해당 없음",G1351/E1351)</x:f>
        <x:v>0.09615384615384616</x:v>
      </x:c>
      <x:c r="P1351" s="15" t="n">
        <x:f>IF(E1351=0,"해당 없음",H1351/E1351)</x:f>
        <x:v>0.028846153846153848</x:v>
      </x:c>
      <x:c r="Q1351" s="15" t="n">
        <x:f>IF(E1351=0,"해당 없음",I1351/E1351)</x:f>
        <x:v>0.019230769230769232</x:v>
      </x:c>
      <x:c r="R1351" s="15" t="n">
        <x:f>IF(E1351=0,"해당 없음",J1351/E1351)</x:f>
        <x:v>0.038461538461538464</x:v>
      </x:c>
      <x:c r="S1351" s="15" t="n">
        <x:f>IF(E1351=0,"해당 없음",K1351/E1351)</x:f>
        <x:v>0.019230769230769232</x:v>
      </x:c>
      <x:c r="T1351" s="15" t="n">
        <x:f>IF(E1351=0,"해당 없음",L1351/E1351)</x:f>
        <x:v>0.3173076923076923</x:v>
      </x:c>
      <x:c r="U1351" s="15" t="n">
        <x:f>IF(E1351=0,"해당 없음",M1351/E1351)</x:f>
        <x:v>0.46153846153846156</x:v>
      </x:c>
      <x:c r="V1351" s="16" t="n">
        <x:f>E1351/5</x:f>
        <x:v>20.8</x:v>
      </x:c>
    </x:row>
    <x:row r="1352" ht="22" customHeight="1">
      <x:c r="A1352" s="2" t="n">
        <x:v>674</x:v>
      </x:c>
      <x:c r="B1352" s="2" t="str">
        <x:v>RED</x:v>
      </x:c>
      <x:c r="C1352" s="2" t="str">
        <x:v>200만</x:v>
      </x:c>
      <x:c r="D1352" s="2" t="str">
        <x:v>40만</x:v>
      </x:c>
      <x:c r="E1352" s="14" t="n">
        <x:f>SUM(F1352:M1352)</x:f>
        <x:v>105</x:v>
      </x:c>
      <x:c r="F1352" s="14" t="n">
        <x:v>4</x:v>
      </x:c>
      <x:c r="G1352" s="14" t="n">
        <x:v>18</x:v>
      </x:c>
      <x:c r="H1352" s="14" t="n">
        <x:v>6</x:v>
      </x:c>
      <x:c r="I1352" s="14" t="n">
        <x:v>4</x:v>
      </x:c>
      <x:c r="J1352" s="14" t="n">
        <x:v>1</x:v>
      </x:c>
      <x:c r="K1352" s="14" t="n">
        <x:v>6</x:v>
      </x:c>
      <x:c r="L1352" s="14" t="n">
        <x:v>33</x:v>
      </x:c>
      <x:c r="M1352" s="14" t="n">
        <x:v>33</x:v>
      </x:c>
      <x:c r="N1352" s="15" t="n">
        <x:f>IF(E1352=0,"해당 없음",F1352/E1352)</x:f>
        <x:v>0.0380952380952381</x:v>
      </x:c>
      <x:c r="O1352" s="15" t="n">
        <x:f>IF(E1352=0,"해당 없음",G1352/E1352)</x:f>
        <x:v>0.17142857142857143</x:v>
      </x:c>
      <x:c r="P1352" s="15" t="n">
        <x:f>IF(E1352=0,"해당 없음",H1352/E1352)</x:f>
        <x:v>0.05714285714285714</x:v>
      </x:c>
      <x:c r="Q1352" s="15" t="n">
        <x:f>IF(E1352=0,"해당 없음",I1352/E1352)</x:f>
        <x:v>0.0380952380952381</x:v>
      </x:c>
      <x:c r="R1352" s="15" t="n">
        <x:f>IF(E1352=0,"해당 없음",J1352/E1352)</x:f>
        <x:v>0.009523809523809525</x:v>
      </x:c>
      <x:c r="S1352" s="15" t="n">
        <x:f>IF(E1352=0,"해당 없음",K1352/E1352)</x:f>
        <x:v>0.05714285714285714</x:v>
      </x:c>
      <x:c r="T1352" s="15" t="n">
        <x:f>IF(E1352=0,"해당 없음",L1352/E1352)</x:f>
        <x:v>0.3142857142857143</x:v>
      </x:c>
      <x:c r="U1352" s="15" t="n">
        <x:f>IF(E1352=0,"해당 없음",M1352/E1352)</x:f>
        <x:v>0.3142857142857143</x:v>
      </x:c>
      <x:c r="V1352" s="16" t="n">
        <x:f>E1352/5</x:f>
        <x:v>21</x:v>
      </x:c>
    </x:row>
    <x:row r="1353" ht="22" customHeight="1">
      <x:c r="A1353" s="2" t="n">
        <x:v>674</x:v>
      </x:c>
      <x:c r="B1353" s="2" t="str">
        <x:v>NAVY</x:v>
      </x:c>
      <x:c r="C1353" s="2" t="str">
        <x:v>40만</x:v>
      </x:c>
      <x:c r="D1353" s="2" t="str">
        <x:v>200만</x:v>
      </x:c>
      <x:c r="E1353" s="14" t="n">
        <x:f>SUM(F1353:M1353)</x:f>
        <x:v>103</x:v>
      </x:c>
      <x:c r="F1353" s="14" t="n">
        <x:v>5</x:v>
      </x:c>
      <x:c r="G1353" s="14" t="n">
        <x:v>31</x:v>
      </x:c>
      <x:c r="H1353" s="14" t="n">
        <x:v>6</x:v>
      </x:c>
      <x:c r="I1353" s="14" t="n">
        <x:v>3</x:v>
      </x:c>
      <x:c r="J1353" s="14" t="n">
        <x:v>8</x:v>
      </x:c>
      <x:c r="K1353" s="14" t="n">
        <x:v>9</x:v>
      </x:c>
      <x:c r="L1353" s="14" t="n">
        <x:v>38</x:v>
      </x:c>
      <x:c r="M1353" s="14" t="n">
        <x:v>3</x:v>
      </x:c>
      <x:c r="N1353" s="15" t="n">
        <x:f>IF(E1353=0,"해당 없음",F1353/E1353)</x:f>
        <x:v>0.04854368932038835</x:v>
      </x:c>
      <x:c r="O1353" s="15" t="n">
        <x:f>IF(E1353=0,"해당 없음",G1353/E1353)</x:f>
        <x:v>0.30097087378640774</x:v>
      </x:c>
      <x:c r="P1353" s="15" t="n">
        <x:f>IF(E1353=0,"해당 없음",H1353/E1353)</x:f>
        <x:v>0.05825242718446602</x:v>
      </x:c>
      <x:c r="Q1353" s="15" t="n">
        <x:f>IF(E1353=0,"해당 없음",I1353/E1353)</x:f>
        <x:v>0.02912621359223301</x:v>
      </x:c>
      <x:c r="R1353" s="15" t="n">
        <x:f>IF(E1353=0,"해당 없음",J1353/E1353)</x:f>
        <x:v>0.07766990291262135</x:v>
      </x:c>
      <x:c r="S1353" s="15" t="n">
        <x:f>IF(E1353=0,"해당 없음",K1353/E1353)</x:f>
        <x:v>0.08737864077669903</x:v>
      </x:c>
      <x:c r="T1353" s="15" t="n">
        <x:f>IF(E1353=0,"해당 없음",L1353/E1353)</x:f>
        <x:v>0.36893203883495146</x:v>
      </x:c>
      <x:c r="U1353" s="15" t="n">
        <x:f>IF(E1353=0,"해당 없음",M1353/E1353)</x:f>
        <x:v>0.02912621359223301</x:v>
      </x:c>
      <x:c r="V1353" s="16" t="n">
        <x:f>E1353/5</x:f>
        <x:v>20.6</x:v>
      </x:c>
    </x:row>
    <x:row r="1354" ht="22" customHeight="1">
      <x:c r="A1354" s="2" t="n">
        <x:v>675</x:v>
      </x:c>
      <x:c r="B1354" s="2" t="str">
        <x:v>RED</x:v>
      </x:c>
      <x:c r="C1354" s="2" t="str">
        <x:v>40만</x:v>
      </x:c>
      <x:c r="D1354" s="2" t="str">
        <x:v>200만</x:v>
      </x:c>
      <x:c r="E1354" s="14" t="n">
        <x:f>SUM(F1354:M1354)</x:f>
        <x:v>104</x:v>
      </x:c>
      <x:c r="F1354" s="14" t="n">
        <x:v>10</x:v>
      </x:c>
      <x:c r="G1354" s="14" t="n">
        <x:v>24</x:v>
      </x:c>
      <x:c r="H1354" s="14" t="n">
        <x:v>8</x:v>
      </x:c>
      <x:c r="I1354" s="14" t="n">
        <x:v>7</x:v>
      </x:c>
      <x:c r="J1354" s="14" t="n">
        <x:v>8</x:v>
      </x:c>
      <x:c r="K1354" s="14" t="n">
        <x:v>7</x:v>
      </x:c>
      <x:c r="L1354" s="14" t="n">
        <x:v>38</x:v>
      </x:c>
      <x:c r="M1354" s="14" t="n">
        <x:v>2</x:v>
      </x:c>
      <x:c r="N1354" s="15" t="n">
        <x:f>IF(E1354=0,"해당 없음",F1354/E1354)</x:f>
        <x:v>0.09615384615384616</x:v>
      </x:c>
      <x:c r="O1354" s="15" t="n">
        <x:f>IF(E1354=0,"해당 없음",G1354/E1354)</x:f>
        <x:v>0.23076923076923078</x:v>
      </x:c>
      <x:c r="P1354" s="15" t="n">
        <x:f>IF(E1354=0,"해당 없음",H1354/E1354)</x:f>
        <x:v>0.07692307692307693</x:v>
      </x:c>
      <x:c r="Q1354" s="15" t="n">
        <x:f>IF(E1354=0,"해당 없음",I1354/E1354)</x:f>
        <x:v>0.0673076923076923</x:v>
      </x:c>
      <x:c r="R1354" s="15" t="n">
        <x:f>IF(E1354=0,"해당 없음",J1354/E1354)</x:f>
        <x:v>0.07692307692307693</x:v>
      </x:c>
      <x:c r="S1354" s="15" t="n">
        <x:f>IF(E1354=0,"해당 없음",K1354/E1354)</x:f>
        <x:v>0.0673076923076923</x:v>
      </x:c>
      <x:c r="T1354" s="15" t="n">
        <x:f>IF(E1354=0,"해당 없음",L1354/E1354)</x:f>
        <x:v>0.36538461538461536</x:v>
      </x:c>
      <x:c r="U1354" s="15" t="n">
        <x:f>IF(E1354=0,"해당 없음",M1354/E1354)</x:f>
        <x:v>0.019230769230769232</x:v>
      </x:c>
      <x:c r="V1354" s="16" t="n">
        <x:f>E1354/5</x:f>
        <x:v>20.8</x:v>
      </x:c>
    </x:row>
    <x:row r="1355" ht="22" customHeight="1">
      <x:c r="A1355" s="2" t="n">
        <x:v>675</x:v>
      </x:c>
      <x:c r="B1355" s="2" t="str">
        <x:v>NAVY</x:v>
      </x:c>
      <x:c r="C1355" s="2" t="str">
        <x:v>200만</x:v>
      </x:c>
      <x:c r="D1355" s="2" t="str">
        <x:v>40만</x:v>
      </x:c>
      <x:c r="E1355" s="14" t="n">
        <x:f>SUM(F1355:M1355)</x:f>
        <x:v>106</x:v>
      </x:c>
      <x:c r="F1355" s="14" t="n">
        <x:v>2</x:v>
      </x:c>
      <x:c r="G1355" s="14" t="n">
        <x:v>25</x:v>
      </x:c>
      <x:c r="H1355" s="14" t="n">
        <x:v>6</x:v>
      </x:c>
      <x:c r="I1355" s="14" t="n">
        <x:v>5</x:v>
      </x:c>
      <x:c r="J1355" s="14" t="n">
        <x:v>4</x:v>
      </x:c>
      <x:c r="K1355" s="14" t="n">
        <x:v>6</x:v>
      </x:c>
      <x:c r="L1355" s="14" t="n">
        <x:v>34</x:v>
      </x:c>
      <x:c r="M1355" s="14" t="n">
        <x:v>24</x:v>
      </x:c>
      <x:c r="N1355" s="15" t="n">
        <x:f>IF(E1355=0,"해당 없음",F1355/E1355)</x:f>
        <x:v>0.018867924528301886</x:v>
      </x:c>
      <x:c r="O1355" s="15" t="n">
        <x:f>IF(E1355=0,"해당 없음",G1355/E1355)</x:f>
        <x:v>0.2358490566037736</x:v>
      </x:c>
      <x:c r="P1355" s="15" t="n">
        <x:f>IF(E1355=0,"해당 없음",H1355/E1355)</x:f>
        <x:v>0.05660377358490566</x:v>
      </x:c>
      <x:c r="Q1355" s="15" t="n">
        <x:f>IF(E1355=0,"해당 없음",I1355/E1355)</x:f>
        <x:v>0.04716981132075472</x:v>
      </x:c>
      <x:c r="R1355" s="15" t="n">
        <x:f>IF(E1355=0,"해당 없음",J1355/E1355)</x:f>
        <x:v>0.03773584905660377</x:v>
      </x:c>
      <x:c r="S1355" s="15" t="n">
        <x:f>IF(E1355=0,"해당 없음",K1355/E1355)</x:f>
        <x:v>0.05660377358490566</x:v>
      </x:c>
      <x:c r="T1355" s="15" t="n">
        <x:f>IF(E1355=0,"해당 없음",L1355/E1355)</x:f>
        <x:v>0.32075471698113206</x:v>
      </x:c>
      <x:c r="U1355" s="15" t="n">
        <x:f>IF(E1355=0,"해당 없음",M1355/E1355)</x:f>
        <x:v>0.22641509433962265</x:v>
      </x:c>
      <x:c r="V1355" s="16" t="n">
        <x:f>E1355/5</x:f>
        <x:v>21.2</x:v>
      </x:c>
    </x:row>
    <x:row r="1356" ht="22" customHeight="1">
      <x:c r="A1356" s="2" t="n">
        <x:v>676</x:v>
      </x:c>
      <x:c r="B1356" s="2" t="str">
        <x:v>RED</x:v>
      </x:c>
      <x:c r="C1356" s="2" t="str">
        <x:v>200만</x:v>
      </x:c>
      <x:c r="D1356" s="2" t="str">
        <x:v>40만</x:v>
      </x:c>
      <x:c r="E1356" s="14" t="n">
        <x:f>SUM(F1356:M1356)</x:f>
        <x:v>104</x:v>
      </x:c>
      <x:c r="F1356" s="14" t="n">
        <x:v>4</x:v>
      </x:c>
      <x:c r="G1356" s="14" t="n">
        <x:v>24</x:v>
      </x:c>
      <x:c r="H1356" s="14" t="n">
        <x:v>4</x:v>
      </x:c>
      <x:c r="I1356" s="14" t="n">
        <x:v>4</x:v>
      </x:c>
      <x:c r="J1356" s="14" t="n">
        <x:v>0</x:v>
      </x:c>
      <x:c r="K1356" s="14" t="n">
        <x:v>3</x:v>
      </x:c>
      <x:c r="L1356" s="14" t="n">
        <x:v>37</x:v>
      </x:c>
      <x:c r="M1356" s="14" t="n">
        <x:v>28</x:v>
      </x:c>
      <x:c r="N1356" s="15" t="n">
        <x:f>IF(E1356=0,"해당 없음",F1356/E1356)</x:f>
        <x:v>0.038461538461538464</x:v>
      </x:c>
      <x:c r="O1356" s="15" t="n">
        <x:f>IF(E1356=0,"해당 없음",G1356/E1356)</x:f>
        <x:v>0.23076923076923078</x:v>
      </x:c>
      <x:c r="P1356" s="15" t="n">
        <x:f>IF(E1356=0,"해당 없음",H1356/E1356)</x:f>
        <x:v>0.038461538461538464</x:v>
      </x:c>
      <x:c r="Q1356" s="15" t="n">
        <x:f>IF(E1356=0,"해당 없음",I1356/E1356)</x:f>
        <x:v>0.038461538461538464</x:v>
      </x:c>
      <x:c r="R1356" s="15" t="n">
        <x:f>IF(E1356=0,"해당 없음",J1356/E1356)</x:f>
        <x:v>0</x:v>
      </x:c>
      <x:c r="S1356" s="15" t="n">
        <x:f>IF(E1356=0,"해당 없음",K1356/E1356)</x:f>
        <x:v>0.028846153846153848</x:v>
      </x:c>
      <x:c r="T1356" s="15" t="n">
        <x:f>IF(E1356=0,"해당 없음",L1356/E1356)</x:f>
        <x:v>0.3557692307692308</x:v>
      </x:c>
      <x:c r="U1356" s="15" t="n">
        <x:f>IF(E1356=0,"해당 없음",M1356/E1356)</x:f>
        <x:v>0.2692307692307692</x:v>
      </x:c>
      <x:c r="V1356" s="16" t="n">
        <x:f>E1356/5</x:f>
        <x:v>20.8</x:v>
      </x:c>
    </x:row>
    <x:row r="1357" ht="22" customHeight="1">
      <x:c r="A1357" s="2" t="n">
        <x:v>676</x:v>
      </x:c>
      <x:c r="B1357" s="2" t="str">
        <x:v>NAVY</x:v>
      </x:c>
      <x:c r="C1357" s="2" t="str">
        <x:v>40만</x:v>
      </x:c>
      <x:c r="D1357" s="2" t="str">
        <x:v>200만</x:v>
      </x:c>
      <x:c r="E1357" s="14" t="n">
        <x:f>SUM(F1357:M1357)</x:f>
        <x:v>103</x:v>
      </x:c>
      <x:c r="F1357" s="14" t="n">
        <x:v>4</x:v>
      </x:c>
      <x:c r="G1357" s="14" t="n">
        <x:v>30</x:v>
      </x:c>
      <x:c r="H1357" s="14" t="n">
        <x:v>5</x:v>
      </x:c>
      <x:c r="I1357" s="14" t="n">
        <x:v>10</x:v>
      </x:c>
      <x:c r="J1357" s="14" t="n">
        <x:v>5</x:v>
      </x:c>
      <x:c r="K1357" s="14" t="n">
        <x:v>7</x:v>
      </x:c>
      <x:c r="L1357" s="14" t="n">
        <x:v>39</x:v>
      </x:c>
      <x:c r="M1357" s="14" t="n">
        <x:v>3</x:v>
      </x:c>
      <x:c r="N1357" s="15" t="n">
        <x:f>IF(E1357=0,"해당 없음",F1357/E1357)</x:f>
        <x:v>0.038834951456310676</x:v>
      </x:c>
      <x:c r="O1357" s="15" t="n">
        <x:f>IF(E1357=0,"해당 없음",G1357/E1357)</x:f>
        <x:v>0.2912621359223301</x:v>
      </x:c>
      <x:c r="P1357" s="15" t="n">
        <x:f>IF(E1357=0,"해당 없음",H1357/E1357)</x:f>
        <x:v>0.04854368932038835</x:v>
      </x:c>
      <x:c r="Q1357" s="15" t="n">
        <x:f>IF(E1357=0,"해당 없음",I1357/E1357)</x:f>
        <x:v>0.0970873786407767</x:v>
      </x:c>
      <x:c r="R1357" s="15" t="n">
        <x:f>IF(E1357=0,"해당 없음",J1357/E1357)</x:f>
        <x:v>0.04854368932038835</x:v>
      </x:c>
      <x:c r="S1357" s="15" t="n">
        <x:f>IF(E1357=0,"해당 없음",K1357/E1357)</x:f>
        <x:v>0.06796116504854369</x:v>
      </x:c>
      <x:c r="T1357" s="15" t="n">
        <x:f>IF(E1357=0,"해당 없음",L1357/E1357)</x:f>
        <x:v>0.3786407766990291</x:v>
      </x:c>
      <x:c r="U1357" s="15" t="n">
        <x:f>IF(E1357=0,"해당 없음",M1357/E1357)</x:f>
        <x:v>0.02912621359223301</x:v>
      </x:c>
      <x:c r="V1357" s="16" t="n">
        <x:f>E1357/5</x:f>
        <x:v>20.6</x:v>
      </x:c>
    </x:row>
    <x:row r="1358" ht="22" customHeight="1">
      <x:c r="A1358" s="2" t="n">
        <x:v>677</x:v>
      </x:c>
      <x:c r="B1358" s="2" t="str">
        <x:v>RED</x:v>
      </x:c>
      <x:c r="C1358" s="2" t="str">
        <x:v>40만</x:v>
      </x:c>
      <x:c r="D1358" s="2" t="str">
        <x:v>200만</x:v>
      </x:c>
      <x:c r="E1358" s="14" t="n">
        <x:f>SUM(F1358:M1358)</x:f>
        <x:v>104</x:v>
      </x:c>
      <x:c r="F1358" s="14" t="n">
        <x:v>5</x:v>
      </x:c>
      <x:c r="G1358" s="14" t="n">
        <x:v>27</x:v>
      </x:c>
      <x:c r="H1358" s="14" t="n">
        <x:v>8</x:v>
      </x:c>
      <x:c r="I1358" s="14" t="n">
        <x:v>8</x:v>
      </x:c>
      <x:c r="J1358" s="14" t="n">
        <x:v>3</x:v>
      </x:c>
      <x:c r="K1358" s="14" t="n">
        <x:v>9</x:v>
      </x:c>
      <x:c r="L1358" s="14" t="n">
        <x:v>36</x:v>
      </x:c>
      <x:c r="M1358" s="14" t="n">
        <x:v>8</x:v>
      </x:c>
      <x:c r="N1358" s="15" t="n">
        <x:f>IF(E1358=0,"해당 없음",F1358/E1358)</x:f>
        <x:v>0.04807692307692308</x:v>
      </x:c>
      <x:c r="O1358" s="15" t="n">
        <x:f>IF(E1358=0,"해당 없음",G1358/E1358)</x:f>
        <x:v>0.25961538461538464</x:v>
      </x:c>
      <x:c r="P1358" s="15" t="n">
        <x:f>IF(E1358=0,"해당 없음",H1358/E1358)</x:f>
        <x:v>0.07692307692307693</x:v>
      </x:c>
      <x:c r="Q1358" s="15" t="n">
        <x:f>IF(E1358=0,"해당 없음",I1358/E1358)</x:f>
        <x:v>0.07692307692307693</x:v>
      </x:c>
      <x:c r="R1358" s="15" t="n">
        <x:f>IF(E1358=0,"해당 없음",J1358/E1358)</x:f>
        <x:v>0.028846153846153848</x:v>
      </x:c>
      <x:c r="S1358" s="15" t="n">
        <x:f>IF(E1358=0,"해당 없음",K1358/E1358)</x:f>
        <x:v>0.08653846153846154</x:v>
      </x:c>
      <x:c r="T1358" s="15" t="n">
        <x:f>IF(E1358=0,"해당 없음",L1358/E1358)</x:f>
        <x:v>0.34615384615384615</x:v>
      </x:c>
      <x:c r="U1358" s="15" t="n">
        <x:f>IF(E1358=0,"해당 없음",M1358/E1358)</x:f>
        <x:v>0.07692307692307693</x:v>
      </x:c>
      <x:c r="V1358" s="16" t="n">
        <x:f>E1358/5</x:f>
        <x:v>20.8</x:v>
      </x:c>
    </x:row>
    <x:row r="1359" ht="22" customHeight="1">
      <x:c r="A1359" s="2" t="n">
        <x:v>677</x:v>
      </x:c>
      <x:c r="B1359" s="2" t="str">
        <x:v>NAVY</x:v>
      </x:c>
      <x:c r="C1359" s="2" t="str">
        <x:v>200만</x:v>
      </x:c>
      <x:c r="D1359" s="2" t="str">
        <x:v>40만</x:v>
      </x:c>
      <x:c r="E1359" s="14" t="n">
        <x:f>SUM(F1359:M1359)</x:f>
        <x:v>102</x:v>
      </x:c>
      <x:c r="F1359" s="14" t="n">
        <x:v>3</x:v>
      </x:c>
      <x:c r="G1359" s="14" t="n">
        <x:v>20</x:v>
      </x:c>
      <x:c r="H1359" s="14" t="n">
        <x:v>5</x:v>
      </x:c>
      <x:c r="I1359" s="14" t="n">
        <x:v>6</x:v>
      </x:c>
      <x:c r="J1359" s="14" t="n">
        <x:v>1</x:v>
      </x:c>
      <x:c r="K1359" s="14" t="n">
        <x:v>1</x:v>
      </x:c>
      <x:c r="L1359" s="14" t="n">
        <x:v>29</x:v>
      </x:c>
      <x:c r="M1359" s="14" t="n">
        <x:v>37</x:v>
      </x:c>
      <x:c r="N1359" s="15" t="n">
        <x:f>IF(E1359=0,"해당 없음",F1359/E1359)</x:f>
        <x:v>0.029411764705882353</x:v>
      </x:c>
      <x:c r="O1359" s="15" t="n">
        <x:f>IF(E1359=0,"해당 없음",G1359/E1359)</x:f>
        <x:v>0.19607843137254902</x:v>
      </x:c>
      <x:c r="P1359" s="15" t="n">
        <x:f>IF(E1359=0,"해당 없음",H1359/E1359)</x:f>
        <x:v>0.049019607843137254</x:v>
      </x:c>
      <x:c r="Q1359" s="15" t="n">
        <x:f>IF(E1359=0,"해당 없음",I1359/E1359)</x:f>
        <x:v>0.058823529411764705</x:v>
      </x:c>
      <x:c r="R1359" s="15" t="n">
        <x:f>IF(E1359=0,"해당 없음",J1359/E1359)</x:f>
        <x:v>0.00980392156862745</x:v>
      </x:c>
      <x:c r="S1359" s="15" t="n">
        <x:f>IF(E1359=0,"해당 없음",K1359/E1359)</x:f>
        <x:v>0.00980392156862745</x:v>
      </x:c>
      <x:c r="T1359" s="15" t="n">
        <x:f>IF(E1359=0,"해당 없음",L1359/E1359)</x:f>
        <x:v>0.28431372549019607</x:v>
      </x:c>
      <x:c r="U1359" s="15" t="n">
        <x:f>IF(E1359=0,"해당 없음",M1359/E1359)</x:f>
        <x:v>0.3627450980392157</x:v>
      </x:c>
      <x:c r="V1359" s="16" t="n">
        <x:f>E1359/5</x:f>
        <x:v>20.4</x:v>
      </x:c>
    </x:row>
    <x:row r="1360" ht="22" customHeight="1">
      <x:c r="A1360" s="2" t="n">
        <x:v>678</x:v>
      </x:c>
      <x:c r="B1360" s="2" t="str">
        <x:v>RED</x:v>
      </x:c>
      <x:c r="C1360" s="2" t="str">
        <x:v>200만</x:v>
      </x:c>
      <x:c r="D1360" s="2" t="str">
        <x:v>40만</x:v>
      </x:c>
      <x:c r="E1360" s="14" t="n">
        <x:f>SUM(F1360:M1360)</x:f>
        <x:v>102</x:v>
      </x:c>
      <x:c r="F1360" s="14" t="n">
        <x:v>6</x:v>
      </x:c>
      <x:c r="G1360" s="14" t="n">
        <x:v>14</x:v>
      </x:c>
      <x:c r="H1360" s="14" t="n">
        <x:v>1</x:v>
      </x:c>
      <x:c r="I1360" s="14" t="n">
        <x:v>6</x:v>
      </x:c>
      <x:c r="J1360" s="14" t="n">
        <x:v>2</x:v>
      </x:c>
      <x:c r="K1360" s="14" t="n">
        <x:v>5</x:v>
      </x:c>
      <x:c r="L1360" s="14" t="n">
        <x:v>38</x:v>
      </x:c>
      <x:c r="M1360" s="14" t="n">
        <x:v>30</x:v>
      </x:c>
      <x:c r="N1360" s="15" t="n">
        <x:f>IF(E1360=0,"해당 없음",F1360/E1360)</x:f>
        <x:v>0.058823529411764705</x:v>
      </x:c>
      <x:c r="O1360" s="15" t="n">
        <x:f>IF(E1360=0,"해당 없음",G1360/E1360)</x:f>
        <x:v>0.13725490196078433</x:v>
      </x:c>
      <x:c r="P1360" s="15" t="n">
        <x:f>IF(E1360=0,"해당 없음",H1360/E1360)</x:f>
        <x:v>0.00980392156862745</x:v>
      </x:c>
      <x:c r="Q1360" s="15" t="n">
        <x:f>IF(E1360=0,"해당 없음",I1360/E1360)</x:f>
        <x:v>0.058823529411764705</x:v>
      </x:c>
      <x:c r="R1360" s="15" t="n">
        <x:f>IF(E1360=0,"해당 없음",J1360/E1360)</x:f>
        <x:v>0.0196078431372549</x:v>
      </x:c>
      <x:c r="S1360" s="15" t="n">
        <x:f>IF(E1360=0,"해당 없음",K1360/E1360)</x:f>
        <x:v>0.049019607843137254</x:v>
      </x:c>
      <x:c r="T1360" s="15" t="n">
        <x:f>IF(E1360=0,"해당 없음",L1360/E1360)</x:f>
        <x:v>0.37254901960784315</x:v>
      </x:c>
      <x:c r="U1360" s="15" t="n">
        <x:f>IF(E1360=0,"해당 없음",M1360/E1360)</x:f>
        <x:v>0.29411764705882354</x:v>
      </x:c>
      <x:c r="V1360" s="16" t="n">
        <x:f>E1360/5</x:f>
        <x:v>20.4</x:v>
      </x:c>
    </x:row>
    <x:row r="1361" ht="22" customHeight="1">
      <x:c r="A1361" s="2" t="n">
        <x:v>678</x:v>
      </x:c>
      <x:c r="B1361" s="2" t="str">
        <x:v>NAVY</x:v>
      </x:c>
      <x:c r="C1361" s="2" t="str">
        <x:v>40만</x:v>
      </x:c>
      <x:c r="D1361" s="2" t="str">
        <x:v>200만</x:v>
      </x:c>
      <x:c r="E1361" s="14" t="n">
        <x:f>SUM(F1361:M1361)</x:f>
        <x:v>101</x:v>
      </x:c>
      <x:c r="F1361" s="14" t="n">
        <x:v>3</x:v>
      </x:c>
      <x:c r="G1361" s="14" t="n">
        <x:v>29</x:v>
      </x:c>
      <x:c r="H1361" s="14" t="n">
        <x:v>4</x:v>
      </x:c>
      <x:c r="I1361" s="14" t="n">
        <x:v>3</x:v>
      </x:c>
      <x:c r="J1361" s="14" t="n">
        <x:v>8</x:v>
      </x:c>
      <x:c r="K1361" s="14" t="n">
        <x:v>5</x:v>
      </x:c>
      <x:c r="L1361" s="14" t="n">
        <x:v>39</x:v>
      </x:c>
      <x:c r="M1361" s="14" t="n">
        <x:v>10</x:v>
      </x:c>
      <x:c r="N1361" s="15" t="n">
        <x:f>IF(E1361=0,"해당 없음",F1361/E1361)</x:f>
        <x:v>0.0297029702970297</x:v>
      </x:c>
      <x:c r="O1361" s="15" t="n">
        <x:f>IF(E1361=0,"해당 없음",G1361/E1361)</x:f>
        <x:v>0.2871287128712871</x:v>
      </x:c>
      <x:c r="P1361" s="15" t="n">
        <x:f>IF(E1361=0,"해당 없음",H1361/E1361)</x:f>
        <x:v>0.039603960396039604</x:v>
      </x:c>
      <x:c r="Q1361" s="15" t="n">
        <x:f>IF(E1361=0,"해당 없음",I1361/E1361)</x:f>
        <x:v>0.0297029702970297</x:v>
      </x:c>
      <x:c r="R1361" s="15" t="n">
        <x:f>IF(E1361=0,"해당 없음",J1361/E1361)</x:f>
        <x:v>0.07920792079207921</x:v>
      </x:c>
      <x:c r="S1361" s="15" t="n">
        <x:f>IF(E1361=0,"해당 없음",K1361/E1361)</x:f>
        <x:v>0.04950495049504951</x:v>
      </x:c>
      <x:c r="T1361" s="15" t="n">
        <x:f>IF(E1361=0,"해당 없음",L1361/E1361)</x:f>
        <x:v>0.38613861386138615</x:v>
      </x:c>
      <x:c r="U1361" s="15" t="n">
        <x:f>IF(E1361=0,"해당 없음",M1361/E1361)</x:f>
        <x:v>0.09900990099009901</x:v>
      </x:c>
      <x:c r="V1361" s="16" t="n">
        <x:f>E1361/5</x:f>
        <x:v>20.2</x:v>
      </x:c>
    </x:row>
    <x:row r="1362" ht="22" customHeight="1">
      <x:c r="A1362" s="2" t="n">
        <x:v>679</x:v>
      </x:c>
      <x:c r="B1362" s="2" t="str">
        <x:v>RED</x:v>
      </x:c>
      <x:c r="C1362" s="2" t="str">
        <x:v>40만</x:v>
      </x:c>
      <x:c r="D1362" s="2" t="str">
        <x:v>200만</x:v>
      </x:c>
      <x:c r="E1362" s="14" t="n">
        <x:f>SUM(F1362:M1362)</x:f>
        <x:v>105</x:v>
      </x:c>
      <x:c r="F1362" s="14" t="n">
        <x:v>5</x:v>
      </x:c>
      <x:c r="G1362" s="14" t="n">
        <x:v>31</x:v>
      </x:c>
      <x:c r="H1362" s="14" t="n">
        <x:v>9</x:v>
      </x:c>
      <x:c r="I1362" s="14" t="n">
        <x:v>6</x:v>
      </x:c>
      <x:c r="J1362" s="14" t="n">
        <x:v>5</x:v>
      </x:c>
      <x:c r="K1362" s="14" t="n">
        <x:v>4</x:v>
      </x:c>
      <x:c r="L1362" s="14" t="n">
        <x:v>44</x:v>
      </x:c>
      <x:c r="M1362" s="14" t="n">
        <x:v>1</x:v>
      </x:c>
      <x:c r="N1362" s="15" t="n">
        <x:f>IF(E1362=0,"해당 없음",F1362/E1362)</x:f>
        <x:v>0.047619047619047616</x:v>
      </x:c>
      <x:c r="O1362" s="15" t="n">
        <x:f>IF(E1362=0,"해당 없음",G1362/E1362)</x:f>
        <x:v>0.29523809523809524</x:v>
      </x:c>
      <x:c r="P1362" s="15" t="n">
        <x:f>IF(E1362=0,"해당 없음",H1362/E1362)</x:f>
        <x:v>0.08571428571428572</x:v>
      </x:c>
      <x:c r="Q1362" s="15" t="n">
        <x:f>IF(E1362=0,"해당 없음",I1362/E1362)</x:f>
        <x:v>0.05714285714285714</x:v>
      </x:c>
      <x:c r="R1362" s="15" t="n">
        <x:f>IF(E1362=0,"해당 없음",J1362/E1362)</x:f>
        <x:v>0.047619047619047616</x:v>
      </x:c>
      <x:c r="S1362" s="15" t="n">
        <x:f>IF(E1362=0,"해당 없음",K1362/E1362)</x:f>
        <x:v>0.0380952380952381</x:v>
      </x:c>
      <x:c r="T1362" s="15" t="n">
        <x:f>IF(E1362=0,"해당 없음",L1362/E1362)</x:f>
        <x:v>0.41904761904761906</x:v>
      </x:c>
      <x:c r="U1362" s="15" t="n">
        <x:f>IF(E1362=0,"해당 없음",M1362/E1362)</x:f>
        <x:v>0.009523809523809525</x:v>
      </x:c>
      <x:c r="V1362" s="16" t="n">
        <x:f>E1362/5</x:f>
        <x:v>21</x:v>
      </x:c>
    </x:row>
    <x:row r="1363" ht="22" customHeight="1">
      <x:c r="A1363" s="2" t="n">
        <x:v>679</x:v>
      </x:c>
      <x:c r="B1363" s="2" t="str">
        <x:v>NAVY</x:v>
      </x:c>
      <x:c r="C1363" s="2" t="str">
        <x:v>200만</x:v>
      </x:c>
      <x:c r="D1363" s="2" t="str">
        <x:v>40만</x:v>
      </x:c>
      <x:c r="E1363" s="14" t="n">
        <x:f>SUM(F1363:M1363)</x:f>
        <x:v>106</x:v>
      </x:c>
      <x:c r="F1363" s="14" t="n">
        <x:v>4</x:v>
      </x:c>
      <x:c r="G1363" s="14" t="n">
        <x:v>19</x:v>
      </x:c>
      <x:c r="H1363" s="14" t="n">
        <x:v>6</x:v>
      </x:c>
      <x:c r="I1363" s="14" t="n">
        <x:v>1</x:v>
      </x:c>
      <x:c r="J1363" s="14" t="n">
        <x:v>8</x:v>
      </x:c>
      <x:c r="K1363" s="14" t="n">
        <x:v>4</x:v>
      </x:c>
      <x:c r="L1363" s="14" t="n">
        <x:v>35</x:v>
      </x:c>
      <x:c r="M1363" s="14" t="n">
        <x:v>29</x:v>
      </x:c>
      <x:c r="N1363" s="15" t="n">
        <x:f>IF(E1363=0,"해당 없음",F1363/E1363)</x:f>
        <x:v>0.03773584905660377</x:v>
      </x:c>
      <x:c r="O1363" s="15" t="n">
        <x:f>IF(E1363=0,"해당 없음",G1363/E1363)</x:f>
        <x:v>0.1792452830188679</x:v>
      </x:c>
      <x:c r="P1363" s="15" t="n">
        <x:f>IF(E1363=0,"해당 없음",H1363/E1363)</x:f>
        <x:v>0.05660377358490566</x:v>
      </x:c>
      <x:c r="Q1363" s="15" t="n">
        <x:f>IF(E1363=0,"해당 없음",I1363/E1363)</x:f>
        <x:v>0.009433962264150943</x:v>
      </x:c>
      <x:c r="R1363" s="15" t="n">
        <x:f>IF(E1363=0,"해당 없음",J1363/E1363)</x:f>
        <x:v>0.07547169811320754</x:v>
      </x:c>
      <x:c r="S1363" s="15" t="n">
        <x:f>IF(E1363=0,"해당 없음",K1363/E1363)</x:f>
        <x:v>0.03773584905660377</x:v>
      </x:c>
      <x:c r="T1363" s="15" t="n">
        <x:f>IF(E1363=0,"해당 없음",L1363/E1363)</x:f>
        <x:v>0.330188679245283</x:v>
      </x:c>
      <x:c r="U1363" s="15" t="n">
        <x:f>IF(E1363=0,"해당 없음",M1363/E1363)</x:f>
        <x:v>0.27358490566037735</x:v>
      </x:c>
      <x:c r="V1363" s="16" t="n">
        <x:f>E1363/5</x:f>
        <x:v>21.2</x:v>
      </x:c>
    </x:row>
    <x:row r="1364" ht="22" customHeight="1">
      <x:c r="A1364" s="2" t="n">
        <x:v>680</x:v>
      </x:c>
      <x:c r="B1364" s="2" t="str">
        <x:v>RED</x:v>
      </x:c>
      <x:c r="C1364" s="2" t="str">
        <x:v>200만</x:v>
      </x:c>
      <x:c r="D1364" s="2" t="str">
        <x:v>40만</x:v>
      </x:c>
      <x:c r="E1364" s="14" t="n">
        <x:f>SUM(F1364:M1364)</x:f>
        <x:v>104</x:v>
      </x:c>
      <x:c r="F1364" s="14" t="n">
        <x:v>5</x:v>
      </x:c>
      <x:c r="G1364" s="14" t="n">
        <x:v>17</x:v>
      </x:c>
      <x:c r="H1364" s="14" t="n">
        <x:v>6</x:v>
      </x:c>
      <x:c r="I1364" s="14" t="n">
        <x:v>5</x:v>
      </x:c>
      <x:c r="J1364" s="14" t="n">
        <x:v>3</x:v>
      </x:c>
      <x:c r="K1364" s="14" t="n">
        <x:v>4</x:v>
      </x:c>
      <x:c r="L1364" s="14" t="n">
        <x:v>34</x:v>
      </x:c>
      <x:c r="M1364" s="14" t="n">
        <x:v>30</x:v>
      </x:c>
      <x:c r="N1364" s="15" t="n">
        <x:f>IF(E1364=0,"해당 없음",F1364/E1364)</x:f>
        <x:v>0.04807692307692308</x:v>
      </x:c>
      <x:c r="O1364" s="15" t="n">
        <x:f>IF(E1364=0,"해당 없음",G1364/E1364)</x:f>
        <x:v>0.16346153846153846</x:v>
      </x:c>
      <x:c r="P1364" s="15" t="n">
        <x:f>IF(E1364=0,"해당 없음",H1364/E1364)</x:f>
        <x:v>0.057692307692307696</x:v>
      </x:c>
      <x:c r="Q1364" s="15" t="n">
        <x:f>IF(E1364=0,"해당 없음",I1364/E1364)</x:f>
        <x:v>0.04807692307692308</x:v>
      </x:c>
      <x:c r="R1364" s="15" t="n">
        <x:f>IF(E1364=0,"해당 없음",J1364/E1364)</x:f>
        <x:v>0.028846153846153848</x:v>
      </x:c>
      <x:c r="S1364" s="15" t="n">
        <x:f>IF(E1364=0,"해당 없음",K1364/E1364)</x:f>
        <x:v>0.038461538461538464</x:v>
      </x:c>
      <x:c r="T1364" s="15" t="n">
        <x:f>IF(E1364=0,"해당 없음",L1364/E1364)</x:f>
        <x:v>0.3269230769230769</x:v>
      </x:c>
      <x:c r="U1364" s="15" t="n">
        <x:f>IF(E1364=0,"해당 없음",M1364/E1364)</x:f>
        <x:v>0.28846153846153844</x:v>
      </x:c>
      <x:c r="V1364" s="16" t="n">
        <x:f>E1364/5</x:f>
        <x:v>20.8</x:v>
      </x:c>
    </x:row>
    <x:row r="1365" ht="22" customHeight="1">
      <x:c r="A1365" s="2" t="n">
        <x:v>680</x:v>
      </x:c>
      <x:c r="B1365" s="2" t="str">
        <x:v>NAVY</x:v>
      </x:c>
      <x:c r="C1365" s="2" t="str">
        <x:v>40만</x:v>
      </x:c>
      <x:c r="D1365" s="2" t="str">
        <x:v>200만</x:v>
      </x:c>
      <x:c r="E1365" s="14" t="n">
        <x:f>SUM(F1365:M1365)</x:f>
        <x:v>105</x:v>
      </x:c>
      <x:c r="F1365" s="14" t="n">
        <x:v>6</x:v>
      </x:c>
      <x:c r="G1365" s="14" t="n">
        <x:v>25</x:v>
      </x:c>
      <x:c r="H1365" s="14" t="n">
        <x:v>5</x:v>
      </x:c>
      <x:c r="I1365" s="14" t="n">
        <x:v>9</x:v>
      </x:c>
      <x:c r="J1365" s="14" t="n">
        <x:v>4</x:v>
      </x:c>
      <x:c r="K1365" s="14" t="n">
        <x:v>12</x:v>
      </x:c>
      <x:c r="L1365" s="14" t="n">
        <x:v>40</x:v>
      </x:c>
      <x:c r="M1365" s="14" t="n">
        <x:v>4</x:v>
      </x:c>
      <x:c r="N1365" s="15" t="n">
        <x:f>IF(E1365=0,"해당 없음",F1365/E1365)</x:f>
        <x:v>0.05714285714285714</x:v>
      </x:c>
      <x:c r="O1365" s="15" t="n">
        <x:f>IF(E1365=0,"해당 없음",G1365/E1365)</x:f>
        <x:v>0.23809523809523808</x:v>
      </x:c>
      <x:c r="P1365" s="15" t="n">
        <x:f>IF(E1365=0,"해당 없음",H1365/E1365)</x:f>
        <x:v>0.047619047619047616</x:v>
      </x:c>
      <x:c r="Q1365" s="15" t="n">
        <x:f>IF(E1365=0,"해당 없음",I1365/E1365)</x:f>
        <x:v>0.08571428571428572</x:v>
      </x:c>
      <x:c r="R1365" s="15" t="n">
        <x:f>IF(E1365=0,"해당 없음",J1365/E1365)</x:f>
        <x:v>0.0380952380952381</x:v>
      </x:c>
      <x:c r="S1365" s="15" t="n">
        <x:f>IF(E1365=0,"해당 없음",K1365/E1365)</x:f>
        <x:v>0.11428571428571428</x:v>
      </x:c>
      <x:c r="T1365" s="15" t="n">
        <x:f>IF(E1365=0,"해당 없음",L1365/E1365)</x:f>
        <x:v>0.38095238095238093</x:v>
      </x:c>
      <x:c r="U1365" s="15" t="n">
        <x:f>IF(E1365=0,"해당 없음",M1365/E1365)</x:f>
        <x:v>0.0380952380952381</x:v>
      </x:c>
      <x:c r="V1365" s="16" t="n">
        <x:f>E1365/5</x:f>
        <x:v>21</x:v>
      </x:c>
    </x:row>
    <x:row r="1366" ht="22" customHeight="1">
      <x:c r="A1366" s="2" t="n">
        <x:v>681</x:v>
      </x:c>
      <x:c r="B1366" s="2" t="str">
        <x:v>RED</x:v>
      </x:c>
      <x:c r="C1366" s="2" t="str">
        <x:v>40만</x:v>
      </x:c>
      <x:c r="D1366" s="2" t="str">
        <x:v>240만</x:v>
      </x:c>
      <x:c r="E1366" s="14" t="n">
        <x:f>SUM(F1366:M1366)</x:f>
        <x:v>104</x:v>
      </x:c>
      <x:c r="F1366" s="14" t="n">
        <x:v>3</x:v>
      </x:c>
      <x:c r="G1366" s="14" t="n">
        <x:v>28</x:v>
      </x:c>
      <x:c r="H1366" s="14" t="n">
        <x:v>9</x:v>
      </x:c>
      <x:c r="I1366" s="14" t="n">
        <x:v>8</x:v>
      </x:c>
      <x:c r="J1366" s="14" t="n">
        <x:v>6</x:v>
      </x:c>
      <x:c r="K1366" s="14" t="n">
        <x:v>9</x:v>
      </x:c>
      <x:c r="L1366" s="14" t="n">
        <x:v>38</x:v>
      </x:c>
      <x:c r="M1366" s="14" t="n">
        <x:v>3</x:v>
      </x:c>
      <x:c r="N1366" s="15" t="n">
        <x:f>IF(E1366=0,"해당 없음",F1366/E1366)</x:f>
        <x:v>0.028846153846153848</x:v>
      </x:c>
      <x:c r="O1366" s="15" t="n">
        <x:f>IF(E1366=0,"해당 없음",G1366/E1366)</x:f>
        <x:v>0.2692307692307692</x:v>
      </x:c>
      <x:c r="P1366" s="15" t="n">
        <x:f>IF(E1366=0,"해당 없음",H1366/E1366)</x:f>
        <x:v>0.08653846153846154</x:v>
      </x:c>
      <x:c r="Q1366" s="15" t="n">
        <x:f>IF(E1366=0,"해당 없음",I1366/E1366)</x:f>
        <x:v>0.07692307692307693</x:v>
      </x:c>
      <x:c r="R1366" s="15" t="n">
        <x:f>IF(E1366=0,"해당 없음",J1366/E1366)</x:f>
        <x:v>0.057692307692307696</x:v>
      </x:c>
      <x:c r="S1366" s="15" t="n">
        <x:f>IF(E1366=0,"해당 없음",K1366/E1366)</x:f>
        <x:v>0.08653846153846154</x:v>
      </x:c>
      <x:c r="T1366" s="15" t="n">
        <x:f>IF(E1366=0,"해당 없음",L1366/E1366)</x:f>
        <x:v>0.36538461538461536</x:v>
      </x:c>
      <x:c r="U1366" s="15" t="n">
        <x:f>IF(E1366=0,"해당 없음",M1366/E1366)</x:f>
        <x:v>0.028846153846153848</x:v>
      </x:c>
      <x:c r="V1366" s="16" t="n">
        <x:f>E1366/5</x:f>
        <x:v>20.8</x:v>
      </x:c>
    </x:row>
    <x:row r="1367" ht="22" customHeight="1">
      <x:c r="A1367" s="2" t="n">
        <x:v>681</x:v>
      </x:c>
      <x:c r="B1367" s="2" t="str">
        <x:v>NAVY</x:v>
      </x:c>
      <x:c r="C1367" s="2" t="str">
        <x:v>240만</x:v>
      </x:c>
      <x:c r="D1367" s="2" t="str">
        <x:v>40만</x:v>
      </x:c>
      <x:c r="E1367" s="14" t="n">
        <x:f>SUM(F1367:M1367)</x:f>
        <x:v>101</x:v>
      </x:c>
      <x:c r="F1367" s="14" t="n">
        <x:v>4</x:v>
      </x:c>
      <x:c r="G1367" s="14" t="n">
        <x:v>6</x:v>
      </x:c>
      <x:c r="H1367" s="14" t="n">
        <x:v>4</x:v>
      </x:c>
      <x:c r="I1367" s="14" t="n">
        <x:v>4</x:v>
      </x:c>
      <x:c r="J1367" s="14" t="n">
        <x:v>1</x:v>
      </x:c>
      <x:c r="K1367" s="14" t="n">
        <x:v>3</x:v>
      </x:c>
      <x:c r="L1367" s="14" t="n">
        <x:v>36</x:v>
      </x:c>
      <x:c r="M1367" s="14" t="n">
        <x:v>43</x:v>
      </x:c>
      <x:c r="N1367" s="15" t="n">
        <x:f>IF(E1367=0,"해당 없음",F1367/E1367)</x:f>
        <x:v>0.039603960396039604</x:v>
      </x:c>
      <x:c r="O1367" s="15" t="n">
        <x:f>IF(E1367=0,"해당 없음",G1367/E1367)</x:f>
        <x:v>0.0594059405940594</x:v>
      </x:c>
      <x:c r="P1367" s="15" t="n">
        <x:f>IF(E1367=0,"해당 없음",H1367/E1367)</x:f>
        <x:v>0.039603960396039604</x:v>
      </x:c>
      <x:c r="Q1367" s="15" t="n">
        <x:f>IF(E1367=0,"해당 없음",I1367/E1367)</x:f>
        <x:v>0.039603960396039604</x:v>
      </x:c>
      <x:c r="R1367" s="15" t="n">
        <x:f>IF(E1367=0,"해당 없음",J1367/E1367)</x:f>
        <x:v>0.009900990099009901</x:v>
      </x:c>
      <x:c r="S1367" s="15" t="n">
        <x:f>IF(E1367=0,"해당 없음",K1367/E1367)</x:f>
        <x:v>0.0297029702970297</x:v>
      </x:c>
      <x:c r="T1367" s="15" t="n">
        <x:f>IF(E1367=0,"해당 없음",L1367/E1367)</x:f>
        <x:v>0.3564356435643564</x:v>
      </x:c>
      <x:c r="U1367" s="15" t="n">
        <x:f>IF(E1367=0,"해당 없음",M1367/E1367)</x:f>
        <x:v>0.42574257425742573</x:v>
      </x:c>
      <x:c r="V1367" s="16" t="n">
        <x:f>E1367/5</x:f>
        <x:v>20.2</x:v>
      </x:c>
    </x:row>
    <x:row r="1368" ht="22" customHeight="1">
      <x:c r="A1368" s="2" t="n">
        <x:v>682</x:v>
      </x:c>
      <x:c r="B1368" s="2" t="str">
        <x:v>RED</x:v>
      </x:c>
      <x:c r="C1368" s="2" t="str">
        <x:v>240만</x:v>
      </x:c>
      <x:c r="D1368" s="2" t="str">
        <x:v>40만</x:v>
      </x:c>
      <x:c r="E1368" s="14" t="n">
        <x:f>SUM(F1368:M1368)</x:f>
        <x:v>105</x:v>
      </x:c>
      <x:c r="F1368" s="14" t="n">
        <x:v>2</x:v>
      </x:c>
      <x:c r="G1368" s="14" t="n">
        <x:v>14</x:v>
      </x:c>
      <x:c r="H1368" s="14" t="n">
        <x:v>4</x:v>
      </x:c>
      <x:c r="I1368" s="14" t="n">
        <x:v>6</x:v>
      </x:c>
      <x:c r="J1368" s="14" t="n">
        <x:v>1</x:v>
      </x:c>
      <x:c r="K1368" s="14" t="n">
        <x:v>2</x:v>
      </x:c>
      <x:c r="L1368" s="14" t="n">
        <x:v>35</x:v>
      </x:c>
      <x:c r="M1368" s="14" t="n">
        <x:v>41</x:v>
      </x:c>
      <x:c r="N1368" s="15" t="n">
        <x:f>IF(E1368=0,"해당 없음",F1368/E1368)</x:f>
        <x:v>0.01904761904761905</x:v>
      </x:c>
      <x:c r="O1368" s="15" t="n">
        <x:f>IF(E1368=0,"해당 없음",G1368/E1368)</x:f>
        <x:v>0.13333333333333333</x:v>
      </x:c>
      <x:c r="P1368" s="15" t="n">
        <x:f>IF(E1368=0,"해당 없음",H1368/E1368)</x:f>
        <x:v>0.0380952380952381</x:v>
      </x:c>
      <x:c r="Q1368" s="15" t="n">
        <x:f>IF(E1368=0,"해당 없음",I1368/E1368)</x:f>
        <x:v>0.05714285714285714</x:v>
      </x:c>
      <x:c r="R1368" s="15" t="n">
        <x:f>IF(E1368=0,"해당 없음",J1368/E1368)</x:f>
        <x:v>0.009523809523809525</x:v>
      </x:c>
      <x:c r="S1368" s="15" t="n">
        <x:f>IF(E1368=0,"해당 없음",K1368/E1368)</x:f>
        <x:v>0.01904761904761905</x:v>
      </x:c>
      <x:c r="T1368" s="15" t="n">
        <x:f>IF(E1368=0,"해당 없음",L1368/E1368)</x:f>
        <x:v>0.3333333333333333</x:v>
      </x:c>
      <x:c r="U1368" s="15" t="n">
        <x:f>IF(E1368=0,"해당 없음",M1368/E1368)</x:f>
        <x:v>0.3904761904761905</x:v>
      </x:c>
      <x:c r="V1368" s="16" t="n">
        <x:f>E1368/5</x:f>
        <x:v>21</x:v>
      </x:c>
    </x:row>
    <x:row r="1369" ht="22" customHeight="1">
      <x:c r="A1369" s="2" t="n">
        <x:v>682</x:v>
      </x:c>
      <x:c r="B1369" s="2" t="str">
        <x:v>NAVY</x:v>
      </x:c>
      <x:c r="C1369" s="2" t="str">
        <x:v>40만</x:v>
      </x:c>
      <x:c r="D1369" s="2" t="str">
        <x:v>240만</x:v>
      </x:c>
      <x:c r="E1369" s="14" t="n">
        <x:f>SUM(F1369:M1369)</x:f>
        <x:v>104</x:v>
      </x:c>
      <x:c r="F1369" s="14" t="n">
        <x:v>2</x:v>
      </x:c>
      <x:c r="G1369" s="14" t="n">
        <x:v>29</x:v>
      </x:c>
      <x:c r="H1369" s="14" t="n">
        <x:v>5</x:v>
      </x:c>
      <x:c r="I1369" s="14" t="n">
        <x:v>7</x:v>
      </x:c>
      <x:c r="J1369" s="14" t="n">
        <x:v>5</x:v>
      </x:c>
      <x:c r="K1369" s="14" t="n">
        <x:v>9</x:v>
      </x:c>
      <x:c r="L1369" s="14" t="n">
        <x:v>39</x:v>
      </x:c>
      <x:c r="M1369" s="14" t="n">
        <x:v>8</x:v>
      </x:c>
      <x:c r="N1369" s="15" t="n">
        <x:f>IF(E1369=0,"해당 없음",F1369/E1369)</x:f>
        <x:v>0.019230769230769232</x:v>
      </x:c>
      <x:c r="O1369" s="15" t="n">
        <x:f>IF(E1369=0,"해당 없음",G1369/E1369)</x:f>
        <x:v>0.27884615384615385</x:v>
      </x:c>
      <x:c r="P1369" s="15" t="n">
        <x:f>IF(E1369=0,"해당 없음",H1369/E1369)</x:f>
        <x:v>0.04807692307692308</x:v>
      </x:c>
      <x:c r="Q1369" s="15" t="n">
        <x:f>IF(E1369=0,"해당 없음",I1369/E1369)</x:f>
        <x:v>0.0673076923076923</x:v>
      </x:c>
      <x:c r="R1369" s="15" t="n">
        <x:f>IF(E1369=0,"해당 없음",J1369/E1369)</x:f>
        <x:v>0.04807692307692308</x:v>
      </x:c>
      <x:c r="S1369" s="15" t="n">
        <x:f>IF(E1369=0,"해당 없음",K1369/E1369)</x:f>
        <x:v>0.08653846153846154</x:v>
      </x:c>
      <x:c r="T1369" s="15" t="n">
        <x:f>IF(E1369=0,"해당 없음",L1369/E1369)</x:f>
        <x:v>0.375</x:v>
      </x:c>
      <x:c r="U1369" s="15" t="n">
        <x:f>IF(E1369=0,"해당 없음",M1369/E1369)</x:f>
        <x:v>0.07692307692307693</x:v>
      </x:c>
      <x:c r="V1369" s="16" t="n">
        <x:f>E1369/5</x:f>
        <x:v>20.8</x:v>
      </x:c>
    </x:row>
    <x:row r="1370" ht="22" customHeight="1">
      <x:c r="A1370" s="2" t="n">
        <x:v>683</x:v>
      </x:c>
      <x:c r="B1370" s="2" t="str">
        <x:v>RED</x:v>
      </x:c>
      <x:c r="C1370" s="2" t="str">
        <x:v>40만</x:v>
      </x:c>
      <x:c r="D1370" s="2" t="str">
        <x:v>240만</x:v>
      </x:c>
      <x:c r="E1370" s="14" t="n">
        <x:f>SUM(F1370:M1370)</x:f>
        <x:v>102</x:v>
      </x:c>
      <x:c r="F1370" s="14" t="n">
        <x:v>5</x:v>
      </x:c>
      <x:c r="G1370" s="14" t="n">
        <x:v>24</x:v>
      </x:c>
      <x:c r="H1370" s="14" t="n">
        <x:v>9</x:v>
      </x:c>
      <x:c r="I1370" s="14" t="n">
        <x:v>8</x:v>
      </x:c>
      <x:c r="J1370" s="14" t="n">
        <x:v>2</x:v>
      </x:c>
      <x:c r="K1370" s="14" t="n">
        <x:v>13</x:v>
      </x:c>
      <x:c r="L1370" s="14" t="n">
        <x:v>37</x:v>
      </x:c>
      <x:c r="M1370" s="14" t="n">
        <x:v>4</x:v>
      </x:c>
      <x:c r="N1370" s="15" t="n">
        <x:f>IF(E1370=0,"해당 없음",F1370/E1370)</x:f>
        <x:v>0.049019607843137254</x:v>
      </x:c>
      <x:c r="O1370" s="15" t="n">
        <x:f>IF(E1370=0,"해당 없음",G1370/E1370)</x:f>
        <x:v>0.23529411764705882</x:v>
      </x:c>
      <x:c r="P1370" s="15" t="n">
        <x:f>IF(E1370=0,"해당 없음",H1370/E1370)</x:f>
        <x:v>0.08823529411764706</x:v>
      </x:c>
      <x:c r="Q1370" s="15" t="n">
        <x:f>IF(E1370=0,"해당 없음",I1370/E1370)</x:f>
        <x:v>0.0784313725490196</x:v>
      </x:c>
      <x:c r="R1370" s="15" t="n">
        <x:f>IF(E1370=0,"해당 없음",J1370/E1370)</x:f>
        <x:v>0.0196078431372549</x:v>
      </x:c>
      <x:c r="S1370" s="15" t="n">
        <x:f>IF(E1370=0,"해당 없음",K1370/E1370)</x:f>
        <x:v>0.12745098039215685</x:v>
      </x:c>
      <x:c r="T1370" s="15" t="n">
        <x:f>IF(E1370=0,"해당 없음",L1370/E1370)</x:f>
        <x:v>0.3627450980392157</x:v>
      </x:c>
      <x:c r="U1370" s="15" t="n">
        <x:f>IF(E1370=0,"해당 없음",M1370/E1370)</x:f>
        <x:v>0.0392156862745098</x:v>
      </x:c>
      <x:c r="V1370" s="16" t="n">
        <x:f>E1370/5</x:f>
        <x:v>20.4</x:v>
      </x:c>
    </x:row>
    <x:row r="1371" ht="22" customHeight="1">
      <x:c r="A1371" s="2" t="n">
        <x:v>683</x:v>
      </x:c>
      <x:c r="B1371" s="2" t="str">
        <x:v>NAVY</x:v>
      </x:c>
      <x:c r="C1371" s="2" t="str">
        <x:v>240만</x:v>
      </x:c>
      <x:c r="D1371" s="2" t="str">
        <x:v>40만</x:v>
      </x:c>
      <x:c r="E1371" s="14" t="n">
        <x:f>SUM(F1371:M1371)</x:f>
        <x:v>104</x:v>
      </x:c>
      <x:c r="F1371" s="14" t="n">
        <x:v>2</x:v>
      </x:c>
      <x:c r="G1371" s="14" t="n">
        <x:v>10</x:v>
      </x:c>
      <x:c r="H1371" s="14" t="n">
        <x:v>2</x:v>
      </x:c>
      <x:c r="I1371" s="14" t="n">
        <x:v>3</x:v>
      </x:c>
      <x:c r="J1371" s="14" t="n">
        <x:v>1</x:v>
      </x:c>
      <x:c r="K1371" s="14" t="n">
        <x:v>4</x:v>
      </x:c>
      <x:c r="L1371" s="14" t="n">
        <x:v>33</x:v>
      </x:c>
      <x:c r="M1371" s="14" t="n">
        <x:v>49</x:v>
      </x:c>
      <x:c r="N1371" s="15" t="n">
        <x:f>IF(E1371=0,"해당 없음",F1371/E1371)</x:f>
        <x:v>0.019230769230769232</x:v>
      </x:c>
      <x:c r="O1371" s="15" t="n">
        <x:f>IF(E1371=0,"해당 없음",G1371/E1371)</x:f>
        <x:v>0.09615384615384616</x:v>
      </x:c>
      <x:c r="P1371" s="15" t="n">
        <x:f>IF(E1371=0,"해당 없음",H1371/E1371)</x:f>
        <x:v>0.019230769230769232</x:v>
      </x:c>
      <x:c r="Q1371" s="15" t="n">
        <x:f>IF(E1371=0,"해당 없음",I1371/E1371)</x:f>
        <x:v>0.028846153846153848</x:v>
      </x:c>
      <x:c r="R1371" s="15" t="n">
        <x:f>IF(E1371=0,"해당 없음",J1371/E1371)</x:f>
        <x:v>0.009615384615384616</x:v>
      </x:c>
      <x:c r="S1371" s="15" t="n">
        <x:f>IF(E1371=0,"해당 없음",K1371/E1371)</x:f>
        <x:v>0.038461538461538464</x:v>
      </x:c>
      <x:c r="T1371" s="15" t="n">
        <x:f>IF(E1371=0,"해당 없음",L1371/E1371)</x:f>
        <x:v>0.3173076923076923</x:v>
      </x:c>
      <x:c r="U1371" s="15" t="n">
        <x:f>IF(E1371=0,"해당 없음",M1371/E1371)</x:f>
        <x:v>0.47115384615384615</x:v>
      </x:c>
      <x:c r="V1371" s="16" t="n">
        <x:f>E1371/5</x:f>
        <x:v>20.8</x:v>
      </x:c>
    </x:row>
    <x:row r="1372" ht="22" customHeight="1">
      <x:c r="A1372" s="2" t="n">
        <x:v>684</x:v>
      </x:c>
      <x:c r="B1372" s="2" t="str">
        <x:v>RED</x:v>
      </x:c>
      <x:c r="C1372" s="2" t="str">
        <x:v>240만</x:v>
      </x:c>
      <x:c r="D1372" s="2" t="str">
        <x:v>40만</x:v>
      </x:c>
      <x:c r="E1372" s="14" t="n">
        <x:f>SUM(F1372:M1372)</x:f>
        <x:v>105</x:v>
      </x:c>
      <x:c r="F1372" s="14" t="n">
        <x:v>0</x:v>
      </x:c>
      <x:c r="G1372" s="14" t="n">
        <x:v>10</x:v>
      </x:c>
      <x:c r="H1372" s="14" t="n">
        <x:v>2</x:v>
      </x:c>
      <x:c r="I1372" s="14" t="n">
        <x:v>12</x:v>
      </x:c>
      <x:c r="J1372" s="14" t="n">
        <x:v>0</x:v>
      </x:c>
      <x:c r="K1372" s="14" t="n">
        <x:v>3</x:v>
      </x:c>
      <x:c r="L1372" s="14" t="n">
        <x:v>39</x:v>
      </x:c>
      <x:c r="M1372" s="14" t="n">
        <x:v>39</x:v>
      </x:c>
      <x:c r="N1372" s="15" t="n">
        <x:f>IF(E1372=0,"해당 없음",F1372/E1372)</x:f>
        <x:v>0</x:v>
      </x:c>
      <x:c r="O1372" s="15" t="n">
        <x:f>IF(E1372=0,"해당 없음",G1372/E1372)</x:f>
        <x:v>0.09523809523809523</x:v>
      </x:c>
      <x:c r="P1372" s="15" t="n">
        <x:f>IF(E1372=0,"해당 없음",H1372/E1372)</x:f>
        <x:v>0.01904761904761905</x:v>
      </x:c>
      <x:c r="Q1372" s="15" t="n">
        <x:f>IF(E1372=0,"해당 없음",I1372/E1372)</x:f>
        <x:v>0.11428571428571428</x:v>
      </x:c>
      <x:c r="R1372" s="15" t="n">
        <x:f>IF(E1372=0,"해당 없음",J1372/E1372)</x:f>
        <x:v>0</x:v>
      </x:c>
      <x:c r="S1372" s="15" t="n">
        <x:f>IF(E1372=0,"해당 없음",K1372/E1372)</x:f>
        <x:v>0.02857142857142857</x:v>
      </x:c>
      <x:c r="T1372" s="15" t="n">
        <x:f>IF(E1372=0,"해당 없음",L1372/E1372)</x:f>
        <x:v>0.37142857142857144</x:v>
      </x:c>
      <x:c r="U1372" s="15" t="n">
        <x:f>IF(E1372=0,"해당 없음",M1372/E1372)</x:f>
        <x:v>0.37142857142857144</x:v>
      </x:c>
      <x:c r="V1372" s="16" t="n">
        <x:f>E1372/5</x:f>
        <x:v>21</x:v>
      </x:c>
    </x:row>
    <x:row r="1373" ht="22" customHeight="1">
      <x:c r="A1373" s="2" t="n">
        <x:v>684</x:v>
      </x:c>
      <x:c r="B1373" s="2" t="str">
        <x:v>NAVY</x:v>
      </x:c>
      <x:c r="C1373" s="2" t="str">
        <x:v>40만</x:v>
      </x:c>
      <x:c r="D1373" s="2" t="str">
        <x:v>240만</x:v>
      </x:c>
      <x:c r="E1373" s="14" t="n">
        <x:f>SUM(F1373:M1373)</x:f>
        <x:v>105</x:v>
      </x:c>
      <x:c r="F1373" s="14" t="n">
        <x:v>5</x:v>
      </x:c>
      <x:c r="G1373" s="14" t="n">
        <x:v>23</x:v>
      </x:c>
      <x:c r="H1373" s="14" t="n">
        <x:v>7</x:v>
      </x:c>
      <x:c r="I1373" s="14" t="n">
        <x:v>10</x:v>
      </x:c>
      <x:c r="J1373" s="14" t="n">
        <x:v>7</x:v>
      </x:c>
      <x:c r="K1373" s="14" t="n">
        <x:v>5</x:v>
      </x:c>
      <x:c r="L1373" s="14" t="n">
        <x:v>45</x:v>
      </x:c>
      <x:c r="M1373" s="14" t="n">
        <x:v>3</x:v>
      </x:c>
      <x:c r="N1373" s="15" t="n">
        <x:f>IF(E1373=0,"해당 없음",F1373/E1373)</x:f>
        <x:v>0.047619047619047616</x:v>
      </x:c>
      <x:c r="O1373" s="15" t="n">
        <x:f>IF(E1373=0,"해당 없음",G1373/E1373)</x:f>
        <x:v>0.21904761904761905</x:v>
      </x:c>
      <x:c r="P1373" s="15" t="n">
        <x:f>IF(E1373=0,"해당 없음",H1373/E1373)</x:f>
        <x:v>0.06666666666666667</x:v>
      </x:c>
      <x:c r="Q1373" s="15" t="n">
        <x:f>IF(E1373=0,"해당 없음",I1373/E1373)</x:f>
        <x:v>0.09523809523809523</x:v>
      </x:c>
      <x:c r="R1373" s="15" t="n">
        <x:f>IF(E1373=0,"해당 없음",J1373/E1373)</x:f>
        <x:v>0.06666666666666667</x:v>
      </x:c>
      <x:c r="S1373" s="15" t="n">
        <x:f>IF(E1373=0,"해당 없음",K1373/E1373)</x:f>
        <x:v>0.047619047619047616</x:v>
      </x:c>
      <x:c r="T1373" s="15" t="n">
        <x:f>IF(E1373=0,"해당 없음",L1373/E1373)</x:f>
        <x:v>0.42857142857142855</x:v>
      </x:c>
      <x:c r="U1373" s="15" t="n">
        <x:f>IF(E1373=0,"해당 없음",M1373/E1373)</x:f>
        <x:v>0.02857142857142857</x:v>
      </x:c>
      <x:c r="V1373" s="16" t="n">
        <x:f>E1373/5</x:f>
        <x:v>21</x:v>
      </x:c>
    </x:row>
    <x:row r="1374" ht="22" customHeight="1">
      <x:c r="A1374" s="2" t="n">
        <x:v>685</x:v>
      </x:c>
      <x:c r="B1374" s="2" t="str">
        <x:v>RED</x:v>
      </x:c>
      <x:c r="C1374" s="2" t="str">
        <x:v>40만</x:v>
      </x:c>
      <x:c r="D1374" s="2" t="str">
        <x:v>240만</x:v>
      </x:c>
      <x:c r="E1374" s="14" t="n">
        <x:f>SUM(F1374:M1374)</x:f>
        <x:v>101</x:v>
      </x:c>
      <x:c r="F1374" s="14" t="n">
        <x:v>4</x:v>
      </x:c>
      <x:c r="G1374" s="14" t="n">
        <x:v>25</x:v>
      </x:c>
      <x:c r="H1374" s="14" t="n">
        <x:v>5</x:v>
      </x:c>
      <x:c r="I1374" s="14" t="n">
        <x:v>7</x:v>
      </x:c>
      <x:c r="J1374" s="14" t="n">
        <x:v>3</x:v>
      </x:c>
      <x:c r="K1374" s="14" t="n">
        <x:v>16</x:v>
      </x:c>
      <x:c r="L1374" s="14" t="n">
        <x:v>38</x:v>
      </x:c>
      <x:c r="M1374" s="14" t="n">
        <x:v>3</x:v>
      </x:c>
      <x:c r="N1374" s="15" t="n">
        <x:f>IF(E1374=0,"해당 없음",F1374/E1374)</x:f>
        <x:v>0.039603960396039604</x:v>
      </x:c>
      <x:c r="O1374" s="15" t="n">
        <x:f>IF(E1374=0,"해당 없음",G1374/E1374)</x:f>
        <x:v>0.24752475247524752</x:v>
      </x:c>
      <x:c r="P1374" s="15" t="n">
        <x:f>IF(E1374=0,"해당 없음",H1374/E1374)</x:f>
        <x:v>0.04950495049504951</x:v>
      </x:c>
      <x:c r="Q1374" s="15" t="n">
        <x:f>IF(E1374=0,"해당 없음",I1374/E1374)</x:f>
        <x:v>0.06930693069306931</x:v>
      </x:c>
      <x:c r="R1374" s="15" t="n">
        <x:f>IF(E1374=0,"해당 없음",J1374/E1374)</x:f>
        <x:v>0.0297029702970297</x:v>
      </x:c>
      <x:c r="S1374" s="15" t="n">
        <x:f>IF(E1374=0,"해당 없음",K1374/E1374)</x:f>
        <x:v>0.15841584158415842</x:v>
      </x:c>
      <x:c r="T1374" s="15" t="n">
        <x:f>IF(E1374=0,"해당 없음",L1374/E1374)</x:f>
        <x:v>0.37623762376237624</x:v>
      </x:c>
      <x:c r="U1374" s="15" t="n">
        <x:f>IF(E1374=0,"해당 없음",M1374/E1374)</x:f>
        <x:v>0.0297029702970297</x:v>
      </x:c>
      <x:c r="V1374" s="16" t="n">
        <x:f>E1374/5</x:f>
        <x:v>20.2</x:v>
      </x:c>
    </x:row>
    <x:row r="1375" ht="22" customHeight="1">
      <x:c r="A1375" s="2" t="n">
        <x:v>685</x:v>
      </x:c>
      <x:c r="B1375" s="2" t="str">
        <x:v>NAVY</x:v>
      </x:c>
      <x:c r="C1375" s="2" t="str">
        <x:v>240만</x:v>
      </x:c>
      <x:c r="D1375" s="2" t="str">
        <x:v>40만</x:v>
      </x:c>
      <x:c r="E1375" s="14" t="n">
        <x:f>SUM(F1375:M1375)</x:f>
        <x:v>102</x:v>
      </x:c>
      <x:c r="F1375" s="14" t="n">
        <x:v>3</x:v>
      </x:c>
      <x:c r="G1375" s="14" t="n">
        <x:v>10</x:v>
      </x:c>
      <x:c r="H1375" s="14" t="n">
        <x:v>1</x:v>
      </x:c>
      <x:c r="I1375" s="14" t="n">
        <x:v>2</x:v>
      </x:c>
      <x:c r="J1375" s="14" t="n">
        <x:v>2</x:v>
      </x:c>
      <x:c r="K1375" s="14" t="n">
        <x:v>4</x:v>
      </x:c>
      <x:c r="L1375" s="14" t="n">
        <x:v>31</x:v>
      </x:c>
      <x:c r="M1375" s="14" t="n">
        <x:v>49</x:v>
      </x:c>
      <x:c r="N1375" s="15" t="n">
        <x:f>IF(E1375=0,"해당 없음",F1375/E1375)</x:f>
        <x:v>0.029411764705882353</x:v>
      </x:c>
      <x:c r="O1375" s="15" t="n">
        <x:f>IF(E1375=0,"해당 없음",G1375/E1375)</x:f>
        <x:v>0.09803921568627451</x:v>
      </x:c>
      <x:c r="P1375" s="15" t="n">
        <x:f>IF(E1375=0,"해당 없음",H1375/E1375)</x:f>
        <x:v>0.00980392156862745</x:v>
      </x:c>
      <x:c r="Q1375" s="15" t="n">
        <x:f>IF(E1375=0,"해당 없음",I1375/E1375)</x:f>
        <x:v>0.0196078431372549</x:v>
      </x:c>
      <x:c r="R1375" s="15" t="n">
        <x:f>IF(E1375=0,"해당 없음",J1375/E1375)</x:f>
        <x:v>0.0196078431372549</x:v>
      </x:c>
      <x:c r="S1375" s="15" t="n">
        <x:f>IF(E1375=0,"해당 없음",K1375/E1375)</x:f>
        <x:v>0.0392156862745098</x:v>
      </x:c>
      <x:c r="T1375" s="15" t="n">
        <x:f>IF(E1375=0,"해당 없음",L1375/E1375)</x:f>
        <x:v>0.30392156862745096</x:v>
      </x:c>
      <x:c r="U1375" s="15" t="n">
        <x:f>IF(E1375=0,"해당 없음",M1375/E1375)</x:f>
        <x:v>0.4803921568627451</x:v>
      </x:c>
      <x:c r="V1375" s="16" t="n">
        <x:f>E1375/5</x:f>
        <x:v>20.4</x:v>
      </x:c>
    </x:row>
    <x:row r="1376" ht="22" customHeight="1">
      <x:c r="A1376" s="2" t="n">
        <x:v>686</x:v>
      </x:c>
      <x:c r="B1376" s="2" t="str">
        <x:v>RED</x:v>
      </x:c>
      <x:c r="C1376" s="2" t="str">
        <x:v>240만</x:v>
      </x:c>
      <x:c r="D1376" s="2" t="str">
        <x:v>40만</x:v>
      </x:c>
      <x:c r="E1376" s="14" t="n">
        <x:f>SUM(F1376:M1376)</x:f>
        <x:v>103</x:v>
      </x:c>
      <x:c r="F1376" s="14" t="n">
        <x:v>3</x:v>
      </x:c>
      <x:c r="G1376" s="14" t="n">
        <x:v>11</x:v>
      </x:c>
      <x:c r="H1376" s="14" t="n">
        <x:v>4</x:v>
      </x:c>
      <x:c r="I1376" s="14" t="n">
        <x:v>2</x:v>
      </x:c>
      <x:c r="J1376" s="14" t="n">
        <x:v>1</x:v>
      </x:c>
      <x:c r="K1376" s="14" t="n">
        <x:v>6</x:v>
      </x:c>
      <x:c r="L1376" s="14" t="n">
        <x:v>35</x:v>
      </x:c>
      <x:c r="M1376" s="14" t="n">
        <x:v>41</x:v>
      </x:c>
      <x:c r="N1376" s="15" t="n">
        <x:f>IF(E1376=0,"해당 없음",F1376/E1376)</x:f>
        <x:v>0.02912621359223301</x:v>
      </x:c>
      <x:c r="O1376" s="15" t="n">
        <x:f>IF(E1376=0,"해당 없음",G1376/E1376)</x:f>
        <x:v>0.10679611650485436</x:v>
      </x:c>
      <x:c r="P1376" s="15" t="n">
        <x:f>IF(E1376=0,"해당 없음",H1376/E1376)</x:f>
        <x:v>0.038834951456310676</x:v>
      </x:c>
      <x:c r="Q1376" s="15" t="n">
        <x:f>IF(E1376=0,"해당 없음",I1376/E1376)</x:f>
        <x:v>0.019417475728155338</x:v>
      </x:c>
      <x:c r="R1376" s="15" t="n">
        <x:f>IF(E1376=0,"해당 없음",J1376/E1376)</x:f>
        <x:v>0.009708737864077669</x:v>
      </x:c>
      <x:c r="S1376" s="15" t="n">
        <x:f>IF(E1376=0,"해당 없음",K1376/E1376)</x:f>
        <x:v>0.05825242718446602</x:v>
      </x:c>
      <x:c r="T1376" s="15" t="n">
        <x:f>IF(E1376=0,"해당 없음",L1376/E1376)</x:f>
        <x:v>0.33980582524271846</x:v>
      </x:c>
      <x:c r="U1376" s="15" t="n">
        <x:f>IF(E1376=0,"해당 없음",M1376/E1376)</x:f>
        <x:v>0.39805825242718446</x:v>
      </x:c>
      <x:c r="V1376" s="16" t="n">
        <x:f>E1376/5</x:f>
        <x:v>20.6</x:v>
      </x:c>
    </x:row>
    <x:row r="1377" ht="22" customHeight="1">
      <x:c r="A1377" s="2" t="n">
        <x:v>686</x:v>
      </x:c>
      <x:c r="B1377" s="2" t="str">
        <x:v>NAVY</x:v>
      </x:c>
      <x:c r="C1377" s="2" t="str">
        <x:v>40만</x:v>
      </x:c>
      <x:c r="D1377" s="2" t="str">
        <x:v>240만</x:v>
      </x:c>
      <x:c r="E1377" s="14" t="n">
        <x:f>SUM(F1377:M1377)</x:f>
        <x:v>103</x:v>
      </x:c>
      <x:c r="F1377" s="14" t="n">
        <x:v>2</x:v>
      </x:c>
      <x:c r="G1377" s="14" t="n">
        <x:v>30</x:v>
      </x:c>
      <x:c r="H1377" s="14" t="n">
        <x:v>8</x:v>
      </x:c>
      <x:c r="I1377" s="14" t="n">
        <x:v>10</x:v>
      </x:c>
      <x:c r="J1377" s="14" t="n">
        <x:v>4</x:v>
      </x:c>
      <x:c r="K1377" s="14" t="n">
        <x:v>7</x:v>
      </x:c>
      <x:c r="L1377" s="14" t="n">
        <x:v>39</x:v>
      </x:c>
      <x:c r="M1377" s="14" t="n">
        <x:v>3</x:v>
      </x:c>
      <x:c r="N1377" s="15" t="n">
        <x:f>IF(E1377=0,"해당 없음",F1377/E1377)</x:f>
        <x:v>0.019417475728155338</x:v>
      </x:c>
      <x:c r="O1377" s="15" t="n">
        <x:f>IF(E1377=0,"해당 없음",G1377/E1377)</x:f>
        <x:v>0.2912621359223301</x:v>
      </x:c>
      <x:c r="P1377" s="15" t="n">
        <x:f>IF(E1377=0,"해당 없음",H1377/E1377)</x:f>
        <x:v>0.07766990291262135</x:v>
      </x:c>
      <x:c r="Q1377" s="15" t="n">
        <x:f>IF(E1377=0,"해당 없음",I1377/E1377)</x:f>
        <x:v>0.0970873786407767</x:v>
      </x:c>
      <x:c r="R1377" s="15" t="n">
        <x:f>IF(E1377=0,"해당 없음",J1377/E1377)</x:f>
        <x:v>0.038834951456310676</x:v>
      </x:c>
      <x:c r="S1377" s="15" t="n">
        <x:f>IF(E1377=0,"해당 없음",K1377/E1377)</x:f>
        <x:v>0.06796116504854369</x:v>
      </x:c>
      <x:c r="T1377" s="15" t="n">
        <x:f>IF(E1377=0,"해당 없음",L1377/E1377)</x:f>
        <x:v>0.3786407766990291</x:v>
      </x:c>
      <x:c r="U1377" s="15" t="n">
        <x:f>IF(E1377=0,"해당 없음",M1377/E1377)</x:f>
        <x:v>0.02912621359223301</x:v>
      </x:c>
      <x:c r="V1377" s="16" t="n">
        <x:f>E1377/5</x:f>
        <x:v>20.6</x:v>
      </x:c>
    </x:row>
    <x:row r="1378" ht="22" customHeight="1">
      <x:c r="A1378" s="2" t="n">
        <x:v>687</x:v>
      </x:c>
      <x:c r="B1378" s="2" t="str">
        <x:v>RED</x:v>
      </x:c>
      <x:c r="C1378" s="2" t="str">
        <x:v>40만</x:v>
      </x:c>
      <x:c r="D1378" s="2" t="str">
        <x:v>240만</x:v>
      </x:c>
      <x:c r="E1378" s="14" t="n">
        <x:f>SUM(F1378:M1378)</x:f>
        <x:v>104</x:v>
      </x:c>
      <x:c r="F1378" s="14" t="n">
        <x:v>5</x:v>
      </x:c>
      <x:c r="G1378" s="14" t="n">
        <x:v>31</x:v>
      </x:c>
      <x:c r="H1378" s="14" t="n">
        <x:v>7</x:v>
      </x:c>
      <x:c r="I1378" s="14" t="n">
        <x:v>6</x:v>
      </x:c>
      <x:c r="J1378" s="14" t="n">
        <x:v>5</x:v>
      </x:c>
      <x:c r="K1378" s="14" t="n">
        <x:v>10</x:v>
      </x:c>
      <x:c r="L1378" s="14" t="n">
        <x:v>37</x:v>
      </x:c>
      <x:c r="M1378" s="14" t="n">
        <x:v>3</x:v>
      </x:c>
      <x:c r="N1378" s="15" t="n">
        <x:f>IF(E1378=0,"해당 없음",F1378/E1378)</x:f>
        <x:v>0.04807692307692308</x:v>
      </x:c>
      <x:c r="O1378" s="15" t="n">
        <x:f>IF(E1378=0,"해당 없음",G1378/E1378)</x:f>
        <x:v>0.2980769230769231</x:v>
      </x:c>
      <x:c r="P1378" s="15" t="n">
        <x:f>IF(E1378=0,"해당 없음",H1378/E1378)</x:f>
        <x:v>0.0673076923076923</x:v>
      </x:c>
      <x:c r="Q1378" s="15" t="n">
        <x:f>IF(E1378=0,"해당 없음",I1378/E1378)</x:f>
        <x:v>0.057692307692307696</x:v>
      </x:c>
      <x:c r="R1378" s="15" t="n">
        <x:f>IF(E1378=0,"해당 없음",J1378/E1378)</x:f>
        <x:v>0.04807692307692308</x:v>
      </x:c>
      <x:c r="S1378" s="15" t="n">
        <x:f>IF(E1378=0,"해당 없음",K1378/E1378)</x:f>
        <x:v>0.09615384615384616</x:v>
      </x:c>
      <x:c r="T1378" s="15" t="n">
        <x:f>IF(E1378=0,"해당 없음",L1378/E1378)</x:f>
        <x:v>0.3557692307692308</x:v>
      </x:c>
      <x:c r="U1378" s="15" t="n">
        <x:f>IF(E1378=0,"해당 없음",M1378/E1378)</x:f>
        <x:v>0.028846153846153848</x:v>
      </x:c>
      <x:c r="V1378" s="16" t="n">
        <x:f>E1378/5</x:f>
        <x:v>20.8</x:v>
      </x:c>
    </x:row>
    <x:row r="1379" ht="22" customHeight="1">
      <x:c r="A1379" s="2" t="n">
        <x:v>687</x:v>
      </x:c>
      <x:c r="B1379" s="2" t="str">
        <x:v>NAVY</x:v>
      </x:c>
      <x:c r="C1379" s="2" t="str">
        <x:v>240만</x:v>
      </x:c>
      <x:c r="D1379" s="2" t="str">
        <x:v>40만</x:v>
      </x:c>
      <x:c r="E1379" s="14" t="n">
        <x:f>SUM(F1379:M1379)</x:f>
        <x:v>102</x:v>
      </x:c>
      <x:c r="F1379" s="14" t="n">
        <x:v>1</x:v>
      </x:c>
      <x:c r="G1379" s="14" t="n">
        <x:v>11</x:v>
      </x:c>
      <x:c r="H1379" s="14" t="n">
        <x:v>4</x:v>
      </x:c>
      <x:c r="I1379" s="14" t="n">
        <x:v>3</x:v>
      </x:c>
      <x:c r="J1379" s="14" t="n">
        <x:v>4</x:v>
      </x:c>
      <x:c r="K1379" s="14" t="n">
        <x:v>8</x:v>
      </x:c>
      <x:c r="L1379" s="14" t="n">
        <x:v>32</x:v>
      </x:c>
      <x:c r="M1379" s="14" t="n">
        <x:v>39</x:v>
      </x:c>
      <x:c r="N1379" s="15" t="n">
        <x:f>IF(E1379=0,"해당 없음",F1379/E1379)</x:f>
        <x:v>0.00980392156862745</x:v>
      </x:c>
      <x:c r="O1379" s="15" t="n">
        <x:f>IF(E1379=0,"해당 없음",G1379/E1379)</x:f>
        <x:v>0.10784313725490197</x:v>
      </x:c>
      <x:c r="P1379" s="15" t="n">
        <x:f>IF(E1379=0,"해당 없음",H1379/E1379)</x:f>
        <x:v>0.0392156862745098</x:v>
      </x:c>
      <x:c r="Q1379" s="15" t="n">
        <x:f>IF(E1379=0,"해당 없음",I1379/E1379)</x:f>
        <x:v>0.029411764705882353</x:v>
      </x:c>
      <x:c r="R1379" s="15" t="n">
        <x:f>IF(E1379=0,"해당 없음",J1379/E1379)</x:f>
        <x:v>0.0392156862745098</x:v>
      </x:c>
      <x:c r="S1379" s="15" t="n">
        <x:f>IF(E1379=0,"해당 없음",K1379/E1379)</x:f>
        <x:v>0.0784313725490196</x:v>
      </x:c>
      <x:c r="T1379" s="15" t="n">
        <x:f>IF(E1379=0,"해당 없음",L1379/E1379)</x:f>
        <x:v>0.3137254901960784</x:v>
      </x:c>
      <x:c r="U1379" s="15" t="n">
        <x:f>IF(E1379=0,"해당 없음",M1379/E1379)</x:f>
        <x:v>0.38235294117647056</x:v>
      </x:c>
      <x:c r="V1379" s="16" t="n">
        <x:f>E1379/5</x:f>
        <x:v>20.4</x:v>
      </x:c>
    </x:row>
    <x:row r="1380" ht="22" customHeight="1">
      <x:c r="A1380" s="2" t="n">
        <x:v>688</x:v>
      </x:c>
      <x:c r="B1380" s="2" t="str">
        <x:v>RED</x:v>
      </x:c>
      <x:c r="C1380" s="2" t="str">
        <x:v>240만</x:v>
      </x:c>
      <x:c r="D1380" s="2" t="str">
        <x:v>40만</x:v>
      </x:c>
      <x:c r="E1380" s="14" t="n">
        <x:f>SUM(F1380:M1380)</x:f>
        <x:v>102</x:v>
      </x:c>
      <x:c r="F1380" s="14" t="n">
        <x:v>1</x:v>
      </x:c>
      <x:c r="G1380" s="14" t="n">
        <x:v>12</x:v>
      </x:c>
      <x:c r="H1380" s="14" t="n">
        <x:v>6</x:v>
      </x:c>
      <x:c r="I1380" s="14" t="n">
        <x:v>3</x:v>
      </x:c>
      <x:c r="J1380" s="14" t="n">
        <x:v>0</x:v>
      </x:c>
      <x:c r="K1380" s="14" t="n">
        <x:v>6</x:v>
      </x:c>
      <x:c r="L1380" s="14" t="n">
        <x:v>34</x:v>
      </x:c>
      <x:c r="M1380" s="14" t="n">
        <x:v>40</x:v>
      </x:c>
      <x:c r="N1380" s="15" t="n">
        <x:f>IF(E1380=0,"해당 없음",F1380/E1380)</x:f>
        <x:v>0.00980392156862745</x:v>
      </x:c>
      <x:c r="O1380" s="15" t="n">
        <x:f>IF(E1380=0,"해당 없음",G1380/E1380)</x:f>
        <x:v>0.11764705882352941</x:v>
      </x:c>
      <x:c r="P1380" s="15" t="n">
        <x:f>IF(E1380=0,"해당 없음",H1380/E1380)</x:f>
        <x:v>0.058823529411764705</x:v>
      </x:c>
      <x:c r="Q1380" s="15" t="n">
        <x:f>IF(E1380=0,"해당 없음",I1380/E1380)</x:f>
        <x:v>0.029411764705882353</x:v>
      </x:c>
      <x:c r="R1380" s="15" t="n">
        <x:f>IF(E1380=0,"해당 없음",J1380/E1380)</x:f>
        <x:v>0</x:v>
      </x:c>
      <x:c r="S1380" s="15" t="n">
        <x:f>IF(E1380=0,"해당 없음",K1380/E1380)</x:f>
        <x:v>0.058823529411764705</x:v>
      </x:c>
      <x:c r="T1380" s="15" t="n">
        <x:f>IF(E1380=0,"해당 없음",L1380/E1380)</x:f>
        <x:v>0.3333333333333333</x:v>
      </x:c>
      <x:c r="U1380" s="15" t="n">
        <x:f>IF(E1380=0,"해당 없음",M1380/E1380)</x:f>
        <x:v>0.39215686274509803</x:v>
      </x:c>
      <x:c r="V1380" s="16" t="n">
        <x:f>E1380/5</x:f>
        <x:v>20.4</x:v>
      </x:c>
    </x:row>
    <x:row r="1381" ht="22" customHeight="1">
      <x:c r="A1381" s="2" t="n">
        <x:v>688</x:v>
      </x:c>
      <x:c r="B1381" s="2" t="str">
        <x:v>NAVY</x:v>
      </x:c>
      <x:c r="C1381" s="2" t="str">
        <x:v>40만</x:v>
      </x:c>
      <x:c r="D1381" s="2" t="str">
        <x:v>240만</x:v>
      </x:c>
      <x:c r="E1381" s="14" t="n">
        <x:f>SUM(F1381:M1381)</x:f>
        <x:v>103</x:v>
      </x:c>
      <x:c r="F1381" s="14" t="n">
        <x:v>4</x:v>
      </x:c>
      <x:c r="G1381" s="14" t="n">
        <x:v>28</x:v>
      </x:c>
      <x:c r="H1381" s="14" t="n">
        <x:v>8</x:v>
      </x:c>
      <x:c r="I1381" s="14" t="n">
        <x:v>6</x:v>
      </x:c>
      <x:c r="J1381" s="14" t="n">
        <x:v>7</x:v>
      </x:c>
      <x:c r="K1381" s="14" t="n">
        <x:v>11</x:v>
      </x:c>
      <x:c r="L1381" s="14" t="n">
        <x:v>34</x:v>
      </x:c>
      <x:c r="M1381" s="14" t="n">
        <x:v>5</x:v>
      </x:c>
      <x:c r="N1381" s="15" t="n">
        <x:f>IF(E1381=0,"해당 없음",F1381/E1381)</x:f>
        <x:v>0.038834951456310676</x:v>
      </x:c>
      <x:c r="O1381" s="15" t="n">
        <x:f>IF(E1381=0,"해당 없음",G1381/E1381)</x:f>
        <x:v>0.27184466019417475</x:v>
      </x:c>
      <x:c r="P1381" s="15" t="n">
        <x:f>IF(E1381=0,"해당 없음",H1381/E1381)</x:f>
        <x:v>0.07766990291262135</x:v>
      </x:c>
      <x:c r="Q1381" s="15" t="n">
        <x:f>IF(E1381=0,"해당 없음",I1381/E1381)</x:f>
        <x:v>0.05825242718446602</x:v>
      </x:c>
      <x:c r="R1381" s="15" t="n">
        <x:f>IF(E1381=0,"해당 없음",J1381/E1381)</x:f>
        <x:v>0.06796116504854369</x:v>
      </x:c>
      <x:c r="S1381" s="15" t="n">
        <x:f>IF(E1381=0,"해당 없음",K1381/E1381)</x:f>
        <x:v>0.10679611650485436</x:v>
      </x:c>
      <x:c r="T1381" s="15" t="n">
        <x:f>IF(E1381=0,"해당 없음",L1381/E1381)</x:f>
        <x:v>0.3300970873786408</x:v>
      </x:c>
      <x:c r="U1381" s="15" t="n">
        <x:f>IF(E1381=0,"해당 없음",M1381/E1381)</x:f>
        <x:v>0.04854368932038835</x:v>
      </x:c>
      <x:c r="V1381" s="16" t="n">
        <x:f>E1381/5</x:f>
        <x:v>20.6</x:v>
      </x:c>
    </x:row>
    <x:row r="1382" ht="22" customHeight="1">
      <x:c r="A1382" s="2" t="n">
        <x:v>689</x:v>
      </x:c>
      <x:c r="B1382" s="2" t="str">
        <x:v>RED</x:v>
      </x:c>
      <x:c r="C1382" s="2" t="str">
        <x:v>40만</x:v>
      </x:c>
      <x:c r="D1382" s="2" t="str">
        <x:v>240만</x:v>
      </x:c>
      <x:c r="E1382" s="14" t="n">
        <x:f>SUM(F1382:M1382)</x:f>
        <x:v>105</x:v>
      </x:c>
      <x:c r="F1382" s="14" t="n">
        <x:v>5</x:v>
      </x:c>
      <x:c r="G1382" s="14" t="n">
        <x:v>23</x:v>
      </x:c>
      <x:c r="H1382" s="14" t="n">
        <x:v>2</x:v>
      </x:c>
      <x:c r="I1382" s="14" t="n">
        <x:v>7</x:v>
      </x:c>
      <x:c r="J1382" s="14" t="n">
        <x:v>5</x:v>
      </x:c>
      <x:c r="K1382" s="14" t="n">
        <x:v>16</x:v>
      </x:c>
      <x:c r="L1382" s="14" t="n">
        <x:v>42</x:v>
      </x:c>
      <x:c r="M1382" s="14" t="n">
        <x:v>5</x:v>
      </x:c>
      <x:c r="N1382" s="15" t="n">
        <x:f>IF(E1382=0,"해당 없음",F1382/E1382)</x:f>
        <x:v>0.047619047619047616</x:v>
      </x:c>
      <x:c r="O1382" s="15" t="n">
        <x:f>IF(E1382=0,"해당 없음",G1382/E1382)</x:f>
        <x:v>0.21904761904761905</x:v>
      </x:c>
      <x:c r="P1382" s="15" t="n">
        <x:f>IF(E1382=0,"해당 없음",H1382/E1382)</x:f>
        <x:v>0.01904761904761905</x:v>
      </x:c>
      <x:c r="Q1382" s="15" t="n">
        <x:f>IF(E1382=0,"해당 없음",I1382/E1382)</x:f>
        <x:v>0.06666666666666667</x:v>
      </x:c>
      <x:c r="R1382" s="15" t="n">
        <x:f>IF(E1382=0,"해당 없음",J1382/E1382)</x:f>
        <x:v>0.047619047619047616</x:v>
      </x:c>
      <x:c r="S1382" s="15" t="n">
        <x:f>IF(E1382=0,"해당 없음",K1382/E1382)</x:f>
        <x:v>0.1523809523809524</x:v>
      </x:c>
      <x:c r="T1382" s="15" t="n">
        <x:f>IF(E1382=0,"해당 없음",L1382/E1382)</x:f>
        <x:v>0.4</x:v>
      </x:c>
      <x:c r="U1382" s="15" t="n">
        <x:f>IF(E1382=0,"해당 없음",M1382/E1382)</x:f>
        <x:v>0.047619047619047616</x:v>
      </x:c>
      <x:c r="V1382" s="16" t="n">
        <x:f>E1382/5</x:f>
        <x:v>21</x:v>
      </x:c>
    </x:row>
    <x:row r="1383" ht="22" customHeight="1">
      <x:c r="A1383" s="2" t="n">
        <x:v>689</x:v>
      </x:c>
      <x:c r="B1383" s="2" t="str">
        <x:v>NAVY</x:v>
      </x:c>
      <x:c r="C1383" s="2" t="str">
        <x:v>240만</x:v>
      </x:c>
      <x:c r="D1383" s="2" t="str">
        <x:v>40만</x:v>
      </x:c>
      <x:c r="E1383" s="14" t="n">
        <x:f>SUM(F1383:M1383)</x:f>
        <x:v>106</x:v>
      </x:c>
      <x:c r="F1383" s="14" t="n">
        <x:v>0</x:v>
      </x:c>
      <x:c r="G1383" s="14" t="n">
        <x:v>10</x:v>
      </x:c>
      <x:c r="H1383" s="14" t="n">
        <x:v>2</x:v>
      </x:c>
      <x:c r="I1383" s="14" t="n">
        <x:v>5</x:v>
      </x:c>
      <x:c r="J1383" s="14" t="n">
        <x:v>3</x:v>
      </x:c>
      <x:c r="K1383" s="14" t="n">
        <x:v>3</x:v>
      </x:c>
      <x:c r="L1383" s="14" t="n">
        <x:v>33</x:v>
      </x:c>
      <x:c r="M1383" s="14" t="n">
        <x:v>50</x:v>
      </x:c>
      <x:c r="N1383" s="15" t="n">
        <x:f>IF(E1383=0,"해당 없음",F1383/E1383)</x:f>
        <x:v>0</x:v>
      </x:c>
      <x:c r="O1383" s="15" t="n">
        <x:f>IF(E1383=0,"해당 없음",G1383/E1383)</x:f>
        <x:v>0.09433962264150944</x:v>
      </x:c>
      <x:c r="P1383" s="15" t="n">
        <x:f>IF(E1383=0,"해당 없음",H1383/E1383)</x:f>
        <x:v>0.018867924528301886</x:v>
      </x:c>
      <x:c r="Q1383" s="15" t="n">
        <x:f>IF(E1383=0,"해당 없음",I1383/E1383)</x:f>
        <x:v>0.04716981132075472</x:v>
      </x:c>
      <x:c r="R1383" s="15" t="n">
        <x:f>IF(E1383=0,"해당 없음",J1383/E1383)</x:f>
        <x:v>0.02830188679245283</x:v>
      </x:c>
      <x:c r="S1383" s="15" t="n">
        <x:f>IF(E1383=0,"해당 없음",K1383/E1383)</x:f>
        <x:v>0.02830188679245283</x:v>
      </x:c>
      <x:c r="T1383" s="15" t="n">
        <x:f>IF(E1383=0,"해당 없음",L1383/E1383)</x:f>
        <x:v>0.3113207547169811</x:v>
      </x:c>
      <x:c r="U1383" s="15" t="n">
        <x:f>IF(E1383=0,"해당 없음",M1383/E1383)</x:f>
        <x:v>0.4716981132075472</x:v>
      </x:c>
      <x:c r="V1383" s="16" t="n">
        <x:f>E1383/5</x:f>
        <x:v>21.2</x:v>
      </x:c>
    </x:row>
    <x:row r="1384" ht="22" customHeight="1">
      <x:c r="A1384" s="2" t="n">
        <x:v>690</x:v>
      </x:c>
      <x:c r="B1384" s="2" t="str">
        <x:v>RED</x:v>
      </x:c>
      <x:c r="C1384" s="2" t="str">
        <x:v>240만</x:v>
      </x:c>
      <x:c r="D1384" s="2" t="str">
        <x:v>40만</x:v>
      </x:c>
      <x:c r="E1384" s="14" t="n">
        <x:f>SUM(F1384:M1384)</x:f>
        <x:v>103</x:v>
      </x:c>
      <x:c r="F1384" s="14" t="n">
        <x:v>5</x:v>
      </x:c>
      <x:c r="G1384" s="14" t="n">
        <x:v>8</x:v>
      </x:c>
      <x:c r="H1384" s="14" t="n">
        <x:v>2</x:v>
      </x:c>
      <x:c r="I1384" s="14" t="n">
        <x:v>5</x:v>
      </x:c>
      <x:c r="J1384" s="14" t="n">
        <x:v>2</x:v>
      </x:c>
      <x:c r="K1384" s="14" t="n">
        <x:v>1</x:v>
      </x:c>
      <x:c r="L1384" s="14" t="n">
        <x:v>40</x:v>
      </x:c>
      <x:c r="M1384" s="14" t="n">
        <x:v>40</x:v>
      </x:c>
      <x:c r="N1384" s="15" t="n">
        <x:f>IF(E1384=0,"해당 없음",F1384/E1384)</x:f>
        <x:v>0.04854368932038835</x:v>
      </x:c>
      <x:c r="O1384" s="15" t="n">
        <x:f>IF(E1384=0,"해당 없음",G1384/E1384)</x:f>
        <x:v>0.07766990291262135</x:v>
      </x:c>
      <x:c r="P1384" s="15" t="n">
        <x:f>IF(E1384=0,"해당 없음",H1384/E1384)</x:f>
        <x:v>0.019417475728155338</x:v>
      </x:c>
      <x:c r="Q1384" s="15" t="n">
        <x:f>IF(E1384=0,"해당 없음",I1384/E1384)</x:f>
        <x:v>0.04854368932038835</x:v>
      </x:c>
      <x:c r="R1384" s="15" t="n">
        <x:f>IF(E1384=0,"해당 없음",J1384/E1384)</x:f>
        <x:v>0.019417475728155338</x:v>
      </x:c>
      <x:c r="S1384" s="15" t="n">
        <x:f>IF(E1384=0,"해당 없음",K1384/E1384)</x:f>
        <x:v>0.009708737864077669</x:v>
      </x:c>
      <x:c r="T1384" s="15" t="n">
        <x:f>IF(E1384=0,"해당 없음",L1384/E1384)</x:f>
        <x:v>0.3883495145631068</x:v>
      </x:c>
      <x:c r="U1384" s="15" t="n">
        <x:f>IF(E1384=0,"해당 없음",M1384/E1384)</x:f>
        <x:v>0.3883495145631068</x:v>
      </x:c>
      <x:c r="V1384" s="16" t="n">
        <x:f>E1384/5</x:f>
        <x:v>20.6</x:v>
      </x:c>
    </x:row>
    <x:row r="1385" ht="22" customHeight="1">
      <x:c r="A1385" s="2" t="n">
        <x:v>690</x:v>
      </x:c>
      <x:c r="B1385" s="2" t="str">
        <x:v>NAVY</x:v>
      </x:c>
      <x:c r="C1385" s="2" t="str">
        <x:v>40만</x:v>
      </x:c>
      <x:c r="D1385" s="2" t="str">
        <x:v>240만</x:v>
      </x:c>
      <x:c r="E1385" s="14" t="n">
        <x:f>SUM(F1385:M1385)</x:f>
        <x:v>103</x:v>
      </x:c>
      <x:c r="F1385" s="14" t="n">
        <x:v>5</x:v>
      </x:c>
      <x:c r="G1385" s="14" t="n">
        <x:v>21</x:v>
      </x:c>
      <x:c r="H1385" s="14" t="n">
        <x:v>4</x:v>
      </x:c>
      <x:c r="I1385" s="14" t="n">
        <x:v>11</x:v>
      </x:c>
      <x:c r="J1385" s="14" t="n">
        <x:v>0</x:v>
      </x:c>
      <x:c r="K1385" s="14" t="n">
        <x:v>18</x:v>
      </x:c>
      <x:c r="L1385" s="14" t="n">
        <x:v>38</x:v>
      </x:c>
      <x:c r="M1385" s="14" t="n">
        <x:v>6</x:v>
      </x:c>
      <x:c r="N1385" s="15" t="n">
        <x:f>IF(E1385=0,"해당 없음",F1385/E1385)</x:f>
        <x:v>0.04854368932038835</x:v>
      </x:c>
      <x:c r="O1385" s="15" t="n">
        <x:f>IF(E1385=0,"해당 없음",G1385/E1385)</x:f>
        <x:v>0.20388349514563106</x:v>
      </x:c>
      <x:c r="P1385" s="15" t="n">
        <x:f>IF(E1385=0,"해당 없음",H1385/E1385)</x:f>
        <x:v>0.038834951456310676</x:v>
      </x:c>
      <x:c r="Q1385" s="15" t="n">
        <x:f>IF(E1385=0,"해당 없음",I1385/E1385)</x:f>
        <x:v>0.10679611650485436</x:v>
      </x:c>
      <x:c r="R1385" s="15" t="n">
        <x:f>IF(E1385=0,"해당 없음",J1385/E1385)</x:f>
        <x:v>0</x:v>
      </x:c>
      <x:c r="S1385" s="15" t="n">
        <x:f>IF(E1385=0,"해당 없음",K1385/E1385)</x:f>
        <x:v>0.17475728155339806</x:v>
      </x:c>
      <x:c r="T1385" s="15" t="n">
        <x:f>IF(E1385=0,"해당 없음",L1385/E1385)</x:f>
        <x:v>0.36893203883495146</x:v>
      </x:c>
      <x:c r="U1385" s="15" t="n">
        <x:f>IF(E1385=0,"해당 없음",M1385/E1385)</x:f>
        <x:v>0.05825242718446602</x:v>
      </x:c>
      <x:c r="V1385" s="16" t="n">
        <x:f>E1385/5</x:f>
        <x:v>20.6</x:v>
      </x:c>
    </x:row>
    <x:row r="1386" ht="22" customHeight="1">
      <x:c r="A1386" s="2" t="n">
        <x:v>691</x:v>
      </x:c>
      <x:c r="B1386" s="2" t="str">
        <x:v>RED</x:v>
      </x:c>
      <x:c r="C1386" s="2" t="str">
        <x:v>40만</x:v>
      </x:c>
      <x:c r="D1386" s="2" t="str">
        <x:v>240만</x:v>
      </x:c>
      <x:c r="E1386" s="14" t="n">
        <x:f>SUM(F1386:M1386)</x:f>
        <x:v>103</x:v>
      </x:c>
      <x:c r="F1386" s="14" t="n">
        <x:v>2</x:v>
      </x:c>
      <x:c r="G1386" s="14" t="n">
        <x:v>22</x:v>
      </x:c>
      <x:c r="H1386" s="14" t="n">
        <x:v>9</x:v>
      </x:c>
      <x:c r="I1386" s="14" t="n">
        <x:v>5</x:v>
      </x:c>
      <x:c r="J1386" s="14" t="n">
        <x:v>7</x:v>
      </x:c>
      <x:c r="K1386" s="14" t="n">
        <x:v>7</x:v>
      </x:c>
      <x:c r="L1386" s="14" t="n">
        <x:v>42</x:v>
      </x:c>
      <x:c r="M1386" s="14" t="n">
        <x:v>9</x:v>
      </x:c>
      <x:c r="N1386" s="15" t="n">
        <x:f>IF(E1386=0,"해당 없음",F1386/E1386)</x:f>
        <x:v>0.019417475728155338</x:v>
      </x:c>
      <x:c r="O1386" s="15" t="n">
        <x:f>IF(E1386=0,"해당 없음",G1386/E1386)</x:f>
        <x:v>0.21359223300970873</x:v>
      </x:c>
      <x:c r="P1386" s="15" t="n">
        <x:f>IF(E1386=0,"해당 없음",H1386/E1386)</x:f>
        <x:v>0.08737864077669903</x:v>
      </x:c>
      <x:c r="Q1386" s="15" t="n">
        <x:f>IF(E1386=0,"해당 없음",I1386/E1386)</x:f>
        <x:v>0.04854368932038835</x:v>
      </x:c>
      <x:c r="R1386" s="15" t="n">
        <x:f>IF(E1386=0,"해당 없음",J1386/E1386)</x:f>
        <x:v>0.06796116504854369</x:v>
      </x:c>
      <x:c r="S1386" s="15" t="n">
        <x:f>IF(E1386=0,"해당 없음",K1386/E1386)</x:f>
        <x:v>0.06796116504854369</x:v>
      </x:c>
      <x:c r="T1386" s="15" t="n">
        <x:f>IF(E1386=0,"해당 없음",L1386/E1386)</x:f>
        <x:v>0.4077669902912621</x:v>
      </x:c>
      <x:c r="U1386" s="15" t="n">
        <x:f>IF(E1386=0,"해당 없음",M1386/E1386)</x:f>
        <x:v>0.08737864077669903</x:v>
      </x:c>
      <x:c r="V1386" s="16" t="n">
        <x:f>E1386/5</x:f>
        <x:v>20.6</x:v>
      </x:c>
    </x:row>
    <x:row r="1387" ht="22" customHeight="1">
      <x:c r="A1387" s="2" t="n">
        <x:v>691</x:v>
      </x:c>
      <x:c r="B1387" s="2" t="str">
        <x:v>NAVY</x:v>
      </x:c>
      <x:c r="C1387" s="2" t="str">
        <x:v>240만</x:v>
      </x:c>
      <x:c r="D1387" s="2" t="str">
        <x:v>40만</x:v>
      </x:c>
      <x:c r="E1387" s="14" t="n">
        <x:f>SUM(F1387:M1387)</x:f>
        <x:v>103</x:v>
      </x:c>
      <x:c r="F1387" s="14" t="n">
        <x:v>2</x:v>
      </x:c>
      <x:c r="G1387" s="14" t="n">
        <x:v>13</x:v>
      </x:c>
      <x:c r="H1387" s="14" t="n">
        <x:v>3</x:v>
      </x:c>
      <x:c r="I1387" s="14" t="n">
        <x:v>3</x:v>
      </x:c>
      <x:c r="J1387" s="14" t="n">
        <x:v>3</x:v>
      </x:c>
      <x:c r="K1387" s="14" t="n">
        <x:v>6</x:v>
      </x:c>
      <x:c r="L1387" s="14" t="n">
        <x:v>31</x:v>
      </x:c>
      <x:c r="M1387" s="14" t="n">
        <x:v>42</x:v>
      </x:c>
      <x:c r="N1387" s="15" t="n">
        <x:f>IF(E1387=0,"해당 없음",F1387/E1387)</x:f>
        <x:v>0.019417475728155338</x:v>
      </x:c>
      <x:c r="O1387" s="15" t="n">
        <x:f>IF(E1387=0,"해당 없음",G1387/E1387)</x:f>
        <x:v>0.1262135922330097</x:v>
      </x:c>
      <x:c r="P1387" s="15" t="n">
        <x:f>IF(E1387=0,"해당 없음",H1387/E1387)</x:f>
        <x:v>0.02912621359223301</x:v>
      </x:c>
      <x:c r="Q1387" s="15" t="n">
        <x:f>IF(E1387=0,"해당 없음",I1387/E1387)</x:f>
        <x:v>0.02912621359223301</x:v>
      </x:c>
      <x:c r="R1387" s="15" t="n">
        <x:f>IF(E1387=0,"해당 없음",J1387/E1387)</x:f>
        <x:v>0.02912621359223301</x:v>
      </x:c>
      <x:c r="S1387" s="15" t="n">
        <x:f>IF(E1387=0,"해당 없음",K1387/E1387)</x:f>
        <x:v>0.05825242718446602</x:v>
      </x:c>
      <x:c r="T1387" s="15" t="n">
        <x:f>IF(E1387=0,"해당 없음",L1387/E1387)</x:f>
        <x:v>0.30097087378640774</x:v>
      </x:c>
      <x:c r="U1387" s="15" t="n">
        <x:f>IF(E1387=0,"해당 없음",M1387/E1387)</x:f>
        <x:v>0.4077669902912621</x:v>
      </x:c>
      <x:c r="V1387" s="16" t="n">
        <x:f>E1387/5</x:f>
        <x:v>20.6</x:v>
      </x:c>
    </x:row>
    <x:row r="1388" ht="22" customHeight="1">
      <x:c r="A1388" s="2" t="n">
        <x:v>692</x:v>
      </x:c>
      <x:c r="B1388" s="2" t="str">
        <x:v>RED</x:v>
      </x:c>
      <x:c r="C1388" s="2" t="str">
        <x:v>240만</x:v>
      </x:c>
      <x:c r="D1388" s="2" t="str">
        <x:v>40만</x:v>
      </x:c>
      <x:c r="E1388" s="14" t="n">
        <x:f>SUM(F1388:M1388)</x:f>
        <x:v>102</x:v>
      </x:c>
      <x:c r="F1388" s="14" t="n">
        <x:v>2</x:v>
      </x:c>
      <x:c r="G1388" s="14" t="n">
        <x:v>14</x:v>
      </x:c>
      <x:c r="H1388" s="14" t="n">
        <x:v>3</x:v>
      </x:c>
      <x:c r="I1388" s="14" t="n">
        <x:v>4</x:v>
      </x:c>
      <x:c r="J1388" s="14" t="n">
        <x:v>2</x:v>
      </x:c>
      <x:c r="K1388" s="14" t="n">
        <x:v>4</x:v>
      </x:c>
      <x:c r="L1388" s="14" t="n">
        <x:v>37</x:v>
      </x:c>
      <x:c r="M1388" s="14" t="n">
        <x:v>36</x:v>
      </x:c>
      <x:c r="N1388" s="15" t="n">
        <x:f>IF(E1388=0,"해당 없음",F1388/E1388)</x:f>
        <x:v>0.0196078431372549</x:v>
      </x:c>
      <x:c r="O1388" s="15" t="n">
        <x:f>IF(E1388=0,"해당 없음",G1388/E1388)</x:f>
        <x:v>0.13725490196078433</x:v>
      </x:c>
      <x:c r="P1388" s="15" t="n">
        <x:f>IF(E1388=0,"해당 없음",H1388/E1388)</x:f>
        <x:v>0.029411764705882353</x:v>
      </x:c>
      <x:c r="Q1388" s="15" t="n">
        <x:f>IF(E1388=0,"해당 없음",I1388/E1388)</x:f>
        <x:v>0.0392156862745098</x:v>
      </x:c>
      <x:c r="R1388" s="15" t="n">
        <x:f>IF(E1388=0,"해당 없음",J1388/E1388)</x:f>
        <x:v>0.0196078431372549</x:v>
      </x:c>
      <x:c r="S1388" s="15" t="n">
        <x:f>IF(E1388=0,"해당 없음",K1388/E1388)</x:f>
        <x:v>0.0392156862745098</x:v>
      </x:c>
      <x:c r="T1388" s="15" t="n">
        <x:f>IF(E1388=0,"해당 없음",L1388/E1388)</x:f>
        <x:v>0.3627450980392157</x:v>
      </x:c>
      <x:c r="U1388" s="15" t="n">
        <x:f>IF(E1388=0,"해당 없음",M1388/E1388)</x:f>
        <x:v>0.35294117647058826</x:v>
      </x:c>
      <x:c r="V1388" s="16" t="n">
        <x:f>E1388/5</x:f>
        <x:v>20.4</x:v>
      </x:c>
    </x:row>
    <x:row r="1389" ht="22" customHeight="1">
      <x:c r="A1389" s="2" t="n">
        <x:v>692</x:v>
      </x:c>
      <x:c r="B1389" s="2" t="str">
        <x:v>NAVY</x:v>
      </x:c>
      <x:c r="C1389" s="2" t="str">
        <x:v>40만</x:v>
      </x:c>
      <x:c r="D1389" s="2" t="str">
        <x:v>240만</x:v>
      </x:c>
      <x:c r="E1389" s="14" t="n">
        <x:f>SUM(F1389:M1389)</x:f>
        <x:v>102</x:v>
      </x:c>
      <x:c r="F1389" s="14" t="n">
        <x:v>1</x:v>
      </x:c>
      <x:c r="G1389" s="14" t="n">
        <x:v>28</x:v>
      </x:c>
      <x:c r="H1389" s="14" t="n">
        <x:v>4</x:v>
      </x:c>
      <x:c r="I1389" s="14" t="n">
        <x:v>8</x:v>
      </x:c>
      <x:c r="J1389" s="14" t="n">
        <x:v>7</x:v>
      </x:c>
      <x:c r="K1389" s="14" t="n">
        <x:v>10</x:v>
      </x:c>
      <x:c r="L1389" s="14" t="n">
        <x:v>36</x:v>
      </x:c>
      <x:c r="M1389" s="14" t="n">
        <x:v>8</x:v>
      </x:c>
      <x:c r="N1389" s="15" t="n">
        <x:f>IF(E1389=0,"해당 없음",F1389/E1389)</x:f>
        <x:v>0.00980392156862745</x:v>
      </x:c>
      <x:c r="O1389" s="15" t="n">
        <x:f>IF(E1389=0,"해당 없음",G1389/E1389)</x:f>
        <x:v>0.27450980392156865</x:v>
      </x:c>
      <x:c r="P1389" s="15" t="n">
        <x:f>IF(E1389=0,"해당 없음",H1389/E1389)</x:f>
        <x:v>0.0392156862745098</x:v>
      </x:c>
      <x:c r="Q1389" s="15" t="n">
        <x:f>IF(E1389=0,"해당 없음",I1389/E1389)</x:f>
        <x:v>0.0784313725490196</x:v>
      </x:c>
      <x:c r="R1389" s="15" t="n">
        <x:f>IF(E1389=0,"해당 없음",J1389/E1389)</x:f>
        <x:v>0.06862745098039216</x:v>
      </x:c>
      <x:c r="S1389" s="15" t="n">
        <x:f>IF(E1389=0,"해당 없음",K1389/E1389)</x:f>
        <x:v>0.09803921568627451</x:v>
      </x:c>
      <x:c r="T1389" s="15" t="n">
        <x:f>IF(E1389=0,"해당 없음",L1389/E1389)</x:f>
        <x:v>0.35294117647058826</x:v>
      </x:c>
      <x:c r="U1389" s="15" t="n">
        <x:f>IF(E1389=0,"해당 없음",M1389/E1389)</x:f>
        <x:v>0.0784313725490196</x:v>
      </x:c>
      <x:c r="V1389" s="16" t="n">
        <x:f>E1389/5</x:f>
        <x:v>20.4</x:v>
      </x:c>
    </x:row>
    <x:row r="1390" ht="22" customHeight="1">
      <x:c r="A1390" s="2" t="n">
        <x:v>693</x:v>
      </x:c>
      <x:c r="B1390" s="2" t="str">
        <x:v>RED</x:v>
      </x:c>
      <x:c r="C1390" s="2" t="str">
        <x:v>40만</x:v>
      </x:c>
      <x:c r="D1390" s="2" t="str">
        <x:v>240만</x:v>
      </x:c>
      <x:c r="E1390" s="14" t="n">
        <x:f>SUM(F1390:M1390)</x:f>
        <x:v>101</x:v>
      </x:c>
      <x:c r="F1390" s="14" t="n">
        <x:v>10</x:v>
      </x:c>
      <x:c r="G1390" s="14" t="n">
        <x:v>27</x:v>
      </x:c>
      <x:c r="H1390" s="14" t="n">
        <x:v>11</x:v>
      </x:c>
      <x:c r="I1390" s="14" t="n">
        <x:v>7</x:v>
      </x:c>
      <x:c r="J1390" s="14" t="n">
        <x:v>3</x:v>
      </x:c>
      <x:c r="K1390" s="14" t="n">
        <x:v>5</x:v>
      </x:c>
      <x:c r="L1390" s="14" t="n">
        <x:v>36</x:v>
      </x:c>
      <x:c r="M1390" s="14" t="n">
        <x:v>2</x:v>
      </x:c>
      <x:c r="N1390" s="15" t="n">
        <x:f>IF(E1390=0,"해당 없음",F1390/E1390)</x:f>
        <x:v>0.09900990099009901</x:v>
      </x:c>
      <x:c r="O1390" s="15" t="n">
        <x:f>IF(E1390=0,"해당 없음",G1390/E1390)</x:f>
        <x:v>0.26732673267326734</x:v>
      </x:c>
      <x:c r="P1390" s="15" t="n">
        <x:f>IF(E1390=0,"해당 없음",H1390/E1390)</x:f>
        <x:v>0.10891089108910891</x:v>
      </x:c>
      <x:c r="Q1390" s="15" t="n">
        <x:f>IF(E1390=0,"해당 없음",I1390/E1390)</x:f>
        <x:v>0.06930693069306931</x:v>
      </x:c>
      <x:c r="R1390" s="15" t="n">
        <x:f>IF(E1390=0,"해당 없음",J1390/E1390)</x:f>
        <x:v>0.0297029702970297</x:v>
      </x:c>
      <x:c r="S1390" s="15" t="n">
        <x:f>IF(E1390=0,"해당 없음",K1390/E1390)</x:f>
        <x:v>0.04950495049504951</x:v>
      </x:c>
      <x:c r="T1390" s="15" t="n">
        <x:f>IF(E1390=0,"해당 없음",L1390/E1390)</x:f>
        <x:v>0.3564356435643564</x:v>
      </x:c>
      <x:c r="U1390" s="15" t="n">
        <x:f>IF(E1390=0,"해당 없음",M1390/E1390)</x:f>
        <x:v>0.019801980198019802</x:v>
      </x:c>
      <x:c r="V1390" s="16" t="n">
        <x:f>E1390/5</x:f>
        <x:v>20.2</x:v>
      </x:c>
    </x:row>
    <x:row r="1391" ht="22" customHeight="1">
      <x:c r="A1391" s="2" t="n">
        <x:v>693</x:v>
      </x:c>
      <x:c r="B1391" s="2" t="str">
        <x:v>NAVY</x:v>
      </x:c>
      <x:c r="C1391" s="2" t="str">
        <x:v>240만</x:v>
      </x:c>
      <x:c r="D1391" s="2" t="str">
        <x:v>40만</x:v>
      </x:c>
      <x:c r="E1391" s="14" t="n">
        <x:f>SUM(F1391:M1391)</x:f>
        <x:v>99</x:v>
      </x:c>
      <x:c r="F1391" s="14" t="n">
        <x:v>1</x:v>
      </x:c>
      <x:c r="G1391" s="14" t="n">
        <x:v>19</x:v>
      </x:c>
      <x:c r="H1391" s="14" t="n">
        <x:v>0</x:v>
      </x:c>
      <x:c r="I1391" s="14" t="n">
        <x:v>6</x:v>
      </x:c>
      <x:c r="J1391" s="14" t="n">
        <x:v>3</x:v>
      </x:c>
      <x:c r="K1391" s="14" t="n">
        <x:v>5</x:v>
      </x:c>
      <x:c r="L1391" s="14" t="n">
        <x:v>31</x:v>
      </x:c>
      <x:c r="M1391" s="14" t="n">
        <x:v>34</x:v>
      </x:c>
      <x:c r="N1391" s="15" t="n">
        <x:f>IF(E1391=0,"해당 없음",F1391/E1391)</x:f>
        <x:v>0.010101010101010102</x:v>
      </x:c>
      <x:c r="O1391" s="15" t="n">
        <x:f>IF(E1391=0,"해당 없음",G1391/E1391)</x:f>
        <x:v>0.1919191919191919</x:v>
      </x:c>
      <x:c r="P1391" s="15" t="n">
        <x:f>IF(E1391=0,"해당 없음",H1391/E1391)</x:f>
        <x:v>0</x:v>
      </x:c>
      <x:c r="Q1391" s="15" t="n">
        <x:f>IF(E1391=0,"해당 없음",I1391/E1391)</x:f>
        <x:v>0.06060606060606061</x:v>
      </x:c>
      <x:c r="R1391" s="15" t="n">
        <x:f>IF(E1391=0,"해당 없음",J1391/E1391)</x:f>
        <x:v>0.030303030303030304</x:v>
      </x:c>
      <x:c r="S1391" s="15" t="n">
        <x:f>IF(E1391=0,"해당 없음",K1391/E1391)</x:f>
        <x:v>0.050505050505050504</x:v>
      </x:c>
      <x:c r="T1391" s="15" t="n">
        <x:f>IF(E1391=0,"해당 없음",L1391/E1391)</x:f>
        <x:v>0.31313131313131315</x:v>
      </x:c>
      <x:c r="U1391" s="15" t="n">
        <x:f>IF(E1391=0,"해당 없음",M1391/E1391)</x:f>
        <x:v>0.3434343434343434</x:v>
      </x:c>
      <x:c r="V1391" s="16" t="n">
        <x:f>E1391/5</x:f>
        <x:v>19.8</x:v>
      </x:c>
    </x:row>
    <x:row r="1392" ht="22" customHeight="1">
      <x:c r="A1392" s="2" t="n">
        <x:v>694</x:v>
      </x:c>
      <x:c r="B1392" s="2" t="str">
        <x:v>RED</x:v>
      </x:c>
      <x:c r="C1392" s="2" t="str">
        <x:v>240만</x:v>
      </x:c>
      <x:c r="D1392" s="2" t="str">
        <x:v>40만</x:v>
      </x:c>
      <x:c r="E1392" s="14" t="n">
        <x:f>SUM(F1392:M1392)</x:f>
        <x:v>104</x:v>
      </x:c>
      <x:c r="F1392" s="14" t="n">
        <x:v>1</x:v>
      </x:c>
      <x:c r="G1392" s="14" t="n">
        <x:v>14</x:v>
      </x:c>
      <x:c r="H1392" s="14" t="n">
        <x:v>2</x:v>
      </x:c>
      <x:c r="I1392" s="14" t="n">
        <x:v>4</x:v>
      </x:c>
      <x:c r="J1392" s="14" t="n">
        <x:v>1</x:v>
      </x:c>
      <x:c r="K1392" s="14" t="n">
        <x:v>5</x:v>
      </x:c>
      <x:c r="L1392" s="14" t="n">
        <x:v>33</x:v>
      </x:c>
      <x:c r="M1392" s="14" t="n">
        <x:v>44</x:v>
      </x:c>
      <x:c r="N1392" s="15" t="n">
        <x:f>IF(E1392=0,"해당 없음",F1392/E1392)</x:f>
        <x:v>0.009615384615384616</x:v>
      </x:c>
      <x:c r="O1392" s="15" t="n">
        <x:f>IF(E1392=0,"해당 없음",G1392/E1392)</x:f>
        <x:v>0.1346153846153846</x:v>
      </x:c>
      <x:c r="P1392" s="15" t="n">
        <x:f>IF(E1392=0,"해당 없음",H1392/E1392)</x:f>
        <x:v>0.019230769230769232</x:v>
      </x:c>
      <x:c r="Q1392" s="15" t="n">
        <x:f>IF(E1392=0,"해당 없음",I1392/E1392)</x:f>
        <x:v>0.038461538461538464</x:v>
      </x:c>
      <x:c r="R1392" s="15" t="n">
        <x:f>IF(E1392=0,"해당 없음",J1392/E1392)</x:f>
        <x:v>0.009615384615384616</x:v>
      </x:c>
      <x:c r="S1392" s="15" t="n">
        <x:f>IF(E1392=0,"해당 없음",K1392/E1392)</x:f>
        <x:v>0.04807692307692308</x:v>
      </x:c>
      <x:c r="T1392" s="15" t="n">
        <x:f>IF(E1392=0,"해당 없음",L1392/E1392)</x:f>
        <x:v>0.3173076923076923</x:v>
      </x:c>
      <x:c r="U1392" s="15" t="n">
        <x:f>IF(E1392=0,"해당 없음",M1392/E1392)</x:f>
        <x:v>0.4230769230769231</x:v>
      </x:c>
      <x:c r="V1392" s="16" t="n">
        <x:f>E1392/5</x:f>
        <x:v>20.8</x:v>
      </x:c>
    </x:row>
    <x:row r="1393" ht="22" customHeight="1">
      <x:c r="A1393" s="2" t="n">
        <x:v>694</x:v>
      </x:c>
      <x:c r="B1393" s="2" t="str">
        <x:v>NAVY</x:v>
      </x:c>
      <x:c r="C1393" s="2" t="str">
        <x:v>40만</x:v>
      </x:c>
      <x:c r="D1393" s="2" t="str">
        <x:v>240만</x:v>
      </x:c>
      <x:c r="E1393" s="14" t="n">
        <x:f>SUM(F1393:M1393)</x:f>
        <x:v>101</x:v>
      </x:c>
      <x:c r="F1393" s="14" t="n">
        <x:v>7</x:v>
      </x:c>
      <x:c r="G1393" s="14" t="n">
        <x:v>32</x:v>
      </x:c>
      <x:c r="H1393" s="14" t="n">
        <x:v>8</x:v>
      </x:c>
      <x:c r="I1393" s="14" t="n">
        <x:v>4</x:v>
      </x:c>
      <x:c r="J1393" s="14" t="n">
        <x:v>5</x:v>
      </x:c>
      <x:c r="K1393" s="14" t="n">
        <x:v>6</x:v>
      </x:c>
      <x:c r="L1393" s="14" t="n">
        <x:v>35</x:v>
      </x:c>
      <x:c r="M1393" s="14" t="n">
        <x:v>4</x:v>
      </x:c>
      <x:c r="N1393" s="15" t="n">
        <x:f>IF(E1393=0,"해당 없음",F1393/E1393)</x:f>
        <x:v>0.06930693069306931</x:v>
      </x:c>
      <x:c r="O1393" s="15" t="n">
        <x:f>IF(E1393=0,"해당 없음",G1393/E1393)</x:f>
        <x:v>0.31683168316831684</x:v>
      </x:c>
      <x:c r="P1393" s="15" t="n">
        <x:f>IF(E1393=0,"해당 없음",H1393/E1393)</x:f>
        <x:v>0.07920792079207921</x:v>
      </x:c>
      <x:c r="Q1393" s="15" t="n">
        <x:f>IF(E1393=0,"해당 없음",I1393/E1393)</x:f>
        <x:v>0.039603960396039604</x:v>
      </x:c>
      <x:c r="R1393" s="15" t="n">
        <x:f>IF(E1393=0,"해당 없음",J1393/E1393)</x:f>
        <x:v>0.04950495049504951</x:v>
      </x:c>
      <x:c r="S1393" s="15" t="n">
        <x:f>IF(E1393=0,"해당 없음",K1393/E1393)</x:f>
        <x:v>0.0594059405940594</x:v>
      </x:c>
      <x:c r="T1393" s="15" t="n">
        <x:f>IF(E1393=0,"해당 없음",L1393/E1393)</x:f>
        <x:v>0.3465346534653465</x:v>
      </x:c>
      <x:c r="U1393" s="15" t="n">
        <x:f>IF(E1393=0,"해당 없음",M1393/E1393)</x:f>
        <x:v>0.039603960396039604</x:v>
      </x:c>
      <x:c r="V1393" s="16" t="n">
        <x:f>E1393/5</x:f>
        <x:v>20.2</x:v>
      </x:c>
    </x:row>
    <x:row r="1394" ht="22" customHeight="1">
      <x:c r="A1394" s="2" t="n">
        <x:v>695</x:v>
      </x:c>
      <x:c r="B1394" s="2" t="str">
        <x:v>RED</x:v>
      </x:c>
      <x:c r="C1394" s="2" t="str">
        <x:v>40만</x:v>
      </x:c>
      <x:c r="D1394" s="2" t="str">
        <x:v>240만</x:v>
      </x:c>
      <x:c r="E1394" s="14" t="n">
        <x:f>SUM(F1394:M1394)</x:f>
        <x:v>105</x:v>
      </x:c>
      <x:c r="F1394" s="14" t="n">
        <x:v>5</x:v>
      </x:c>
      <x:c r="G1394" s="14" t="n">
        <x:v>28</x:v>
      </x:c>
      <x:c r="H1394" s="14" t="n">
        <x:v>4</x:v>
      </x:c>
      <x:c r="I1394" s="14" t="n">
        <x:v>7</x:v>
      </x:c>
      <x:c r="J1394" s="14" t="n">
        <x:v>3</x:v>
      </x:c>
      <x:c r="K1394" s="14" t="n">
        <x:v>6</x:v>
      </x:c>
      <x:c r="L1394" s="14" t="n">
        <x:v>43</x:v>
      </x:c>
      <x:c r="M1394" s="14" t="n">
        <x:v>9</x:v>
      </x:c>
      <x:c r="N1394" s="15" t="n">
        <x:f>IF(E1394=0,"해당 없음",F1394/E1394)</x:f>
        <x:v>0.047619047619047616</x:v>
      </x:c>
      <x:c r="O1394" s="15" t="n">
        <x:f>IF(E1394=0,"해당 없음",G1394/E1394)</x:f>
        <x:v>0.26666666666666666</x:v>
      </x:c>
      <x:c r="P1394" s="15" t="n">
        <x:f>IF(E1394=0,"해당 없음",H1394/E1394)</x:f>
        <x:v>0.0380952380952381</x:v>
      </x:c>
      <x:c r="Q1394" s="15" t="n">
        <x:f>IF(E1394=0,"해당 없음",I1394/E1394)</x:f>
        <x:v>0.06666666666666667</x:v>
      </x:c>
      <x:c r="R1394" s="15" t="n">
        <x:f>IF(E1394=0,"해당 없음",J1394/E1394)</x:f>
        <x:v>0.02857142857142857</x:v>
      </x:c>
      <x:c r="S1394" s="15" t="n">
        <x:f>IF(E1394=0,"해당 없음",K1394/E1394)</x:f>
        <x:v>0.05714285714285714</x:v>
      </x:c>
      <x:c r="T1394" s="15" t="n">
        <x:f>IF(E1394=0,"해당 없음",L1394/E1394)</x:f>
        <x:v>0.4095238095238095</x:v>
      </x:c>
      <x:c r="U1394" s="15" t="n">
        <x:f>IF(E1394=0,"해당 없음",M1394/E1394)</x:f>
        <x:v>0.08571428571428572</x:v>
      </x:c>
      <x:c r="V1394" s="16" t="n">
        <x:f>E1394/5</x:f>
        <x:v>21</x:v>
      </x:c>
    </x:row>
    <x:row r="1395" ht="22" customHeight="1">
      <x:c r="A1395" s="2" t="n">
        <x:v>695</x:v>
      </x:c>
      <x:c r="B1395" s="2" t="str">
        <x:v>NAVY</x:v>
      </x:c>
      <x:c r="C1395" s="2" t="str">
        <x:v>240만</x:v>
      </x:c>
      <x:c r="D1395" s="2" t="str">
        <x:v>40만</x:v>
      </x:c>
      <x:c r="E1395" s="14" t="n">
        <x:f>SUM(F1395:M1395)</x:f>
        <x:v>107</x:v>
      </x:c>
      <x:c r="F1395" s="14" t="n">
        <x:v>1</x:v>
      </x:c>
      <x:c r="G1395" s="14" t="n">
        <x:v>4</x:v>
      </x:c>
      <x:c r="H1395" s="14" t="n">
        <x:v>1</x:v>
      </x:c>
      <x:c r="I1395" s="14" t="n">
        <x:v>4</x:v>
      </x:c>
      <x:c r="J1395" s="14" t="n">
        <x:v>6</x:v>
      </x:c>
      <x:c r="K1395" s="14" t="n">
        <x:v>3</x:v>
      </x:c>
      <x:c r="L1395" s="14" t="n">
        <x:v>37</x:v>
      </x:c>
      <x:c r="M1395" s="14" t="n">
        <x:v>51</x:v>
      </x:c>
      <x:c r="N1395" s="15" t="n">
        <x:f>IF(E1395=0,"해당 없음",F1395/E1395)</x:f>
        <x:v>0.009345794392523364</x:v>
      </x:c>
      <x:c r="O1395" s="15" t="n">
        <x:f>IF(E1395=0,"해당 없음",G1395/E1395)</x:f>
        <x:v>0.037383177570093455</x:v>
      </x:c>
      <x:c r="P1395" s="15" t="n">
        <x:f>IF(E1395=0,"해당 없음",H1395/E1395)</x:f>
        <x:v>0.009345794392523364</x:v>
      </x:c>
      <x:c r="Q1395" s="15" t="n">
        <x:f>IF(E1395=0,"해당 없음",I1395/E1395)</x:f>
        <x:v>0.037383177570093455</x:v>
      </x:c>
      <x:c r="R1395" s="15" t="n">
        <x:f>IF(E1395=0,"해당 없음",J1395/E1395)</x:f>
        <x:v>0.056074766355140186</x:v>
      </x:c>
      <x:c r="S1395" s="15" t="n">
        <x:f>IF(E1395=0,"해당 없음",K1395/E1395)</x:f>
        <x:v>0.028037383177570093</x:v>
      </x:c>
      <x:c r="T1395" s="15" t="n">
        <x:f>IF(E1395=0,"해당 없음",L1395/E1395)</x:f>
        <x:v>0.34579439252336447</x:v>
      </x:c>
      <x:c r="U1395" s="15" t="n">
        <x:f>IF(E1395=0,"해당 없음",M1395/E1395)</x:f>
        <x:v>0.4766355140186916</x:v>
      </x:c>
      <x:c r="V1395" s="16" t="n">
        <x:f>E1395/5</x:f>
        <x:v>21.4</x:v>
      </x:c>
    </x:row>
    <x:row r="1396" ht="22" customHeight="1">
      <x:c r="A1396" s="2" t="n">
        <x:v>696</x:v>
      </x:c>
      <x:c r="B1396" s="2" t="str">
        <x:v>RED</x:v>
      </x:c>
      <x:c r="C1396" s="2" t="str">
        <x:v>240만</x:v>
      </x:c>
      <x:c r="D1396" s="2" t="str">
        <x:v>40만</x:v>
      </x:c>
      <x:c r="E1396" s="14" t="n">
        <x:f>SUM(F1396:M1396)</x:f>
        <x:v>105</x:v>
      </x:c>
      <x:c r="F1396" s="14" t="n">
        <x:v>1</x:v>
      </x:c>
      <x:c r="G1396" s="14" t="n">
        <x:v>8</x:v>
      </x:c>
      <x:c r="H1396" s="14" t="n">
        <x:v>4</x:v>
      </x:c>
      <x:c r="I1396" s="14" t="n">
        <x:v>7</x:v>
      </x:c>
      <x:c r="J1396" s="14" t="n">
        <x:v>2</x:v>
      </x:c>
      <x:c r="K1396" s="14" t="n">
        <x:v>6</x:v>
      </x:c>
      <x:c r="L1396" s="14" t="n">
        <x:v>37</x:v>
      </x:c>
      <x:c r="M1396" s="14" t="n">
        <x:v>40</x:v>
      </x:c>
      <x:c r="N1396" s="15" t="n">
        <x:f>IF(E1396=0,"해당 없음",F1396/E1396)</x:f>
        <x:v>0.009523809523809525</x:v>
      </x:c>
      <x:c r="O1396" s="15" t="n">
        <x:f>IF(E1396=0,"해당 없음",G1396/E1396)</x:f>
        <x:v>0.0761904761904762</x:v>
      </x:c>
      <x:c r="P1396" s="15" t="n">
        <x:f>IF(E1396=0,"해당 없음",H1396/E1396)</x:f>
        <x:v>0.0380952380952381</x:v>
      </x:c>
      <x:c r="Q1396" s="15" t="n">
        <x:f>IF(E1396=0,"해당 없음",I1396/E1396)</x:f>
        <x:v>0.06666666666666667</x:v>
      </x:c>
      <x:c r="R1396" s="15" t="n">
        <x:f>IF(E1396=0,"해당 없음",J1396/E1396)</x:f>
        <x:v>0.01904761904761905</x:v>
      </x:c>
      <x:c r="S1396" s="15" t="n">
        <x:f>IF(E1396=0,"해당 없음",K1396/E1396)</x:f>
        <x:v>0.05714285714285714</x:v>
      </x:c>
      <x:c r="T1396" s="15" t="n">
        <x:f>IF(E1396=0,"해당 없음",L1396/E1396)</x:f>
        <x:v>0.3523809523809524</x:v>
      </x:c>
      <x:c r="U1396" s="15" t="n">
        <x:f>IF(E1396=0,"해당 없음",M1396/E1396)</x:f>
        <x:v>0.38095238095238093</x:v>
      </x:c>
      <x:c r="V1396" s="16" t="n">
        <x:f>E1396/5</x:f>
        <x:v>21</x:v>
      </x:c>
    </x:row>
    <x:row r="1397" ht="22" customHeight="1">
      <x:c r="A1397" s="2" t="n">
        <x:v>696</x:v>
      </x:c>
      <x:c r="B1397" s="2" t="str">
        <x:v>NAVY</x:v>
      </x:c>
      <x:c r="C1397" s="2" t="str">
        <x:v>40만</x:v>
      </x:c>
      <x:c r="D1397" s="2" t="str">
        <x:v>240만</x:v>
      </x:c>
      <x:c r="E1397" s="14" t="n">
        <x:f>SUM(F1397:M1397)</x:f>
        <x:v>104</x:v>
      </x:c>
      <x:c r="F1397" s="14" t="n">
        <x:v>3</x:v>
      </x:c>
      <x:c r="G1397" s="14" t="n">
        <x:v>24</x:v>
      </x:c>
      <x:c r="H1397" s="14" t="n">
        <x:v>8</x:v>
      </x:c>
      <x:c r="I1397" s="14" t="n">
        <x:v>5</x:v>
      </x:c>
      <x:c r="J1397" s="14" t="n">
        <x:v>8</x:v>
      </x:c>
      <x:c r="K1397" s="14" t="n">
        <x:v>9</x:v>
      </x:c>
      <x:c r="L1397" s="14" t="n">
        <x:v>45</x:v>
      </x:c>
      <x:c r="M1397" s="14" t="n">
        <x:v>2</x:v>
      </x:c>
      <x:c r="N1397" s="15" t="n">
        <x:f>IF(E1397=0,"해당 없음",F1397/E1397)</x:f>
        <x:v>0.028846153846153848</x:v>
      </x:c>
      <x:c r="O1397" s="15" t="n">
        <x:f>IF(E1397=0,"해당 없음",G1397/E1397)</x:f>
        <x:v>0.23076923076923078</x:v>
      </x:c>
      <x:c r="P1397" s="15" t="n">
        <x:f>IF(E1397=0,"해당 없음",H1397/E1397)</x:f>
        <x:v>0.07692307692307693</x:v>
      </x:c>
      <x:c r="Q1397" s="15" t="n">
        <x:f>IF(E1397=0,"해당 없음",I1397/E1397)</x:f>
        <x:v>0.04807692307692308</x:v>
      </x:c>
      <x:c r="R1397" s="15" t="n">
        <x:f>IF(E1397=0,"해당 없음",J1397/E1397)</x:f>
        <x:v>0.07692307692307693</x:v>
      </x:c>
      <x:c r="S1397" s="15" t="n">
        <x:f>IF(E1397=0,"해당 없음",K1397/E1397)</x:f>
        <x:v>0.08653846153846154</x:v>
      </x:c>
      <x:c r="T1397" s="15" t="n">
        <x:f>IF(E1397=0,"해당 없음",L1397/E1397)</x:f>
        <x:v>0.4326923076923077</x:v>
      </x:c>
      <x:c r="U1397" s="15" t="n">
        <x:f>IF(E1397=0,"해당 없음",M1397/E1397)</x:f>
        <x:v>0.019230769230769232</x:v>
      </x:c>
      <x:c r="V1397" s="16" t="n">
        <x:f>E1397/5</x:f>
        <x:v>20.8</x:v>
      </x:c>
    </x:row>
    <x:row r="1398" ht="22" customHeight="1">
      <x:c r="A1398" s="2" t="n">
        <x:v>697</x:v>
      </x:c>
      <x:c r="B1398" s="2" t="str">
        <x:v>RED</x:v>
      </x:c>
      <x:c r="C1398" s="2" t="str">
        <x:v>40만</x:v>
      </x:c>
      <x:c r="D1398" s="2" t="str">
        <x:v>240만</x:v>
      </x:c>
      <x:c r="E1398" s="14" t="n">
        <x:f>SUM(F1398:M1398)</x:f>
        <x:v>100</x:v>
      </x:c>
      <x:c r="F1398" s="14" t="n">
        <x:v>6</x:v>
      </x:c>
      <x:c r="G1398" s="14" t="n">
        <x:v>30</x:v>
      </x:c>
      <x:c r="H1398" s="14" t="n">
        <x:v>6</x:v>
      </x:c>
      <x:c r="I1398" s="14" t="n">
        <x:v>7</x:v>
      </x:c>
      <x:c r="J1398" s="14" t="n">
        <x:v>5</x:v>
      </x:c>
      <x:c r="K1398" s="14" t="n">
        <x:v>7</x:v>
      </x:c>
      <x:c r="L1398" s="14" t="n">
        <x:v>36</x:v>
      </x:c>
      <x:c r="M1398" s="14" t="n">
        <x:v>3</x:v>
      </x:c>
      <x:c r="N1398" s="15" t="n">
        <x:f>IF(E1398=0,"해당 없음",F1398/E1398)</x:f>
        <x:v>0.06</x:v>
      </x:c>
      <x:c r="O1398" s="15" t="n">
        <x:f>IF(E1398=0,"해당 없음",G1398/E1398)</x:f>
        <x:v>0.3</x:v>
      </x:c>
      <x:c r="P1398" s="15" t="n">
        <x:f>IF(E1398=0,"해당 없음",H1398/E1398)</x:f>
        <x:v>0.06</x:v>
      </x:c>
      <x:c r="Q1398" s="15" t="n">
        <x:f>IF(E1398=0,"해당 없음",I1398/E1398)</x:f>
        <x:v>0.07</x:v>
      </x:c>
      <x:c r="R1398" s="15" t="n">
        <x:f>IF(E1398=0,"해당 없음",J1398/E1398)</x:f>
        <x:v>0.05</x:v>
      </x:c>
      <x:c r="S1398" s="15" t="n">
        <x:f>IF(E1398=0,"해당 없음",K1398/E1398)</x:f>
        <x:v>0.07</x:v>
      </x:c>
      <x:c r="T1398" s="15" t="n">
        <x:f>IF(E1398=0,"해당 없음",L1398/E1398)</x:f>
        <x:v>0.36</x:v>
      </x:c>
      <x:c r="U1398" s="15" t="n">
        <x:f>IF(E1398=0,"해당 없음",M1398/E1398)</x:f>
        <x:v>0.03</x:v>
      </x:c>
      <x:c r="V1398" s="16" t="n">
        <x:f>E1398/5</x:f>
        <x:v>20</x:v>
      </x:c>
    </x:row>
    <x:row r="1399" ht="22" customHeight="1">
      <x:c r="A1399" s="2" t="n">
        <x:v>697</x:v>
      </x:c>
      <x:c r="B1399" s="2" t="str">
        <x:v>NAVY</x:v>
      </x:c>
      <x:c r="C1399" s="2" t="str">
        <x:v>240만</x:v>
      </x:c>
      <x:c r="D1399" s="2" t="str">
        <x:v>40만</x:v>
      </x:c>
      <x:c r="E1399" s="14" t="n">
        <x:f>SUM(F1399:M1399)</x:f>
        <x:v>103</x:v>
      </x:c>
      <x:c r="F1399" s="14" t="n">
        <x:v>1</x:v>
      </x:c>
      <x:c r="G1399" s="14" t="n">
        <x:v>21</x:v>
      </x:c>
      <x:c r="H1399" s="14" t="n">
        <x:v>2</x:v>
      </x:c>
      <x:c r="I1399" s="14" t="n">
        <x:v>4</x:v>
      </x:c>
      <x:c r="J1399" s="14" t="n">
        <x:v>0</x:v>
      </x:c>
      <x:c r="K1399" s="14" t="n">
        <x:v>4</x:v>
      </x:c>
      <x:c r="L1399" s="14" t="n">
        <x:v>34</x:v>
      </x:c>
      <x:c r="M1399" s="14" t="n">
        <x:v>37</x:v>
      </x:c>
      <x:c r="N1399" s="15" t="n">
        <x:f>IF(E1399=0,"해당 없음",F1399/E1399)</x:f>
        <x:v>0.009708737864077669</x:v>
      </x:c>
      <x:c r="O1399" s="15" t="n">
        <x:f>IF(E1399=0,"해당 없음",G1399/E1399)</x:f>
        <x:v>0.20388349514563106</x:v>
      </x:c>
      <x:c r="P1399" s="15" t="n">
        <x:f>IF(E1399=0,"해당 없음",H1399/E1399)</x:f>
        <x:v>0.019417475728155338</x:v>
      </x:c>
      <x:c r="Q1399" s="15" t="n">
        <x:f>IF(E1399=0,"해당 없음",I1399/E1399)</x:f>
        <x:v>0.038834951456310676</x:v>
      </x:c>
      <x:c r="R1399" s="15" t="n">
        <x:f>IF(E1399=0,"해당 없음",J1399/E1399)</x:f>
        <x:v>0</x:v>
      </x:c>
      <x:c r="S1399" s="15" t="n">
        <x:f>IF(E1399=0,"해당 없음",K1399/E1399)</x:f>
        <x:v>0.038834951456310676</x:v>
      </x:c>
      <x:c r="T1399" s="15" t="n">
        <x:f>IF(E1399=0,"해당 없음",L1399/E1399)</x:f>
        <x:v>0.3300970873786408</x:v>
      </x:c>
      <x:c r="U1399" s="15" t="n">
        <x:f>IF(E1399=0,"해당 없음",M1399/E1399)</x:f>
        <x:v>0.3592233009708738</x:v>
      </x:c>
      <x:c r="V1399" s="16" t="n">
        <x:f>E1399/5</x:f>
        <x:v>20.6</x:v>
      </x:c>
    </x:row>
    <x:row r="1400" ht="22" customHeight="1">
      <x:c r="A1400" s="2" t="n">
        <x:v>698</x:v>
      </x:c>
      <x:c r="B1400" s="2" t="str">
        <x:v>RED</x:v>
      </x:c>
      <x:c r="C1400" s="2" t="str">
        <x:v>240만</x:v>
      </x:c>
      <x:c r="D1400" s="2" t="str">
        <x:v>40만</x:v>
      </x:c>
      <x:c r="E1400" s="14" t="n">
        <x:f>SUM(F1400:M1400)</x:f>
        <x:v>102</x:v>
      </x:c>
      <x:c r="F1400" s="14" t="n">
        <x:v>4</x:v>
      </x:c>
      <x:c r="G1400" s="14" t="n">
        <x:v>8</x:v>
      </x:c>
      <x:c r="H1400" s="14" t="n">
        <x:v>2</x:v>
      </x:c>
      <x:c r="I1400" s="14" t="n">
        <x:v>3</x:v>
      </x:c>
      <x:c r="J1400" s="14" t="n">
        <x:v>1</x:v>
      </x:c>
      <x:c r="K1400" s="14" t="n">
        <x:v>2</x:v>
      </x:c>
      <x:c r="L1400" s="14" t="n">
        <x:v>33</x:v>
      </x:c>
      <x:c r="M1400" s="14" t="n">
        <x:v>49</x:v>
      </x:c>
      <x:c r="N1400" s="15" t="n">
        <x:f>IF(E1400=0,"해당 없음",F1400/E1400)</x:f>
        <x:v>0.0392156862745098</x:v>
      </x:c>
      <x:c r="O1400" s="15" t="n">
        <x:f>IF(E1400=0,"해당 없음",G1400/E1400)</x:f>
        <x:v>0.0784313725490196</x:v>
      </x:c>
      <x:c r="P1400" s="15" t="n">
        <x:f>IF(E1400=0,"해당 없음",H1400/E1400)</x:f>
        <x:v>0.0196078431372549</x:v>
      </x:c>
      <x:c r="Q1400" s="15" t="n">
        <x:f>IF(E1400=0,"해당 없음",I1400/E1400)</x:f>
        <x:v>0.029411764705882353</x:v>
      </x:c>
      <x:c r="R1400" s="15" t="n">
        <x:f>IF(E1400=0,"해당 없음",J1400/E1400)</x:f>
        <x:v>0.00980392156862745</x:v>
      </x:c>
      <x:c r="S1400" s="15" t="n">
        <x:f>IF(E1400=0,"해당 없음",K1400/E1400)</x:f>
        <x:v>0.0196078431372549</x:v>
      </x:c>
      <x:c r="T1400" s="15" t="n">
        <x:f>IF(E1400=0,"해당 없음",L1400/E1400)</x:f>
        <x:v>0.3235294117647059</x:v>
      </x:c>
      <x:c r="U1400" s="15" t="n">
        <x:f>IF(E1400=0,"해당 없음",M1400/E1400)</x:f>
        <x:v>0.4803921568627451</x:v>
      </x:c>
      <x:c r="V1400" s="16" t="n">
        <x:f>E1400/5</x:f>
        <x:v>20.4</x:v>
      </x:c>
    </x:row>
    <x:row r="1401" ht="22" customHeight="1">
      <x:c r="A1401" s="2" t="n">
        <x:v>698</x:v>
      </x:c>
      <x:c r="B1401" s="2" t="str">
        <x:v>NAVY</x:v>
      </x:c>
      <x:c r="C1401" s="2" t="str">
        <x:v>40만</x:v>
      </x:c>
      <x:c r="D1401" s="2" t="str">
        <x:v>240만</x:v>
      </x:c>
      <x:c r="E1401" s="14" t="n">
        <x:f>SUM(F1401:M1401)</x:f>
        <x:v>103</x:v>
      </x:c>
      <x:c r="F1401" s="14" t="n">
        <x:v>3</x:v>
      </x:c>
      <x:c r="G1401" s="14" t="n">
        <x:v>25</x:v>
      </x:c>
      <x:c r="H1401" s="14" t="n">
        <x:v>9</x:v>
      </x:c>
      <x:c r="I1401" s="14" t="n">
        <x:v>7</x:v>
      </x:c>
      <x:c r="J1401" s="14" t="n">
        <x:v>2</x:v>
      </x:c>
      <x:c r="K1401" s="14" t="n">
        <x:v>7</x:v>
      </x:c>
      <x:c r="L1401" s="14" t="n">
        <x:v>44</x:v>
      </x:c>
      <x:c r="M1401" s="14" t="n">
        <x:v>6</x:v>
      </x:c>
      <x:c r="N1401" s="15" t="n">
        <x:f>IF(E1401=0,"해당 없음",F1401/E1401)</x:f>
        <x:v>0.02912621359223301</x:v>
      </x:c>
      <x:c r="O1401" s="15" t="n">
        <x:f>IF(E1401=0,"해당 없음",G1401/E1401)</x:f>
        <x:v>0.24271844660194175</x:v>
      </x:c>
      <x:c r="P1401" s="15" t="n">
        <x:f>IF(E1401=0,"해당 없음",H1401/E1401)</x:f>
        <x:v>0.08737864077669903</x:v>
      </x:c>
      <x:c r="Q1401" s="15" t="n">
        <x:f>IF(E1401=0,"해당 없음",I1401/E1401)</x:f>
        <x:v>0.06796116504854369</x:v>
      </x:c>
      <x:c r="R1401" s="15" t="n">
        <x:f>IF(E1401=0,"해당 없음",J1401/E1401)</x:f>
        <x:v>0.019417475728155338</x:v>
      </x:c>
      <x:c r="S1401" s="15" t="n">
        <x:f>IF(E1401=0,"해당 없음",K1401/E1401)</x:f>
        <x:v>0.06796116504854369</x:v>
      </x:c>
      <x:c r="T1401" s="15" t="n">
        <x:f>IF(E1401=0,"해당 없음",L1401/E1401)</x:f>
        <x:v>0.42718446601941745</x:v>
      </x:c>
      <x:c r="U1401" s="15" t="n">
        <x:f>IF(E1401=0,"해당 없음",M1401/E1401)</x:f>
        <x:v>0.05825242718446602</x:v>
      </x:c>
      <x:c r="V1401" s="16" t="n">
        <x:f>E1401/5</x:f>
        <x:v>20.6</x:v>
      </x:c>
    </x:row>
    <x:row r="1402" ht="22" customHeight="1">
      <x:c r="A1402" s="2" t="n">
        <x:v>699</x:v>
      </x:c>
      <x:c r="B1402" s="2" t="str">
        <x:v>RED</x:v>
      </x:c>
      <x:c r="C1402" s="2" t="str">
        <x:v>40만</x:v>
      </x:c>
      <x:c r="D1402" s="2" t="str">
        <x:v>240만</x:v>
      </x:c>
      <x:c r="E1402" s="14" t="n">
        <x:f>SUM(F1402:M1402)</x:f>
        <x:v>106</x:v>
      </x:c>
      <x:c r="F1402" s="14" t="n">
        <x:v>3</x:v>
      </x:c>
      <x:c r="G1402" s="14" t="n">
        <x:v>24</x:v>
      </x:c>
      <x:c r="H1402" s="14" t="n">
        <x:v>2</x:v>
      </x:c>
      <x:c r="I1402" s="14" t="n">
        <x:v>6</x:v>
      </x:c>
      <x:c r="J1402" s="14" t="n">
        <x:v>9</x:v>
      </x:c>
      <x:c r="K1402" s="14" t="n">
        <x:v>6</x:v>
      </x:c>
      <x:c r="L1402" s="14" t="n">
        <x:v>47</x:v>
      </x:c>
      <x:c r="M1402" s="14" t="n">
        <x:v>9</x:v>
      </x:c>
      <x:c r="N1402" s="15" t="n">
        <x:f>IF(E1402=0,"해당 없음",F1402/E1402)</x:f>
        <x:v>0.02830188679245283</x:v>
      </x:c>
      <x:c r="O1402" s="15" t="n">
        <x:f>IF(E1402=0,"해당 없음",G1402/E1402)</x:f>
        <x:v>0.22641509433962265</x:v>
      </x:c>
      <x:c r="P1402" s="15" t="n">
        <x:f>IF(E1402=0,"해당 없음",H1402/E1402)</x:f>
        <x:v>0.018867924528301886</x:v>
      </x:c>
      <x:c r="Q1402" s="15" t="n">
        <x:f>IF(E1402=0,"해당 없음",I1402/E1402)</x:f>
        <x:v>0.05660377358490566</x:v>
      </x:c>
      <x:c r="R1402" s="15" t="n">
        <x:f>IF(E1402=0,"해당 없음",J1402/E1402)</x:f>
        <x:v>0.08490566037735849</x:v>
      </x:c>
      <x:c r="S1402" s="15" t="n">
        <x:f>IF(E1402=0,"해당 없음",K1402/E1402)</x:f>
        <x:v>0.05660377358490566</x:v>
      </x:c>
      <x:c r="T1402" s="15" t="n">
        <x:f>IF(E1402=0,"해당 없음",L1402/E1402)</x:f>
        <x:v>0.44339622641509435</x:v>
      </x:c>
      <x:c r="U1402" s="15" t="n">
        <x:f>IF(E1402=0,"해당 없음",M1402/E1402)</x:f>
        <x:v>0.08490566037735849</x:v>
      </x:c>
      <x:c r="V1402" s="16" t="n">
        <x:f>E1402/5</x:f>
        <x:v>21.2</x:v>
      </x:c>
    </x:row>
    <x:row r="1403" ht="22" customHeight="1">
      <x:c r="A1403" s="2" t="n">
        <x:v>699</x:v>
      </x:c>
      <x:c r="B1403" s="2" t="str">
        <x:v>NAVY</x:v>
      </x:c>
      <x:c r="C1403" s="2" t="str">
        <x:v>240만</x:v>
      </x:c>
      <x:c r="D1403" s="2" t="str">
        <x:v>40만</x:v>
      </x:c>
      <x:c r="E1403" s="14" t="n">
        <x:f>SUM(F1403:M1403)</x:f>
        <x:v>106</x:v>
      </x:c>
      <x:c r="F1403" s="14" t="n">
        <x:v>4</x:v>
      </x:c>
      <x:c r="G1403" s="14" t="n">
        <x:v>18</x:v>
      </x:c>
      <x:c r="H1403" s="14" t="n">
        <x:v>3</x:v>
      </x:c>
      <x:c r="I1403" s="14" t="n">
        <x:v>5</x:v>
      </x:c>
      <x:c r="J1403" s="14" t="n">
        <x:v>3</x:v>
      </x:c>
      <x:c r="K1403" s="14" t="n">
        <x:v>4</x:v>
      </x:c>
      <x:c r="L1403" s="14" t="n">
        <x:v>42</x:v>
      </x:c>
      <x:c r="M1403" s="14" t="n">
        <x:v>27</x:v>
      </x:c>
      <x:c r="N1403" s="15" t="n">
        <x:f>IF(E1403=0,"해당 없음",F1403/E1403)</x:f>
        <x:v>0.03773584905660377</x:v>
      </x:c>
      <x:c r="O1403" s="15" t="n">
        <x:f>IF(E1403=0,"해당 없음",G1403/E1403)</x:f>
        <x:v>0.16981132075471697</x:v>
      </x:c>
      <x:c r="P1403" s="15" t="n">
        <x:f>IF(E1403=0,"해당 없음",H1403/E1403)</x:f>
        <x:v>0.02830188679245283</x:v>
      </x:c>
      <x:c r="Q1403" s="15" t="n">
        <x:f>IF(E1403=0,"해당 없음",I1403/E1403)</x:f>
        <x:v>0.04716981132075472</x:v>
      </x:c>
      <x:c r="R1403" s="15" t="n">
        <x:f>IF(E1403=0,"해당 없음",J1403/E1403)</x:f>
        <x:v>0.02830188679245283</x:v>
      </x:c>
      <x:c r="S1403" s="15" t="n">
        <x:f>IF(E1403=0,"해당 없음",K1403/E1403)</x:f>
        <x:v>0.03773584905660377</x:v>
      </x:c>
      <x:c r="T1403" s="15" t="n">
        <x:f>IF(E1403=0,"해당 없음",L1403/E1403)</x:f>
        <x:v>0.39622641509433965</x:v>
      </x:c>
      <x:c r="U1403" s="15" t="n">
        <x:f>IF(E1403=0,"해당 없음",M1403/E1403)</x:f>
        <x:v>0.25471698113207547</x:v>
      </x:c>
      <x:c r="V1403" s="16" t="n">
        <x:f>E1403/5</x:f>
        <x:v>21.2</x:v>
      </x:c>
    </x:row>
    <x:row r="1404" ht="22" customHeight="1">
      <x:c r="A1404" s="2" t="n">
        <x:v>700</x:v>
      </x:c>
      <x:c r="B1404" s="2" t="str">
        <x:v>RED</x:v>
      </x:c>
      <x:c r="C1404" s="2" t="str">
        <x:v>240만</x:v>
      </x:c>
      <x:c r="D1404" s="2" t="str">
        <x:v>40만</x:v>
      </x:c>
      <x:c r="E1404" s="14" t="n">
        <x:f>SUM(F1404:M1404)</x:f>
        <x:v>104</x:v>
      </x:c>
      <x:c r="F1404" s="14" t="n">
        <x:v>3</x:v>
      </x:c>
      <x:c r="G1404" s="14" t="n">
        <x:v>6</x:v>
      </x:c>
      <x:c r="H1404" s="14" t="n">
        <x:v>7</x:v>
      </x:c>
      <x:c r="I1404" s="14" t="n">
        <x:v>8</x:v>
      </x:c>
      <x:c r="J1404" s="14" t="n">
        <x:v>0</x:v>
      </x:c>
      <x:c r="K1404" s="14" t="n">
        <x:v>3</x:v>
      </x:c>
      <x:c r="L1404" s="14" t="n">
        <x:v>40</x:v>
      </x:c>
      <x:c r="M1404" s="14" t="n">
        <x:v>37</x:v>
      </x:c>
      <x:c r="N1404" s="15" t="n">
        <x:f>IF(E1404=0,"해당 없음",F1404/E1404)</x:f>
        <x:v>0.028846153846153848</x:v>
      </x:c>
      <x:c r="O1404" s="15" t="n">
        <x:f>IF(E1404=0,"해당 없음",G1404/E1404)</x:f>
        <x:v>0.057692307692307696</x:v>
      </x:c>
      <x:c r="P1404" s="15" t="n">
        <x:f>IF(E1404=0,"해당 없음",H1404/E1404)</x:f>
        <x:v>0.0673076923076923</x:v>
      </x:c>
      <x:c r="Q1404" s="15" t="n">
        <x:f>IF(E1404=0,"해당 없음",I1404/E1404)</x:f>
        <x:v>0.07692307692307693</x:v>
      </x:c>
      <x:c r="R1404" s="15" t="n">
        <x:f>IF(E1404=0,"해당 없음",J1404/E1404)</x:f>
        <x:v>0</x:v>
      </x:c>
      <x:c r="S1404" s="15" t="n">
        <x:f>IF(E1404=0,"해당 없음",K1404/E1404)</x:f>
        <x:v>0.028846153846153848</x:v>
      </x:c>
      <x:c r="T1404" s="15" t="n">
        <x:f>IF(E1404=0,"해당 없음",L1404/E1404)</x:f>
        <x:v>0.38461538461538464</x:v>
      </x:c>
      <x:c r="U1404" s="15" t="n">
        <x:f>IF(E1404=0,"해당 없음",M1404/E1404)</x:f>
        <x:v>0.3557692307692308</x:v>
      </x:c>
      <x:c r="V1404" s="16" t="n">
        <x:f>E1404/5</x:f>
        <x:v>20.8</x:v>
      </x:c>
    </x:row>
    <x:row r="1405" ht="22" customHeight="1">
      <x:c r="A1405" s="2" t="n">
        <x:v>700</x:v>
      </x:c>
      <x:c r="B1405" s="2" t="str">
        <x:v>NAVY</x:v>
      </x:c>
      <x:c r="C1405" s="2" t="str">
        <x:v>40만</x:v>
      </x:c>
      <x:c r="D1405" s="2" t="str">
        <x:v>240만</x:v>
      </x:c>
      <x:c r="E1405" s="14" t="n">
        <x:f>SUM(F1405:M1405)</x:f>
        <x:v>104</x:v>
      </x:c>
      <x:c r="F1405" s="14" t="n">
        <x:v>5</x:v>
      </x:c>
      <x:c r="G1405" s="14" t="n">
        <x:v>23</x:v>
      </x:c>
      <x:c r="H1405" s="14" t="n">
        <x:v>5</x:v>
      </x:c>
      <x:c r="I1405" s="14" t="n">
        <x:v>10</x:v>
      </x:c>
      <x:c r="J1405" s="14" t="n">
        <x:v>7</x:v>
      </x:c>
      <x:c r="K1405" s="14" t="n">
        <x:v>7</x:v>
      </x:c>
      <x:c r="L1405" s="14" t="n">
        <x:v>44</x:v>
      </x:c>
      <x:c r="M1405" s="14" t="n">
        <x:v>3</x:v>
      </x:c>
      <x:c r="N1405" s="15" t="n">
        <x:f>IF(E1405=0,"해당 없음",F1405/E1405)</x:f>
        <x:v>0.04807692307692308</x:v>
      </x:c>
      <x:c r="O1405" s="15" t="n">
        <x:f>IF(E1405=0,"해당 없음",G1405/E1405)</x:f>
        <x:v>0.22115384615384615</x:v>
      </x:c>
      <x:c r="P1405" s="15" t="n">
        <x:f>IF(E1405=0,"해당 없음",H1405/E1405)</x:f>
        <x:v>0.04807692307692308</x:v>
      </x:c>
      <x:c r="Q1405" s="15" t="n">
        <x:f>IF(E1405=0,"해당 없음",I1405/E1405)</x:f>
        <x:v>0.09615384615384616</x:v>
      </x:c>
      <x:c r="R1405" s="15" t="n">
        <x:f>IF(E1405=0,"해당 없음",J1405/E1405)</x:f>
        <x:v>0.0673076923076923</x:v>
      </x:c>
      <x:c r="S1405" s="15" t="n">
        <x:f>IF(E1405=0,"해당 없음",K1405/E1405)</x:f>
        <x:v>0.0673076923076923</x:v>
      </x:c>
      <x:c r="T1405" s="15" t="n">
        <x:f>IF(E1405=0,"해당 없음",L1405/E1405)</x:f>
        <x:v>0.4230769230769231</x:v>
      </x:c>
      <x:c r="U1405" s="15" t="n">
        <x:f>IF(E1405=0,"해당 없음",M1405/E1405)</x:f>
        <x:v>0.028846153846153848</x:v>
      </x:c>
      <x:c r="V1405" s="16" t="n">
        <x:f>E1405/5</x:f>
        <x:v>20.8</x:v>
      </x:c>
    </x:row>
    <x:row r="1406" ht="22" customHeight="1">
      <x:c r="A1406" s="2" t="n">
        <x:v>701</x:v>
      </x:c>
      <x:c r="B1406" s="2" t="str">
        <x:v>RED</x:v>
      </x:c>
      <x:c r="C1406" s="2" t="str">
        <x:v>40만</x:v>
      </x:c>
      <x:c r="D1406" s="2" t="str">
        <x:v>240만</x:v>
      </x:c>
      <x:c r="E1406" s="14" t="n">
        <x:f>SUM(F1406:M1406)</x:f>
        <x:v>102</x:v>
      </x:c>
      <x:c r="F1406" s="14" t="n">
        <x:v>2</x:v>
      </x:c>
      <x:c r="G1406" s="14" t="n">
        <x:v>31</x:v>
      </x:c>
      <x:c r="H1406" s="14" t="n">
        <x:v>10</x:v>
      </x:c>
      <x:c r="I1406" s="14" t="n">
        <x:v>8</x:v>
      </x:c>
      <x:c r="J1406" s="14" t="n">
        <x:v>6</x:v>
      </x:c>
      <x:c r="K1406" s="14" t="n">
        <x:v>9</x:v>
      </x:c>
      <x:c r="L1406" s="14" t="n">
        <x:v>32</x:v>
      </x:c>
      <x:c r="M1406" s="14" t="n">
        <x:v>4</x:v>
      </x:c>
      <x:c r="N1406" s="15" t="n">
        <x:f>IF(E1406=0,"해당 없음",F1406/E1406)</x:f>
        <x:v>0.0196078431372549</x:v>
      </x:c>
      <x:c r="O1406" s="15" t="n">
        <x:f>IF(E1406=0,"해당 없음",G1406/E1406)</x:f>
        <x:v>0.30392156862745096</x:v>
      </x:c>
      <x:c r="P1406" s="15" t="n">
        <x:f>IF(E1406=0,"해당 없음",H1406/E1406)</x:f>
        <x:v>0.09803921568627451</x:v>
      </x:c>
      <x:c r="Q1406" s="15" t="n">
        <x:f>IF(E1406=0,"해당 없음",I1406/E1406)</x:f>
        <x:v>0.0784313725490196</x:v>
      </x:c>
      <x:c r="R1406" s="15" t="n">
        <x:f>IF(E1406=0,"해당 없음",J1406/E1406)</x:f>
        <x:v>0.058823529411764705</x:v>
      </x:c>
      <x:c r="S1406" s="15" t="n">
        <x:f>IF(E1406=0,"해당 없음",K1406/E1406)</x:f>
        <x:v>0.08823529411764706</x:v>
      </x:c>
      <x:c r="T1406" s="15" t="n">
        <x:f>IF(E1406=0,"해당 없음",L1406/E1406)</x:f>
        <x:v>0.3137254901960784</x:v>
      </x:c>
      <x:c r="U1406" s="15" t="n">
        <x:f>IF(E1406=0,"해당 없음",M1406/E1406)</x:f>
        <x:v>0.0392156862745098</x:v>
      </x:c>
      <x:c r="V1406" s="16" t="n">
        <x:f>E1406/5</x:f>
        <x:v>20.4</x:v>
      </x:c>
    </x:row>
    <x:row r="1407" ht="22" customHeight="1">
      <x:c r="A1407" s="2" t="n">
        <x:v>701</x:v>
      </x:c>
      <x:c r="B1407" s="2" t="str">
        <x:v>NAVY</x:v>
      </x:c>
      <x:c r="C1407" s="2" t="str">
        <x:v>240만</x:v>
      </x:c>
      <x:c r="D1407" s="2" t="str">
        <x:v>40만</x:v>
      </x:c>
      <x:c r="E1407" s="14" t="n">
        <x:f>SUM(F1407:M1407)</x:f>
        <x:v>101</x:v>
      </x:c>
      <x:c r="F1407" s="14" t="n">
        <x:v>1</x:v>
      </x:c>
      <x:c r="G1407" s="14" t="n">
        <x:v>20</x:v>
      </x:c>
      <x:c r="H1407" s="14" t="n">
        <x:v>4</x:v>
      </x:c>
      <x:c r="I1407" s="14" t="n">
        <x:v>3</x:v>
      </x:c>
      <x:c r="J1407" s="14" t="n">
        <x:v>2</x:v>
      </x:c>
      <x:c r="K1407" s="14" t="n">
        <x:v>7</x:v>
      </x:c>
      <x:c r="L1407" s="14" t="n">
        <x:v>31</x:v>
      </x:c>
      <x:c r="M1407" s="14" t="n">
        <x:v>33</x:v>
      </x:c>
      <x:c r="N1407" s="15" t="n">
        <x:f>IF(E1407=0,"해당 없음",F1407/E1407)</x:f>
        <x:v>0.009900990099009901</x:v>
      </x:c>
      <x:c r="O1407" s="15" t="n">
        <x:f>IF(E1407=0,"해당 없음",G1407/E1407)</x:f>
        <x:v>0.19801980198019803</x:v>
      </x:c>
      <x:c r="P1407" s="15" t="n">
        <x:f>IF(E1407=0,"해당 없음",H1407/E1407)</x:f>
        <x:v>0.039603960396039604</x:v>
      </x:c>
      <x:c r="Q1407" s="15" t="n">
        <x:f>IF(E1407=0,"해당 없음",I1407/E1407)</x:f>
        <x:v>0.0297029702970297</x:v>
      </x:c>
      <x:c r="R1407" s="15" t="n">
        <x:f>IF(E1407=0,"해당 없음",J1407/E1407)</x:f>
        <x:v>0.019801980198019802</x:v>
      </x:c>
      <x:c r="S1407" s="15" t="n">
        <x:f>IF(E1407=0,"해당 없음",K1407/E1407)</x:f>
        <x:v>0.06930693069306931</x:v>
      </x:c>
      <x:c r="T1407" s="15" t="n">
        <x:f>IF(E1407=0,"해당 없음",L1407/E1407)</x:f>
        <x:v>0.3069306930693069</x:v>
      </x:c>
      <x:c r="U1407" s="15" t="n">
        <x:f>IF(E1407=0,"해당 없음",M1407/E1407)</x:f>
        <x:v>0.32673267326732675</x:v>
      </x:c>
      <x:c r="V1407" s="16" t="n">
        <x:f>E1407/5</x:f>
        <x:v>20.2</x:v>
      </x:c>
    </x:row>
    <x:row r="1408" ht="22" customHeight="1">
      <x:c r="A1408" s="2" t="n">
        <x:v>702</x:v>
      </x:c>
      <x:c r="B1408" s="2" t="str">
        <x:v>RED</x:v>
      </x:c>
      <x:c r="C1408" s="2" t="str">
        <x:v>240만</x:v>
      </x:c>
      <x:c r="D1408" s="2" t="str">
        <x:v>40만</x:v>
      </x:c>
      <x:c r="E1408" s="14" t="n">
        <x:f>SUM(F1408:M1408)</x:f>
        <x:v>104</x:v>
      </x:c>
      <x:c r="F1408" s="14" t="n">
        <x:v>0</x:v>
      </x:c>
      <x:c r="G1408" s="14" t="n">
        <x:v>10</x:v>
      </x:c>
      <x:c r="H1408" s="14" t="n">
        <x:v>3</x:v>
      </x:c>
      <x:c r="I1408" s="14" t="n">
        <x:v>2</x:v>
      </x:c>
      <x:c r="J1408" s="14" t="n">
        <x:v>1</x:v>
      </x:c>
      <x:c r="K1408" s="14" t="n">
        <x:v>3</x:v>
      </x:c>
      <x:c r="L1408" s="14" t="n">
        <x:v>35</x:v>
      </x:c>
      <x:c r="M1408" s="14" t="n">
        <x:v>50</x:v>
      </x:c>
      <x:c r="N1408" s="15" t="n">
        <x:f>IF(E1408=0,"해당 없음",F1408/E1408)</x:f>
        <x:v>0</x:v>
      </x:c>
      <x:c r="O1408" s="15" t="n">
        <x:f>IF(E1408=0,"해당 없음",G1408/E1408)</x:f>
        <x:v>0.09615384615384616</x:v>
      </x:c>
      <x:c r="P1408" s="15" t="n">
        <x:f>IF(E1408=0,"해당 없음",H1408/E1408)</x:f>
        <x:v>0.028846153846153848</x:v>
      </x:c>
      <x:c r="Q1408" s="15" t="n">
        <x:f>IF(E1408=0,"해당 없음",I1408/E1408)</x:f>
        <x:v>0.019230769230769232</x:v>
      </x:c>
      <x:c r="R1408" s="15" t="n">
        <x:f>IF(E1408=0,"해당 없음",J1408/E1408)</x:f>
        <x:v>0.009615384615384616</x:v>
      </x:c>
      <x:c r="S1408" s="15" t="n">
        <x:f>IF(E1408=0,"해당 없음",K1408/E1408)</x:f>
        <x:v>0.028846153846153848</x:v>
      </x:c>
      <x:c r="T1408" s="15" t="n">
        <x:f>IF(E1408=0,"해당 없음",L1408/E1408)</x:f>
        <x:v>0.33653846153846156</x:v>
      </x:c>
      <x:c r="U1408" s="15" t="n">
        <x:f>IF(E1408=0,"해당 없음",M1408/E1408)</x:f>
        <x:v>0.4807692307692308</x:v>
      </x:c>
      <x:c r="V1408" s="16" t="n">
        <x:f>E1408/5</x:f>
        <x:v>20.8</x:v>
      </x:c>
    </x:row>
    <x:row r="1409" ht="22" customHeight="1">
      <x:c r="A1409" s="2" t="n">
        <x:v>702</x:v>
      </x:c>
      <x:c r="B1409" s="2" t="str">
        <x:v>NAVY</x:v>
      </x:c>
      <x:c r="C1409" s="2" t="str">
        <x:v>40만</x:v>
      </x:c>
      <x:c r="D1409" s="2" t="str">
        <x:v>240만</x:v>
      </x:c>
      <x:c r="E1409" s="14" t="n">
        <x:f>SUM(F1409:M1409)</x:f>
        <x:v>105</x:v>
      </x:c>
      <x:c r="F1409" s="14" t="n">
        <x:v>2</x:v>
      </x:c>
      <x:c r="G1409" s="14" t="n">
        <x:v>29</x:v>
      </x:c>
      <x:c r="H1409" s="14" t="n">
        <x:v>6</x:v>
      </x:c>
      <x:c r="I1409" s="14" t="n">
        <x:v>7</x:v>
      </x:c>
      <x:c r="J1409" s="14" t="n">
        <x:v>6</x:v>
      </x:c>
      <x:c r="K1409" s="14" t="n">
        <x:v>11</x:v>
      </x:c>
      <x:c r="L1409" s="14" t="n">
        <x:v>41</x:v>
      </x:c>
      <x:c r="M1409" s="14" t="n">
        <x:v>3</x:v>
      </x:c>
      <x:c r="N1409" s="15" t="n">
        <x:f>IF(E1409=0,"해당 없음",F1409/E1409)</x:f>
        <x:v>0.01904761904761905</x:v>
      </x:c>
      <x:c r="O1409" s="15" t="n">
        <x:f>IF(E1409=0,"해당 없음",G1409/E1409)</x:f>
        <x:v>0.2761904761904762</x:v>
      </x:c>
      <x:c r="P1409" s="15" t="n">
        <x:f>IF(E1409=0,"해당 없음",H1409/E1409)</x:f>
        <x:v>0.05714285714285714</x:v>
      </x:c>
      <x:c r="Q1409" s="15" t="n">
        <x:f>IF(E1409=0,"해당 없음",I1409/E1409)</x:f>
        <x:v>0.06666666666666667</x:v>
      </x:c>
      <x:c r="R1409" s="15" t="n">
        <x:f>IF(E1409=0,"해당 없음",J1409/E1409)</x:f>
        <x:v>0.05714285714285714</x:v>
      </x:c>
      <x:c r="S1409" s="15" t="n">
        <x:f>IF(E1409=0,"해당 없음",K1409/E1409)</x:f>
        <x:v>0.10476190476190476</x:v>
      </x:c>
      <x:c r="T1409" s="15" t="n">
        <x:f>IF(E1409=0,"해당 없음",L1409/E1409)</x:f>
        <x:v>0.3904761904761905</x:v>
      </x:c>
      <x:c r="U1409" s="15" t="n">
        <x:f>IF(E1409=0,"해당 없음",M1409/E1409)</x:f>
        <x:v>0.02857142857142857</x:v>
      </x:c>
      <x:c r="V1409" s="16" t="n">
        <x:f>E1409/5</x:f>
        <x:v>21</x:v>
      </x:c>
    </x:row>
    <x:row r="1410" ht="22" customHeight="1">
      <x:c r="A1410" s="2" t="n">
        <x:v>703</x:v>
      </x:c>
      <x:c r="B1410" s="2" t="str">
        <x:v>RED</x:v>
      </x:c>
      <x:c r="C1410" s="2" t="str">
        <x:v>40만</x:v>
      </x:c>
      <x:c r="D1410" s="2" t="str">
        <x:v>240만</x:v>
      </x:c>
      <x:c r="E1410" s="14" t="n">
        <x:f>SUM(F1410:M1410)</x:f>
        <x:v>105</x:v>
      </x:c>
      <x:c r="F1410" s="14" t="n">
        <x:v>9</x:v>
      </x:c>
      <x:c r="G1410" s="14" t="n">
        <x:v>26</x:v>
      </x:c>
      <x:c r="H1410" s="14" t="n">
        <x:v>5</x:v>
      </x:c>
      <x:c r="I1410" s="14" t="n">
        <x:v>6</x:v>
      </x:c>
      <x:c r="J1410" s="14" t="n">
        <x:v>3</x:v>
      </x:c>
      <x:c r="K1410" s="14" t="n">
        <x:v>14</x:v>
      </x:c>
      <x:c r="L1410" s="14" t="n">
        <x:v>35</x:v>
      </x:c>
      <x:c r="M1410" s="14" t="n">
        <x:v>7</x:v>
      </x:c>
      <x:c r="N1410" s="15" t="n">
        <x:f>IF(E1410=0,"해당 없음",F1410/E1410)</x:f>
        <x:v>0.08571428571428572</x:v>
      </x:c>
      <x:c r="O1410" s="15" t="n">
        <x:f>IF(E1410=0,"해당 없음",G1410/E1410)</x:f>
        <x:v>0.24761904761904763</x:v>
      </x:c>
      <x:c r="P1410" s="15" t="n">
        <x:f>IF(E1410=0,"해당 없음",H1410/E1410)</x:f>
        <x:v>0.047619047619047616</x:v>
      </x:c>
      <x:c r="Q1410" s="15" t="n">
        <x:f>IF(E1410=0,"해당 없음",I1410/E1410)</x:f>
        <x:v>0.05714285714285714</x:v>
      </x:c>
      <x:c r="R1410" s="15" t="n">
        <x:f>IF(E1410=0,"해당 없음",J1410/E1410)</x:f>
        <x:v>0.02857142857142857</x:v>
      </x:c>
      <x:c r="S1410" s="15" t="n">
        <x:f>IF(E1410=0,"해당 없음",K1410/E1410)</x:f>
        <x:v>0.13333333333333333</x:v>
      </x:c>
      <x:c r="T1410" s="15" t="n">
        <x:f>IF(E1410=0,"해당 없음",L1410/E1410)</x:f>
        <x:v>0.3333333333333333</x:v>
      </x:c>
      <x:c r="U1410" s="15" t="n">
        <x:f>IF(E1410=0,"해당 없음",M1410/E1410)</x:f>
        <x:v>0.06666666666666667</x:v>
      </x:c>
      <x:c r="V1410" s="16" t="n">
        <x:f>E1410/5</x:f>
        <x:v>21</x:v>
      </x:c>
    </x:row>
    <x:row r="1411" ht="22" customHeight="1">
      <x:c r="A1411" s="2" t="n">
        <x:v>703</x:v>
      </x:c>
      <x:c r="B1411" s="2" t="str">
        <x:v>NAVY</x:v>
      </x:c>
      <x:c r="C1411" s="2" t="str">
        <x:v>240만</x:v>
      </x:c>
      <x:c r="D1411" s="2" t="str">
        <x:v>40만</x:v>
      </x:c>
      <x:c r="E1411" s="14" t="n">
        <x:f>SUM(F1411:M1411)</x:f>
        <x:v>103</x:v>
      </x:c>
      <x:c r="F1411" s="14" t="n">
        <x:v>0</x:v>
      </x:c>
      <x:c r="G1411" s="14" t="n">
        <x:v>11</x:v>
      </x:c>
      <x:c r="H1411" s="14" t="n">
        <x:v>5</x:v>
      </x:c>
      <x:c r="I1411" s="14" t="n">
        <x:v>4</x:v>
      </x:c>
      <x:c r="J1411" s="14" t="n">
        <x:v>4</x:v>
      </x:c>
      <x:c r="K1411" s="14" t="n">
        <x:v>1</x:v>
      </x:c>
      <x:c r="L1411" s="14" t="n">
        <x:v>28</x:v>
      </x:c>
      <x:c r="M1411" s="14" t="n">
        <x:v>50</x:v>
      </x:c>
      <x:c r="N1411" s="15" t="n">
        <x:f>IF(E1411=0,"해당 없음",F1411/E1411)</x:f>
        <x:v>0</x:v>
      </x:c>
      <x:c r="O1411" s="15" t="n">
        <x:f>IF(E1411=0,"해당 없음",G1411/E1411)</x:f>
        <x:v>0.10679611650485436</x:v>
      </x:c>
      <x:c r="P1411" s="15" t="n">
        <x:f>IF(E1411=0,"해당 없음",H1411/E1411)</x:f>
        <x:v>0.04854368932038835</x:v>
      </x:c>
      <x:c r="Q1411" s="15" t="n">
        <x:f>IF(E1411=0,"해당 없음",I1411/E1411)</x:f>
        <x:v>0.038834951456310676</x:v>
      </x:c>
      <x:c r="R1411" s="15" t="n">
        <x:f>IF(E1411=0,"해당 없음",J1411/E1411)</x:f>
        <x:v>0.038834951456310676</x:v>
      </x:c>
      <x:c r="S1411" s="15" t="n">
        <x:f>IF(E1411=0,"해당 없음",K1411/E1411)</x:f>
        <x:v>0.009708737864077669</x:v>
      </x:c>
      <x:c r="T1411" s="15" t="n">
        <x:f>IF(E1411=0,"해당 없음",L1411/E1411)</x:f>
        <x:v>0.27184466019417475</x:v>
      </x:c>
      <x:c r="U1411" s="15" t="n">
        <x:f>IF(E1411=0,"해당 없음",M1411/E1411)</x:f>
        <x:v>0.4854368932038835</x:v>
      </x:c>
      <x:c r="V1411" s="16" t="n">
        <x:f>E1411/5</x:f>
        <x:v>20.6</x:v>
      </x:c>
    </x:row>
    <x:row r="1412" ht="22" customHeight="1">
      <x:c r="A1412" s="2" t="n">
        <x:v>704</x:v>
      </x:c>
      <x:c r="B1412" s="2" t="str">
        <x:v>RED</x:v>
      </x:c>
      <x:c r="C1412" s="2" t="str">
        <x:v>240만</x:v>
      </x:c>
      <x:c r="D1412" s="2" t="str">
        <x:v>40만</x:v>
      </x:c>
      <x:c r="E1412" s="14" t="n">
        <x:f>SUM(F1412:M1412)</x:f>
        <x:v>102</x:v>
      </x:c>
      <x:c r="F1412" s="14" t="n">
        <x:v>4</x:v>
      </x:c>
      <x:c r="G1412" s="14" t="n">
        <x:v>17</x:v>
      </x:c>
      <x:c r="H1412" s="14" t="n">
        <x:v>5</x:v>
      </x:c>
      <x:c r="I1412" s="14" t="n">
        <x:v>4</x:v>
      </x:c>
      <x:c r="J1412" s="14" t="n">
        <x:v>2</x:v>
      </x:c>
      <x:c r="K1412" s="14" t="n">
        <x:v>6</x:v>
      </x:c>
      <x:c r="L1412" s="14" t="n">
        <x:v>32</x:v>
      </x:c>
      <x:c r="M1412" s="14" t="n">
        <x:v>32</x:v>
      </x:c>
      <x:c r="N1412" s="15" t="n">
        <x:f>IF(E1412=0,"해당 없음",F1412/E1412)</x:f>
        <x:v>0.0392156862745098</x:v>
      </x:c>
      <x:c r="O1412" s="15" t="n">
        <x:f>IF(E1412=0,"해당 없음",G1412/E1412)</x:f>
        <x:v>0.16666666666666666</x:v>
      </x:c>
      <x:c r="P1412" s="15" t="n">
        <x:f>IF(E1412=0,"해당 없음",H1412/E1412)</x:f>
        <x:v>0.049019607843137254</x:v>
      </x:c>
      <x:c r="Q1412" s="15" t="n">
        <x:f>IF(E1412=0,"해당 없음",I1412/E1412)</x:f>
        <x:v>0.0392156862745098</x:v>
      </x:c>
      <x:c r="R1412" s="15" t="n">
        <x:f>IF(E1412=0,"해당 없음",J1412/E1412)</x:f>
        <x:v>0.0196078431372549</x:v>
      </x:c>
      <x:c r="S1412" s="15" t="n">
        <x:f>IF(E1412=0,"해당 없음",K1412/E1412)</x:f>
        <x:v>0.058823529411764705</x:v>
      </x:c>
      <x:c r="T1412" s="15" t="n">
        <x:f>IF(E1412=0,"해당 없음",L1412/E1412)</x:f>
        <x:v>0.3137254901960784</x:v>
      </x:c>
      <x:c r="U1412" s="15" t="n">
        <x:f>IF(E1412=0,"해당 없음",M1412/E1412)</x:f>
        <x:v>0.3137254901960784</x:v>
      </x:c>
      <x:c r="V1412" s="16" t="n">
        <x:f>E1412/5</x:f>
        <x:v>20.4</x:v>
      </x:c>
    </x:row>
    <x:row r="1413" ht="22" customHeight="1">
      <x:c r="A1413" s="2" t="n">
        <x:v>704</x:v>
      </x:c>
      <x:c r="B1413" s="2" t="str">
        <x:v>NAVY</x:v>
      </x:c>
      <x:c r="C1413" s="2" t="str">
        <x:v>40만</x:v>
      </x:c>
      <x:c r="D1413" s="2" t="str">
        <x:v>240만</x:v>
      </x:c>
      <x:c r="E1413" s="14" t="n">
        <x:f>SUM(F1413:M1413)</x:f>
        <x:v>103</x:v>
      </x:c>
      <x:c r="F1413" s="14" t="n">
        <x:v>6</x:v>
      </x:c>
      <x:c r="G1413" s="14" t="n">
        <x:v>27</x:v>
      </x:c>
      <x:c r="H1413" s="14" t="n">
        <x:v>10</x:v>
      </x:c>
      <x:c r="I1413" s="14" t="n">
        <x:v>8</x:v>
      </x:c>
      <x:c r="J1413" s="14" t="n">
        <x:v>3</x:v>
      </x:c>
      <x:c r="K1413" s="14" t="n">
        <x:v>6</x:v>
      </x:c>
      <x:c r="L1413" s="14" t="n">
        <x:v>35</x:v>
      </x:c>
      <x:c r="M1413" s="14" t="n">
        <x:v>8</x:v>
      </x:c>
      <x:c r="N1413" s="15" t="n">
        <x:f>IF(E1413=0,"해당 없음",F1413/E1413)</x:f>
        <x:v>0.05825242718446602</x:v>
      </x:c>
      <x:c r="O1413" s="15" t="n">
        <x:f>IF(E1413=0,"해당 없음",G1413/E1413)</x:f>
        <x:v>0.2621359223300971</x:v>
      </x:c>
      <x:c r="P1413" s="15" t="n">
        <x:f>IF(E1413=0,"해당 없음",H1413/E1413)</x:f>
        <x:v>0.0970873786407767</x:v>
      </x:c>
      <x:c r="Q1413" s="15" t="n">
        <x:f>IF(E1413=0,"해당 없음",I1413/E1413)</x:f>
        <x:v>0.07766990291262135</x:v>
      </x:c>
      <x:c r="R1413" s="15" t="n">
        <x:f>IF(E1413=0,"해당 없음",J1413/E1413)</x:f>
        <x:v>0.02912621359223301</x:v>
      </x:c>
      <x:c r="S1413" s="15" t="n">
        <x:f>IF(E1413=0,"해당 없음",K1413/E1413)</x:f>
        <x:v>0.05825242718446602</x:v>
      </x:c>
      <x:c r="T1413" s="15" t="n">
        <x:f>IF(E1413=0,"해당 없음",L1413/E1413)</x:f>
        <x:v>0.33980582524271846</x:v>
      </x:c>
      <x:c r="U1413" s="15" t="n">
        <x:f>IF(E1413=0,"해당 없음",M1413/E1413)</x:f>
        <x:v>0.07766990291262135</x:v>
      </x:c>
      <x:c r="V1413" s="16" t="n">
        <x:f>E1413/5</x:f>
        <x:v>20.6</x:v>
      </x:c>
    </x:row>
    <x:row r="1414" ht="22" customHeight="1">
      <x:c r="A1414" s="2" t="n">
        <x:v>705</x:v>
      </x:c>
      <x:c r="B1414" s="2" t="str">
        <x:v>RED</x:v>
      </x:c>
      <x:c r="C1414" s="2" t="str">
        <x:v>40만</x:v>
      </x:c>
      <x:c r="D1414" s="2" t="str">
        <x:v>240만</x:v>
      </x:c>
      <x:c r="E1414" s="14" t="n">
        <x:f>SUM(F1414:M1414)</x:f>
        <x:v>103</x:v>
      </x:c>
      <x:c r="F1414" s="14" t="n">
        <x:v>4</x:v>
      </x:c>
      <x:c r="G1414" s="14" t="n">
        <x:v>27</x:v>
      </x:c>
      <x:c r="H1414" s="14" t="n">
        <x:v>11</x:v>
      </x:c>
      <x:c r="I1414" s="14" t="n">
        <x:v>3</x:v>
      </x:c>
      <x:c r="J1414" s="14" t="n">
        <x:v>3</x:v>
      </x:c>
      <x:c r="K1414" s="14" t="n">
        <x:v>8</x:v>
      </x:c>
      <x:c r="L1414" s="14" t="n">
        <x:v>42</x:v>
      </x:c>
      <x:c r="M1414" s="14" t="n">
        <x:v>5</x:v>
      </x:c>
      <x:c r="N1414" s="15" t="n">
        <x:f>IF(E1414=0,"해당 없음",F1414/E1414)</x:f>
        <x:v>0.038834951456310676</x:v>
      </x:c>
      <x:c r="O1414" s="15" t="n">
        <x:f>IF(E1414=0,"해당 없음",G1414/E1414)</x:f>
        <x:v>0.2621359223300971</x:v>
      </x:c>
      <x:c r="P1414" s="15" t="n">
        <x:f>IF(E1414=0,"해당 없음",H1414/E1414)</x:f>
        <x:v>0.10679611650485436</x:v>
      </x:c>
      <x:c r="Q1414" s="15" t="n">
        <x:f>IF(E1414=0,"해당 없음",I1414/E1414)</x:f>
        <x:v>0.02912621359223301</x:v>
      </x:c>
      <x:c r="R1414" s="15" t="n">
        <x:f>IF(E1414=0,"해당 없음",J1414/E1414)</x:f>
        <x:v>0.02912621359223301</x:v>
      </x:c>
      <x:c r="S1414" s="15" t="n">
        <x:f>IF(E1414=0,"해당 없음",K1414/E1414)</x:f>
        <x:v>0.07766990291262135</x:v>
      </x:c>
      <x:c r="T1414" s="15" t="n">
        <x:f>IF(E1414=0,"해당 없음",L1414/E1414)</x:f>
        <x:v>0.4077669902912621</x:v>
      </x:c>
      <x:c r="U1414" s="15" t="n">
        <x:f>IF(E1414=0,"해당 없음",M1414/E1414)</x:f>
        <x:v>0.04854368932038835</x:v>
      </x:c>
      <x:c r="V1414" s="16" t="n">
        <x:f>E1414/5</x:f>
        <x:v>20.6</x:v>
      </x:c>
    </x:row>
    <x:row r="1415" ht="22" customHeight="1">
      <x:c r="A1415" s="2" t="n">
        <x:v>705</x:v>
      </x:c>
      <x:c r="B1415" s="2" t="str">
        <x:v>NAVY</x:v>
      </x:c>
      <x:c r="C1415" s="2" t="str">
        <x:v>240만</x:v>
      </x:c>
      <x:c r="D1415" s="2" t="str">
        <x:v>40만</x:v>
      </x:c>
      <x:c r="E1415" s="14" t="n">
        <x:f>SUM(F1415:M1415)</x:f>
        <x:v>102</x:v>
      </x:c>
      <x:c r="F1415" s="14" t="n">
        <x:v>2</x:v>
      </x:c>
      <x:c r="G1415" s="14" t="n">
        <x:v>14</x:v>
      </x:c>
      <x:c r="H1415" s="14" t="n">
        <x:v>2</x:v>
      </x:c>
      <x:c r="I1415" s="14" t="n">
        <x:v>3</x:v>
      </x:c>
      <x:c r="J1415" s="14" t="n">
        <x:v>3</x:v>
      </x:c>
      <x:c r="K1415" s="14" t="n">
        <x:v>3</x:v>
      </x:c>
      <x:c r="L1415" s="14" t="n">
        <x:v>39</x:v>
      </x:c>
      <x:c r="M1415" s="14" t="n">
        <x:v>36</x:v>
      </x:c>
      <x:c r="N1415" s="15" t="n">
        <x:f>IF(E1415=0,"해당 없음",F1415/E1415)</x:f>
        <x:v>0.0196078431372549</x:v>
      </x:c>
      <x:c r="O1415" s="15" t="n">
        <x:f>IF(E1415=0,"해당 없음",G1415/E1415)</x:f>
        <x:v>0.13725490196078433</x:v>
      </x:c>
      <x:c r="P1415" s="15" t="n">
        <x:f>IF(E1415=0,"해당 없음",H1415/E1415)</x:f>
        <x:v>0.0196078431372549</x:v>
      </x:c>
      <x:c r="Q1415" s="15" t="n">
        <x:f>IF(E1415=0,"해당 없음",I1415/E1415)</x:f>
        <x:v>0.029411764705882353</x:v>
      </x:c>
      <x:c r="R1415" s="15" t="n">
        <x:f>IF(E1415=0,"해당 없음",J1415/E1415)</x:f>
        <x:v>0.029411764705882353</x:v>
      </x:c>
      <x:c r="S1415" s="15" t="n">
        <x:f>IF(E1415=0,"해당 없음",K1415/E1415)</x:f>
        <x:v>0.029411764705882353</x:v>
      </x:c>
      <x:c r="T1415" s="15" t="n">
        <x:f>IF(E1415=0,"해당 없음",L1415/E1415)</x:f>
        <x:v>0.38235294117647056</x:v>
      </x:c>
      <x:c r="U1415" s="15" t="n">
        <x:f>IF(E1415=0,"해당 없음",M1415/E1415)</x:f>
        <x:v>0.35294117647058826</x:v>
      </x:c>
      <x:c r="V1415" s="16" t="n">
        <x:f>E1415/5</x:f>
        <x:v>20.4</x:v>
      </x:c>
    </x:row>
    <x:row r="1416" ht="22" customHeight="1">
      <x:c r="A1416" s="2" t="n">
        <x:v>706</x:v>
      </x:c>
      <x:c r="B1416" s="2" t="str">
        <x:v>RED</x:v>
      </x:c>
      <x:c r="C1416" s="2" t="str">
        <x:v>240만</x:v>
      </x:c>
      <x:c r="D1416" s="2" t="str">
        <x:v>40만</x:v>
      </x:c>
      <x:c r="E1416" s="14" t="n">
        <x:f>SUM(F1416:M1416)</x:f>
        <x:v>104</x:v>
      </x:c>
      <x:c r="F1416" s="14" t="n">
        <x:v>2</x:v>
      </x:c>
      <x:c r="G1416" s="14" t="n">
        <x:v>16</x:v>
      </x:c>
      <x:c r="H1416" s="14" t="n">
        <x:v>5</x:v>
      </x:c>
      <x:c r="I1416" s="14" t="n">
        <x:v>3</x:v>
      </x:c>
      <x:c r="J1416" s="14" t="n">
        <x:v>2</x:v>
      </x:c>
      <x:c r="K1416" s="14" t="n">
        <x:v>6</x:v>
      </x:c>
      <x:c r="L1416" s="14" t="n">
        <x:v>28</x:v>
      </x:c>
      <x:c r="M1416" s="14" t="n">
        <x:v>42</x:v>
      </x:c>
      <x:c r="N1416" s="15" t="n">
        <x:f>IF(E1416=0,"해당 없음",F1416/E1416)</x:f>
        <x:v>0.019230769230769232</x:v>
      </x:c>
      <x:c r="O1416" s="15" t="n">
        <x:f>IF(E1416=0,"해당 없음",G1416/E1416)</x:f>
        <x:v>0.15384615384615385</x:v>
      </x:c>
      <x:c r="P1416" s="15" t="n">
        <x:f>IF(E1416=0,"해당 없음",H1416/E1416)</x:f>
        <x:v>0.04807692307692308</x:v>
      </x:c>
      <x:c r="Q1416" s="15" t="n">
        <x:f>IF(E1416=0,"해당 없음",I1416/E1416)</x:f>
        <x:v>0.028846153846153848</x:v>
      </x:c>
      <x:c r="R1416" s="15" t="n">
        <x:f>IF(E1416=0,"해당 없음",J1416/E1416)</x:f>
        <x:v>0.019230769230769232</x:v>
      </x:c>
      <x:c r="S1416" s="15" t="n">
        <x:f>IF(E1416=0,"해당 없음",K1416/E1416)</x:f>
        <x:v>0.057692307692307696</x:v>
      </x:c>
      <x:c r="T1416" s="15" t="n">
        <x:f>IF(E1416=0,"해당 없음",L1416/E1416)</x:f>
        <x:v>0.2692307692307692</x:v>
      </x:c>
      <x:c r="U1416" s="15" t="n">
        <x:f>IF(E1416=0,"해당 없음",M1416/E1416)</x:f>
        <x:v>0.40384615384615385</x:v>
      </x:c>
      <x:c r="V1416" s="16" t="n">
        <x:f>E1416/5</x:f>
        <x:v>20.8</x:v>
      </x:c>
    </x:row>
    <x:row r="1417" ht="22" customHeight="1">
      <x:c r="A1417" s="2" t="n">
        <x:v>706</x:v>
      </x:c>
      <x:c r="B1417" s="2" t="str">
        <x:v>NAVY</x:v>
      </x:c>
      <x:c r="C1417" s="2" t="str">
        <x:v>40만</x:v>
      </x:c>
      <x:c r="D1417" s="2" t="str">
        <x:v>240만</x:v>
      </x:c>
      <x:c r="E1417" s="14" t="n">
        <x:f>SUM(F1417:M1417)</x:f>
        <x:v>102</x:v>
      </x:c>
      <x:c r="F1417" s="14" t="n">
        <x:v>7</x:v>
      </x:c>
      <x:c r="G1417" s="14" t="n">
        <x:v>25</x:v>
      </x:c>
      <x:c r="H1417" s="14" t="n">
        <x:v>5</x:v>
      </x:c>
      <x:c r="I1417" s="14" t="n">
        <x:v>6</x:v>
      </x:c>
      <x:c r="J1417" s="14" t="n">
        <x:v>4</x:v>
      </x:c>
      <x:c r="K1417" s="14" t="n">
        <x:v>12</x:v>
      </x:c>
      <x:c r="L1417" s="14" t="n">
        <x:v>40</x:v>
      </x:c>
      <x:c r="M1417" s="14" t="n">
        <x:v>3</x:v>
      </x:c>
      <x:c r="N1417" s="15" t="n">
        <x:f>IF(E1417=0,"해당 없음",F1417/E1417)</x:f>
        <x:v>0.06862745098039216</x:v>
      </x:c>
      <x:c r="O1417" s="15" t="n">
        <x:f>IF(E1417=0,"해당 없음",G1417/E1417)</x:f>
        <x:v>0.24509803921568626</x:v>
      </x:c>
      <x:c r="P1417" s="15" t="n">
        <x:f>IF(E1417=0,"해당 없음",H1417/E1417)</x:f>
        <x:v>0.049019607843137254</x:v>
      </x:c>
      <x:c r="Q1417" s="15" t="n">
        <x:f>IF(E1417=0,"해당 없음",I1417/E1417)</x:f>
        <x:v>0.058823529411764705</x:v>
      </x:c>
      <x:c r="R1417" s="15" t="n">
        <x:f>IF(E1417=0,"해당 없음",J1417/E1417)</x:f>
        <x:v>0.0392156862745098</x:v>
      </x:c>
      <x:c r="S1417" s="15" t="n">
        <x:f>IF(E1417=0,"해당 없음",K1417/E1417)</x:f>
        <x:v>0.11764705882352941</x:v>
      </x:c>
      <x:c r="T1417" s="15" t="n">
        <x:f>IF(E1417=0,"해당 없음",L1417/E1417)</x:f>
        <x:v>0.39215686274509803</x:v>
      </x:c>
      <x:c r="U1417" s="15" t="n">
        <x:f>IF(E1417=0,"해당 없음",M1417/E1417)</x:f>
        <x:v>0.029411764705882353</x:v>
      </x:c>
      <x:c r="V1417" s="16" t="n">
        <x:f>E1417/5</x:f>
        <x:v>20.4</x:v>
      </x:c>
    </x:row>
    <x:row r="1418" ht="22" customHeight="1">
      <x:c r="A1418" s="2" t="n">
        <x:v>707</x:v>
      </x:c>
      <x:c r="B1418" s="2" t="str">
        <x:v>RED</x:v>
      </x:c>
      <x:c r="C1418" s="2" t="str">
        <x:v>40만</x:v>
      </x:c>
      <x:c r="D1418" s="2" t="str">
        <x:v>240만</x:v>
      </x:c>
      <x:c r="E1418" s="14" t="n">
        <x:f>SUM(F1418:M1418)</x:f>
        <x:v>104</x:v>
      </x:c>
      <x:c r="F1418" s="14" t="n">
        <x:v>2</x:v>
      </x:c>
      <x:c r="G1418" s="14" t="n">
        <x:v>23</x:v>
      </x:c>
      <x:c r="H1418" s="14" t="n">
        <x:v>4</x:v>
      </x:c>
      <x:c r="I1418" s="14" t="n">
        <x:v>6</x:v>
      </x:c>
      <x:c r="J1418" s="14" t="n">
        <x:v>8</x:v>
      </x:c>
      <x:c r="K1418" s="14" t="n">
        <x:v>7</x:v>
      </x:c>
      <x:c r="L1418" s="14" t="n">
        <x:v>46</x:v>
      </x:c>
      <x:c r="M1418" s="14" t="n">
        <x:v>8</x:v>
      </x:c>
      <x:c r="N1418" s="15" t="n">
        <x:f>IF(E1418=0,"해당 없음",F1418/E1418)</x:f>
        <x:v>0.019230769230769232</x:v>
      </x:c>
      <x:c r="O1418" s="15" t="n">
        <x:f>IF(E1418=0,"해당 없음",G1418/E1418)</x:f>
        <x:v>0.22115384615384615</x:v>
      </x:c>
      <x:c r="P1418" s="15" t="n">
        <x:f>IF(E1418=0,"해당 없음",H1418/E1418)</x:f>
        <x:v>0.038461538461538464</x:v>
      </x:c>
      <x:c r="Q1418" s="15" t="n">
        <x:f>IF(E1418=0,"해당 없음",I1418/E1418)</x:f>
        <x:v>0.057692307692307696</x:v>
      </x:c>
      <x:c r="R1418" s="15" t="n">
        <x:f>IF(E1418=0,"해당 없음",J1418/E1418)</x:f>
        <x:v>0.07692307692307693</x:v>
      </x:c>
      <x:c r="S1418" s="15" t="n">
        <x:f>IF(E1418=0,"해당 없음",K1418/E1418)</x:f>
        <x:v>0.0673076923076923</x:v>
      </x:c>
      <x:c r="T1418" s="15" t="n">
        <x:f>IF(E1418=0,"해당 없음",L1418/E1418)</x:f>
        <x:v>0.4423076923076923</x:v>
      </x:c>
      <x:c r="U1418" s="15" t="n">
        <x:f>IF(E1418=0,"해당 없음",M1418/E1418)</x:f>
        <x:v>0.07692307692307693</x:v>
      </x:c>
      <x:c r="V1418" s="16" t="n">
        <x:f>E1418/5</x:f>
        <x:v>20.8</x:v>
      </x:c>
    </x:row>
    <x:row r="1419" ht="22" customHeight="1">
      <x:c r="A1419" s="2" t="n">
        <x:v>707</x:v>
      </x:c>
      <x:c r="B1419" s="2" t="str">
        <x:v>NAVY</x:v>
      </x:c>
      <x:c r="C1419" s="2" t="str">
        <x:v>240만</x:v>
      </x:c>
      <x:c r="D1419" s="2" t="str">
        <x:v>40만</x:v>
      </x:c>
      <x:c r="E1419" s="14" t="n">
        <x:f>SUM(F1419:M1419)</x:f>
        <x:v>103</x:v>
      </x:c>
      <x:c r="F1419" s="14" t="n">
        <x:v>2</x:v>
      </x:c>
      <x:c r="G1419" s="14" t="n">
        <x:v>11</x:v>
      </x:c>
      <x:c r="H1419" s="14" t="n">
        <x:v>5</x:v>
      </x:c>
      <x:c r="I1419" s="14" t="n">
        <x:v>6</x:v>
      </x:c>
      <x:c r="J1419" s="14" t="n">
        <x:v>3</x:v>
      </x:c>
      <x:c r="K1419" s="14" t="n">
        <x:v>2</x:v>
      </x:c>
      <x:c r="L1419" s="14" t="n">
        <x:v>36</x:v>
      </x:c>
      <x:c r="M1419" s="14" t="n">
        <x:v>38</x:v>
      </x:c>
      <x:c r="N1419" s="15" t="n">
        <x:f>IF(E1419=0,"해당 없음",F1419/E1419)</x:f>
        <x:v>0.019417475728155338</x:v>
      </x:c>
      <x:c r="O1419" s="15" t="n">
        <x:f>IF(E1419=0,"해당 없음",G1419/E1419)</x:f>
        <x:v>0.10679611650485436</x:v>
      </x:c>
      <x:c r="P1419" s="15" t="n">
        <x:f>IF(E1419=0,"해당 없음",H1419/E1419)</x:f>
        <x:v>0.04854368932038835</x:v>
      </x:c>
      <x:c r="Q1419" s="15" t="n">
        <x:f>IF(E1419=0,"해당 없음",I1419/E1419)</x:f>
        <x:v>0.05825242718446602</x:v>
      </x:c>
      <x:c r="R1419" s="15" t="n">
        <x:f>IF(E1419=0,"해당 없음",J1419/E1419)</x:f>
        <x:v>0.02912621359223301</x:v>
      </x:c>
      <x:c r="S1419" s="15" t="n">
        <x:f>IF(E1419=0,"해당 없음",K1419/E1419)</x:f>
        <x:v>0.019417475728155338</x:v>
      </x:c>
      <x:c r="T1419" s="15" t="n">
        <x:f>IF(E1419=0,"해당 없음",L1419/E1419)</x:f>
        <x:v>0.34951456310679613</x:v>
      </x:c>
      <x:c r="U1419" s="15" t="n">
        <x:f>IF(E1419=0,"해당 없음",M1419/E1419)</x:f>
        <x:v>0.36893203883495146</x:v>
      </x:c>
      <x:c r="V1419" s="16" t="n">
        <x:f>E1419/5</x:f>
        <x:v>20.6</x:v>
      </x:c>
    </x:row>
    <x:row r="1420" ht="22" customHeight="1">
      <x:c r="A1420" s="2" t="n">
        <x:v>708</x:v>
      </x:c>
      <x:c r="B1420" s="2" t="str">
        <x:v>RED</x:v>
      </x:c>
      <x:c r="C1420" s="2" t="str">
        <x:v>240만</x:v>
      </x:c>
      <x:c r="D1420" s="2" t="str">
        <x:v>40만</x:v>
      </x:c>
      <x:c r="E1420" s="14" t="n">
        <x:f>SUM(F1420:M1420)</x:f>
        <x:v>99</x:v>
      </x:c>
      <x:c r="F1420" s="14" t="n">
        <x:v>2</x:v>
      </x:c>
      <x:c r="G1420" s="14" t="n">
        <x:v>9</x:v>
      </x:c>
      <x:c r="H1420" s="14" t="n">
        <x:v>2</x:v>
      </x:c>
      <x:c r="I1420" s="14" t="n">
        <x:v>4</x:v>
      </x:c>
      <x:c r="J1420" s="14" t="n">
        <x:v>0</x:v>
      </x:c>
      <x:c r="K1420" s="14" t="n">
        <x:v>4</x:v>
      </x:c>
      <x:c r="L1420" s="14" t="n">
        <x:v>30</x:v>
      </x:c>
      <x:c r="M1420" s="14" t="n">
        <x:v>48</x:v>
      </x:c>
      <x:c r="N1420" s="15" t="n">
        <x:f>IF(E1420=0,"해당 없음",F1420/E1420)</x:f>
        <x:v>0.020202020202020204</x:v>
      </x:c>
      <x:c r="O1420" s="15" t="n">
        <x:f>IF(E1420=0,"해당 없음",G1420/E1420)</x:f>
        <x:v>0.09090909090909091</x:v>
      </x:c>
      <x:c r="P1420" s="15" t="n">
        <x:f>IF(E1420=0,"해당 없음",H1420/E1420)</x:f>
        <x:v>0.020202020202020204</x:v>
      </x:c>
      <x:c r="Q1420" s="15" t="n">
        <x:f>IF(E1420=0,"해당 없음",I1420/E1420)</x:f>
        <x:v>0.04040404040404041</x:v>
      </x:c>
      <x:c r="R1420" s="15" t="n">
        <x:f>IF(E1420=0,"해당 없음",J1420/E1420)</x:f>
        <x:v>0</x:v>
      </x:c>
      <x:c r="S1420" s="15" t="n">
        <x:f>IF(E1420=0,"해당 없음",K1420/E1420)</x:f>
        <x:v>0.04040404040404041</x:v>
      </x:c>
      <x:c r="T1420" s="15" t="n">
        <x:f>IF(E1420=0,"해당 없음",L1420/E1420)</x:f>
        <x:v>0.30303030303030304</x:v>
      </x:c>
      <x:c r="U1420" s="15" t="n">
        <x:f>IF(E1420=0,"해당 없음",M1420/E1420)</x:f>
        <x:v>0.48484848484848486</x:v>
      </x:c>
      <x:c r="V1420" s="16" t="n">
        <x:f>E1420/5</x:f>
        <x:v>19.8</x:v>
      </x:c>
    </x:row>
    <x:row r="1421" ht="22" customHeight="1">
      <x:c r="A1421" s="2" t="n">
        <x:v>708</x:v>
      </x:c>
      <x:c r="B1421" s="2" t="str">
        <x:v>NAVY</x:v>
      </x:c>
      <x:c r="C1421" s="2" t="str">
        <x:v>40만</x:v>
      </x:c>
      <x:c r="D1421" s="2" t="str">
        <x:v>240만</x:v>
      </x:c>
      <x:c r="E1421" s="14" t="n">
        <x:f>SUM(F1421:M1421)</x:f>
        <x:v>100</x:v>
      </x:c>
      <x:c r="F1421" s="14" t="n">
        <x:v>3</x:v>
      </x:c>
      <x:c r="G1421" s="14" t="n">
        <x:v>31</x:v>
      </x:c>
      <x:c r="H1421" s="14" t="n">
        <x:v>5</x:v>
      </x:c>
      <x:c r="I1421" s="14" t="n">
        <x:v>5</x:v>
      </x:c>
      <x:c r="J1421" s="14" t="n">
        <x:v>5</x:v>
      </x:c>
      <x:c r="K1421" s="14" t="n">
        <x:v>9</x:v>
      </x:c>
      <x:c r="L1421" s="14" t="n">
        <x:v>36</x:v>
      </x:c>
      <x:c r="M1421" s="14" t="n">
        <x:v>6</x:v>
      </x:c>
      <x:c r="N1421" s="15" t="n">
        <x:f>IF(E1421=0,"해당 없음",F1421/E1421)</x:f>
        <x:v>0.03</x:v>
      </x:c>
      <x:c r="O1421" s="15" t="n">
        <x:f>IF(E1421=0,"해당 없음",G1421/E1421)</x:f>
        <x:v>0.31</x:v>
      </x:c>
      <x:c r="P1421" s="15" t="n">
        <x:f>IF(E1421=0,"해당 없음",H1421/E1421)</x:f>
        <x:v>0.05</x:v>
      </x:c>
      <x:c r="Q1421" s="15" t="n">
        <x:f>IF(E1421=0,"해당 없음",I1421/E1421)</x:f>
        <x:v>0.05</x:v>
      </x:c>
      <x:c r="R1421" s="15" t="n">
        <x:f>IF(E1421=0,"해당 없음",J1421/E1421)</x:f>
        <x:v>0.05</x:v>
      </x:c>
      <x:c r="S1421" s="15" t="n">
        <x:f>IF(E1421=0,"해당 없음",K1421/E1421)</x:f>
        <x:v>0.09</x:v>
      </x:c>
      <x:c r="T1421" s="15" t="n">
        <x:f>IF(E1421=0,"해당 없음",L1421/E1421)</x:f>
        <x:v>0.36</x:v>
      </x:c>
      <x:c r="U1421" s="15" t="n">
        <x:f>IF(E1421=0,"해당 없음",M1421/E1421)</x:f>
        <x:v>0.06</x:v>
      </x:c>
      <x:c r="V1421" s="16" t="n">
        <x:f>E1421/5</x:f>
        <x:v>20</x:v>
      </x:c>
    </x:row>
    <x:row r="1422" ht="22" customHeight="1">
      <x:c r="A1422" s="2" t="n">
        <x:v>709</x:v>
      </x:c>
      <x:c r="B1422" s="2" t="str">
        <x:v>RED</x:v>
      </x:c>
      <x:c r="C1422" s="2" t="str">
        <x:v>40만</x:v>
      </x:c>
      <x:c r="D1422" s="2" t="str">
        <x:v>240만</x:v>
      </x:c>
      <x:c r="E1422" s="14" t="n">
        <x:f>SUM(F1422:M1422)</x:f>
        <x:v>104</x:v>
      </x:c>
      <x:c r="F1422" s="14" t="n">
        <x:v>3</x:v>
      </x:c>
      <x:c r="G1422" s="14" t="n">
        <x:v>23</x:v>
      </x:c>
      <x:c r="H1422" s="14" t="n">
        <x:v>11</x:v>
      </x:c>
      <x:c r="I1422" s="14" t="n">
        <x:v>6</x:v>
      </x:c>
      <x:c r="J1422" s="14" t="n">
        <x:v>9</x:v>
      </x:c>
      <x:c r="K1422" s="14" t="n">
        <x:v>7</x:v>
      </x:c>
      <x:c r="L1422" s="14" t="n">
        <x:v>42</x:v>
      </x:c>
      <x:c r="M1422" s="14" t="n">
        <x:v>3</x:v>
      </x:c>
      <x:c r="N1422" s="15" t="n">
        <x:f>IF(E1422=0,"해당 없음",F1422/E1422)</x:f>
        <x:v>0.028846153846153848</x:v>
      </x:c>
      <x:c r="O1422" s="15" t="n">
        <x:f>IF(E1422=0,"해당 없음",G1422/E1422)</x:f>
        <x:v>0.22115384615384615</x:v>
      </x:c>
      <x:c r="P1422" s="15" t="n">
        <x:f>IF(E1422=0,"해당 없음",H1422/E1422)</x:f>
        <x:v>0.10576923076923077</x:v>
      </x:c>
      <x:c r="Q1422" s="15" t="n">
        <x:f>IF(E1422=0,"해당 없음",I1422/E1422)</x:f>
        <x:v>0.057692307692307696</x:v>
      </x:c>
      <x:c r="R1422" s="15" t="n">
        <x:f>IF(E1422=0,"해당 없음",J1422/E1422)</x:f>
        <x:v>0.08653846153846154</x:v>
      </x:c>
      <x:c r="S1422" s="15" t="n">
        <x:f>IF(E1422=0,"해당 없음",K1422/E1422)</x:f>
        <x:v>0.0673076923076923</x:v>
      </x:c>
      <x:c r="T1422" s="15" t="n">
        <x:f>IF(E1422=0,"해당 없음",L1422/E1422)</x:f>
        <x:v>0.40384615384615385</x:v>
      </x:c>
      <x:c r="U1422" s="15" t="n">
        <x:f>IF(E1422=0,"해당 없음",M1422/E1422)</x:f>
        <x:v>0.028846153846153848</x:v>
      </x:c>
      <x:c r="V1422" s="16" t="n">
        <x:f>E1422/5</x:f>
        <x:v>20.8</x:v>
      </x:c>
    </x:row>
    <x:row r="1423" ht="22" customHeight="1">
      <x:c r="A1423" s="2" t="n">
        <x:v>709</x:v>
      </x:c>
      <x:c r="B1423" s="2" t="str">
        <x:v>NAVY</x:v>
      </x:c>
      <x:c r="C1423" s="2" t="str">
        <x:v>240만</x:v>
      </x:c>
      <x:c r="D1423" s="2" t="str">
        <x:v>40만</x:v>
      </x:c>
      <x:c r="E1423" s="14" t="n">
        <x:f>SUM(F1423:M1423)</x:f>
        <x:v>105</x:v>
      </x:c>
      <x:c r="F1423" s="14" t="n">
        <x:v>3</x:v>
      </x:c>
      <x:c r="G1423" s="14" t="n">
        <x:v>8</x:v>
      </x:c>
      <x:c r="H1423" s="14" t="n">
        <x:v>4</x:v>
      </x:c>
      <x:c r="I1423" s="14" t="n">
        <x:v>3</x:v>
      </x:c>
      <x:c r="J1423" s="14" t="n">
        <x:v>2</x:v>
      </x:c>
      <x:c r="K1423" s="14" t="n">
        <x:v>3</x:v>
      </x:c>
      <x:c r="L1423" s="14" t="n">
        <x:v>41</x:v>
      </x:c>
      <x:c r="M1423" s="14" t="n">
        <x:v>41</x:v>
      </x:c>
      <x:c r="N1423" s="15" t="n">
        <x:f>IF(E1423=0,"해당 없음",F1423/E1423)</x:f>
        <x:v>0.02857142857142857</x:v>
      </x:c>
      <x:c r="O1423" s="15" t="n">
        <x:f>IF(E1423=0,"해당 없음",G1423/E1423)</x:f>
        <x:v>0.0761904761904762</x:v>
      </x:c>
      <x:c r="P1423" s="15" t="n">
        <x:f>IF(E1423=0,"해당 없음",H1423/E1423)</x:f>
        <x:v>0.0380952380952381</x:v>
      </x:c>
      <x:c r="Q1423" s="15" t="n">
        <x:f>IF(E1423=0,"해당 없음",I1423/E1423)</x:f>
        <x:v>0.02857142857142857</x:v>
      </x:c>
      <x:c r="R1423" s="15" t="n">
        <x:f>IF(E1423=0,"해당 없음",J1423/E1423)</x:f>
        <x:v>0.01904761904761905</x:v>
      </x:c>
      <x:c r="S1423" s="15" t="n">
        <x:f>IF(E1423=0,"해당 없음",K1423/E1423)</x:f>
        <x:v>0.02857142857142857</x:v>
      </x:c>
      <x:c r="T1423" s="15" t="n">
        <x:f>IF(E1423=0,"해당 없음",L1423/E1423)</x:f>
        <x:v>0.3904761904761905</x:v>
      </x:c>
      <x:c r="U1423" s="15" t="n">
        <x:f>IF(E1423=0,"해당 없음",M1423/E1423)</x:f>
        <x:v>0.3904761904761905</x:v>
      </x:c>
      <x:c r="V1423" s="16" t="n">
        <x:f>E1423/5</x:f>
        <x:v>21</x:v>
      </x:c>
    </x:row>
    <x:row r="1424" ht="22" customHeight="1">
      <x:c r="A1424" s="2" t="n">
        <x:v>710</x:v>
      </x:c>
      <x:c r="B1424" s="2" t="str">
        <x:v>RED</x:v>
      </x:c>
      <x:c r="C1424" s="2" t="str">
        <x:v>240만</x:v>
      </x:c>
      <x:c r="D1424" s="2" t="str">
        <x:v>40만</x:v>
      </x:c>
      <x:c r="E1424" s="14" t="n">
        <x:f>SUM(F1424:M1424)</x:f>
        <x:v>103</x:v>
      </x:c>
      <x:c r="F1424" s="14" t="n">
        <x:v>4</x:v>
      </x:c>
      <x:c r="G1424" s="14" t="n">
        <x:v>7</x:v>
      </x:c>
      <x:c r="H1424" s="14" t="n">
        <x:v>6</x:v>
      </x:c>
      <x:c r="I1424" s="14" t="n">
        <x:v>2</x:v>
      </x:c>
      <x:c r="J1424" s="14" t="n">
        <x:v>3</x:v>
      </x:c>
      <x:c r="K1424" s="14" t="n">
        <x:v>4</x:v>
      </x:c>
      <x:c r="L1424" s="14" t="n">
        <x:v>37</x:v>
      </x:c>
      <x:c r="M1424" s="14" t="n">
        <x:v>40</x:v>
      </x:c>
      <x:c r="N1424" s="15" t="n">
        <x:f>IF(E1424=0,"해당 없음",F1424/E1424)</x:f>
        <x:v>0.038834951456310676</x:v>
      </x:c>
      <x:c r="O1424" s="15" t="n">
        <x:f>IF(E1424=0,"해당 없음",G1424/E1424)</x:f>
        <x:v>0.06796116504854369</x:v>
      </x:c>
      <x:c r="P1424" s="15" t="n">
        <x:f>IF(E1424=0,"해당 없음",H1424/E1424)</x:f>
        <x:v>0.05825242718446602</x:v>
      </x:c>
      <x:c r="Q1424" s="15" t="n">
        <x:f>IF(E1424=0,"해당 없음",I1424/E1424)</x:f>
        <x:v>0.019417475728155338</x:v>
      </x:c>
      <x:c r="R1424" s="15" t="n">
        <x:f>IF(E1424=0,"해당 없음",J1424/E1424)</x:f>
        <x:v>0.02912621359223301</x:v>
      </x:c>
      <x:c r="S1424" s="15" t="n">
        <x:f>IF(E1424=0,"해당 없음",K1424/E1424)</x:f>
        <x:v>0.038834951456310676</x:v>
      </x:c>
      <x:c r="T1424" s="15" t="n">
        <x:f>IF(E1424=0,"해당 없음",L1424/E1424)</x:f>
        <x:v>0.3592233009708738</x:v>
      </x:c>
      <x:c r="U1424" s="15" t="n">
        <x:f>IF(E1424=0,"해당 없음",M1424/E1424)</x:f>
        <x:v>0.3883495145631068</x:v>
      </x:c>
      <x:c r="V1424" s="16" t="n">
        <x:f>E1424/5</x:f>
        <x:v>20.6</x:v>
      </x:c>
    </x:row>
    <x:row r="1425" ht="22" customHeight="1">
      <x:c r="A1425" s="2" t="n">
        <x:v>710</x:v>
      </x:c>
      <x:c r="B1425" s="2" t="str">
        <x:v>NAVY</x:v>
      </x:c>
      <x:c r="C1425" s="2" t="str">
        <x:v>40만</x:v>
      </x:c>
      <x:c r="D1425" s="2" t="str">
        <x:v>240만</x:v>
      </x:c>
      <x:c r="E1425" s="14" t="n">
        <x:f>SUM(F1425:M1425)</x:f>
        <x:v>104</x:v>
      </x:c>
      <x:c r="F1425" s="14" t="n">
        <x:v>2</x:v>
      </x:c>
      <x:c r="G1425" s="14" t="n">
        <x:v>29</x:v>
      </x:c>
      <x:c r="H1425" s="14" t="n">
        <x:v>9</x:v>
      </x:c>
      <x:c r="I1425" s="14" t="n">
        <x:v>7</x:v>
      </x:c>
      <x:c r="J1425" s="14" t="n">
        <x:v>5</x:v>
      </x:c>
      <x:c r="K1425" s="14" t="n">
        <x:v>3</x:v>
      </x:c>
      <x:c r="L1425" s="14" t="n">
        <x:v>45</x:v>
      </x:c>
      <x:c r="M1425" s="14" t="n">
        <x:v>4</x:v>
      </x:c>
      <x:c r="N1425" s="15" t="n">
        <x:f>IF(E1425=0,"해당 없음",F1425/E1425)</x:f>
        <x:v>0.019230769230769232</x:v>
      </x:c>
      <x:c r="O1425" s="15" t="n">
        <x:f>IF(E1425=0,"해당 없음",G1425/E1425)</x:f>
        <x:v>0.27884615384615385</x:v>
      </x:c>
      <x:c r="P1425" s="15" t="n">
        <x:f>IF(E1425=0,"해당 없음",H1425/E1425)</x:f>
        <x:v>0.08653846153846154</x:v>
      </x:c>
      <x:c r="Q1425" s="15" t="n">
        <x:f>IF(E1425=0,"해당 없음",I1425/E1425)</x:f>
        <x:v>0.0673076923076923</x:v>
      </x:c>
      <x:c r="R1425" s="15" t="n">
        <x:f>IF(E1425=0,"해당 없음",J1425/E1425)</x:f>
        <x:v>0.04807692307692308</x:v>
      </x:c>
      <x:c r="S1425" s="15" t="n">
        <x:f>IF(E1425=0,"해당 없음",K1425/E1425)</x:f>
        <x:v>0.028846153846153848</x:v>
      </x:c>
      <x:c r="T1425" s="15" t="n">
        <x:f>IF(E1425=0,"해당 없음",L1425/E1425)</x:f>
        <x:v>0.4326923076923077</x:v>
      </x:c>
      <x:c r="U1425" s="15" t="n">
        <x:f>IF(E1425=0,"해당 없음",M1425/E1425)</x:f>
        <x:v>0.038461538461538464</x:v>
      </x:c>
      <x:c r="V1425" s="16" t="n">
        <x:f>E1425/5</x:f>
        <x:v>20.8</x:v>
      </x:c>
    </x:row>
    <x:row r="1426" ht="22" customHeight="1">
      <x:c r="A1426" s="2" t="n">
        <x:v>711</x:v>
      </x:c>
      <x:c r="B1426" s="2" t="str">
        <x:v>RED</x:v>
      </x:c>
      <x:c r="C1426" s="2" t="str">
        <x:v>40만</x:v>
      </x:c>
      <x:c r="D1426" s="2" t="str">
        <x:v>240만</x:v>
      </x:c>
      <x:c r="E1426" s="14" t="n">
        <x:f>SUM(F1426:M1426)</x:f>
        <x:v>102</x:v>
      </x:c>
      <x:c r="F1426" s="14" t="n">
        <x:v>7</x:v>
      </x:c>
      <x:c r="G1426" s="14" t="n">
        <x:v>25</x:v>
      </x:c>
      <x:c r="H1426" s="14" t="n">
        <x:v>3</x:v>
      </x:c>
      <x:c r="I1426" s="14" t="n">
        <x:v>5</x:v>
      </x:c>
      <x:c r="J1426" s="14" t="n">
        <x:v>6</x:v>
      </x:c>
      <x:c r="K1426" s="14" t="n">
        <x:v>10</x:v>
      </x:c>
      <x:c r="L1426" s="14" t="n">
        <x:v>43</x:v>
      </x:c>
      <x:c r="M1426" s="14" t="n">
        <x:v>3</x:v>
      </x:c>
      <x:c r="N1426" s="15" t="n">
        <x:f>IF(E1426=0,"해당 없음",F1426/E1426)</x:f>
        <x:v>0.06862745098039216</x:v>
      </x:c>
      <x:c r="O1426" s="15" t="n">
        <x:f>IF(E1426=0,"해당 없음",G1426/E1426)</x:f>
        <x:v>0.24509803921568626</x:v>
      </x:c>
      <x:c r="P1426" s="15" t="n">
        <x:f>IF(E1426=0,"해당 없음",H1426/E1426)</x:f>
        <x:v>0.029411764705882353</x:v>
      </x:c>
      <x:c r="Q1426" s="15" t="n">
        <x:f>IF(E1426=0,"해당 없음",I1426/E1426)</x:f>
        <x:v>0.049019607843137254</x:v>
      </x:c>
      <x:c r="R1426" s="15" t="n">
        <x:f>IF(E1426=0,"해당 없음",J1426/E1426)</x:f>
        <x:v>0.058823529411764705</x:v>
      </x:c>
      <x:c r="S1426" s="15" t="n">
        <x:f>IF(E1426=0,"해당 없음",K1426/E1426)</x:f>
        <x:v>0.09803921568627451</x:v>
      </x:c>
      <x:c r="T1426" s="15" t="n">
        <x:f>IF(E1426=0,"해당 없음",L1426/E1426)</x:f>
        <x:v>0.4215686274509804</x:v>
      </x:c>
      <x:c r="U1426" s="15" t="n">
        <x:f>IF(E1426=0,"해당 없음",M1426/E1426)</x:f>
        <x:v>0.029411764705882353</x:v>
      </x:c>
      <x:c r="V1426" s="16" t="n">
        <x:f>E1426/5</x:f>
        <x:v>20.4</x:v>
      </x:c>
    </x:row>
    <x:row r="1427" ht="22" customHeight="1">
      <x:c r="A1427" s="2" t="n">
        <x:v>711</x:v>
      </x:c>
      <x:c r="B1427" s="2" t="str">
        <x:v>NAVY</x:v>
      </x:c>
      <x:c r="C1427" s="2" t="str">
        <x:v>240만</x:v>
      </x:c>
      <x:c r="D1427" s="2" t="str">
        <x:v>40만</x:v>
      </x:c>
      <x:c r="E1427" s="14" t="n">
        <x:f>SUM(F1427:M1427)</x:f>
        <x:v>105</x:v>
      </x:c>
      <x:c r="F1427" s="14" t="n">
        <x:v>3</x:v>
      </x:c>
      <x:c r="G1427" s="14" t="n">
        <x:v>8</x:v>
      </x:c>
      <x:c r="H1427" s="14" t="n">
        <x:v>3</x:v>
      </x:c>
      <x:c r="I1427" s="14" t="n">
        <x:v>7</x:v>
      </x:c>
      <x:c r="J1427" s="14" t="n">
        <x:v>3</x:v>
      </x:c>
      <x:c r="K1427" s="14" t="n">
        <x:v>1</x:v>
      </x:c>
      <x:c r="L1427" s="14" t="n">
        <x:v>35</x:v>
      </x:c>
      <x:c r="M1427" s="14" t="n">
        <x:v>45</x:v>
      </x:c>
      <x:c r="N1427" s="15" t="n">
        <x:f>IF(E1427=0,"해당 없음",F1427/E1427)</x:f>
        <x:v>0.02857142857142857</x:v>
      </x:c>
      <x:c r="O1427" s="15" t="n">
        <x:f>IF(E1427=0,"해당 없음",G1427/E1427)</x:f>
        <x:v>0.0761904761904762</x:v>
      </x:c>
      <x:c r="P1427" s="15" t="n">
        <x:f>IF(E1427=0,"해당 없음",H1427/E1427)</x:f>
        <x:v>0.02857142857142857</x:v>
      </x:c>
      <x:c r="Q1427" s="15" t="n">
        <x:f>IF(E1427=0,"해당 없음",I1427/E1427)</x:f>
        <x:v>0.06666666666666667</x:v>
      </x:c>
      <x:c r="R1427" s="15" t="n">
        <x:f>IF(E1427=0,"해당 없음",J1427/E1427)</x:f>
        <x:v>0.02857142857142857</x:v>
      </x:c>
      <x:c r="S1427" s="15" t="n">
        <x:f>IF(E1427=0,"해당 없음",K1427/E1427)</x:f>
        <x:v>0.009523809523809525</x:v>
      </x:c>
      <x:c r="T1427" s="15" t="n">
        <x:f>IF(E1427=0,"해당 없음",L1427/E1427)</x:f>
        <x:v>0.3333333333333333</x:v>
      </x:c>
      <x:c r="U1427" s="15" t="n">
        <x:f>IF(E1427=0,"해당 없음",M1427/E1427)</x:f>
        <x:v>0.42857142857142855</x:v>
      </x:c>
      <x:c r="V1427" s="16" t="n">
        <x:f>E1427/5</x:f>
        <x:v>21</x:v>
      </x:c>
    </x:row>
    <x:row r="1428" ht="22" customHeight="1">
      <x:c r="A1428" s="2" t="n">
        <x:v>712</x:v>
      </x:c>
      <x:c r="B1428" s="2" t="str">
        <x:v>RED</x:v>
      </x:c>
      <x:c r="C1428" s="2" t="str">
        <x:v>240만</x:v>
      </x:c>
      <x:c r="D1428" s="2" t="str">
        <x:v>40만</x:v>
      </x:c>
      <x:c r="E1428" s="14" t="n">
        <x:f>SUM(F1428:M1428)</x:f>
        <x:v>102</x:v>
      </x:c>
      <x:c r="F1428" s="14" t="n">
        <x:v>1</x:v>
      </x:c>
      <x:c r="G1428" s="14" t="n">
        <x:v>5</x:v>
      </x:c>
      <x:c r="H1428" s="14" t="n">
        <x:v>1</x:v>
      </x:c>
      <x:c r="I1428" s="14" t="n">
        <x:v>5</x:v>
      </x:c>
      <x:c r="J1428" s="14" t="n">
        <x:v>0</x:v>
      </x:c>
      <x:c r="K1428" s="14" t="n">
        <x:v>3</x:v>
      </x:c>
      <x:c r="L1428" s="14" t="n">
        <x:v>32</x:v>
      </x:c>
      <x:c r="M1428" s="14" t="n">
        <x:v>55</x:v>
      </x:c>
      <x:c r="N1428" s="15" t="n">
        <x:f>IF(E1428=0,"해당 없음",F1428/E1428)</x:f>
        <x:v>0.00980392156862745</x:v>
      </x:c>
      <x:c r="O1428" s="15" t="n">
        <x:f>IF(E1428=0,"해당 없음",G1428/E1428)</x:f>
        <x:v>0.049019607843137254</x:v>
      </x:c>
      <x:c r="P1428" s="15" t="n">
        <x:f>IF(E1428=0,"해당 없음",H1428/E1428)</x:f>
        <x:v>0.00980392156862745</x:v>
      </x:c>
      <x:c r="Q1428" s="15" t="n">
        <x:f>IF(E1428=0,"해당 없음",I1428/E1428)</x:f>
        <x:v>0.049019607843137254</x:v>
      </x:c>
      <x:c r="R1428" s="15" t="n">
        <x:f>IF(E1428=0,"해당 없음",J1428/E1428)</x:f>
        <x:v>0</x:v>
      </x:c>
      <x:c r="S1428" s="15" t="n">
        <x:f>IF(E1428=0,"해당 없음",K1428/E1428)</x:f>
        <x:v>0.029411764705882353</x:v>
      </x:c>
      <x:c r="T1428" s="15" t="n">
        <x:f>IF(E1428=0,"해당 없음",L1428/E1428)</x:f>
        <x:v>0.3137254901960784</x:v>
      </x:c>
      <x:c r="U1428" s="15" t="n">
        <x:f>IF(E1428=0,"해당 없음",M1428/E1428)</x:f>
        <x:v>0.5392156862745098</x:v>
      </x:c>
      <x:c r="V1428" s="16" t="n">
        <x:f>E1428/5</x:f>
        <x:v>20.4</x:v>
      </x:c>
    </x:row>
    <x:row r="1429" ht="22" customHeight="1">
      <x:c r="A1429" s="2" t="n">
        <x:v>712</x:v>
      </x:c>
      <x:c r="B1429" s="2" t="str">
        <x:v>NAVY</x:v>
      </x:c>
      <x:c r="C1429" s="2" t="str">
        <x:v>40만</x:v>
      </x:c>
      <x:c r="D1429" s="2" t="str">
        <x:v>240만</x:v>
      </x:c>
      <x:c r="E1429" s="14" t="n">
        <x:f>SUM(F1429:M1429)</x:f>
        <x:v>103</x:v>
      </x:c>
      <x:c r="F1429" s="14" t="n">
        <x:v>4</x:v>
      </x:c>
      <x:c r="G1429" s="14" t="n">
        <x:v>31</x:v>
      </x:c>
      <x:c r="H1429" s="14" t="n">
        <x:v>1</x:v>
      </x:c>
      <x:c r="I1429" s="14" t="n">
        <x:v>5</x:v>
      </x:c>
      <x:c r="J1429" s="14" t="n">
        <x:v>3</x:v>
      </x:c>
      <x:c r="K1429" s="14" t="n">
        <x:v>12</x:v>
      </x:c>
      <x:c r="L1429" s="14" t="n">
        <x:v>41</x:v>
      </x:c>
      <x:c r="M1429" s="14" t="n">
        <x:v>6</x:v>
      </x:c>
      <x:c r="N1429" s="15" t="n">
        <x:f>IF(E1429=0,"해당 없음",F1429/E1429)</x:f>
        <x:v>0.038834951456310676</x:v>
      </x:c>
      <x:c r="O1429" s="15" t="n">
        <x:f>IF(E1429=0,"해당 없음",G1429/E1429)</x:f>
        <x:v>0.30097087378640774</x:v>
      </x:c>
      <x:c r="P1429" s="15" t="n">
        <x:f>IF(E1429=0,"해당 없음",H1429/E1429)</x:f>
        <x:v>0.009708737864077669</x:v>
      </x:c>
      <x:c r="Q1429" s="15" t="n">
        <x:f>IF(E1429=0,"해당 없음",I1429/E1429)</x:f>
        <x:v>0.04854368932038835</x:v>
      </x:c>
      <x:c r="R1429" s="15" t="n">
        <x:f>IF(E1429=0,"해당 없음",J1429/E1429)</x:f>
        <x:v>0.02912621359223301</x:v>
      </x:c>
      <x:c r="S1429" s="15" t="n">
        <x:f>IF(E1429=0,"해당 없음",K1429/E1429)</x:f>
        <x:v>0.11650485436893204</x:v>
      </x:c>
      <x:c r="T1429" s="15" t="n">
        <x:f>IF(E1429=0,"해당 없음",L1429/E1429)</x:f>
        <x:v>0.39805825242718446</x:v>
      </x:c>
      <x:c r="U1429" s="15" t="n">
        <x:f>IF(E1429=0,"해당 없음",M1429/E1429)</x:f>
        <x:v>0.05825242718446602</x:v>
      </x:c>
      <x:c r="V1429" s="16" t="n">
        <x:f>E1429/5</x:f>
        <x:v>20.6</x:v>
      </x:c>
    </x:row>
    <x:row r="1430" ht="22" customHeight="1">
      <x:c r="A1430" s="2" t="n">
        <x:v>713</x:v>
      </x:c>
      <x:c r="B1430" s="2" t="str">
        <x:v>RED</x:v>
      </x:c>
      <x:c r="C1430" s="2" t="str">
        <x:v>40만</x:v>
      </x:c>
      <x:c r="D1430" s="2" t="str">
        <x:v>240만</x:v>
      </x:c>
      <x:c r="E1430" s="14" t="n">
        <x:f>SUM(F1430:M1430)</x:f>
        <x:v>103</x:v>
      </x:c>
      <x:c r="F1430" s="14" t="n">
        <x:v>7</x:v>
      </x:c>
      <x:c r="G1430" s="14" t="n">
        <x:v>27</x:v>
      </x:c>
      <x:c r="H1430" s="14" t="n">
        <x:v>6</x:v>
      </x:c>
      <x:c r="I1430" s="14" t="n">
        <x:v>2</x:v>
      </x:c>
      <x:c r="J1430" s="14" t="n">
        <x:v>5</x:v>
      </x:c>
      <x:c r="K1430" s="14" t="n">
        <x:v>8</x:v>
      </x:c>
      <x:c r="L1430" s="14" t="n">
        <x:v>42</x:v>
      </x:c>
      <x:c r="M1430" s="14" t="n">
        <x:v>6</x:v>
      </x:c>
      <x:c r="N1430" s="15" t="n">
        <x:f>IF(E1430=0,"해당 없음",F1430/E1430)</x:f>
        <x:v>0.06796116504854369</x:v>
      </x:c>
      <x:c r="O1430" s="15" t="n">
        <x:f>IF(E1430=0,"해당 없음",G1430/E1430)</x:f>
        <x:v>0.2621359223300971</x:v>
      </x:c>
      <x:c r="P1430" s="15" t="n">
        <x:f>IF(E1430=0,"해당 없음",H1430/E1430)</x:f>
        <x:v>0.05825242718446602</x:v>
      </x:c>
      <x:c r="Q1430" s="15" t="n">
        <x:f>IF(E1430=0,"해당 없음",I1430/E1430)</x:f>
        <x:v>0.019417475728155338</x:v>
      </x:c>
      <x:c r="R1430" s="15" t="n">
        <x:f>IF(E1430=0,"해당 없음",J1430/E1430)</x:f>
        <x:v>0.04854368932038835</x:v>
      </x:c>
      <x:c r="S1430" s="15" t="n">
        <x:f>IF(E1430=0,"해당 없음",K1430/E1430)</x:f>
        <x:v>0.07766990291262135</x:v>
      </x:c>
      <x:c r="T1430" s="15" t="n">
        <x:f>IF(E1430=0,"해당 없음",L1430/E1430)</x:f>
        <x:v>0.4077669902912621</x:v>
      </x:c>
      <x:c r="U1430" s="15" t="n">
        <x:f>IF(E1430=0,"해당 없음",M1430/E1430)</x:f>
        <x:v>0.05825242718446602</x:v>
      </x:c>
      <x:c r="V1430" s="16" t="n">
        <x:f>E1430/5</x:f>
        <x:v>20.6</x:v>
      </x:c>
    </x:row>
    <x:row r="1431" ht="22" customHeight="1">
      <x:c r="A1431" s="2" t="n">
        <x:v>713</x:v>
      </x:c>
      <x:c r="B1431" s="2" t="str">
        <x:v>NAVY</x:v>
      </x:c>
      <x:c r="C1431" s="2" t="str">
        <x:v>240만</x:v>
      </x:c>
      <x:c r="D1431" s="2" t="str">
        <x:v>40만</x:v>
      </x:c>
      <x:c r="E1431" s="14" t="n">
        <x:f>SUM(F1431:M1431)</x:f>
        <x:v>105</x:v>
      </x:c>
      <x:c r="F1431" s="14" t="n">
        <x:v>1</x:v>
      </x:c>
      <x:c r="G1431" s="14" t="n">
        <x:v>9</x:v>
      </x:c>
      <x:c r="H1431" s="14" t="n">
        <x:v>5</x:v>
      </x:c>
      <x:c r="I1431" s="14" t="n">
        <x:v>4</x:v>
      </x:c>
      <x:c r="J1431" s="14" t="n">
        <x:v>3</x:v>
      </x:c>
      <x:c r="K1431" s="14" t="n">
        <x:v>2</x:v>
      </x:c>
      <x:c r="L1431" s="14" t="n">
        <x:v>36</x:v>
      </x:c>
      <x:c r="M1431" s="14" t="n">
        <x:v>45</x:v>
      </x:c>
      <x:c r="N1431" s="15" t="n">
        <x:f>IF(E1431=0,"해당 없음",F1431/E1431)</x:f>
        <x:v>0.009523809523809525</x:v>
      </x:c>
      <x:c r="O1431" s="15" t="n">
        <x:f>IF(E1431=0,"해당 없음",G1431/E1431)</x:f>
        <x:v>0.08571428571428572</x:v>
      </x:c>
      <x:c r="P1431" s="15" t="n">
        <x:f>IF(E1431=0,"해당 없음",H1431/E1431)</x:f>
        <x:v>0.047619047619047616</x:v>
      </x:c>
      <x:c r="Q1431" s="15" t="n">
        <x:f>IF(E1431=0,"해당 없음",I1431/E1431)</x:f>
        <x:v>0.0380952380952381</x:v>
      </x:c>
      <x:c r="R1431" s="15" t="n">
        <x:f>IF(E1431=0,"해당 없음",J1431/E1431)</x:f>
        <x:v>0.02857142857142857</x:v>
      </x:c>
      <x:c r="S1431" s="15" t="n">
        <x:f>IF(E1431=0,"해당 없음",K1431/E1431)</x:f>
        <x:v>0.01904761904761905</x:v>
      </x:c>
      <x:c r="T1431" s="15" t="n">
        <x:f>IF(E1431=0,"해당 없음",L1431/E1431)</x:f>
        <x:v>0.34285714285714286</x:v>
      </x:c>
      <x:c r="U1431" s="15" t="n">
        <x:f>IF(E1431=0,"해당 없음",M1431/E1431)</x:f>
        <x:v>0.42857142857142855</x:v>
      </x:c>
      <x:c r="V1431" s="16" t="n">
        <x:f>E1431/5</x:f>
        <x:v>21</x:v>
      </x:c>
    </x:row>
    <x:row r="1432" ht="22" customHeight="1">
      <x:c r="A1432" s="2" t="n">
        <x:v>714</x:v>
      </x:c>
      <x:c r="B1432" s="2" t="str">
        <x:v>RED</x:v>
      </x:c>
      <x:c r="C1432" s="2" t="str">
        <x:v>240만</x:v>
      </x:c>
      <x:c r="D1432" s="2" t="str">
        <x:v>40만</x:v>
      </x:c>
      <x:c r="E1432" s="14" t="n">
        <x:f>SUM(F1432:M1432)</x:f>
        <x:v>105</x:v>
      </x:c>
      <x:c r="F1432" s="14" t="n">
        <x:v>3</x:v>
      </x:c>
      <x:c r="G1432" s="14" t="n">
        <x:v>8</x:v>
      </x:c>
      <x:c r="H1432" s="14" t="n">
        <x:v>3</x:v>
      </x:c>
      <x:c r="I1432" s="14" t="n">
        <x:v>1</x:v>
      </x:c>
      <x:c r="J1432" s="14" t="n">
        <x:v>1</x:v>
      </x:c>
      <x:c r="K1432" s="14" t="n">
        <x:v>7</x:v>
      </x:c>
      <x:c r="L1432" s="14" t="n">
        <x:v>41</x:v>
      </x:c>
      <x:c r="M1432" s="14" t="n">
        <x:v>41</x:v>
      </x:c>
      <x:c r="N1432" s="15" t="n">
        <x:f>IF(E1432=0,"해당 없음",F1432/E1432)</x:f>
        <x:v>0.02857142857142857</x:v>
      </x:c>
      <x:c r="O1432" s="15" t="n">
        <x:f>IF(E1432=0,"해당 없음",G1432/E1432)</x:f>
        <x:v>0.0761904761904762</x:v>
      </x:c>
      <x:c r="P1432" s="15" t="n">
        <x:f>IF(E1432=0,"해당 없음",H1432/E1432)</x:f>
        <x:v>0.02857142857142857</x:v>
      </x:c>
      <x:c r="Q1432" s="15" t="n">
        <x:f>IF(E1432=0,"해당 없음",I1432/E1432)</x:f>
        <x:v>0.009523809523809525</x:v>
      </x:c>
      <x:c r="R1432" s="15" t="n">
        <x:f>IF(E1432=0,"해당 없음",J1432/E1432)</x:f>
        <x:v>0.009523809523809525</x:v>
      </x:c>
      <x:c r="S1432" s="15" t="n">
        <x:f>IF(E1432=0,"해당 없음",K1432/E1432)</x:f>
        <x:v>0.06666666666666667</x:v>
      </x:c>
      <x:c r="T1432" s="15" t="n">
        <x:f>IF(E1432=0,"해당 없음",L1432/E1432)</x:f>
        <x:v>0.3904761904761905</x:v>
      </x:c>
      <x:c r="U1432" s="15" t="n">
        <x:f>IF(E1432=0,"해당 없음",M1432/E1432)</x:f>
        <x:v>0.3904761904761905</x:v>
      </x:c>
      <x:c r="V1432" s="16" t="n">
        <x:f>E1432/5</x:f>
        <x:v>21</x:v>
      </x:c>
    </x:row>
    <x:row r="1433" ht="22" customHeight="1">
      <x:c r="A1433" s="2" t="n">
        <x:v>714</x:v>
      </x:c>
      <x:c r="B1433" s="2" t="str">
        <x:v>NAVY</x:v>
      </x:c>
      <x:c r="C1433" s="2" t="str">
        <x:v>40만</x:v>
      </x:c>
      <x:c r="D1433" s="2" t="str">
        <x:v>240만</x:v>
      </x:c>
      <x:c r="E1433" s="14" t="n">
        <x:f>SUM(F1433:M1433)</x:f>
        <x:v>103</x:v>
      </x:c>
      <x:c r="F1433" s="14" t="n">
        <x:v>5</x:v>
      </x:c>
      <x:c r="G1433" s="14" t="n">
        <x:v>21</x:v>
      </x:c>
      <x:c r="H1433" s="14" t="n">
        <x:v>10</x:v>
      </x:c>
      <x:c r="I1433" s="14" t="n">
        <x:v>13</x:v>
      </x:c>
      <x:c r="J1433" s="14" t="n">
        <x:v>5</x:v>
      </x:c>
      <x:c r="K1433" s="14" t="n">
        <x:v>8</x:v>
      </x:c>
      <x:c r="L1433" s="14" t="n">
        <x:v>36</x:v>
      </x:c>
      <x:c r="M1433" s="14" t="n">
        <x:v>5</x:v>
      </x:c>
      <x:c r="N1433" s="15" t="n">
        <x:f>IF(E1433=0,"해당 없음",F1433/E1433)</x:f>
        <x:v>0.04854368932038835</x:v>
      </x:c>
      <x:c r="O1433" s="15" t="n">
        <x:f>IF(E1433=0,"해당 없음",G1433/E1433)</x:f>
        <x:v>0.20388349514563106</x:v>
      </x:c>
      <x:c r="P1433" s="15" t="n">
        <x:f>IF(E1433=0,"해당 없음",H1433/E1433)</x:f>
        <x:v>0.0970873786407767</x:v>
      </x:c>
      <x:c r="Q1433" s="15" t="n">
        <x:f>IF(E1433=0,"해당 없음",I1433/E1433)</x:f>
        <x:v>0.1262135922330097</x:v>
      </x:c>
      <x:c r="R1433" s="15" t="n">
        <x:f>IF(E1433=0,"해당 없음",J1433/E1433)</x:f>
        <x:v>0.04854368932038835</x:v>
      </x:c>
      <x:c r="S1433" s="15" t="n">
        <x:f>IF(E1433=0,"해당 없음",K1433/E1433)</x:f>
        <x:v>0.07766990291262135</x:v>
      </x:c>
      <x:c r="T1433" s="15" t="n">
        <x:f>IF(E1433=0,"해당 없음",L1433/E1433)</x:f>
        <x:v>0.34951456310679613</x:v>
      </x:c>
      <x:c r="U1433" s="15" t="n">
        <x:f>IF(E1433=0,"해당 없음",M1433/E1433)</x:f>
        <x:v>0.04854368932038835</x:v>
      </x:c>
      <x:c r="V1433" s="16" t="n">
        <x:f>E1433/5</x:f>
        <x:v>20.6</x:v>
      </x:c>
    </x:row>
    <x:row r="1434" ht="22" customHeight="1">
      <x:c r="A1434" s="2" t="n">
        <x:v>715</x:v>
      </x:c>
      <x:c r="B1434" s="2" t="str">
        <x:v>RED</x:v>
      </x:c>
      <x:c r="C1434" s="2" t="str">
        <x:v>40만</x:v>
      </x:c>
      <x:c r="D1434" s="2" t="str">
        <x:v>240만</x:v>
      </x:c>
      <x:c r="E1434" s="14" t="n">
        <x:f>SUM(F1434:M1434)</x:f>
        <x:v>102</x:v>
      </x:c>
      <x:c r="F1434" s="14" t="n">
        <x:v>6</x:v>
      </x:c>
      <x:c r="G1434" s="14" t="n">
        <x:v>26</x:v>
      </x:c>
      <x:c r="H1434" s="14" t="n">
        <x:v>10</x:v>
      </x:c>
      <x:c r="I1434" s="14" t="n">
        <x:v>7</x:v>
      </x:c>
      <x:c r="J1434" s="14" t="n">
        <x:v>5</x:v>
      </x:c>
      <x:c r="K1434" s="14" t="n">
        <x:v>10</x:v>
      </x:c>
      <x:c r="L1434" s="14" t="n">
        <x:v>35</x:v>
      </x:c>
      <x:c r="M1434" s="14" t="n">
        <x:v>3</x:v>
      </x:c>
      <x:c r="N1434" s="15" t="n">
        <x:f>IF(E1434=0,"해당 없음",F1434/E1434)</x:f>
        <x:v>0.058823529411764705</x:v>
      </x:c>
      <x:c r="O1434" s="15" t="n">
        <x:f>IF(E1434=0,"해당 없음",G1434/E1434)</x:f>
        <x:v>0.2549019607843137</x:v>
      </x:c>
      <x:c r="P1434" s="15" t="n">
        <x:f>IF(E1434=0,"해당 없음",H1434/E1434)</x:f>
        <x:v>0.09803921568627451</x:v>
      </x:c>
      <x:c r="Q1434" s="15" t="n">
        <x:f>IF(E1434=0,"해당 없음",I1434/E1434)</x:f>
        <x:v>0.06862745098039216</x:v>
      </x:c>
      <x:c r="R1434" s="15" t="n">
        <x:f>IF(E1434=0,"해당 없음",J1434/E1434)</x:f>
        <x:v>0.049019607843137254</x:v>
      </x:c>
      <x:c r="S1434" s="15" t="n">
        <x:f>IF(E1434=0,"해당 없음",K1434/E1434)</x:f>
        <x:v>0.09803921568627451</x:v>
      </x:c>
      <x:c r="T1434" s="15" t="n">
        <x:f>IF(E1434=0,"해당 없음",L1434/E1434)</x:f>
        <x:v>0.3431372549019608</x:v>
      </x:c>
      <x:c r="U1434" s="15" t="n">
        <x:f>IF(E1434=0,"해당 없음",M1434/E1434)</x:f>
        <x:v>0.029411764705882353</x:v>
      </x:c>
      <x:c r="V1434" s="16" t="n">
        <x:f>E1434/5</x:f>
        <x:v>20.4</x:v>
      </x:c>
    </x:row>
    <x:row r="1435" ht="22" customHeight="1">
      <x:c r="A1435" s="2" t="n">
        <x:v>715</x:v>
      </x:c>
      <x:c r="B1435" s="2" t="str">
        <x:v>NAVY</x:v>
      </x:c>
      <x:c r="C1435" s="2" t="str">
        <x:v>240만</x:v>
      </x:c>
      <x:c r="D1435" s="2" t="str">
        <x:v>40만</x:v>
      </x:c>
      <x:c r="E1435" s="14" t="n">
        <x:f>SUM(F1435:M1435)</x:f>
        <x:v>103</x:v>
      </x:c>
      <x:c r="F1435" s="14" t="n">
        <x:v>2</x:v>
      </x:c>
      <x:c r="G1435" s="14" t="n">
        <x:v>10</x:v>
      </x:c>
      <x:c r="H1435" s="14" t="n">
        <x:v>5</x:v>
      </x:c>
      <x:c r="I1435" s="14" t="n">
        <x:v>5</x:v>
      </x:c>
      <x:c r="J1435" s="14" t="n">
        <x:v>1</x:v>
      </x:c>
      <x:c r="K1435" s="14" t="n">
        <x:v>5</x:v>
      </x:c>
      <x:c r="L1435" s="14" t="n">
        <x:v>34</x:v>
      </x:c>
      <x:c r="M1435" s="14" t="n">
        <x:v>41</x:v>
      </x:c>
      <x:c r="N1435" s="15" t="n">
        <x:f>IF(E1435=0,"해당 없음",F1435/E1435)</x:f>
        <x:v>0.019417475728155338</x:v>
      </x:c>
      <x:c r="O1435" s="15" t="n">
        <x:f>IF(E1435=0,"해당 없음",G1435/E1435)</x:f>
        <x:v>0.0970873786407767</x:v>
      </x:c>
      <x:c r="P1435" s="15" t="n">
        <x:f>IF(E1435=0,"해당 없음",H1435/E1435)</x:f>
        <x:v>0.04854368932038835</x:v>
      </x:c>
      <x:c r="Q1435" s="15" t="n">
        <x:f>IF(E1435=0,"해당 없음",I1435/E1435)</x:f>
        <x:v>0.04854368932038835</x:v>
      </x:c>
      <x:c r="R1435" s="15" t="n">
        <x:f>IF(E1435=0,"해당 없음",J1435/E1435)</x:f>
        <x:v>0.009708737864077669</x:v>
      </x:c>
      <x:c r="S1435" s="15" t="n">
        <x:f>IF(E1435=0,"해당 없음",K1435/E1435)</x:f>
        <x:v>0.04854368932038835</x:v>
      </x:c>
      <x:c r="T1435" s="15" t="n">
        <x:f>IF(E1435=0,"해당 없음",L1435/E1435)</x:f>
        <x:v>0.3300970873786408</x:v>
      </x:c>
      <x:c r="U1435" s="15" t="n">
        <x:f>IF(E1435=0,"해당 없음",M1435/E1435)</x:f>
        <x:v>0.39805825242718446</x:v>
      </x:c>
      <x:c r="V1435" s="16" t="n">
        <x:f>E1435/5</x:f>
        <x:v>20.6</x:v>
      </x:c>
    </x:row>
    <x:row r="1436" ht="22" customHeight="1">
      <x:c r="A1436" s="2" t="n">
        <x:v>716</x:v>
      </x:c>
      <x:c r="B1436" s="2" t="str">
        <x:v>RED</x:v>
      </x:c>
      <x:c r="C1436" s="2" t="str">
        <x:v>240만</x:v>
      </x:c>
      <x:c r="D1436" s="2" t="str">
        <x:v>40만</x:v>
      </x:c>
      <x:c r="E1436" s="14" t="n">
        <x:f>SUM(F1436:M1436)</x:f>
        <x:v>104</x:v>
      </x:c>
      <x:c r="F1436" s="14" t="n">
        <x:v>2</x:v>
      </x:c>
      <x:c r="G1436" s="14" t="n">
        <x:v>12</x:v>
      </x:c>
      <x:c r="H1436" s="14" t="n">
        <x:v>3</x:v>
      </x:c>
      <x:c r="I1436" s="14" t="n">
        <x:v>9</x:v>
      </x:c>
      <x:c r="J1436" s="14" t="n">
        <x:v>1</x:v>
      </x:c>
      <x:c r="K1436" s="14" t="n">
        <x:v>1</x:v>
      </x:c>
      <x:c r="L1436" s="14" t="n">
        <x:v>37</x:v>
      </x:c>
      <x:c r="M1436" s="14" t="n">
        <x:v>39</x:v>
      </x:c>
      <x:c r="N1436" s="15" t="n">
        <x:f>IF(E1436=0,"해당 없음",F1436/E1436)</x:f>
        <x:v>0.019230769230769232</x:v>
      </x:c>
      <x:c r="O1436" s="15" t="n">
        <x:f>IF(E1436=0,"해당 없음",G1436/E1436)</x:f>
        <x:v>0.11538461538461539</x:v>
      </x:c>
      <x:c r="P1436" s="15" t="n">
        <x:f>IF(E1436=0,"해당 없음",H1436/E1436)</x:f>
        <x:v>0.028846153846153848</x:v>
      </x:c>
      <x:c r="Q1436" s="15" t="n">
        <x:f>IF(E1436=0,"해당 없음",I1436/E1436)</x:f>
        <x:v>0.08653846153846154</x:v>
      </x:c>
      <x:c r="R1436" s="15" t="n">
        <x:f>IF(E1436=0,"해당 없음",J1436/E1436)</x:f>
        <x:v>0.009615384615384616</x:v>
      </x:c>
      <x:c r="S1436" s="15" t="n">
        <x:f>IF(E1436=0,"해당 없음",K1436/E1436)</x:f>
        <x:v>0.009615384615384616</x:v>
      </x:c>
      <x:c r="T1436" s="15" t="n">
        <x:f>IF(E1436=0,"해당 없음",L1436/E1436)</x:f>
        <x:v>0.3557692307692308</x:v>
      </x:c>
      <x:c r="U1436" s="15" t="n">
        <x:f>IF(E1436=0,"해당 없음",M1436/E1436)</x:f>
        <x:v>0.375</x:v>
      </x:c>
      <x:c r="V1436" s="16" t="n">
        <x:f>E1436/5</x:f>
        <x:v>20.8</x:v>
      </x:c>
    </x:row>
    <x:row r="1437" ht="22" customHeight="1">
      <x:c r="A1437" s="2" t="n">
        <x:v>716</x:v>
      </x:c>
      <x:c r="B1437" s="2" t="str">
        <x:v>NAVY</x:v>
      </x:c>
      <x:c r="C1437" s="2" t="str">
        <x:v>40만</x:v>
      </x:c>
      <x:c r="D1437" s="2" t="str">
        <x:v>240만</x:v>
      </x:c>
      <x:c r="E1437" s="14" t="n">
        <x:f>SUM(F1437:M1437)</x:f>
        <x:v>103</x:v>
      </x:c>
      <x:c r="F1437" s="14" t="n">
        <x:v>4</x:v>
      </x:c>
      <x:c r="G1437" s="14" t="n">
        <x:v>30</x:v>
      </x:c>
      <x:c r="H1437" s="14" t="n">
        <x:v>3</x:v>
      </x:c>
      <x:c r="I1437" s="14" t="n">
        <x:v>10</x:v>
      </x:c>
      <x:c r="J1437" s="14" t="n">
        <x:v>4</x:v>
      </x:c>
      <x:c r="K1437" s="14" t="n">
        <x:v>10</x:v>
      </x:c>
      <x:c r="L1437" s="14" t="n">
        <x:v>38</x:v>
      </x:c>
      <x:c r="M1437" s="14" t="n">
        <x:v>4</x:v>
      </x:c>
      <x:c r="N1437" s="15" t="n">
        <x:f>IF(E1437=0,"해당 없음",F1437/E1437)</x:f>
        <x:v>0.038834951456310676</x:v>
      </x:c>
      <x:c r="O1437" s="15" t="n">
        <x:f>IF(E1437=0,"해당 없음",G1437/E1437)</x:f>
        <x:v>0.2912621359223301</x:v>
      </x:c>
      <x:c r="P1437" s="15" t="n">
        <x:f>IF(E1437=0,"해당 없음",H1437/E1437)</x:f>
        <x:v>0.02912621359223301</x:v>
      </x:c>
      <x:c r="Q1437" s="15" t="n">
        <x:f>IF(E1437=0,"해당 없음",I1437/E1437)</x:f>
        <x:v>0.0970873786407767</x:v>
      </x:c>
      <x:c r="R1437" s="15" t="n">
        <x:f>IF(E1437=0,"해당 없음",J1437/E1437)</x:f>
        <x:v>0.038834951456310676</x:v>
      </x:c>
      <x:c r="S1437" s="15" t="n">
        <x:f>IF(E1437=0,"해당 없음",K1437/E1437)</x:f>
        <x:v>0.0970873786407767</x:v>
      </x:c>
      <x:c r="T1437" s="15" t="n">
        <x:f>IF(E1437=0,"해당 없음",L1437/E1437)</x:f>
        <x:v>0.36893203883495146</x:v>
      </x:c>
      <x:c r="U1437" s="15" t="n">
        <x:f>IF(E1437=0,"해당 없음",M1437/E1437)</x:f>
        <x:v>0.038834951456310676</x:v>
      </x:c>
      <x:c r="V1437" s="16" t="n">
        <x:f>E1437/5</x:f>
        <x:v>20.6</x:v>
      </x:c>
    </x:row>
    <x:row r="1438" ht="22" customHeight="1">
      <x:c r="A1438" s="2" t="n">
        <x:v>717</x:v>
      </x:c>
      <x:c r="B1438" s="2" t="str">
        <x:v>RED</x:v>
      </x:c>
      <x:c r="C1438" s="2" t="str">
        <x:v>40만</x:v>
      </x:c>
      <x:c r="D1438" s="2" t="str">
        <x:v>240만</x:v>
      </x:c>
      <x:c r="E1438" s="14" t="n">
        <x:f>SUM(F1438:M1438)</x:f>
        <x:v>102</x:v>
      </x:c>
      <x:c r="F1438" s="14" t="n">
        <x:v>4</x:v>
      </x:c>
      <x:c r="G1438" s="14" t="n">
        <x:v>26</x:v>
      </x:c>
      <x:c r="H1438" s="14" t="n">
        <x:v>10</x:v>
      </x:c>
      <x:c r="I1438" s="14" t="n">
        <x:v>7</x:v>
      </x:c>
      <x:c r="J1438" s="14" t="n">
        <x:v>5</x:v>
      </x:c>
      <x:c r="K1438" s="14" t="n">
        <x:v>5</x:v>
      </x:c>
      <x:c r="L1438" s="14" t="n">
        <x:v>40</x:v>
      </x:c>
      <x:c r="M1438" s="14" t="n">
        <x:v>5</x:v>
      </x:c>
      <x:c r="N1438" s="15" t="n">
        <x:f>IF(E1438=0,"해당 없음",F1438/E1438)</x:f>
        <x:v>0.0392156862745098</x:v>
      </x:c>
      <x:c r="O1438" s="15" t="n">
        <x:f>IF(E1438=0,"해당 없음",G1438/E1438)</x:f>
        <x:v>0.2549019607843137</x:v>
      </x:c>
      <x:c r="P1438" s="15" t="n">
        <x:f>IF(E1438=0,"해당 없음",H1438/E1438)</x:f>
        <x:v>0.09803921568627451</x:v>
      </x:c>
      <x:c r="Q1438" s="15" t="n">
        <x:f>IF(E1438=0,"해당 없음",I1438/E1438)</x:f>
        <x:v>0.06862745098039216</x:v>
      </x:c>
      <x:c r="R1438" s="15" t="n">
        <x:f>IF(E1438=0,"해당 없음",J1438/E1438)</x:f>
        <x:v>0.049019607843137254</x:v>
      </x:c>
      <x:c r="S1438" s="15" t="n">
        <x:f>IF(E1438=0,"해당 없음",K1438/E1438)</x:f>
        <x:v>0.049019607843137254</x:v>
      </x:c>
      <x:c r="T1438" s="15" t="n">
        <x:f>IF(E1438=0,"해당 없음",L1438/E1438)</x:f>
        <x:v>0.39215686274509803</x:v>
      </x:c>
      <x:c r="U1438" s="15" t="n">
        <x:f>IF(E1438=0,"해당 없음",M1438/E1438)</x:f>
        <x:v>0.049019607843137254</x:v>
      </x:c>
      <x:c r="V1438" s="16" t="n">
        <x:f>E1438/5</x:f>
        <x:v>20.4</x:v>
      </x:c>
    </x:row>
    <x:row r="1439" ht="22" customHeight="1">
      <x:c r="A1439" s="2" t="n">
        <x:v>717</x:v>
      </x:c>
      <x:c r="B1439" s="2" t="str">
        <x:v>NAVY</x:v>
      </x:c>
      <x:c r="C1439" s="2" t="str">
        <x:v>240만</x:v>
      </x:c>
      <x:c r="D1439" s="2" t="str">
        <x:v>40만</x:v>
      </x:c>
      <x:c r="E1439" s="14" t="n">
        <x:f>SUM(F1439:M1439)</x:f>
        <x:v>103</x:v>
      </x:c>
      <x:c r="F1439" s="14" t="n">
        <x:v>3</x:v>
      </x:c>
      <x:c r="G1439" s="14" t="n">
        <x:v>15</x:v>
      </x:c>
      <x:c r="H1439" s="14" t="n">
        <x:v>6</x:v>
      </x:c>
      <x:c r="I1439" s="14" t="n">
        <x:v>5</x:v>
      </x:c>
      <x:c r="J1439" s="14" t="n">
        <x:v>2</x:v>
      </x:c>
      <x:c r="K1439" s="14" t="n">
        <x:v>6</x:v>
      </x:c>
      <x:c r="L1439" s="14" t="n">
        <x:v>35</x:v>
      </x:c>
      <x:c r="M1439" s="14" t="n">
        <x:v>31</x:v>
      </x:c>
      <x:c r="N1439" s="15" t="n">
        <x:f>IF(E1439=0,"해당 없음",F1439/E1439)</x:f>
        <x:v>0.02912621359223301</x:v>
      </x:c>
      <x:c r="O1439" s="15" t="n">
        <x:f>IF(E1439=0,"해당 없음",G1439/E1439)</x:f>
        <x:v>0.14563106796116504</x:v>
      </x:c>
      <x:c r="P1439" s="15" t="n">
        <x:f>IF(E1439=0,"해당 없음",H1439/E1439)</x:f>
        <x:v>0.05825242718446602</x:v>
      </x:c>
      <x:c r="Q1439" s="15" t="n">
        <x:f>IF(E1439=0,"해당 없음",I1439/E1439)</x:f>
        <x:v>0.04854368932038835</x:v>
      </x:c>
      <x:c r="R1439" s="15" t="n">
        <x:f>IF(E1439=0,"해당 없음",J1439/E1439)</x:f>
        <x:v>0.019417475728155338</x:v>
      </x:c>
      <x:c r="S1439" s="15" t="n">
        <x:f>IF(E1439=0,"해당 없음",K1439/E1439)</x:f>
        <x:v>0.05825242718446602</x:v>
      </x:c>
      <x:c r="T1439" s="15" t="n">
        <x:f>IF(E1439=0,"해당 없음",L1439/E1439)</x:f>
        <x:v>0.33980582524271846</x:v>
      </x:c>
      <x:c r="U1439" s="15" t="n">
        <x:f>IF(E1439=0,"해당 없음",M1439/E1439)</x:f>
        <x:v>0.30097087378640774</x:v>
      </x:c>
      <x:c r="V1439" s="16" t="n">
        <x:f>E1439/5</x:f>
        <x:v>20.6</x:v>
      </x:c>
    </x:row>
    <x:row r="1440" ht="22" customHeight="1">
      <x:c r="A1440" s="2" t="n">
        <x:v>718</x:v>
      </x:c>
      <x:c r="B1440" s="2" t="str">
        <x:v>RED</x:v>
      </x:c>
      <x:c r="C1440" s="2" t="str">
        <x:v>240만</x:v>
      </x:c>
      <x:c r="D1440" s="2" t="str">
        <x:v>40만</x:v>
      </x:c>
      <x:c r="E1440" s="14" t="n">
        <x:f>SUM(F1440:M1440)</x:f>
        <x:v>103</x:v>
      </x:c>
      <x:c r="F1440" s="14" t="n">
        <x:v>2</x:v>
      </x:c>
      <x:c r="G1440" s="14" t="n">
        <x:v>9</x:v>
      </x:c>
      <x:c r="H1440" s="14" t="n">
        <x:v>5</x:v>
      </x:c>
      <x:c r="I1440" s="14" t="n">
        <x:v>6</x:v>
      </x:c>
      <x:c r="J1440" s="14" t="n">
        <x:v>3</x:v>
      </x:c>
      <x:c r="K1440" s="14" t="n">
        <x:v>2</x:v>
      </x:c>
      <x:c r="L1440" s="14" t="n">
        <x:v>38</x:v>
      </x:c>
      <x:c r="M1440" s="14" t="n">
        <x:v>38</x:v>
      </x:c>
      <x:c r="N1440" s="15" t="n">
        <x:f>IF(E1440=0,"해당 없음",F1440/E1440)</x:f>
        <x:v>0.019417475728155338</x:v>
      </x:c>
      <x:c r="O1440" s="15" t="n">
        <x:f>IF(E1440=0,"해당 없음",G1440/E1440)</x:f>
        <x:v>0.08737864077669903</x:v>
      </x:c>
      <x:c r="P1440" s="15" t="n">
        <x:f>IF(E1440=0,"해당 없음",H1440/E1440)</x:f>
        <x:v>0.04854368932038835</x:v>
      </x:c>
      <x:c r="Q1440" s="15" t="n">
        <x:f>IF(E1440=0,"해당 없음",I1440/E1440)</x:f>
        <x:v>0.05825242718446602</x:v>
      </x:c>
      <x:c r="R1440" s="15" t="n">
        <x:f>IF(E1440=0,"해당 없음",J1440/E1440)</x:f>
        <x:v>0.02912621359223301</x:v>
      </x:c>
      <x:c r="S1440" s="15" t="n">
        <x:f>IF(E1440=0,"해당 없음",K1440/E1440)</x:f>
        <x:v>0.019417475728155338</x:v>
      </x:c>
      <x:c r="T1440" s="15" t="n">
        <x:f>IF(E1440=0,"해당 없음",L1440/E1440)</x:f>
        <x:v>0.36893203883495146</x:v>
      </x:c>
      <x:c r="U1440" s="15" t="n">
        <x:f>IF(E1440=0,"해당 없음",M1440/E1440)</x:f>
        <x:v>0.36893203883495146</x:v>
      </x:c>
      <x:c r="V1440" s="16" t="n">
        <x:f>E1440/5</x:f>
        <x:v>20.6</x:v>
      </x:c>
    </x:row>
    <x:row r="1441" ht="22" customHeight="1">
      <x:c r="A1441" s="2" t="n">
        <x:v>718</x:v>
      </x:c>
      <x:c r="B1441" s="2" t="str">
        <x:v>NAVY</x:v>
      </x:c>
      <x:c r="C1441" s="2" t="str">
        <x:v>40만</x:v>
      </x:c>
      <x:c r="D1441" s="2" t="str">
        <x:v>240만</x:v>
      </x:c>
      <x:c r="E1441" s="14" t="n">
        <x:f>SUM(F1441:M1441)</x:f>
        <x:v>104</x:v>
      </x:c>
      <x:c r="F1441" s="14" t="n">
        <x:v>4</x:v>
      </x:c>
      <x:c r="G1441" s="14" t="n">
        <x:v>26</x:v>
      </x:c>
      <x:c r="H1441" s="14" t="n">
        <x:v>7</x:v>
      </x:c>
      <x:c r="I1441" s="14" t="n">
        <x:v>10</x:v>
      </x:c>
      <x:c r="J1441" s="14" t="n">
        <x:v>8</x:v>
      </x:c>
      <x:c r="K1441" s="14" t="n">
        <x:v>8</x:v>
      </x:c>
      <x:c r="L1441" s="14" t="n">
        <x:v>37</x:v>
      </x:c>
      <x:c r="M1441" s="14" t="n">
        <x:v>4</x:v>
      </x:c>
      <x:c r="N1441" s="15" t="n">
        <x:f>IF(E1441=0,"해당 없음",F1441/E1441)</x:f>
        <x:v>0.038461538461538464</x:v>
      </x:c>
      <x:c r="O1441" s="15" t="n">
        <x:f>IF(E1441=0,"해당 없음",G1441/E1441)</x:f>
        <x:v>0.25</x:v>
      </x:c>
      <x:c r="P1441" s="15" t="n">
        <x:f>IF(E1441=0,"해당 없음",H1441/E1441)</x:f>
        <x:v>0.0673076923076923</x:v>
      </x:c>
      <x:c r="Q1441" s="15" t="n">
        <x:f>IF(E1441=0,"해당 없음",I1441/E1441)</x:f>
        <x:v>0.09615384615384616</x:v>
      </x:c>
      <x:c r="R1441" s="15" t="n">
        <x:f>IF(E1441=0,"해당 없음",J1441/E1441)</x:f>
        <x:v>0.07692307692307693</x:v>
      </x:c>
      <x:c r="S1441" s="15" t="n">
        <x:f>IF(E1441=0,"해당 없음",K1441/E1441)</x:f>
        <x:v>0.07692307692307693</x:v>
      </x:c>
      <x:c r="T1441" s="15" t="n">
        <x:f>IF(E1441=0,"해당 없음",L1441/E1441)</x:f>
        <x:v>0.3557692307692308</x:v>
      </x:c>
      <x:c r="U1441" s="15" t="n">
        <x:f>IF(E1441=0,"해당 없음",M1441/E1441)</x:f>
        <x:v>0.038461538461538464</x:v>
      </x:c>
      <x:c r="V1441" s="16" t="n">
        <x:f>E1441/5</x:f>
        <x:v>20.8</x:v>
      </x:c>
    </x:row>
    <x:row r="1442" ht="22" customHeight="1">
      <x:c r="A1442" s="2" t="n">
        <x:v>719</x:v>
      </x:c>
      <x:c r="B1442" s="2" t="str">
        <x:v>RED</x:v>
      </x:c>
      <x:c r="C1442" s="2" t="str">
        <x:v>40만</x:v>
      </x:c>
      <x:c r="D1442" s="2" t="str">
        <x:v>240만</x:v>
      </x:c>
      <x:c r="E1442" s="14" t="n">
        <x:f>SUM(F1442:M1442)</x:f>
        <x:v>104</x:v>
      </x:c>
      <x:c r="F1442" s="14" t="n">
        <x:v>2</x:v>
      </x:c>
      <x:c r="G1442" s="14" t="n">
        <x:v>33</x:v>
      </x:c>
      <x:c r="H1442" s="14" t="n">
        <x:v>5</x:v>
      </x:c>
      <x:c r="I1442" s="14" t="n">
        <x:v>4</x:v>
      </x:c>
      <x:c r="J1442" s="14" t="n">
        <x:v>7</x:v>
      </x:c>
      <x:c r="K1442" s="14" t="n">
        <x:v>14</x:v>
      </x:c>
      <x:c r="L1442" s="14" t="n">
        <x:v>37</x:v>
      </x:c>
      <x:c r="M1442" s="14" t="n">
        <x:v>2</x:v>
      </x:c>
      <x:c r="N1442" s="15" t="n">
        <x:f>IF(E1442=0,"해당 없음",F1442/E1442)</x:f>
        <x:v>0.019230769230769232</x:v>
      </x:c>
      <x:c r="O1442" s="15" t="n">
        <x:f>IF(E1442=0,"해당 없음",G1442/E1442)</x:f>
        <x:v>0.3173076923076923</x:v>
      </x:c>
      <x:c r="P1442" s="15" t="n">
        <x:f>IF(E1442=0,"해당 없음",H1442/E1442)</x:f>
        <x:v>0.04807692307692308</x:v>
      </x:c>
      <x:c r="Q1442" s="15" t="n">
        <x:f>IF(E1442=0,"해당 없음",I1442/E1442)</x:f>
        <x:v>0.038461538461538464</x:v>
      </x:c>
      <x:c r="R1442" s="15" t="n">
        <x:f>IF(E1442=0,"해당 없음",J1442/E1442)</x:f>
        <x:v>0.0673076923076923</x:v>
      </x:c>
      <x:c r="S1442" s="15" t="n">
        <x:f>IF(E1442=0,"해당 없음",K1442/E1442)</x:f>
        <x:v>0.1346153846153846</x:v>
      </x:c>
      <x:c r="T1442" s="15" t="n">
        <x:f>IF(E1442=0,"해당 없음",L1442/E1442)</x:f>
        <x:v>0.3557692307692308</x:v>
      </x:c>
      <x:c r="U1442" s="15" t="n">
        <x:f>IF(E1442=0,"해당 없음",M1442/E1442)</x:f>
        <x:v>0.019230769230769232</x:v>
      </x:c>
      <x:c r="V1442" s="16" t="n">
        <x:f>E1442/5</x:f>
        <x:v>20.8</x:v>
      </x:c>
    </x:row>
    <x:row r="1443" ht="22" customHeight="1">
      <x:c r="A1443" s="2" t="n">
        <x:v>719</x:v>
      </x:c>
      <x:c r="B1443" s="2" t="str">
        <x:v>NAVY</x:v>
      </x:c>
      <x:c r="C1443" s="2" t="str">
        <x:v>240만</x:v>
      </x:c>
      <x:c r="D1443" s="2" t="str">
        <x:v>40만</x:v>
      </x:c>
      <x:c r="E1443" s="14" t="n">
        <x:f>SUM(F1443:M1443)</x:f>
        <x:v>105</x:v>
      </x:c>
      <x:c r="F1443" s="14" t="n">
        <x:v>0</x:v>
      </x:c>
      <x:c r="G1443" s="14" t="n">
        <x:v>9</x:v>
      </x:c>
      <x:c r="H1443" s="14" t="n">
        <x:v>2</x:v>
      </x:c>
      <x:c r="I1443" s="14" t="n">
        <x:v>7</x:v>
      </x:c>
      <x:c r="J1443" s="14" t="n">
        <x:v>2</x:v>
      </x:c>
      <x:c r="K1443" s="14" t="n">
        <x:v>5</x:v>
      </x:c>
      <x:c r="L1443" s="14" t="n">
        <x:v>39</x:v>
      </x:c>
      <x:c r="M1443" s="14" t="n">
        <x:v>41</x:v>
      </x:c>
      <x:c r="N1443" s="15" t="n">
        <x:f>IF(E1443=0,"해당 없음",F1443/E1443)</x:f>
        <x:v>0</x:v>
      </x:c>
      <x:c r="O1443" s="15" t="n">
        <x:f>IF(E1443=0,"해당 없음",G1443/E1443)</x:f>
        <x:v>0.08571428571428572</x:v>
      </x:c>
      <x:c r="P1443" s="15" t="n">
        <x:f>IF(E1443=0,"해당 없음",H1443/E1443)</x:f>
        <x:v>0.01904761904761905</x:v>
      </x:c>
      <x:c r="Q1443" s="15" t="n">
        <x:f>IF(E1443=0,"해당 없음",I1443/E1443)</x:f>
        <x:v>0.06666666666666667</x:v>
      </x:c>
      <x:c r="R1443" s="15" t="n">
        <x:f>IF(E1443=0,"해당 없음",J1443/E1443)</x:f>
        <x:v>0.01904761904761905</x:v>
      </x:c>
      <x:c r="S1443" s="15" t="n">
        <x:f>IF(E1443=0,"해당 없음",K1443/E1443)</x:f>
        <x:v>0.047619047619047616</x:v>
      </x:c>
      <x:c r="T1443" s="15" t="n">
        <x:f>IF(E1443=0,"해당 없음",L1443/E1443)</x:f>
        <x:v>0.37142857142857144</x:v>
      </x:c>
      <x:c r="U1443" s="15" t="n">
        <x:f>IF(E1443=0,"해당 없음",M1443/E1443)</x:f>
        <x:v>0.3904761904761905</x:v>
      </x:c>
      <x:c r="V1443" s="16" t="n">
        <x:f>E1443/5</x:f>
        <x:v>21</x:v>
      </x:c>
    </x:row>
    <x:row r="1444" ht="22" customHeight="1">
      <x:c r="A1444" s="2" t="n">
        <x:v>720</x:v>
      </x:c>
      <x:c r="B1444" s="2" t="str">
        <x:v>RED</x:v>
      </x:c>
      <x:c r="C1444" s="2" t="str">
        <x:v>240만</x:v>
      </x:c>
      <x:c r="D1444" s="2" t="str">
        <x:v>40만</x:v>
      </x:c>
      <x:c r="E1444" s="14" t="n">
        <x:f>SUM(F1444:M1444)</x:f>
        <x:v>105</x:v>
      </x:c>
      <x:c r="F1444" s="14" t="n">
        <x:v>3</x:v>
      </x:c>
      <x:c r="G1444" s="14" t="n">
        <x:v>14</x:v>
      </x:c>
      <x:c r="H1444" s="14" t="n">
        <x:v>4</x:v>
      </x:c>
      <x:c r="I1444" s="14" t="n">
        <x:v>8</x:v>
      </x:c>
      <x:c r="J1444" s="14" t="n">
        <x:v>0</x:v>
      </x:c>
      <x:c r="K1444" s="14" t="n">
        <x:v>2</x:v>
      </x:c>
      <x:c r="L1444" s="14" t="n">
        <x:v>38</x:v>
      </x:c>
      <x:c r="M1444" s="14" t="n">
        <x:v>36</x:v>
      </x:c>
      <x:c r="N1444" s="15" t="n">
        <x:f>IF(E1444=0,"해당 없음",F1444/E1444)</x:f>
        <x:v>0.02857142857142857</x:v>
      </x:c>
      <x:c r="O1444" s="15" t="n">
        <x:f>IF(E1444=0,"해당 없음",G1444/E1444)</x:f>
        <x:v>0.13333333333333333</x:v>
      </x:c>
      <x:c r="P1444" s="15" t="n">
        <x:f>IF(E1444=0,"해당 없음",H1444/E1444)</x:f>
        <x:v>0.0380952380952381</x:v>
      </x:c>
      <x:c r="Q1444" s="15" t="n">
        <x:f>IF(E1444=0,"해당 없음",I1444/E1444)</x:f>
        <x:v>0.0761904761904762</x:v>
      </x:c>
      <x:c r="R1444" s="15" t="n">
        <x:f>IF(E1444=0,"해당 없음",J1444/E1444)</x:f>
        <x:v>0</x:v>
      </x:c>
      <x:c r="S1444" s="15" t="n">
        <x:f>IF(E1444=0,"해당 없음",K1444/E1444)</x:f>
        <x:v>0.01904761904761905</x:v>
      </x:c>
      <x:c r="T1444" s="15" t="n">
        <x:f>IF(E1444=0,"해당 없음",L1444/E1444)</x:f>
        <x:v>0.3619047619047619</x:v>
      </x:c>
      <x:c r="U1444" s="15" t="n">
        <x:f>IF(E1444=0,"해당 없음",M1444/E1444)</x:f>
        <x:v>0.34285714285714286</x:v>
      </x:c>
      <x:c r="V1444" s="16" t="n">
        <x:f>E1444/5</x:f>
        <x:v>21</x:v>
      </x:c>
    </x:row>
    <x:row r="1445" ht="22" customHeight="1">
      <x:c r="A1445" s="2" t="n">
        <x:v>720</x:v>
      </x:c>
      <x:c r="B1445" s="2" t="str">
        <x:v>NAVY</x:v>
      </x:c>
      <x:c r="C1445" s="2" t="str">
        <x:v>40만</x:v>
      </x:c>
      <x:c r="D1445" s="2" t="str">
        <x:v>240만</x:v>
      </x:c>
      <x:c r="E1445" s="14" t="n">
        <x:f>SUM(F1445:M1445)</x:f>
        <x:v>104</x:v>
      </x:c>
      <x:c r="F1445" s="14" t="n">
        <x:v>3</x:v>
      </x:c>
      <x:c r="G1445" s="14" t="n">
        <x:v>30</x:v>
      </x:c>
      <x:c r="H1445" s="14" t="n">
        <x:v>5</x:v>
      </x:c>
      <x:c r="I1445" s="14" t="n">
        <x:v>6</x:v>
      </x:c>
      <x:c r="J1445" s="14" t="n">
        <x:v>3</x:v>
      </x:c>
      <x:c r="K1445" s="14" t="n">
        <x:v>9</x:v>
      </x:c>
      <x:c r="L1445" s="14" t="n">
        <x:v>44</x:v>
      </x:c>
      <x:c r="M1445" s="14" t="n">
        <x:v>4</x:v>
      </x:c>
      <x:c r="N1445" s="15" t="n">
        <x:f>IF(E1445=0,"해당 없음",F1445/E1445)</x:f>
        <x:v>0.028846153846153848</x:v>
      </x:c>
      <x:c r="O1445" s="15" t="n">
        <x:f>IF(E1445=0,"해당 없음",G1445/E1445)</x:f>
        <x:v>0.28846153846153844</x:v>
      </x:c>
      <x:c r="P1445" s="15" t="n">
        <x:f>IF(E1445=0,"해당 없음",H1445/E1445)</x:f>
        <x:v>0.04807692307692308</x:v>
      </x:c>
      <x:c r="Q1445" s="15" t="n">
        <x:f>IF(E1445=0,"해당 없음",I1445/E1445)</x:f>
        <x:v>0.057692307692307696</x:v>
      </x:c>
      <x:c r="R1445" s="15" t="n">
        <x:f>IF(E1445=0,"해당 없음",J1445/E1445)</x:f>
        <x:v>0.028846153846153848</x:v>
      </x:c>
      <x:c r="S1445" s="15" t="n">
        <x:f>IF(E1445=0,"해당 없음",K1445/E1445)</x:f>
        <x:v>0.08653846153846154</x:v>
      </x:c>
      <x:c r="T1445" s="15" t="n">
        <x:f>IF(E1445=0,"해당 없음",L1445/E1445)</x:f>
        <x:v>0.4230769230769231</x:v>
      </x:c>
      <x:c r="U1445" s="15" t="n">
        <x:f>IF(E1445=0,"해당 없음",M1445/E1445)</x:f>
        <x:v>0.038461538461538464</x:v>
      </x:c>
      <x:c r="V1445" s="16" t="n">
        <x:f>E1445/5</x:f>
        <x:v>20.8</x:v>
      </x:c>
    </x:row>
    <x:row r="1446" ht="22" customHeight="1">
      <x:c r="A1446" s="2" t="n">
        <x:v>721</x:v>
      </x:c>
      <x:c r="B1446" s="2" t="str">
        <x:v>RED</x:v>
      </x:c>
      <x:c r="C1446" s="2" t="str">
        <x:v>80만</x:v>
      </x:c>
      <x:c r="D1446" s="2" t="str">
        <x:v>120만</x:v>
      </x:c>
      <x:c r="E1446" s="14" t="n">
        <x:f>SUM(F1446:M1446)</x:f>
        <x:v>103</x:v>
      </x:c>
      <x:c r="F1446" s="14" t="n">
        <x:v>4</x:v>
      </x:c>
      <x:c r="G1446" s="14" t="n">
        <x:v>11</x:v>
      </x:c>
      <x:c r="H1446" s="14" t="n">
        <x:v>7</x:v>
      </x:c>
      <x:c r="I1446" s="14" t="n">
        <x:v>7</x:v>
      </x:c>
      <x:c r="J1446" s="14" t="n">
        <x:v>0</x:v>
      </x:c>
      <x:c r="K1446" s="14" t="n">
        <x:v>9</x:v>
      </x:c>
      <x:c r="L1446" s="14" t="n">
        <x:v>35</x:v>
      </x:c>
      <x:c r="M1446" s="14" t="n">
        <x:v>30</x:v>
      </x:c>
      <x:c r="N1446" s="15" t="n">
        <x:f>IF(E1446=0,"해당 없음",F1446/E1446)</x:f>
        <x:v>0.038834951456310676</x:v>
      </x:c>
      <x:c r="O1446" s="15" t="n">
        <x:f>IF(E1446=0,"해당 없음",G1446/E1446)</x:f>
        <x:v>0.10679611650485436</x:v>
      </x:c>
      <x:c r="P1446" s="15" t="n">
        <x:f>IF(E1446=0,"해당 없음",H1446/E1446)</x:f>
        <x:v>0.06796116504854369</x:v>
      </x:c>
      <x:c r="Q1446" s="15" t="n">
        <x:f>IF(E1446=0,"해당 없음",I1446/E1446)</x:f>
        <x:v>0.06796116504854369</x:v>
      </x:c>
      <x:c r="R1446" s="15" t="n">
        <x:f>IF(E1446=0,"해당 없음",J1446/E1446)</x:f>
        <x:v>0</x:v>
      </x:c>
      <x:c r="S1446" s="15" t="n">
        <x:f>IF(E1446=0,"해당 없음",K1446/E1446)</x:f>
        <x:v>0.08737864077669903</x:v>
      </x:c>
      <x:c r="T1446" s="15" t="n">
        <x:f>IF(E1446=0,"해당 없음",L1446/E1446)</x:f>
        <x:v>0.33980582524271846</x:v>
      </x:c>
      <x:c r="U1446" s="15" t="n">
        <x:f>IF(E1446=0,"해당 없음",M1446/E1446)</x:f>
        <x:v>0.2912621359223301</x:v>
      </x:c>
      <x:c r="V1446" s="16" t="n">
        <x:f>E1446/5</x:f>
        <x:v>20.6</x:v>
      </x:c>
    </x:row>
    <x:row r="1447" ht="22" customHeight="1">
      <x:c r="A1447" s="2" t="n">
        <x:v>721</x:v>
      </x:c>
      <x:c r="B1447" s="2" t="str">
        <x:v>NAVY</x:v>
      </x:c>
      <x:c r="C1447" s="2" t="str">
        <x:v>120만</x:v>
      </x:c>
      <x:c r="D1447" s="2" t="str">
        <x:v>80만</x:v>
      </x:c>
      <x:c r="E1447" s="14" t="n">
        <x:f>SUM(F1447:M1447)</x:f>
        <x:v>103</x:v>
      </x:c>
      <x:c r="F1447" s="14" t="n">
        <x:v>1</x:v>
      </x:c>
      <x:c r="G1447" s="14" t="n">
        <x:v>15</x:v>
      </x:c>
      <x:c r="H1447" s="14" t="n">
        <x:v>5</x:v>
      </x:c>
      <x:c r="I1447" s="14" t="n">
        <x:v>3</x:v>
      </x:c>
      <x:c r="J1447" s="14" t="n">
        <x:v>7</x:v>
      </x:c>
      <x:c r="K1447" s="14" t="n">
        <x:v>13</x:v>
      </x:c>
      <x:c r="L1447" s="14" t="n">
        <x:v>37</x:v>
      </x:c>
      <x:c r="M1447" s="14" t="n">
        <x:v>22</x:v>
      </x:c>
      <x:c r="N1447" s="15" t="n">
        <x:f>IF(E1447=0,"해당 없음",F1447/E1447)</x:f>
        <x:v>0.009708737864077669</x:v>
      </x:c>
      <x:c r="O1447" s="15" t="n">
        <x:f>IF(E1447=0,"해당 없음",G1447/E1447)</x:f>
        <x:v>0.14563106796116504</x:v>
      </x:c>
      <x:c r="P1447" s="15" t="n">
        <x:f>IF(E1447=0,"해당 없음",H1447/E1447)</x:f>
        <x:v>0.04854368932038835</x:v>
      </x:c>
      <x:c r="Q1447" s="15" t="n">
        <x:f>IF(E1447=0,"해당 없음",I1447/E1447)</x:f>
        <x:v>0.02912621359223301</x:v>
      </x:c>
      <x:c r="R1447" s="15" t="n">
        <x:f>IF(E1447=0,"해당 없음",J1447/E1447)</x:f>
        <x:v>0.06796116504854369</x:v>
      </x:c>
      <x:c r="S1447" s="15" t="n">
        <x:f>IF(E1447=0,"해당 없음",K1447/E1447)</x:f>
        <x:v>0.1262135922330097</x:v>
      </x:c>
      <x:c r="T1447" s="15" t="n">
        <x:f>IF(E1447=0,"해당 없음",L1447/E1447)</x:f>
        <x:v>0.3592233009708738</x:v>
      </x:c>
      <x:c r="U1447" s="15" t="n">
        <x:f>IF(E1447=0,"해당 없음",M1447/E1447)</x:f>
        <x:v>0.21359223300970873</x:v>
      </x:c>
      <x:c r="V1447" s="16" t="n">
        <x:f>E1447/5</x:f>
        <x:v>20.6</x:v>
      </x:c>
    </x:row>
    <x:row r="1448" ht="22" customHeight="1">
      <x:c r="A1448" s="2" t="n">
        <x:v>722</x:v>
      </x:c>
      <x:c r="B1448" s="2" t="str">
        <x:v>RED</x:v>
      </x:c>
      <x:c r="C1448" s="2" t="str">
        <x:v>120만</x:v>
      </x:c>
      <x:c r="D1448" s="2" t="str">
        <x:v>80만</x:v>
      </x:c>
      <x:c r="E1448" s="14" t="n">
        <x:f>SUM(F1448:M1448)</x:f>
        <x:v>102</x:v>
      </x:c>
      <x:c r="F1448" s="14" t="n">
        <x:v>2</x:v>
      </x:c>
      <x:c r="G1448" s="14" t="n">
        <x:v>21</x:v>
      </x:c>
      <x:c r="H1448" s="14" t="n">
        <x:v>4</x:v>
      </x:c>
      <x:c r="I1448" s="14" t="n">
        <x:v>8</x:v>
      </x:c>
      <x:c r="J1448" s="14" t="n">
        <x:v>1</x:v>
      </x:c>
      <x:c r="K1448" s="14" t="n">
        <x:v>17</x:v>
      </x:c>
      <x:c r="L1448" s="14" t="n">
        <x:v>31</x:v>
      </x:c>
      <x:c r="M1448" s="14" t="n">
        <x:v>18</x:v>
      </x:c>
      <x:c r="N1448" s="15" t="n">
        <x:f>IF(E1448=0,"해당 없음",F1448/E1448)</x:f>
        <x:v>0.0196078431372549</x:v>
      </x:c>
      <x:c r="O1448" s="15" t="n">
        <x:f>IF(E1448=0,"해당 없음",G1448/E1448)</x:f>
        <x:v>0.20588235294117646</x:v>
      </x:c>
      <x:c r="P1448" s="15" t="n">
        <x:f>IF(E1448=0,"해당 없음",H1448/E1448)</x:f>
        <x:v>0.0392156862745098</x:v>
      </x:c>
      <x:c r="Q1448" s="15" t="n">
        <x:f>IF(E1448=0,"해당 없음",I1448/E1448)</x:f>
        <x:v>0.0784313725490196</x:v>
      </x:c>
      <x:c r="R1448" s="15" t="n">
        <x:f>IF(E1448=0,"해당 없음",J1448/E1448)</x:f>
        <x:v>0.00980392156862745</x:v>
      </x:c>
      <x:c r="S1448" s="15" t="n">
        <x:f>IF(E1448=0,"해당 없음",K1448/E1448)</x:f>
        <x:v>0.16666666666666666</x:v>
      </x:c>
      <x:c r="T1448" s="15" t="n">
        <x:f>IF(E1448=0,"해당 없음",L1448/E1448)</x:f>
        <x:v>0.30392156862745096</x:v>
      </x:c>
      <x:c r="U1448" s="15" t="n">
        <x:f>IF(E1448=0,"해당 없음",M1448/E1448)</x:f>
        <x:v>0.17647058823529413</x:v>
      </x:c>
      <x:c r="V1448" s="16" t="n">
        <x:f>E1448/5</x:f>
        <x:v>20.4</x:v>
      </x:c>
    </x:row>
    <x:row r="1449" ht="22" customHeight="1">
      <x:c r="A1449" s="2" t="n">
        <x:v>722</x:v>
      </x:c>
      <x:c r="B1449" s="2" t="str">
        <x:v>NAVY</x:v>
      </x:c>
      <x:c r="C1449" s="2" t="str">
        <x:v>80만</x:v>
      </x:c>
      <x:c r="D1449" s="2" t="str">
        <x:v>120만</x:v>
      </x:c>
      <x:c r="E1449" s="14" t="n">
        <x:f>SUM(F1449:M1449)</x:f>
        <x:v>102</x:v>
      </x:c>
      <x:c r="F1449" s="14" t="n">
        <x:v>3</x:v>
      </x:c>
      <x:c r="G1449" s="14" t="n">
        <x:v>15</x:v>
      </x:c>
      <x:c r="H1449" s="14" t="n">
        <x:v>2</x:v>
      </x:c>
      <x:c r="I1449" s="14" t="n">
        <x:v>10</x:v>
      </x:c>
      <x:c r="J1449" s="14" t="n">
        <x:v>3</x:v>
      </x:c>
      <x:c r="K1449" s="14" t="n">
        <x:v>5</x:v>
      </x:c>
      <x:c r="L1449" s="14" t="n">
        <x:v>34</x:v>
      </x:c>
      <x:c r="M1449" s="14" t="n">
        <x:v>30</x:v>
      </x:c>
      <x:c r="N1449" s="15" t="n">
        <x:f>IF(E1449=0,"해당 없음",F1449/E1449)</x:f>
        <x:v>0.029411764705882353</x:v>
      </x:c>
      <x:c r="O1449" s="15" t="n">
        <x:f>IF(E1449=0,"해당 없음",G1449/E1449)</x:f>
        <x:v>0.14705882352941177</x:v>
      </x:c>
      <x:c r="P1449" s="15" t="n">
        <x:f>IF(E1449=0,"해당 없음",H1449/E1449)</x:f>
        <x:v>0.0196078431372549</x:v>
      </x:c>
      <x:c r="Q1449" s="15" t="n">
        <x:f>IF(E1449=0,"해당 없음",I1449/E1449)</x:f>
        <x:v>0.09803921568627451</x:v>
      </x:c>
      <x:c r="R1449" s="15" t="n">
        <x:f>IF(E1449=0,"해당 없음",J1449/E1449)</x:f>
        <x:v>0.029411764705882353</x:v>
      </x:c>
      <x:c r="S1449" s="15" t="n">
        <x:f>IF(E1449=0,"해당 없음",K1449/E1449)</x:f>
        <x:v>0.049019607843137254</x:v>
      </x:c>
      <x:c r="T1449" s="15" t="n">
        <x:f>IF(E1449=0,"해당 없음",L1449/E1449)</x:f>
        <x:v>0.3333333333333333</x:v>
      </x:c>
      <x:c r="U1449" s="15" t="n">
        <x:f>IF(E1449=0,"해당 없음",M1449/E1449)</x:f>
        <x:v>0.29411764705882354</x:v>
      </x:c>
      <x:c r="V1449" s="16" t="n">
        <x:f>E1449/5</x:f>
        <x:v>20.4</x:v>
      </x:c>
    </x:row>
    <x:row r="1450" ht="22" customHeight="1">
      <x:c r="A1450" s="2" t="n">
        <x:v>723</x:v>
      </x:c>
      <x:c r="B1450" s="2" t="str">
        <x:v>RED</x:v>
      </x:c>
      <x:c r="C1450" s="2" t="str">
        <x:v>80만</x:v>
      </x:c>
      <x:c r="D1450" s="2" t="str">
        <x:v>120만</x:v>
      </x:c>
      <x:c r="E1450" s="14" t="n">
        <x:f>SUM(F1450:M1450)</x:f>
        <x:v>104</x:v>
      </x:c>
      <x:c r="F1450" s="14" t="n">
        <x:v>8</x:v>
      </x:c>
      <x:c r="G1450" s="14" t="n">
        <x:v>19</x:v>
      </x:c>
      <x:c r="H1450" s="14" t="n">
        <x:v>5</x:v>
      </x:c>
      <x:c r="I1450" s="14" t="n">
        <x:v>4</x:v>
      </x:c>
      <x:c r="J1450" s="14" t="n">
        <x:v>0</x:v>
      </x:c>
      <x:c r="K1450" s="14" t="n">
        <x:v>9</x:v>
      </x:c>
      <x:c r="L1450" s="14" t="n">
        <x:v>37</x:v>
      </x:c>
      <x:c r="M1450" s="14" t="n">
        <x:v>22</x:v>
      </x:c>
      <x:c r="N1450" s="15" t="n">
        <x:f>IF(E1450=0,"해당 없음",F1450/E1450)</x:f>
        <x:v>0.07692307692307693</x:v>
      </x:c>
      <x:c r="O1450" s="15" t="n">
        <x:f>IF(E1450=0,"해당 없음",G1450/E1450)</x:f>
        <x:v>0.18269230769230768</x:v>
      </x:c>
      <x:c r="P1450" s="15" t="n">
        <x:f>IF(E1450=0,"해당 없음",H1450/E1450)</x:f>
        <x:v>0.04807692307692308</x:v>
      </x:c>
      <x:c r="Q1450" s="15" t="n">
        <x:f>IF(E1450=0,"해당 없음",I1450/E1450)</x:f>
        <x:v>0.038461538461538464</x:v>
      </x:c>
      <x:c r="R1450" s="15" t="n">
        <x:f>IF(E1450=0,"해당 없음",J1450/E1450)</x:f>
        <x:v>0</x:v>
      </x:c>
      <x:c r="S1450" s="15" t="n">
        <x:f>IF(E1450=0,"해당 없음",K1450/E1450)</x:f>
        <x:v>0.08653846153846154</x:v>
      </x:c>
      <x:c r="T1450" s="15" t="n">
        <x:f>IF(E1450=0,"해당 없음",L1450/E1450)</x:f>
        <x:v>0.3557692307692308</x:v>
      </x:c>
      <x:c r="U1450" s="15" t="n">
        <x:f>IF(E1450=0,"해당 없음",M1450/E1450)</x:f>
        <x:v>0.21153846153846154</x:v>
      </x:c>
      <x:c r="V1450" s="16" t="n">
        <x:f>E1450/5</x:f>
        <x:v>20.8</x:v>
      </x:c>
    </x:row>
    <x:row r="1451" ht="22" customHeight="1">
      <x:c r="A1451" s="2" t="n">
        <x:v>723</x:v>
      </x:c>
      <x:c r="B1451" s="2" t="str">
        <x:v>NAVY</x:v>
      </x:c>
      <x:c r="C1451" s="2" t="str">
        <x:v>120만</x:v>
      </x:c>
      <x:c r="D1451" s="2" t="str">
        <x:v>80만</x:v>
      </x:c>
      <x:c r="E1451" s="14" t="n">
        <x:f>SUM(F1451:M1451)</x:f>
        <x:v>104</x:v>
      </x:c>
      <x:c r="F1451" s="14" t="n">
        <x:v>1</x:v>
      </x:c>
      <x:c r="G1451" s="14" t="n">
        <x:v>15</x:v>
      </x:c>
      <x:c r="H1451" s="14" t="n">
        <x:v>3</x:v>
      </x:c>
      <x:c r="I1451" s="14" t="n">
        <x:v>4</x:v>
      </x:c>
      <x:c r="J1451" s="14" t="n">
        <x:v>4</x:v>
      </x:c>
      <x:c r="K1451" s="14" t="n">
        <x:v>9</x:v>
      </x:c>
      <x:c r="L1451" s="14" t="n">
        <x:v>38</x:v>
      </x:c>
      <x:c r="M1451" s="14" t="n">
        <x:v>30</x:v>
      </x:c>
      <x:c r="N1451" s="15" t="n">
        <x:f>IF(E1451=0,"해당 없음",F1451/E1451)</x:f>
        <x:v>0.009615384615384616</x:v>
      </x:c>
      <x:c r="O1451" s="15" t="n">
        <x:f>IF(E1451=0,"해당 없음",G1451/E1451)</x:f>
        <x:v>0.14423076923076922</x:v>
      </x:c>
      <x:c r="P1451" s="15" t="n">
        <x:f>IF(E1451=0,"해당 없음",H1451/E1451)</x:f>
        <x:v>0.028846153846153848</x:v>
      </x:c>
      <x:c r="Q1451" s="15" t="n">
        <x:f>IF(E1451=0,"해당 없음",I1451/E1451)</x:f>
        <x:v>0.038461538461538464</x:v>
      </x:c>
      <x:c r="R1451" s="15" t="n">
        <x:f>IF(E1451=0,"해당 없음",J1451/E1451)</x:f>
        <x:v>0.038461538461538464</x:v>
      </x:c>
      <x:c r="S1451" s="15" t="n">
        <x:f>IF(E1451=0,"해당 없음",K1451/E1451)</x:f>
        <x:v>0.08653846153846154</x:v>
      </x:c>
      <x:c r="T1451" s="15" t="n">
        <x:f>IF(E1451=0,"해당 없음",L1451/E1451)</x:f>
        <x:v>0.36538461538461536</x:v>
      </x:c>
      <x:c r="U1451" s="15" t="n">
        <x:f>IF(E1451=0,"해당 없음",M1451/E1451)</x:f>
        <x:v>0.28846153846153844</x:v>
      </x:c>
      <x:c r="V1451" s="16" t="n">
        <x:f>E1451/5</x:f>
        <x:v>20.8</x:v>
      </x:c>
    </x:row>
    <x:row r="1452" ht="22" customHeight="1">
      <x:c r="A1452" s="2" t="n">
        <x:v>724</x:v>
      </x:c>
      <x:c r="B1452" s="2" t="str">
        <x:v>RED</x:v>
      </x:c>
      <x:c r="C1452" s="2" t="str">
        <x:v>120만</x:v>
      </x:c>
      <x:c r="D1452" s="2" t="str">
        <x:v>80만</x:v>
      </x:c>
      <x:c r="E1452" s="14" t="n">
        <x:f>SUM(F1452:M1452)</x:f>
        <x:v>101</x:v>
      </x:c>
      <x:c r="F1452" s="14" t="n">
        <x:v>1</x:v>
      </x:c>
      <x:c r="G1452" s="14" t="n">
        <x:v>16</x:v>
      </x:c>
      <x:c r="H1452" s="14" t="n">
        <x:v>5</x:v>
      </x:c>
      <x:c r="I1452" s="14" t="n">
        <x:v>8</x:v>
      </x:c>
      <x:c r="J1452" s="14" t="n">
        <x:v>3</x:v>
      </x:c>
      <x:c r="K1452" s="14" t="n">
        <x:v>13</x:v>
      </x:c>
      <x:c r="L1452" s="14" t="n">
        <x:v>34</x:v>
      </x:c>
      <x:c r="M1452" s="14" t="n">
        <x:v>21</x:v>
      </x:c>
      <x:c r="N1452" s="15" t="n">
        <x:f>IF(E1452=0,"해당 없음",F1452/E1452)</x:f>
        <x:v>0.009900990099009901</x:v>
      </x:c>
      <x:c r="O1452" s="15" t="n">
        <x:f>IF(E1452=0,"해당 없음",G1452/E1452)</x:f>
        <x:v>0.15841584158415842</x:v>
      </x:c>
      <x:c r="P1452" s="15" t="n">
        <x:f>IF(E1452=0,"해당 없음",H1452/E1452)</x:f>
        <x:v>0.04950495049504951</x:v>
      </x:c>
      <x:c r="Q1452" s="15" t="n">
        <x:f>IF(E1452=0,"해당 없음",I1452/E1452)</x:f>
        <x:v>0.07920792079207921</x:v>
      </x:c>
      <x:c r="R1452" s="15" t="n">
        <x:f>IF(E1452=0,"해당 없음",J1452/E1452)</x:f>
        <x:v>0.0297029702970297</x:v>
      </x:c>
      <x:c r="S1452" s="15" t="n">
        <x:f>IF(E1452=0,"해당 없음",K1452/E1452)</x:f>
        <x:v>0.12871287128712872</x:v>
      </x:c>
      <x:c r="T1452" s="15" t="n">
        <x:f>IF(E1452=0,"해당 없음",L1452/E1452)</x:f>
        <x:v>0.33663366336633666</x:v>
      </x:c>
      <x:c r="U1452" s="15" t="n">
        <x:f>IF(E1452=0,"해당 없음",M1452/E1452)</x:f>
        <x:v>0.2079207920792079</x:v>
      </x:c>
      <x:c r="V1452" s="16" t="n">
        <x:f>E1452/5</x:f>
        <x:v>20.2</x:v>
      </x:c>
    </x:row>
    <x:row r="1453" ht="22" customHeight="1">
      <x:c r="A1453" s="2" t="n">
        <x:v>724</x:v>
      </x:c>
      <x:c r="B1453" s="2" t="str">
        <x:v>NAVY</x:v>
      </x:c>
      <x:c r="C1453" s="2" t="str">
        <x:v>80만</x:v>
      </x:c>
      <x:c r="D1453" s="2" t="str">
        <x:v>120만</x:v>
      </x:c>
      <x:c r="E1453" s="14" t="n">
        <x:f>SUM(F1453:M1453)</x:f>
        <x:v>102</x:v>
      </x:c>
      <x:c r="F1453" s="14" t="n">
        <x:v>4</x:v>
      </x:c>
      <x:c r="G1453" s="14" t="n">
        <x:v>20</x:v>
      </x:c>
      <x:c r="H1453" s="14" t="n">
        <x:v>3</x:v>
      </x:c>
      <x:c r="I1453" s="14" t="n">
        <x:v>9</x:v>
      </x:c>
      <x:c r="J1453" s="14" t="n">
        <x:v>1</x:v>
      </x:c>
      <x:c r="K1453" s="14" t="n">
        <x:v>6</x:v>
      </x:c>
      <x:c r="L1453" s="14" t="n">
        <x:v>42</x:v>
      </x:c>
      <x:c r="M1453" s="14" t="n">
        <x:v>17</x:v>
      </x:c>
      <x:c r="N1453" s="15" t="n">
        <x:f>IF(E1453=0,"해당 없음",F1453/E1453)</x:f>
        <x:v>0.0392156862745098</x:v>
      </x:c>
      <x:c r="O1453" s="15" t="n">
        <x:f>IF(E1453=0,"해당 없음",G1453/E1453)</x:f>
        <x:v>0.19607843137254902</x:v>
      </x:c>
      <x:c r="P1453" s="15" t="n">
        <x:f>IF(E1453=0,"해당 없음",H1453/E1453)</x:f>
        <x:v>0.029411764705882353</x:v>
      </x:c>
      <x:c r="Q1453" s="15" t="n">
        <x:f>IF(E1453=0,"해당 없음",I1453/E1453)</x:f>
        <x:v>0.08823529411764706</x:v>
      </x:c>
      <x:c r="R1453" s="15" t="n">
        <x:f>IF(E1453=0,"해당 없음",J1453/E1453)</x:f>
        <x:v>0.00980392156862745</x:v>
      </x:c>
      <x:c r="S1453" s="15" t="n">
        <x:f>IF(E1453=0,"해당 없음",K1453/E1453)</x:f>
        <x:v>0.058823529411764705</x:v>
      </x:c>
      <x:c r="T1453" s="15" t="n">
        <x:f>IF(E1453=0,"해당 없음",L1453/E1453)</x:f>
        <x:v>0.4117647058823529</x:v>
      </x:c>
      <x:c r="U1453" s="15" t="n">
        <x:f>IF(E1453=0,"해당 없음",M1453/E1453)</x:f>
        <x:v>0.16666666666666666</x:v>
      </x:c>
      <x:c r="V1453" s="16" t="n">
        <x:f>E1453/5</x:f>
        <x:v>20.4</x:v>
      </x:c>
    </x:row>
    <x:row r="1454" ht="22" customHeight="1">
      <x:c r="A1454" s="2" t="n">
        <x:v>725</x:v>
      </x:c>
      <x:c r="B1454" s="2" t="str">
        <x:v>RED</x:v>
      </x:c>
      <x:c r="C1454" s="2" t="str">
        <x:v>80만</x:v>
      </x:c>
      <x:c r="D1454" s="2" t="str">
        <x:v>120만</x:v>
      </x:c>
      <x:c r="E1454" s="14" t="n">
        <x:f>SUM(F1454:M1454)</x:f>
        <x:v>102</x:v>
      </x:c>
      <x:c r="F1454" s="14" t="n">
        <x:v>7</x:v>
      </x:c>
      <x:c r="G1454" s="14" t="n">
        <x:v>19</x:v>
      </x:c>
      <x:c r="H1454" s="14" t="n">
        <x:v>7</x:v>
      </x:c>
      <x:c r="I1454" s="14" t="n">
        <x:v>7</x:v>
      </x:c>
      <x:c r="J1454" s="14" t="n">
        <x:v>4</x:v>
      </x:c>
      <x:c r="K1454" s="14" t="n">
        <x:v>11</x:v>
      </x:c>
      <x:c r="L1454" s="14" t="n">
        <x:v>32</x:v>
      </x:c>
      <x:c r="M1454" s="14" t="n">
        <x:v>15</x:v>
      </x:c>
      <x:c r="N1454" s="15" t="n">
        <x:f>IF(E1454=0,"해당 없음",F1454/E1454)</x:f>
        <x:v>0.06862745098039216</x:v>
      </x:c>
      <x:c r="O1454" s="15" t="n">
        <x:f>IF(E1454=0,"해당 없음",G1454/E1454)</x:f>
        <x:v>0.18627450980392157</x:v>
      </x:c>
      <x:c r="P1454" s="15" t="n">
        <x:f>IF(E1454=0,"해당 없음",H1454/E1454)</x:f>
        <x:v>0.06862745098039216</x:v>
      </x:c>
      <x:c r="Q1454" s="15" t="n">
        <x:f>IF(E1454=0,"해당 없음",I1454/E1454)</x:f>
        <x:v>0.06862745098039216</x:v>
      </x:c>
      <x:c r="R1454" s="15" t="n">
        <x:f>IF(E1454=0,"해당 없음",J1454/E1454)</x:f>
        <x:v>0.0392156862745098</x:v>
      </x:c>
      <x:c r="S1454" s="15" t="n">
        <x:f>IF(E1454=0,"해당 없음",K1454/E1454)</x:f>
        <x:v>0.10784313725490197</x:v>
      </x:c>
      <x:c r="T1454" s="15" t="n">
        <x:f>IF(E1454=0,"해당 없음",L1454/E1454)</x:f>
        <x:v>0.3137254901960784</x:v>
      </x:c>
      <x:c r="U1454" s="15" t="n">
        <x:f>IF(E1454=0,"해당 없음",M1454/E1454)</x:f>
        <x:v>0.14705882352941177</x:v>
      </x:c>
      <x:c r="V1454" s="16" t="n">
        <x:f>E1454/5</x:f>
        <x:v>20.4</x:v>
      </x:c>
    </x:row>
    <x:row r="1455" ht="22" customHeight="1">
      <x:c r="A1455" s="2" t="n">
        <x:v>725</x:v>
      </x:c>
      <x:c r="B1455" s="2" t="str">
        <x:v>NAVY</x:v>
      </x:c>
      <x:c r="C1455" s="2" t="str">
        <x:v>120만</x:v>
      </x:c>
      <x:c r="D1455" s="2" t="str">
        <x:v>80만</x:v>
      </x:c>
      <x:c r="E1455" s="14" t="n">
        <x:f>SUM(F1455:M1455)</x:f>
        <x:v>102</x:v>
      </x:c>
      <x:c r="F1455" s="14" t="n">
        <x:v>1</x:v>
      </x:c>
      <x:c r="G1455" s="14" t="n">
        <x:v>16</x:v>
      </x:c>
      <x:c r="H1455" s="14" t="n">
        <x:v>5</x:v>
      </x:c>
      <x:c r="I1455" s="14" t="n">
        <x:v>11</x:v>
      </x:c>
      <x:c r="J1455" s="14" t="n">
        <x:v>5</x:v>
      </x:c>
      <x:c r="K1455" s="14" t="n">
        <x:v>4</x:v>
      </x:c>
      <x:c r="L1455" s="14" t="n">
        <x:v>36</x:v>
      </x:c>
      <x:c r="M1455" s="14" t="n">
        <x:v>24</x:v>
      </x:c>
      <x:c r="N1455" s="15" t="n">
        <x:f>IF(E1455=0,"해당 없음",F1455/E1455)</x:f>
        <x:v>0.00980392156862745</x:v>
      </x:c>
      <x:c r="O1455" s="15" t="n">
        <x:f>IF(E1455=0,"해당 없음",G1455/E1455)</x:f>
        <x:v>0.1568627450980392</x:v>
      </x:c>
      <x:c r="P1455" s="15" t="n">
        <x:f>IF(E1455=0,"해당 없음",H1455/E1455)</x:f>
        <x:v>0.049019607843137254</x:v>
      </x:c>
      <x:c r="Q1455" s="15" t="n">
        <x:f>IF(E1455=0,"해당 없음",I1455/E1455)</x:f>
        <x:v>0.10784313725490197</x:v>
      </x:c>
      <x:c r="R1455" s="15" t="n">
        <x:f>IF(E1455=0,"해당 없음",J1455/E1455)</x:f>
        <x:v>0.049019607843137254</x:v>
      </x:c>
      <x:c r="S1455" s="15" t="n">
        <x:f>IF(E1455=0,"해당 없음",K1455/E1455)</x:f>
        <x:v>0.0392156862745098</x:v>
      </x:c>
      <x:c r="T1455" s="15" t="n">
        <x:f>IF(E1455=0,"해당 없음",L1455/E1455)</x:f>
        <x:v>0.35294117647058826</x:v>
      </x:c>
      <x:c r="U1455" s="15" t="n">
        <x:f>IF(E1455=0,"해당 없음",M1455/E1455)</x:f>
        <x:v>0.23529411764705882</x:v>
      </x:c>
      <x:c r="V1455" s="16" t="n">
        <x:f>E1455/5</x:f>
        <x:v>20.4</x:v>
      </x:c>
    </x:row>
    <x:row r="1456" ht="22" customHeight="1">
      <x:c r="A1456" s="2" t="n">
        <x:v>726</x:v>
      </x:c>
      <x:c r="B1456" s="2" t="str">
        <x:v>RED</x:v>
      </x:c>
      <x:c r="C1456" s="2" t="str">
        <x:v>120만</x:v>
      </x:c>
      <x:c r="D1456" s="2" t="str">
        <x:v>80만</x:v>
      </x:c>
      <x:c r="E1456" s="14" t="n">
        <x:f>SUM(F1456:M1456)</x:f>
        <x:v>102</x:v>
      </x:c>
      <x:c r="F1456" s="14" t="n">
        <x:v>2</x:v>
      </x:c>
      <x:c r="G1456" s="14" t="n">
        <x:v>9</x:v>
      </x:c>
      <x:c r="H1456" s="14" t="n">
        <x:v>2</x:v>
      </x:c>
      <x:c r="I1456" s="14" t="n">
        <x:v>12</x:v>
      </x:c>
      <x:c r="J1456" s="14" t="n">
        <x:v>3</x:v>
      </x:c>
      <x:c r="K1456" s="14" t="n">
        <x:v>4</x:v>
      </x:c>
      <x:c r="L1456" s="14" t="n">
        <x:v>46</x:v>
      </x:c>
      <x:c r="M1456" s="14" t="n">
        <x:v>24</x:v>
      </x:c>
      <x:c r="N1456" s="15" t="n">
        <x:f>IF(E1456=0,"해당 없음",F1456/E1456)</x:f>
        <x:v>0.0196078431372549</x:v>
      </x:c>
      <x:c r="O1456" s="15" t="n">
        <x:f>IF(E1456=0,"해당 없음",G1456/E1456)</x:f>
        <x:v>0.08823529411764706</x:v>
      </x:c>
      <x:c r="P1456" s="15" t="n">
        <x:f>IF(E1456=0,"해당 없음",H1456/E1456)</x:f>
        <x:v>0.0196078431372549</x:v>
      </x:c>
      <x:c r="Q1456" s="15" t="n">
        <x:f>IF(E1456=0,"해당 없음",I1456/E1456)</x:f>
        <x:v>0.11764705882352941</x:v>
      </x:c>
      <x:c r="R1456" s="15" t="n">
        <x:f>IF(E1456=0,"해당 없음",J1456/E1456)</x:f>
        <x:v>0.029411764705882353</x:v>
      </x:c>
      <x:c r="S1456" s="15" t="n">
        <x:f>IF(E1456=0,"해당 없음",K1456/E1456)</x:f>
        <x:v>0.0392156862745098</x:v>
      </x:c>
      <x:c r="T1456" s="15" t="n">
        <x:f>IF(E1456=0,"해당 없음",L1456/E1456)</x:f>
        <x:v>0.45098039215686275</x:v>
      </x:c>
      <x:c r="U1456" s="15" t="n">
        <x:f>IF(E1456=0,"해당 없음",M1456/E1456)</x:f>
        <x:v>0.23529411764705882</x:v>
      </x:c>
      <x:c r="V1456" s="16" t="n">
        <x:f>E1456/5</x:f>
        <x:v>20.4</x:v>
      </x:c>
    </x:row>
    <x:row r="1457" ht="22" customHeight="1">
      <x:c r="A1457" s="2" t="n">
        <x:v>726</x:v>
      </x:c>
      <x:c r="B1457" s="2" t="str">
        <x:v>NAVY</x:v>
      </x:c>
      <x:c r="C1457" s="2" t="str">
        <x:v>80만</x:v>
      </x:c>
      <x:c r="D1457" s="2" t="str">
        <x:v>120만</x:v>
      </x:c>
      <x:c r="E1457" s="14" t="n">
        <x:f>SUM(F1457:M1457)</x:f>
        <x:v>105</x:v>
      </x:c>
      <x:c r="F1457" s="14" t="n">
        <x:v>6</x:v>
      </x:c>
      <x:c r="G1457" s="14" t="n">
        <x:v>25</x:v>
      </x:c>
      <x:c r="H1457" s="14" t="n">
        <x:v>10</x:v>
      </x:c>
      <x:c r="I1457" s="14" t="n">
        <x:v>5</x:v>
      </x:c>
      <x:c r="J1457" s="14" t="n">
        <x:v>3</x:v>
      </x:c>
      <x:c r="K1457" s="14" t="n">
        <x:v>6</x:v>
      </x:c>
      <x:c r="L1457" s="14" t="n">
        <x:v>41</x:v>
      </x:c>
      <x:c r="M1457" s="14" t="n">
        <x:v>9</x:v>
      </x:c>
      <x:c r="N1457" s="15" t="n">
        <x:f>IF(E1457=0,"해당 없음",F1457/E1457)</x:f>
        <x:v>0.05714285714285714</x:v>
      </x:c>
      <x:c r="O1457" s="15" t="n">
        <x:f>IF(E1457=0,"해당 없음",G1457/E1457)</x:f>
        <x:v>0.23809523809523808</x:v>
      </x:c>
      <x:c r="P1457" s="15" t="n">
        <x:f>IF(E1457=0,"해당 없음",H1457/E1457)</x:f>
        <x:v>0.09523809523809523</x:v>
      </x:c>
      <x:c r="Q1457" s="15" t="n">
        <x:f>IF(E1457=0,"해당 없음",I1457/E1457)</x:f>
        <x:v>0.047619047619047616</x:v>
      </x:c>
      <x:c r="R1457" s="15" t="n">
        <x:f>IF(E1457=0,"해당 없음",J1457/E1457)</x:f>
        <x:v>0.02857142857142857</x:v>
      </x:c>
      <x:c r="S1457" s="15" t="n">
        <x:f>IF(E1457=0,"해당 없음",K1457/E1457)</x:f>
        <x:v>0.05714285714285714</x:v>
      </x:c>
      <x:c r="T1457" s="15" t="n">
        <x:f>IF(E1457=0,"해당 없음",L1457/E1457)</x:f>
        <x:v>0.3904761904761905</x:v>
      </x:c>
      <x:c r="U1457" s="15" t="n">
        <x:f>IF(E1457=0,"해당 없음",M1457/E1457)</x:f>
        <x:v>0.08571428571428572</x:v>
      </x:c>
      <x:c r="V1457" s="16" t="n">
        <x:f>E1457/5</x:f>
        <x:v>21</x:v>
      </x:c>
    </x:row>
    <x:row r="1458" ht="22" customHeight="1">
      <x:c r="A1458" s="2" t="n">
        <x:v>727</x:v>
      </x:c>
      <x:c r="B1458" s="2" t="str">
        <x:v>RED</x:v>
      </x:c>
      <x:c r="C1458" s="2" t="str">
        <x:v>80만</x:v>
      </x:c>
      <x:c r="D1458" s="2" t="str">
        <x:v>120만</x:v>
      </x:c>
      <x:c r="E1458" s="14" t="n">
        <x:f>SUM(F1458:M1458)</x:f>
        <x:v>102</x:v>
      </x:c>
      <x:c r="F1458" s="14" t="n">
        <x:v>1</x:v>
      </x:c>
      <x:c r="G1458" s="14" t="n">
        <x:v>16</x:v>
      </x:c>
      <x:c r="H1458" s="14" t="n">
        <x:v>8</x:v>
      </x:c>
      <x:c r="I1458" s="14" t="n">
        <x:v>7</x:v>
      </x:c>
      <x:c r="J1458" s="14" t="n">
        <x:v>1</x:v>
      </x:c>
      <x:c r="K1458" s="14" t="n">
        <x:v>11</x:v>
      </x:c>
      <x:c r="L1458" s="14" t="n">
        <x:v>35</x:v>
      </x:c>
      <x:c r="M1458" s="14" t="n">
        <x:v>23</x:v>
      </x:c>
      <x:c r="N1458" s="15" t="n">
        <x:f>IF(E1458=0,"해당 없음",F1458/E1458)</x:f>
        <x:v>0.00980392156862745</x:v>
      </x:c>
      <x:c r="O1458" s="15" t="n">
        <x:f>IF(E1458=0,"해당 없음",G1458/E1458)</x:f>
        <x:v>0.1568627450980392</x:v>
      </x:c>
      <x:c r="P1458" s="15" t="n">
        <x:f>IF(E1458=0,"해당 없음",H1458/E1458)</x:f>
        <x:v>0.0784313725490196</x:v>
      </x:c>
      <x:c r="Q1458" s="15" t="n">
        <x:f>IF(E1458=0,"해당 없음",I1458/E1458)</x:f>
        <x:v>0.06862745098039216</x:v>
      </x:c>
      <x:c r="R1458" s="15" t="n">
        <x:f>IF(E1458=0,"해당 없음",J1458/E1458)</x:f>
        <x:v>0.00980392156862745</x:v>
      </x:c>
      <x:c r="S1458" s="15" t="n">
        <x:f>IF(E1458=0,"해당 없음",K1458/E1458)</x:f>
        <x:v>0.10784313725490197</x:v>
      </x:c>
      <x:c r="T1458" s="15" t="n">
        <x:f>IF(E1458=0,"해당 없음",L1458/E1458)</x:f>
        <x:v>0.3431372549019608</x:v>
      </x:c>
      <x:c r="U1458" s="15" t="n">
        <x:f>IF(E1458=0,"해당 없음",M1458/E1458)</x:f>
        <x:v>0.22549019607843138</x:v>
      </x:c>
      <x:c r="V1458" s="16" t="n">
        <x:f>E1458/5</x:f>
        <x:v>20.4</x:v>
      </x:c>
    </x:row>
    <x:row r="1459" ht="22" customHeight="1">
      <x:c r="A1459" s="2" t="n">
        <x:v>727</x:v>
      </x:c>
      <x:c r="B1459" s="2" t="str">
        <x:v>NAVY</x:v>
      </x:c>
      <x:c r="C1459" s="2" t="str">
        <x:v>120만</x:v>
      </x:c>
      <x:c r="D1459" s="2" t="str">
        <x:v>80만</x:v>
      </x:c>
      <x:c r="E1459" s="14" t="n">
        <x:f>SUM(F1459:M1459)</x:f>
        <x:v>103</x:v>
      </x:c>
      <x:c r="F1459" s="14" t="n">
        <x:v>5</x:v>
      </x:c>
      <x:c r="G1459" s="14" t="n">
        <x:v>16</x:v>
      </x:c>
      <x:c r="H1459" s="14" t="n">
        <x:v>5</x:v>
      </x:c>
      <x:c r="I1459" s="14" t="n">
        <x:v>10</x:v>
      </x:c>
      <x:c r="J1459" s="14" t="n">
        <x:v>6</x:v>
      </x:c>
      <x:c r="K1459" s="14" t="n">
        <x:v>8</x:v>
      </x:c>
      <x:c r="L1459" s="14" t="n">
        <x:v>38</x:v>
      </x:c>
      <x:c r="M1459" s="14" t="n">
        <x:v>15</x:v>
      </x:c>
      <x:c r="N1459" s="15" t="n">
        <x:f>IF(E1459=0,"해당 없음",F1459/E1459)</x:f>
        <x:v>0.04854368932038835</x:v>
      </x:c>
      <x:c r="O1459" s="15" t="n">
        <x:f>IF(E1459=0,"해당 없음",G1459/E1459)</x:f>
        <x:v>0.1553398058252427</x:v>
      </x:c>
      <x:c r="P1459" s="15" t="n">
        <x:f>IF(E1459=0,"해당 없음",H1459/E1459)</x:f>
        <x:v>0.04854368932038835</x:v>
      </x:c>
      <x:c r="Q1459" s="15" t="n">
        <x:f>IF(E1459=0,"해당 없음",I1459/E1459)</x:f>
        <x:v>0.0970873786407767</x:v>
      </x:c>
      <x:c r="R1459" s="15" t="n">
        <x:f>IF(E1459=0,"해당 없음",J1459/E1459)</x:f>
        <x:v>0.05825242718446602</x:v>
      </x:c>
      <x:c r="S1459" s="15" t="n">
        <x:f>IF(E1459=0,"해당 없음",K1459/E1459)</x:f>
        <x:v>0.07766990291262135</x:v>
      </x:c>
      <x:c r="T1459" s="15" t="n">
        <x:f>IF(E1459=0,"해당 없음",L1459/E1459)</x:f>
        <x:v>0.36893203883495146</x:v>
      </x:c>
      <x:c r="U1459" s="15" t="n">
        <x:f>IF(E1459=0,"해당 없음",M1459/E1459)</x:f>
        <x:v>0.14563106796116504</x:v>
      </x:c>
      <x:c r="V1459" s="16" t="n">
        <x:f>E1459/5</x:f>
        <x:v>20.6</x:v>
      </x:c>
    </x:row>
    <x:row r="1460" ht="22" customHeight="1">
      <x:c r="A1460" s="2" t="n">
        <x:v>728</x:v>
      </x:c>
      <x:c r="B1460" s="2" t="str">
        <x:v>RED</x:v>
      </x:c>
      <x:c r="C1460" s="2" t="str">
        <x:v>120만</x:v>
      </x:c>
      <x:c r="D1460" s="2" t="str">
        <x:v>80만</x:v>
      </x:c>
      <x:c r="E1460" s="14" t="n">
        <x:f>SUM(F1460:M1460)</x:f>
        <x:v>101</x:v>
      </x:c>
      <x:c r="F1460" s="14" t="n">
        <x:v>2</x:v>
      </x:c>
      <x:c r="G1460" s="14" t="n">
        <x:v>17</x:v>
      </x:c>
      <x:c r="H1460" s="14" t="n">
        <x:v>2</x:v>
      </x:c>
      <x:c r="I1460" s="14" t="n">
        <x:v>8</x:v>
      </x:c>
      <x:c r="J1460" s="14" t="n">
        <x:v>4</x:v>
      </x:c>
      <x:c r="K1460" s="14" t="n">
        <x:v>9</x:v>
      </x:c>
      <x:c r="L1460" s="14" t="n">
        <x:v>34</x:v>
      </x:c>
      <x:c r="M1460" s="14" t="n">
        <x:v>25</x:v>
      </x:c>
      <x:c r="N1460" s="15" t="n">
        <x:f>IF(E1460=0,"해당 없음",F1460/E1460)</x:f>
        <x:v>0.019801980198019802</x:v>
      </x:c>
      <x:c r="O1460" s="15" t="n">
        <x:f>IF(E1460=0,"해당 없음",G1460/E1460)</x:f>
        <x:v>0.16831683168316833</x:v>
      </x:c>
      <x:c r="P1460" s="15" t="n">
        <x:f>IF(E1460=0,"해당 없음",H1460/E1460)</x:f>
        <x:v>0.019801980198019802</x:v>
      </x:c>
      <x:c r="Q1460" s="15" t="n">
        <x:f>IF(E1460=0,"해당 없음",I1460/E1460)</x:f>
        <x:v>0.07920792079207921</x:v>
      </x:c>
      <x:c r="R1460" s="15" t="n">
        <x:f>IF(E1460=0,"해당 없음",J1460/E1460)</x:f>
        <x:v>0.039603960396039604</x:v>
      </x:c>
      <x:c r="S1460" s="15" t="n">
        <x:f>IF(E1460=0,"해당 없음",K1460/E1460)</x:f>
        <x:v>0.0891089108910891</x:v>
      </x:c>
      <x:c r="T1460" s="15" t="n">
        <x:f>IF(E1460=0,"해당 없음",L1460/E1460)</x:f>
        <x:v>0.33663366336633666</x:v>
      </x:c>
      <x:c r="U1460" s="15" t="n">
        <x:f>IF(E1460=0,"해당 없음",M1460/E1460)</x:f>
        <x:v>0.24752475247524752</x:v>
      </x:c>
      <x:c r="V1460" s="16" t="n">
        <x:f>E1460/5</x:f>
        <x:v>20.2</x:v>
      </x:c>
    </x:row>
    <x:row r="1461" ht="22" customHeight="1">
      <x:c r="A1461" s="2" t="n">
        <x:v>728</x:v>
      </x:c>
      <x:c r="B1461" s="2" t="str">
        <x:v>NAVY</x:v>
      </x:c>
      <x:c r="C1461" s="2" t="str">
        <x:v>80만</x:v>
      </x:c>
      <x:c r="D1461" s="2" t="str">
        <x:v>120만</x:v>
      </x:c>
      <x:c r="E1461" s="14" t="n">
        <x:f>SUM(F1461:M1461)</x:f>
        <x:v>101</x:v>
      </x:c>
      <x:c r="F1461" s="14" t="n">
        <x:v>4</x:v>
      </x:c>
      <x:c r="G1461" s="14" t="n">
        <x:v>20</x:v>
      </x:c>
      <x:c r="H1461" s="14" t="n">
        <x:v>6</x:v>
      </x:c>
      <x:c r="I1461" s="14" t="n">
        <x:v>5</x:v>
      </x:c>
      <x:c r="J1461" s="14" t="n">
        <x:v>0</x:v>
      </x:c>
      <x:c r="K1461" s="14" t="n">
        <x:v>11</x:v>
      </x:c>
      <x:c r="L1461" s="14" t="n">
        <x:v>37</x:v>
      </x:c>
      <x:c r="M1461" s="14" t="n">
        <x:v>18</x:v>
      </x:c>
      <x:c r="N1461" s="15" t="n">
        <x:f>IF(E1461=0,"해당 없음",F1461/E1461)</x:f>
        <x:v>0.039603960396039604</x:v>
      </x:c>
      <x:c r="O1461" s="15" t="n">
        <x:f>IF(E1461=0,"해당 없음",G1461/E1461)</x:f>
        <x:v>0.19801980198019803</x:v>
      </x:c>
      <x:c r="P1461" s="15" t="n">
        <x:f>IF(E1461=0,"해당 없음",H1461/E1461)</x:f>
        <x:v>0.0594059405940594</x:v>
      </x:c>
      <x:c r="Q1461" s="15" t="n">
        <x:f>IF(E1461=0,"해당 없음",I1461/E1461)</x:f>
        <x:v>0.04950495049504951</x:v>
      </x:c>
      <x:c r="R1461" s="15" t="n">
        <x:f>IF(E1461=0,"해당 없음",J1461/E1461)</x:f>
        <x:v>0</x:v>
      </x:c>
      <x:c r="S1461" s="15" t="n">
        <x:f>IF(E1461=0,"해당 없음",K1461/E1461)</x:f>
        <x:v>0.10891089108910891</x:v>
      </x:c>
      <x:c r="T1461" s="15" t="n">
        <x:f>IF(E1461=0,"해당 없음",L1461/E1461)</x:f>
        <x:v>0.36633663366336633</x:v>
      </x:c>
      <x:c r="U1461" s="15" t="n">
        <x:f>IF(E1461=0,"해당 없음",M1461/E1461)</x:f>
        <x:v>0.1782178217821782</x:v>
      </x:c>
      <x:c r="V1461" s="16" t="n">
        <x:f>E1461/5</x:f>
        <x:v>20.2</x:v>
      </x:c>
    </x:row>
    <x:row r="1462" ht="22" customHeight="1">
      <x:c r="A1462" s="2" t="n">
        <x:v>729</x:v>
      </x:c>
      <x:c r="B1462" s="2" t="str">
        <x:v>RED</x:v>
      </x:c>
      <x:c r="C1462" s="2" t="str">
        <x:v>80만</x:v>
      </x:c>
      <x:c r="D1462" s="2" t="str">
        <x:v>120만</x:v>
      </x:c>
      <x:c r="E1462" s="14" t="n">
        <x:f>SUM(F1462:M1462)</x:f>
        <x:v>105</x:v>
      </x:c>
      <x:c r="F1462" s="14" t="n">
        <x:v>5</x:v>
      </x:c>
      <x:c r="G1462" s="14" t="n">
        <x:v>19</x:v>
      </x:c>
      <x:c r="H1462" s="14" t="n">
        <x:v>5</x:v>
      </x:c>
      <x:c r="I1462" s="14" t="n">
        <x:v>10</x:v>
      </x:c>
      <x:c r="J1462" s="14" t="n">
        <x:v>1</x:v>
      </x:c>
      <x:c r="K1462" s="14" t="n">
        <x:v>6</x:v>
      </x:c>
      <x:c r="L1462" s="14" t="n">
        <x:v>40</x:v>
      </x:c>
      <x:c r="M1462" s="14" t="n">
        <x:v>19</x:v>
      </x:c>
      <x:c r="N1462" s="15" t="n">
        <x:f>IF(E1462=0,"해당 없음",F1462/E1462)</x:f>
        <x:v>0.047619047619047616</x:v>
      </x:c>
      <x:c r="O1462" s="15" t="n">
        <x:f>IF(E1462=0,"해당 없음",G1462/E1462)</x:f>
        <x:v>0.18095238095238095</x:v>
      </x:c>
      <x:c r="P1462" s="15" t="n">
        <x:f>IF(E1462=0,"해당 없음",H1462/E1462)</x:f>
        <x:v>0.047619047619047616</x:v>
      </x:c>
      <x:c r="Q1462" s="15" t="n">
        <x:f>IF(E1462=0,"해당 없음",I1462/E1462)</x:f>
        <x:v>0.09523809523809523</x:v>
      </x:c>
      <x:c r="R1462" s="15" t="n">
        <x:f>IF(E1462=0,"해당 없음",J1462/E1462)</x:f>
        <x:v>0.009523809523809525</x:v>
      </x:c>
      <x:c r="S1462" s="15" t="n">
        <x:f>IF(E1462=0,"해당 없음",K1462/E1462)</x:f>
        <x:v>0.05714285714285714</x:v>
      </x:c>
      <x:c r="T1462" s="15" t="n">
        <x:f>IF(E1462=0,"해당 없음",L1462/E1462)</x:f>
        <x:v>0.38095238095238093</x:v>
      </x:c>
      <x:c r="U1462" s="15" t="n">
        <x:f>IF(E1462=0,"해당 없음",M1462/E1462)</x:f>
        <x:v>0.18095238095238095</x:v>
      </x:c>
      <x:c r="V1462" s="16" t="n">
        <x:f>E1462/5</x:f>
        <x:v>21</x:v>
      </x:c>
    </x:row>
    <x:row r="1463" ht="22" customHeight="1">
      <x:c r="A1463" s="2" t="n">
        <x:v>729</x:v>
      </x:c>
      <x:c r="B1463" s="2" t="str">
        <x:v>NAVY</x:v>
      </x:c>
      <x:c r="C1463" s="2" t="str">
        <x:v>120만</x:v>
      </x:c>
      <x:c r="D1463" s="2" t="str">
        <x:v>80만</x:v>
      </x:c>
      <x:c r="E1463" s="14" t="n">
        <x:f>SUM(F1463:M1463)</x:f>
        <x:v>104</x:v>
      </x:c>
      <x:c r="F1463" s="14" t="n">
        <x:v>2</x:v>
      </x:c>
      <x:c r="G1463" s="14" t="n">
        <x:v>10</x:v>
      </x:c>
      <x:c r="H1463" s="14" t="n">
        <x:v>6</x:v>
      </x:c>
      <x:c r="I1463" s="14" t="n">
        <x:v>12</x:v>
      </x:c>
      <x:c r="J1463" s="14" t="n">
        <x:v>6</x:v>
      </x:c>
      <x:c r="K1463" s="14" t="n">
        <x:v>9</x:v>
      </x:c>
      <x:c r="L1463" s="14" t="n">
        <x:v>41</x:v>
      </x:c>
      <x:c r="M1463" s="14" t="n">
        <x:v>18</x:v>
      </x:c>
      <x:c r="N1463" s="15" t="n">
        <x:f>IF(E1463=0,"해당 없음",F1463/E1463)</x:f>
        <x:v>0.019230769230769232</x:v>
      </x:c>
      <x:c r="O1463" s="15" t="n">
        <x:f>IF(E1463=0,"해당 없음",G1463/E1463)</x:f>
        <x:v>0.09615384615384616</x:v>
      </x:c>
      <x:c r="P1463" s="15" t="n">
        <x:f>IF(E1463=0,"해당 없음",H1463/E1463)</x:f>
        <x:v>0.057692307692307696</x:v>
      </x:c>
      <x:c r="Q1463" s="15" t="n">
        <x:f>IF(E1463=0,"해당 없음",I1463/E1463)</x:f>
        <x:v>0.11538461538461539</x:v>
      </x:c>
      <x:c r="R1463" s="15" t="n">
        <x:f>IF(E1463=0,"해당 없음",J1463/E1463)</x:f>
        <x:v>0.057692307692307696</x:v>
      </x:c>
      <x:c r="S1463" s="15" t="n">
        <x:f>IF(E1463=0,"해당 없음",K1463/E1463)</x:f>
        <x:v>0.08653846153846154</x:v>
      </x:c>
      <x:c r="T1463" s="15" t="n">
        <x:f>IF(E1463=0,"해당 없음",L1463/E1463)</x:f>
        <x:v>0.3942307692307692</x:v>
      </x:c>
      <x:c r="U1463" s="15" t="n">
        <x:f>IF(E1463=0,"해당 없음",M1463/E1463)</x:f>
        <x:v>0.17307692307692307</x:v>
      </x:c>
      <x:c r="V1463" s="16" t="n">
        <x:f>E1463/5</x:f>
        <x:v>20.8</x:v>
      </x:c>
    </x:row>
    <x:row r="1464" ht="22" customHeight="1">
      <x:c r="A1464" s="2" t="n">
        <x:v>730</x:v>
      </x:c>
      <x:c r="B1464" s="2" t="str">
        <x:v>RED</x:v>
      </x:c>
      <x:c r="C1464" s="2" t="str">
        <x:v>120만</x:v>
      </x:c>
      <x:c r="D1464" s="2" t="str">
        <x:v>80만</x:v>
      </x:c>
      <x:c r="E1464" s="14" t="n">
        <x:f>SUM(F1464:M1464)</x:f>
        <x:v>103</x:v>
      </x:c>
      <x:c r="F1464" s="14" t="n">
        <x:v>1</x:v>
      </x:c>
      <x:c r="G1464" s="14" t="n">
        <x:v>5</x:v>
      </x:c>
      <x:c r="H1464" s="14" t="n">
        <x:v>6</x:v>
      </x:c>
      <x:c r="I1464" s="14" t="n">
        <x:v>9</x:v>
      </x:c>
      <x:c r="J1464" s="14" t="n">
        <x:v>4</x:v>
      </x:c>
      <x:c r="K1464" s="14" t="n">
        <x:v>2</x:v>
      </x:c>
      <x:c r="L1464" s="14" t="n">
        <x:v>41</x:v>
      </x:c>
      <x:c r="M1464" s="14" t="n">
        <x:v>35</x:v>
      </x:c>
      <x:c r="N1464" s="15" t="n">
        <x:f>IF(E1464=0,"해당 없음",F1464/E1464)</x:f>
        <x:v>0.009708737864077669</x:v>
      </x:c>
      <x:c r="O1464" s="15" t="n">
        <x:f>IF(E1464=0,"해당 없음",G1464/E1464)</x:f>
        <x:v>0.04854368932038835</x:v>
      </x:c>
      <x:c r="P1464" s="15" t="n">
        <x:f>IF(E1464=0,"해당 없음",H1464/E1464)</x:f>
        <x:v>0.05825242718446602</x:v>
      </x:c>
      <x:c r="Q1464" s="15" t="n">
        <x:f>IF(E1464=0,"해당 없음",I1464/E1464)</x:f>
        <x:v>0.08737864077669903</x:v>
      </x:c>
      <x:c r="R1464" s="15" t="n">
        <x:f>IF(E1464=0,"해당 없음",J1464/E1464)</x:f>
        <x:v>0.038834951456310676</x:v>
      </x:c>
      <x:c r="S1464" s="15" t="n">
        <x:f>IF(E1464=0,"해당 없음",K1464/E1464)</x:f>
        <x:v>0.019417475728155338</x:v>
      </x:c>
      <x:c r="T1464" s="15" t="n">
        <x:f>IF(E1464=0,"해당 없음",L1464/E1464)</x:f>
        <x:v>0.39805825242718446</x:v>
      </x:c>
      <x:c r="U1464" s="15" t="n">
        <x:f>IF(E1464=0,"해당 없음",M1464/E1464)</x:f>
        <x:v>0.33980582524271846</x:v>
      </x:c>
      <x:c r="V1464" s="16" t="n">
        <x:f>E1464/5</x:f>
        <x:v>20.6</x:v>
      </x:c>
    </x:row>
    <x:row r="1465" ht="22" customHeight="1">
      <x:c r="A1465" s="2" t="n">
        <x:v>730</x:v>
      </x:c>
      <x:c r="B1465" s="2" t="str">
        <x:v>NAVY</x:v>
      </x:c>
      <x:c r="C1465" s="2" t="str">
        <x:v>80만</x:v>
      </x:c>
      <x:c r="D1465" s="2" t="str">
        <x:v>120만</x:v>
      </x:c>
      <x:c r="E1465" s="14" t="n">
        <x:f>SUM(F1465:M1465)</x:f>
        <x:v>102</x:v>
      </x:c>
      <x:c r="F1465" s="14" t="n">
        <x:v>4</x:v>
      </x:c>
      <x:c r="G1465" s="14" t="n">
        <x:v>20</x:v>
      </x:c>
      <x:c r="H1465" s="14" t="n">
        <x:v>10</x:v>
      </x:c>
      <x:c r="I1465" s="14" t="n">
        <x:v>5</x:v>
      </x:c>
      <x:c r="J1465" s="14" t="n">
        <x:v>0</x:v>
      </x:c>
      <x:c r="K1465" s="14" t="n">
        <x:v>7</x:v>
      </x:c>
      <x:c r="L1465" s="14" t="n">
        <x:v>38</x:v>
      </x:c>
      <x:c r="M1465" s="14" t="n">
        <x:v>18</x:v>
      </x:c>
      <x:c r="N1465" s="15" t="n">
        <x:f>IF(E1465=0,"해당 없음",F1465/E1465)</x:f>
        <x:v>0.0392156862745098</x:v>
      </x:c>
      <x:c r="O1465" s="15" t="n">
        <x:f>IF(E1465=0,"해당 없음",G1465/E1465)</x:f>
        <x:v>0.19607843137254902</x:v>
      </x:c>
      <x:c r="P1465" s="15" t="n">
        <x:f>IF(E1465=0,"해당 없음",H1465/E1465)</x:f>
        <x:v>0.09803921568627451</x:v>
      </x:c>
      <x:c r="Q1465" s="15" t="n">
        <x:f>IF(E1465=0,"해당 없음",I1465/E1465)</x:f>
        <x:v>0.049019607843137254</x:v>
      </x:c>
      <x:c r="R1465" s="15" t="n">
        <x:f>IF(E1465=0,"해당 없음",J1465/E1465)</x:f>
        <x:v>0</x:v>
      </x:c>
      <x:c r="S1465" s="15" t="n">
        <x:f>IF(E1465=0,"해당 없음",K1465/E1465)</x:f>
        <x:v>0.06862745098039216</x:v>
      </x:c>
      <x:c r="T1465" s="15" t="n">
        <x:f>IF(E1465=0,"해당 없음",L1465/E1465)</x:f>
        <x:v>0.37254901960784315</x:v>
      </x:c>
      <x:c r="U1465" s="15" t="n">
        <x:f>IF(E1465=0,"해당 없음",M1465/E1465)</x:f>
        <x:v>0.17647058823529413</x:v>
      </x:c>
      <x:c r="V1465" s="16" t="n">
        <x:f>E1465/5</x:f>
        <x:v>20.4</x:v>
      </x:c>
    </x:row>
    <x:row r="1466" ht="22" customHeight="1">
      <x:c r="A1466" s="2" t="n">
        <x:v>731</x:v>
      </x:c>
      <x:c r="B1466" s="2" t="str">
        <x:v>RED</x:v>
      </x:c>
      <x:c r="C1466" s="2" t="str">
        <x:v>80만</x:v>
      </x:c>
      <x:c r="D1466" s="2" t="str">
        <x:v>120만</x:v>
      </x:c>
      <x:c r="E1466" s="14" t="n">
        <x:f>SUM(F1466:M1466)</x:f>
        <x:v>102</x:v>
      </x:c>
      <x:c r="F1466" s="14" t="n">
        <x:v>2</x:v>
      </x:c>
      <x:c r="G1466" s="14" t="n">
        <x:v>22</x:v>
      </x:c>
      <x:c r="H1466" s="14" t="n">
        <x:v>6</x:v>
      </x:c>
      <x:c r="I1466" s="14" t="n">
        <x:v>6</x:v>
      </x:c>
      <x:c r="J1466" s="14" t="n">
        <x:v>5</x:v>
      </x:c>
      <x:c r="K1466" s="14" t="n">
        <x:v>12</x:v>
      </x:c>
      <x:c r="L1466" s="14" t="n">
        <x:v>32</x:v>
      </x:c>
      <x:c r="M1466" s="14" t="n">
        <x:v>17</x:v>
      </x:c>
      <x:c r="N1466" s="15" t="n">
        <x:f>IF(E1466=0,"해당 없음",F1466/E1466)</x:f>
        <x:v>0.0196078431372549</x:v>
      </x:c>
      <x:c r="O1466" s="15" t="n">
        <x:f>IF(E1466=0,"해당 없음",G1466/E1466)</x:f>
        <x:v>0.21568627450980393</x:v>
      </x:c>
      <x:c r="P1466" s="15" t="n">
        <x:f>IF(E1466=0,"해당 없음",H1466/E1466)</x:f>
        <x:v>0.058823529411764705</x:v>
      </x:c>
      <x:c r="Q1466" s="15" t="n">
        <x:f>IF(E1466=0,"해당 없음",I1466/E1466)</x:f>
        <x:v>0.058823529411764705</x:v>
      </x:c>
      <x:c r="R1466" s="15" t="n">
        <x:f>IF(E1466=0,"해당 없음",J1466/E1466)</x:f>
        <x:v>0.049019607843137254</x:v>
      </x:c>
      <x:c r="S1466" s="15" t="n">
        <x:f>IF(E1466=0,"해당 없음",K1466/E1466)</x:f>
        <x:v>0.11764705882352941</x:v>
      </x:c>
      <x:c r="T1466" s="15" t="n">
        <x:f>IF(E1466=0,"해당 없음",L1466/E1466)</x:f>
        <x:v>0.3137254901960784</x:v>
      </x:c>
      <x:c r="U1466" s="15" t="n">
        <x:f>IF(E1466=0,"해당 없음",M1466/E1466)</x:f>
        <x:v>0.16666666666666666</x:v>
      </x:c>
      <x:c r="V1466" s="16" t="n">
        <x:f>E1466/5</x:f>
        <x:v>20.4</x:v>
      </x:c>
    </x:row>
    <x:row r="1467" ht="22" customHeight="1">
      <x:c r="A1467" s="2" t="n">
        <x:v>731</x:v>
      </x:c>
      <x:c r="B1467" s="2" t="str">
        <x:v>NAVY</x:v>
      </x:c>
      <x:c r="C1467" s="2" t="str">
        <x:v>120만</x:v>
      </x:c>
      <x:c r="D1467" s="2" t="str">
        <x:v>80만</x:v>
      </x:c>
      <x:c r="E1467" s="14" t="n">
        <x:f>SUM(F1467:M1467)</x:f>
        <x:v>103</x:v>
      </x:c>
      <x:c r="F1467" s="14" t="n">
        <x:v>1</x:v>
      </x:c>
      <x:c r="G1467" s="14" t="n">
        <x:v>14</x:v>
      </x:c>
      <x:c r="H1467" s="14" t="n">
        <x:v>9</x:v>
      </x:c>
      <x:c r="I1467" s="14" t="n">
        <x:v>4</x:v>
      </x:c>
      <x:c r="J1467" s="14" t="n">
        <x:v>8</x:v>
      </x:c>
      <x:c r="K1467" s="14" t="n">
        <x:v>13</x:v>
      </x:c>
      <x:c r="L1467" s="14" t="n">
        <x:v>37</x:v>
      </x:c>
      <x:c r="M1467" s="14" t="n">
        <x:v>17</x:v>
      </x:c>
      <x:c r="N1467" s="15" t="n">
        <x:f>IF(E1467=0,"해당 없음",F1467/E1467)</x:f>
        <x:v>0.009708737864077669</x:v>
      </x:c>
      <x:c r="O1467" s="15" t="n">
        <x:f>IF(E1467=0,"해당 없음",G1467/E1467)</x:f>
        <x:v>0.13592233009708737</x:v>
      </x:c>
      <x:c r="P1467" s="15" t="n">
        <x:f>IF(E1467=0,"해당 없음",H1467/E1467)</x:f>
        <x:v>0.08737864077669903</x:v>
      </x:c>
      <x:c r="Q1467" s="15" t="n">
        <x:f>IF(E1467=0,"해당 없음",I1467/E1467)</x:f>
        <x:v>0.038834951456310676</x:v>
      </x:c>
      <x:c r="R1467" s="15" t="n">
        <x:f>IF(E1467=0,"해당 없음",J1467/E1467)</x:f>
        <x:v>0.07766990291262135</x:v>
      </x:c>
      <x:c r="S1467" s="15" t="n">
        <x:f>IF(E1467=0,"해당 없음",K1467/E1467)</x:f>
        <x:v>0.1262135922330097</x:v>
      </x:c>
      <x:c r="T1467" s="15" t="n">
        <x:f>IF(E1467=0,"해당 없음",L1467/E1467)</x:f>
        <x:v>0.3592233009708738</x:v>
      </x:c>
      <x:c r="U1467" s="15" t="n">
        <x:f>IF(E1467=0,"해당 없음",M1467/E1467)</x:f>
        <x:v>0.1650485436893204</x:v>
      </x:c>
      <x:c r="V1467" s="16" t="n">
        <x:f>E1467/5</x:f>
        <x:v>20.6</x:v>
      </x:c>
    </x:row>
    <x:row r="1468" ht="22" customHeight="1">
      <x:c r="A1468" s="2" t="n">
        <x:v>732</x:v>
      </x:c>
      <x:c r="B1468" s="2" t="str">
        <x:v>RED</x:v>
      </x:c>
      <x:c r="C1468" s="2" t="str">
        <x:v>120만</x:v>
      </x:c>
      <x:c r="D1468" s="2" t="str">
        <x:v>80만</x:v>
      </x:c>
      <x:c r="E1468" s="14" t="n">
        <x:f>SUM(F1468:M1468)</x:f>
        <x:v>102</x:v>
      </x:c>
      <x:c r="F1468" s="14" t="n">
        <x:v>3</x:v>
      </x:c>
      <x:c r="G1468" s="14" t="n">
        <x:v>21</x:v>
      </x:c>
      <x:c r="H1468" s="14" t="n">
        <x:v>3</x:v>
      </x:c>
      <x:c r="I1468" s="14" t="n">
        <x:v>7</x:v>
      </x:c>
      <x:c r="J1468" s="14" t="n">
        <x:v>0</x:v>
      </x:c>
      <x:c r="K1468" s="14" t="n">
        <x:v>6</x:v>
      </x:c>
      <x:c r="L1468" s="14" t="n">
        <x:v>42</x:v>
      </x:c>
      <x:c r="M1468" s="14" t="n">
        <x:v>20</x:v>
      </x:c>
      <x:c r="N1468" s="15" t="n">
        <x:f>IF(E1468=0,"해당 없음",F1468/E1468)</x:f>
        <x:v>0.029411764705882353</x:v>
      </x:c>
      <x:c r="O1468" s="15" t="n">
        <x:f>IF(E1468=0,"해당 없음",G1468/E1468)</x:f>
        <x:v>0.20588235294117646</x:v>
      </x:c>
      <x:c r="P1468" s="15" t="n">
        <x:f>IF(E1468=0,"해당 없음",H1468/E1468)</x:f>
        <x:v>0.029411764705882353</x:v>
      </x:c>
      <x:c r="Q1468" s="15" t="n">
        <x:f>IF(E1468=0,"해당 없음",I1468/E1468)</x:f>
        <x:v>0.06862745098039216</x:v>
      </x:c>
      <x:c r="R1468" s="15" t="n">
        <x:f>IF(E1468=0,"해당 없음",J1468/E1468)</x:f>
        <x:v>0</x:v>
      </x:c>
      <x:c r="S1468" s="15" t="n">
        <x:f>IF(E1468=0,"해당 없음",K1468/E1468)</x:f>
        <x:v>0.058823529411764705</x:v>
      </x:c>
      <x:c r="T1468" s="15" t="n">
        <x:f>IF(E1468=0,"해당 없음",L1468/E1468)</x:f>
        <x:v>0.4117647058823529</x:v>
      </x:c>
      <x:c r="U1468" s="15" t="n">
        <x:f>IF(E1468=0,"해당 없음",M1468/E1468)</x:f>
        <x:v>0.19607843137254902</x:v>
      </x:c>
      <x:c r="V1468" s="16" t="n">
        <x:f>E1468/5</x:f>
        <x:v>20.4</x:v>
      </x:c>
    </x:row>
    <x:row r="1469" ht="22" customHeight="1">
      <x:c r="A1469" s="2" t="n">
        <x:v>732</x:v>
      </x:c>
      <x:c r="B1469" s="2" t="str">
        <x:v>NAVY</x:v>
      </x:c>
      <x:c r="C1469" s="2" t="str">
        <x:v>80만</x:v>
      </x:c>
      <x:c r="D1469" s="2" t="str">
        <x:v>120만</x:v>
      </x:c>
      <x:c r="E1469" s="14" t="n">
        <x:f>SUM(F1469:M1469)</x:f>
        <x:v>105</x:v>
      </x:c>
      <x:c r="F1469" s="14" t="n">
        <x:v>7</x:v>
      </x:c>
      <x:c r="G1469" s="14" t="n">
        <x:v>16</x:v>
      </x:c>
      <x:c r="H1469" s="14" t="n">
        <x:v>6</x:v>
      </x:c>
      <x:c r="I1469" s="14" t="n">
        <x:v>6</x:v>
      </x:c>
      <x:c r="J1469" s="14" t="n">
        <x:v>2</x:v>
      </x:c>
      <x:c r="K1469" s="14" t="n">
        <x:v>11</x:v>
      </x:c>
      <x:c r="L1469" s="14" t="n">
        <x:v>36</x:v>
      </x:c>
      <x:c r="M1469" s="14" t="n">
        <x:v>21</x:v>
      </x:c>
      <x:c r="N1469" s="15" t="n">
        <x:f>IF(E1469=0,"해당 없음",F1469/E1469)</x:f>
        <x:v>0.06666666666666667</x:v>
      </x:c>
      <x:c r="O1469" s="15" t="n">
        <x:f>IF(E1469=0,"해당 없음",G1469/E1469)</x:f>
        <x:v>0.1523809523809524</x:v>
      </x:c>
      <x:c r="P1469" s="15" t="n">
        <x:f>IF(E1469=0,"해당 없음",H1469/E1469)</x:f>
        <x:v>0.05714285714285714</x:v>
      </x:c>
      <x:c r="Q1469" s="15" t="n">
        <x:f>IF(E1469=0,"해당 없음",I1469/E1469)</x:f>
        <x:v>0.05714285714285714</x:v>
      </x:c>
      <x:c r="R1469" s="15" t="n">
        <x:f>IF(E1469=0,"해당 없음",J1469/E1469)</x:f>
        <x:v>0.01904761904761905</x:v>
      </x:c>
      <x:c r="S1469" s="15" t="n">
        <x:f>IF(E1469=0,"해당 없음",K1469/E1469)</x:f>
        <x:v>0.10476190476190476</x:v>
      </x:c>
      <x:c r="T1469" s="15" t="n">
        <x:f>IF(E1469=0,"해당 없음",L1469/E1469)</x:f>
        <x:v>0.34285714285714286</x:v>
      </x:c>
      <x:c r="U1469" s="15" t="n">
        <x:f>IF(E1469=0,"해당 없음",M1469/E1469)</x:f>
        <x:v>0.2</x:v>
      </x:c>
      <x:c r="V1469" s="16" t="n">
        <x:f>E1469/5</x:f>
        <x:v>21</x:v>
      </x:c>
    </x:row>
    <x:row r="1470" ht="22" customHeight="1">
      <x:c r="A1470" s="2" t="n">
        <x:v>733</x:v>
      </x:c>
      <x:c r="B1470" s="2" t="str">
        <x:v>RED</x:v>
      </x:c>
      <x:c r="C1470" s="2" t="str">
        <x:v>80만</x:v>
      </x:c>
      <x:c r="D1470" s="2" t="str">
        <x:v>120만</x:v>
      </x:c>
      <x:c r="E1470" s="14" t="n">
        <x:f>SUM(F1470:M1470)</x:f>
        <x:v>102</x:v>
      </x:c>
      <x:c r="F1470" s="14" t="n">
        <x:v>6</x:v>
      </x:c>
      <x:c r="G1470" s="14" t="n">
        <x:v>17</x:v>
      </x:c>
      <x:c r="H1470" s="14" t="n">
        <x:v>6</x:v>
      </x:c>
      <x:c r="I1470" s="14" t="n">
        <x:v>8</x:v>
      </x:c>
      <x:c r="J1470" s="14" t="n">
        <x:v>3</x:v>
      </x:c>
      <x:c r="K1470" s="14" t="n">
        <x:v>8</x:v>
      </x:c>
      <x:c r="L1470" s="14" t="n">
        <x:v>33</x:v>
      </x:c>
      <x:c r="M1470" s="14" t="n">
        <x:v>21</x:v>
      </x:c>
      <x:c r="N1470" s="15" t="n">
        <x:f>IF(E1470=0,"해당 없음",F1470/E1470)</x:f>
        <x:v>0.058823529411764705</x:v>
      </x:c>
      <x:c r="O1470" s="15" t="n">
        <x:f>IF(E1470=0,"해당 없음",G1470/E1470)</x:f>
        <x:v>0.16666666666666666</x:v>
      </x:c>
      <x:c r="P1470" s="15" t="n">
        <x:f>IF(E1470=0,"해당 없음",H1470/E1470)</x:f>
        <x:v>0.058823529411764705</x:v>
      </x:c>
      <x:c r="Q1470" s="15" t="n">
        <x:f>IF(E1470=0,"해당 없음",I1470/E1470)</x:f>
        <x:v>0.0784313725490196</x:v>
      </x:c>
      <x:c r="R1470" s="15" t="n">
        <x:f>IF(E1470=0,"해당 없음",J1470/E1470)</x:f>
        <x:v>0.029411764705882353</x:v>
      </x:c>
      <x:c r="S1470" s="15" t="n">
        <x:f>IF(E1470=0,"해당 없음",K1470/E1470)</x:f>
        <x:v>0.0784313725490196</x:v>
      </x:c>
      <x:c r="T1470" s="15" t="n">
        <x:f>IF(E1470=0,"해당 없음",L1470/E1470)</x:f>
        <x:v>0.3235294117647059</x:v>
      </x:c>
      <x:c r="U1470" s="15" t="n">
        <x:f>IF(E1470=0,"해당 없음",M1470/E1470)</x:f>
        <x:v>0.20588235294117646</x:v>
      </x:c>
      <x:c r="V1470" s="16" t="n">
        <x:f>E1470/5</x:f>
        <x:v>20.4</x:v>
      </x:c>
    </x:row>
    <x:row r="1471" ht="22" customHeight="1">
      <x:c r="A1471" s="2" t="n">
        <x:v>733</x:v>
      </x:c>
      <x:c r="B1471" s="2" t="str">
        <x:v>NAVY</x:v>
      </x:c>
      <x:c r="C1471" s="2" t="str">
        <x:v>120만</x:v>
      </x:c>
      <x:c r="D1471" s="2" t="str">
        <x:v>80만</x:v>
      </x:c>
      <x:c r="E1471" s="14" t="n">
        <x:f>SUM(F1471:M1471)</x:f>
        <x:v>103</x:v>
      </x:c>
      <x:c r="F1471" s="14" t="n">
        <x:v>2</x:v>
      </x:c>
      <x:c r="G1471" s="14" t="n">
        <x:v>13</x:v>
      </x:c>
      <x:c r="H1471" s="14" t="n">
        <x:v>5</x:v>
      </x:c>
      <x:c r="I1471" s="14" t="n">
        <x:v>5</x:v>
      </x:c>
      <x:c r="J1471" s="14" t="n">
        <x:v>7</x:v>
      </x:c>
      <x:c r="K1471" s="14" t="n">
        <x:v>16</x:v>
      </x:c>
      <x:c r="L1471" s="14" t="n">
        <x:v>35</x:v>
      </x:c>
      <x:c r="M1471" s="14" t="n">
        <x:v>20</x:v>
      </x:c>
      <x:c r="N1471" s="15" t="n">
        <x:f>IF(E1471=0,"해당 없음",F1471/E1471)</x:f>
        <x:v>0.019417475728155338</x:v>
      </x:c>
      <x:c r="O1471" s="15" t="n">
        <x:f>IF(E1471=0,"해당 없음",G1471/E1471)</x:f>
        <x:v>0.1262135922330097</x:v>
      </x:c>
      <x:c r="P1471" s="15" t="n">
        <x:f>IF(E1471=0,"해당 없음",H1471/E1471)</x:f>
        <x:v>0.04854368932038835</x:v>
      </x:c>
      <x:c r="Q1471" s="15" t="n">
        <x:f>IF(E1471=0,"해당 없음",I1471/E1471)</x:f>
        <x:v>0.04854368932038835</x:v>
      </x:c>
      <x:c r="R1471" s="15" t="n">
        <x:f>IF(E1471=0,"해당 없음",J1471/E1471)</x:f>
        <x:v>0.06796116504854369</x:v>
      </x:c>
      <x:c r="S1471" s="15" t="n">
        <x:f>IF(E1471=0,"해당 없음",K1471/E1471)</x:f>
        <x:v>0.1553398058252427</x:v>
      </x:c>
      <x:c r="T1471" s="15" t="n">
        <x:f>IF(E1471=0,"해당 없음",L1471/E1471)</x:f>
        <x:v>0.33980582524271846</x:v>
      </x:c>
      <x:c r="U1471" s="15" t="n">
        <x:f>IF(E1471=0,"해당 없음",M1471/E1471)</x:f>
        <x:v>0.1941747572815534</x:v>
      </x:c>
      <x:c r="V1471" s="16" t="n">
        <x:f>E1471/5</x:f>
        <x:v>20.6</x:v>
      </x:c>
    </x:row>
    <x:row r="1472" ht="22" customHeight="1">
      <x:c r="A1472" s="2" t="n">
        <x:v>734</x:v>
      </x:c>
      <x:c r="B1472" s="2" t="str">
        <x:v>RED</x:v>
      </x:c>
      <x:c r="C1472" s="2" t="str">
        <x:v>120만</x:v>
      </x:c>
      <x:c r="D1472" s="2" t="str">
        <x:v>80만</x:v>
      </x:c>
      <x:c r="E1472" s="14" t="n">
        <x:f>SUM(F1472:M1472)</x:f>
        <x:v>102</x:v>
      </x:c>
      <x:c r="F1472" s="14" t="n">
        <x:v>1</x:v>
      </x:c>
      <x:c r="G1472" s="14" t="n">
        <x:v>14</x:v>
      </x:c>
      <x:c r="H1472" s="14" t="n">
        <x:v>4</x:v>
      </x:c>
      <x:c r="I1472" s="14" t="n">
        <x:v>12</x:v>
      </x:c>
      <x:c r="J1472" s="14" t="n">
        <x:v>1</x:v>
      </x:c>
      <x:c r="K1472" s="14" t="n">
        <x:v>9</x:v>
      </x:c>
      <x:c r="L1472" s="14" t="n">
        <x:v>36</x:v>
      </x:c>
      <x:c r="M1472" s="14" t="n">
        <x:v>25</x:v>
      </x:c>
      <x:c r="N1472" s="15" t="n">
        <x:f>IF(E1472=0,"해당 없음",F1472/E1472)</x:f>
        <x:v>0.00980392156862745</x:v>
      </x:c>
      <x:c r="O1472" s="15" t="n">
        <x:f>IF(E1472=0,"해당 없음",G1472/E1472)</x:f>
        <x:v>0.13725490196078433</x:v>
      </x:c>
      <x:c r="P1472" s="15" t="n">
        <x:f>IF(E1472=0,"해당 없음",H1472/E1472)</x:f>
        <x:v>0.0392156862745098</x:v>
      </x:c>
      <x:c r="Q1472" s="15" t="n">
        <x:f>IF(E1472=0,"해당 없음",I1472/E1472)</x:f>
        <x:v>0.11764705882352941</x:v>
      </x:c>
      <x:c r="R1472" s="15" t="n">
        <x:f>IF(E1472=0,"해당 없음",J1472/E1472)</x:f>
        <x:v>0.00980392156862745</x:v>
      </x:c>
      <x:c r="S1472" s="15" t="n">
        <x:f>IF(E1472=0,"해당 없음",K1472/E1472)</x:f>
        <x:v>0.08823529411764706</x:v>
      </x:c>
      <x:c r="T1472" s="15" t="n">
        <x:f>IF(E1472=0,"해당 없음",L1472/E1472)</x:f>
        <x:v>0.35294117647058826</x:v>
      </x:c>
      <x:c r="U1472" s="15" t="n">
        <x:f>IF(E1472=0,"해당 없음",M1472/E1472)</x:f>
        <x:v>0.24509803921568626</x:v>
      </x:c>
      <x:c r="V1472" s="16" t="n">
        <x:f>E1472/5</x:f>
        <x:v>20.4</x:v>
      </x:c>
    </x:row>
    <x:row r="1473" ht="22" customHeight="1">
      <x:c r="A1473" s="2" t="n">
        <x:v>734</x:v>
      </x:c>
      <x:c r="B1473" s="2" t="str">
        <x:v>NAVY</x:v>
      </x:c>
      <x:c r="C1473" s="2" t="str">
        <x:v>80만</x:v>
      </x:c>
      <x:c r="D1473" s="2" t="str">
        <x:v>120만</x:v>
      </x:c>
      <x:c r="E1473" s="14" t="n">
        <x:f>SUM(F1473:M1473)</x:f>
        <x:v>102</x:v>
      </x:c>
      <x:c r="F1473" s="14" t="n">
        <x:v>5</x:v>
      </x:c>
      <x:c r="G1473" s="14" t="n">
        <x:v>25</x:v>
      </x:c>
      <x:c r="H1473" s="14" t="n">
        <x:v>7</x:v>
      </x:c>
      <x:c r="I1473" s="14" t="n">
        <x:v>5</x:v>
      </x:c>
      <x:c r="J1473" s="14" t="n">
        <x:v>2</x:v>
      </x:c>
      <x:c r="K1473" s="14" t="n">
        <x:v>15</x:v>
      </x:c>
      <x:c r="L1473" s="14" t="n">
        <x:v>29</x:v>
      </x:c>
      <x:c r="M1473" s="14" t="n">
        <x:v>14</x:v>
      </x:c>
      <x:c r="N1473" s="15" t="n">
        <x:f>IF(E1473=0,"해당 없음",F1473/E1473)</x:f>
        <x:v>0.049019607843137254</x:v>
      </x:c>
      <x:c r="O1473" s="15" t="n">
        <x:f>IF(E1473=0,"해당 없음",G1473/E1473)</x:f>
        <x:v>0.24509803921568626</x:v>
      </x:c>
      <x:c r="P1473" s="15" t="n">
        <x:f>IF(E1473=0,"해당 없음",H1473/E1473)</x:f>
        <x:v>0.06862745098039216</x:v>
      </x:c>
      <x:c r="Q1473" s="15" t="n">
        <x:f>IF(E1473=0,"해당 없음",I1473/E1473)</x:f>
        <x:v>0.049019607843137254</x:v>
      </x:c>
      <x:c r="R1473" s="15" t="n">
        <x:f>IF(E1473=0,"해당 없음",J1473/E1473)</x:f>
        <x:v>0.0196078431372549</x:v>
      </x:c>
      <x:c r="S1473" s="15" t="n">
        <x:f>IF(E1473=0,"해당 없음",K1473/E1473)</x:f>
        <x:v>0.14705882352941177</x:v>
      </x:c>
      <x:c r="T1473" s="15" t="n">
        <x:f>IF(E1473=0,"해당 없음",L1473/E1473)</x:f>
        <x:v>0.28431372549019607</x:v>
      </x:c>
      <x:c r="U1473" s="15" t="n">
        <x:f>IF(E1473=0,"해당 없음",M1473/E1473)</x:f>
        <x:v>0.13725490196078433</x:v>
      </x:c>
      <x:c r="V1473" s="16" t="n">
        <x:f>E1473/5</x:f>
        <x:v>20.4</x:v>
      </x:c>
    </x:row>
    <x:row r="1474" ht="22" customHeight="1">
      <x:c r="A1474" s="2" t="n">
        <x:v>735</x:v>
      </x:c>
      <x:c r="B1474" s="2" t="str">
        <x:v>RED</x:v>
      </x:c>
      <x:c r="C1474" s="2" t="str">
        <x:v>80만</x:v>
      </x:c>
      <x:c r="D1474" s="2" t="str">
        <x:v>120만</x:v>
      </x:c>
      <x:c r="E1474" s="14" t="n">
        <x:f>SUM(F1474:M1474)</x:f>
        <x:v>103</x:v>
      </x:c>
      <x:c r="F1474" s="14" t="n">
        <x:v>4</x:v>
      </x:c>
      <x:c r="G1474" s="14" t="n">
        <x:v>18</x:v>
      </x:c>
      <x:c r="H1474" s="14" t="n">
        <x:v>6</x:v>
      </x:c>
      <x:c r="I1474" s="14" t="n">
        <x:v>6</x:v>
      </x:c>
      <x:c r="J1474" s="14" t="n">
        <x:v>4</x:v>
      </x:c>
      <x:c r="K1474" s="14" t="n">
        <x:v>10</x:v>
      </x:c>
      <x:c r="L1474" s="14" t="n">
        <x:v>40</x:v>
      </x:c>
      <x:c r="M1474" s="14" t="n">
        <x:v>15</x:v>
      </x:c>
      <x:c r="N1474" s="15" t="n">
        <x:f>IF(E1474=0,"해당 없음",F1474/E1474)</x:f>
        <x:v>0.038834951456310676</x:v>
      </x:c>
      <x:c r="O1474" s="15" t="n">
        <x:f>IF(E1474=0,"해당 없음",G1474/E1474)</x:f>
        <x:v>0.17475728155339806</x:v>
      </x:c>
      <x:c r="P1474" s="15" t="n">
        <x:f>IF(E1474=0,"해당 없음",H1474/E1474)</x:f>
        <x:v>0.05825242718446602</x:v>
      </x:c>
      <x:c r="Q1474" s="15" t="n">
        <x:f>IF(E1474=0,"해당 없음",I1474/E1474)</x:f>
        <x:v>0.05825242718446602</x:v>
      </x:c>
      <x:c r="R1474" s="15" t="n">
        <x:f>IF(E1474=0,"해당 없음",J1474/E1474)</x:f>
        <x:v>0.038834951456310676</x:v>
      </x:c>
      <x:c r="S1474" s="15" t="n">
        <x:f>IF(E1474=0,"해당 없음",K1474/E1474)</x:f>
        <x:v>0.0970873786407767</x:v>
      </x:c>
      <x:c r="T1474" s="15" t="n">
        <x:f>IF(E1474=0,"해당 없음",L1474/E1474)</x:f>
        <x:v>0.3883495145631068</x:v>
      </x:c>
      <x:c r="U1474" s="15" t="n">
        <x:f>IF(E1474=0,"해당 없음",M1474/E1474)</x:f>
        <x:v>0.14563106796116504</x:v>
      </x:c>
      <x:c r="V1474" s="16" t="n">
        <x:f>E1474/5</x:f>
        <x:v>20.6</x:v>
      </x:c>
    </x:row>
    <x:row r="1475" ht="22" customHeight="1">
      <x:c r="A1475" s="2" t="n">
        <x:v>735</x:v>
      </x:c>
      <x:c r="B1475" s="2" t="str">
        <x:v>NAVY</x:v>
      </x:c>
      <x:c r="C1475" s="2" t="str">
        <x:v>120만</x:v>
      </x:c>
      <x:c r="D1475" s="2" t="str">
        <x:v>80만</x:v>
      </x:c>
      <x:c r="E1475" s="14" t="n">
        <x:f>SUM(F1475:M1475)</x:f>
        <x:v>103</x:v>
      </x:c>
      <x:c r="F1475" s="14" t="n">
        <x:v>3</x:v>
      </x:c>
      <x:c r="G1475" s="14" t="n">
        <x:v>10</x:v>
      </x:c>
      <x:c r="H1475" s="14" t="n">
        <x:v>8</x:v>
      </x:c>
      <x:c r="I1475" s="14" t="n">
        <x:v>6</x:v>
      </x:c>
      <x:c r="J1475" s="14" t="n">
        <x:v>2</x:v>
      </x:c>
      <x:c r="K1475" s="14" t="n">
        <x:v>8</x:v>
      </x:c>
      <x:c r="L1475" s="14" t="n">
        <x:v>34</x:v>
      </x:c>
      <x:c r="M1475" s="14" t="n">
        <x:v>32</x:v>
      </x:c>
      <x:c r="N1475" s="15" t="n">
        <x:f>IF(E1475=0,"해당 없음",F1475/E1475)</x:f>
        <x:v>0.02912621359223301</x:v>
      </x:c>
      <x:c r="O1475" s="15" t="n">
        <x:f>IF(E1475=0,"해당 없음",G1475/E1475)</x:f>
        <x:v>0.0970873786407767</x:v>
      </x:c>
      <x:c r="P1475" s="15" t="n">
        <x:f>IF(E1475=0,"해당 없음",H1475/E1475)</x:f>
        <x:v>0.07766990291262135</x:v>
      </x:c>
      <x:c r="Q1475" s="15" t="n">
        <x:f>IF(E1475=0,"해당 없음",I1475/E1475)</x:f>
        <x:v>0.05825242718446602</x:v>
      </x:c>
      <x:c r="R1475" s="15" t="n">
        <x:f>IF(E1475=0,"해당 없음",J1475/E1475)</x:f>
        <x:v>0.019417475728155338</x:v>
      </x:c>
      <x:c r="S1475" s="15" t="n">
        <x:f>IF(E1475=0,"해당 없음",K1475/E1475)</x:f>
        <x:v>0.07766990291262135</x:v>
      </x:c>
      <x:c r="T1475" s="15" t="n">
        <x:f>IF(E1475=0,"해당 없음",L1475/E1475)</x:f>
        <x:v>0.3300970873786408</x:v>
      </x:c>
      <x:c r="U1475" s="15" t="n">
        <x:f>IF(E1475=0,"해당 없음",M1475/E1475)</x:f>
        <x:v>0.3106796116504854</x:v>
      </x:c>
      <x:c r="V1475" s="16" t="n">
        <x:f>E1475/5</x:f>
        <x:v>20.6</x:v>
      </x:c>
    </x:row>
    <x:row r="1476" ht="22" customHeight="1">
      <x:c r="A1476" s="2" t="n">
        <x:v>736</x:v>
      </x:c>
      <x:c r="B1476" s="2" t="str">
        <x:v>RED</x:v>
      </x:c>
      <x:c r="C1476" s="2" t="str">
        <x:v>120만</x:v>
      </x:c>
      <x:c r="D1476" s="2" t="str">
        <x:v>80만</x:v>
      </x:c>
      <x:c r="E1476" s="14" t="n">
        <x:f>SUM(F1476:M1476)</x:f>
        <x:v>104</x:v>
      </x:c>
      <x:c r="F1476" s="14" t="n">
        <x:v>2</x:v>
      </x:c>
      <x:c r="G1476" s="14" t="n">
        <x:v>11</x:v>
      </x:c>
      <x:c r="H1476" s="14" t="n">
        <x:v>6</x:v>
      </x:c>
      <x:c r="I1476" s="14" t="n">
        <x:v>7</x:v>
      </x:c>
      <x:c r="J1476" s="14" t="n">
        <x:v>1</x:v>
      </x:c>
      <x:c r="K1476" s="14" t="n">
        <x:v>9</x:v>
      </x:c>
      <x:c r="L1476" s="14" t="n">
        <x:v>36</x:v>
      </x:c>
      <x:c r="M1476" s="14" t="n">
        <x:v>32</x:v>
      </x:c>
      <x:c r="N1476" s="15" t="n">
        <x:f>IF(E1476=0,"해당 없음",F1476/E1476)</x:f>
        <x:v>0.019230769230769232</x:v>
      </x:c>
      <x:c r="O1476" s="15" t="n">
        <x:f>IF(E1476=0,"해당 없음",G1476/E1476)</x:f>
        <x:v>0.10576923076923077</x:v>
      </x:c>
      <x:c r="P1476" s="15" t="n">
        <x:f>IF(E1476=0,"해당 없음",H1476/E1476)</x:f>
        <x:v>0.057692307692307696</x:v>
      </x:c>
      <x:c r="Q1476" s="15" t="n">
        <x:f>IF(E1476=0,"해당 없음",I1476/E1476)</x:f>
        <x:v>0.0673076923076923</x:v>
      </x:c>
      <x:c r="R1476" s="15" t="n">
        <x:f>IF(E1476=0,"해당 없음",J1476/E1476)</x:f>
        <x:v>0.009615384615384616</x:v>
      </x:c>
      <x:c r="S1476" s="15" t="n">
        <x:f>IF(E1476=0,"해당 없음",K1476/E1476)</x:f>
        <x:v>0.08653846153846154</x:v>
      </x:c>
      <x:c r="T1476" s="15" t="n">
        <x:f>IF(E1476=0,"해당 없음",L1476/E1476)</x:f>
        <x:v>0.34615384615384615</x:v>
      </x:c>
      <x:c r="U1476" s="15" t="n">
        <x:f>IF(E1476=0,"해당 없음",M1476/E1476)</x:f>
        <x:v>0.3076923076923077</x:v>
      </x:c>
      <x:c r="V1476" s="16" t="n">
        <x:f>E1476/5</x:f>
        <x:v>20.8</x:v>
      </x:c>
    </x:row>
    <x:row r="1477" ht="22" customHeight="1">
      <x:c r="A1477" s="2" t="n">
        <x:v>736</x:v>
      </x:c>
      <x:c r="B1477" s="2" t="str">
        <x:v>NAVY</x:v>
      </x:c>
      <x:c r="C1477" s="2" t="str">
        <x:v>80만</x:v>
      </x:c>
      <x:c r="D1477" s="2" t="str">
        <x:v>120만</x:v>
      </x:c>
      <x:c r="E1477" s="14" t="n">
        <x:f>SUM(F1477:M1477)</x:f>
        <x:v>102</x:v>
      </x:c>
      <x:c r="F1477" s="14" t="n">
        <x:v>5</x:v>
      </x:c>
      <x:c r="G1477" s="14" t="n">
        <x:v>11</x:v>
      </x:c>
      <x:c r="H1477" s="14" t="n">
        <x:v>9</x:v>
      </x:c>
      <x:c r="I1477" s="14" t="n">
        <x:v>9</x:v>
      </x:c>
      <x:c r="J1477" s="14" t="n">
        <x:v>2</x:v>
      </x:c>
      <x:c r="K1477" s="14" t="n">
        <x:v>10</x:v>
      </x:c>
      <x:c r="L1477" s="14" t="n">
        <x:v>36</x:v>
      </x:c>
      <x:c r="M1477" s="14" t="n">
        <x:v>20</x:v>
      </x:c>
      <x:c r="N1477" s="15" t="n">
        <x:f>IF(E1477=0,"해당 없음",F1477/E1477)</x:f>
        <x:v>0.049019607843137254</x:v>
      </x:c>
      <x:c r="O1477" s="15" t="n">
        <x:f>IF(E1477=0,"해당 없음",G1477/E1477)</x:f>
        <x:v>0.10784313725490197</x:v>
      </x:c>
      <x:c r="P1477" s="15" t="n">
        <x:f>IF(E1477=0,"해당 없음",H1477/E1477)</x:f>
        <x:v>0.08823529411764706</x:v>
      </x:c>
      <x:c r="Q1477" s="15" t="n">
        <x:f>IF(E1477=0,"해당 없음",I1477/E1477)</x:f>
        <x:v>0.08823529411764706</x:v>
      </x:c>
      <x:c r="R1477" s="15" t="n">
        <x:f>IF(E1477=0,"해당 없음",J1477/E1477)</x:f>
        <x:v>0.0196078431372549</x:v>
      </x:c>
      <x:c r="S1477" s="15" t="n">
        <x:f>IF(E1477=0,"해당 없음",K1477/E1477)</x:f>
        <x:v>0.09803921568627451</x:v>
      </x:c>
      <x:c r="T1477" s="15" t="n">
        <x:f>IF(E1477=0,"해당 없음",L1477/E1477)</x:f>
        <x:v>0.35294117647058826</x:v>
      </x:c>
      <x:c r="U1477" s="15" t="n">
        <x:f>IF(E1477=0,"해당 없음",M1477/E1477)</x:f>
        <x:v>0.19607843137254902</x:v>
      </x:c>
      <x:c r="V1477" s="16" t="n">
        <x:f>E1477/5</x:f>
        <x:v>20.4</x:v>
      </x:c>
    </x:row>
    <x:row r="1478" ht="22" customHeight="1">
      <x:c r="A1478" s="2" t="n">
        <x:v>737</x:v>
      </x:c>
      <x:c r="B1478" s="2" t="str">
        <x:v>RED</x:v>
      </x:c>
      <x:c r="C1478" s="2" t="str">
        <x:v>80만</x:v>
      </x:c>
      <x:c r="D1478" s="2" t="str">
        <x:v>120만</x:v>
      </x:c>
      <x:c r="E1478" s="14" t="n">
        <x:f>SUM(F1478:M1478)</x:f>
        <x:v>102</x:v>
      </x:c>
      <x:c r="F1478" s="14" t="n">
        <x:v>6</x:v>
      </x:c>
      <x:c r="G1478" s="14" t="n">
        <x:v>19</x:v>
      </x:c>
      <x:c r="H1478" s="14" t="n">
        <x:v>5</x:v>
      </x:c>
      <x:c r="I1478" s="14" t="n">
        <x:v>6</x:v>
      </x:c>
      <x:c r="J1478" s="14" t="n">
        <x:v>1</x:v>
      </x:c>
      <x:c r="K1478" s="14" t="n">
        <x:v>10</x:v>
      </x:c>
      <x:c r="L1478" s="14" t="n">
        <x:v>35</x:v>
      </x:c>
      <x:c r="M1478" s="14" t="n">
        <x:v>20</x:v>
      </x:c>
      <x:c r="N1478" s="15" t="n">
        <x:f>IF(E1478=0,"해당 없음",F1478/E1478)</x:f>
        <x:v>0.058823529411764705</x:v>
      </x:c>
      <x:c r="O1478" s="15" t="n">
        <x:f>IF(E1478=0,"해당 없음",G1478/E1478)</x:f>
        <x:v>0.18627450980392157</x:v>
      </x:c>
      <x:c r="P1478" s="15" t="n">
        <x:f>IF(E1478=0,"해당 없음",H1478/E1478)</x:f>
        <x:v>0.049019607843137254</x:v>
      </x:c>
      <x:c r="Q1478" s="15" t="n">
        <x:f>IF(E1478=0,"해당 없음",I1478/E1478)</x:f>
        <x:v>0.058823529411764705</x:v>
      </x:c>
      <x:c r="R1478" s="15" t="n">
        <x:f>IF(E1478=0,"해당 없음",J1478/E1478)</x:f>
        <x:v>0.00980392156862745</x:v>
      </x:c>
      <x:c r="S1478" s="15" t="n">
        <x:f>IF(E1478=0,"해당 없음",K1478/E1478)</x:f>
        <x:v>0.09803921568627451</x:v>
      </x:c>
      <x:c r="T1478" s="15" t="n">
        <x:f>IF(E1478=0,"해당 없음",L1478/E1478)</x:f>
        <x:v>0.3431372549019608</x:v>
      </x:c>
      <x:c r="U1478" s="15" t="n">
        <x:f>IF(E1478=0,"해당 없음",M1478/E1478)</x:f>
        <x:v>0.19607843137254902</x:v>
      </x:c>
      <x:c r="V1478" s="16" t="n">
        <x:f>E1478/5</x:f>
        <x:v>20.4</x:v>
      </x:c>
    </x:row>
    <x:row r="1479" ht="22" customHeight="1">
      <x:c r="A1479" s="2" t="n">
        <x:v>737</x:v>
      </x:c>
      <x:c r="B1479" s="2" t="str">
        <x:v>NAVY</x:v>
      </x:c>
      <x:c r="C1479" s="2" t="str">
        <x:v>120만</x:v>
      </x:c>
      <x:c r="D1479" s="2" t="str">
        <x:v>80만</x:v>
      </x:c>
      <x:c r="E1479" s="14" t="n">
        <x:f>SUM(F1479:M1479)</x:f>
        <x:v>102</x:v>
      </x:c>
      <x:c r="F1479" s="14" t="n">
        <x:v>3</x:v>
      </x:c>
      <x:c r="G1479" s="14" t="n">
        <x:v>15</x:v>
      </x:c>
      <x:c r="H1479" s="14" t="n">
        <x:v>6</x:v>
      </x:c>
      <x:c r="I1479" s="14" t="n">
        <x:v>10</x:v>
      </x:c>
      <x:c r="J1479" s="14" t="n">
        <x:v>1</x:v>
      </x:c>
      <x:c r="K1479" s="14" t="n">
        <x:v>6</x:v>
      </x:c>
      <x:c r="L1479" s="14" t="n">
        <x:v>38</x:v>
      </x:c>
      <x:c r="M1479" s="14" t="n">
        <x:v>23</x:v>
      </x:c>
      <x:c r="N1479" s="15" t="n">
        <x:f>IF(E1479=0,"해당 없음",F1479/E1479)</x:f>
        <x:v>0.029411764705882353</x:v>
      </x:c>
      <x:c r="O1479" s="15" t="n">
        <x:f>IF(E1479=0,"해당 없음",G1479/E1479)</x:f>
        <x:v>0.14705882352941177</x:v>
      </x:c>
      <x:c r="P1479" s="15" t="n">
        <x:f>IF(E1479=0,"해당 없음",H1479/E1479)</x:f>
        <x:v>0.058823529411764705</x:v>
      </x:c>
      <x:c r="Q1479" s="15" t="n">
        <x:f>IF(E1479=0,"해당 없음",I1479/E1479)</x:f>
        <x:v>0.09803921568627451</x:v>
      </x:c>
      <x:c r="R1479" s="15" t="n">
        <x:f>IF(E1479=0,"해당 없음",J1479/E1479)</x:f>
        <x:v>0.00980392156862745</x:v>
      </x:c>
      <x:c r="S1479" s="15" t="n">
        <x:f>IF(E1479=0,"해당 없음",K1479/E1479)</x:f>
        <x:v>0.058823529411764705</x:v>
      </x:c>
      <x:c r="T1479" s="15" t="n">
        <x:f>IF(E1479=0,"해당 없음",L1479/E1479)</x:f>
        <x:v>0.37254901960784315</x:v>
      </x:c>
      <x:c r="U1479" s="15" t="n">
        <x:f>IF(E1479=0,"해당 없음",M1479/E1479)</x:f>
        <x:v>0.22549019607843138</x:v>
      </x:c>
      <x:c r="V1479" s="16" t="n">
        <x:f>E1479/5</x:f>
        <x:v>20.4</x:v>
      </x:c>
    </x:row>
    <x:row r="1480" ht="22" customHeight="1">
      <x:c r="A1480" s="2" t="n">
        <x:v>738</x:v>
      </x:c>
      <x:c r="B1480" s="2" t="str">
        <x:v>RED</x:v>
      </x:c>
      <x:c r="C1480" s="2" t="str">
        <x:v>120만</x:v>
      </x:c>
      <x:c r="D1480" s="2" t="str">
        <x:v>80만</x:v>
      </x:c>
      <x:c r="E1480" s="14" t="n">
        <x:f>SUM(F1480:M1480)</x:f>
        <x:v>102</x:v>
      </x:c>
      <x:c r="F1480" s="14" t="n">
        <x:v>2</x:v>
      </x:c>
      <x:c r="G1480" s="14" t="n">
        <x:v>7</x:v>
      </x:c>
      <x:c r="H1480" s="14" t="n">
        <x:v>4</x:v>
      </x:c>
      <x:c r="I1480" s="14" t="n">
        <x:v>9</x:v>
      </x:c>
      <x:c r="J1480" s="14" t="n">
        <x:v>6</x:v>
      </x:c>
      <x:c r="K1480" s="14" t="n">
        <x:v>2</x:v>
      </x:c>
      <x:c r="L1480" s="14" t="n">
        <x:v>37</x:v>
      </x:c>
      <x:c r="M1480" s="14" t="n">
        <x:v>35</x:v>
      </x:c>
      <x:c r="N1480" s="15" t="n">
        <x:f>IF(E1480=0,"해당 없음",F1480/E1480)</x:f>
        <x:v>0.0196078431372549</x:v>
      </x:c>
      <x:c r="O1480" s="15" t="n">
        <x:f>IF(E1480=0,"해당 없음",G1480/E1480)</x:f>
        <x:v>0.06862745098039216</x:v>
      </x:c>
      <x:c r="P1480" s="15" t="n">
        <x:f>IF(E1480=0,"해당 없음",H1480/E1480)</x:f>
        <x:v>0.0392156862745098</x:v>
      </x:c>
      <x:c r="Q1480" s="15" t="n">
        <x:f>IF(E1480=0,"해당 없음",I1480/E1480)</x:f>
        <x:v>0.08823529411764706</x:v>
      </x:c>
      <x:c r="R1480" s="15" t="n">
        <x:f>IF(E1480=0,"해당 없음",J1480/E1480)</x:f>
        <x:v>0.058823529411764705</x:v>
      </x:c>
      <x:c r="S1480" s="15" t="n">
        <x:f>IF(E1480=0,"해당 없음",K1480/E1480)</x:f>
        <x:v>0.0196078431372549</x:v>
      </x:c>
      <x:c r="T1480" s="15" t="n">
        <x:f>IF(E1480=0,"해당 없음",L1480/E1480)</x:f>
        <x:v>0.3627450980392157</x:v>
      </x:c>
      <x:c r="U1480" s="15" t="n">
        <x:f>IF(E1480=0,"해당 없음",M1480/E1480)</x:f>
        <x:v>0.3431372549019608</x:v>
      </x:c>
      <x:c r="V1480" s="16" t="n">
        <x:f>E1480/5</x:f>
        <x:v>20.4</x:v>
      </x:c>
    </x:row>
    <x:row r="1481" ht="22" customHeight="1">
      <x:c r="A1481" s="2" t="n">
        <x:v>738</x:v>
      </x:c>
      <x:c r="B1481" s="2" t="str">
        <x:v>NAVY</x:v>
      </x:c>
      <x:c r="C1481" s="2" t="str">
        <x:v>80만</x:v>
      </x:c>
      <x:c r="D1481" s="2" t="str">
        <x:v>120만</x:v>
      </x:c>
      <x:c r="E1481" s="14" t="n">
        <x:f>SUM(F1481:M1481)</x:f>
        <x:v>102</x:v>
      </x:c>
      <x:c r="F1481" s="14" t="n">
        <x:v>6</x:v>
      </x:c>
      <x:c r="G1481" s="14" t="n">
        <x:v>19</x:v>
      </x:c>
      <x:c r="H1481" s="14" t="n">
        <x:v>3</x:v>
      </x:c>
      <x:c r="I1481" s="14" t="n">
        <x:v>7</x:v>
      </x:c>
      <x:c r="J1481" s="14" t="n">
        <x:v>1</x:v>
      </x:c>
      <x:c r="K1481" s="14" t="n">
        <x:v>11</x:v>
      </x:c>
      <x:c r="L1481" s="14" t="n">
        <x:v>36</x:v>
      </x:c>
      <x:c r="M1481" s="14" t="n">
        <x:v>19</x:v>
      </x:c>
      <x:c r="N1481" s="15" t="n">
        <x:f>IF(E1481=0,"해당 없음",F1481/E1481)</x:f>
        <x:v>0.058823529411764705</x:v>
      </x:c>
      <x:c r="O1481" s="15" t="n">
        <x:f>IF(E1481=0,"해당 없음",G1481/E1481)</x:f>
        <x:v>0.18627450980392157</x:v>
      </x:c>
      <x:c r="P1481" s="15" t="n">
        <x:f>IF(E1481=0,"해당 없음",H1481/E1481)</x:f>
        <x:v>0.029411764705882353</x:v>
      </x:c>
      <x:c r="Q1481" s="15" t="n">
        <x:f>IF(E1481=0,"해당 없음",I1481/E1481)</x:f>
        <x:v>0.06862745098039216</x:v>
      </x:c>
      <x:c r="R1481" s="15" t="n">
        <x:f>IF(E1481=0,"해당 없음",J1481/E1481)</x:f>
        <x:v>0.00980392156862745</x:v>
      </x:c>
      <x:c r="S1481" s="15" t="n">
        <x:f>IF(E1481=0,"해당 없음",K1481/E1481)</x:f>
        <x:v>0.10784313725490197</x:v>
      </x:c>
      <x:c r="T1481" s="15" t="n">
        <x:f>IF(E1481=0,"해당 없음",L1481/E1481)</x:f>
        <x:v>0.35294117647058826</x:v>
      </x:c>
      <x:c r="U1481" s="15" t="n">
        <x:f>IF(E1481=0,"해당 없음",M1481/E1481)</x:f>
        <x:v>0.18627450980392157</x:v>
      </x:c>
      <x:c r="V1481" s="16" t="n">
        <x:f>E1481/5</x:f>
        <x:v>20.4</x:v>
      </x:c>
    </x:row>
    <x:row r="1482" ht="22" customHeight="1">
      <x:c r="A1482" s="2" t="n">
        <x:v>739</x:v>
      </x:c>
      <x:c r="B1482" s="2" t="str">
        <x:v>RED</x:v>
      </x:c>
      <x:c r="C1482" s="2" t="str">
        <x:v>80만</x:v>
      </x:c>
      <x:c r="D1482" s="2" t="str">
        <x:v>120만</x:v>
      </x:c>
      <x:c r="E1482" s="14" t="n">
        <x:f>SUM(F1482:M1482)</x:f>
        <x:v>105</x:v>
      </x:c>
      <x:c r="F1482" s="14" t="n">
        <x:v>6</x:v>
      </x:c>
      <x:c r="G1482" s="14" t="n">
        <x:v>12</x:v>
      </x:c>
      <x:c r="H1482" s="14" t="n">
        <x:v>12</x:v>
      </x:c>
      <x:c r="I1482" s="14" t="n">
        <x:v>11</x:v>
      </x:c>
      <x:c r="J1482" s="14" t="n">
        <x:v>1</x:v>
      </x:c>
      <x:c r="K1482" s="14" t="n">
        <x:v>10</x:v>
      </x:c>
      <x:c r="L1482" s="14" t="n">
        <x:v>37</x:v>
      </x:c>
      <x:c r="M1482" s="14" t="n">
        <x:v>16</x:v>
      </x:c>
      <x:c r="N1482" s="15" t="n">
        <x:f>IF(E1482=0,"해당 없음",F1482/E1482)</x:f>
        <x:v>0.05714285714285714</x:v>
      </x:c>
      <x:c r="O1482" s="15" t="n">
        <x:f>IF(E1482=0,"해당 없음",G1482/E1482)</x:f>
        <x:v>0.11428571428571428</x:v>
      </x:c>
      <x:c r="P1482" s="15" t="n">
        <x:f>IF(E1482=0,"해당 없음",H1482/E1482)</x:f>
        <x:v>0.11428571428571428</x:v>
      </x:c>
      <x:c r="Q1482" s="15" t="n">
        <x:f>IF(E1482=0,"해당 없음",I1482/E1482)</x:f>
        <x:v>0.10476190476190476</x:v>
      </x:c>
      <x:c r="R1482" s="15" t="n">
        <x:f>IF(E1482=0,"해당 없음",J1482/E1482)</x:f>
        <x:v>0.009523809523809525</x:v>
      </x:c>
      <x:c r="S1482" s="15" t="n">
        <x:f>IF(E1482=0,"해당 없음",K1482/E1482)</x:f>
        <x:v>0.09523809523809523</x:v>
      </x:c>
      <x:c r="T1482" s="15" t="n">
        <x:f>IF(E1482=0,"해당 없음",L1482/E1482)</x:f>
        <x:v>0.3523809523809524</x:v>
      </x:c>
      <x:c r="U1482" s="15" t="n">
        <x:f>IF(E1482=0,"해당 없음",M1482/E1482)</x:f>
        <x:v>0.1523809523809524</x:v>
      </x:c>
      <x:c r="V1482" s="16" t="n">
        <x:f>E1482/5</x:f>
        <x:v>21</x:v>
      </x:c>
    </x:row>
    <x:row r="1483" ht="22" customHeight="1">
      <x:c r="A1483" s="2" t="n">
        <x:v>739</x:v>
      </x:c>
      <x:c r="B1483" s="2" t="str">
        <x:v>NAVY</x:v>
      </x:c>
      <x:c r="C1483" s="2" t="str">
        <x:v>120만</x:v>
      </x:c>
      <x:c r="D1483" s="2" t="str">
        <x:v>80만</x:v>
      </x:c>
      <x:c r="E1483" s="14" t="n">
        <x:f>SUM(F1483:M1483)</x:f>
        <x:v>103</x:v>
      </x:c>
      <x:c r="F1483" s="14" t="n">
        <x:v>4</x:v>
      </x:c>
      <x:c r="G1483" s="14" t="n">
        <x:v>14</x:v>
      </x:c>
      <x:c r="H1483" s="14" t="n">
        <x:v>6</x:v>
      </x:c>
      <x:c r="I1483" s="14" t="n">
        <x:v>11</x:v>
      </x:c>
      <x:c r="J1483" s="14" t="n">
        <x:v>7</x:v>
      </x:c>
      <x:c r="K1483" s="14" t="n">
        <x:v>5</x:v>
      </x:c>
      <x:c r="L1483" s="14" t="n">
        <x:v>39</x:v>
      </x:c>
      <x:c r="M1483" s="14" t="n">
        <x:v>17</x:v>
      </x:c>
      <x:c r="N1483" s="15" t="n">
        <x:f>IF(E1483=0,"해당 없음",F1483/E1483)</x:f>
        <x:v>0.038834951456310676</x:v>
      </x:c>
      <x:c r="O1483" s="15" t="n">
        <x:f>IF(E1483=0,"해당 없음",G1483/E1483)</x:f>
        <x:v>0.13592233009708737</x:v>
      </x:c>
      <x:c r="P1483" s="15" t="n">
        <x:f>IF(E1483=0,"해당 없음",H1483/E1483)</x:f>
        <x:v>0.05825242718446602</x:v>
      </x:c>
      <x:c r="Q1483" s="15" t="n">
        <x:f>IF(E1483=0,"해당 없음",I1483/E1483)</x:f>
        <x:v>0.10679611650485436</x:v>
      </x:c>
      <x:c r="R1483" s="15" t="n">
        <x:f>IF(E1483=0,"해당 없음",J1483/E1483)</x:f>
        <x:v>0.06796116504854369</x:v>
      </x:c>
      <x:c r="S1483" s="15" t="n">
        <x:f>IF(E1483=0,"해당 없음",K1483/E1483)</x:f>
        <x:v>0.04854368932038835</x:v>
      </x:c>
      <x:c r="T1483" s="15" t="n">
        <x:f>IF(E1483=0,"해당 없음",L1483/E1483)</x:f>
        <x:v>0.3786407766990291</x:v>
      </x:c>
      <x:c r="U1483" s="15" t="n">
        <x:f>IF(E1483=0,"해당 없음",M1483/E1483)</x:f>
        <x:v>0.1650485436893204</x:v>
      </x:c>
      <x:c r="V1483" s="16" t="n">
        <x:f>E1483/5</x:f>
        <x:v>20.6</x:v>
      </x:c>
    </x:row>
    <x:row r="1484" ht="22" customHeight="1">
      <x:c r="A1484" s="2" t="n">
        <x:v>740</x:v>
      </x:c>
      <x:c r="B1484" s="2" t="str">
        <x:v>RED</x:v>
      </x:c>
      <x:c r="C1484" s="2" t="str">
        <x:v>120만</x:v>
      </x:c>
      <x:c r="D1484" s="2" t="str">
        <x:v>80만</x:v>
      </x:c>
      <x:c r="E1484" s="14" t="n">
        <x:f>SUM(F1484:M1484)</x:f>
        <x:v>103</x:v>
      </x:c>
      <x:c r="F1484" s="14" t="n">
        <x:v>5</x:v>
      </x:c>
      <x:c r="G1484" s="14" t="n">
        <x:v>15</x:v>
      </x:c>
      <x:c r="H1484" s="14" t="n">
        <x:v>6</x:v>
      </x:c>
      <x:c r="I1484" s="14" t="n">
        <x:v>14</x:v>
      </x:c>
      <x:c r="J1484" s="14" t="n">
        <x:v>2</x:v>
      </x:c>
      <x:c r="K1484" s="14" t="n">
        <x:v>11</x:v>
      </x:c>
      <x:c r="L1484" s="14" t="n">
        <x:v>34</x:v>
      </x:c>
      <x:c r="M1484" s="14" t="n">
        <x:v>16</x:v>
      </x:c>
      <x:c r="N1484" s="15" t="n">
        <x:f>IF(E1484=0,"해당 없음",F1484/E1484)</x:f>
        <x:v>0.04854368932038835</x:v>
      </x:c>
      <x:c r="O1484" s="15" t="n">
        <x:f>IF(E1484=0,"해당 없음",G1484/E1484)</x:f>
        <x:v>0.14563106796116504</x:v>
      </x:c>
      <x:c r="P1484" s="15" t="n">
        <x:f>IF(E1484=0,"해당 없음",H1484/E1484)</x:f>
        <x:v>0.05825242718446602</x:v>
      </x:c>
      <x:c r="Q1484" s="15" t="n">
        <x:f>IF(E1484=0,"해당 없음",I1484/E1484)</x:f>
        <x:v>0.13592233009708737</x:v>
      </x:c>
      <x:c r="R1484" s="15" t="n">
        <x:f>IF(E1484=0,"해당 없음",J1484/E1484)</x:f>
        <x:v>0.019417475728155338</x:v>
      </x:c>
      <x:c r="S1484" s="15" t="n">
        <x:f>IF(E1484=0,"해당 없음",K1484/E1484)</x:f>
        <x:v>0.10679611650485436</x:v>
      </x:c>
      <x:c r="T1484" s="15" t="n">
        <x:f>IF(E1484=0,"해당 없음",L1484/E1484)</x:f>
        <x:v>0.3300970873786408</x:v>
      </x:c>
      <x:c r="U1484" s="15" t="n">
        <x:f>IF(E1484=0,"해당 없음",M1484/E1484)</x:f>
        <x:v>0.1553398058252427</x:v>
      </x:c>
      <x:c r="V1484" s="16" t="n">
        <x:f>E1484/5</x:f>
        <x:v>20.6</x:v>
      </x:c>
    </x:row>
    <x:row r="1485" ht="22" customHeight="1">
      <x:c r="A1485" s="2" t="n">
        <x:v>740</x:v>
      </x:c>
      <x:c r="B1485" s="2" t="str">
        <x:v>NAVY</x:v>
      </x:c>
      <x:c r="C1485" s="2" t="str">
        <x:v>80만</x:v>
      </x:c>
      <x:c r="D1485" s="2" t="str">
        <x:v>120만</x:v>
      </x:c>
      <x:c r="E1485" s="14" t="n">
        <x:f>SUM(F1485:M1485)</x:f>
        <x:v>103</x:v>
      </x:c>
      <x:c r="F1485" s="14" t="n">
        <x:v>7</x:v>
      </x:c>
      <x:c r="G1485" s="14" t="n">
        <x:v>24</x:v>
      </x:c>
      <x:c r="H1485" s="14" t="n">
        <x:v>6</x:v>
      </x:c>
      <x:c r="I1485" s="14" t="n">
        <x:v>5</x:v>
      </x:c>
      <x:c r="J1485" s="14" t="n">
        <x:v>2</x:v>
      </x:c>
      <x:c r="K1485" s="14" t="n">
        <x:v>9</x:v>
      </x:c>
      <x:c r="L1485" s="14" t="n">
        <x:v>34</x:v>
      </x:c>
      <x:c r="M1485" s="14" t="n">
        <x:v>16</x:v>
      </x:c>
      <x:c r="N1485" s="15" t="n">
        <x:f>IF(E1485=0,"해당 없음",F1485/E1485)</x:f>
        <x:v>0.06796116504854369</x:v>
      </x:c>
      <x:c r="O1485" s="15" t="n">
        <x:f>IF(E1485=0,"해당 없음",G1485/E1485)</x:f>
        <x:v>0.23300970873786409</x:v>
      </x:c>
      <x:c r="P1485" s="15" t="n">
        <x:f>IF(E1485=0,"해당 없음",H1485/E1485)</x:f>
        <x:v>0.05825242718446602</x:v>
      </x:c>
      <x:c r="Q1485" s="15" t="n">
        <x:f>IF(E1485=0,"해당 없음",I1485/E1485)</x:f>
        <x:v>0.04854368932038835</x:v>
      </x:c>
      <x:c r="R1485" s="15" t="n">
        <x:f>IF(E1485=0,"해당 없음",J1485/E1485)</x:f>
        <x:v>0.019417475728155338</x:v>
      </x:c>
      <x:c r="S1485" s="15" t="n">
        <x:f>IF(E1485=0,"해당 없음",K1485/E1485)</x:f>
        <x:v>0.08737864077669903</x:v>
      </x:c>
      <x:c r="T1485" s="15" t="n">
        <x:f>IF(E1485=0,"해당 없음",L1485/E1485)</x:f>
        <x:v>0.3300970873786408</x:v>
      </x:c>
      <x:c r="U1485" s="15" t="n">
        <x:f>IF(E1485=0,"해당 없음",M1485/E1485)</x:f>
        <x:v>0.1553398058252427</x:v>
      </x:c>
      <x:c r="V1485" s="16" t="n">
        <x:f>E1485/5</x:f>
        <x:v>20.6</x:v>
      </x:c>
    </x:row>
    <x:row r="1486" ht="22" customHeight="1">
      <x:c r="A1486" s="2" t="n">
        <x:v>741</x:v>
      </x:c>
      <x:c r="B1486" s="2" t="str">
        <x:v>RED</x:v>
      </x:c>
      <x:c r="C1486" s="2" t="str">
        <x:v>80만</x:v>
      </x:c>
      <x:c r="D1486" s="2" t="str">
        <x:v>120만</x:v>
      </x:c>
      <x:c r="E1486" s="14" t="n">
        <x:f>SUM(F1486:M1486)</x:f>
        <x:v>102</x:v>
      </x:c>
      <x:c r="F1486" s="14" t="n">
        <x:v>4</x:v>
      </x:c>
      <x:c r="G1486" s="14" t="n">
        <x:v>22</x:v>
      </x:c>
      <x:c r="H1486" s="14" t="n">
        <x:v>9</x:v>
      </x:c>
      <x:c r="I1486" s="14" t="n">
        <x:v>5</x:v>
      </x:c>
      <x:c r="J1486" s="14" t="n">
        <x:v>3</x:v>
      </x:c>
      <x:c r="K1486" s="14" t="n">
        <x:v>11</x:v>
      </x:c>
      <x:c r="L1486" s="14" t="n">
        <x:v>35</x:v>
      </x:c>
      <x:c r="M1486" s="14" t="n">
        <x:v>13</x:v>
      </x:c>
      <x:c r="N1486" s="15" t="n">
        <x:f>IF(E1486=0,"해당 없음",F1486/E1486)</x:f>
        <x:v>0.0392156862745098</x:v>
      </x:c>
      <x:c r="O1486" s="15" t="n">
        <x:f>IF(E1486=0,"해당 없음",G1486/E1486)</x:f>
        <x:v>0.21568627450980393</x:v>
      </x:c>
      <x:c r="P1486" s="15" t="n">
        <x:f>IF(E1486=0,"해당 없음",H1486/E1486)</x:f>
        <x:v>0.08823529411764706</x:v>
      </x:c>
      <x:c r="Q1486" s="15" t="n">
        <x:f>IF(E1486=0,"해당 없음",I1486/E1486)</x:f>
        <x:v>0.049019607843137254</x:v>
      </x:c>
      <x:c r="R1486" s="15" t="n">
        <x:f>IF(E1486=0,"해당 없음",J1486/E1486)</x:f>
        <x:v>0.029411764705882353</x:v>
      </x:c>
      <x:c r="S1486" s="15" t="n">
        <x:f>IF(E1486=0,"해당 없음",K1486/E1486)</x:f>
        <x:v>0.10784313725490197</x:v>
      </x:c>
      <x:c r="T1486" s="15" t="n">
        <x:f>IF(E1486=0,"해당 없음",L1486/E1486)</x:f>
        <x:v>0.3431372549019608</x:v>
      </x:c>
      <x:c r="U1486" s="15" t="n">
        <x:f>IF(E1486=0,"해당 없음",M1486/E1486)</x:f>
        <x:v>0.12745098039215685</x:v>
      </x:c>
      <x:c r="V1486" s="16" t="n">
        <x:f>E1486/5</x:f>
        <x:v>20.4</x:v>
      </x:c>
    </x:row>
    <x:row r="1487" ht="22" customHeight="1">
      <x:c r="A1487" s="2" t="n">
        <x:v>741</x:v>
      </x:c>
      <x:c r="B1487" s="2" t="str">
        <x:v>NAVY</x:v>
      </x:c>
      <x:c r="C1487" s="2" t="str">
        <x:v>120만</x:v>
      </x:c>
      <x:c r="D1487" s="2" t="str">
        <x:v>80만</x:v>
      </x:c>
      <x:c r="E1487" s="14" t="n">
        <x:f>SUM(F1487:M1487)</x:f>
        <x:v>100</x:v>
      </x:c>
      <x:c r="F1487" s="14" t="n">
        <x:v>2</x:v>
      </x:c>
      <x:c r="G1487" s="14" t="n">
        <x:v>14</x:v>
      </x:c>
      <x:c r="H1487" s="14" t="n">
        <x:v>6</x:v>
      </x:c>
      <x:c r="I1487" s="14" t="n">
        <x:v>5</x:v>
      </x:c>
      <x:c r="J1487" s="14" t="n">
        <x:v>4</x:v>
      </x:c>
      <x:c r="K1487" s="14" t="n">
        <x:v>11</x:v>
      </x:c>
      <x:c r="L1487" s="14" t="n">
        <x:v>31</x:v>
      </x:c>
      <x:c r="M1487" s="14" t="n">
        <x:v>27</x:v>
      </x:c>
      <x:c r="N1487" s="15" t="n">
        <x:f>IF(E1487=0,"해당 없음",F1487/E1487)</x:f>
        <x:v>0.02</x:v>
      </x:c>
      <x:c r="O1487" s="15" t="n">
        <x:f>IF(E1487=0,"해당 없음",G1487/E1487)</x:f>
        <x:v>0.14</x:v>
      </x:c>
      <x:c r="P1487" s="15" t="n">
        <x:f>IF(E1487=0,"해당 없음",H1487/E1487)</x:f>
        <x:v>0.06</x:v>
      </x:c>
      <x:c r="Q1487" s="15" t="n">
        <x:f>IF(E1487=0,"해당 없음",I1487/E1487)</x:f>
        <x:v>0.05</x:v>
      </x:c>
      <x:c r="R1487" s="15" t="n">
        <x:f>IF(E1487=0,"해당 없음",J1487/E1487)</x:f>
        <x:v>0.04</x:v>
      </x:c>
      <x:c r="S1487" s="15" t="n">
        <x:f>IF(E1487=0,"해당 없음",K1487/E1487)</x:f>
        <x:v>0.11</x:v>
      </x:c>
      <x:c r="T1487" s="15" t="n">
        <x:f>IF(E1487=0,"해당 없음",L1487/E1487)</x:f>
        <x:v>0.31</x:v>
      </x:c>
      <x:c r="U1487" s="15" t="n">
        <x:f>IF(E1487=0,"해당 없음",M1487/E1487)</x:f>
        <x:v>0.27</x:v>
      </x:c>
      <x:c r="V1487" s="16" t="n">
        <x:f>E1487/5</x:f>
        <x:v>20</x:v>
      </x:c>
    </x:row>
    <x:row r="1488" ht="22" customHeight="1">
      <x:c r="A1488" s="2" t="n">
        <x:v>742</x:v>
      </x:c>
      <x:c r="B1488" s="2" t="str">
        <x:v>RED</x:v>
      </x:c>
      <x:c r="C1488" s="2" t="str">
        <x:v>120만</x:v>
      </x:c>
      <x:c r="D1488" s="2" t="str">
        <x:v>80만</x:v>
      </x:c>
      <x:c r="E1488" s="14" t="n">
        <x:f>SUM(F1488:M1488)</x:f>
        <x:v>103</x:v>
      </x:c>
      <x:c r="F1488" s="14" t="n">
        <x:v>2</x:v>
      </x:c>
      <x:c r="G1488" s="14" t="n">
        <x:v>7</x:v>
      </x:c>
      <x:c r="H1488" s="14" t="n">
        <x:v>4</x:v>
      </x:c>
      <x:c r="I1488" s="14" t="n">
        <x:v>10</x:v>
      </x:c>
      <x:c r="J1488" s="14" t="n">
        <x:v>3</x:v>
      </x:c>
      <x:c r="K1488" s="14" t="n">
        <x:v>8</x:v>
      </x:c>
      <x:c r="L1488" s="14" t="n">
        <x:v>39</x:v>
      </x:c>
      <x:c r="M1488" s="14" t="n">
        <x:v>30</x:v>
      </x:c>
      <x:c r="N1488" s="15" t="n">
        <x:f>IF(E1488=0,"해당 없음",F1488/E1488)</x:f>
        <x:v>0.019417475728155338</x:v>
      </x:c>
      <x:c r="O1488" s="15" t="n">
        <x:f>IF(E1488=0,"해당 없음",G1488/E1488)</x:f>
        <x:v>0.06796116504854369</x:v>
      </x:c>
      <x:c r="P1488" s="15" t="n">
        <x:f>IF(E1488=0,"해당 없음",H1488/E1488)</x:f>
        <x:v>0.038834951456310676</x:v>
      </x:c>
      <x:c r="Q1488" s="15" t="n">
        <x:f>IF(E1488=0,"해당 없음",I1488/E1488)</x:f>
        <x:v>0.0970873786407767</x:v>
      </x:c>
      <x:c r="R1488" s="15" t="n">
        <x:f>IF(E1488=0,"해당 없음",J1488/E1488)</x:f>
        <x:v>0.02912621359223301</x:v>
      </x:c>
      <x:c r="S1488" s="15" t="n">
        <x:f>IF(E1488=0,"해당 없음",K1488/E1488)</x:f>
        <x:v>0.07766990291262135</x:v>
      </x:c>
      <x:c r="T1488" s="15" t="n">
        <x:f>IF(E1488=0,"해당 없음",L1488/E1488)</x:f>
        <x:v>0.3786407766990291</x:v>
      </x:c>
      <x:c r="U1488" s="15" t="n">
        <x:f>IF(E1488=0,"해당 없음",M1488/E1488)</x:f>
        <x:v>0.2912621359223301</x:v>
      </x:c>
      <x:c r="V1488" s="16" t="n">
        <x:f>E1488/5</x:f>
        <x:v>20.6</x:v>
      </x:c>
    </x:row>
    <x:row r="1489" ht="22" customHeight="1">
      <x:c r="A1489" s="2" t="n">
        <x:v>742</x:v>
      </x:c>
      <x:c r="B1489" s="2" t="str">
        <x:v>NAVY</x:v>
      </x:c>
      <x:c r="C1489" s="2" t="str">
        <x:v>80만</x:v>
      </x:c>
      <x:c r="D1489" s="2" t="str">
        <x:v>120만</x:v>
      </x:c>
      <x:c r="E1489" s="14" t="n">
        <x:f>SUM(F1489:M1489)</x:f>
        <x:v>106</x:v>
      </x:c>
      <x:c r="F1489" s="14" t="n">
        <x:v>8</x:v>
      </x:c>
      <x:c r="G1489" s="14" t="n">
        <x:v>19</x:v>
      </x:c>
      <x:c r="H1489" s="14" t="n">
        <x:v>9</x:v>
      </x:c>
      <x:c r="I1489" s="14" t="n">
        <x:v>4</x:v>
      </x:c>
      <x:c r="J1489" s="14" t="n">
        <x:v>1</x:v>
      </x:c>
      <x:c r="K1489" s="14" t="n">
        <x:v>15</x:v>
      </x:c>
      <x:c r="L1489" s="14" t="n">
        <x:v>36</x:v>
      </x:c>
      <x:c r="M1489" s="14" t="n">
        <x:v>14</x:v>
      </x:c>
      <x:c r="N1489" s="15" t="n">
        <x:f>IF(E1489=0,"해당 없음",F1489/E1489)</x:f>
        <x:v>0.07547169811320754</x:v>
      </x:c>
      <x:c r="O1489" s="15" t="n">
        <x:f>IF(E1489=0,"해당 없음",G1489/E1489)</x:f>
        <x:v>0.1792452830188679</x:v>
      </x:c>
      <x:c r="P1489" s="15" t="n">
        <x:f>IF(E1489=0,"해당 없음",H1489/E1489)</x:f>
        <x:v>0.08490566037735849</x:v>
      </x:c>
      <x:c r="Q1489" s="15" t="n">
        <x:f>IF(E1489=0,"해당 없음",I1489/E1489)</x:f>
        <x:v>0.03773584905660377</x:v>
      </x:c>
      <x:c r="R1489" s="15" t="n">
        <x:f>IF(E1489=0,"해당 없음",J1489/E1489)</x:f>
        <x:v>0.009433962264150943</x:v>
      </x:c>
      <x:c r="S1489" s="15" t="n">
        <x:f>IF(E1489=0,"해당 없음",K1489/E1489)</x:f>
        <x:v>0.14150943396226415</x:v>
      </x:c>
      <x:c r="T1489" s="15" t="n">
        <x:f>IF(E1489=0,"해당 없음",L1489/E1489)</x:f>
        <x:v>0.33962264150943394</x:v>
      </x:c>
      <x:c r="U1489" s="15" t="n">
        <x:f>IF(E1489=0,"해당 없음",M1489/E1489)</x:f>
        <x:v>0.1320754716981132</x:v>
      </x:c>
      <x:c r="V1489" s="16" t="n">
        <x:f>E1489/5</x:f>
        <x:v>21.2</x:v>
      </x:c>
    </x:row>
    <x:row r="1490" ht="22" customHeight="1">
      <x:c r="A1490" s="2" t="n">
        <x:v>743</x:v>
      </x:c>
      <x:c r="B1490" s="2" t="str">
        <x:v>RED</x:v>
      </x:c>
      <x:c r="C1490" s="2" t="str">
        <x:v>80만</x:v>
      </x:c>
      <x:c r="D1490" s="2" t="str">
        <x:v>120만</x:v>
      </x:c>
      <x:c r="E1490" s="14" t="n">
        <x:f>SUM(F1490:M1490)</x:f>
        <x:v>104</x:v>
      </x:c>
      <x:c r="F1490" s="14" t="n">
        <x:v>7</x:v>
      </x:c>
      <x:c r="G1490" s="14" t="n">
        <x:v>28</x:v>
      </x:c>
      <x:c r="H1490" s="14" t="n">
        <x:v>8</x:v>
      </x:c>
      <x:c r="I1490" s="14" t="n">
        <x:v>4</x:v>
      </x:c>
      <x:c r="J1490" s="14" t="n">
        <x:v>0</x:v>
      </x:c>
      <x:c r="K1490" s="14" t="n">
        <x:v>9</x:v>
      </x:c>
      <x:c r="L1490" s="14" t="n">
        <x:v>32</x:v>
      </x:c>
      <x:c r="M1490" s="14" t="n">
        <x:v>16</x:v>
      </x:c>
      <x:c r="N1490" s="15" t="n">
        <x:f>IF(E1490=0,"해당 없음",F1490/E1490)</x:f>
        <x:v>0.0673076923076923</x:v>
      </x:c>
      <x:c r="O1490" s="15" t="n">
        <x:f>IF(E1490=0,"해당 없음",G1490/E1490)</x:f>
        <x:v>0.2692307692307692</x:v>
      </x:c>
      <x:c r="P1490" s="15" t="n">
        <x:f>IF(E1490=0,"해당 없음",H1490/E1490)</x:f>
        <x:v>0.07692307692307693</x:v>
      </x:c>
      <x:c r="Q1490" s="15" t="n">
        <x:f>IF(E1490=0,"해당 없음",I1490/E1490)</x:f>
        <x:v>0.038461538461538464</x:v>
      </x:c>
      <x:c r="R1490" s="15" t="n">
        <x:f>IF(E1490=0,"해당 없음",J1490/E1490)</x:f>
        <x:v>0</x:v>
      </x:c>
      <x:c r="S1490" s="15" t="n">
        <x:f>IF(E1490=0,"해당 없음",K1490/E1490)</x:f>
        <x:v>0.08653846153846154</x:v>
      </x:c>
      <x:c r="T1490" s="15" t="n">
        <x:f>IF(E1490=0,"해당 없음",L1490/E1490)</x:f>
        <x:v>0.3076923076923077</x:v>
      </x:c>
      <x:c r="U1490" s="15" t="n">
        <x:f>IF(E1490=0,"해당 없음",M1490/E1490)</x:f>
        <x:v>0.15384615384615385</x:v>
      </x:c>
      <x:c r="V1490" s="16" t="n">
        <x:f>E1490/5</x:f>
        <x:v>20.8</x:v>
      </x:c>
    </x:row>
    <x:row r="1491" ht="22" customHeight="1">
      <x:c r="A1491" s="2" t="n">
        <x:v>743</x:v>
      </x:c>
      <x:c r="B1491" s="2" t="str">
        <x:v>NAVY</x:v>
      </x:c>
      <x:c r="C1491" s="2" t="str">
        <x:v>120만</x:v>
      </x:c>
      <x:c r="D1491" s="2" t="str">
        <x:v>80만</x:v>
      </x:c>
      <x:c r="E1491" s="14" t="n">
        <x:f>SUM(F1491:M1491)</x:f>
        <x:v>104</x:v>
      </x:c>
      <x:c r="F1491" s="14" t="n">
        <x:v>1</x:v>
      </x:c>
      <x:c r="G1491" s="14" t="n">
        <x:v>16</x:v>
      </x:c>
      <x:c r="H1491" s="14" t="n">
        <x:v>8</x:v>
      </x:c>
      <x:c r="I1491" s="14" t="n">
        <x:v>8</x:v>
      </x:c>
      <x:c r="J1491" s="14" t="n">
        <x:v>5</x:v>
      </x:c>
      <x:c r="K1491" s="14" t="n">
        <x:v>16</x:v>
      </x:c>
      <x:c r="L1491" s="14" t="n">
        <x:v>35</x:v>
      </x:c>
      <x:c r="M1491" s="14" t="n">
        <x:v>15</x:v>
      </x:c>
      <x:c r="N1491" s="15" t="n">
        <x:f>IF(E1491=0,"해당 없음",F1491/E1491)</x:f>
        <x:v>0.009615384615384616</x:v>
      </x:c>
      <x:c r="O1491" s="15" t="n">
        <x:f>IF(E1491=0,"해당 없음",G1491/E1491)</x:f>
        <x:v>0.15384615384615385</x:v>
      </x:c>
      <x:c r="P1491" s="15" t="n">
        <x:f>IF(E1491=0,"해당 없음",H1491/E1491)</x:f>
        <x:v>0.07692307692307693</x:v>
      </x:c>
      <x:c r="Q1491" s="15" t="n">
        <x:f>IF(E1491=0,"해당 없음",I1491/E1491)</x:f>
        <x:v>0.07692307692307693</x:v>
      </x:c>
      <x:c r="R1491" s="15" t="n">
        <x:f>IF(E1491=0,"해당 없음",J1491/E1491)</x:f>
        <x:v>0.04807692307692308</x:v>
      </x:c>
      <x:c r="S1491" s="15" t="n">
        <x:f>IF(E1491=0,"해당 없음",K1491/E1491)</x:f>
        <x:v>0.15384615384615385</x:v>
      </x:c>
      <x:c r="T1491" s="15" t="n">
        <x:f>IF(E1491=0,"해당 없음",L1491/E1491)</x:f>
        <x:v>0.33653846153846156</x:v>
      </x:c>
      <x:c r="U1491" s="15" t="n">
        <x:f>IF(E1491=0,"해당 없음",M1491/E1491)</x:f>
        <x:v>0.14423076923076922</x:v>
      </x:c>
      <x:c r="V1491" s="16" t="n">
        <x:f>E1491/5</x:f>
        <x:v>20.8</x:v>
      </x:c>
    </x:row>
    <x:row r="1492" ht="22" customHeight="1">
      <x:c r="A1492" s="2" t="n">
        <x:v>744</x:v>
      </x:c>
      <x:c r="B1492" s="2" t="str">
        <x:v>RED</x:v>
      </x:c>
      <x:c r="C1492" s="2" t="str">
        <x:v>120만</x:v>
      </x:c>
      <x:c r="D1492" s="2" t="str">
        <x:v>80만</x:v>
      </x:c>
      <x:c r="E1492" s="14" t="n">
        <x:f>SUM(F1492:M1492)</x:f>
        <x:v>101</x:v>
      </x:c>
      <x:c r="F1492" s="14" t="n">
        <x:v>3</x:v>
      </x:c>
      <x:c r="G1492" s="14" t="n">
        <x:v>12</x:v>
      </x:c>
      <x:c r="H1492" s="14" t="n">
        <x:v>4</x:v>
      </x:c>
      <x:c r="I1492" s="14" t="n">
        <x:v>6</x:v>
      </x:c>
      <x:c r="J1492" s="14" t="n">
        <x:v>2</x:v>
      </x:c>
      <x:c r="K1492" s="14" t="n">
        <x:v>4</x:v>
      </x:c>
      <x:c r="L1492" s="14" t="n">
        <x:v>39</x:v>
      </x:c>
      <x:c r="M1492" s="14" t="n">
        <x:v>31</x:v>
      </x:c>
      <x:c r="N1492" s="15" t="n">
        <x:f>IF(E1492=0,"해당 없음",F1492/E1492)</x:f>
        <x:v>0.0297029702970297</x:v>
      </x:c>
      <x:c r="O1492" s="15" t="n">
        <x:f>IF(E1492=0,"해당 없음",G1492/E1492)</x:f>
        <x:v>0.1188118811881188</x:v>
      </x:c>
      <x:c r="P1492" s="15" t="n">
        <x:f>IF(E1492=0,"해당 없음",H1492/E1492)</x:f>
        <x:v>0.039603960396039604</x:v>
      </x:c>
      <x:c r="Q1492" s="15" t="n">
        <x:f>IF(E1492=0,"해당 없음",I1492/E1492)</x:f>
        <x:v>0.0594059405940594</x:v>
      </x:c>
      <x:c r="R1492" s="15" t="n">
        <x:f>IF(E1492=0,"해당 없음",J1492/E1492)</x:f>
        <x:v>0.019801980198019802</x:v>
      </x:c>
      <x:c r="S1492" s="15" t="n">
        <x:f>IF(E1492=0,"해당 없음",K1492/E1492)</x:f>
        <x:v>0.039603960396039604</x:v>
      </x:c>
      <x:c r="T1492" s="15" t="n">
        <x:f>IF(E1492=0,"해당 없음",L1492/E1492)</x:f>
        <x:v>0.38613861386138615</x:v>
      </x:c>
      <x:c r="U1492" s="15" t="n">
        <x:f>IF(E1492=0,"해당 없음",M1492/E1492)</x:f>
        <x:v>0.3069306930693069</x:v>
      </x:c>
      <x:c r="V1492" s="16" t="n">
        <x:f>E1492/5</x:f>
        <x:v>20.2</x:v>
      </x:c>
    </x:row>
    <x:row r="1493" ht="22" customHeight="1">
      <x:c r="A1493" s="2" t="n">
        <x:v>744</x:v>
      </x:c>
      <x:c r="B1493" s="2" t="str">
        <x:v>NAVY</x:v>
      </x:c>
      <x:c r="C1493" s="2" t="str">
        <x:v>80만</x:v>
      </x:c>
      <x:c r="D1493" s="2" t="str">
        <x:v>120만</x:v>
      </x:c>
      <x:c r="E1493" s="14" t="n">
        <x:f>SUM(F1493:M1493)</x:f>
        <x:v>101</x:v>
      </x:c>
      <x:c r="F1493" s="14" t="n">
        <x:v>5</x:v>
      </x:c>
      <x:c r="G1493" s="14" t="n">
        <x:v>15</x:v>
      </x:c>
      <x:c r="H1493" s="14" t="n">
        <x:v>5</x:v>
      </x:c>
      <x:c r="I1493" s="14" t="n">
        <x:v>8</x:v>
      </x:c>
      <x:c r="J1493" s="14" t="n">
        <x:v>1</x:v>
      </x:c>
      <x:c r="K1493" s="14" t="n">
        <x:v>10</x:v>
      </x:c>
      <x:c r="L1493" s="14" t="n">
        <x:v>32</x:v>
      </x:c>
      <x:c r="M1493" s="14" t="n">
        <x:v>25</x:v>
      </x:c>
      <x:c r="N1493" s="15" t="n">
        <x:f>IF(E1493=0,"해당 없음",F1493/E1493)</x:f>
        <x:v>0.04950495049504951</x:v>
      </x:c>
      <x:c r="O1493" s="15" t="n">
        <x:f>IF(E1493=0,"해당 없음",G1493/E1493)</x:f>
        <x:v>0.1485148514851485</x:v>
      </x:c>
      <x:c r="P1493" s="15" t="n">
        <x:f>IF(E1493=0,"해당 없음",H1493/E1493)</x:f>
        <x:v>0.04950495049504951</x:v>
      </x:c>
      <x:c r="Q1493" s="15" t="n">
        <x:f>IF(E1493=0,"해당 없음",I1493/E1493)</x:f>
        <x:v>0.07920792079207921</x:v>
      </x:c>
      <x:c r="R1493" s="15" t="n">
        <x:f>IF(E1493=0,"해당 없음",J1493/E1493)</x:f>
        <x:v>0.009900990099009901</x:v>
      </x:c>
      <x:c r="S1493" s="15" t="n">
        <x:f>IF(E1493=0,"해당 없음",K1493/E1493)</x:f>
        <x:v>0.09900990099009901</x:v>
      </x:c>
      <x:c r="T1493" s="15" t="n">
        <x:f>IF(E1493=0,"해당 없음",L1493/E1493)</x:f>
        <x:v>0.31683168316831684</x:v>
      </x:c>
      <x:c r="U1493" s="15" t="n">
        <x:f>IF(E1493=0,"해당 없음",M1493/E1493)</x:f>
        <x:v>0.24752475247524752</x:v>
      </x:c>
      <x:c r="V1493" s="16" t="n">
        <x:f>E1493/5</x:f>
        <x:v>20.2</x:v>
      </x:c>
    </x:row>
    <x:row r="1494" ht="22" customHeight="1">
      <x:c r="A1494" s="2" t="n">
        <x:v>745</x:v>
      </x:c>
      <x:c r="B1494" s="2" t="str">
        <x:v>RED</x:v>
      </x:c>
      <x:c r="C1494" s="2" t="str">
        <x:v>80만</x:v>
      </x:c>
      <x:c r="D1494" s="2" t="str">
        <x:v>120만</x:v>
      </x:c>
      <x:c r="E1494" s="14" t="n">
        <x:f>SUM(F1494:M1494)</x:f>
        <x:v>103</x:v>
      </x:c>
      <x:c r="F1494" s="14" t="n">
        <x:v>6</x:v>
      </x:c>
      <x:c r="G1494" s="14" t="n">
        <x:v>16</x:v>
      </x:c>
      <x:c r="H1494" s="14" t="n">
        <x:v>7</x:v>
      </x:c>
      <x:c r="I1494" s="14" t="n">
        <x:v>4</x:v>
      </x:c>
      <x:c r="J1494" s="14" t="n">
        <x:v>3</x:v>
      </x:c>
      <x:c r="K1494" s="14" t="n">
        <x:v>9</x:v>
      </x:c>
      <x:c r="L1494" s="14" t="n">
        <x:v>32</x:v>
      </x:c>
      <x:c r="M1494" s="14" t="n">
        <x:v>26</x:v>
      </x:c>
      <x:c r="N1494" s="15" t="n">
        <x:f>IF(E1494=0,"해당 없음",F1494/E1494)</x:f>
        <x:v>0.05825242718446602</x:v>
      </x:c>
      <x:c r="O1494" s="15" t="n">
        <x:f>IF(E1494=0,"해당 없음",G1494/E1494)</x:f>
        <x:v>0.1553398058252427</x:v>
      </x:c>
      <x:c r="P1494" s="15" t="n">
        <x:f>IF(E1494=0,"해당 없음",H1494/E1494)</x:f>
        <x:v>0.06796116504854369</x:v>
      </x:c>
      <x:c r="Q1494" s="15" t="n">
        <x:f>IF(E1494=0,"해당 없음",I1494/E1494)</x:f>
        <x:v>0.038834951456310676</x:v>
      </x:c>
      <x:c r="R1494" s="15" t="n">
        <x:f>IF(E1494=0,"해당 없음",J1494/E1494)</x:f>
        <x:v>0.02912621359223301</x:v>
      </x:c>
      <x:c r="S1494" s="15" t="n">
        <x:f>IF(E1494=0,"해당 없음",K1494/E1494)</x:f>
        <x:v>0.08737864077669903</x:v>
      </x:c>
      <x:c r="T1494" s="15" t="n">
        <x:f>IF(E1494=0,"해당 없음",L1494/E1494)</x:f>
        <x:v>0.3106796116504854</x:v>
      </x:c>
      <x:c r="U1494" s="15" t="n">
        <x:f>IF(E1494=0,"해당 없음",M1494/E1494)</x:f>
        <x:v>0.2524271844660194</x:v>
      </x:c>
      <x:c r="V1494" s="16" t="n">
        <x:f>E1494/5</x:f>
        <x:v>20.6</x:v>
      </x:c>
    </x:row>
    <x:row r="1495" ht="22" customHeight="1">
      <x:c r="A1495" s="2" t="n">
        <x:v>745</x:v>
      </x:c>
      <x:c r="B1495" s="2" t="str">
        <x:v>NAVY</x:v>
      </x:c>
      <x:c r="C1495" s="2" t="str">
        <x:v>120만</x:v>
      </x:c>
      <x:c r="D1495" s="2" t="str">
        <x:v>80만</x:v>
      </x:c>
      <x:c r="E1495" s="14" t="n">
        <x:f>SUM(F1495:M1495)</x:f>
        <x:v>104</x:v>
      </x:c>
      <x:c r="F1495" s="14" t="n">
        <x:v>4</x:v>
      </x:c>
      <x:c r="G1495" s="14" t="n">
        <x:v>15</x:v>
      </x:c>
      <x:c r="H1495" s="14" t="n">
        <x:v>6</x:v>
      </x:c>
      <x:c r="I1495" s="14" t="n">
        <x:v>8</x:v>
      </x:c>
      <x:c r="J1495" s="14" t="n">
        <x:v>4</x:v>
      </x:c>
      <x:c r="K1495" s="14" t="n">
        <x:v>6</x:v>
      </x:c>
      <x:c r="L1495" s="14" t="n">
        <x:v>35</x:v>
      </x:c>
      <x:c r="M1495" s="14" t="n">
        <x:v>26</x:v>
      </x:c>
      <x:c r="N1495" s="15" t="n">
        <x:f>IF(E1495=0,"해당 없음",F1495/E1495)</x:f>
        <x:v>0.038461538461538464</x:v>
      </x:c>
      <x:c r="O1495" s="15" t="n">
        <x:f>IF(E1495=0,"해당 없음",G1495/E1495)</x:f>
        <x:v>0.14423076923076922</x:v>
      </x:c>
      <x:c r="P1495" s="15" t="n">
        <x:f>IF(E1495=0,"해당 없음",H1495/E1495)</x:f>
        <x:v>0.057692307692307696</x:v>
      </x:c>
      <x:c r="Q1495" s="15" t="n">
        <x:f>IF(E1495=0,"해당 없음",I1495/E1495)</x:f>
        <x:v>0.07692307692307693</x:v>
      </x:c>
      <x:c r="R1495" s="15" t="n">
        <x:f>IF(E1495=0,"해당 없음",J1495/E1495)</x:f>
        <x:v>0.038461538461538464</x:v>
      </x:c>
      <x:c r="S1495" s="15" t="n">
        <x:f>IF(E1495=0,"해당 없음",K1495/E1495)</x:f>
        <x:v>0.057692307692307696</x:v>
      </x:c>
      <x:c r="T1495" s="15" t="n">
        <x:f>IF(E1495=0,"해당 없음",L1495/E1495)</x:f>
        <x:v>0.33653846153846156</x:v>
      </x:c>
      <x:c r="U1495" s="15" t="n">
        <x:f>IF(E1495=0,"해당 없음",M1495/E1495)</x:f>
        <x:v>0.25</x:v>
      </x:c>
      <x:c r="V1495" s="16" t="n">
        <x:f>E1495/5</x:f>
        <x:v>20.8</x:v>
      </x:c>
    </x:row>
    <x:row r="1496" ht="22" customHeight="1">
      <x:c r="A1496" s="2" t="n">
        <x:v>746</x:v>
      </x:c>
      <x:c r="B1496" s="2" t="str">
        <x:v>RED</x:v>
      </x:c>
      <x:c r="C1496" s="2" t="str">
        <x:v>120만</x:v>
      </x:c>
      <x:c r="D1496" s="2" t="str">
        <x:v>80만</x:v>
      </x:c>
      <x:c r="E1496" s="14" t="n">
        <x:f>SUM(F1496:M1496)</x:f>
        <x:v>105</x:v>
      </x:c>
      <x:c r="F1496" s="14" t="n">
        <x:v>4</x:v>
      </x:c>
      <x:c r="G1496" s="14" t="n">
        <x:v>17</x:v>
      </x:c>
      <x:c r="H1496" s="14" t="n">
        <x:v>8</x:v>
      </x:c>
      <x:c r="I1496" s="14" t="n">
        <x:v>11</x:v>
      </x:c>
      <x:c r="J1496" s="14" t="n">
        <x:v>2</x:v>
      </x:c>
      <x:c r="K1496" s="14" t="n">
        <x:v>11</x:v>
      </x:c>
      <x:c r="L1496" s="14" t="n">
        <x:v>36</x:v>
      </x:c>
      <x:c r="M1496" s="14" t="n">
        <x:v>16</x:v>
      </x:c>
      <x:c r="N1496" s="15" t="n">
        <x:f>IF(E1496=0,"해당 없음",F1496/E1496)</x:f>
        <x:v>0.0380952380952381</x:v>
      </x:c>
      <x:c r="O1496" s="15" t="n">
        <x:f>IF(E1496=0,"해당 없음",G1496/E1496)</x:f>
        <x:v>0.1619047619047619</x:v>
      </x:c>
      <x:c r="P1496" s="15" t="n">
        <x:f>IF(E1496=0,"해당 없음",H1496/E1496)</x:f>
        <x:v>0.0761904761904762</x:v>
      </x:c>
      <x:c r="Q1496" s="15" t="n">
        <x:f>IF(E1496=0,"해당 없음",I1496/E1496)</x:f>
        <x:v>0.10476190476190476</x:v>
      </x:c>
      <x:c r="R1496" s="15" t="n">
        <x:f>IF(E1496=0,"해당 없음",J1496/E1496)</x:f>
        <x:v>0.01904761904761905</x:v>
      </x:c>
      <x:c r="S1496" s="15" t="n">
        <x:f>IF(E1496=0,"해당 없음",K1496/E1496)</x:f>
        <x:v>0.10476190476190476</x:v>
      </x:c>
      <x:c r="T1496" s="15" t="n">
        <x:f>IF(E1496=0,"해당 없음",L1496/E1496)</x:f>
        <x:v>0.34285714285714286</x:v>
      </x:c>
      <x:c r="U1496" s="15" t="n">
        <x:f>IF(E1496=0,"해당 없음",M1496/E1496)</x:f>
        <x:v>0.1523809523809524</x:v>
      </x:c>
      <x:c r="V1496" s="16" t="n">
        <x:f>E1496/5</x:f>
        <x:v>21</x:v>
      </x:c>
    </x:row>
    <x:row r="1497" ht="22" customHeight="1">
      <x:c r="A1497" s="2" t="n">
        <x:v>746</x:v>
      </x:c>
      <x:c r="B1497" s="2" t="str">
        <x:v>NAVY</x:v>
      </x:c>
      <x:c r="C1497" s="2" t="str">
        <x:v>80만</x:v>
      </x:c>
      <x:c r="D1497" s="2" t="str">
        <x:v>120만</x:v>
      </x:c>
      <x:c r="E1497" s="14" t="n">
        <x:f>SUM(F1497:M1497)</x:f>
        <x:v>104</x:v>
      </x:c>
      <x:c r="F1497" s="14" t="n">
        <x:v>4</x:v>
      </x:c>
      <x:c r="G1497" s="14" t="n">
        <x:v>20</x:v>
      </x:c>
      <x:c r="H1497" s="14" t="n">
        <x:v>10</x:v>
      </x:c>
      <x:c r="I1497" s="14" t="n">
        <x:v>2</x:v>
      </x:c>
      <x:c r="J1497" s="14" t="n">
        <x:v>5</x:v>
      </x:c>
      <x:c r="K1497" s="14" t="n">
        <x:v>10</x:v>
      </x:c>
      <x:c r="L1497" s="14" t="n">
        <x:v>30</x:v>
      </x:c>
      <x:c r="M1497" s="14" t="n">
        <x:v>23</x:v>
      </x:c>
      <x:c r="N1497" s="15" t="n">
        <x:f>IF(E1497=0,"해당 없음",F1497/E1497)</x:f>
        <x:v>0.038461538461538464</x:v>
      </x:c>
      <x:c r="O1497" s="15" t="n">
        <x:f>IF(E1497=0,"해당 없음",G1497/E1497)</x:f>
        <x:v>0.19230769230769232</x:v>
      </x:c>
      <x:c r="P1497" s="15" t="n">
        <x:f>IF(E1497=0,"해당 없음",H1497/E1497)</x:f>
        <x:v>0.09615384615384616</x:v>
      </x:c>
      <x:c r="Q1497" s="15" t="n">
        <x:f>IF(E1497=0,"해당 없음",I1497/E1497)</x:f>
        <x:v>0.019230769230769232</x:v>
      </x:c>
      <x:c r="R1497" s="15" t="n">
        <x:f>IF(E1497=0,"해당 없음",J1497/E1497)</x:f>
        <x:v>0.04807692307692308</x:v>
      </x:c>
      <x:c r="S1497" s="15" t="n">
        <x:f>IF(E1497=0,"해당 없음",K1497/E1497)</x:f>
        <x:v>0.09615384615384616</x:v>
      </x:c>
      <x:c r="T1497" s="15" t="n">
        <x:f>IF(E1497=0,"해당 없음",L1497/E1497)</x:f>
        <x:v>0.28846153846153844</x:v>
      </x:c>
      <x:c r="U1497" s="15" t="n">
        <x:f>IF(E1497=0,"해당 없음",M1497/E1497)</x:f>
        <x:v>0.22115384615384615</x:v>
      </x:c>
      <x:c r="V1497" s="16" t="n">
        <x:f>E1497/5</x:f>
        <x:v>20.8</x:v>
      </x:c>
    </x:row>
    <x:row r="1498" ht="22" customHeight="1">
      <x:c r="A1498" s="2" t="n">
        <x:v>747</x:v>
      </x:c>
      <x:c r="B1498" s="2" t="str">
        <x:v>RED</x:v>
      </x:c>
      <x:c r="C1498" s="2" t="str">
        <x:v>80만</x:v>
      </x:c>
      <x:c r="D1498" s="2" t="str">
        <x:v>120만</x:v>
      </x:c>
      <x:c r="E1498" s="14" t="n">
        <x:f>SUM(F1498:M1498)</x:f>
        <x:v>104</x:v>
      </x:c>
      <x:c r="F1498" s="14" t="n">
        <x:v>3</x:v>
      </x:c>
      <x:c r="G1498" s="14" t="n">
        <x:v>21</x:v>
      </x:c>
      <x:c r="H1498" s="14" t="n">
        <x:v>3</x:v>
      </x:c>
      <x:c r="I1498" s="14" t="n">
        <x:v>6</x:v>
      </x:c>
      <x:c r="J1498" s="14" t="n">
        <x:v>3</x:v>
      </x:c>
      <x:c r="K1498" s="14" t="n">
        <x:v>3</x:v>
      </x:c>
      <x:c r="L1498" s="14" t="n">
        <x:v>37</x:v>
      </x:c>
      <x:c r="M1498" s="14" t="n">
        <x:v>28</x:v>
      </x:c>
      <x:c r="N1498" s="15" t="n">
        <x:f>IF(E1498=0,"해당 없음",F1498/E1498)</x:f>
        <x:v>0.028846153846153848</x:v>
      </x:c>
      <x:c r="O1498" s="15" t="n">
        <x:f>IF(E1498=0,"해당 없음",G1498/E1498)</x:f>
        <x:v>0.20192307692307693</x:v>
      </x:c>
      <x:c r="P1498" s="15" t="n">
        <x:f>IF(E1498=0,"해당 없음",H1498/E1498)</x:f>
        <x:v>0.028846153846153848</x:v>
      </x:c>
      <x:c r="Q1498" s="15" t="n">
        <x:f>IF(E1498=0,"해당 없음",I1498/E1498)</x:f>
        <x:v>0.057692307692307696</x:v>
      </x:c>
      <x:c r="R1498" s="15" t="n">
        <x:f>IF(E1498=0,"해당 없음",J1498/E1498)</x:f>
        <x:v>0.028846153846153848</x:v>
      </x:c>
      <x:c r="S1498" s="15" t="n">
        <x:f>IF(E1498=0,"해당 없음",K1498/E1498)</x:f>
        <x:v>0.028846153846153848</x:v>
      </x:c>
      <x:c r="T1498" s="15" t="n">
        <x:f>IF(E1498=0,"해당 없음",L1498/E1498)</x:f>
        <x:v>0.3557692307692308</x:v>
      </x:c>
      <x:c r="U1498" s="15" t="n">
        <x:f>IF(E1498=0,"해당 없음",M1498/E1498)</x:f>
        <x:v>0.2692307692307692</x:v>
      </x:c>
      <x:c r="V1498" s="16" t="n">
        <x:f>E1498/5</x:f>
        <x:v>20.8</x:v>
      </x:c>
    </x:row>
    <x:row r="1499" ht="22" customHeight="1">
      <x:c r="A1499" s="2" t="n">
        <x:v>747</x:v>
      </x:c>
      <x:c r="B1499" s="2" t="str">
        <x:v>NAVY</x:v>
      </x:c>
      <x:c r="C1499" s="2" t="str">
        <x:v>120만</x:v>
      </x:c>
      <x:c r="D1499" s="2" t="str">
        <x:v>80만</x:v>
      </x:c>
      <x:c r="E1499" s="14" t="n">
        <x:f>SUM(F1499:M1499)</x:f>
        <x:v>101</x:v>
      </x:c>
      <x:c r="F1499" s="14" t="n">
        <x:v>0</x:v>
      </x:c>
      <x:c r="G1499" s="14" t="n">
        <x:v>17</x:v>
      </x:c>
      <x:c r="H1499" s="14" t="n">
        <x:v>2</x:v>
      </x:c>
      <x:c r="I1499" s="14" t="n">
        <x:v>12</x:v>
      </x:c>
      <x:c r="J1499" s="14" t="n">
        <x:v>6</x:v>
      </x:c>
      <x:c r="K1499" s="14" t="n">
        <x:v>11</x:v>
      </x:c>
      <x:c r="L1499" s="14" t="n">
        <x:v>38</x:v>
      </x:c>
      <x:c r="M1499" s="14" t="n">
        <x:v>15</x:v>
      </x:c>
      <x:c r="N1499" s="15" t="n">
        <x:f>IF(E1499=0,"해당 없음",F1499/E1499)</x:f>
        <x:v>0</x:v>
      </x:c>
      <x:c r="O1499" s="15" t="n">
        <x:f>IF(E1499=0,"해당 없음",G1499/E1499)</x:f>
        <x:v>0.16831683168316833</x:v>
      </x:c>
      <x:c r="P1499" s="15" t="n">
        <x:f>IF(E1499=0,"해당 없음",H1499/E1499)</x:f>
        <x:v>0.019801980198019802</x:v>
      </x:c>
      <x:c r="Q1499" s="15" t="n">
        <x:f>IF(E1499=0,"해당 없음",I1499/E1499)</x:f>
        <x:v>0.1188118811881188</x:v>
      </x:c>
      <x:c r="R1499" s="15" t="n">
        <x:f>IF(E1499=0,"해당 없음",J1499/E1499)</x:f>
        <x:v>0.0594059405940594</x:v>
      </x:c>
      <x:c r="S1499" s="15" t="n">
        <x:f>IF(E1499=0,"해당 없음",K1499/E1499)</x:f>
        <x:v>0.10891089108910891</x:v>
      </x:c>
      <x:c r="T1499" s="15" t="n">
        <x:f>IF(E1499=0,"해당 없음",L1499/E1499)</x:f>
        <x:v>0.37623762376237624</x:v>
      </x:c>
      <x:c r="U1499" s="15" t="n">
        <x:f>IF(E1499=0,"해당 없음",M1499/E1499)</x:f>
        <x:v>0.1485148514851485</x:v>
      </x:c>
      <x:c r="V1499" s="16" t="n">
        <x:f>E1499/5</x:f>
        <x:v>20.2</x:v>
      </x:c>
    </x:row>
    <x:row r="1500" ht="22" customHeight="1">
      <x:c r="A1500" s="2" t="n">
        <x:v>748</x:v>
      </x:c>
      <x:c r="B1500" s="2" t="str">
        <x:v>RED</x:v>
      </x:c>
      <x:c r="C1500" s="2" t="str">
        <x:v>120만</x:v>
      </x:c>
      <x:c r="D1500" s="2" t="str">
        <x:v>80만</x:v>
      </x:c>
      <x:c r="E1500" s="14" t="n">
        <x:f>SUM(F1500:M1500)</x:f>
        <x:v>104</x:v>
      </x:c>
      <x:c r="F1500" s="14" t="n">
        <x:v>2</x:v>
      </x:c>
      <x:c r="G1500" s="14" t="n">
        <x:v>11</x:v>
      </x:c>
      <x:c r="H1500" s="14" t="n">
        <x:v>1</x:v>
      </x:c>
      <x:c r="I1500" s="14" t="n">
        <x:v>14</x:v>
      </x:c>
      <x:c r="J1500" s="14" t="n">
        <x:v>4</x:v>
      </x:c>
      <x:c r="K1500" s="14" t="n">
        <x:v>4</x:v>
      </x:c>
      <x:c r="L1500" s="14" t="n">
        <x:v>40</x:v>
      </x:c>
      <x:c r="M1500" s="14" t="n">
        <x:v>28</x:v>
      </x:c>
      <x:c r="N1500" s="15" t="n">
        <x:f>IF(E1500=0,"해당 없음",F1500/E1500)</x:f>
        <x:v>0.019230769230769232</x:v>
      </x:c>
      <x:c r="O1500" s="15" t="n">
        <x:f>IF(E1500=0,"해당 없음",G1500/E1500)</x:f>
        <x:v>0.10576923076923077</x:v>
      </x:c>
      <x:c r="P1500" s="15" t="n">
        <x:f>IF(E1500=0,"해당 없음",H1500/E1500)</x:f>
        <x:v>0.009615384615384616</x:v>
      </x:c>
      <x:c r="Q1500" s="15" t="n">
        <x:f>IF(E1500=0,"해당 없음",I1500/E1500)</x:f>
        <x:v>0.1346153846153846</x:v>
      </x:c>
      <x:c r="R1500" s="15" t="n">
        <x:f>IF(E1500=0,"해당 없음",J1500/E1500)</x:f>
        <x:v>0.038461538461538464</x:v>
      </x:c>
      <x:c r="S1500" s="15" t="n">
        <x:f>IF(E1500=0,"해당 없음",K1500/E1500)</x:f>
        <x:v>0.038461538461538464</x:v>
      </x:c>
      <x:c r="T1500" s="15" t="n">
        <x:f>IF(E1500=0,"해당 없음",L1500/E1500)</x:f>
        <x:v>0.38461538461538464</x:v>
      </x:c>
      <x:c r="U1500" s="15" t="n">
        <x:f>IF(E1500=0,"해당 없음",M1500/E1500)</x:f>
        <x:v>0.2692307692307692</x:v>
      </x:c>
      <x:c r="V1500" s="16" t="n">
        <x:f>E1500/5</x:f>
        <x:v>20.8</x:v>
      </x:c>
    </x:row>
    <x:row r="1501" ht="22" customHeight="1">
      <x:c r="A1501" s="2" t="n">
        <x:v>748</x:v>
      </x:c>
      <x:c r="B1501" s="2" t="str">
        <x:v>NAVY</x:v>
      </x:c>
      <x:c r="C1501" s="2" t="str">
        <x:v>80만</x:v>
      </x:c>
      <x:c r="D1501" s="2" t="str">
        <x:v>120만</x:v>
      </x:c>
      <x:c r="E1501" s="14" t="n">
        <x:f>SUM(F1501:M1501)</x:f>
        <x:v>103</x:v>
      </x:c>
      <x:c r="F1501" s="14" t="n">
        <x:v>2</x:v>
      </x:c>
      <x:c r="G1501" s="14" t="n">
        <x:v>13</x:v>
      </x:c>
      <x:c r="H1501" s="14" t="n">
        <x:v>6</x:v>
      </x:c>
      <x:c r="I1501" s="14" t="n">
        <x:v>7</x:v>
      </x:c>
      <x:c r="J1501" s="14" t="n">
        <x:v>0</x:v>
      </x:c>
      <x:c r="K1501" s="14" t="n">
        <x:v>5</x:v>
      </x:c>
      <x:c r="L1501" s="14" t="n">
        <x:v>44</x:v>
      </x:c>
      <x:c r="M1501" s="14" t="n">
        <x:v>26</x:v>
      </x:c>
      <x:c r="N1501" s="15" t="n">
        <x:f>IF(E1501=0,"해당 없음",F1501/E1501)</x:f>
        <x:v>0.019417475728155338</x:v>
      </x:c>
      <x:c r="O1501" s="15" t="n">
        <x:f>IF(E1501=0,"해당 없음",G1501/E1501)</x:f>
        <x:v>0.1262135922330097</x:v>
      </x:c>
      <x:c r="P1501" s="15" t="n">
        <x:f>IF(E1501=0,"해당 없음",H1501/E1501)</x:f>
        <x:v>0.05825242718446602</x:v>
      </x:c>
      <x:c r="Q1501" s="15" t="n">
        <x:f>IF(E1501=0,"해당 없음",I1501/E1501)</x:f>
        <x:v>0.06796116504854369</x:v>
      </x:c>
      <x:c r="R1501" s="15" t="n">
        <x:f>IF(E1501=0,"해당 없음",J1501/E1501)</x:f>
        <x:v>0</x:v>
      </x:c>
      <x:c r="S1501" s="15" t="n">
        <x:f>IF(E1501=0,"해당 없음",K1501/E1501)</x:f>
        <x:v>0.04854368932038835</x:v>
      </x:c>
      <x:c r="T1501" s="15" t="n">
        <x:f>IF(E1501=0,"해당 없음",L1501/E1501)</x:f>
        <x:v>0.42718446601941745</x:v>
      </x:c>
      <x:c r="U1501" s="15" t="n">
        <x:f>IF(E1501=0,"해당 없음",M1501/E1501)</x:f>
        <x:v>0.2524271844660194</x:v>
      </x:c>
      <x:c r="V1501" s="16" t="n">
        <x:f>E1501/5</x:f>
        <x:v>20.6</x:v>
      </x:c>
    </x:row>
    <x:row r="1502" ht="22" customHeight="1">
      <x:c r="A1502" s="2" t="n">
        <x:v>749</x:v>
      </x:c>
      <x:c r="B1502" s="2" t="str">
        <x:v>RED</x:v>
      </x:c>
      <x:c r="C1502" s="2" t="str">
        <x:v>80만</x:v>
      </x:c>
      <x:c r="D1502" s="2" t="str">
        <x:v>120만</x:v>
      </x:c>
      <x:c r="E1502" s="14" t="n">
        <x:f>SUM(F1502:M1502)</x:f>
        <x:v>102</x:v>
      </x:c>
      <x:c r="F1502" s="14" t="n">
        <x:v>4</x:v>
      </x:c>
      <x:c r="G1502" s="14" t="n">
        <x:v>16</x:v>
      </x:c>
      <x:c r="H1502" s="14" t="n">
        <x:v>3</x:v>
      </x:c>
      <x:c r="I1502" s="14" t="n">
        <x:v>9</x:v>
      </x:c>
      <x:c r="J1502" s="14" t="n">
        <x:v>1</x:v>
      </x:c>
      <x:c r="K1502" s="14" t="n">
        <x:v>9</x:v>
      </x:c>
      <x:c r="L1502" s="14" t="n">
        <x:v>42</x:v>
      </x:c>
      <x:c r="M1502" s="14" t="n">
        <x:v>18</x:v>
      </x:c>
      <x:c r="N1502" s="15" t="n">
        <x:f>IF(E1502=0,"해당 없음",F1502/E1502)</x:f>
        <x:v>0.0392156862745098</x:v>
      </x:c>
      <x:c r="O1502" s="15" t="n">
        <x:f>IF(E1502=0,"해당 없음",G1502/E1502)</x:f>
        <x:v>0.1568627450980392</x:v>
      </x:c>
      <x:c r="P1502" s="15" t="n">
        <x:f>IF(E1502=0,"해당 없음",H1502/E1502)</x:f>
        <x:v>0.029411764705882353</x:v>
      </x:c>
      <x:c r="Q1502" s="15" t="n">
        <x:f>IF(E1502=0,"해당 없음",I1502/E1502)</x:f>
        <x:v>0.08823529411764706</x:v>
      </x:c>
      <x:c r="R1502" s="15" t="n">
        <x:f>IF(E1502=0,"해당 없음",J1502/E1502)</x:f>
        <x:v>0.00980392156862745</x:v>
      </x:c>
      <x:c r="S1502" s="15" t="n">
        <x:f>IF(E1502=0,"해당 없음",K1502/E1502)</x:f>
        <x:v>0.08823529411764706</x:v>
      </x:c>
      <x:c r="T1502" s="15" t="n">
        <x:f>IF(E1502=0,"해당 없음",L1502/E1502)</x:f>
        <x:v>0.4117647058823529</x:v>
      </x:c>
      <x:c r="U1502" s="15" t="n">
        <x:f>IF(E1502=0,"해당 없음",M1502/E1502)</x:f>
        <x:v>0.17647058823529413</x:v>
      </x:c>
      <x:c r="V1502" s="16" t="n">
        <x:f>E1502/5</x:f>
        <x:v>20.4</x:v>
      </x:c>
    </x:row>
    <x:row r="1503" ht="22" customHeight="1">
      <x:c r="A1503" s="2" t="n">
        <x:v>749</x:v>
      </x:c>
      <x:c r="B1503" s="2" t="str">
        <x:v>NAVY</x:v>
      </x:c>
      <x:c r="C1503" s="2" t="str">
        <x:v>120만</x:v>
      </x:c>
      <x:c r="D1503" s="2" t="str">
        <x:v>80만</x:v>
      </x:c>
      <x:c r="E1503" s="14" t="n">
        <x:f>SUM(F1503:M1503)</x:f>
        <x:v>104</x:v>
      </x:c>
      <x:c r="F1503" s="14" t="n">
        <x:v>3</x:v>
      </x:c>
      <x:c r="G1503" s="14" t="n">
        <x:v>10</x:v>
      </x:c>
      <x:c r="H1503" s="14" t="n">
        <x:v>5</x:v>
      </x:c>
      <x:c r="I1503" s="14" t="n">
        <x:v>8</x:v>
      </x:c>
      <x:c r="J1503" s="14" t="n">
        <x:v>4</x:v>
      </x:c>
      <x:c r="K1503" s="14" t="n">
        <x:v>9</x:v>
      </x:c>
      <x:c r="L1503" s="14" t="n">
        <x:v>39</x:v>
      </x:c>
      <x:c r="M1503" s="14" t="n">
        <x:v>26</x:v>
      </x:c>
      <x:c r="N1503" s="15" t="n">
        <x:f>IF(E1503=0,"해당 없음",F1503/E1503)</x:f>
        <x:v>0.028846153846153848</x:v>
      </x:c>
      <x:c r="O1503" s="15" t="n">
        <x:f>IF(E1503=0,"해당 없음",G1503/E1503)</x:f>
        <x:v>0.09615384615384616</x:v>
      </x:c>
      <x:c r="P1503" s="15" t="n">
        <x:f>IF(E1503=0,"해당 없음",H1503/E1503)</x:f>
        <x:v>0.04807692307692308</x:v>
      </x:c>
      <x:c r="Q1503" s="15" t="n">
        <x:f>IF(E1503=0,"해당 없음",I1503/E1503)</x:f>
        <x:v>0.07692307692307693</x:v>
      </x:c>
      <x:c r="R1503" s="15" t="n">
        <x:f>IF(E1503=0,"해당 없음",J1503/E1503)</x:f>
        <x:v>0.038461538461538464</x:v>
      </x:c>
      <x:c r="S1503" s="15" t="n">
        <x:f>IF(E1503=0,"해당 없음",K1503/E1503)</x:f>
        <x:v>0.08653846153846154</x:v>
      </x:c>
      <x:c r="T1503" s="15" t="n">
        <x:f>IF(E1503=0,"해당 없음",L1503/E1503)</x:f>
        <x:v>0.375</x:v>
      </x:c>
      <x:c r="U1503" s="15" t="n">
        <x:f>IF(E1503=0,"해당 없음",M1503/E1503)</x:f>
        <x:v>0.25</x:v>
      </x:c>
      <x:c r="V1503" s="16" t="n">
        <x:f>E1503/5</x:f>
        <x:v>20.8</x:v>
      </x:c>
    </x:row>
    <x:row r="1504" ht="22" customHeight="1">
      <x:c r="A1504" s="2" t="n">
        <x:v>750</x:v>
      </x:c>
      <x:c r="B1504" s="2" t="str">
        <x:v>RED</x:v>
      </x:c>
      <x:c r="C1504" s="2" t="str">
        <x:v>120만</x:v>
      </x:c>
      <x:c r="D1504" s="2" t="str">
        <x:v>80만</x:v>
      </x:c>
      <x:c r="E1504" s="14" t="n">
        <x:f>SUM(F1504:M1504)</x:f>
        <x:v>102</x:v>
      </x:c>
      <x:c r="F1504" s="14" t="n">
        <x:v>3</x:v>
      </x:c>
      <x:c r="G1504" s="14" t="n">
        <x:v>12</x:v>
      </x:c>
      <x:c r="H1504" s="14" t="n">
        <x:v>3</x:v>
      </x:c>
      <x:c r="I1504" s="14" t="n">
        <x:v>10</x:v>
      </x:c>
      <x:c r="J1504" s="14" t="n">
        <x:v>2</x:v>
      </x:c>
      <x:c r="K1504" s="14" t="n">
        <x:v>7</x:v>
      </x:c>
      <x:c r="L1504" s="14" t="n">
        <x:v>45</x:v>
      </x:c>
      <x:c r="M1504" s="14" t="n">
        <x:v>20</x:v>
      </x:c>
      <x:c r="N1504" s="15" t="n">
        <x:f>IF(E1504=0,"해당 없음",F1504/E1504)</x:f>
        <x:v>0.029411764705882353</x:v>
      </x:c>
      <x:c r="O1504" s="15" t="n">
        <x:f>IF(E1504=0,"해당 없음",G1504/E1504)</x:f>
        <x:v>0.11764705882352941</x:v>
      </x:c>
      <x:c r="P1504" s="15" t="n">
        <x:f>IF(E1504=0,"해당 없음",H1504/E1504)</x:f>
        <x:v>0.029411764705882353</x:v>
      </x:c>
      <x:c r="Q1504" s="15" t="n">
        <x:f>IF(E1504=0,"해당 없음",I1504/E1504)</x:f>
        <x:v>0.09803921568627451</x:v>
      </x:c>
      <x:c r="R1504" s="15" t="n">
        <x:f>IF(E1504=0,"해당 없음",J1504/E1504)</x:f>
        <x:v>0.0196078431372549</x:v>
      </x:c>
      <x:c r="S1504" s="15" t="n">
        <x:f>IF(E1504=0,"해당 없음",K1504/E1504)</x:f>
        <x:v>0.06862745098039216</x:v>
      </x:c>
      <x:c r="T1504" s="15" t="n">
        <x:f>IF(E1504=0,"해당 없음",L1504/E1504)</x:f>
        <x:v>0.4411764705882353</x:v>
      </x:c>
      <x:c r="U1504" s="15" t="n">
        <x:f>IF(E1504=0,"해당 없음",M1504/E1504)</x:f>
        <x:v>0.19607843137254902</x:v>
      </x:c>
      <x:c r="V1504" s="16" t="n">
        <x:f>E1504/5</x:f>
        <x:v>20.4</x:v>
      </x:c>
    </x:row>
    <x:row r="1505" ht="22" customHeight="1">
      <x:c r="A1505" s="2" t="n">
        <x:v>750</x:v>
      </x:c>
      <x:c r="B1505" s="2" t="str">
        <x:v>NAVY</x:v>
      </x:c>
      <x:c r="C1505" s="2" t="str">
        <x:v>80만</x:v>
      </x:c>
      <x:c r="D1505" s="2" t="str">
        <x:v>120만</x:v>
      </x:c>
      <x:c r="E1505" s="14" t="n">
        <x:f>SUM(F1505:M1505)</x:f>
        <x:v>101</x:v>
      </x:c>
      <x:c r="F1505" s="14" t="n">
        <x:v>3</x:v>
      </x:c>
      <x:c r="G1505" s="14" t="n">
        <x:v>13</x:v>
      </x:c>
      <x:c r="H1505" s="14" t="n">
        <x:v>7</x:v>
      </x:c>
      <x:c r="I1505" s="14" t="n">
        <x:v>6</x:v>
      </x:c>
      <x:c r="J1505" s="14" t="n">
        <x:v>2</x:v>
      </x:c>
      <x:c r="K1505" s="14" t="n">
        <x:v>9</x:v>
      </x:c>
      <x:c r="L1505" s="14" t="n">
        <x:v>37</x:v>
      </x:c>
      <x:c r="M1505" s="14" t="n">
        <x:v>24</x:v>
      </x:c>
      <x:c r="N1505" s="15" t="n">
        <x:f>IF(E1505=0,"해당 없음",F1505/E1505)</x:f>
        <x:v>0.0297029702970297</x:v>
      </x:c>
      <x:c r="O1505" s="15" t="n">
        <x:f>IF(E1505=0,"해당 없음",G1505/E1505)</x:f>
        <x:v>0.12871287128712872</x:v>
      </x:c>
      <x:c r="P1505" s="15" t="n">
        <x:f>IF(E1505=0,"해당 없음",H1505/E1505)</x:f>
        <x:v>0.06930693069306931</x:v>
      </x:c>
      <x:c r="Q1505" s="15" t="n">
        <x:f>IF(E1505=0,"해당 없음",I1505/E1505)</x:f>
        <x:v>0.0594059405940594</x:v>
      </x:c>
      <x:c r="R1505" s="15" t="n">
        <x:f>IF(E1505=0,"해당 없음",J1505/E1505)</x:f>
        <x:v>0.019801980198019802</x:v>
      </x:c>
      <x:c r="S1505" s="15" t="n">
        <x:f>IF(E1505=0,"해당 없음",K1505/E1505)</x:f>
        <x:v>0.0891089108910891</x:v>
      </x:c>
      <x:c r="T1505" s="15" t="n">
        <x:f>IF(E1505=0,"해당 없음",L1505/E1505)</x:f>
        <x:v>0.36633663366336633</x:v>
      </x:c>
      <x:c r="U1505" s="15" t="n">
        <x:f>IF(E1505=0,"해당 없음",M1505/E1505)</x:f>
        <x:v>0.2376237623762376</x:v>
      </x:c>
      <x:c r="V1505" s="16" t="n">
        <x:f>E1505/5</x:f>
        <x:v>20.2</x:v>
      </x:c>
    </x:row>
    <x:row r="1506" ht="22" customHeight="1">
      <x:c r="A1506" s="2" t="n">
        <x:v>751</x:v>
      </x:c>
      <x:c r="B1506" s="2" t="str">
        <x:v>RED</x:v>
      </x:c>
      <x:c r="C1506" s="2" t="str">
        <x:v>80만</x:v>
      </x:c>
      <x:c r="D1506" s="2" t="str">
        <x:v>120만</x:v>
      </x:c>
      <x:c r="E1506" s="14" t="n">
        <x:f>SUM(F1506:M1506)</x:f>
        <x:v>101</x:v>
      </x:c>
      <x:c r="F1506" s="14" t="n">
        <x:v>4</x:v>
      </x:c>
      <x:c r="G1506" s="14" t="n">
        <x:v>20</x:v>
      </x:c>
      <x:c r="H1506" s="14" t="n">
        <x:v>8</x:v>
      </x:c>
      <x:c r="I1506" s="14" t="n">
        <x:v>7</x:v>
      </x:c>
      <x:c r="J1506" s="14" t="n">
        <x:v>2</x:v>
      </x:c>
      <x:c r="K1506" s="14" t="n">
        <x:v>16</x:v>
      </x:c>
      <x:c r="L1506" s="14" t="n">
        <x:v>29</x:v>
      </x:c>
      <x:c r="M1506" s="14" t="n">
        <x:v>15</x:v>
      </x:c>
      <x:c r="N1506" s="15" t="n">
        <x:f>IF(E1506=0,"해당 없음",F1506/E1506)</x:f>
        <x:v>0.039603960396039604</x:v>
      </x:c>
      <x:c r="O1506" s="15" t="n">
        <x:f>IF(E1506=0,"해당 없음",G1506/E1506)</x:f>
        <x:v>0.19801980198019803</x:v>
      </x:c>
      <x:c r="P1506" s="15" t="n">
        <x:f>IF(E1506=0,"해당 없음",H1506/E1506)</x:f>
        <x:v>0.07920792079207921</x:v>
      </x:c>
      <x:c r="Q1506" s="15" t="n">
        <x:f>IF(E1506=0,"해당 없음",I1506/E1506)</x:f>
        <x:v>0.06930693069306931</x:v>
      </x:c>
      <x:c r="R1506" s="15" t="n">
        <x:f>IF(E1506=0,"해당 없음",J1506/E1506)</x:f>
        <x:v>0.019801980198019802</x:v>
      </x:c>
      <x:c r="S1506" s="15" t="n">
        <x:f>IF(E1506=0,"해당 없음",K1506/E1506)</x:f>
        <x:v>0.15841584158415842</x:v>
      </x:c>
      <x:c r="T1506" s="15" t="n">
        <x:f>IF(E1506=0,"해당 없음",L1506/E1506)</x:f>
        <x:v>0.2871287128712871</x:v>
      </x:c>
      <x:c r="U1506" s="15" t="n">
        <x:f>IF(E1506=0,"해당 없음",M1506/E1506)</x:f>
        <x:v>0.1485148514851485</x:v>
      </x:c>
      <x:c r="V1506" s="16" t="n">
        <x:f>E1506/5</x:f>
        <x:v>20.2</x:v>
      </x:c>
    </x:row>
    <x:row r="1507" ht="22" customHeight="1">
      <x:c r="A1507" s="2" t="n">
        <x:v>751</x:v>
      </x:c>
      <x:c r="B1507" s="2" t="str">
        <x:v>NAVY</x:v>
      </x:c>
      <x:c r="C1507" s="2" t="str">
        <x:v>120만</x:v>
      </x:c>
      <x:c r="D1507" s="2" t="str">
        <x:v>80만</x:v>
      </x:c>
      <x:c r="E1507" s="14" t="n">
        <x:f>SUM(F1507:M1507)</x:f>
        <x:v>102</x:v>
      </x:c>
      <x:c r="F1507" s="14" t="n">
        <x:v>0</x:v>
      </x:c>
      <x:c r="G1507" s="14" t="n">
        <x:v>16</x:v>
      </x:c>
      <x:c r="H1507" s="14" t="n">
        <x:v>8</x:v>
      </x:c>
      <x:c r="I1507" s="14" t="n">
        <x:v>2</x:v>
      </x:c>
      <x:c r="J1507" s="14" t="n">
        <x:v>2</x:v>
      </x:c>
      <x:c r="K1507" s="14" t="n">
        <x:v>5</x:v>
      </x:c>
      <x:c r="L1507" s="14" t="n">
        <x:v>40</x:v>
      </x:c>
      <x:c r="M1507" s="14" t="n">
        <x:v>29</x:v>
      </x:c>
      <x:c r="N1507" s="15" t="n">
        <x:f>IF(E1507=0,"해당 없음",F1507/E1507)</x:f>
        <x:v>0</x:v>
      </x:c>
      <x:c r="O1507" s="15" t="n">
        <x:f>IF(E1507=0,"해당 없음",G1507/E1507)</x:f>
        <x:v>0.1568627450980392</x:v>
      </x:c>
      <x:c r="P1507" s="15" t="n">
        <x:f>IF(E1507=0,"해당 없음",H1507/E1507)</x:f>
        <x:v>0.0784313725490196</x:v>
      </x:c>
      <x:c r="Q1507" s="15" t="n">
        <x:f>IF(E1507=0,"해당 없음",I1507/E1507)</x:f>
        <x:v>0.0196078431372549</x:v>
      </x:c>
      <x:c r="R1507" s="15" t="n">
        <x:f>IF(E1507=0,"해당 없음",J1507/E1507)</x:f>
        <x:v>0.0196078431372549</x:v>
      </x:c>
      <x:c r="S1507" s="15" t="n">
        <x:f>IF(E1507=0,"해당 없음",K1507/E1507)</x:f>
        <x:v>0.049019607843137254</x:v>
      </x:c>
      <x:c r="T1507" s="15" t="n">
        <x:f>IF(E1507=0,"해당 없음",L1507/E1507)</x:f>
        <x:v>0.39215686274509803</x:v>
      </x:c>
      <x:c r="U1507" s="15" t="n">
        <x:f>IF(E1507=0,"해당 없음",M1507/E1507)</x:f>
        <x:v>0.28431372549019607</x:v>
      </x:c>
      <x:c r="V1507" s="16" t="n">
        <x:f>E1507/5</x:f>
        <x:v>20.4</x:v>
      </x:c>
    </x:row>
    <x:row r="1508" ht="22" customHeight="1">
      <x:c r="A1508" s="2" t="n">
        <x:v>752</x:v>
      </x:c>
      <x:c r="B1508" s="2" t="str">
        <x:v>RED</x:v>
      </x:c>
      <x:c r="C1508" s="2" t="str">
        <x:v>120만</x:v>
      </x:c>
      <x:c r="D1508" s="2" t="str">
        <x:v>80만</x:v>
      </x:c>
      <x:c r="E1508" s="14" t="n">
        <x:f>SUM(F1508:M1508)</x:f>
        <x:v>104</x:v>
      </x:c>
      <x:c r="F1508" s="14" t="n">
        <x:v>1</x:v>
      </x:c>
      <x:c r="G1508" s="14" t="n">
        <x:v>19</x:v>
      </x:c>
      <x:c r="H1508" s="14" t="n">
        <x:v>6</x:v>
      </x:c>
      <x:c r="I1508" s="14" t="n">
        <x:v>8</x:v>
      </x:c>
      <x:c r="J1508" s="14" t="n">
        <x:v>1</x:v>
      </x:c>
      <x:c r="K1508" s="14" t="n">
        <x:v>14</x:v>
      </x:c>
      <x:c r="L1508" s="14" t="n">
        <x:v>38</x:v>
      </x:c>
      <x:c r="M1508" s="14" t="n">
        <x:v>17</x:v>
      </x:c>
      <x:c r="N1508" s="15" t="n">
        <x:f>IF(E1508=0,"해당 없음",F1508/E1508)</x:f>
        <x:v>0.009615384615384616</x:v>
      </x:c>
      <x:c r="O1508" s="15" t="n">
        <x:f>IF(E1508=0,"해당 없음",G1508/E1508)</x:f>
        <x:v>0.18269230769230768</x:v>
      </x:c>
      <x:c r="P1508" s="15" t="n">
        <x:f>IF(E1508=0,"해당 없음",H1508/E1508)</x:f>
        <x:v>0.057692307692307696</x:v>
      </x:c>
      <x:c r="Q1508" s="15" t="n">
        <x:f>IF(E1508=0,"해당 없음",I1508/E1508)</x:f>
        <x:v>0.07692307692307693</x:v>
      </x:c>
      <x:c r="R1508" s="15" t="n">
        <x:f>IF(E1508=0,"해당 없음",J1508/E1508)</x:f>
        <x:v>0.009615384615384616</x:v>
      </x:c>
      <x:c r="S1508" s="15" t="n">
        <x:f>IF(E1508=0,"해당 없음",K1508/E1508)</x:f>
        <x:v>0.1346153846153846</x:v>
      </x:c>
      <x:c r="T1508" s="15" t="n">
        <x:f>IF(E1508=0,"해당 없음",L1508/E1508)</x:f>
        <x:v>0.36538461538461536</x:v>
      </x:c>
      <x:c r="U1508" s="15" t="n">
        <x:f>IF(E1508=0,"해당 없음",M1508/E1508)</x:f>
        <x:v>0.16346153846153846</x:v>
      </x:c>
      <x:c r="V1508" s="16" t="n">
        <x:f>E1508/5</x:f>
        <x:v>20.8</x:v>
      </x:c>
    </x:row>
    <x:row r="1509" ht="22" customHeight="1">
      <x:c r="A1509" s="2" t="n">
        <x:v>752</x:v>
      </x:c>
      <x:c r="B1509" s="2" t="str">
        <x:v>NAVY</x:v>
      </x:c>
      <x:c r="C1509" s="2" t="str">
        <x:v>80만</x:v>
      </x:c>
      <x:c r="D1509" s="2" t="str">
        <x:v>120만</x:v>
      </x:c>
      <x:c r="E1509" s="14" t="n">
        <x:f>SUM(F1509:M1509)</x:f>
        <x:v>105</x:v>
      </x:c>
      <x:c r="F1509" s="14" t="n">
        <x:v>4</x:v>
      </x:c>
      <x:c r="G1509" s="14" t="n">
        <x:v>25</x:v>
      </x:c>
      <x:c r="H1509" s="14" t="n">
        <x:v>9</x:v>
      </x:c>
      <x:c r="I1509" s="14" t="n">
        <x:v>3</x:v>
      </x:c>
      <x:c r="J1509" s="14" t="n">
        <x:v>2</x:v>
      </x:c>
      <x:c r="K1509" s="14" t="n">
        <x:v>9</x:v>
      </x:c>
      <x:c r="L1509" s="14" t="n">
        <x:v>39</x:v>
      </x:c>
      <x:c r="M1509" s="14" t="n">
        <x:v>14</x:v>
      </x:c>
      <x:c r="N1509" s="15" t="n">
        <x:f>IF(E1509=0,"해당 없음",F1509/E1509)</x:f>
        <x:v>0.0380952380952381</x:v>
      </x:c>
      <x:c r="O1509" s="15" t="n">
        <x:f>IF(E1509=0,"해당 없음",G1509/E1509)</x:f>
        <x:v>0.23809523809523808</x:v>
      </x:c>
      <x:c r="P1509" s="15" t="n">
        <x:f>IF(E1509=0,"해당 없음",H1509/E1509)</x:f>
        <x:v>0.08571428571428572</x:v>
      </x:c>
      <x:c r="Q1509" s="15" t="n">
        <x:f>IF(E1509=0,"해당 없음",I1509/E1509)</x:f>
        <x:v>0.02857142857142857</x:v>
      </x:c>
      <x:c r="R1509" s="15" t="n">
        <x:f>IF(E1509=0,"해당 없음",J1509/E1509)</x:f>
        <x:v>0.01904761904761905</x:v>
      </x:c>
      <x:c r="S1509" s="15" t="n">
        <x:f>IF(E1509=0,"해당 없음",K1509/E1509)</x:f>
        <x:v>0.08571428571428572</x:v>
      </x:c>
      <x:c r="T1509" s="15" t="n">
        <x:f>IF(E1509=0,"해당 없음",L1509/E1509)</x:f>
        <x:v>0.37142857142857144</x:v>
      </x:c>
      <x:c r="U1509" s="15" t="n">
        <x:f>IF(E1509=0,"해당 없음",M1509/E1509)</x:f>
        <x:v>0.13333333333333333</x:v>
      </x:c>
      <x:c r="V1509" s="16" t="n">
        <x:f>E1509/5</x:f>
        <x:v>21</x:v>
      </x:c>
    </x:row>
    <x:row r="1510" ht="22" customHeight="1">
      <x:c r="A1510" s="2" t="n">
        <x:v>753</x:v>
      </x:c>
      <x:c r="B1510" s="2" t="str">
        <x:v>RED</x:v>
      </x:c>
      <x:c r="C1510" s="2" t="str">
        <x:v>80만</x:v>
      </x:c>
      <x:c r="D1510" s="2" t="str">
        <x:v>120만</x:v>
      </x:c>
      <x:c r="E1510" s="14" t="n">
        <x:f>SUM(F1510:M1510)</x:f>
        <x:v>105</x:v>
      </x:c>
      <x:c r="F1510" s="14" t="n">
        <x:v>7</x:v>
      </x:c>
      <x:c r="G1510" s="14" t="n">
        <x:v>15</x:v>
      </x:c>
      <x:c r="H1510" s="14" t="n">
        <x:v>7</x:v>
      </x:c>
      <x:c r="I1510" s="14" t="n">
        <x:v>9</x:v>
      </x:c>
      <x:c r="J1510" s="14" t="n">
        <x:v>5</x:v>
      </x:c>
      <x:c r="K1510" s="14" t="n">
        <x:v>5</x:v>
      </x:c>
      <x:c r="L1510" s="14" t="n">
        <x:v>44</x:v>
      </x:c>
      <x:c r="M1510" s="14" t="n">
        <x:v>13</x:v>
      </x:c>
      <x:c r="N1510" s="15" t="n">
        <x:f>IF(E1510=0,"해당 없음",F1510/E1510)</x:f>
        <x:v>0.06666666666666667</x:v>
      </x:c>
      <x:c r="O1510" s="15" t="n">
        <x:f>IF(E1510=0,"해당 없음",G1510/E1510)</x:f>
        <x:v>0.14285714285714285</x:v>
      </x:c>
      <x:c r="P1510" s="15" t="n">
        <x:f>IF(E1510=0,"해당 없음",H1510/E1510)</x:f>
        <x:v>0.06666666666666667</x:v>
      </x:c>
      <x:c r="Q1510" s="15" t="n">
        <x:f>IF(E1510=0,"해당 없음",I1510/E1510)</x:f>
        <x:v>0.08571428571428572</x:v>
      </x:c>
      <x:c r="R1510" s="15" t="n">
        <x:f>IF(E1510=0,"해당 없음",J1510/E1510)</x:f>
        <x:v>0.047619047619047616</x:v>
      </x:c>
      <x:c r="S1510" s="15" t="n">
        <x:f>IF(E1510=0,"해당 없음",K1510/E1510)</x:f>
        <x:v>0.047619047619047616</x:v>
      </x:c>
      <x:c r="T1510" s="15" t="n">
        <x:f>IF(E1510=0,"해당 없음",L1510/E1510)</x:f>
        <x:v>0.41904761904761906</x:v>
      </x:c>
      <x:c r="U1510" s="15" t="n">
        <x:f>IF(E1510=0,"해당 없음",M1510/E1510)</x:f>
        <x:v>0.12380952380952381</x:v>
      </x:c>
      <x:c r="V1510" s="16" t="n">
        <x:f>E1510/5</x:f>
        <x:v>21</x:v>
      </x:c>
    </x:row>
    <x:row r="1511" ht="22" customHeight="1">
      <x:c r="A1511" s="2" t="n">
        <x:v>753</x:v>
      </x:c>
      <x:c r="B1511" s="2" t="str">
        <x:v>NAVY</x:v>
      </x:c>
      <x:c r="C1511" s="2" t="str">
        <x:v>120만</x:v>
      </x:c>
      <x:c r="D1511" s="2" t="str">
        <x:v>80만</x:v>
      </x:c>
      <x:c r="E1511" s="14" t="n">
        <x:f>SUM(F1511:M1511)</x:f>
        <x:v>104</x:v>
      </x:c>
      <x:c r="F1511" s="14" t="n">
        <x:v>1</x:v>
      </x:c>
      <x:c r="G1511" s="14" t="n">
        <x:v>16</x:v>
      </x:c>
      <x:c r="H1511" s="14" t="n">
        <x:v>12</x:v>
      </x:c>
      <x:c r="I1511" s="14" t="n">
        <x:v>6</x:v>
      </x:c>
      <x:c r="J1511" s="14" t="n">
        <x:v>2</x:v>
      </x:c>
      <x:c r="K1511" s="14" t="n">
        <x:v>9</x:v>
      </x:c>
      <x:c r="L1511" s="14" t="n">
        <x:v>41</x:v>
      </x:c>
      <x:c r="M1511" s="14" t="n">
        <x:v>17</x:v>
      </x:c>
      <x:c r="N1511" s="15" t="n">
        <x:f>IF(E1511=0,"해당 없음",F1511/E1511)</x:f>
        <x:v>0.009615384615384616</x:v>
      </x:c>
      <x:c r="O1511" s="15" t="n">
        <x:f>IF(E1511=0,"해당 없음",G1511/E1511)</x:f>
        <x:v>0.15384615384615385</x:v>
      </x:c>
      <x:c r="P1511" s="15" t="n">
        <x:f>IF(E1511=0,"해당 없음",H1511/E1511)</x:f>
        <x:v>0.11538461538461539</x:v>
      </x:c>
      <x:c r="Q1511" s="15" t="n">
        <x:f>IF(E1511=0,"해당 없음",I1511/E1511)</x:f>
        <x:v>0.057692307692307696</x:v>
      </x:c>
      <x:c r="R1511" s="15" t="n">
        <x:f>IF(E1511=0,"해당 없음",J1511/E1511)</x:f>
        <x:v>0.019230769230769232</x:v>
      </x:c>
      <x:c r="S1511" s="15" t="n">
        <x:f>IF(E1511=0,"해당 없음",K1511/E1511)</x:f>
        <x:v>0.08653846153846154</x:v>
      </x:c>
      <x:c r="T1511" s="15" t="n">
        <x:f>IF(E1511=0,"해당 없음",L1511/E1511)</x:f>
        <x:v>0.3942307692307692</x:v>
      </x:c>
      <x:c r="U1511" s="15" t="n">
        <x:f>IF(E1511=0,"해당 없음",M1511/E1511)</x:f>
        <x:v>0.16346153846153846</x:v>
      </x:c>
      <x:c r="V1511" s="16" t="n">
        <x:f>E1511/5</x:f>
        <x:v>20.8</x:v>
      </x:c>
    </x:row>
    <x:row r="1512" ht="22" customHeight="1">
      <x:c r="A1512" s="2" t="n">
        <x:v>754</x:v>
      </x:c>
      <x:c r="B1512" s="2" t="str">
        <x:v>RED</x:v>
      </x:c>
      <x:c r="C1512" s="2" t="str">
        <x:v>120만</x:v>
      </x:c>
      <x:c r="D1512" s="2" t="str">
        <x:v>80만</x:v>
      </x:c>
      <x:c r="E1512" s="14" t="n">
        <x:f>SUM(F1512:M1512)</x:f>
        <x:v>104</x:v>
      </x:c>
      <x:c r="F1512" s="14" t="n">
        <x:v>1</x:v>
      </x:c>
      <x:c r="G1512" s="14" t="n">
        <x:v>8</x:v>
      </x:c>
      <x:c r="H1512" s="14" t="n">
        <x:v>7</x:v>
      </x:c>
      <x:c r="I1512" s="14" t="n">
        <x:v>16</x:v>
      </x:c>
      <x:c r="J1512" s="14" t="n">
        <x:v>6</x:v>
      </x:c>
      <x:c r="K1512" s="14" t="n">
        <x:v>12</x:v>
      </x:c>
      <x:c r="L1512" s="14" t="n">
        <x:v>38</x:v>
      </x:c>
      <x:c r="M1512" s="14" t="n">
        <x:v>16</x:v>
      </x:c>
      <x:c r="N1512" s="15" t="n">
        <x:f>IF(E1512=0,"해당 없음",F1512/E1512)</x:f>
        <x:v>0.009615384615384616</x:v>
      </x:c>
      <x:c r="O1512" s="15" t="n">
        <x:f>IF(E1512=0,"해당 없음",G1512/E1512)</x:f>
        <x:v>0.07692307692307693</x:v>
      </x:c>
      <x:c r="P1512" s="15" t="n">
        <x:f>IF(E1512=0,"해당 없음",H1512/E1512)</x:f>
        <x:v>0.0673076923076923</x:v>
      </x:c>
      <x:c r="Q1512" s="15" t="n">
        <x:f>IF(E1512=0,"해당 없음",I1512/E1512)</x:f>
        <x:v>0.15384615384615385</x:v>
      </x:c>
      <x:c r="R1512" s="15" t="n">
        <x:f>IF(E1512=0,"해당 없음",J1512/E1512)</x:f>
        <x:v>0.057692307692307696</x:v>
      </x:c>
      <x:c r="S1512" s="15" t="n">
        <x:f>IF(E1512=0,"해당 없음",K1512/E1512)</x:f>
        <x:v>0.11538461538461539</x:v>
      </x:c>
      <x:c r="T1512" s="15" t="n">
        <x:f>IF(E1512=0,"해당 없음",L1512/E1512)</x:f>
        <x:v>0.36538461538461536</x:v>
      </x:c>
      <x:c r="U1512" s="15" t="n">
        <x:f>IF(E1512=0,"해당 없음",M1512/E1512)</x:f>
        <x:v>0.15384615384615385</x:v>
      </x:c>
      <x:c r="V1512" s="16" t="n">
        <x:f>E1512/5</x:f>
        <x:v>20.8</x:v>
      </x:c>
    </x:row>
    <x:row r="1513" ht="22" customHeight="1">
      <x:c r="A1513" s="2" t="n">
        <x:v>754</x:v>
      </x:c>
      <x:c r="B1513" s="2" t="str">
        <x:v>NAVY</x:v>
      </x:c>
      <x:c r="C1513" s="2" t="str">
        <x:v>80만</x:v>
      </x:c>
      <x:c r="D1513" s="2" t="str">
        <x:v>120만</x:v>
      </x:c>
      <x:c r="E1513" s="14" t="n">
        <x:f>SUM(F1513:M1513)</x:f>
        <x:v>105</x:v>
      </x:c>
      <x:c r="F1513" s="14" t="n">
        <x:v>4</x:v>
      </x:c>
      <x:c r="G1513" s="14" t="n">
        <x:v>17</x:v>
      </x:c>
      <x:c r="H1513" s="14" t="n">
        <x:v>5</x:v>
      </x:c>
      <x:c r="I1513" s="14" t="n">
        <x:v>9</x:v>
      </x:c>
      <x:c r="J1513" s="14" t="n">
        <x:v>1</x:v>
      </x:c>
      <x:c r="K1513" s="14" t="n">
        <x:v>4</x:v>
      </x:c>
      <x:c r="L1513" s="14" t="n">
        <x:v>44</x:v>
      </x:c>
      <x:c r="M1513" s="14" t="n">
        <x:v>21</x:v>
      </x:c>
      <x:c r="N1513" s="15" t="n">
        <x:f>IF(E1513=0,"해당 없음",F1513/E1513)</x:f>
        <x:v>0.0380952380952381</x:v>
      </x:c>
      <x:c r="O1513" s="15" t="n">
        <x:f>IF(E1513=0,"해당 없음",G1513/E1513)</x:f>
        <x:v>0.1619047619047619</x:v>
      </x:c>
      <x:c r="P1513" s="15" t="n">
        <x:f>IF(E1513=0,"해당 없음",H1513/E1513)</x:f>
        <x:v>0.047619047619047616</x:v>
      </x:c>
      <x:c r="Q1513" s="15" t="n">
        <x:f>IF(E1513=0,"해당 없음",I1513/E1513)</x:f>
        <x:v>0.08571428571428572</x:v>
      </x:c>
      <x:c r="R1513" s="15" t="n">
        <x:f>IF(E1513=0,"해당 없음",J1513/E1513)</x:f>
        <x:v>0.009523809523809525</x:v>
      </x:c>
      <x:c r="S1513" s="15" t="n">
        <x:f>IF(E1513=0,"해당 없음",K1513/E1513)</x:f>
        <x:v>0.0380952380952381</x:v>
      </x:c>
      <x:c r="T1513" s="15" t="n">
        <x:f>IF(E1513=0,"해당 없음",L1513/E1513)</x:f>
        <x:v>0.41904761904761906</x:v>
      </x:c>
      <x:c r="U1513" s="15" t="n">
        <x:f>IF(E1513=0,"해당 없음",M1513/E1513)</x:f>
        <x:v>0.2</x:v>
      </x:c>
      <x:c r="V1513" s="16" t="n">
        <x:f>E1513/5</x:f>
        <x:v>21</x:v>
      </x:c>
    </x:row>
    <x:row r="1514" ht="22" customHeight="1">
      <x:c r="A1514" s="2" t="n">
        <x:v>755</x:v>
      </x:c>
      <x:c r="B1514" s="2" t="str">
        <x:v>RED</x:v>
      </x:c>
      <x:c r="C1514" s="2" t="str">
        <x:v>80만</x:v>
      </x:c>
      <x:c r="D1514" s="2" t="str">
        <x:v>120만</x:v>
      </x:c>
      <x:c r="E1514" s="14" t="n">
        <x:f>SUM(F1514:M1514)</x:f>
        <x:v>101</x:v>
      </x:c>
      <x:c r="F1514" s="14" t="n">
        <x:v>4</x:v>
      </x:c>
      <x:c r="G1514" s="14" t="n">
        <x:v>20</x:v>
      </x:c>
      <x:c r="H1514" s="14" t="n">
        <x:v>5</x:v>
      </x:c>
      <x:c r="I1514" s="14" t="n">
        <x:v>3</x:v>
      </x:c>
      <x:c r="J1514" s="14" t="n">
        <x:v>4</x:v>
      </x:c>
      <x:c r="K1514" s="14" t="n">
        <x:v>10</x:v>
      </x:c>
      <x:c r="L1514" s="14" t="n">
        <x:v>34</x:v>
      </x:c>
      <x:c r="M1514" s="14" t="n">
        <x:v>21</x:v>
      </x:c>
      <x:c r="N1514" s="15" t="n">
        <x:f>IF(E1514=0,"해당 없음",F1514/E1514)</x:f>
        <x:v>0.039603960396039604</x:v>
      </x:c>
      <x:c r="O1514" s="15" t="n">
        <x:f>IF(E1514=0,"해당 없음",G1514/E1514)</x:f>
        <x:v>0.19801980198019803</x:v>
      </x:c>
      <x:c r="P1514" s="15" t="n">
        <x:f>IF(E1514=0,"해당 없음",H1514/E1514)</x:f>
        <x:v>0.04950495049504951</x:v>
      </x:c>
      <x:c r="Q1514" s="15" t="n">
        <x:f>IF(E1514=0,"해당 없음",I1514/E1514)</x:f>
        <x:v>0.0297029702970297</x:v>
      </x:c>
      <x:c r="R1514" s="15" t="n">
        <x:f>IF(E1514=0,"해당 없음",J1514/E1514)</x:f>
        <x:v>0.039603960396039604</x:v>
      </x:c>
      <x:c r="S1514" s="15" t="n">
        <x:f>IF(E1514=0,"해당 없음",K1514/E1514)</x:f>
        <x:v>0.09900990099009901</x:v>
      </x:c>
      <x:c r="T1514" s="15" t="n">
        <x:f>IF(E1514=0,"해당 없음",L1514/E1514)</x:f>
        <x:v>0.33663366336633666</x:v>
      </x:c>
      <x:c r="U1514" s="15" t="n">
        <x:f>IF(E1514=0,"해당 없음",M1514/E1514)</x:f>
        <x:v>0.2079207920792079</x:v>
      </x:c>
      <x:c r="V1514" s="16" t="n">
        <x:f>E1514/5</x:f>
        <x:v>20.2</x:v>
      </x:c>
    </x:row>
    <x:row r="1515" ht="22" customHeight="1">
      <x:c r="A1515" s="2" t="n">
        <x:v>755</x:v>
      </x:c>
      <x:c r="B1515" s="2" t="str">
        <x:v>NAVY</x:v>
      </x:c>
      <x:c r="C1515" s="2" t="str">
        <x:v>120만</x:v>
      </x:c>
      <x:c r="D1515" s="2" t="str">
        <x:v>80만</x:v>
      </x:c>
      <x:c r="E1515" s="14" t="n">
        <x:f>SUM(F1515:M1515)</x:f>
        <x:v>102</x:v>
      </x:c>
      <x:c r="F1515" s="14" t="n">
        <x:v>2</x:v>
      </x:c>
      <x:c r="G1515" s="14" t="n">
        <x:v>20</x:v>
      </x:c>
      <x:c r="H1515" s="14" t="n">
        <x:v>2</x:v>
      </x:c>
      <x:c r="I1515" s="14" t="n">
        <x:v>6</x:v>
      </x:c>
      <x:c r="J1515" s="14" t="n">
        <x:v>7</x:v>
      </x:c>
      <x:c r="K1515" s="14" t="n">
        <x:v>6</x:v>
      </x:c>
      <x:c r="L1515" s="14" t="n">
        <x:v>33</x:v>
      </x:c>
      <x:c r="M1515" s="14" t="n">
        <x:v>26</x:v>
      </x:c>
      <x:c r="N1515" s="15" t="n">
        <x:f>IF(E1515=0,"해당 없음",F1515/E1515)</x:f>
        <x:v>0.0196078431372549</x:v>
      </x:c>
      <x:c r="O1515" s="15" t="n">
        <x:f>IF(E1515=0,"해당 없음",G1515/E1515)</x:f>
        <x:v>0.19607843137254902</x:v>
      </x:c>
      <x:c r="P1515" s="15" t="n">
        <x:f>IF(E1515=0,"해당 없음",H1515/E1515)</x:f>
        <x:v>0.0196078431372549</x:v>
      </x:c>
      <x:c r="Q1515" s="15" t="n">
        <x:f>IF(E1515=0,"해당 없음",I1515/E1515)</x:f>
        <x:v>0.058823529411764705</x:v>
      </x:c>
      <x:c r="R1515" s="15" t="n">
        <x:f>IF(E1515=0,"해당 없음",J1515/E1515)</x:f>
        <x:v>0.06862745098039216</x:v>
      </x:c>
      <x:c r="S1515" s="15" t="n">
        <x:f>IF(E1515=0,"해당 없음",K1515/E1515)</x:f>
        <x:v>0.058823529411764705</x:v>
      </x:c>
      <x:c r="T1515" s="15" t="n">
        <x:f>IF(E1515=0,"해당 없음",L1515/E1515)</x:f>
        <x:v>0.3235294117647059</x:v>
      </x:c>
      <x:c r="U1515" s="15" t="n">
        <x:f>IF(E1515=0,"해당 없음",M1515/E1515)</x:f>
        <x:v>0.2549019607843137</x:v>
      </x:c>
      <x:c r="V1515" s="16" t="n">
        <x:f>E1515/5</x:f>
        <x:v>20.4</x:v>
      </x:c>
    </x:row>
    <x:row r="1516" ht="22" customHeight="1">
      <x:c r="A1516" s="2" t="n">
        <x:v>756</x:v>
      </x:c>
      <x:c r="B1516" s="2" t="str">
        <x:v>RED</x:v>
      </x:c>
      <x:c r="C1516" s="2" t="str">
        <x:v>120만</x:v>
      </x:c>
      <x:c r="D1516" s="2" t="str">
        <x:v>80만</x:v>
      </x:c>
      <x:c r="E1516" s="14" t="n">
        <x:f>SUM(F1516:M1516)</x:f>
        <x:v>103</x:v>
      </x:c>
      <x:c r="F1516" s="14" t="n">
        <x:v>1</x:v>
      </x:c>
      <x:c r="G1516" s="14" t="n">
        <x:v>18</x:v>
      </x:c>
      <x:c r="H1516" s="14" t="n">
        <x:v>0</x:v>
      </x:c>
      <x:c r="I1516" s="14" t="n">
        <x:v>10</x:v>
      </x:c>
      <x:c r="J1516" s="14" t="n">
        <x:v>4</x:v>
      </x:c>
      <x:c r="K1516" s="14" t="n">
        <x:v>9</x:v>
      </x:c>
      <x:c r="L1516" s="14" t="n">
        <x:v>41</x:v>
      </x:c>
      <x:c r="M1516" s="14" t="n">
        <x:v>20</x:v>
      </x:c>
      <x:c r="N1516" s="15" t="n">
        <x:f>IF(E1516=0,"해당 없음",F1516/E1516)</x:f>
        <x:v>0.009708737864077669</x:v>
      </x:c>
      <x:c r="O1516" s="15" t="n">
        <x:f>IF(E1516=0,"해당 없음",G1516/E1516)</x:f>
        <x:v>0.17475728155339806</x:v>
      </x:c>
      <x:c r="P1516" s="15" t="n">
        <x:f>IF(E1516=0,"해당 없음",H1516/E1516)</x:f>
        <x:v>0</x:v>
      </x:c>
      <x:c r="Q1516" s="15" t="n">
        <x:f>IF(E1516=0,"해당 없음",I1516/E1516)</x:f>
        <x:v>0.0970873786407767</x:v>
      </x:c>
      <x:c r="R1516" s="15" t="n">
        <x:f>IF(E1516=0,"해당 없음",J1516/E1516)</x:f>
        <x:v>0.038834951456310676</x:v>
      </x:c>
      <x:c r="S1516" s="15" t="n">
        <x:f>IF(E1516=0,"해당 없음",K1516/E1516)</x:f>
        <x:v>0.08737864077669903</x:v>
      </x:c>
      <x:c r="T1516" s="15" t="n">
        <x:f>IF(E1516=0,"해당 없음",L1516/E1516)</x:f>
        <x:v>0.39805825242718446</x:v>
      </x:c>
      <x:c r="U1516" s="15" t="n">
        <x:f>IF(E1516=0,"해당 없음",M1516/E1516)</x:f>
        <x:v>0.1941747572815534</x:v>
      </x:c>
      <x:c r="V1516" s="16" t="n">
        <x:f>E1516/5</x:f>
        <x:v>20.6</x:v>
      </x:c>
    </x:row>
    <x:row r="1517" ht="22" customHeight="1">
      <x:c r="A1517" s="2" t="n">
        <x:v>756</x:v>
      </x:c>
      <x:c r="B1517" s="2" t="str">
        <x:v>NAVY</x:v>
      </x:c>
      <x:c r="C1517" s="2" t="str">
        <x:v>80만</x:v>
      </x:c>
      <x:c r="D1517" s="2" t="str">
        <x:v>120만</x:v>
      </x:c>
      <x:c r="E1517" s="14" t="n">
        <x:f>SUM(F1517:M1517)</x:f>
        <x:v>101</x:v>
      </x:c>
      <x:c r="F1517" s="14" t="n">
        <x:v>9</x:v>
      </x:c>
      <x:c r="G1517" s="14" t="n">
        <x:v>17</x:v>
      </x:c>
      <x:c r="H1517" s="14" t="n">
        <x:v>4</x:v>
      </x:c>
      <x:c r="I1517" s="14" t="n">
        <x:v>5</x:v>
      </x:c>
      <x:c r="J1517" s="14" t="n">
        <x:v>2</x:v>
      </x:c>
      <x:c r="K1517" s="14" t="n">
        <x:v>9</x:v>
      </x:c>
      <x:c r="L1517" s="14" t="n">
        <x:v>37</x:v>
      </x:c>
      <x:c r="M1517" s="14" t="n">
        <x:v>18</x:v>
      </x:c>
      <x:c r="N1517" s="15" t="n">
        <x:f>IF(E1517=0,"해당 없음",F1517/E1517)</x:f>
        <x:v>0.0891089108910891</x:v>
      </x:c>
      <x:c r="O1517" s="15" t="n">
        <x:f>IF(E1517=0,"해당 없음",G1517/E1517)</x:f>
        <x:v>0.16831683168316833</x:v>
      </x:c>
      <x:c r="P1517" s="15" t="n">
        <x:f>IF(E1517=0,"해당 없음",H1517/E1517)</x:f>
        <x:v>0.039603960396039604</x:v>
      </x:c>
      <x:c r="Q1517" s="15" t="n">
        <x:f>IF(E1517=0,"해당 없음",I1517/E1517)</x:f>
        <x:v>0.04950495049504951</x:v>
      </x:c>
      <x:c r="R1517" s="15" t="n">
        <x:f>IF(E1517=0,"해당 없음",J1517/E1517)</x:f>
        <x:v>0.019801980198019802</x:v>
      </x:c>
      <x:c r="S1517" s="15" t="n">
        <x:f>IF(E1517=0,"해당 없음",K1517/E1517)</x:f>
        <x:v>0.0891089108910891</x:v>
      </x:c>
      <x:c r="T1517" s="15" t="n">
        <x:f>IF(E1517=0,"해당 없음",L1517/E1517)</x:f>
        <x:v>0.36633663366336633</x:v>
      </x:c>
      <x:c r="U1517" s="15" t="n">
        <x:f>IF(E1517=0,"해당 없음",M1517/E1517)</x:f>
        <x:v>0.1782178217821782</x:v>
      </x:c>
      <x:c r="V1517" s="16" t="n">
        <x:f>E1517/5</x:f>
        <x:v>20.2</x:v>
      </x:c>
    </x:row>
    <x:row r="1518" ht="22" customHeight="1">
      <x:c r="A1518" s="2" t="n">
        <x:v>757</x:v>
      </x:c>
      <x:c r="B1518" s="2" t="str">
        <x:v>RED</x:v>
      </x:c>
      <x:c r="C1518" s="2" t="str">
        <x:v>80만</x:v>
      </x:c>
      <x:c r="D1518" s="2" t="str">
        <x:v>120만</x:v>
      </x:c>
      <x:c r="E1518" s="14" t="n">
        <x:f>SUM(F1518:M1518)</x:f>
        <x:v>103</x:v>
      </x:c>
      <x:c r="F1518" s="14" t="n">
        <x:v>3</x:v>
      </x:c>
      <x:c r="G1518" s="14" t="n">
        <x:v>16</x:v>
      </x:c>
      <x:c r="H1518" s="14" t="n">
        <x:v>12</x:v>
      </x:c>
      <x:c r="I1518" s="14" t="n">
        <x:v>5</x:v>
      </x:c>
      <x:c r="J1518" s="14" t="n">
        <x:v>2</x:v>
      </x:c>
      <x:c r="K1518" s="14" t="n">
        <x:v>9</x:v>
      </x:c>
      <x:c r="L1518" s="14" t="n">
        <x:v>39</x:v>
      </x:c>
      <x:c r="M1518" s="14" t="n">
        <x:v>17</x:v>
      </x:c>
      <x:c r="N1518" s="15" t="n">
        <x:f>IF(E1518=0,"해당 없음",F1518/E1518)</x:f>
        <x:v>0.02912621359223301</x:v>
      </x:c>
      <x:c r="O1518" s="15" t="n">
        <x:f>IF(E1518=0,"해당 없음",G1518/E1518)</x:f>
        <x:v>0.1553398058252427</x:v>
      </x:c>
      <x:c r="P1518" s="15" t="n">
        <x:f>IF(E1518=0,"해당 없음",H1518/E1518)</x:f>
        <x:v>0.11650485436893204</x:v>
      </x:c>
      <x:c r="Q1518" s="15" t="n">
        <x:f>IF(E1518=0,"해당 없음",I1518/E1518)</x:f>
        <x:v>0.04854368932038835</x:v>
      </x:c>
      <x:c r="R1518" s="15" t="n">
        <x:f>IF(E1518=0,"해당 없음",J1518/E1518)</x:f>
        <x:v>0.019417475728155338</x:v>
      </x:c>
      <x:c r="S1518" s="15" t="n">
        <x:f>IF(E1518=0,"해당 없음",K1518/E1518)</x:f>
        <x:v>0.08737864077669903</x:v>
      </x:c>
      <x:c r="T1518" s="15" t="n">
        <x:f>IF(E1518=0,"해당 없음",L1518/E1518)</x:f>
        <x:v>0.3786407766990291</x:v>
      </x:c>
      <x:c r="U1518" s="15" t="n">
        <x:f>IF(E1518=0,"해당 없음",M1518/E1518)</x:f>
        <x:v>0.1650485436893204</x:v>
      </x:c>
      <x:c r="V1518" s="16" t="n">
        <x:f>E1518/5</x:f>
        <x:v>20.6</x:v>
      </x:c>
    </x:row>
    <x:row r="1519" ht="22" customHeight="1">
      <x:c r="A1519" s="2" t="n">
        <x:v>757</x:v>
      </x:c>
      <x:c r="B1519" s="2" t="str">
        <x:v>NAVY</x:v>
      </x:c>
      <x:c r="C1519" s="2" t="str">
        <x:v>120만</x:v>
      </x:c>
      <x:c r="D1519" s="2" t="str">
        <x:v>80만</x:v>
      </x:c>
      <x:c r="E1519" s="14" t="n">
        <x:f>SUM(F1519:M1519)</x:f>
        <x:v>102</x:v>
      </x:c>
      <x:c r="F1519" s="14" t="n">
        <x:v>1</x:v>
      </x:c>
      <x:c r="G1519" s="14" t="n">
        <x:v>15</x:v>
      </x:c>
      <x:c r="H1519" s="14" t="n">
        <x:v>7</x:v>
      </x:c>
      <x:c r="I1519" s="14" t="n">
        <x:v>12</x:v>
      </x:c>
      <x:c r="J1519" s="14" t="n">
        <x:v>5</x:v>
      </x:c>
      <x:c r="K1519" s="14" t="n">
        <x:v>7</x:v>
      </x:c>
      <x:c r="L1519" s="14" t="n">
        <x:v>36</x:v>
      </x:c>
      <x:c r="M1519" s="14" t="n">
        <x:v>19</x:v>
      </x:c>
      <x:c r="N1519" s="15" t="n">
        <x:f>IF(E1519=0,"해당 없음",F1519/E1519)</x:f>
        <x:v>0.00980392156862745</x:v>
      </x:c>
      <x:c r="O1519" s="15" t="n">
        <x:f>IF(E1519=0,"해당 없음",G1519/E1519)</x:f>
        <x:v>0.14705882352941177</x:v>
      </x:c>
      <x:c r="P1519" s="15" t="n">
        <x:f>IF(E1519=0,"해당 없음",H1519/E1519)</x:f>
        <x:v>0.06862745098039216</x:v>
      </x:c>
      <x:c r="Q1519" s="15" t="n">
        <x:f>IF(E1519=0,"해당 없음",I1519/E1519)</x:f>
        <x:v>0.11764705882352941</x:v>
      </x:c>
      <x:c r="R1519" s="15" t="n">
        <x:f>IF(E1519=0,"해당 없음",J1519/E1519)</x:f>
        <x:v>0.049019607843137254</x:v>
      </x:c>
      <x:c r="S1519" s="15" t="n">
        <x:f>IF(E1519=0,"해당 없음",K1519/E1519)</x:f>
        <x:v>0.06862745098039216</x:v>
      </x:c>
      <x:c r="T1519" s="15" t="n">
        <x:f>IF(E1519=0,"해당 없음",L1519/E1519)</x:f>
        <x:v>0.35294117647058826</x:v>
      </x:c>
      <x:c r="U1519" s="15" t="n">
        <x:f>IF(E1519=0,"해당 없음",M1519/E1519)</x:f>
        <x:v>0.18627450980392157</x:v>
      </x:c>
      <x:c r="V1519" s="16" t="n">
        <x:f>E1519/5</x:f>
        <x:v>20.4</x:v>
      </x:c>
    </x:row>
    <x:row r="1520" ht="22" customHeight="1">
      <x:c r="A1520" s="2" t="n">
        <x:v>758</x:v>
      </x:c>
      <x:c r="B1520" s="2" t="str">
        <x:v>RED</x:v>
      </x:c>
      <x:c r="C1520" s="2" t="str">
        <x:v>120만</x:v>
      </x:c>
      <x:c r="D1520" s="2" t="str">
        <x:v>80만</x:v>
      </x:c>
      <x:c r="E1520" s="14" t="n">
        <x:f>SUM(F1520:M1520)</x:f>
        <x:v>102</x:v>
      </x:c>
      <x:c r="F1520" s="14" t="n">
        <x:v>3</x:v>
      </x:c>
      <x:c r="G1520" s="14" t="n">
        <x:v>13</x:v>
      </x:c>
      <x:c r="H1520" s="14" t="n">
        <x:v>3</x:v>
      </x:c>
      <x:c r="I1520" s="14" t="n">
        <x:v>8</x:v>
      </x:c>
      <x:c r="J1520" s="14" t="n">
        <x:v>8</x:v>
      </x:c>
      <x:c r="K1520" s="14" t="n">
        <x:v>11</x:v>
      </x:c>
      <x:c r="L1520" s="14" t="n">
        <x:v>38</x:v>
      </x:c>
      <x:c r="M1520" s="14" t="n">
        <x:v>18</x:v>
      </x:c>
      <x:c r="N1520" s="15" t="n">
        <x:f>IF(E1520=0,"해당 없음",F1520/E1520)</x:f>
        <x:v>0.029411764705882353</x:v>
      </x:c>
      <x:c r="O1520" s="15" t="n">
        <x:f>IF(E1520=0,"해당 없음",G1520/E1520)</x:f>
        <x:v>0.12745098039215685</x:v>
      </x:c>
      <x:c r="P1520" s="15" t="n">
        <x:f>IF(E1520=0,"해당 없음",H1520/E1520)</x:f>
        <x:v>0.029411764705882353</x:v>
      </x:c>
      <x:c r="Q1520" s="15" t="n">
        <x:f>IF(E1520=0,"해당 없음",I1520/E1520)</x:f>
        <x:v>0.0784313725490196</x:v>
      </x:c>
      <x:c r="R1520" s="15" t="n">
        <x:f>IF(E1520=0,"해당 없음",J1520/E1520)</x:f>
        <x:v>0.0784313725490196</x:v>
      </x:c>
      <x:c r="S1520" s="15" t="n">
        <x:f>IF(E1520=0,"해당 없음",K1520/E1520)</x:f>
        <x:v>0.10784313725490197</x:v>
      </x:c>
      <x:c r="T1520" s="15" t="n">
        <x:f>IF(E1520=0,"해당 없음",L1520/E1520)</x:f>
        <x:v>0.37254901960784315</x:v>
      </x:c>
      <x:c r="U1520" s="15" t="n">
        <x:f>IF(E1520=0,"해당 없음",M1520/E1520)</x:f>
        <x:v>0.17647058823529413</x:v>
      </x:c>
      <x:c r="V1520" s="16" t="n">
        <x:f>E1520/5</x:f>
        <x:v>20.4</x:v>
      </x:c>
    </x:row>
    <x:row r="1521" ht="22" customHeight="1">
      <x:c r="A1521" s="2" t="n">
        <x:v>758</x:v>
      </x:c>
      <x:c r="B1521" s="2" t="str">
        <x:v>NAVY</x:v>
      </x:c>
      <x:c r="C1521" s="2" t="str">
        <x:v>80만</x:v>
      </x:c>
      <x:c r="D1521" s="2" t="str">
        <x:v>120만</x:v>
      </x:c>
      <x:c r="E1521" s="14" t="n">
        <x:f>SUM(F1521:M1521)</x:f>
        <x:v>104</x:v>
      </x:c>
      <x:c r="F1521" s="14" t="n">
        <x:v>3</x:v>
      </x:c>
      <x:c r="G1521" s="14" t="n">
        <x:v>22</x:v>
      </x:c>
      <x:c r="H1521" s="14" t="n">
        <x:v>9</x:v>
      </x:c>
      <x:c r="I1521" s="14" t="n">
        <x:v>6</x:v>
      </x:c>
      <x:c r="J1521" s="14" t="n">
        <x:v>2</x:v>
      </x:c>
      <x:c r="K1521" s="14" t="n">
        <x:v>5</x:v>
      </x:c>
      <x:c r="L1521" s="14" t="n">
        <x:v>39</x:v>
      </x:c>
      <x:c r="M1521" s="14" t="n">
        <x:v>18</x:v>
      </x:c>
      <x:c r="N1521" s="15" t="n">
        <x:f>IF(E1521=0,"해당 없음",F1521/E1521)</x:f>
        <x:v>0.028846153846153848</x:v>
      </x:c>
      <x:c r="O1521" s="15" t="n">
        <x:f>IF(E1521=0,"해당 없음",G1521/E1521)</x:f>
        <x:v>0.21153846153846154</x:v>
      </x:c>
      <x:c r="P1521" s="15" t="n">
        <x:f>IF(E1521=0,"해당 없음",H1521/E1521)</x:f>
        <x:v>0.08653846153846154</x:v>
      </x:c>
      <x:c r="Q1521" s="15" t="n">
        <x:f>IF(E1521=0,"해당 없음",I1521/E1521)</x:f>
        <x:v>0.057692307692307696</x:v>
      </x:c>
      <x:c r="R1521" s="15" t="n">
        <x:f>IF(E1521=0,"해당 없음",J1521/E1521)</x:f>
        <x:v>0.019230769230769232</x:v>
      </x:c>
      <x:c r="S1521" s="15" t="n">
        <x:f>IF(E1521=0,"해당 없음",K1521/E1521)</x:f>
        <x:v>0.04807692307692308</x:v>
      </x:c>
      <x:c r="T1521" s="15" t="n">
        <x:f>IF(E1521=0,"해당 없음",L1521/E1521)</x:f>
        <x:v>0.375</x:v>
      </x:c>
      <x:c r="U1521" s="15" t="n">
        <x:f>IF(E1521=0,"해당 없음",M1521/E1521)</x:f>
        <x:v>0.17307692307692307</x:v>
      </x:c>
      <x:c r="V1521" s="16" t="n">
        <x:f>E1521/5</x:f>
        <x:v>20.8</x:v>
      </x:c>
    </x:row>
    <x:row r="1522" ht="22" customHeight="1">
      <x:c r="A1522" s="2" t="n">
        <x:v>759</x:v>
      </x:c>
      <x:c r="B1522" s="2" t="str">
        <x:v>RED</x:v>
      </x:c>
      <x:c r="C1522" s="2" t="str">
        <x:v>80만</x:v>
      </x:c>
      <x:c r="D1522" s="2" t="str">
        <x:v>120만</x:v>
      </x:c>
      <x:c r="E1522" s="14" t="n">
        <x:f>SUM(F1522:M1522)</x:f>
        <x:v>104</x:v>
      </x:c>
      <x:c r="F1522" s="14" t="n">
        <x:v>4</x:v>
      </x:c>
      <x:c r="G1522" s="14" t="n">
        <x:v>21</x:v>
      </x:c>
      <x:c r="H1522" s="14" t="n">
        <x:v>6</x:v>
      </x:c>
      <x:c r="I1522" s="14" t="n">
        <x:v>9</x:v>
      </x:c>
      <x:c r="J1522" s="14" t="n">
        <x:v>2</x:v>
      </x:c>
      <x:c r="K1522" s="14" t="n">
        <x:v>13</x:v>
      </x:c>
      <x:c r="L1522" s="14" t="n">
        <x:v>33</x:v>
      </x:c>
      <x:c r="M1522" s="14" t="n">
        <x:v>16</x:v>
      </x:c>
      <x:c r="N1522" s="15" t="n">
        <x:f>IF(E1522=0,"해당 없음",F1522/E1522)</x:f>
        <x:v>0.038461538461538464</x:v>
      </x:c>
      <x:c r="O1522" s="15" t="n">
        <x:f>IF(E1522=0,"해당 없음",G1522/E1522)</x:f>
        <x:v>0.20192307692307693</x:v>
      </x:c>
      <x:c r="P1522" s="15" t="n">
        <x:f>IF(E1522=0,"해당 없음",H1522/E1522)</x:f>
        <x:v>0.057692307692307696</x:v>
      </x:c>
      <x:c r="Q1522" s="15" t="n">
        <x:f>IF(E1522=0,"해당 없음",I1522/E1522)</x:f>
        <x:v>0.08653846153846154</x:v>
      </x:c>
      <x:c r="R1522" s="15" t="n">
        <x:f>IF(E1522=0,"해당 없음",J1522/E1522)</x:f>
        <x:v>0.019230769230769232</x:v>
      </x:c>
      <x:c r="S1522" s="15" t="n">
        <x:f>IF(E1522=0,"해당 없음",K1522/E1522)</x:f>
        <x:v>0.125</x:v>
      </x:c>
      <x:c r="T1522" s="15" t="n">
        <x:f>IF(E1522=0,"해당 없음",L1522/E1522)</x:f>
        <x:v>0.3173076923076923</x:v>
      </x:c>
      <x:c r="U1522" s="15" t="n">
        <x:f>IF(E1522=0,"해당 없음",M1522/E1522)</x:f>
        <x:v>0.15384615384615385</x:v>
      </x:c>
      <x:c r="V1522" s="16" t="n">
        <x:f>E1522/5</x:f>
        <x:v>20.8</x:v>
      </x:c>
    </x:row>
    <x:row r="1523" ht="22" customHeight="1">
      <x:c r="A1523" s="2" t="n">
        <x:v>759</x:v>
      </x:c>
      <x:c r="B1523" s="2" t="str">
        <x:v>NAVY</x:v>
      </x:c>
      <x:c r="C1523" s="2" t="str">
        <x:v>120만</x:v>
      </x:c>
      <x:c r="D1523" s="2" t="str">
        <x:v>80만</x:v>
      </x:c>
      <x:c r="E1523" s="14" t="n">
        <x:f>SUM(F1523:M1523)</x:f>
        <x:v>104</x:v>
      </x:c>
      <x:c r="F1523" s="14" t="n">
        <x:v>4</x:v>
      </x:c>
      <x:c r="G1523" s="14" t="n">
        <x:v>24</x:v>
      </x:c>
      <x:c r="H1523" s="14" t="n">
        <x:v>6</x:v>
      </x:c>
      <x:c r="I1523" s="14" t="n">
        <x:v>8</x:v>
      </x:c>
      <x:c r="J1523" s="14" t="n">
        <x:v>3</x:v>
      </x:c>
      <x:c r="K1523" s="14" t="n">
        <x:v>6</x:v>
      </x:c>
      <x:c r="L1523" s="14" t="n">
        <x:v>37</x:v>
      </x:c>
      <x:c r="M1523" s="14" t="n">
        <x:v>16</x:v>
      </x:c>
      <x:c r="N1523" s="15" t="n">
        <x:f>IF(E1523=0,"해당 없음",F1523/E1523)</x:f>
        <x:v>0.038461538461538464</x:v>
      </x:c>
      <x:c r="O1523" s="15" t="n">
        <x:f>IF(E1523=0,"해당 없음",G1523/E1523)</x:f>
        <x:v>0.23076923076923078</x:v>
      </x:c>
      <x:c r="P1523" s="15" t="n">
        <x:f>IF(E1523=0,"해당 없음",H1523/E1523)</x:f>
        <x:v>0.057692307692307696</x:v>
      </x:c>
      <x:c r="Q1523" s="15" t="n">
        <x:f>IF(E1523=0,"해당 없음",I1523/E1523)</x:f>
        <x:v>0.07692307692307693</x:v>
      </x:c>
      <x:c r="R1523" s="15" t="n">
        <x:f>IF(E1523=0,"해당 없음",J1523/E1523)</x:f>
        <x:v>0.028846153846153848</x:v>
      </x:c>
      <x:c r="S1523" s="15" t="n">
        <x:f>IF(E1523=0,"해당 없음",K1523/E1523)</x:f>
        <x:v>0.057692307692307696</x:v>
      </x:c>
      <x:c r="T1523" s="15" t="n">
        <x:f>IF(E1523=0,"해당 없음",L1523/E1523)</x:f>
        <x:v>0.3557692307692308</x:v>
      </x:c>
      <x:c r="U1523" s="15" t="n">
        <x:f>IF(E1523=0,"해당 없음",M1523/E1523)</x:f>
        <x:v>0.15384615384615385</x:v>
      </x:c>
      <x:c r="V1523" s="16" t="n">
        <x:f>E1523/5</x:f>
        <x:v>20.8</x:v>
      </x:c>
    </x:row>
    <x:row r="1524" ht="22" customHeight="1">
      <x:c r="A1524" s="2" t="n">
        <x:v>760</x:v>
      </x:c>
      <x:c r="B1524" s="2" t="str">
        <x:v>RED</x:v>
      </x:c>
      <x:c r="C1524" s="2" t="str">
        <x:v>120만</x:v>
      </x:c>
      <x:c r="D1524" s="2" t="str">
        <x:v>80만</x:v>
      </x:c>
      <x:c r="E1524" s="14" t="n">
        <x:f>SUM(F1524:M1524)</x:f>
        <x:v>103</x:v>
      </x:c>
      <x:c r="F1524" s="14" t="n">
        <x:v>0</x:v>
      </x:c>
      <x:c r="G1524" s="14" t="n">
        <x:v>9</x:v>
      </x:c>
      <x:c r="H1524" s="14" t="n">
        <x:v>8</x:v>
      </x:c>
      <x:c r="I1524" s="14" t="n">
        <x:v>9</x:v>
      </x:c>
      <x:c r="J1524" s="14" t="n">
        <x:v>3</x:v>
      </x:c>
      <x:c r="K1524" s="14" t="n">
        <x:v>9</x:v>
      </x:c>
      <x:c r="L1524" s="14" t="n">
        <x:v>40</x:v>
      </x:c>
      <x:c r="M1524" s="14" t="n">
        <x:v>25</x:v>
      </x:c>
      <x:c r="N1524" s="15" t="n">
        <x:f>IF(E1524=0,"해당 없음",F1524/E1524)</x:f>
        <x:v>0</x:v>
      </x:c>
      <x:c r="O1524" s="15" t="n">
        <x:f>IF(E1524=0,"해당 없음",G1524/E1524)</x:f>
        <x:v>0.08737864077669903</x:v>
      </x:c>
      <x:c r="P1524" s="15" t="n">
        <x:f>IF(E1524=0,"해당 없음",H1524/E1524)</x:f>
        <x:v>0.07766990291262135</x:v>
      </x:c>
      <x:c r="Q1524" s="15" t="n">
        <x:f>IF(E1524=0,"해당 없음",I1524/E1524)</x:f>
        <x:v>0.08737864077669903</x:v>
      </x:c>
      <x:c r="R1524" s="15" t="n">
        <x:f>IF(E1524=0,"해당 없음",J1524/E1524)</x:f>
        <x:v>0.02912621359223301</x:v>
      </x:c>
      <x:c r="S1524" s="15" t="n">
        <x:f>IF(E1524=0,"해당 없음",K1524/E1524)</x:f>
        <x:v>0.08737864077669903</x:v>
      </x:c>
      <x:c r="T1524" s="15" t="n">
        <x:f>IF(E1524=0,"해당 없음",L1524/E1524)</x:f>
        <x:v>0.3883495145631068</x:v>
      </x:c>
      <x:c r="U1524" s="15" t="n">
        <x:f>IF(E1524=0,"해당 없음",M1524/E1524)</x:f>
        <x:v>0.24271844660194175</x:v>
      </x:c>
      <x:c r="V1524" s="16" t="n">
        <x:f>E1524/5</x:f>
        <x:v>20.6</x:v>
      </x:c>
    </x:row>
    <x:row r="1525" ht="22" customHeight="1">
      <x:c r="A1525" s="2" t="n">
        <x:v>760</x:v>
      </x:c>
      <x:c r="B1525" s="2" t="str">
        <x:v>NAVY</x:v>
      </x:c>
      <x:c r="C1525" s="2" t="str">
        <x:v>80만</x:v>
      </x:c>
      <x:c r="D1525" s="2" t="str">
        <x:v>120만</x:v>
      </x:c>
      <x:c r="E1525" s="14" t="n">
        <x:f>SUM(F1525:M1525)</x:f>
        <x:v>102</x:v>
      </x:c>
      <x:c r="F1525" s="14" t="n">
        <x:v>3</x:v>
      </x:c>
      <x:c r="G1525" s="14" t="n">
        <x:v>25</x:v>
      </x:c>
      <x:c r="H1525" s="14" t="n">
        <x:v>7</x:v>
      </x:c>
      <x:c r="I1525" s="14" t="n">
        <x:v>6</x:v>
      </x:c>
      <x:c r="J1525" s="14" t="n">
        <x:v>6</x:v>
      </x:c>
      <x:c r="K1525" s="14" t="n">
        <x:v>6</x:v>
      </x:c>
      <x:c r="L1525" s="14" t="n">
        <x:v>38</x:v>
      </x:c>
      <x:c r="M1525" s="14" t="n">
        <x:v>11</x:v>
      </x:c>
      <x:c r="N1525" s="15" t="n">
        <x:f>IF(E1525=0,"해당 없음",F1525/E1525)</x:f>
        <x:v>0.029411764705882353</x:v>
      </x:c>
      <x:c r="O1525" s="15" t="n">
        <x:f>IF(E1525=0,"해당 없음",G1525/E1525)</x:f>
        <x:v>0.24509803921568626</x:v>
      </x:c>
      <x:c r="P1525" s="15" t="n">
        <x:f>IF(E1525=0,"해당 없음",H1525/E1525)</x:f>
        <x:v>0.06862745098039216</x:v>
      </x:c>
      <x:c r="Q1525" s="15" t="n">
        <x:f>IF(E1525=0,"해당 없음",I1525/E1525)</x:f>
        <x:v>0.058823529411764705</x:v>
      </x:c>
      <x:c r="R1525" s="15" t="n">
        <x:f>IF(E1525=0,"해당 없음",J1525/E1525)</x:f>
        <x:v>0.058823529411764705</x:v>
      </x:c>
      <x:c r="S1525" s="15" t="n">
        <x:f>IF(E1525=0,"해당 없음",K1525/E1525)</x:f>
        <x:v>0.058823529411764705</x:v>
      </x:c>
      <x:c r="T1525" s="15" t="n">
        <x:f>IF(E1525=0,"해당 없음",L1525/E1525)</x:f>
        <x:v>0.37254901960784315</x:v>
      </x:c>
      <x:c r="U1525" s="15" t="n">
        <x:f>IF(E1525=0,"해당 없음",M1525/E1525)</x:f>
        <x:v>0.10784313725490197</x:v>
      </x:c>
      <x:c r="V1525" s="16" t="n">
        <x:f>E1525/5</x:f>
        <x:v>20.4</x:v>
      </x:c>
    </x:row>
    <x:row r="1526" ht="22" customHeight="1">
      <x:c r="A1526" s="2" t="n">
        <x:v>761</x:v>
      </x:c>
      <x:c r="B1526" s="2" t="str">
        <x:v>RED</x:v>
      </x:c>
      <x:c r="C1526" s="2" t="str">
        <x:v>80만</x:v>
      </x:c>
      <x:c r="D1526" s="2" t="str">
        <x:v>160만</x:v>
      </x:c>
      <x:c r="E1526" s="14" t="n">
        <x:f>SUM(F1526:M1526)</x:f>
        <x:v>102</x:v>
      </x:c>
      <x:c r="F1526" s="14" t="n">
        <x:v>5</x:v>
      </x:c>
      <x:c r="G1526" s="14" t="n">
        <x:v>18</x:v>
      </x:c>
      <x:c r="H1526" s="14" t="n">
        <x:v>7</x:v>
      </x:c>
      <x:c r="I1526" s="14" t="n">
        <x:v>6</x:v>
      </x:c>
      <x:c r="J1526" s="14" t="n">
        <x:v>3</x:v>
      </x:c>
      <x:c r="K1526" s="14" t="n">
        <x:v>4</x:v>
      </x:c>
      <x:c r="L1526" s="14" t="n">
        <x:v>38</x:v>
      </x:c>
      <x:c r="M1526" s="14" t="n">
        <x:v>21</x:v>
      </x:c>
      <x:c r="N1526" s="15" t="n">
        <x:f>IF(E1526=0,"해당 없음",F1526/E1526)</x:f>
        <x:v>0.049019607843137254</x:v>
      </x:c>
      <x:c r="O1526" s="15" t="n">
        <x:f>IF(E1526=0,"해당 없음",G1526/E1526)</x:f>
        <x:v>0.17647058823529413</x:v>
      </x:c>
      <x:c r="P1526" s="15" t="n">
        <x:f>IF(E1526=0,"해당 없음",H1526/E1526)</x:f>
        <x:v>0.06862745098039216</x:v>
      </x:c>
      <x:c r="Q1526" s="15" t="n">
        <x:f>IF(E1526=0,"해당 없음",I1526/E1526)</x:f>
        <x:v>0.058823529411764705</x:v>
      </x:c>
      <x:c r="R1526" s="15" t="n">
        <x:f>IF(E1526=0,"해당 없음",J1526/E1526)</x:f>
        <x:v>0.029411764705882353</x:v>
      </x:c>
      <x:c r="S1526" s="15" t="n">
        <x:f>IF(E1526=0,"해당 없음",K1526/E1526)</x:f>
        <x:v>0.0392156862745098</x:v>
      </x:c>
      <x:c r="T1526" s="15" t="n">
        <x:f>IF(E1526=0,"해당 없음",L1526/E1526)</x:f>
        <x:v>0.37254901960784315</x:v>
      </x:c>
      <x:c r="U1526" s="15" t="n">
        <x:f>IF(E1526=0,"해당 없음",M1526/E1526)</x:f>
        <x:v>0.20588235294117646</x:v>
      </x:c>
      <x:c r="V1526" s="16" t="n">
        <x:f>E1526/5</x:f>
        <x:v>20.4</x:v>
      </x:c>
    </x:row>
    <x:row r="1527" ht="22" customHeight="1">
      <x:c r="A1527" s="2" t="n">
        <x:v>761</x:v>
      </x:c>
      <x:c r="B1527" s="2" t="str">
        <x:v>NAVY</x:v>
      </x:c>
      <x:c r="C1527" s="2" t="str">
        <x:v>160만</x:v>
      </x:c>
      <x:c r="D1527" s="2" t="str">
        <x:v>80만</x:v>
      </x:c>
      <x:c r="E1527" s="14" t="n">
        <x:f>SUM(F1527:M1527)</x:f>
        <x:v>102</x:v>
      </x:c>
      <x:c r="F1527" s="14" t="n">
        <x:v>4</x:v>
      </x:c>
      <x:c r="G1527" s="14" t="n">
        <x:v>20</x:v>
      </x:c>
      <x:c r="H1527" s="14" t="n">
        <x:v>5</x:v>
      </x:c>
      <x:c r="I1527" s="14" t="n">
        <x:v>9</x:v>
      </x:c>
      <x:c r="J1527" s="14" t="n">
        <x:v>3</x:v>
      </x:c>
      <x:c r="K1527" s="14" t="n">
        <x:v>3</x:v>
      </x:c>
      <x:c r="L1527" s="14" t="n">
        <x:v>34</x:v>
      </x:c>
      <x:c r="M1527" s="14" t="n">
        <x:v>24</x:v>
      </x:c>
      <x:c r="N1527" s="15" t="n">
        <x:f>IF(E1527=0,"해당 없음",F1527/E1527)</x:f>
        <x:v>0.0392156862745098</x:v>
      </x:c>
      <x:c r="O1527" s="15" t="n">
        <x:f>IF(E1527=0,"해당 없음",G1527/E1527)</x:f>
        <x:v>0.19607843137254902</x:v>
      </x:c>
      <x:c r="P1527" s="15" t="n">
        <x:f>IF(E1527=0,"해당 없음",H1527/E1527)</x:f>
        <x:v>0.049019607843137254</x:v>
      </x:c>
      <x:c r="Q1527" s="15" t="n">
        <x:f>IF(E1527=0,"해당 없음",I1527/E1527)</x:f>
        <x:v>0.08823529411764706</x:v>
      </x:c>
      <x:c r="R1527" s="15" t="n">
        <x:f>IF(E1527=0,"해당 없음",J1527/E1527)</x:f>
        <x:v>0.029411764705882353</x:v>
      </x:c>
      <x:c r="S1527" s="15" t="n">
        <x:f>IF(E1527=0,"해당 없음",K1527/E1527)</x:f>
        <x:v>0.029411764705882353</x:v>
      </x:c>
      <x:c r="T1527" s="15" t="n">
        <x:f>IF(E1527=0,"해당 없음",L1527/E1527)</x:f>
        <x:v>0.3333333333333333</x:v>
      </x:c>
      <x:c r="U1527" s="15" t="n">
        <x:f>IF(E1527=0,"해당 없음",M1527/E1527)</x:f>
        <x:v>0.23529411764705882</x:v>
      </x:c>
      <x:c r="V1527" s="16" t="n">
        <x:f>E1527/5</x:f>
        <x:v>20.4</x:v>
      </x:c>
    </x:row>
    <x:row r="1528" ht="22" customHeight="1">
      <x:c r="A1528" s="2" t="n">
        <x:v>762</x:v>
      </x:c>
      <x:c r="B1528" s="2" t="str">
        <x:v>RED</x:v>
      </x:c>
      <x:c r="C1528" s="2" t="str">
        <x:v>160만</x:v>
      </x:c>
      <x:c r="D1528" s="2" t="str">
        <x:v>80만</x:v>
      </x:c>
      <x:c r="E1528" s="14" t="n">
        <x:f>SUM(F1528:M1528)</x:f>
        <x:v>102</x:v>
      </x:c>
      <x:c r="F1528" s="14" t="n">
        <x:v>7</x:v>
      </x:c>
      <x:c r="G1528" s="14" t="n">
        <x:v>13</x:v>
      </x:c>
      <x:c r="H1528" s="14" t="n">
        <x:v>0</x:v>
      </x:c>
      <x:c r="I1528" s="14" t="n">
        <x:v>9</x:v>
      </x:c>
      <x:c r="J1528" s="14" t="n">
        <x:v>1</x:v>
      </x:c>
      <x:c r="K1528" s="14" t="n">
        <x:v>3</x:v>
      </x:c>
      <x:c r="L1528" s="14" t="n">
        <x:v>39</x:v>
      </x:c>
      <x:c r="M1528" s="14" t="n">
        <x:v>30</x:v>
      </x:c>
      <x:c r="N1528" s="15" t="n">
        <x:f>IF(E1528=0,"해당 없음",F1528/E1528)</x:f>
        <x:v>0.06862745098039216</x:v>
      </x:c>
      <x:c r="O1528" s="15" t="n">
        <x:f>IF(E1528=0,"해당 없음",G1528/E1528)</x:f>
        <x:v>0.12745098039215685</x:v>
      </x:c>
      <x:c r="P1528" s="15" t="n">
        <x:f>IF(E1528=0,"해당 없음",H1528/E1528)</x:f>
        <x:v>0</x:v>
      </x:c>
      <x:c r="Q1528" s="15" t="n">
        <x:f>IF(E1528=0,"해당 없음",I1528/E1528)</x:f>
        <x:v>0.08823529411764706</x:v>
      </x:c>
      <x:c r="R1528" s="15" t="n">
        <x:f>IF(E1528=0,"해당 없음",J1528/E1528)</x:f>
        <x:v>0.00980392156862745</x:v>
      </x:c>
      <x:c r="S1528" s="15" t="n">
        <x:f>IF(E1528=0,"해당 없음",K1528/E1528)</x:f>
        <x:v>0.029411764705882353</x:v>
      </x:c>
      <x:c r="T1528" s="15" t="n">
        <x:f>IF(E1528=0,"해당 없음",L1528/E1528)</x:f>
        <x:v>0.38235294117647056</x:v>
      </x:c>
      <x:c r="U1528" s="15" t="n">
        <x:f>IF(E1528=0,"해당 없음",M1528/E1528)</x:f>
        <x:v>0.29411764705882354</x:v>
      </x:c>
      <x:c r="V1528" s="16" t="n">
        <x:f>E1528/5</x:f>
        <x:v>20.4</x:v>
      </x:c>
    </x:row>
    <x:row r="1529" ht="22" customHeight="1">
      <x:c r="A1529" s="2" t="n">
        <x:v>762</x:v>
      </x:c>
      <x:c r="B1529" s="2" t="str">
        <x:v>NAVY</x:v>
      </x:c>
      <x:c r="C1529" s="2" t="str">
        <x:v>80만</x:v>
      </x:c>
      <x:c r="D1529" s="2" t="str">
        <x:v>160만</x:v>
      </x:c>
      <x:c r="E1529" s="14" t="n">
        <x:f>SUM(F1529:M1529)</x:f>
        <x:v>103</x:v>
      </x:c>
      <x:c r="F1529" s="14" t="n">
        <x:v>3</x:v>
      </x:c>
      <x:c r="G1529" s="14" t="n">
        <x:v>20</x:v>
      </x:c>
      <x:c r="H1529" s="14" t="n">
        <x:v>10</x:v>
      </x:c>
      <x:c r="I1529" s="14" t="n">
        <x:v>7</x:v>
      </x:c>
      <x:c r="J1529" s="14" t="n">
        <x:v>3</x:v>
      </x:c>
      <x:c r="K1529" s="14" t="n">
        <x:v>13</x:v>
      </x:c>
      <x:c r="L1529" s="14" t="n">
        <x:v>32</x:v>
      </x:c>
      <x:c r="M1529" s="14" t="n">
        <x:v>15</x:v>
      </x:c>
      <x:c r="N1529" s="15" t="n">
        <x:f>IF(E1529=0,"해당 없음",F1529/E1529)</x:f>
        <x:v>0.02912621359223301</x:v>
      </x:c>
      <x:c r="O1529" s="15" t="n">
        <x:f>IF(E1529=0,"해당 없음",G1529/E1529)</x:f>
        <x:v>0.1941747572815534</x:v>
      </x:c>
      <x:c r="P1529" s="15" t="n">
        <x:f>IF(E1529=0,"해당 없음",H1529/E1529)</x:f>
        <x:v>0.0970873786407767</x:v>
      </x:c>
      <x:c r="Q1529" s="15" t="n">
        <x:f>IF(E1529=0,"해당 없음",I1529/E1529)</x:f>
        <x:v>0.06796116504854369</x:v>
      </x:c>
      <x:c r="R1529" s="15" t="n">
        <x:f>IF(E1529=0,"해당 없음",J1529/E1529)</x:f>
        <x:v>0.02912621359223301</x:v>
      </x:c>
      <x:c r="S1529" s="15" t="n">
        <x:f>IF(E1529=0,"해당 없음",K1529/E1529)</x:f>
        <x:v>0.1262135922330097</x:v>
      </x:c>
      <x:c r="T1529" s="15" t="n">
        <x:f>IF(E1529=0,"해당 없음",L1529/E1529)</x:f>
        <x:v>0.3106796116504854</x:v>
      </x:c>
      <x:c r="U1529" s="15" t="n">
        <x:f>IF(E1529=0,"해당 없음",M1529/E1529)</x:f>
        <x:v>0.14563106796116504</x:v>
      </x:c>
      <x:c r="V1529" s="16" t="n">
        <x:f>E1529/5</x:f>
        <x:v>20.6</x:v>
      </x:c>
    </x:row>
    <x:row r="1530" ht="22" customHeight="1">
      <x:c r="A1530" s="2" t="n">
        <x:v>763</x:v>
      </x:c>
      <x:c r="B1530" s="2" t="str">
        <x:v>RED</x:v>
      </x:c>
      <x:c r="C1530" s="2" t="str">
        <x:v>80만</x:v>
      </x:c>
      <x:c r="D1530" s="2" t="str">
        <x:v>160만</x:v>
      </x:c>
      <x:c r="E1530" s="14" t="n">
        <x:f>SUM(F1530:M1530)</x:f>
        <x:v>104</x:v>
      </x:c>
      <x:c r="F1530" s="14" t="n">
        <x:v>7</x:v>
      </x:c>
      <x:c r="G1530" s="14" t="n">
        <x:v>13</x:v>
      </x:c>
      <x:c r="H1530" s="14" t="n">
        <x:v>5</x:v>
      </x:c>
      <x:c r="I1530" s="14" t="n">
        <x:v>10</x:v>
      </x:c>
      <x:c r="J1530" s="14" t="n">
        <x:v>3</x:v>
      </x:c>
      <x:c r="K1530" s="14" t="n">
        <x:v>10</x:v>
      </x:c>
      <x:c r="L1530" s="14" t="n">
        <x:v>44</x:v>
      </x:c>
      <x:c r="M1530" s="14" t="n">
        <x:v>12</x:v>
      </x:c>
      <x:c r="N1530" s="15" t="n">
        <x:f>IF(E1530=0,"해당 없음",F1530/E1530)</x:f>
        <x:v>0.0673076923076923</x:v>
      </x:c>
      <x:c r="O1530" s="15" t="n">
        <x:f>IF(E1530=0,"해당 없음",G1530/E1530)</x:f>
        <x:v>0.125</x:v>
      </x:c>
      <x:c r="P1530" s="15" t="n">
        <x:f>IF(E1530=0,"해당 없음",H1530/E1530)</x:f>
        <x:v>0.04807692307692308</x:v>
      </x:c>
      <x:c r="Q1530" s="15" t="n">
        <x:f>IF(E1530=0,"해당 없음",I1530/E1530)</x:f>
        <x:v>0.09615384615384616</x:v>
      </x:c>
      <x:c r="R1530" s="15" t="n">
        <x:f>IF(E1530=0,"해당 없음",J1530/E1530)</x:f>
        <x:v>0.028846153846153848</x:v>
      </x:c>
      <x:c r="S1530" s="15" t="n">
        <x:f>IF(E1530=0,"해당 없음",K1530/E1530)</x:f>
        <x:v>0.09615384615384616</x:v>
      </x:c>
      <x:c r="T1530" s="15" t="n">
        <x:f>IF(E1530=0,"해당 없음",L1530/E1530)</x:f>
        <x:v>0.4230769230769231</x:v>
      </x:c>
      <x:c r="U1530" s="15" t="n">
        <x:f>IF(E1530=0,"해당 없음",M1530/E1530)</x:f>
        <x:v>0.11538461538461539</x:v>
      </x:c>
      <x:c r="V1530" s="16" t="n">
        <x:f>E1530/5</x:f>
        <x:v>20.8</x:v>
      </x:c>
    </x:row>
    <x:row r="1531" ht="22" customHeight="1">
      <x:c r="A1531" s="2" t="n">
        <x:v>763</x:v>
      </x:c>
      <x:c r="B1531" s="2" t="str">
        <x:v>NAVY</x:v>
      </x:c>
      <x:c r="C1531" s="2" t="str">
        <x:v>160만</x:v>
      </x:c>
      <x:c r="D1531" s="2" t="str">
        <x:v>80만</x:v>
      </x:c>
      <x:c r="E1531" s="14" t="n">
        <x:f>SUM(F1531:M1531)</x:f>
        <x:v>105</x:v>
      </x:c>
      <x:c r="F1531" s="14" t="n">
        <x:v>1</x:v>
      </x:c>
      <x:c r="G1531" s="14" t="n">
        <x:v>13</x:v>
      </x:c>
      <x:c r="H1531" s="14" t="n">
        <x:v>4</x:v>
      </x:c>
      <x:c r="I1531" s="14" t="n">
        <x:v>4</x:v>
      </x:c>
      <x:c r="J1531" s="14" t="n">
        <x:v>5</x:v>
      </x:c>
      <x:c r="K1531" s="14" t="n">
        <x:v>5</x:v>
      </x:c>
      <x:c r="L1531" s="14" t="n">
        <x:v>41</x:v>
      </x:c>
      <x:c r="M1531" s="14" t="n">
        <x:v>32</x:v>
      </x:c>
      <x:c r="N1531" s="15" t="n">
        <x:f>IF(E1531=0,"해당 없음",F1531/E1531)</x:f>
        <x:v>0.009523809523809525</x:v>
      </x:c>
      <x:c r="O1531" s="15" t="n">
        <x:f>IF(E1531=0,"해당 없음",G1531/E1531)</x:f>
        <x:v>0.12380952380952381</x:v>
      </x:c>
      <x:c r="P1531" s="15" t="n">
        <x:f>IF(E1531=0,"해당 없음",H1531/E1531)</x:f>
        <x:v>0.0380952380952381</x:v>
      </x:c>
      <x:c r="Q1531" s="15" t="n">
        <x:f>IF(E1531=0,"해당 없음",I1531/E1531)</x:f>
        <x:v>0.0380952380952381</x:v>
      </x:c>
      <x:c r="R1531" s="15" t="n">
        <x:f>IF(E1531=0,"해당 없음",J1531/E1531)</x:f>
        <x:v>0.047619047619047616</x:v>
      </x:c>
      <x:c r="S1531" s="15" t="n">
        <x:f>IF(E1531=0,"해당 없음",K1531/E1531)</x:f>
        <x:v>0.047619047619047616</x:v>
      </x:c>
      <x:c r="T1531" s="15" t="n">
        <x:f>IF(E1531=0,"해당 없음",L1531/E1531)</x:f>
        <x:v>0.3904761904761905</x:v>
      </x:c>
      <x:c r="U1531" s="15" t="n">
        <x:f>IF(E1531=0,"해당 없음",M1531/E1531)</x:f>
        <x:v>0.3047619047619048</x:v>
      </x:c>
      <x:c r="V1531" s="16" t="n">
        <x:f>E1531/5</x:f>
        <x:v>21</x:v>
      </x:c>
    </x:row>
    <x:row r="1532" ht="22" customHeight="1">
      <x:c r="A1532" s="2" t="n">
        <x:v>764</x:v>
      </x:c>
      <x:c r="B1532" s="2" t="str">
        <x:v>RED</x:v>
      </x:c>
      <x:c r="C1532" s="2" t="str">
        <x:v>160만</x:v>
      </x:c>
      <x:c r="D1532" s="2" t="str">
        <x:v>80만</x:v>
      </x:c>
      <x:c r="E1532" s="14" t="n">
        <x:f>SUM(F1532:M1532)</x:f>
        <x:v>104</x:v>
      </x:c>
      <x:c r="F1532" s="14" t="n">
        <x:v>2</x:v>
      </x:c>
      <x:c r="G1532" s="14" t="n">
        <x:v>6</x:v>
      </x:c>
      <x:c r="H1532" s="14" t="n">
        <x:v>5</x:v>
      </x:c>
      <x:c r="I1532" s="14" t="n">
        <x:v>14</x:v>
      </x:c>
      <x:c r="J1532" s="14" t="n">
        <x:v>2</x:v>
      </x:c>
      <x:c r="K1532" s="14" t="n">
        <x:v>0</x:v>
      </x:c>
      <x:c r="L1532" s="14" t="n">
        <x:v>39</x:v>
      </x:c>
      <x:c r="M1532" s="14" t="n">
        <x:v>36</x:v>
      </x:c>
      <x:c r="N1532" s="15" t="n">
        <x:f>IF(E1532=0,"해당 없음",F1532/E1532)</x:f>
        <x:v>0.019230769230769232</x:v>
      </x:c>
      <x:c r="O1532" s="15" t="n">
        <x:f>IF(E1532=0,"해당 없음",G1532/E1532)</x:f>
        <x:v>0.057692307692307696</x:v>
      </x:c>
      <x:c r="P1532" s="15" t="n">
        <x:f>IF(E1532=0,"해당 없음",H1532/E1532)</x:f>
        <x:v>0.04807692307692308</x:v>
      </x:c>
      <x:c r="Q1532" s="15" t="n">
        <x:f>IF(E1532=0,"해당 없음",I1532/E1532)</x:f>
        <x:v>0.1346153846153846</x:v>
      </x:c>
      <x:c r="R1532" s="15" t="n">
        <x:f>IF(E1532=0,"해당 없음",J1532/E1532)</x:f>
        <x:v>0.019230769230769232</x:v>
      </x:c>
      <x:c r="S1532" s="15" t="n">
        <x:f>IF(E1532=0,"해당 없음",K1532/E1532)</x:f>
        <x:v>0</x:v>
      </x:c>
      <x:c r="T1532" s="15" t="n">
        <x:f>IF(E1532=0,"해당 없음",L1532/E1532)</x:f>
        <x:v>0.375</x:v>
      </x:c>
      <x:c r="U1532" s="15" t="n">
        <x:f>IF(E1532=0,"해당 없음",M1532/E1532)</x:f>
        <x:v>0.34615384615384615</x:v>
      </x:c>
      <x:c r="V1532" s="16" t="n">
        <x:f>E1532/5</x:f>
        <x:v>20.8</x:v>
      </x:c>
    </x:row>
    <x:row r="1533" ht="22" customHeight="1">
      <x:c r="A1533" s="2" t="n">
        <x:v>764</x:v>
      </x:c>
      <x:c r="B1533" s="2" t="str">
        <x:v>NAVY</x:v>
      </x:c>
      <x:c r="C1533" s="2" t="str">
        <x:v>80만</x:v>
      </x:c>
      <x:c r="D1533" s="2" t="str">
        <x:v>160만</x:v>
      </x:c>
      <x:c r="E1533" s="14" t="n">
        <x:f>SUM(F1533:M1533)</x:f>
        <x:v>102</x:v>
      </x:c>
      <x:c r="F1533" s="14" t="n">
        <x:v>5</x:v>
      </x:c>
      <x:c r="G1533" s="14" t="n">
        <x:v>19</x:v>
      </x:c>
      <x:c r="H1533" s="14" t="n">
        <x:v>6</x:v>
      </x:c>
      <x:c r="I1533" s="14" t="n">
        <x:v>8</x:v>
      </x:c>
      <x:c r="J1533" s="14" t="n">
        <x:v>4</x:v>
      </x:c>
      <x:c r="K1533" s="14" t="n">
        <x:v>6</x:v>
      </x:c>
      <x:c r="L1533" s="14" t="n">
        <x:v>36</x:v>
      </x:c>
      <x:c r="M1533" s="14" t="n">
        <x:v>18</x:v>
      </x:c>
      <x:c r="N1533" s="15" t="n">
        <x:f>IF(E1533=0,"해당 없음",F1533/E1533)</x:f>
        <x:v>0.049019607843137254</x:v>
      </x:c>
      <x:c r="O1533" s="15" t="n">
        <x:f>IF(E1533=0,"해당 없음",G1533/E1533)</x:f>
        <x:v>0.18627450980392157</x:v>
      </x:c>
      <x:c r="P1533" s="15" t="n">
        <x:f>IF(E1533=0,"해당 없음",H1533/E1533)</x:f>
        <x:v>0.058823529411764705</x:v>
      </x:c>
      <x:c r="Q1533" s="15" t="n">
        <x:f>IF(E1533=0,"해당 없음",I1533/E1533)</x:f>
        <x:v>0.0784313725490196</x:v>
      </x:c>
      <x:c r="R1533" s="15" t="n">
        <x:f>IF(E1533=0,"해당 없음",J1533/E1533)</x:f>
        <x:v>0.0392156862745098</x:v>
      </x:c>
      <x:c r="S1533" s="15" t="n">
        <x:f>IF(E1533=0,"해당 없음",K1533/E1533)</x:f>
        <x:v>0.058823529411764705</x:v>
      </x:c>
      <x:c r="T1533" s="15" t="n">
        <x:f>IF(E1533=0,"해당 없음",L1533/E1533)</x:f>
        <x:v>0.35294117647058826</x:v>
      </x:c>
      <x:c r="U1533" s="15" t="n">
        <x:f>IF(E1533=0,"해당 없음",M1533/E1533)</x:f>
        <x:v>0.17647058823529413</x:v>
      </x:c>
      <x:c r="V1533" s="16" t="n">
        <x:f>E1533/5</x:f>
        <x:v>20.4</x:v>
      </x:c>
    </x:row>
    <x:row r="1534" ht="22" customHeight="1">
      <x:c r="A1534" s="2" t="n">
        <x:v>765</x:v>
      </x:c>
      <x:c r="B1534" s="2" t="str">
        <x:v>RED</x:v>
      </x:c>
      <x:c r="C1534" s="2" t="str">
        <x:v>80만</x:v>
      </x:c>
      <x:c r="D1534" s="2" t="str">
        <x:v>160만</x:v>
      </x:c>
      <x:c r="E1534" s="14" t="n">
        <x:f>SUM(F1534:M1534)</x:f>
        <x:v>102</x:v>
      </x:c>
      <x:c r="F1534" s="14" t="n">
        <x:v>4</x:v>
      </x:c>
      <x:c r="G1534" s="14" t="n">
        <x:v>19</x:v>
      </x:c>
      <x:c r="H1534" s="14" t="n">
        <x:v>11</x:v>
      </x:c>
      <x:c r="I1534" s="14" t="n">
        <x:v>5</x:v>
      </x:c>
      <x:c r="J1534" s="14" t="n">
        <x:v>4</x:v>
      </x:c>
      <x:c r="K1534" s="14" t="n">
        <x:v>11</x:v>
      </x:c>
      <x:c r="L1534" s="14" t="n">
        <x:v>38</x:v>
      </x:c>
      <x:c r="M1534" s="14" t="n">
        <x:v>10</x:v>
      </x:c>
      <x:c r="N1534" s="15" t="n">
        <x:f>IF(E1534=0,"해당 없음",F1534/E1534)</x:f>
        <x:v>0.0392156862745098</x:v>
      </x:c>
      <x:c r="O1534" s="15" t="n">
        <x:f>IF(E1534=0,"해당 없음",G1534/E1534)</x:f>
        <x:v>0.18627450980392157</x:v>
      </x:c>
      <x:c r="P1534" s="15" t="n">
        <x:f>IF(E1534=0,"해당 없음",H1534/E1534)</x:f>
        <x:v>0.10784313725490197</x:v>
      </x:c>
      <x:c r="Q1534" s="15" t="n">
        <x:f>IF(E1534=0,"해당 없음",I1534/E1534)</x:f>
        <x:v>0.049019607843137254</x:v>
      </x:c>
      <x:c r="R1534" s="15" t="n">
        <x:f>IF(E1534=0,"해당 없음",J1534/E1534)</x:f>
        <x:v>0.0392156862745098</x:v>
      </x:c>
      <x:c r="S1534" s="15" t="n">
        <x:f>IF(E1534=0,"해당 없음",K1534/E1534)</x:f>
        <x:v>0.10784313725490197</x:v>
      </x:c>
      <x:c r="T1534" s="15" t="n">
        <x:f>IF(E1534=0,"해당 없음",L1534/E1534)</x:f>
        <x:v>0.37254901960784315</x:v>
      </x:c>
      <x:c r="U1534" s="15" t="n">
        <x:f>IF(E1534=0,"해당 없음",M1534/E1534)</x:f>
        <x:v>0.09803921568627451</x:v>
      </x:c>
      <x:c r="V1534" s="16" t="n">
        <x:f>E1534/5</x:f>
        <x:v>20.4</x:v>
      </x:c>
    </x:row>
    <x:row r="1535" ht="22" customHeight="1">
      <x:c r="A1535" s="2" t="n">
        <x:v>765</x:v>
      </x:c>
      <x:c r="B1535" s="2" t="str">
        <x:v>NAVY</x:v>
      </x:c>
      <x:c r="C1535" s="2" t="str">
        <x:v>160만</x:v>
      </x:c>
      <x:c r="D1535" s="2" t="str">
        <x:v>80만</x:v>
      </x:c>
      <x:c r="E1535" s="14" t="n">
        <x:f>SUM(F1535:M1535)</x:f>
        <x:v>103</x:v>
      </x:c>
      <x:c r="F1535" s="14" t="n">
        <x:v>4</x:v>
      </x:c>
      <x:c r="G1535" s="14" t="n">
        <x:v>27</x:v>
      </x:c>
      <x:c r="H1535" s="14" t="n">
        <x:v>8</x:v>
      </x:c>
      <x:c r="I1535" s="14" t="n">
        <x:v>2</x:v>
      </x:c>
      <x:c r="J1535" s="14" t="n">
        <x:v>5</x:v>
      </x:c>
      <x:c r="K1535" s="14" t="n">
        <x:v>8</x:v>
      </x:c>
      <x:c r="L1535" s="14" t="n">
        <x:v>29</x:v>
      </x:c>
      <x:c r="M1535" s="14" t="n">
        <x:v>20</x:v>
      </x:c>
      <x:c r="N1535" s="15" t="n">
        <x:f>IF(E1535=0,"해당 없음",F1535/E1535)</x:f>
        <x:v>0.038834951456310676</x:v>
      </x:c>
      <x:c r="O1535" s="15" t="n">
        <x:f>IF(E1535=0,"해당 없음",G1535/E1535)</x:f>
        <x:v>0.2621359223300971</x:v>
      </x:c>
      <x:c r="P1535" s="15" t="n">
        <x:f>IF(E1535=0,"해당 없음",H1535/E1535)</x:f>
        <x:v>0.07766990291262135</x:v>
      </x:c>
      <x:c r="Q1535" s="15" t="n">
        <x:f>IF(E1535=0,"해당 없음",I1535/E1535)</x:f>
        <x:v>0.019417475728155338</x:v>
      </x:c>
      <x:c r="R1535" s="15" t="n">
        <x:f>IF(E1535=0,"해당 없음",J1535/E1535)</x:f>
        <x:v>0.04854368932038835</x:v>
      </x:c>
      <x:c r="S1535" s="15" t="n">
        <x:f>IF(E1535=0,"해당 없음",K1535/E1535)</x:f>
        <x:v>0.07766990291262135</x:v>
      </x:c>
      <x:c r="T1535" s="15" t="n">
        <x:f>IF(E1535=0,"해당 없음",L1535/E1535)</x:f>
        <x:v>0.2815533980582524</x:v>
      </x:c>
      <x:c r="U1535" s="15" t="n">
        <x:f>IF(E1535=0,"해당 없음",M1535/E1535)</x:f>
        <x:v>0.1941747572815534</x:v>
      </x:c>
      <x:c r="V1535" s="16" t="n">
        <x:f>E1535/5</x:f>
        <x:v>20.6</x:v>
      </x:c>
    </x:row>
    <x:row r="1536" ht="22" customHeight="1">
      <x:c r="A1536" s="2" t="n">
        <x:v>766</x:v>
      </x:c>
      <x:c r="B1536" s="2" t="str">
        <x:v>RED</x:v>
      </x:c>
      <x:c r="C1536" s="2" t="str">
        <x:v>160만</x:v>
      </x:c>
      <x:c r="D1536" s="2" t="str">
        <x:v>80만</x:v>
      </x:c>
      <x:c r="E1536" s="14" t="n">
        <x:f>SUM(F1536:M1536)</x:f>
        <x:v>103</x:v>
      </x:c>
      <x:c r="F1536" s="14" t="n">
        <x:v>6</x:v>
      </x:c>
      <x:c r="G1536" s="14" t="n">
        <x:v>18</x:v>
      </x:c>
      <x:c r="H1536" s="14" t="n">
        <x:v>5</x:v>
      </x:c>
      <x:c r="I1536" s="14" t="n">
        <x:v>3</x:v>
      </x:c>
      <x:c r="J1536" s="14" t="n">
        <x:v>5</x:v>
      </x:c>
      <x:c r="K1536" s="14" t="n">
        <x:v>6</x:v>
      </x:c>
      <x:c r="L1536" s="14" t="n">
        <x:v>30</x:v>
      </x:c>
      <x:c r="M1536" s="14" t="n">
        <x:v>30</x:v>
      </x:c>
      <x:c r="N1536" s="15" t="n">
        <x:f>IF(E1536=0,"해당 없음",F1536/E1536)</x:f>
        <x:v>0.05825242718446602</x:v>
      </x:c>
      <x:c r="O1536" s="15" t="n">
        <x:f>IF(E1536=0,"해당 없음",G1536/E1536)</x:f>
        <x:v>0.17475728155339806</x:v>
      </x:c>
      <x:c r="P1536" s="15" t="n">
        <x:f>IF(E1536=0,"해당 없음",H1536/E1536)</x:f>
        <x:v>0.04854368932038835</x:v>
      </x:c>
      <x:c r="Q1536" s="15" t="n">
        <x:f>IF(E1536=0,"해당 없음",I1536/E1536)</x:f>
        <x:v>0.02912621359223301</x:v>
      </x:c>
      <x:c r="R1536" s="15" t="n">
        <x:f>IF(E1536=0,"해당 없음",J1536/E1536)</x:f>
        <x:v>0.04854368932038835</x:v>
      </x:c>
      <x:c r="S1536" s="15" t="n">
        <x:f>IF(E1536=0,"해당 없음",K1536/E1536)</x:f>
        <x:v>0.05825242718446602</x:v>
      </x:c>
      <x:c r="T1536" s="15" t="n">
        <x:f>IF(E1536=0,"해당 없음",L1536/E1536)</x:f>
        <x:v>0.2912621359223301</x:v>
      </x:c>
      <x:c r="U1536" s="15" t="n">
        <x:f>IF(E1536=0,"해당 없음",M1536/E1536)</x:f>
        <x:v>0.2912621359223301</x:v>
      </x:c>
      <x:c r="V1536" s="16" t="n">
        <x:f>E1536/5</x:f>
        <x:v>20.6</x:v>
      </x:c>
    </x:row>
    <x:row r="1537" ht="22" customHeight="1">
      <x:c r="A1537" s="2" t="n">
        <x:v>766</x:v>
      </x:c>
      <x:c r="B1537" s="2" t="str">
        <x:v>NAVY</x:v>
      </x:c>
      <x:c r="C1537" s="2" t="str">
        <x:v>80만</x:v>
      </x:c>
      <x:c r="D1537" s="2" t="str">
        <x:v>160만</x:v>
      </x:c>
      <x:c r="E1537" s="14" t="n">
        <x:f>SUM(F1537:M1537)</x:f>
        <x:v>104</x:v>
      </x:c>
      <x:c r="F1537" s="14" t="n">
        <x:v>5</x:v>
      </x:c>
      <x:c r="G1537" s="14" t="n">
        <x:v>22</x:v>
      </x:c>
      <x:c r="H1537" s="14" t="n">
        <x:v>8</x:v>
      </x:c>
      <x:c r="I1537" s="14" t="n">
        <x:v>6</x:v>
      </x:c>
      <x:c r="J1537" s="14" t="n">
        <x:v>4</x:v>
      </x:c>
      <x:c r="K1537" s="14" t="n">
        <x:v>9</x:v>
      </x:c>
      <x:c r="L1537" s="14" t="n">
        <x:v>35</x:v>
      </x:c>
      <x:c r="M1537" s="14" t="n">
        <x:v>15</x:v>
      </x:c>
      <x:c r="N1537" s="15" t="n">
        <x:f>IF(E1537=0,"해당 없음",F1537/E1537)</x:f>
        <x:v>0.04807692307692308</x:v>
      </x:c>
      <x:c r="O1537" s="15" t="n">
        <x:f>IF(E1537=0,"해당 없음",G1537/E1537)</x:f>
        <x:v>0.21153846153846154</x:v>
      </x:c>
      <x:c r="P1537" s="15" t="n">
        <x:f>IF(E1537=0,"해당 없음",H1537/E1537)</x:f>
        <x:v>0.07692307692307693</x:v>
      </x:c>
      <x:c r="Q1537" s="15" t="n">
        <x:f>IF(E1537=0,"해당 없음",I1537/E1537)</x:f>
        <x:v>0.057692307692307696</x:v>
      </x:c>
      <x:c r="R1537" s="15" t="n">
        <x:f>IF(E1537=0,"해당 없음",J1537/E1537)</x:f>
        <x:v>0.038461538461538464</x:v>
      </x:c>
      <x:c r="S1537" s="15" t="n">
        <x:f>IF(E1537=0,"해당 없음",K1537/E1537)</x:f>
        <x:v>0.08653846153846154</x:v>
      </x:c>
      <x:c r="T1537" s="15" t="n">
        <x:f>IF(E1537=0,"해당 없음",L1537/E1537)</x:f>
        <x:v>0.33653846153846156</x:v>
      </x:c>
      <x:c r="U1537" s="15" t="n">
        <x:f>IF(E1537=0,"해당 없음",M1537/E1537)</x:f>
        <x:v>0.14423076923076922</x:v>
      </x:c>
      <x:c r="V1537" s="16" t="n">
        <x:f>E1537/5</x:f>
        <x:v>20.8</x:v>
      </x:c>
    </x:row>
    <x:row r="1538" ht="22" customHeight="1">
      <x:c r="A1538" s="2" t="n">
        <x:v>767</x:v>
      </x:c>
      <x:c r="B1538" s="2" t="str">
        <x:v>RED</x:v>
      </x:c>
      <x:c r="C1538" s="2" t="str">
        <x:v>80만</x:v>
      </x:c>
      <x:c r="D1538" s="2" t="str">
        <x:v>160만</x:v>
      </x:c>
      <x:c r="E1538" s="14" t="n">
        <x:f>SUM(F1538:M1538)</x:f>
        <x:v>105</x:v>
      </x:c>
      <x:c r="F1538" s="14" t="n">
        <x:v>3</x:v>
      </x:c>
      <x:c r="G1538" s="14" t="n">
        <x:v>14</x:v>
      </x:c>
      <x:c r="H1538" s="14" t="n">
        <x:v>10</x:v>
      </x:c>
      <x:c r="I1538" s="14" t="n">
        <x:v>11</x:v>
      </x:c>
      <x:c r="J1538" s="14" t="n">
        <x:v>2</x:v>
      </x:c>
      <x:c r="K1538" s="14" t="n">
        <x:v>13</x:v>
      </x:c>
      <x:c r="L1538" s="14" t="n">
        <x:v>39</x:v>
      </x:c>
      <x:c r="M1538" s="14" t="n">
        <x:v>13</x:v>
      </x:c>
      <x:c r="N1538" s="15" t="n">
        <x:f>IF(E1538=0,"해당 없음",F1538/E1538)</x:f>
        <x:v>0.02857142857142857</x:v>
      </x:c>
      <x:c r="O1538" s="15" t="n">
        <x:f>IF(E1538=0,"해당 없음",G1538/E1538)</x:f>
        <x:v>0.13333333333333333</x:v>
      </x:c>
      <x:c r="P1538" s="15" t="n">
        <x:f>IF(E1538=0,"해당 없음",H1538/E1538)</x:f>
        <x:v>0.09523809523809523</x:v>
      </x:c>
      <x:c r="Q1538" s="15" t="n">
        <x:f>IF(E1538=0,"해당 없음",I1538/E1538)</x:f>
        <x:v>0.10476190476190476</x:v>
      </x:c>
      <x:c r="R1538" s="15" t="n">
        <x:f>IF(E1538=0,"해당 없음",J1538/E1538)</x:f>
        <x:v>0.01904761904761905</x:v>
      </x:c>
      <x:c r="S1538" s="15" t="n">
        <x:f>IF(E1538=0,"해당 없음",K1538/E1538)</x:f>
        <x:v>0.12380952380952381</x:v>
      </x:c>
      <x:c r="T1538" s="15" t="n">
        <x:f>IF(E1538=0,"해당 없음",L1538/E1538)</x:f>
        <x:v>0.37142857142857144</x:v>
      </x:c>
      <x:c r="U1538" s="15" t="n">
        <x:f>IF(E1538=0,"해당 없음",M1538/E1538)</x:f>
        <x:v>0.12380952380952381</x:v>
      </x:c>
      <x:c r="V1538" s="16" t="n">
        <x:f>E1538/5</x:f>
        <x:v>21</x:v>
      </x:c>
    </x:row>
    <x:row r="1539" ht="22" customHeight="1">
      <x:c r="A1539" s="2" t="n">
        <x:v>767</x:v>
      </x:c>
      <x:c r="B1539" s="2" t="str">
        <x:v>NAVY</x:v>
      </x:c>
      <x:c r="C1539" s="2" t="str">
        <x:v>160만</x:v>
      </x:c>
      <x:c r="D1539" s="2" t="str">
        <x:v>80만</x:v>
      </x:c>
      <x:c r="E1539" s="14" t="n">
        <x:f>SUM(F1539:M1539)</x:f>
        <x:v>103</x:v>
      </x:c>
      <x:c r="F1539" s="14" t="n">
        <x:v>1</x:v>
      </x:c>
      <x:c r="G1539" s="14" t="n">
        <x:v>19</x:v>
      </x:c>
      <x:c r="H1539" s="14" t="n">
        <x:v>2</x:v>
      </x:c>
      <x:c r="I1539" s="14" t="n">
        <x:v>3</x:v>
      </x:c>
      <x:c r="J1539" s="14" t="n">
        <x:v>8</x:v>
      </x:c>
      <x:c r="K1539" s="14" t="n">
        <x:v>7</x:v>
      </x:c>
      <x:c r="L1539" s="14" t="n">
        <x:v>33</x:v>
      </x:c>
      <x:c r="M1539" s="14" t="n">
        <x:v>30</x:v>
      </x:c>
      <x:c r="N1539" s="15" t="n">
        <x:f>IF(E1539=0,"해당 없음",F1539/E1539)</x:f>
        <x:v>0.009708737864077669</x:v>
      </x:c>
      <x:c r="O1539" s="15" t="n">
        <x:f>IF(E1539=0,"해당 없음",G1539/E1539)</x:f>
        <x:v>0.18446601941747573</x:v>
      </x:c>
      <x:c r="P1539" s="15" t="n">
        <x:f>IF(E1539=0,"해당 없음",H1539/E1539)</x:f>
        <x:v>0.019417475728155338</x:v>
      </x:c>
      <x:c r="Q1539" s="15" t="n">
        <x:f>IF(E1539=0,"해당 없음",I1539/E1539)</x:f>
        <x:v>0.02912621359223301</x:v>
      </x:c>
      <x:c r="R1539" s="15" t="n">
        <x:f>IF(E1539=0,"해당 없음",J1539/E1539)</x:f>
        <x:v>0.07766990291262135</x:v>
      </x:c>
      <x:c r="S1539" s="15" t="n">
        <x:f>IF(E1539=0,"해당 없음",K1539/E1539)</x:f>
        <x:v>0.06796116504854369</x:v>
      </x:c>
      <x:c r="T1539" s="15" t="n">
        <x:f>IF(E1539=0,"해당 없음",L1539/E1539)</x:f>
        <x:v>0.32038834951456313</x:v>
      </x:c>
      <x:c r="U1539" s="15" t="n">
        <x:f>IF(E1539=0,"해당 없음",M1539/E1539)</x:f>
        <x:v>0.2912621359223301</x:v>
      </x:c>
      <x:c r="V1539" s="16" t="n">
        <x:f>E1539/5</x:f>
        <x:v>20.6</x:v>
      </x:c>
    </x:row>
    <x:row r="1540" ht="22" customHeight="1">
      <x:c r="A1540" s="2" t="n">
        <x:v>768</x:v>
      </x:c>
      <x:c r="B1540" s="2" t="str">
        <x:v>RED</x:v>
      </x:c>
      <x:c r="C1540" s="2" t="str">
        <x:v>160만</x:v>
      </x:c>
      <x:c r="D1540" s="2" t="str">
        <x:v>80만</x:v>
      </x:c>
      <x:c r="E1540" s="14" t="n">
        <x:f>SUM(F1540:M1540)</x:f>
        <x:v>102</x:v>
      </x:c>
      <x:c r="F1540" s="14" t="n">
        <x:v>5</x:v>
      </x:c>
      <x:c r="G1540" s="14" t="n">
        <x:v>17</x:v>
      </x:c>
      <x:c r="H1540" s="14" t="n">
        <x:v>4</x:v>
      </x:c>
      <x:c r="I1540" s="14" t="n">
        <x:v>6</x:v>
      </x:c>
      <x:c r="J1540" s="14" t="n">
        <x:v>2</x:v>
      </x:c>
      <x:c r="K1540" s="14" t="n">
        <x:v>4</x:v>
      </x:c>
      <x:c r="L1540" s="14" t="n">
        <x:v>30</x:v>
      </x:c>
      <x:c r="M1540" s="14" t="n">
        <x:v>34</x:v>
      </x:c>
      <x:c r="N1540" s="15" t="n">
        <x:f>IF(E1540=0,"해당 없음",F1540/E1540)</x:f>
        <x:v>0.049019607843137254</x:v>
      </x:c>
      <x:c r="O1540" s="15" t="n">
        <x:f>IF(E1540=0,"해당 없음",G1540/E1540)</x:f>
        <x:v>0.16666666666666666</x:v>
      </x:c>
      <x:c r="P1540" s="15" t="n">
        <x:f>IF(E1540=0,"해당 없음",H1540/E1540)</x:f>
        <x:v>0.0392156862745098</x:v>
      </x:c>
      <x:c r="Q1540" s="15" t="n">
        <x:f>IF(E1540=0,"해당 없음",I1540/E1540)</x:f>
        <x:v>0.058823529411764705</x:v>
      </x:c>
      <x:c r="R1540" s="15" t="n">
        <x:f>IF(E1540=0,"해당 없음",J1540/E1540)</x:f>
        <x:v>0.0196078431372549</x:v>
      </x:c>
      <x:c r="S1540" s="15" t="n">
        <x:f>IF(E1540=0,"해당 없음",K1540/E1540)</x:f>
        <x:v>0.0392156862745098</x:v>
      </x:c>
      <x:c r="T1540" s="15" t="n">
        <x:f>IF(E1540=0,"해당 없음",L1540/E1540)</x:f>
        <x:v>0.29411764705882354</x:v>
      </x:c>
      <x:c r="U1540" s="15" t="n">
        <x:f>IF(E1540=0,"해당 없음",M1540/E1540)</x:f>
        <x:v>0.3333333333333333</x:v>
      </x:c>
      <x:c r="V1540" s="16" t="n">
        <x:f>E1540/5</x:f>
        <x:v>20.4</x:v>
      </x:c>
    </x:row>
    <x:row r="1541" ht="22" customHeight="1">
      <x:c r="A1541" s="2" t="n">
        <x:v>768</x:v>
      </x:c>
      <x:c r="B1541" s="2" t="str">
        <x:v>NAVY</x:v>
      </x:c>
      <x:c r="C1541" s="2" t="str">
        <x:v>80만</x:v>
      </x:c>
      <x:c r="D1541" s="2" t="str">
        <x:v>160만</x:v>
      </x:c>
      <x:c r="E1541" s="14" t="n">
        <x:f>SUM(F1541:M1541)</x:f>
        <x:v>101</x:v>
      </x:c>
      <x:c r="F1541" s="14" t="n">
        <x:v>4</x:v>
      </x:c>
      <x:c r="G1541" s="14" t="n">
        <x:v>21</x:v>
      </x:c>
      <x:c r="H1541" s="14" t="n">
        <x:v>8</x:v>
      </x:c>
      <x:c r="I1541" s="14" t="n">
        <x:v>7</x:v>
      </x:c>
      <x:c r="J1541" s="14" t="n">
        <x:v>0</x:v>
      </x:c>
      <x:c r="K1541" s="14" t="n">
        <x:v>10</x:v>
      </x:c>
      <x:c r="L1541" s="14" t="n">
        <x:v>34</x:v>
      </x:c>
      <x:c r="M1541" s="14" t="n">
        <x:v>17</x:v>
      </x:c>
      <x:c r="N1541" s="15" t="n">
        <x:f>IF(E1541=0,"해당 없음",F1541/E1541)</x:f>
        <x:v>0.039603960396039604</x:v>
      </x:c>
      <x:c r="O1541" s="15" t="n">
        <x:f>IF(E1541=0,"해당 없음",G1541/E1541)</x:f>
        <x:v>0.2079207920792079</x:v>
      </x:c>
      <x:c r="P1541" s="15" t="n">
        <x:f>IF(E1541=0,"해당 없음",H1541/E1541)</x:f>
        <x:v>0.07920792079207921</x:v>
      </x:c>
      <x:c r="Q1541" s="15" t="n">
        <x:f>IF(E1541=0,"해당 없음",I1541/E1541)</x:f>
        <x:v>0.06930693069306931</x:v>
      </x:c>
      <x:c r="R1541" s="15" t="n">
        <x:f>IF(E1541=0,"해당 없음",J1541/E1541)</x:f>
        <x:v>0</x:v>
      </x:c>
      <x:c r="S1541" s="15" t="n">
        <x:f>IF(E1541=0,"해당 없음",K1541/E1541)</x:f>
        <x:v>0.09900990099009901</x:v>
      </x:c>
      <x:c r="T1541" s="15" t="n">
        <x:f>IF(E1541=0,"해당 없음",L1541/E1541)</x:f>
        <x:v>0.33663366336633666</x:v>
      </x:c>
      <x:c r="U1541" s="15" t="n">
        <x:f>IF(E1541=0,"해당 없음",M1541/E1541)</x:f>
        <x:v>0.16831683168316833</x:v>
      </x:c>
      <x:c r="V1541" s="16" t="n">
        <x:f>E1541/5</x:f>
        <x:v>20.2</x:v>
      </x:c>
    </x:row>
    <x:row r="1542" ht="22" customHeight="1">
      <x:c r="A1542" s="2" t="n">
        <x:v>769</x:v>
      </x:c>
      <x:c r="B1542" s="2" t="str">
        <x:v>RED</x:v>
      </x:c>
      <x:c r="C1542" s="2" t="str">
        <x:v>80만</x:v>
      </x:c>
      <x:c r="D1542" s="2" t="str">
        <x:v>160만</x:v>
      </x:c>
      <x:c r="E1542" s="14" t="n">
        <x:f>SUM(F1542:M1542)</x:f>
        <x:v>104</x:v>
      </x:c>
      <x:c r="F1542" s="14" t="n">
        <x:v>2</x:v>
      </x:c>
      <x:c r="G1542" s="14" t="n">
        <x:v>15</x:v>
      </x:c>
      <x:c r="H1542" s="14" t="n">
        <x:v>7</x:v>
      </x:c>
      <x:c r="I1542" s="14" t="n">
        <x:v>7</x:v>
      </x:c>
      <x:c r="J1542" s="14" t="n">
        <x:v>3</x:v>
      </x:c>
      <x:c r="K1542" s="14" t="n">
        <x:v>8</x:v>
      </x:c>
      <x:c r="L1542" s="14" t="n">
        <x:v>42</x:v>
      </x:c>
      <x:c r="M1542" s="14" t="n">
        <x:v>20</x:v>
      </x:c>
      <x:c r="N1542" s="15" t="n">
        <x:f>IF(E1542=0,"해당 없음",F1542/E1542)</x:f>
        <x:v>0.019230769230769232</x:v>
      </x:c>
      <x:c r="O1542" s="15" t="n">
        <x:f>IF(E1542=0,"해당 없음",G1542/E1542)</x:f>
        <x:v>0.14423076923076922</x:v>
      </x:c>
      <x:c r="P1542" s="15" t="n">
        <x:f>IF(E1542=0,"해당 없음",H1542/E1542)</x:f>
        <x:v>0.0673076923076923</x:v>
      </x:c>
      <x:c r="Q1542" s="15" t="n">
        <x:f>IF(E1542=0,"해당 없음",I1542/E1542)</x:f>
        <x:v>0.0673076923076923</x:v>
      </x:c>
      <x:c r="R1542" s="15" t="n">
        <x:f>IF(E1542=0,"해당 없음",J1542/E1542)</x:f>
        <x:v>0.028846153846153848</x:v>
      </x:c>
      <x:c r="S1542" s="15" t="n">
        <x:f>IF(E1542=0,"해당 없음",K1542/E1542)</x:f>
        <x:v>0.07692307692307693</x:v>
      </x:c>
      <x:c r="T1542" s="15" t="n">
        <x:f>IF(E1542=0,"해당 없음",L1542/E1542)</x:f>
        <x:v>0.40384615384615385</x:v>
      </x:c>
      <x:c r="U1542" s="15" t="n">
        <x:f>IF(E1542=0,"해당 없음",M1542/E1542)</x:f>
        <x:v>0.19230769230769232</x:v>
      </x:c>
      <x:c r="V1542" s="16" t="n">
        <x:f>E1542/5</x:f>
        <x:v>20.8</x:v>
      </x:c>
    </x:row>
    <x:row r="1543" ht="22" customHeight="1">
      <x:c r="A1543" s="2" t="n">
        <x:v>769</x:v>
      </x:c>
      <x:c r="B1543" s="2" t="str">
        <x:v>NAVY</x:v>
      </x:c>
      <x:c r="C1543" s="2" t="str">
        <x:v>160만</x:v>
      </x:c>
      <x:c r="D1543" s="2" t="str">
        <x:v>80만</x:v>
      </x:c>
      <x:c r="E1543" s="14" t="n">
        <x:f>SUM(F1543:M1543)</x:f>
        <x:v>105</x:v>
      </x:c>
      <x:c r="F1543" s="14" t="n">
        <x:v>4</x:v>
      </x:c>
      <x:c r="G1543" s="14" t="n">
        <x:v>9</x:v>
      </x:c>
      <x:c r="H1543" s="14" t="n">
        <x:v>5</x:v>
      </x:c>
      <x:c r="I1543" s="14" t="n">
        <x:v>7</x:v>
      </x:c>
      <x:c r="J1543" s="14" t="n">
        <x:v>5</x:v>
      </x:c>
      <x:c r="K1543" s="14" t="n">
        <x:v>2</x:v>
      </x:c>
      <x:c r="L1543" s="14" t="n">
        <x:v>34</x:v>
      </x:c>
      <x:c r="M1543" s="14" t="n">
        <x:v>39</x:v>
      </x:c>
      <x:c r="N1543" s="15" t="n">
        <x:f>IF(E1543=0,"해당 없음",F1543/E1543)</x:f>
        <x:v>0.0380952380952381</x:v>
      </x:c>
      <x:c r="O1543" s="15" t="n">
        <x:f>IF(E1543=0,"해당 없음",G1543/E1543)</x:f>
        <x:v>0.08571428571428572</x:v>
      </x:c>
      <x:c r="P1543" s="15" t="n">
        <x:f>IF(E1543=0,"해당 없음",H1543/E1543)</x:f>
        <x:v>0.047619047619047616</x:v>
      </x:c>
      <x:c r="Q1543" s="15" t="n">
        <x:f>IF(E1543=0,"해당 없음",I1543/E1543)</x:f>
        <x:v>0.06666666666666667</x:v>
      </x:c>
      <x:c r="R1543" s="15" t="n">
        <x:f>IF(E1543=0,"해당 없음",J1543/E1543)</x:f>
        <x:v>0.047619047619047616</x:v>
      </x:c>
      <x:c r="S1543" s="15" t="n">
        <x:f>IF(E1543=0,"해당 없음",K1543/E1543)</x:f>
        <x:v>0.01904761904761905</x:v>
      </x:c>
      <x:c r="T1543" s="15" t="n">
        <x:f>IF(E1543=0,"해당 없음",L1543/E1543)</x:f>
        <x:v>0.3238095238095238</x:v>
      </x:c>
      <x:c r="U1543" s="15" t="n">
        <x:f>IF(E1543=0,"해당 없음",M1543/E1543)</x:f>
        <x:v>0.37142857142857144</x:v>
      </x:c>
      <x:c r="V1543" s="16" t="n">
        <x:f>E1543/5</x:f>
        <x:v>21</x:v>
      </x:c>
    </x:row>
    <x:row r="1544" ht="22" customHeight="1">
      <x:c r="A1544" s="2" t="n">
        <x:v>770</x:v>
      </x:c>
      <x:c r="B1544" s="2" t="str">
        <x:v>RED</x:v>
      </x:c>
      <x:c r="C1544" s="2" t="str">
        <x:v>160만</x:v>
      </x:c>
      <x:c r="D1544" s="2" t="str">
        <x:v>80만</x:v>
      </x:c>
      <x:c r="E1544" s="14" t="n">
        <x:f>SUM(F1544:M1544)</x:f>
        <x:v>104</x:v>
      </x:c>
      <x:c r="F1544" s="14" t="n">
        <x:v>3</x:v>
      </x:c>
      <x:c r="G1544" s="14" t="n">
        <x:v>16</x:v>
      </x:c>
      <x:c r="H1544" s="14" t="n">
        <x:v>6</x:v>
      </x:c>
      <x:c r="I1544" s="14" t="n">
        <x:v>6</x:v>
      </x:c>
      <x:c r="J1544" s="14" t="n">
        <x:v>4</x:v>
      </x:c>
      <x:c r="K1544" s="14" t="n">
        <x:v>8</x:v>
      </x:c>
      <x:c r="L1544" s="14" t="n">
        <x:v>34</x:v>
      </x:c>
      <x:c r="M1544" s="14" t="n">
        <x:v>27</x:v>
      </x:c>
      <x:c r="N1544" s="15" t="n">
        <x:f>IF(E1544=0,"해당 없음",F1544/E1544)</x:f>
        <x:v>0.028846153846153848</x:v>
      </x:c>
      <x:c r="O1544" s="15" t="n">
        <x:f>IF(E1544=0,"해당 없음",G1544/E1544)</x:f>
        <x:v>0.15384615384615385</x:v>
      </x:c>
      <x:c r="P1544" s="15" t="n">
        <x:f>IF(E1544=0,"해당 없음",H1544/E1544)</x:f>
        <x:v>0.057692307692307696</x:v>
      </x:c>
      <x:c r="Q1544" s="15" t="n">
        <x:f>IF(E1544=0,"해당 없음",I1544/E1544)</x:f>
        <x:v>0.057692307692307696</x:v>
      </x:c>
      <x:c r="R1544" s="15" t="n">
        <x:f>IF(E1544=0,"해당 없음",J1544/E1544)</x:f>
        <x:v>0.038461538461538464</x:v>
      </x:c>
      <x:c r="S1544" s="15" t="n">
        <x:f>IF(E1544=0,"해당 없음",K1544/E1544)</x:f>
        <x:v>0.07692307692307693</x:v>
      </x:c>
      <x:c r="T1544" s="15" t="n">
        <x:f>IF(E1544=0,"해당 없음",L1544/E1544)</x:f>
        <x:v>0.3269230769230769</x:v>
      </x:c>
      <x:c r="U1544" s="15" t="n">
        <x:f>IF(E1544=0,"해당 없음",M1544/E1544)</x:f>
        <x:v>0.25961538461538464</x:v>
      </x:c>
      <x:c r="V1544" s="16" t="n">
        <x:f>E1544/5</x:f>
        <x:v>20.8</x:v>
      </x:c>
    </x:row>
    <x:row r="1545" ht="22" customHeight="1">
      <x:c r="A1545" s="2" t="n">
        <x:v>770</x:v>
      </x:c>
      <x:c r="B1545" s="2" t="str">
        <x:v>NAVY</x:v>
      </x:c>
      <x:c r="C1545" s="2" t="str">
        <x:v>80만</x:v>
      </x:c>
      <x:c r="D1545" s="2" t="str">
        <x:v>160만</x:v>
      </x:c>
      <x:c r="E1545" s="14" t="n">
        <x:f>SUM(F1545:M1545)</x:f>
        <x:v>103</x:v>
      </x:c>
      <x:c r="F1545" s="14" t="n">
        <x:v>4</x:v>
      </x:c>
      <x:c r="G1545" s="14" t="n">
        <x:v>17</x:v>
      </x:c>
      <x:c r="H1545" s="14" t="n">
        <x:v>7</x:v>
      </x:c>
      <x:c r="I1545" s="14" t="n">
        <x:v>7</x:v>
      </x:c>
      <x:c r="J1545" s="14" t="n">
        <x:v>0</x:v>
      </x:c>
      <x:c r="K1545" s="14" t="n">
        <x:v>11</x:v>
      </x:c>
      <x:c r="L1545" s="14" t="n">
        <x:v>39</x:v>
      </x:c>
      <x:c r="M1545" s="14" t="n">
        <x:v>18</x:v>
      </x:c>
      <x:c r="N1545" s="15" t="n">
        <x:f>IF(E1545=0,"해당 없음",F1545/E1545)</x:f>
        <x:v>0.038834951456310676</x:v>
      </x:c>
      <x:c r="O1545" s="15" t="n">
        <x:f>IF(E1545=0,"해당 없음",G1545/E1545)</x:f>
        <x:v>0.1650485436893204</x:v>
      </x:c>
      <x:c r="P1545" s="15" t="n">
        <x:f>IF(E1545=0,"해당 없음",H1545/E1545)</x:f>
        <x:v>0.06796116504854369</x:v>
      </x:c>
      <x:c r="Q1545" s="15" t="n">
        <x:f>IF(E1545=0,"해당 없음",I1545/E1545)</x:f>
        <x:v>0.06796116504854369</x:v>
      </x:c>
      <x:c r="R1545" s="15" t="n">
        <x:f>IF(E1545=0,"해당 없음",J1545/E1545)</x:f>
        <x:v>0</x:v>
      </x:c>
      <x:c r="S1545" s="15" t="n">
        <x:f>IF(E1545=0,"해당 없음",K1545/E1545)</x:f>
        <x:v>0.10679611650485436</x:v>
      </x:c>
      <x:c r="T1545" s="15" t="n">
        <x:f>IF(E1545=0,"해당 없음",L1545/E1545)</x:f>
        <x:v>0.3786407766990291</x:v>
      </x:c>
      <x:c r="U1545" s="15" t="n">
        <x:f>IF(E1545=0,"해당 없음",M1545/E1545)</x:f>
        <x:v>0.17475728155339806</x:v>
      </x:c>
      <x:c r="V1545" s="16" t="n">
        <x:f>E1545/5</x:f>
        <x:v>20.6</x:v>
      </x:c>
    </x:row>
    <x:row r="1546" ht="22" customHeight="1">
      <x:c r="A1546" s="2" t="n">
        <x:v>771</x:v>
      </x:c>
      <x:c r="B1546" s="2" t="str">
        <x:v>RED</x:v>
      </x:c>
      <x:c r="C1546" s="2" t="str">
        <x:v>80만</x:v>
      </x:c>
      <x:c r="D1546" s="2" t="str">
        <x:v>160만</x:v>
      </x:c>
      <x:c r="E1546" s="14" t="n">
        <x:f>SUM(F1546:M1546)</x:f>
        <x:v>105</x:v>
      </x:c>
      <x:c r="F1546" s="14" t="n">
        <x:v>3</x:v>
      </x:c>
      <x:c r="G1546" s="14" t="n">
        <x:v>25</x:v>
      </x:c>
      <x:c r="H1546" s="14" t="n">
        <x:v>11</x:v>
      </x:c>
      <x:c r="I1546" s="14" t="n">
        <x:v>6</x:v>
      </x:c>
      <x:c r="J1546" s="14" t="n">
        <x:v>3</x:v>
      </x:c>
      <x:c r="K1546" s="14" t="n">
        <x:v>10</x:v>
      </x:c>
      <x:c r="L1546" s="14" t="n">
        <x:v>32</x:v>
      </x:c>
      <x:c r="M1546" s="14" t="n">
        <x:v>15</x:v>
      </x:c>
      <x:c r="N1546" s="15" t="n">
        <x:f>IF(E1546=0,"해당 없음",F1546/E1546)</x:f>
        <x:v>0.02857142857142857</x:v>
      </x:c>
      <x:c r="O1546" s="15" t="n">
        <x:f>IF(E1546=0,"해당 없음",G1546/E1546)</x:f>
        <x:v>0.23809523809523808</x:v>
      </x:c>
      <x:c r="P1546" s="15" t="n">
        <x:f>IF(E1546=0,"해당 없음",H1546/E1546)</x:f>
        <x:v>0.10476190476190476</x:v>
      </x:c>
      <x:c r="Q1546" s="15" t="n">
        <x:f>IF(E1546=0,"해당 없음",I1546/E1546)</x:f>
        <x:v>0.05714285714285714</x:v>
      </x:c>
      <x:c r="R1546" s="15" t="n">
        <x:f>IF(E1546=0,"해당 없음",J1546/E1546)</x:f>
        <x:v>0.02857142857142857</x:v>
      </x:c>
      <x:c r="S1546" s="15" t="n">
        <x:f>IF(E1546=0,"해당 없음",K1546/E1546)</x:f>
        <x:v>0.09523809523809523</x:v>
      </x:c>
      <x:c r="T1546" s="15" t="n">
        <x:f>IF(E1546=0,"해당 없음",L1546/E1546)</x:f>
        <x:v>0.3047619047619048</x:v>
      </x:c>
      <x:c r="U1546" s="15" t="n">
        <x:f>IF(E1546=0,"해당 없음",M1546/E1546)</x:f>
        <x:v>0.14285714285714285</x:v>
      </x:c>
      <x:c r="V1546" s="16" t="n">
        <x:f>E1546/5</x:f>
        <x:v>21</x:v>
      </x:c>
    </x:row>
    <x:row r="1547" ht="22" customHeight="1">
      <x:c r="A1547" s="2" t="n">
        <x:v>771</x:v>
      </x:c>
      <x:c r="B1547" s="2" t="str">
        <x:v>NAVY</x:v>
      </x:c>
      <x:c r="C1547" s="2" t="str">
        <x:v>160만</x:v>
      </x:c>
      <x:c r="D1547" s="2" t="str">
        <x:v>80만</x:v>
      </x:c>
      <x:c r="E1547" s="14" t="n">
        <x:f>SUM(F1547:M1547)</x:f>
        <x:v>102</x:v>
      </x:c>
      <x:c r="F1547" s="14" t="n">
        <x:v>4</x:v>
      </x:c>
      <x:c r="G1547" s="14" t="n">
        <x:v>17</x:v>
      </x:c>
      <x:c r="H1547" s="14" t="n">
        <x:v>6</x:v>
      </x:c>
      <x:c r="I1547" s="14" t="n">
        <x:v>6</x:v>
      </x:c>
      <x:c r="J1547" s="14" t="n">
        <x:v>4</x:v>
      </x:c>
      <x:c r="K1547" s="14" t="n">
        <x:v>2</x:v>
      </x:c>
      <x:c r="L1547" s="14" t="n">
        <x:v>35</x:v>
      </x:c>
      <x:c r="M1547" s="14" t="n">
        <x:v>28</x:v>
      </x:c>
      <x:c r="N1547" s="15" t="n">
        <x:f>IF(E1547=0,"해당 없음",F1547/E1547)</x:f>
        <x:v>0.0392156862745098</x:v>
      </x:c>
      <x:c r="O1547" s="15" t="n">
        <x:f>IF(E1547=0,"해당 없음",G1547/E1547)</x:f>
        <x:v>0.16666666666666666</x:v>
      </x:c>
      <x:c r="P1547" s="15" t="n">
        <x:f>IF(E1547=0,"해당 없음",H1547/E1547)</x:f>
        <x:v>0.058823529411764705</x:v>
      </x:c>
      <x:c r="Q1547" s="15" t="n">
        <x:f>IF(E1547=0,"해당 없음",I1547/E1547)</x:f>
        <x:v>0.058823529411764705</x:v>
      </x:c>
      <x:c r="R1547" s="15" t="n">
        <x:f>IF(E1547=0,"해당 없음",J1547/E1547)</x:f>
        <x:v>0.0392156862745098</x:v>
      </x:c>
      <x:c r="S1547" s="15" t="n">
        <x:f>IF(E1547=0,"해당 없음",K1547/E1547)</x:f>
        <x:v>0.0196078431372549</x:v>
      </x:c>
      <x:c r="T1547" s="15" t="n">
        <x:f>IF(E1547=0,"해당 없음",L1547/E1547)</x:f>
        <x:v>0.3431372549019608</x:v>
      </x:c>
      <x:c r="U1547" s="15" t="n">
        <x:f>IF(E1547=0,"해당 없음",M1547/E1547)</x:f>
        <x:v>0.27450980392156865</x:v>
      </x:c>
      <x:c r="V1547" s="16" t="n">
        <x:f>E1547/5</x:f>
        <x:v>20.4</x:v>
      </x:c>
    </x:row>
    <x:row r="1548" ht="22" customHeight="1">
      <x:c r="A1548" s="2" t="n">
        <x:v>772</x:v>
      </x:c>
      <x:c r="B1548" s="2" t="str">
        <x:v>RED</x:v>
      </x:c>
      <x:c r="C1548" s="2" t="str">
        <x:v>160만</x:v>
      </x:c>
      <x:c r="D1548" s="2" t="str">
        <x:v>80만</x:v>
      </x:c>
      <x:c r="E1548" s="14" t="n">
        <x:f>SUM(F1548:M1548)</x:f>
        <x:v>102</x:v>
      </x:c>
      <x:c r="F1548" s="14" t="n">
        <x:v>7</x:v>
      </x:c>
      <x:c r="G1548" s="14" t="n">
        <x:v>16</x:v>
      </x:c>
      <x:c r="H1548" s="14" t="n">
        <x:v>7</x:v>
      </x:c>
      <x:c r="I1548" s="14" t="n">
        <x:v>6</x:v>
      </x:c>
      <x:c r="J1548" s="14" t="n">
        <x:v>1</x:v>
      </x:c>
      <x:c r="K1548" s="14" t="n">
        <x:v>6</x:v>
      </x:c>
      <x:c r="L1548" s="14" t="n">
        <x:v>30</x:v>
      </x:c>
      <x:c r="M1548" s="14" t="n">
        <x:v>29</x:v>
      </x:c>
      <x:c r="N1548" s="15" t="n">
        <x:f>IF(E1548=0,"해당 없음",F1548/E1548)</x:f>
        <x:v>0.06862745098039216</x:v>
      </x:c>
      <x:c r="O1548" s="15" t="n">
        <x:f>IF(E1548=0,"해당 없음",G1548/E1548)</x:f>
        <x:v>0.1568627450980392</x:v>
      </x:c>
      <x:c r="P1548" s="15" t="n">
        <x:f>IF(E1548=0,"해당 없음",H1548/E1548)</x:f>
        <x:v>0.06862745098039216</x:v>
      </x:c>
      <x:c r="Q1548" s="15" t="n">
        <x:f>IF(E1548=0,"해당 없음",I1548/E1548)</x:f>
        <x:v>0.058823529411764705</x:v>
      </x:c>
      <x:c r="R1548" s="15" t="n">
        <x:f>IF(E1548=0,"해당 없음",J1548/E1548)</x:f>
        <x:v>0.00980392156862745</x:v>
      </x:c>
      <x:c r="S1548" s="15" t="n">
        <x:f>IF(E1548=0,"해당 없음",K1548/E1548)</x:f>
        <x:v>0.058823529411764705</x:v>
      </x:c>
      <x:c r="T1548" s="15" t="n">
        <x:f>IF(E1548=0,"해당 없음",L1548/E1548)</x:f>
        <x:v>0.29411764705882354</x:v>
      </x:c>
      <x:c r="U1548" s="15" t="n">
        <x:f>IF(E1548=0,"해당 없음",M1548/E1548)</x:f>
        <x:v>0.28431372549019607</x:v>
      </x:c>
      <x:c r="V1548" s="16" t="n">
        <x:f>E1548/5</x:f>
        <x:v>20.4</x:v>
      </x:c>
    </x:row>
    <x:row r="1549" ht="22" customHeight="1">
      <x:c r="A1549" s="2" t="n">
        <x:v>772</x:v>
      </x:c>
      <x:c r="B1549" s="2" t="str">
        <x:v>NAVY</x:v>
      </x:c>
      <x:c r="C1549" s="2" t="str">
        <x:v>80만</x:v>
      </x:c>
      <x:c r="D1549" s="2" t="str">
        <x:v>160만</x:v>
      </x:c>
      <x:c r="E1549" s="14" t="n">
        <x:f>SUM(F1549:M1549)</x:f>
        <x:v>104</x:v>
      </x:c>
      <x:c r="F1549" s="14" t="n">
        <x:v>5</x:v>
      </x:c>
      <x:c r="G1549" s="14" t="n">
        <x:v>17</x:v>
      </x:c>
      <x:c r="H1549" s="14" t="n">
        <x:v>10</x:v>
      </x:c>
      <x:c r="I1549" s="14" t="n">
        <x:v>4</x:v>
      </x:c>
      <x:c r="J1549" s="14" t="n">
        <x:v>2</x:v>
      </x:c>
      <x:c r="K1549" s="14" t="n">
        <x:v>8</x:v>
      </x:c>
      <x:c r="L1549" s="14" t="n">
        <x:v>34</x:v>
      </x:c>
      <x:c r="M1549" s="14" t="n">
        <x:v>24</x:v>
      </x:c>
      <x:c r="N1549" s="15" t="n">
        <x:f>IF(E1549=0,"해당 없음",F1549/E1549)</x:f>
        <x:v>0.04807692307692308</x:v>
      </x:c>
      <x:c r="O1549" s="15" t="n">
        <x:f>IF(E1549=0,"해당 없음",G1549/E1549)</x:f>
        <x:v>0.16346153846153846</x:v>
      </x:c>
      <x:c r="P1549" s="15" t="n">
        <x:f>IF(E1549=0,"해당 없음",H1549/E1549)</x:f>
        <x:v>0.09615384615384616</x:v>
      </x:c>
      <x:c r="Q1549" s="15" t="n">
        <x:f>IF(E1549=0,"해당 없음",I1549/E1549)</x:f>
        <x:v>0.038461538461538464</x:v>
      </x:c>
      <x:c r="R1549" s="15" t="n">
        <x:f>IF(E1549=0,"해당 없음",J1549/E1549)</x:f>
        <x:v>0.019230769230769232</x:v>
      </x:c>
      <x:c r="S1549" s="15" t="n">
        <x:f>IF(E1549=0,"해당 없음",K1549/E1549)</x:f>
        <x:v>0.07692307692307693</x:v>
      </x:c>
      <x:c r="T1549" s="15" t="n">
        <x:f>IF(E1549=0,"해당 없음",L1549/E1549)</x:f>
        <x:v>0.3269230769230769</x:v>
      </x:c>
      <x:c r="U1549" s="15" t="n">
        <x:f>IF(E1549=0,"해당 없음",M1549/E1549)</x:f>
        <x:v>0.23076923076923078</x:v>
      </x:c>
      <x:c r="V1549" s="16" t="n">
        <x:f>E1549/5</x:f>
        <x:v>20.8</x:v>
      </x:c>
    </x:row>
    <x:row r="1550" ht="22" customHeight="1">
      <x:c r="A1550" s="2" t="n">
        <x:v>773</x:v>
      </x:c>
      <x:c r="B1550" s="2" t="str">
        <x:v>RED</x:v>
      </x:c>
      <x:c r="C1550" s="2" t="str">
        <x:v>80만</x:v>
      </x:c>
      <x:c r="D1550" s="2" t="str">
        <x:v>160만</x:v>
      </x:c>
      <x:c r="E1550" s="14" t="n">
        <x:f>SUM(F1550:M1550)</x:f>
        <x:v>102</x:v>
      </x:c>
      <x:c r="F1550" s="14" t="n">
        <x:v>7</x:v>
      </x:c>
      <x:c r="G1550" s="14" t="n">
        <x:v>10</x:v>
      </x:c>
      <x:c r="H1550" s="14" t="n">
        <x:v>9</x:v>
      </x:c>
      <x:c r="I1550" s="14" t="n">
        <x:v>9</x:v>
      </x:c>
      <x:c r="J1550" s="14" t="n">
        <x:v>1</x:v>
      </x:c>
      <x:c r="K1550" s="14" t="n">
        <x:v>13</x:v>
      </x:c>
      <x:c r="L1550" s="14" t="n">
        <x:v>40</x:v>
      </x:c>
      <x:c r="M1550" s="14" t="n">
        <x:v>13</x:v>
      </x:c>
      <x:c r="N1550" s="15" t="n">
        <x:f>IF(E1550=0,"해당 없음",F1550/E1550)</x:f>
        <x:v>0.06862745098039216</x:v>
      </x:c>
      <x:c r="O1550" s="15" t="n">
        <x:f>IF(E1550=0,"해당 없음",G1550/E1550)</x:f>
        <x:v>0.09803921568627451</x:v>
      </x:c>
      <x:c r="P1550" s="15" t="n">
        <x:f>IF(E1550=0,"해당 없음",H1550/E1550)</x:f>
        <x:v>0.08823529411764706</x:v>
      </x:c>
      <x:c r="Q1550" s="15" t="n">
        <x:f>IF(E1550=0,"해당 없음",I1550/E1550)</x:f>
        <x:v>0.08823529411764706</x:v>
      </x:c>
      <x:c r="R1550" s="15" t="n">
        <x:f>IF(E1550=0,"해당 없음",J1550/E1550)</x:f>
        <x:v>0.00980392156862745</x:v>
      </x:c>
      <x:c r="S1550" s="15" t="n">
        <x:f>IF(E1550=0,"해당 없음",K1550/E1550)</x:f>
        <x:v>0.12745098039215685</x:v>
      </x:c>
      <x:c r="T1550" s="15" t="n">
        <x:f>IF(E1550=0,"해당 없음",L1550/E1550)</x:f>
        <x:v>0.39215686274509803</x:v>
      </x:c>
      <x:c r="U1550" s="15" t="n">
        <x:f>IF(E1550=0,"해당 없음",M1550/E1550)</x:f>
        <x:v>0.12745098039215685</x:v>
      </x:c>
      <x:c r="V1550" s="16" t="n">
        <x:f>E1550/5</x:f>
        <x:v>20.4</x:v>
      </x:c>
    </x:row>
    <x:row r="1551" ht="22" customHeight="1">
      <x:c r="A1551" s="2" t="n">
        <x:v>773</x:v>
      </x:c>
      <x:c r="B1551" s="2" t="str">
        <x:v>NAVY</x:v>
      </x:c>
      <x:c r="C1551" s="2" t="str">
        <x:v>160만</x:v>
      </x:c>
      <x:c r="D1551" s="2" t="str">
        <x:v>80만</x:v>
      </x:c>
      <x:c r="E1551" s="14" t="n">
        <x:f>SUM(F1551:M1551)</x:f>
        <x:v>104</x:v>
      </x:c>
      <x:c r="F1551" s="14" t="n">
        <x:v>3</x:v>
      </x:c>
      <x:c r="G1551" s="14" t="n">
        <x:v>12</x:v>
      </x:c>
      <x:c r="H1551" s="14" t="n">
        <x:v>7</x:v>
      </x:c>
      <x:c r="I1551" s="14" t="n">
        <x:v>4</x:v>
      </x:c>
      <x:c r="J1551" s="14" t="n">
        <x:v>4</x:v>
      </x:c>
      <x:c r="K1551" s="14" t="n">
        <x:v>5</x:v>
      </x:c>
      <x:c r="L1551" s="14" t="n">
        <x:v>40</x:v>
      </x:c>
      <x:c r="M1551" s="14" t="n">
        <x:v>29</x:v>
      </x:c>
      <x:c r="N1551" s="15" t="n">
        <x:f>IF(E1551=0,"해당 없음",F1551/E1551)</x:f>
        <x:v>0.028846153846153848</x:v>
      </x:c>
      <x:c r="O1551" s="15" t="n">
        <x:f>IF(E1551=0,"해당 없음",G1551/E1551)</x:f>
        <x:v>0.11538461538461539</x:v>
      </x:c>
      <x:c r="P1551" s="15" t="n">
        <x:f>IF(E1551=0,"해당 없음",H1551/E1551)</x:f>
        <x:v>0.0673076923076923</x:v>
      </x:c>
      <x:c r="Q1551" s="15" t="n">
        <x:f>IF(E1551=0,"해당 없음",I1551/E1551)</x:f>
        <x:v>0.038461538461538464</x:v>
      </x:c>
      <x:c r="R1551" s="15" t="n">
        <x:f>IF(E1551=0,"해당 없음",J1551/E1551)</x:f>
        <x:v>0.038461538461538464</x:v>
      </x:c>
      <x:c r="S1551" s="15" t="n">
        <x:f>IF(E1551=0,"해당 없음",K1551/E1551)</x:f>
        <x:v>0.04807692307692308</x:v>
      </x:c>
      <x:c r="T1551" s="15" t="n">
        <x:f>IF(E1551=0,"해당 없음",L1551/E1551)</x:f>
        <x:v>0.38461538461538464</x:v>
      </x:c>
      <x:c r="U1551" s="15" t="n">
        <x:f>IF(E1551=0,"해당 없음",M1551/E1551)</x:f>
        <x:v>0.27884615384615385</x:v>
      </x:c>
      <x:c r="V1551" s="16" t="n">
        <x:f>E1551/5</x:f>
        <x:v>20.8</x:v>
      </x:c>
    </x:row>
    <x:row r="1552" ht="22" customHeight="1">
      <x:c r="A1552" s="2" t="n">
        <x:v>774</x:v>
      </x:c>
      <x:c r="B1552" s="2" t="str">
        <x:v>RED</x:v>
      </x:c>
      <x:c r="C1552" s="2" t="str">
        <x:v>160만</x:v>
      </x:c>
      <x:c r="D1552" s="2" t="str">
        <x:v>80만</x:v>
      </x:c>
      <x:c r="E1552" s="14" t="n">
        <x:f>SUM(F1552:M1552)</x:f>
        <x:v>104</x:v>
      </x:c>
      <x:c r="F1552" s="14" t="n">
        <x:v>4</x:v>
      </x:c>
      <x:c r="G1552" s="14" t="n">
        <x:v>14</x:v>
      </x:c>
      <x:c r="H1552" s="14" t="n">
        <x:v>4</x:v>
      </x:c>
      <x:c r="I1552" s="14" t="n">
        <x:v>4</x:v>
      </x:c>
      <x:c r="J1552" s="14" t="n">
        <x:v>1</x:v>
      </x:c>
      <x:c r="K1552" s="14" t="n">
        <x:v>8</x:v>
      </x:c>
      <x:c r="L1552" s="14" t="n">
        <x:v>40</x:v>
      </x:c>
      <x:c r="M1552" s="14" t="n">
        <x:v>29</x:v>
      </x:c>
      <x:c r="N1552" s="15" t="n">
        <x:f>IF(E1552=0,"해당 없음",F1552/E1552)</x:f>
        <x:v>0.038461538461538464</x:v>
      </x:c>
      <x:c r="O1552" s="15" t="n">
        <x:f>IF(E1552=0,"해당 없음",G1552/E1552)</x:f>
        <x:v>0.1346153846153846</x:v>
      </x:c>
      <x:c r="P1552" s="15" t="n">
        <x:f>IF(E1552=0,"해당 없음",H1552/E1552)</x:f>
        <x:v>0.038461538461538464</x:v>
      </x:c>
      <x:c r="Q1552" s="15" t="n">
        <x:f>IF(E1552=0,"해당 없음",I1552/E1552)</x:f>
        <x:v>0.038461538461538464</x:v>
      </x:c>
      <x:c r="R1552" s="15" t="n">
        <x:f>IF(E1552=0,"해당 없음",J1552/E1552)</x:f>
        <x:v>0.009615384615384616</x:v>
      </x:c>
      <x:c r="S1552" s="15" t="n">
        <x:f>IF(E1552=0,"해당 없음",K1552/E1552)</x:f>
        <x:v>0.07692307692307693</x:v>
      </x:c>
      <x:c r="T1552" s="15" t="n">
        <x:f>IF(E1552=0,"해당 없음",L1552/E1552)</x:f>
        <x:v>0.38461538461538464</x:v>
      </x:c>
      <x:c r="U1552" s="15" t="n">
        <x:f>IF(E1552=0,"해당 없음",M1552/E1552)</x:f>
        <x:v>0.27884615384615385</x:v>
      </x:c>
      <x:c r="V1552" s="16" t="n">
        <x:f>E1552/5</x:f>
        <x:v>20.8</x:v>
      </x:c>
    </x:row>
    <x:row r="1553" ht="22" customHeight="1">
      <x:c r="A1553" s="2" t="n">
        <x:v>774</x:v>
      </x:c>
      <x:c r="B1553" s="2" t="str">
        <x:v>NAVY</x:v>
      </x:c>
      <x:c r="C1553" s="2" t="str">
        <x:v>80만</x:v>
      </x:c>
      <x:c r="D1553" s="2" t="str">
        <x:v>160만</x:v>
      </x:c>
      <x:c r="E1553" s="14" t="n">
        <x:f>SUM(F1553:M1553)</x:f>
        <x:v>103</x:v>
      </x:c>
      <x:c r="F1553" s="14" t="n">
        <x:v>6</x:v>
      </x:c>
      <x:c r="G1553" s="14" t="n">
        <x:v>23</x:v>
      </x:c>
      <x:c r="H1553" s="14" t="n">
        <x:v>6</x:v>
      </x:c>
      <x:c r="I1553" s="14" t="n">
        <x:v>7</x:v>
      </x:c>
      <x:c r="J1553" s="14" t="n">
        <x:v>2</x:v>
      </x:c>
      <x:c r="K1553" s="14" t="n">
        <x:v>8</x:v>
      </x:c>
      <x:c r="L1553" s="14" t="n">
        <x:v>42</x:v>
      </x:c>
      <x:c r="M1553" s="14" t="n">
        <x:v>9</x:v>
      </x:c>
      <x:c r="N1553" s="15" t="n">
        <x:f>IF(E1553=0,"해당 없음",F1553/E1553)</x:f>
        <x:v>0.05825242718446602</x:v>
      </x:c>
      <x:c r="O1553" s="15" t="n">
        <x:f>IF(E1553=0,"해당 없음",G1553/E1553)</x:f>
        <x:v>0.22330097087378642</x:v>
      </x:c>
      <x:c r="P1553" s="15" t="n">
        <x:f>IF(E1553=0,"해당 없음",H1553/E1553)</x:f>
        <x:v>0.05825242718446602</x:v>
      </x:c>
      <x:c r="Q1553" s="15" t="n">
        <x:f>IF(E1553=0,"해당 없음",I1553/E1553)</x:f>
        <x:v>0.06796116504854369</x:v>
      </x:c>
      <x:c r="R1553" s="15" t="n">
        <x:f>IF(E1553=0,"해당 없음",J1553/E1553)</x:f>
        <x:v>0.019417475728155338</x:v>
      </x:c>
      <x:c r="S1553" s="15" t="n">
        <x:f>IF(E1553=0,"해당 없음",K1553/E1553)</x:f>
        <x:v>0.07766990291262135</x:v>
      </x:c>
      <x:c r="T1553" s="15" t="n">
        <x:f>IF(E1553=0,"해당 없음",L1553/E1553)</x:f>
        <x:v>0.4077669902912621</x:v>
      </x:c>
      <x:c r="U1553" s="15" t="n">
        <x:f>IF(E1553=0,"해당 없음",M1553/E1553)</x:f>
        <x:v>0.08737864077669903</x:v>
      </x:c>
      <x:c r="V1553" s="16" t="n">
        <x:f>E1553/5</x:f>
        <x:v>20.6</x:v>
      </x:c>
    </x:row>
    <x:row r="1554" ht="22" customHeight="1">
      <x:c r="A1554" s="2" t="n">
        <x:v>775</x:v>
      </x:c>
      <x:c r="B1554" s="2" t="str">
        <x:v>RED</x:v>
      </x:c>
      <x:c r="C1554" s="2" t="str">
        <x:v>80만</x:v>
      </x:c>
      <x:c r="D1554" s="2" t="str">
        <x:v>160만</x:v>
      </x:c>
      <x:c r="E1554" s="14" t="n">
        <x:f>SUM(F1554:M1554)</x:f>
        <x:v>102</x:v>
      </x:c>
      <x:c r="F1554" s="14" t="n">
        <x:v>4</x:v>
      </x:c>
      <x:c r="G1554" s="14" t="n">
        <x:v>16</x:v>
      </x:c>
      <x:c r="H1554" s="14" t="n">
        <x:v>8</x:v>
      </x:c>
      <x:c r="I1554" s="14" t="n">
        <x:v>8</x:v>
      </x:c>
      <x:c r="J1554" s="14" t="n">
        <x:v>1</x:v>
      </x:c>
      <x:c r="K1554" s="14" t="n">
        <x:v>12</x:v>
      </x:c>
      <x:c r="L1554" s="14" t="n">
        <x:v>31</x:v>
      </x:c>
      <x:c r="M1554" s="14" t="n">
        <x:v>22</x:v>
      </x:c>
      <x:c r="N1554" s="15" t="n">
        <x:f>IF(E1554=0,"해당 없음",F1554/E1554)</x:f>
        <x:v>0.0392156862745098</x:v>
      </x:c>
      <x:c r="O1554" s="15" t="n">
        <x:f>IF(E1554=0,"해당 없음",G1554/E1554)</x:f>
        <x:v>0.1568627450980392</x:v>
      </x:c>
      <x:c r="P1554" s="15" t="n">
        <x:f>IF(E1554=0,"해당 없음",H1554/E1554)</x:f>
        <x:v>0.0784313725490196</x:v>
      </x:c>
      <x:c r="Q1554" s="15" t="n">
        <x:f>IF(E1554=0,"해당 없음",I1554/E1554)</x:f>
        <x:v>0.0784313725490196</x:v>
      </x:c>
      <x:c r="R1554" s="15" t="n">
        <x:f>IF(E1554=0,"해당 없음",J1554/E1554)</x:f>
        <x:v>0.00980392156862745</x:v>
      </x:c>
      <x:c r="S1554" s="15" t="n">
        <x:f>IF(E1554=0,"해당 없음",K1554/E1554)</x:f>
        <x:v>0.11764705882352941</x:v>
      </x:c>
      <x:c r="T1554" s="15" t="n">
        <x:f>IF(E1554=0,"해당 없음",L1554/E1554)</x:f>
        <x:v>0.30392156862745096</x:v>
      </x:c>
      <x:c r="U1554" s="15" t="n">
        <x:f>IF(E1554=0,"해당 없음",M1554/E1554)</x:f>
        <x:v>0.21568627450980393</x:v>
      </x:c>
      <x:c r="V1554" s="16" t="n">
        <x:f>E1554/5</x:f>
        <x:v>20.4</x:v>
      </x:c>
    </x:row>
    <x:row r="1555" ht="22" customHeight="1">
      <x:c r="A1555" s="2" t="n">
        <x:v>775</x:v>
      </x:c>
      <x:c r="B1555" s="2" t="str">
        <x:v>NAVY</x:v>
      </x:c>
      <x:c r="C1555" s="2" t="str">
        <x:v>160만</x:v>
      </x:c>
      <x:c r="D1555" s="2" t="str">
        <x:v>80만</x:v>
      </x:c>
      <x:c r="E1555" s="14" t="n">
        <x:f>SUM(F1555:M1555)</x:f>
        <x:v>102</x:v>
      </x:c>
      <x:c r="F1555" s="14" t="n">
        <x:v>3</x:v>
      </x:c>
      <x:c r="G1555" s="14" t="n">
        <x:v>17</x:v>
      </x:c>
      <x:c r="H1555" s="14" t="n">
        <x:v>6</x:v>
      </x:c>
      <x:c r="I1555" s="14" t="n">
        <x:v>3</x:v>
      </x:c>
      <x:c r="J1555" s="14" t="n">
        <x:v>2</x:v>
      </x:c>
      <x:c r="K1555" s="14" t="n">
        <x:v>8</x:v>
      </x:c>
      <x:c r="L1555" s="14" t="n">
        <x:v>31</x:v>
      </x:c>
      <x:c r="M1555" s="14" t="n">
        <x:v>32</x:v>
      </x:c>
      <x:c r="N1555" s="15" t="n">
        <x:f>IF(E1555=0,"해당 없음",F1555/E1555)</x:f>
        <x:v>0.029411764705882353</x:v>
      </x:c>
      <x:c r="O1555" s="15" t="n">
        <x:f>IF(E1555=0,"해당 없음",G1555/E1555)</x:f>
        <x:v>0.16666666666666666</x:v>
      </x:c>
      <x:c r="P1555" s="15" t="n">
        <x:f>IF(E1555=0,"해당 없음",H1555/E1555)</x:f>
        <x:v>0.058823529411764705</x:v>
      </x:c>
      <x:c r="Q1555" s="15" t="n">
        <x:f>IF(E1555=0,"해당 없음",I1555/E1555)</x:f>
        <x:v>0.029411764705882353</x:v>
      </x:c>
      <x:c r="R1555" s="15" t="n">
        <x:f>IF(E1555=0,"해당 없음",J1555/E1555)</x:f>
        <x:v>0.0196078431372549</x:v>
      </x:c>
      <x:c r="S1555" s="15" t="n">
        <x:f>IF(E1555=0,"해당 없음",K1555/E1555)</x:f>
        <x:v>0.0784313725490196</x:v>
      </x:c>
      <x:c r="T1555" s="15" t="n">
        <x:f>IF(E1555=0,"해당 없음",L1555/E1555)</x:f>
        <x:v>0.30392156862745096</x:v>
      </x:c>
      <x:c r="U1555" s="15" t="n">
        <x:f>IF(E1555=0,"해당 없음",M1555/E1555)</x:f>
        <x:v>0.3137254901960784</x:v>
      </x:c>
      <x:c r="V1555" s="16" t="n">
        <x:f>E1555/5</x:f>
        <x:v>20.4</x:v>
      </x:c>
    </x:row>
    <x:row r="1556" ht="22" customHeight="1">
      <x:c r="A1556" s="2" t="n">
        <x:v>776</x:v>
      </x:c>
      <x:c r="B1556" s="2" t="str">
        <x:v>RED</x:v>
      </x:c>
      <x:c r="C1556" s="2" t="str">
        <x:v>160만</x:v>
      </x:c>
      <x:c r="D1556" s="2" t="str">
        <x:v>80만</x:v>
      </x:c>
      <x:c r="E1556" s="14" t="n">
        <x:f>SUM(F1556:M1556)</x:f>
        <x:v>103</x:v>
      </x:c>
      <x:c r="F1556" s="14" t="n">
        <x:v>2</x:v>
      </x:c>
      <x:c r="G1556" s="14" t="n">
        <x:v>14</x:v>
      </x:c>
      <x:c r="H1556" s="14" t="n">
        <x:v>2</x:v>
      </x:c>
      <x:c r="I1556" s="14" t="n">
        <x:v>8</x:v>
      </x:c>
      <x:c r="J1556" s="14" t="n">
        <x:v>4</x:v>
      </x:c>
      <x:c r="K1556" s="14" t="n">
        <x:v>12</x:v>
      </x:c>
      <x:c r="L1556" s="14" t="n">
        <x:v>31</x:v>
      </x:c>
      <x:c r="M1556" s="14" t="n">
        <x:v>30</x:v>
      </x:c>
      <x:c r="N1556" s="15" t="n">
        <x:f>IF(E1556=0,"해당 없음",F1556/E1556)</x:f>
        <x:v>0.019417475728155338</x:v>
      </x:c>
      <x:c r="O1556" s="15" t="n">
        <x:f>IF(E1556=0,"해당 없음",G1556/E1556)</x:f>
        <x:v>0.13592233009708737</x:v>
      </x:c>
      <x:c r="P1556" s="15" t="n">
        <x:f>IF(E1556=0,"해당 없음",H1556/E1556)</x:f>
        <x:v>0.019417475728155338</x:v>
      </x:c>
      <x:c r="Q1556" s="15" t="n">
        <x:f>IF(E1556=0,"해당 없음",I1556/E1556)</x:f>
        <x:v>0.07766990291262135</x:v>
      </x:c>
      <x:c r="R1556" s="15" t="n">
        <x:f>IF(E1556=0,"해당 없음",J1556/E1556)</x:f>
        <x:v>0.038834951456310676</x:v>
      </x:c>
      <x:c r="S1556" s="15" t="n">
        <x:f>IF(E1556=0,"해당 없음",K1556/E1556)</x:f>
        <x:v>0.11650485436893204</x:v>
      </x:c>
      <x:c r="T1556" s="15" t="n">
        <x:f>IF(E1556=0,"해당 없음",L1556/E1556)</x:f>
        <x:v>0.30097087378640774</x:v>
      </x:c>
      <x:c r="U1556" s="15" t="n">
        <x:f>IF(E1556=0,"해당 없음",M1556/E1556)</x:f>
        <x:v>0.2912621359223301</x:v>
      </x:c>
      <x:c r="V1556" s="16" t="n">
        <x:f>E1556/5</x:f>
        <x:v>20.6</x:v>
      </x:c>
    </x:row>
    <x:row r="1557" ht="22" customHeight="1">
      <x:c r="A1557" s="2" t="n">
        <x:v>776</x:v>
      </x:c>
      <x:c r="B1557" s="2" t="str">
        <x:v>NAVY</x:v>
      </x:c>
      <x:c r="C1557" s="2" t="str">
        <x:v>80만</x:v>
      </x:c>
      <x:c r="D1557" s="2" t="str">
        <x:v>160만</x:v>
      </x:c>
      <x:c r="E1557" s="14" t="n">
        <x:f>SUM(F1557:M1557)</x:f>
        <x:v>102</x:v>
      </x:c>
      <x:c r="F1557" s="14" t="n">
        <x:v>4</x:v>
      </x:c>
      <x:c r="G1557" s="14" t="n">
        <x:v>20</x:v>
      </x:c>
      <x:c r="H1557" s="14" t="n">
        <x:v>7</x:v>
      </x:c>
      <x:c r="I1557" s="14" t="n">
        <x:v>1</x:v>
      </x:c>
      <x:c r="J1557" s="14" t="n">
        <x:v>1</x:v>
      </x:c>
      <x:c r="K1557" s="14" t="n">
        <x:v>8</x:v>
      </x:c>
      <x:c r="L1557" s="14" t="n">
        <x:v>33</x:v>
      </x:c>
      <x:c r="M1557" s="14" t="n">
        <x:v>28</x:v>
      </x:c>
      <x:c r="N1557" s="15" t="n">
        <x:f>IF(E1557=0,"해당 없음",F1557/E1557)</x:f>
        <x:v>0.0392156862745098</x:v>
      </x:c>
      <x:c r="O1557" s="15" t="n">
        <x:f>IF(E1557=0,"해당 없음",G1557/E1557)</x:f>
        <x:v>0.19607843137254902</x:v>
      </x:c>
      <x:c r="P1557" s="15" t="n">
        <x:f>IF(E1557=0,"해당 없음",H1557/E1557)</x:f>
        <x:v>0.06862745098039216</x:v>
      </x:c>
      <x:c r="Q1557" s="15" t="n">
        <x:f>IF(E1557=0,"해당 없음",I1557/E1557)</x:f>
        <x:v>0.00980392156862745</x:v>
      </x:c>
      <x:c r="R1557" s="15" t="n">
        <x:f>IF(E1557=0,"해당 없음",J1557/E1557)</x:f>
        <x:v>0.00980392156862745</x:v>
      </x:c>
      <x:c r="S1557" s="15" t="n">
        <x:f>IF(E1557=0,"해당 없음",K1557/E1557)</x:f>
        <x:v>0.0784313725490196</x:v>
      </x:c>
      <x:c r="T1557" s="15" t="n">
        <x:f>IF(E1557=0,"해당 없음",L1557/E1557)</x:f>
        <x:v>0.3235294117647059</x:v>
      </x:c>
      <x:c r="U1557" s="15" t="n">
        <x:f>IF(E1557=0,"해당 없음",M1557/E1557)</x:f>
        <x:v>0.27450980392156865</x:v>
      </x:c>
      <x:c r="V1557" s="16" t="n">
        <x:f>E1557/5</x:f>
        <x:v>20.4</x:v>
      </x:c>
    </x:row>
    <x:row r="1558" ht="22" customHeight="1">
      <x:c r="A1558" s="2" t="n">
        <x:v>777</x:v>
      </x:c>
      <x:c r="B1558" s="2" t="str">
        <x:v>RED</x:v>
      </x:c>
      <x:c r="C1558" s="2" t="str">
        <x:v>80만</x:v>
      </x:c>
      <x:c r="D1558" s="2" t="str">
        <x:v>160만</x:v>
      </x:c>
      <x:c r="E1558" s="14" t="n">
        <x:f>SUM(F1558:M1558)</x:f>
        <x:v>105</x:v>
      </x:c>
      <x:c r="F1558" s="14" t="n">
        <x:v>5</x:v>
      </x:c>
      <x:c r="G1558" s="14" t="n">
        <x:v>20</x:v>
      </x:c>
      <x:c r="H1558" s="14" t="n">
        <x:v>5</x:v>
      </x:c>
      <x:c r="I1558" s="14" t="n">
        <x:v>10</x:v>
      </x:c>
      <x:c r="J1558" s="14" t="n">
        <x:v>1</x:v>
      </x:c>
      <x:c r="K1558" s="14" t="n">
        <x:v>11</x:v>
      </x:c>
      <x:c r="L1558" s="14" t="n">
        <x:v>41</x:v>
      </x:c>
      <x:c r="M1558" s="14" t="n">
        <x:v>12</x:v>
      </x:c>
      <x:c r="N1558" s="15" t="n">
        <x:f>IF(E1558=0,"해당 없음",F1558/E1558)</x:f>
        <x:v>0.047619047619047616</x:v>
      </x:c>
      <x:c r="O1558" s="15" t="n">
        <x:f>IF(E1558=0,"해당 없음",G1558/E1558)</x:f>
        <x:v>0.19047619047619047</x:v>
      </x:c>
      <x:c r="P1558" s="15" t="n">
        <x:f>IF(E1558=0,"해당 없음",H1558/E1558)</x:f>
        <x:v>0.047619047619047616</x:v>
      </x:c>
      <x:c r="Q1558" s="15" t="n">
        <x:f>IF(E1558=0,"해당 없음",I1558/E1558)</x:f>
        <x:v>0.09523809523809523</x:v>
      </x:c>
      <x:c r="R1558" s="15" t="n">
        <x:f>IF(E1558=0,"해당 없음",J1558/E1558)</x:f>
        <x:v>0.009523809523809525</x:v>
      </x:c>
      <x:c r="S1558" s="15" t="n">
        <x:f>IF(E1558=0,"해당 없음",K1558/E1558)</x:f>
        <x:v>0.10476190476190476</x:v>
      </x:c>
      <x:c r="T1558" s="15" t="n">
        <x:f>IF(E1558=0,"해당 없음",L1558/E1558)</x:f>
        <x:v>0.3904761904761905</x:v>
      </x:c>
      <x:c r="U1558" s="15" t="n">
        <x:f>IF(E1558=0,"해당 없음",M1558/E1558)</x:f>
        <x:v>0.11428571428571428</x:v>
      </x:c>
      <x:c r="V1558" s="16" t="n">
        <x:f>E1558/5</x:f>
        <x:v>21</x:v>
      </x:c>
    </x:row>
    <x:row r="1559" ht="22" customHeight="1">
      <x:c r="A1559" s="2" t="n">
        <x:v>777</x:v>
      </x:c>
      <x:c r="B1559" s="2" t="str">
        <x:v>NAVY</x:v>
      </x:c>
      <x:c r="C1559" s="2" t="str">
        <x:v>160만</x:v>
      </x:c>
      <x:c r="D1559" s="2" t="str">
        <x:v>80만</x:v>
      </x:c>
      <x:c r="E1559" s="14" t="n">
        <x:f>SUM(F1559:M1559)</x:f>
        <x:v>105</x:v>
      </x:c>
      <x:c r="F1559" s="14" t="n">
        <x:v>6</x:v>
      </x:c>
      <x:c r="G1559" s="14" t="n">
        <x:v>8</x:v>
      </x:c>
      <x:c r="H1559" s="14" t="n">
        <x:v>6</x:v>
      </x:c>
      <x:c r="I1559" s="14" t="n">
        <x:v>6</x:v>
      </x:c>
      <x:c r="J1559" s="14" t="n">
        <x:v>3</x:v>
      </x:c>
      <x:c r="K1559" s="14" t="n">
        <x:v>6</x:v>
      </x:c>
      <x:c r="L1559" s="14" t="n">
        <x:v>36</x:v>
      </x:c>
      <x:c r="M1559" s="14" t="n">
        <x:v>34</x:v>
      </x:c>
      <x:c r="N1559" s="15" t="n">
        <x:f>IF(E1559=0,"해당 없음",F1559/E1559)</x:f>
        <x:v>0.05714285714285714</x:v>
      </x:c>
      <x:c r="O1559" s="15" t="n">
        <x:f>IF(E1559=0,"해당 없음",G1559/E1559)</x:f>
        <x:v>0.0761904761904762</x:v>
      </x:c>
      <x:c r="P1559" s="15" t="n">
        <x:f>IF(E1559=0,"해당 없음",H1559/E1559)</x:f>
        <x:v>0.05714285714285714</x:v>
      </x:c>
      <x:c r="Q1559" s="15" t="n">
        <x:f>IF(E1559=0,"해당 없음",I1559/E1559)</x:f>
        <x:v>0.05714285714285714</x:v>
      </x:c>
      <x:c r="R1559" s="15" t="n">
        <x:f>IF(E1559=0,"해당 없음",J1559/E1559)</x:f>
        <x:v>0.02857142857142857</x:v>
      </x:c>
      <x:c r="S1559" s="15" t="n">
        <x:f>IF(E1559=0,"해당 없음",K1559/E1559)</x:f>
        <x:v>0.05714285714285714</x:v>
      </x:c>
      <x:c r="T1559" s="15" t="n">
        <x:f>IF(E1559=0,"해당 없음",L1559/E1559)</x:f>
        <x:v>0.34285714285714286</x:v>
      </x:c>
      <x:c r="U1559" s="15" t="n">
        <x:f>IF(E1559=0,"해당 없음",M1559/E1559)</x:f>
        <x:v>0.3238095238095238</x:v>
      </x:c>
      <x:c r="V1559" s="16" t="n">
        <x:f>E1559/5</x:f>
        <x:v>21</x:v>
      </x:c>
    </x:row>
    <x:row r="1560" ht="22" customHeight="1">
      <x:c r="A1560" s="2" t="n">
        <x:v>778</x:v>
      </x:c>
      <x:c r="B1560" s="2" t="str">
        <x:v>RED</x:v>
      </x:c>
      <x:c r="C1560" s="2" t="str">
        <x:v>160만</x:v>
      </x:c>
      <x:c r="D1560" s="2" t="str">
        <x:v>80만</x:v>
      </x:c>
      <x:c r="E1560" s="14" t="n">
        <x:f>SUM(F1560:M1560)</x:f>
        <x:v>101</x:v>
      </x:c>
      <x:c r="F1560" s="14" t="n">
        <x:v>5</x:v>
      </x:c>
      <x:c r="G1560" s="14" t="n">
        <x:v>12</x:v>
      </x:c>
      <x:c r="H1560" s="14" t="n">
        <x:v>3</x:v>
      </x:c>
      <x:c r="I1560" s="14" t="n">
        <x:v>10</x:v>
      </x:c>
      <x:c r="J1560" s="14" t="n">
        <x:v>0</x:v>
      </x:c>
      <x:c r="K1560" s="14" t="n">
        <x:v>4</x:v>
      </x:c>
      <x:c r="L1560" s="14" t="n">
        <x:v>32</x:v>
      </x:c>
      <x:c r="M1560" s="14" t="n">
        <x:v>35</x:v>
      </x:c>
      <x:c r="N1560" s="15" t="n">
        <x:f>IF(E1560=0,"해당 없음",F1560/E1560)</x:f>
        <x:v>0.04950495049504951</x:v>
      </x:c>
      <x:c r="O1560" s="15" t="n">
        <x:f>IF(E1560=0,"해당 없음",G1560/E1560)</x:f>
        <x:v>0.1188118811881188</x:v>
      </x:c>
      <x:c r="P1560" s="15" t="n">
        <x:f>IF(E1560=0,"해당 없음",H1560/E1560)</x:f>
        <x:v>0.0297029702970297</x:v>
      </x:c>
      <x:c r="Q1560" s="15" t="n">
        <x:f>IF(E1560=0,"해당 없음",I1560/E1560)</x:f>
        <x:v>0.09900990099009901</x:v>
      </x:c>
      <x:c r="R1560" s="15" t="n">
        <x:f>IF(E1560=0,"해당 없음",J1560/E1560)</x:f>
        <x:v>0</x:v>
      </x:c>
      <x:c r="S1560" s="15" t="n">
        <x:f>IF(E1560=0,"해당 없음",K1560/E1560)</x:f>
        <x:v>0.039603960396039604</x:v>
      </x:c>
      <x:c r="T1560" s="15" t="n">
        <x:f>IF(E1560=0,"해당 없음",L1560/E1560)</x:f>
        <x:v>0.31683168316831684</x:v>
      </x:c>
      <x:c r="U1560" s="15" t="n">
        <x:f>IF(E1560=0,"해당 없음",M1560/E1560)</x:f>
        <x:v>0.3465346534653465</x:v>
      </x:c>
      <x:c r="V1560" s="16" t="n">
        <x:f>E1560/5</x:f>
        <x:v>20.2</x:v>
      </x:c>
    </x:row>
    <x:row r="1561" ht="22" customHeight="1">
      <x:c r="A1561" s="2" t="n">
        <x:v>778</x:v>
      </x:c>
      <x:c r="B1561" s="2" t="str">
        <x:v>NAVY</x:v>
      </x:c>
      <x:c r="C1561" s="2" t="str">
        <x:v>80만</x:v>
      </x:c>
      <x:c r="D1561" s="2" t="str">
        <x:v>160만</x:v>
      </x:c>
      <x:c r="E1561" s="14" t="n">
        <x:f>SUM(F1561:M1561)</x:f>
        <x:v>103</x:v>
      </x:c>
      <x:c r="F1561" s="14" t="n">
        <x:v>4</x:v>
      </x:c>
      <x:c r="G1561" s="14" t="n">
        <x:v>18</x:v>
      </x:c>
      <x:c r="H1561" s="14" t="n">
        <x:v>6</x:v>
      </x:c>
      <x:c r="I1561" s="14" t="n">
        <x:v>8</x:v>
      </x:c>
      <x:c r="J1561" s="14" t="n">
        <x:v>2</x:v>
      </x:c>
      <x:c r="K1561" s="14" t="n">
        <x:v>5</x:v>
      </x:c>
      <x:c r="L1561" s="14" t="n">
        <x:v>39</x:v>
      </x:c>
      <x:c r="M1561" s="14" t="n">
        <x:v>21</x:v>
      </x:c>
      <x:c r="N1561" s="15" t="n">
        <x:f>IF(E1561=0,"해당 없음",F1561/E1561)</x:f>
        <x:v>0.038834951456310676</x:v>
      </x:c>
      <x:c r="O1561" s="15" t="n">
        <x:f>IF(E1561=0,"해당 없음",G1561/E1561)</x:f>
        <x:v>0.17475728155339806</x:v>
      </x:c>
      <x:c r="P1561" s="15" t="n">
        <x:f>IF(E1561=0,"해당 없음",H1561/E1561)</x:f>
        <x:v>0.05825242718446602</x:v>
      </x:c>
      <x:c r="Q1561" s="15" t="n">
        <x:f>IF(E1561=0,"해당 없음",I1561/E1561)</x:f>
        <x:v>0.07766990291262135</x:v>
      </x:c>
      <x:c r="R1561" s="15" t="n">
        <x:f>IF(E1561=0,"해당 없음",J1561/E1561)</x:f>
        <x:v>0.019417475728155338</x:v>
      </x:c>
      <x:c r="S1561" s="15" t="n">
        <x:f>IF(E1561=0,"해당 없음",K1561/E1561)</x:f>
        <x:v>0.04854368932038835</x:v>
      </x:c>
      <x:c r="T1561" s="15" t="n">
        <x:f>IF(E1561=0,"해당 없음",L1561/E1561)</x:f>
        <x:v>0.3786407766990291</x:v>
      </x:c>
      <x:c r="U1561" s="15" t="n">
        <x:f>IF(E1561=0,"해당 없음",M1561/E1561)</x:f>
        <x:v>0.20388349514563106</x:v>
      </x:c>
      <x:c r="V1561" s="16" t="n">
        <x:f>E1561/5</x:f>
        <x:v>20.6</x:v>
      </x:c>
    </x:row>
    <x:row r="1562" ht="22" customHeight="1">
      <x:c r="A1562" s="2" t="n">
        <x:v>779</x:v>
      </x:c>
      <x:c r="B1562" s="2" t="str">
        <x:v>RED</x:v>
      </x:c>
      <x:c r="C1562" s="2" t="str">
        <x:v>80만</x:v>
      </x:c>
      <x:c r="D1562" s="2" t="str">
        <x:v>160만</x:v>
      </x:c>
      <x:c r="E1562" s="14" t="n">
        <x:f>SUM(F1562:M1562)</x:f>
        <x:v>101</x:v>
      </x:c>
      <x:c r="F1562" s="14" t="n">
        <x:v>5</x:v>
      </x:c>
      <x:c r="G1562" s="14" t="n">
        <x:v>14</x:v>
      </x:c>
      <x:c r="H1562" s="14" t="n">
        <x:v>8</x:v>
      </x:c>
      <x:c r="I1562" s="14" t="n">
        <x:v>5</x:v>
      </x:c>
      <x:c r="J1562" s="14" t="n">
        <x:v>2</x:v>
      </x:c>
      <x:c r="K1562" s="14" t="n">
        <x:v>7</x:v>
      </x:c>
      <x:c r="L1562" s="14" t="n">
        <x:v>34</x:v>
      </x:c>
      <x:c r="M1562" s="14" t="n">
        <x:v>26</x:v>
      </x:c>
      <x:c r="N1562" s="15" t="n">
        <x:f>IF(E1562=0,"해당 없음",F1562/E1562)</x:f>
        <x:v>0.04950495049504951</x:v>
      </x:c>
      <x:c r="O1562" s="15" t="n">
        <x:f>IF(E1562=0,"해당 없음",G1562/E1562)</x:f>
        <x:v>0.13861386138613863</x:v>
      </x:c>
      <x:c r="P1562" s="15" t="n">
        <x:f>IF(E1562=0,"해당 없음",H1562/E1562)</x:f>
        <x:v>0.07920792079207921</x:v>
      </x:c>
      <x:c r="Q1562" s="15" t="n">
        <x:f>IF(E1562=0,"해당 없음",I1562/E1562)</x:f>
        <x:v>0.04950495049504951</x:v>
      </x:c>
      <x:c r="R1562" s="15" t="n">
        <x:f>IF(E1562=0,"해당 없음",J1562/E1562)</x:f>
        <x:v>0.019801980198019802</x:v>
      </x:c>
      <x:c r="S1562" s="15" t="n">
        <x:f>IF(E1562=0,"해당 없음",K1562/E1562)</x:f>
        <x:v>0.06930693069306931</x:v>
      </x:c>
      <x:c r="T1562" s="15" t="n">
        <x:f>IF(E1562=0,"해당 없음",L1562/E1562)</x:f>
        <x:v>0.33663366336633666</x:v>
      </x:c>
      <x:c r="U1562" s="15" t="n">
        <x:f>IF(E1562=0,"해당 없음",M1562/E1562)</x:f>
        <x:v>0.25742574257425743</x:v>
      </x:c>
      <x:c r="V1562" s="16" t="n">
        <x:f>E1562/5</x:f>
        <x:v>20.2</x:v>
      </x:c>
    </x:row>
    <x:row r="1563" ht="22" customHeight="1">
      <x:c r="A1563" s="2" t="n">
        <x:v>779</x:v>
      </x:c>
      <x:c r="B1563" s="2" t="str">
        <x:v>NAVY</x:v>
      </x:c>
      <x:c r="C1563" s="2" t="str">
        <x:v>160만</x:v>
      </x:c>
      <x:c r="D1563" s="2" t="str">
        <x:v>80만</x:v>
      </x:c>
      <x:c r="E1563" s="14" t="n">
        <x:f>SUM(F1563:M1563)</x:f>
        <x:v>102</x:v>
      </x:c>
      <x:c r="F1563" s="14" t="n">
        <x:v>5</x:v>
      </x:c>
      <x:c r="G1563" s="14" t="n">
        <x:v>22</x:v>
      </x:c>
      <x:c r="H1563" s="14" t="n">
        <x:v>4</x:v>
      </x:c>
      <x:c r="I1563" s="14" t="n">
        <x:v>2</x:v>
      </x:c>
      <x:c r="J1563" s="14" t="n">
        <x:v>2</x:v>
      </x:c>
      <x:c r="K1563" s="14" t="n">
        <x:v>7</x:v>
      </x:c>
      <x:c r="L1563" s="14" t="n">
        <x:v>32</x:v>
      </x:c>
      <x:c r="M1563" s="14" t="n">
        <x:v>28</x:v>
      </x:c>
      <x:c r="N1563" s="15" t="n">
        <x:f>IF(E1563=0,"해당 없음",F1563/E1563)</x:f>
        <x:v>0.049019607843137254</x:v>
      </x:c>
      <x:c r="O1563" s="15" t="n">
        <x:f>IF(E1563=0,"해당 없음",G1563/E1563)</x:f>
        <x:v>0.21568627450980393</x:v>
      </x:c>
      <x:c r="P1563" s="15" t="n">
        <x:f>IF(E1563=0,"해당 없음",H1563/E1563)</x:f>
        <x:v>0.0392156862745098</x:v>
      </x:c>
      <x:c r="Q1563" s="15" t="n">
        <x:f>IF(E1563=0,"해당 없음",I1563/E1563)</x:f>
        <x:v>0.0196078431372549</x:v>
      </x:c>
      <x:c r="R1563" s="15" t="n">
        <x:f>IF(E1563=0,"해당 없음",J1563/E1563)</x:f>
        <x:v>0.0196078431372549</x:v>
      </x:c>
      <x:c r="S1563" s="15" t="n">
        <x:f>IF(E1563=0,"해당 없음",K1563/E1563)</x:f>
        <x:v>0.06862745098039216</x:v>
      </x:c>
      <x:c r="T1563" s="15" t="n">
        <x:f>IF(E1563=0,"해당 없음",L1563/E1563)</x:f>
        <x:v>0.3137254901960784</x:v>
      </x:c>
      <x:c r="U1563" s="15" t="n">
        <x:f>IF(E1563=0,"해당 없음",M1563/E1563)</x:f>
        <x:v>0.27450980392156865</x:v>
      </x:c>
      <x:c r="V1563" s="16" t="n">
        <x:f>E1563/5</x:f>
        <x:v>20.4</x:v>
      </x:c>
    </x:row>
    <x:row r="1564" ht="22" customHeight="1">
      <x:c r="A1564" s="2" t="n">
        <x:v>780</x:v>
      </x:c>
      <x:c r="B1564" s="2" t="str">
        <x:v>RED</x:v>
      </x:c>
      <x:c r="C1564" s="2" t="str">
        <x:v>160만</x:v>
      </x:c>
      <x:c r="D1564" s="2" t="str">
        <x:v>80만</x:v>
      </x:c>
      <x:c r="E1564" s="14" t="n">
        <x:f>SUM(F1564:M1564)</x:f>
        <x:v>105</x:v>
      </x:c>
      <x:c r="F1564" s="14" t="n">
        <x:v>5</x:v>
      </x:c>
      <x:c r="G1564" s="14" t="n">
        <x:v>14</x:v>
      </x:c>
      <x:c r="H1564" s="14" t="n">
        <x:v>4</x:v>
      </x:c>
      <x:c r="I1564" s="14" t="n">
        <x:v>12</x:v>
      </x:c>
      <x:c r="J1564" s="14" t="n">
        <x:v>4</x:v>
      </x:c>
      <x:c r="K1564" s="14" t="n">
        <x:v>3</x:v>
      </x:c>
      <x:c r="L1564" s="14" t="n">
        <x:v>34</x:v>
      </x:c>
      <x:c r="M1564" s="14" t="n">
        <x:v>29</x:v>
      </x:c>
      <x:c r="N1564" s="15" t="n">
        <x:f>IF(E1564=0,"해당 없음",F1564/E1564)</x:f>
        <x:v>0.047619047619047616</x:v>
      </x:c>
      <x:c r="O1564" s="15" t="n">
        <x:f>IF(E1564=0,"해당 없음",G1564/E1564)</x:f>
        <x:v>0.13333333333333333</x:v>
      </x:c>
      <x:c r="P1564" s="15" t="n">
        <x:f>IF(E1564=0,"해당 없음",H1564/E1564)</x:f>
        <x:v>0.0380952380952381</x:v>
      </x:c>
      <x:c r="Q1564" s="15" t="n">
        <x:f>IF(E1564=0,"해당 없음",I1564/E1564)</x:f>
        <x:v>0.11428571428571428</x:v>
      </x:c>
      <x:c r="R1564" s="15" t="n">
        <x:f>IF(E1564=0,"해당 없음",J1564/E1564)</x:f>
        <x:v>0.0380952380952381</x:v>
      </x:c>
      <x:c r="S1564" s="15" t="n">
        <x:f>IF(E1564=0,"해당 없음",K1564/E1564)</x:f>
        <x:v>0.02857142857142857</x:v>
      </x:c>
      <x:c r="T1564" s="15" t="n">
        <x:f>IF(E1564=0,"해당 없음",L1564/E1564)</x:f>
        <x:v>0.3238095238095238</x:v>
      </x:c>
      <x:c r="U1564" s="15" t="n">
        <x:f>IF(E1564=0,"해당 없음",M1564/E1564)</x:f>
        <x:v>0.2761904761904762</x:v>
      </x:c>
      <x:c r="V1564" s="16" t="n">
        <x:f>E1564/5</x:f>
        <x:v>21</x:v>
      </x:c>
    </x:row>
    <x:row r="1565" ht="22" customHeight="1">
      <x:c r="A1565" s="2" t="n">
        <x:v>780</x:v>
      </x:c>
      <x:c r="B1565" s="2" t="str">
        <x:v>NAVY</x:v>
      </x:c>
      <x:c r="C1565" s="2" t="str">
        <x:v>80만</x:v>
      </x:c>
      <x:c r="D1565" s="2" t="str">
        <x:v>160만</x:v>
      </x:c>
      <x:c r="E1565" s="14" t="n">
        <x:f>SUM(F1565:M1565)</x:f>
        <x:v>105</x:v>
      </x:c>
      <x:c r="F1565" s="14" t="n">
        <x:v>5</x:v>
      </x:c>
      <x:c r="G1565" s="14" t="n">
        <x:v>24</x:v>
      </x:c>
      <x:c r="H1565" s="14" t="n">
        <x:v>8</x:v>
      </x:c>
      <x:c r="I1565" s="14" t="n">
        <x:v>6</x:v>
      </x:c>
      <x:c r="J1565" s="14" t="n">
        <x:v>2</x:v>
      </x:c>
      <x:c r="K1565" s="14" t="n">
        <x:v>7</x:v>
      </x:c>
      <x:c r="L1565" s="14" t="n">
        <x:v>35</x:v>
      </x:c>
      <x:c r="M1565" s="14" t="n">
        <x:v>18</x:v>
      </x:c>
      <x:c r="N1565" s="15" t="n">
        <x:f>IF(E1565=0,"해당 없음",F1565/E1565)</x:f>
        <x:v>0.047619047619047616</x:v>
      </x:c>
      <x:c r="O1565" s="15" t="n">
        <x:f>IF(E1565=0,"해당 없음",G1565/E1565)</x:f>
        <x:v>0.22857142857142856</x:v>
      </x:c>
      <x:c r="P1565" s="15" t="n">
        <x:f>IF(E1565=0,"해당 없음",H1565/E1565)</x:f>
        <x:v>0.0761904761904762</x:v>
      </x:c>
      <x:c r="Q1565" s="15" t="n">
        <x:f>IF(E1565=0,"해당 없음",I1565/E1565)</x:f>
        <x:v>0.05714285714285714</x:v>
      </x:c>
      <x:c r="R1565" s="15" t="n">
        <x:f>IF(E1565=0,"해당 없음",J1565/E1565)</x:f>
        <x:v>0.01904761904761905</x:v>
      </x:c>
      <x:c r="S1565" s="15" t="n">
        <x:f>IF(E1565=0,"해당 없음",K1565/E1565)</x:f>
        <x:v>0.06666666666666667</x:v>
      </x:c>
      <x:c r="T1565" s="15" t="n">
        <x:f>IF(E1565=0,"해당 없음",L1565/E1565)</x:f>
        <x:v>0.3333333333333333</x:v>
      </x:c>
      <x:c r="U1565" s="15" t="n">
        <x:f>IF(E1565=0,"해당 없음",M1565/E1565)</x:f>
        <x:v>0.17142857142857143</x:v>
      </x:c>
      <x:c r="V1565" s="16" t="n">
        <x:f>E1565/5</x:f>
        <x:v>21</x:v>
      </x:c>
    </x:row>
    <x:row r="1566" ht="22" customHeight="1">
      <x:c r="A1566" s="2" t="n">
        <x:v>781</x:v>
      </x:c>
      <x:c r="B1566" s="2" t="str">
        <x:v>RED</x:v>
      </x:c>
      <x:c r="C1566" s="2" t="str">
        <x:v>80만</x:v>
      </x:c>
      <x:c r="D1566" s="2" t="str">
        <x:v>160만</x:v>
      </x:c>
      <x:c r="E1566" s="14" t="n">
        <x:f>SUM(F1566:M1566)</x:f>
        <x:v>103</x:v>
      </x:c>
      <x:c r="F1566" s="14" t="n">
        <x:v>6</x:v>
      </x:c>
      <x:c r="G1566" s="14" t="n">
        <x:v>19</x:v>
      </x:c>
      <x:c r="H1566" s="14" t="n">
        <x:v>15</x:v>
      </x:c>
      <x:c r="I1566" s="14" t="n">
        <x:v>4</x:v>
      </x:c>
      <x:c r="J1566" s="14" t="n">
        <x:v>2</x:v>
      </x:c>
      <x:c r="K1566" s="14" t="n">
        <x:v>10</x:v>
      </x:c>
      <x:c r="L1566" s="14" t="n">
        <x:v>36</x:v>
      </x:c>
      <x:c r="M1566" s="14" t="n">
        <x:v>11</x:v>
      </x:c>
      <x:c r="N1566" s="15" t="n">
        <x:f>IF(E1566=0,"해당 없음",F1566/E1566)</x:f>
        <x:v>0.05825242718446602</x:v>
      </x:c>
      <x:c r="O1566" s="15" t="n">
        <x:f>IF(E1566=0,"해당 없음",G1566/E1566)</x:f>
        <x:v>0.18446601941747573</x:v>
      </x:c>
      <x:c r="P1566" s="15" t="n">
        <x:f>IF(E1566=0,"해당 없음",H1566/E1566)</x:f>
        <x:v>0.14563106796116504</x:v>
      </x:c>
      <x:c r="Q1566" s="15" t="n">
        <x:f>IF(E1566=0,"해당 없음",I1566/E1566)</x:f>
        <x:v>0.038834951456310676</x:v>
      </x:c>
      <x:c r="R1566" s="15" t="n">
        <x:f>IF(E1566=0,"해당 없음",J1566/E1566)</x:f>
        <x:v>0.019417475728155338</x:v>
      </x:c>
      <x:c r="S1566" s="15" t="n">
        <x:f>IF(E1566=0,"해당 없음",K1566/E1566)</x:f>
        <x:v>0.0970873786407767</x:v>
      </x:c>
      <x:c r="T1566" s="15" t="n">
        <x:f>IF(E1566=0,"해당 없음",L1566/E1566)</x:f>
        <x:v>0.34951456310679613</x:v>
      </x:c>
      <x:c r="U1566" s="15" t="n">
        <x:f>IF(E1566=0,"해당 없음",M1566/E1566)</x:f>
        <x:v>0.10679611650485436</x:v>
      </x:c>
      <x:c r="V1566" s="16" t="n">
        <x:f>E1566/5</x:f>
        <x:v>20.6</x:v>
      </x:c>
    </x:row>
    <x:row r="1567" ht="22" customHeight="1">
      <x:c r="A1567" s="2" t="n">
        <x:v>781</x:v>
      </x:c>
      <x:c r="B1567" s="2" t="str">
        <x:v>NAVY</x:v>
      </x:c>
      <x:c r="C1567" s="2" t="str">
        <x:v>160만</x:v>
      </x:c>
      <x:c r="D1567" s="2" t="str">
        <x:v>80만</x:v>
      </x:c>
      <x:c r="E1567" s="14" t="n">
        <x:f>SUM(F1567:M1567)</x:f>
        <x:v>104</x:v>
      </x:c>
      <x:c r="F1567" s="14" t="n">
        <x:v>3</x:v>
      </x:c>
      <x:c r="G1567" s="14" t="n">
        <x:v>16</x:v>
      </x:c>
      <x:c r="H1567" s="14" t="n">
        <x:v>5</x:v>
      </x:c>
      <x:c r="I1567" s="14" t="n">
        <x:v>2</x:v>
      </x:c>
      <x:c r="J1567" s="14" t="n">
        <x:v>5</x:v>
      </x:c>
      <x:c r="K1567" s="14" t="n">
        <x:v>4</x:v>
      </x:c>
      <x:c r="L1567" s="14" t="n">
        <x:v>37</x:v>
      </x:c>
      <x:c r="M1567" s="14" t="n">
        <x:v>32</x:v>
      </x:c>
      <x:c r="N1567" s="15" t="n">
        <x:f>IF(E1567=0,"해당 없음",F1567/E1567)</x:f>
        <x:v>0.028846153846153848</x:v>
      </x:c>
      <x:c r="O1567" s="15" t="n">
        <x:f>IF(E1567=0,"해당 없음",G1567/E1567)</x:f>
        <x:v>0.15384615384615385</x:v>
      </x:c>
      <x:c r="P1567" s="15" t="n">
        <x:f>IF(E1567=0,"해당 없음",H1567/E1567)</x:f>
        <x:v>0.04807692307692308</x:v>
      </x:c>
      <x:c r="Q1567" s="15" t="n">
        <x:f>IF(E1567=0,"해당 없음",I1567/E1567)</x:f>
        <x:v>0.019230769230769232</x:v>
      </x:c>
      <x:c r="R1567" s="15" t="n">
        <x:f>IF(E1567=0,"해당 없음",J1567/E1567)</x:f>
        <x:v>0.04807692307692308</x:v>
      </x:c>
      <x:c r="S1567" s="15" t="n">
        <x:f>IF(E1567=0,"해당 없음",K1567/E1567)</x:f>
        <x:v>0.038461538461538464</x:v>
      </x:c>
      <x:c r="T1567" s="15" t="n">
        <x:f>IF(E1567=0,"해당 없음",L1567/E1567)</x:f>
        <x:v>0.3557692307692308</x:v>
      </x:c>
      <x:c r="U1567" s="15" t="n">
        <x:f>IF(E1567=0,"해당 없음",M1567/E1567)</x:f>
        <x:v>0.3076923076923077</x:v>
      </x:c>
      <x:c r="V1567" s="16" t="n">
        <x:f>E1567/5</x:f>
        <x:v>20.8</x:v>
      </x:c>
    </x:row>
    <x:row r="1568" ht="22" customHeight="1">
      <x:c r="A1568" s="2" t="n">
        <x:v>782</x:v>
      </x:c>
      <x:c r="B1568" s="2" t="str">
        <x:v>RED</x:v>
      </x:c>
      <x:c r="C1568" s="2" t="str">
        <x:v>160만</x:v>
      </x:c>
      <x:c r="D1568" s="2" t="str">
        <x:v>80만</x:v>
      </x:c>
      <x:c r="E1568" s="14" t="n">
        <x:f>SUM(F1568:M1568)</x:f>
        <x:v>100</x:v>
      </x:c>
      <x:c r="F1568" s="14" t="n">
        <x:v>5</x:v>
      </x:c>
      <x:c r="G1568" s="14" t="n">
        <x:v>13</x:v>
      </x:c>
      <x:c r="H1568" s="14" t="n">
        <x:v>5</x:v>
      </x:c>
      <x:c r="I1568" s="14" t="n">
        <x:v>7</x:v>
      </x:c>
      <x:c r="J1568" s="14" t="n">
        <x:v>1</x:v>
      </x:c>
      <x:c r="K1568" s="14" t="n">
        <x:v>5</x:v>
      </x:c>
      <x:c r="L1568" s="14" t="n">
        <x:v>33</x:v>
      </x:c>
      <x:c r="M1568" s="14" t="n">
        <x:v>31</x:v>
      </x:c>
      <x:c r="N1568" s="15" t="n">
        <x:f>IF(E1568=0,"해당 없음",F1568/E1568)</x:f>
        <x:v>0.05</x:v>
      </x:c>
      <x:c r="O1568" s="15" t="n">
        <x:f>IF(E1568=0,"해당 없음",G1568/E1568)</x:f>
        <x:v>0.13</x:v>
      </x:c>
      <x:c r="P1568" s="15" t="n">
        <x:f>IF(E1568=0,"해당 없음",H1568/E1568)</x:f>
        <x:v>0.05</x:v>
      </x:c>
      <x:c r="Q1568" s="15" t="n">
        <x:f>IF(E1568=0,"해당 없음",I1568/E1568)</x:f>
        <x:v>0.07</x:v>
      </x:c>
      <x:c r="R1568" s="15" t="n">
        <x:f>IF(E1568=0,"해당 없음",J1568/E1568)</x:f>
        <x:v>0.01</x:v>
      </x:c>
      <x:c r="S1568" s="15" t="n">
        <x:f>IF(E1568=0,"해당 없음",K1568/E1568)</x:f>
        <x:v>0.05</x:v>
      </x:c>
      <x:c r="T1568" s="15" t="n">
        <x:f>IF(E1568=0,"해당 없음",L1568/E1568)</x:f>
        <x:v>0.33</x:v>
      </x:c>
      <x:c r="U1568" s="15" t="n">
        <x:f>IF(E1568=0,"해당 없음",M1568/E1568)</x:f>
        <x:v>0.31</x:v>
      </x:c>
      <x:c r="V1568" s="16" t="n">
        <x:f>E1568/5</x:f>
        <x:v>20</x:v>
      </x:c>
    </x:row>
    <x:row r="1569" ht="22" customHeight="1">
      <x:c r="A1569" s="2" t="n">
        <x:v>782</x:v>
      </x:c>
      <x:c r="B1569" s="2" t="str">
        <x:v>NAVY</x:v>
      </x:c>
      <x:c r="C1569" s="2" t="str">
        <x:v>80만</x:v>
      </x:c>
      <x:c r="D1569" s="2" t="str">
        <x:v>160만</x:v>
      </x:c>
      <x:c r="E1569" s="14" t="n">
        <x:f>SUM(F1569:M1569)</x:f>
        <x:v>102</x:v>
      </x:c>
      <x:c r="F1569" s="14" t="n">
        <x:v>7</x:v>
      </x:c>
      <x:c r="G1569" s="14" t="n">
        <x:v>16</x:v>
      </x:c>
      <x:c r="H1569" s="14" t="n">
        <x:v>5</x:v>
      </x:c>
      <x:c r="I1569" s="14" t="n">
        <x:v>7</x:v>
      </x:c>
      <x:c r="J1569" s="14" t="n">
        <x:v>2</x:v>
      </x:c>
      <x:c r="K1569" s="14" t="n">
        <x:v>10</x:v>
      </x:c>
      <x:c r="L1569" s="14" t="n">
        <x:v>36</x:v>
      </x:c>
      <x:c r="M1569" s="14" t="n">
        <x:v>19</x:v>
      </x:c>
      <x:c r="N1569" s="15" t="n">
        <x:f>IF(E1569=0,"해당 없음",F1569/E1569)</x:f>
        <x:v>0.06862745098039216</x:v>
      </x:c>
      <x:c r="O1569" s="15" t="n">
        <x:f>IF(E1569=0,"해당 없음",G1569/E1569)</x:f>
        <x:v>0.1568627450980392</x:v>
      </x:c>
      <x:c r="P1569" s="15" t="n">
        <x:f>IF(E1569=0,"해당 없음",H1569/E1569)</x:f>
        <x:v>0.049019607843137254</x:v>
      </x:c>
      <x:c r="Q1569" s="15" t="n">
        <x:f>IF(E1569=0,"해당 없음",I1569/E1569)</x:f>
        <x:v>0.06862745098039216</x:v>
      </x:c>
      <x:c r="R1569" s="15" t="n">
        <x:f>IF(E1569=0,"해당 없음",J1569/E1569)</x:f>
        <x:v>0.0196078431372549</x:v>
      </x:c>
      <x:c r="S1569" s="15" t="n">
        <x:f>IF(E1569=0,"해당 없음",K1569/E1569)</x:f>
        <x:v>0.09803921568627451</x:v>
      </x:c>
      <x:c r="T1569" s="15" t="n">
        <x:f>IF(E1569=0,"해당 없음",L1569/E1569)</x:f>
        <x:v>0.35294117647058826</x:v>
      </x:c>
      <x:c r="U1569" s="15" t="n">
        <x:f>IF(E1569=0,"해당 없음",M1569/E1569)</x:f>
        <x:v>0.18627450980392157</x:v>
      </x:c>
      <x:c r="V1569" s="16" t="n">
        <x:f>E1569/5</x:f>
        <x:v>20.4</x:v>
      </x:c>
    </x:row>
    <x:row r="1570" ht="22" customHeight="1">
      <x:c r="A1570" s="2" t="n">
        <x:v>783</x:v>
      </x:c>
      <x:c r="B1570" s="2" t="str">
        <x:v>RED</x:v>
      </x:c>
      <x:c r="C1570" s="2" t="str">
        <x:v>80만</x:v>
      </x:c>
      <x:c r="D1570" s="2" t="str">
        <x:v>160만</x:v>
      </x:c>
      <x:c r="E1570" s="14" t="n">
        <x:f>SUM(F1570:M1570)</x:f>
        <x:v>103</x:v>
      </x:c>
      <x:c r="F1570" s="14" t="n">
        <x:v>6</x:v>
      </x:c>
      <x:c r="G1570" s="14" t="n">
        <x:v>20</x:v>
      </x:c>
      <x:c r="H1570" s="14" t="n">
        <x:v>8</x:v>
      </x:c>
      <x:c r="I1570" s="14" t="n">
        <x:v>5</x:v>
      </x:c>
      <x:c r="J1570" s="14" t="n">
        <x:v>4</x:v>
      </x:c>
      <x:c r="K1570" s="14" t="n">
        <x:v>11</x:v>
      </x:c>
      <x:c r="L1570" s="14" t="n">
        <x:v>32</x:v>
      </x:c>
      <x:c r="M1570" s="14" t="n">
        <x:v>17</x:v>
      </x:c>
      <x:c r="N1570" s="15" t="n">
        <x:f>IF(E1570=0,"해당 없음",F1570/E1570)</x:f>
        <x:v>0.05825242718446602</x:v>
      </x:c>
      <x:c r="O1570" s="15" t="n">
        <x:f>IF(E1570=0,"해당 없음",G1570/E1570)</x:f>
        <x:v>0.1941747572815534</x:v>
      </x:c>
      <x:c r="P1570" s="15" t="n">
        <x:f>IF(E1570=0,"해당 없음",H1570/E1570)</x:f>
        <x:v>0.07766990291262135</x:v>
      </x:c>
      <x:c r="Q1570" s="15" t="n">
        <x:f>IF(E1570=0,"해당 없음",I1570/E1570)</x:f>
        <x:v>0.04854368932038835</x:v>
      </x:c>
      <x:c r="R1570" s="15" t="n">
        <x:f>IF(E1570=0,"해당 없음",J1570/E1570)</x:f>
        <x:v>0.038834951456310676</x:v>
      </x:c>
      <x:c r="S1570" s="15" t="n">
        <x:f>IF(E1570=0,"해당 없음",K1570/E1570)</x:f>
        <x:v>0.10679611650485436</x:v>
      </x:c>
      <x:c r="T1570" s="15" t="n">
        <x:f>IF(E1570=0,"해당 없음",L1570/E1570)</x:f>
        <x:v>0.3106796116504854</x:v>
      </x:c>
      <x:c r="U1570" s="15" t="n">
        <x:f>IF(E1570=0,"해당 없음",M1570/E1570)</x:f>
        <x:v>0.1650485436893204</x:v>
      </x:c>
      <x:c r="V1570" s="16" t="n">
        <x:f>E1570/5</x:f>
        <x:v>20.6</x:v>
      </x:c>
    </x:row>
    <x:row r="1571" ht="22" customHeight="1">
      <x:c r="A1571" s="2" t="n">
        <x:v>783</x:v>
      </x:c>
      <x:c r="B1571" s="2" t="str">
        <x:v>NAVY</x:v>
      </x:c>
      <x:c r="C1571" s="2" t="str">
        <x:v>160만</x:v>
      </x:c>
      <x:c r="D1571" s="2" t="str">
        <x:v>80만</x:v>
      </x:c>
      <x:c r="E1571" s="14" t="n">
        <x:f>SUM(F1571:M1571)</x:f>
        <x:v>103</x:v>
      </x:c>
      <x:c r="F1571" s="14" t="n">
        <x:v>4</x:v>
      </x:c>
      <x:c r="G1571" s="14" t="n">
        <x:v>18</x:v>
      </x:c>
      <x:c r="H1571" s="14" t="n">
        <x:v>8</x:v>
      </x:c>
      <x:c r="I1571" s="14" t="n">
        <x:v>6</x:v>
      </x:c>
      <x:c r="J1571" s="14" t="n">
        <x:v>4</x:v>
      </x:c>
      <x:c r="K1571" s="14" t="n">
        <x:v>9</x:v>
      </x:c>
      <x:c r="L1571" s="14" t="n">
        <x:v>29</x:v>
      </x:c>
      <x:c r="M1571" s="14" t="n">
        <x:v>25</x:v>
      </x:c>
      <x:c r="N1571" s="15" t="n">
        <x:f>IF(E1571=0,"해당 없음",F1571/E1571)</x:f>
        <x:v>0.038834951456310676</x:v>
      </x:c>
      <x:c r="O1571" s="15" t="n">
        <x:f>IF(E1571=0,"해당 없음",G1571/E1571)</x:f>
        <x:v>0.17475728155339806</x:v>
      </x:c>
      <x:c r="P1571" s="15" t="n">
        <x:f>IF(E1571=0,"해당 없음",H1571/E1571)</x:f>
        <x:v>0.07766990291262135</x:v>
      </x:c>
      <x:c r="Q1571" s="15" t="n">
        <x:f>IF(E1571=0,"해당 없음",I1571/E1571)</x:f>
        <x:v>0.05825242718446602</x:v>
      </x:c>
      <x:c r="R1571" s="15" t="n">
        <x:f>IF(E1571=0,"해당 없음",J1571/E1571)</x:f>
        <x:v>0.038834951456310676</x:v>
      </x:c>
      <x:c r="S1571" s="15" t="n">
        <x:f>IF(E1571=0,"해당 없음",K1571/E1571)</x:f>
        <x:v>0.08737864077669903</x:v>
      </x:c>
      <x:c r="T1571" s="15" t="n">
        <x:f>IF(E1571=0,"해당 없음",L1571/E1571)</x:f>
        <x:v>0.2815533980582524</x:v>
      </x:c>
      <x:c r="U1571" s="15" t="n">
        <x:f>IF(E1571=0,"해당 없음",M1571/E1571)</x:f>
        <x:v>0.24271844660194175</x:v>
      </x:c>
      <x:c r="V1571" s="16" t="n">
        <x:f>E1571/5</x:f>
        <x:v>20.6</x:v>
      </x:c>
    </x:row>
    <x:row r="1572" ht="22" customHeight="1">
      <x:c r="A1572" s="2" t="n">
        <x:v>784</x:v>
      </x:c>
      <x:c r="B1572" s="2" t="str">
        <x:v>RED</x:v>
      </x:c>
      <x:c r="C1572" s="2" t="str">
        <x:v>160만</x:v>
      </x:c>
      <x:c r="D1572" s="2" t="str">
        <x:v>80만</x:v>
      </x:c>
      <x:c r="E1572" s="14" t="n">
        <x:f>SUM(F1572:M1572)</x:f>
        <x:v>103</x:v>
      </x:c>
      <x:c r="F1572" s="14" t="n">
        <x:v>3</x:v>
      </x:c>
      <x:c r="G1572" s="14" t="n">
        <x:v>12</x:v>
      </x:c>
      <x:c r="H1572" s="14" t="n">
        <x:v>4</x:v>
      </x:c>
      <x:c r="I1572" s="14" t="n">
        <x:v>3</x:v>
      </x:c>
      <x:c r="J1572" s="14" t="n">
        <x:v>5</x:v>
      </x:c>
      <x:c r="K1572" s="14" t="n">
        <x:v>3</x:v>
      </x:c>
      <x:c r="L1572" s="14" t="n">
        <x:v>36</x:v>
      </x:c>
      <x:c r="M1572" s="14" t="n">
        <x:v>37</x:v>
      </x:c>
      <x:c r="N1572" s="15" t="n">
        <x:f>IF(E1572=0,"해당 없음",F1572/E1572)</x:f>
        <x:v>0.02912621359223301</x:v>
      </x:c>
      <x:c r="O1572" s="15" t="n">
        <x:f>IF(E1572=0,"해당 없음",G1572/E1572)</x:f>
        <x:v>0.11650485436893204</x:v>
      </x:c>
      <x:c r="P1572" s="15" t="n">
        <x:f>IF(E1572=0,"해당 없음",H1572/E1572)</x:f>
        <x:v>0.038834951456310676</x:v>
      </x:c>
      <x:c r="Q1572" s="15" t="n">
        <x:f>IF(E1572=0,"해당 없음",I1572/E1572)</x:f>
        <x:v>0.02912621359223301</x:v>
      </x:c>
      <x:c r="R1572" s="15" t="n">
        <x:f>IF(E1572=0,"해당 없음",J1572/E1572)</x:f>
        <x:v>0.04854368932038835</x:v>
      </x:c>
      <x:c r="S1572" s="15" t="n">
        <x:f>IF(E1572=0,"해당 없음",K1572/E1572)</x:f>
        <x:v>0.02912621359223301</x:v>
      </x:c>
      <x:c r="T1572" s="15" t="n">
        <x:f>IF(E1572=0,"해당 없음",L1572/E1572)</x:f>
        <x:v>0.34951456310679613</x:v>
      </x:c>
      <x:c r="U1572" s="15" t="n">
        <x:f>IF(E1572=0,"해당 없음",M1572/E1572)</x:f>
        <x:v>0.3592233009708738</x:v>
      </x:c>
      <x:c r="V1572" s="16" t="n">
        <x:f>E1572/5</x:f>
        <x:v>20.6</x:v>
      </x:c>
    </x:row>
    <x:row r="1573" ht="22" customHeight="1">
      <x:c r="A1573" s="2" t="n">
        <x:v>784</x:v>
      </x:c>
      <x:c r="B1573" s="2" t="str">
        <x:v>NAVY</x:v>
      </x:c>
      <x:c r="C1573" s="2" t="str">
        <x:v>80만</x:v>
      </x:c>
      <x:c r="D1573" s="2" t="str">
        <x:v>160만</x:v>
      </x:c>
      <x:c r="E1573" s="14" t="n">
        <x:f>SUM(F1573:M1573)</x:f>
        <x:v>103</x:v>
      </x:c>
      <x:c r="F1573" s="14" t="n">
        <x:v>7</x:v>
      </x:c>
      <x:c r="G1573" s="14" t="n">
        <x:v>18</x:v>
      </x:c>
      <x:c r="H1573" s="14" t="n">
        <x:v>6</x:v>
      </x:c>
      <x:c r="I1573" s="14" t="n">
        <x:v>5</x:v>
      </x:c>
      <x:c r="J1573" s="14" t="n">
        <x:v>4</x:v>
      </x:c>
      <x:c r="K1573" s="14" t="n">
        <x:v>2</x:v>
      </x:c>
      <x:c r="L1573" s="14" t="n">
        <x:v>35</x:v>
      </x:c>
      <x:c r="M1573" s="14" t="n">
        <x:v>26</x:v>
      </x:c>
      <x:c r="N1573" s="15" t="n">
        <x:f>IF(E1573=0,"해당 없음",F1573/E1573)</x:f>
        <x:v>0.06796116504854369</x:v>
      </x:c>
      <x:c r="O1573" s="15" t="n">
        <x:f>IF(E1573=0,"해당 없음",G1573/E1573)</x:f>
        <x:v>0.17475728155339806</x:v>
      </x:c>
      <x:c r="P1573" s="15" t="n">
        <x:f>IF(E1573=0,"해당 없음",H1573/E1573)</x:f>
        <x:v>0.05825242718446602</x:v>
      </x:c>
      <x:c r="Q1573" s="15" t="n">
        <x:f>IF(E1573=0,"해당 없음",I1573/E1573)</x:f>
        <x:v>0.04854368932038835</x:v>
      </x:c>
      <x:c r="R1573" s="15" t="n">
        <x:f>IF(E1573=0,"해당 없음",J1573/E1573)</x:f>
        <x:v>0.038834951456310676</x:v>
      </x:c>
      <x:c r="S1573" s="15" t="n">
        <x:f>IF(E1573=0,"해당 없음",K1573/E1573)</x:f>
        <x:v>0.019417475728155338</x:v>
      </x:c>
      <x:c r="T1573" s="15" t="n">
        <x:f>IF(E1573=0,"해당 없음",L1573/E1573)</x:f>
        <x:v>0.33980582524271846</x:v>
      </x:c>
      <x:c r="U1573" s="15" t="n">
        <x:f>IF(E1573=0,"해당 없음",M1573/E1573)</x:f>
        <x:v>0.2524271844660194</x:v>
      </x:c>
      <x:c r="V1573" s="16" t="n">
        <x:f>E1573/5</x:f>
        <x:v>20.6</x:v>
      </x:c>
    </x:row>
    <x:row r="1574" ht="22" customHeight="1">
      <x:c r="A1574" s="2" t="n">
        <x:v>785</x:v>
      </x:c>
      <x:c r="B1574" s="2" t="str">
        <x:v>RED</x:v>
      </x:c>
      <x:c r="C1574" s="2" t="str">
        <x:v>80만</x:v>
      </x:c>
      <x:c r="D1574" s="2" t="str">
        <x:v>160만</x:v>
      </x:c>
      <x:c r="E1574" s="14" t="n">
        <x:f>SUM(F1574:M1574)</x:f>
        <x:v>104</x:v>
      </x:c>
      <x:c r="F1574" s="14" t="n">
        <x:v>5</x:v>
      </x:c>
      <x:c r="G1574" s="14" t="n">
        <x:v>17</x:v>
      </x:c>
      <x:c r="H1574" s="14" t="n">
        <x:v>10</x:v>
      </x:c>
      <x:c r="I1574" s="14" t="n">
        <x:v>6</x:v>
      </x:c>
      <x:c r="J1574" s="14" t="n">
        <x:v>3</x:v>
      </x:c>
      <x:c r="K1574" s="14" t="n">
        <x:v>7</x:v>
      </x:c>
      <x:c r="L1574" s="14" t="n">
        <x:v>35</x:v>
      </x:c>
      <x:c r="M1574" s="14" t="n">
        <x:v>21</x:v>
      </x:c>
      <x:c r="N1574" s="15" t="n">
        <x:f>IF(E1574=0,"해당 없음",F1574/E1574)</x:f>
        <x:v>0.04807692307692308</x:v>
      </x:c>
      <x:c r="O1574" s="15" t="n">
        <x:f>IF(E1574=0,"해당 없음",G1574/E1574)</x:f>
        <x:v>0.16346153846153846</x:v>
      </x:c>
      <x:c r="P1574" s="15" t="n">
        <x:f>IF(E1574=0,"해당 없음",H1574/E1574)</x:f>
        <x:v>0.09615384615384616</x:v>
      </x:c>
      <x:c r="Q1574" s="15" t="n">
        <x:f>IF(E1574=0,"해당 없음",I1574/E1574)</x:f>
        <x:v>0.057692307692307696</x:v>
      </x:c>
      <x:c r="R1574" s="15" t="n">
        <x:f>IF(E1574=0,"해당 없음",J1574/E1574)</x:f>
        <x:v>0.028846153846153848</x:v>
      </x:c>
      <x:c r="S1574" s="15" t="n">
        <x:f>IF(E1574=0,"해당 없음",K1574/E1574)</x:f>
        <x:v>0.0673076923076923</x:v>
      </x:c>
      <x:c r="T1574" s="15" t="n">
        <x:f>IF(E1574=0,"해당 없음",L1574/E1574)</x:f>
        <x:v>0.33653846153846156</x:v>
      </x:c>
      <x:c r="U1574" s="15" t="n">
        <x:f>IF(E1574=0,"해당 없음",M1574/E1574)</x:f>
        <x:v>0.20192307692307693</x:v>
      </x:c>
      <x:c r="V1574" s="16" t="n">
        <x:f>E1574/5</x:f>
        <x:v>20.8</x:v>
      </x:c>
    </x:row>
    <x:row r="1575" ht="22" customHeight="1">
      <x:c r="A1575" s="2" t="n">
        <x:v>785</x:v>
      </x:c>
      <x:c r="B1575" s="2" t="str">
        <x:v>NAVY</x:v>
      </x:c>
      <x:c r="C1575" s="2" t="str">
        <x:v>160만</x:v>
      </x:c>
      <x:c r="D1575" s="2" t="str">
        <x:v>80만</x:v>
      </x:c>
      <x:c r="E1575" s="14" t="n">
        <x:f>SUM(F1575:M1575)</x:f>
        <x:v>105</x:v>
      </x:c>
      <x:c r="F1575" s="14" t="n">
        <x:v>2</x:v>
      </x:c>
      <x:c r="G1575" s="14" t="n">
        <x:v>11</x:v>
      </x:c>
      <x:c r="H1575" s="14" t="n">
        <x:v>4</x:v>
      </x:c>
      <x:c r="I1575" s="14" t="n">
        <x:v>6</x:v>
      </x:c>
      <x:c r="J1575" s="14" t="n">
        <x:v>6</x:v>
      </x:c>
      <x:c r="K1575" s="14" t="n">
        <x:v>3</x:v>
      </x:c>
      <x:c r="L1575" s="14" t="n">
        <x:v>36</x:v>
      </x:c>
      <x:c r="M1575" s="14" t="n">
        <x:v>37</x:v>
      </x:c>
      <x:c r="N1575" s="15" t="n">
        <x:f>IF(E1575=0,"해당 없음",F1575/E1575)</x:f>
        <x:v>0.01904761904761905</x:v>
      </x:c>
      <x:c r="O1575" s="15" t="n">
        <x:f>IF(E1575=0,"해당 없음",G1575/E1575)</x:f>
        <x:v>0.10476190476190476</x:v>
      </x:c>
      <x:c r="P1575" s="15" t="n">
        <x:f>IF(E1575=0,"해당 없음",H1575/E1575)</x:f>
        <x:v>0.0380952380952381</x:v>
      </x:c>
      <x:c r="Q1575" s="15" t="n">
        <x:f>IF(E1575=0,"해당 없음",I1575/E1575)</x:f>
        <x:v>0.05714285714285714</x:v>
      </x:c>
      <x:c r="R1575" s="15" t="n">
        <x:f>IF(E1575=0,"해당 없음",J1575/E1575)</x:f>
        <x:v>0.05714285714285714</x:v>
      </x:c>
      <x:c r="S1575" s="15" t="n">
        <x:f>IF(E1575=0,"해당 없음",K1575/E1575)</x:f>
        <x:v>0.02857142857142857</x:v>
      </x:c>
      <x:c r="T1575" s="15" t="n">
        <x:f>IF(E1575=0,"해당 없음",L1575/E1575)</x:f>
        <x:v>0.34285714285714286</x:v>
      </x:c>
      <x:c r="U1575" s="15" t="n">
        <x:f>IF(E1575=0,"해당 없음",M1575/E1575)</x:f>
        <x:v>0.3523809523809524</x:v>
      </x:c>
      <x:c r="V1575" s="16" t="n">
        <x:f>E1575/5</x:f>
        <x:v>21</x:v>
      </x:c>
    </x:row>
    <x:row r="1576" ht="22" customHeight="1">
      <x:c r="A1576" s="2" t="n">
        <x:v>786</x:v>
      </x:c>
      <x:c r="B1576" s="2" t="str">
        <x:v>RED</x:v>
      </x:c>
      <x:c r="C1576" s="2" t="str">
        <x:v>160만</x:v>
      </x:c>
      <x:c r="D1576" s="2" t="str">
        <x:v>80만</x:v>
      </x:c>
      <x:c r="E1576" s="14" t="n">
        <x:f>SUM(F1576:M1576)</x:f>
        <x:v>107</x:v>
      </x:c>
      <x:c r="F1576" s="14" t="n">
        <x:v>6</x:v>
      </x:c>
      <x:c r="G1576" s="14" t="n">
        <x:v>16</x:v>
      </x:c>
      <x:c r="H1576" s="14" t="n">
        <x:v>10</x:v>
      </x:c>
      <x:c r="I1576" s="14" t="n">
        <x:v>5</x:v>
      </x:c>
      <x:c r="J1576" s="14" t="n">
        <x:v>3</x:v>
      </x:c>
      <x:c r="K1576" s="14" t="n">
        <x:v>9</x:v>
      </x:c>
      <x:c r="L1576" s="14" t="n">
        <x:v>38</x:v>
      </x:c>
      <x:c r="M1576" s="14" t="n">
        <x:v>20</x:v>
      </x:c>
      <x:c r="N1576" s="15" t="n">
        <x:f>IF(E1576=0,"해당 없음",F1576/E1576)</x:f>
        <x:v>0.056074766355140186</x:v>
      </x:c>
      <x:c r="O1576" s="15" t="n">
        <x:f>IF(E1576=0,"해당 없음",G1576/E1576)</x:f>
        <x:v>0.14953271028037382</x:v>
      </x:c>
      <x:c r="P1576" s="15" t="n">
        <x:f>IF(E1576=0,"해당 없음",H1576/E1576)</x:f>
        <x:v>0.09345794392523364</x:v>
      </x:c>
      <x:c r="Q1576" s="15" t="n">
        <x:f>IF(E1576=0,"해당 없음",I1576/E1576)</x:f>
        <x:v>0.04672897196261682</x:v>
      </x:c>
      <x:c r="R1576" s="15" t="n">
        <x:f>IF(E1576=0,"해당 없음",J1576/E1576)</x:f>
        <x:v>0.028037383177570093</x:v>
      </x:c>
      <x:c r="S1576" s="15" t="n">
        <x:f>IF(E1576=0,"해당 없음",K1576/E1576)</x:f>
        <x:v>0.08411214953271028</x:v>
      </x:c>
      <x:c r="T1576" s="15" t="n">
        <x:f>IF(E1576=0,"해당 없음",L1576/E1576)</x:f>
        <x:v>0.35514018691588783</x:v>
      </x:c>
      <x:c r="U1576" s="15" t="n">
        <x:f>IF(E1576=0,"해당 없음",M1576/E1576)</x:f>
        <x:v>0.18691588785046728</x:v>
      </x:c>
      <x:c r="V1576" s="16" t="n">
        <x:f>E1576/5</x:f>
        <x:v>21.4</x:v>
      </x:c>
    </x:row>
    <x:row r="1577" ht="22" customHeight="1">
      <x:c r="A1577" s="2" t="n">
        <x:v>786</x:v>
      </x:c>
      <x:c r="B1577" s="2" t="str">
        <x:v>NAVY</x:v>
      </x:c>
      <x:c r="C1577" s="2" t="str">
        <x:v>80만</x:v>
      </x:c>
      <x:c r="D1577" s="2" t="str">
        <x:v>160만</x:v>
      </x:c>
      <x:c r="E1577" s="14" t="n">
        <x:f>SUM(F1577:M1577)</x:f>
        <x:v>103</x:v>
      </x:c>
      <x:c r="F1577" s="14" t="n">
        <x:v>3</x:v>
      </x:c>
      <x:c r="G1577" s="14" t="n">
        <x:v>19</x:v>
      </x:c>
      <x:c r="H1577" s="14" t="n">
        <x:v>10</x:v>
      </x:c>
      <x:c r="I1577" s="14" t="n">
        <x:v>9</x:v>
      </x:c>
      <x:c r="J1577" s="14" t="n">
        <x:v>2</x:v>
      </x:c>
      <x:c r="K1577" s="14" t="n">
        <x:v>5</x:v>
      </x:c>
      <x:c r="L1577" s="14" t="n">
        <x:v>39</x:v>
      </x:c>
      <x:c r="M1577" s="14" t="n">
        <x:v>16</x:v>
      </x:c>
      <x:c r="N1577" s="15" t="n">
        <x:f>IF(E1577=0,"해당 없음",F1577/E1577)</x:f>
        <x:v>0.02912621359223301</x:v>
      </x:c>
      <x:c r="O1577" s="15" t="n">
        <x:f>IF(E1577=0,"해당 없음",G1577/E1577)</x:f>
        <x:v>0.18446601941747573</x:v>
      </x:c>
      <x:c r="P1577" s="15" t="n">
        <x:f>IF(E1577=0,"해당 없음",H1577/E1577)</x:f>
        <x:v>0.0970873786407767</x:v>
      </x:c>
      <x:c r="Q1577" s="15" t="n">
        <x:f>IF(E1577=0,"해당 없음",I1577/E1577)</x:f>
        <x:v>0.08737864077669903</x:v>
      </x:c>
      <x:c r="R1577" s="15" t="n">
        <x:f>IF(E1577=0,"해당 없음",J1577/E1577)</x:f>
        <x:v>0.019417475728155338</x:v>
      </x:c>
      <x:c r="S1577" s="15" t="n">
        <x:f>IF(E1577=0,"해당 없음",K1577/E1577)</x:f>
        <x:v>0.04854368932038835</x:v>
      </x:c>
      <x:c r="T1577" s="15" t="n">
        <x:f>IF(E1577=0,"해당 없음",L1577/E1577)</x:f>
        <x:v>0.3786407766990291</x:v>
      </x:c>
      <x:c r="U1577" s="15" t="n">
        <x:f>IF(E1577=0,"해당 없음",M1577/E1577)</x:f>
        <x:v>0.1553398058252427</x:v>
      </x:c>
      <x:c r="V1577" s="16" t="n">
        <x:f>E1577/5</x:f>
        <x:v>20.6</x:v>
      </x:c>
    </x:row>
    <x:row r="1578" ht="22" customHeight="1">
      <x:c r="A1578" s="2" t="n">
        <x:v>787</x:v>
      </x:c>
      <x:c r="B1578" s="2" t="str">
        <x:v>RED</x:v>
      </x:c>
      <x:c r="C1578" s="2" t="str">
        <x:v>80만</x:v>
      </x:c>
      <x:c r="D1578" s="2" t="str">
        <x:v>160만</x:v>
      </x:c>
      <x:c r="E1578" s="14" t="n">
        <x:f>SUM(F1578:M1578)</x:f>
        <x:v>103</x:v>
      </x:c>
      <x:c r="F1578" s="14" t="n">
        <x:v>3</x:v>
      </x:c>
      <x:c r="G1578" s="14" t="n">
        <x:v>12</x:v>
      </x:c>
      <x:c r="H1578" s="14" t="n">
        <x:v>9</x:v>
      </x:c>
      <x:c r="I1578" s="14" t="n">
        <x:v>4</x:v>
      </x:c>
      <x:c r="J1578" s="14" t="n">
        <x:v>7</x:v>
      </x:c>
      <x:c r="K1578" s="14" t="n">
        <x:v>18</x:v>
      </x:c>
      <x:c r="L1578" s="14" t="n">
        <x:v>37</x:v>
      </x:c>
      <x:c r="M1578" s="14" t="n">
        <x:v>13</x:v>
      </x:c>
      <x:c r="N1578" s="15" t="n">
        <x:f>IF(E1578=0,"해당 없음",F1578/E1578)</x:f>
        <x:v>0.02912621359223301</x:v>
      </x:c>
      <x:c r="O1578" s="15" t="n">
        <x:f>IF(E1578=0,"해당 없음",G1578/E1578)</x:f>
        <x:v>0.11650485436893204</x:v>
      </x:c>
      <x:c r="P1578" s="15" t="n">
        <x:f>IF(E1578=0,"해당 없음",H1578/E1578)</x:f>
        <x:v>0.08737864077669903</x:v>
      </x:c>
      <x:c r="Q1578" s="15" t="n">
        <x:f>IF(E1578=0,"해당 없음",I1578/E1578)</x:f>
        <x:v>0.038834951456310676</x:v>
      </x:c>
      <x:c r="R1578" s="15" t="n">
        <x:f>IF(E1578=0,"해당 없음",J1578/E1578)</x:f>
        <x:v>0.06796116504854369</x:v>
      </x:c>
      <x:c r="S1578" s="15" t="n">
        <x:f>IF(E1578=0,"해당 없음",K1578/E1578)</x:f>
        <x:v>0.17475728155339806</x:v>
      </x:c>
      <x:c r="T1578" s="15" t="n">
        <x:f>IF(E1578=0,"해당 없음",L1578/E1578)</x:f>
        <x:v>0.3592233009708738</x:v>
      </x:c>
      <x:c r="U1578" s="15" t="n">
        <x:f>IF(E1578=0,"해당 없음",M1578/E1578)</x:f>
        <x:v>0.1262135922330097</x:v>
      </x:c>
      <x:c r="V1578" s="16" t="n">
        <x:f>E1578/5</x:f>
        <x:v>20.6</x:v>
      </x:c>
    </x:row>
    <x:row r="1579" ht="22" customHeight="1">
      <x:c r="A1579" s="2" t="n">
        <x:v>787</x:v>
      </x:c>
      <x:c r="B1579" s="2" t="str">
        <x:v>NAVY</x:v>
      </x:c>
      <x:c r="C1579" s="2" t="str">
        <x:v>160만</x:v>
      </x:c>
      <x:c r="D1579" s="2" t="str">
        <x:v>80만</x:v>
      </x:c>
      <x:c r="E1579" s="14" t="n">
        <x:f>SUM(F1579:M1579)</x:f>
        <x:v>105</x:v>
      </x:c>
      <x:c r="F1579" s="14" t="n">
        <x:v>1</x:v>
      </x:c>
      <x:c r="G1579" s="14" t="n">
        <x:v>10</x:v>
      </x:c>
      <x:c r="H1579" s="14" t="n">
        <x:v>5</x:v>
      </x:c>
      <x:c r="I1579" s="14" t="n">
        <x:v>7</x:v>
      </x:c>
      <x:c r="J1579" s="14" t="n">
        <x:v>1</x:v>
      </x:c>
      <x:c r="K1579" s="14" t="n">
        <x:v>9</x:v>
      </x:c>
      <x:c r="L1579" s="14" t="n">
        <x:v>38</x:v>
      </x:c>
      <x:c r="M1579" s="14" t="n">
        <x:v>34</x:v>
      </x:c>
      <x:c r="N1579" s="15" t="n">
        <x:f>IF(E1579=0,"해당 없음",F1579/E1579)</x:f>
        <x:v>0.009523809523809525</x:v>
      </x:c>
      <x:c r="O1579" s="15" t="n">
        <x:f>IF(E1579=0,"해당 없음",G1579/E1579)</x:f>
        <x:v>0.09523809523809523</x:v>
      </x:c>
      <x:c r="P1579" s="15" t="n">
        <x:f>IF(E1579=0,"해당 없음",H1579/E1579)</x:f>
        <x:v>0.047619047619047616</x:v>
      </x:c>
      <x:c r="Q1579" s="15" t="n">
        <x:f>IF(E1579=0,"해당 없음",I1579/E1579)</x:f>
        <x:v>0.06666666666666667</x:v>
      </x:c>
      <x:c r="R1579" s="15" t="n">
        <x:f>IF(E1579=0,"해당 없음",J1579/E1579)</x:f>
        <x:v>0.009523809523809525</x:v>
      </x:c>
      <x:c r="S1579" s="15" t="n">
        <x:f>IF(E1579=0,"해당 없음",K1579/E1579)</x:f>
        <x:v>0.08571428571428572</x:v>
      </x:c>
      <x:c r="T1579" s="15" t="n">
        <x:f>IF(E1579=0,"해당 없음",L1579/E1579)</x:f>
        <x:v>0.3619047619047619</x:v>
      </x:c>
      <x:c r="U1579" s="15" t="n">
        <x:f>IF(E1579=0,"해당 없음",M1579/E1579)</x:f>
        <x:v>0.3238095238095238</x:v>
      </x:c>
      <x:c r="V1579" s="16" t="n">
        <x:f>E1579/5</x:f>
        <x:v>21</x:v>
      </x:c>
    </x:row>
    <x:row r="1580" ht="22" customHeight="1">
      <x:c r="A1580" s="2" t="n">
        <x:v>788</x:v>
      </x:c>
      <x:c r="B1580" s="2" t="str">
        <x:v>RED</x:v>
      </x:c>
      <x:c r="C1580" s="2" t="str">
        <x:v>160만</x:v>
      </x:c>
      <x:c r="D1580" s="2" t="str">
        <x:v>80만</x:v>
      </x:c>
      <x:c r="E1580" s="14" t="n">
        <x:f>SUM(F1580:M1580)</x:f>
        <x:v>103</x:v>
      </x:c>
      <x:c r="F1580" s="14" t="n">
        <x:v>4</x:v>
      </x:c>
      <x:c r="G1580" s="14" t="n">
        <x:v>11</x:v>
      </x:c>
      <x:c r="H1580" s="14" t="n">
        <x:v>6</x:v>
      </x:c>
      <x:c r="I1580" s="14" t="n">
        <x:v>4</x:v>
      </x:c>
      <x:c r="J1580" s="14" t="n">
        <x:v>3</x:v>
      </x:c>
      <x:c r="K1580" s="14" t="n">
        <x:v>4</x:v>
      </x:c>
      <x:c r="L1580" s="14" t="n">
        <x:v>33</x:v>
      </x:c>
      <x:c r="M1580" s="14" t="n">
        <x:v>38</x:v>
      </x:c>
      <x:c r="N1580" s="15" t="n">
        <x:f>IF(E1580=0,"해당 없음",F1580/E1580)</x:f>
        <x:v>0.038834951456310676</x:v>
      </x:c>
      <x:c r="O1580" s="15" t="n">
        <x:f>IF(E1580=0,"해당 없음",G1580/E1580)</x:f>
        <x:v>0.10679611650485436</x:v>
      </x:c>
      <x:c r="P1580" s="15" t="n">
        <x:f>IF(E1580=0,"해당 없음",H1580/E1580)</x:f>
        <x:v>0.05825242718446602</x:v>
      </x:c>
      <x:c r="Q1580" s="15" t="n">
        <x:f>IF(E1580=0,"해당 없음",I1580/E1580)</x:f>
        <x:v>0.038834951456310676</x:v>
      </x:c>
      <x:c r="R1580" s="15" t="n">
        <x:f>IF(E1580=0,"해당 없음",J1580/E1580)</x:f>
        <x:v>0.02912621359223301</x:v>
      </x:c>
      <x:c r="S1580" s="15" t="n">
        <x:f>IF(E1580=0,"해당 없음",K1580/E1580)</x:f>
        <x:v>0.038834951456310676</x:v>
      </x:c>
      <x:c r="T1580" s="15" t="n">
        <x:f>IF(E1580=0,"해당 없음",L1580/E1580)</x:f>
        <x:v>0.32038834951456313</x:v>
      </x:c>
      <x:c r="U1580" s="15" t="n">
        <x:f>IF(E1580=0,"해당 없음",M1580/E1580)</x:f>
        <x:v>0.36893203883495146</x:v>
      </x:c>
      <x:c r="V1580" s="16" t="n">
        <x:f>E1580/5</x:f>
        <x:v>20.6</x:v>
      </x:c>
    </x:row>
    <x:row r="1581" ht="22" customHeight="1">
      <x:c r="A1581" s="2" t="n">
        <x:v>788</x:v>
      </x:c>
      <x:c r="B1581" s="2" t="str">
        <x:v>NAVY</x:v>
      </x:c>
      <x:c r="C1581" s="2" t="str">
        <x:v>80만</x:v>
      </x:c>
      <x:c r="D1581" s="2" t="str">
        <x:v>160만</x:v>
      </x:c>
      <x:c r="E1581" s="14" t="n">
        <x:f>SUM(F1581:M1581)</x:f>
        <x:v>102</x:v>
      </x:c>
      <x:c r="F1581" s="14" t="n">
        <x:v>6</x:v>
      </x:c>
      <x:c r="G1581" s="14" t="n">
        <x:v>16</x:v>
      </x:c>
      <x:c r="H1581" s="14" t="n">
        <x:v>6</x:v>
      </x:c>
      <x:c r="I1581" s="14" t="n">
        <x:v>4</x:v>
      </x:c>
      <x:c r="J1581" s="14" t="n">
        <x:v>1</x:v>
      </x:c>
      <x:c r="K1581" s="14" t="n">
        <x:v>9</x:v>
      </x:c>
      <x:c r="L1581" s="14" t="n">
        <x:v>37</x:v>
      </x:c>
      <x:c r="M1581" s="14" t="n">
        <x:v>23</x:v>
      </x:c>
      <x:c r="N1581" s="15" t="n">
        <x:f>IF(E1581=0,"해당 없음",F1581/E1581)</x:f>
        <x:v>0.058823529411764705</x:v>
      </x:c>
      <x:c r="O1581" s="15" t="n">
        <x:f>IF(E1581=0,"해당 없음",G1581/E1581)</x:f>
        <x:v>0.1568627450980392</x:v>
      </x:c>
      <x:c r="P1581" s="15" t="n">
        <x:f>IF(E1581=0,"해당 없음",H1581/E1581)</x:f>
        <x:v>0.058823529411764705</x:v>
      </x:c>
      <x:c r="Q1581" s="15" t="n">
        <x:f>IF(E1581=0,"해당 없음",I1581/E1581)</x:f>
        <x:v>0.0392156862745098</x:v>
      </x:c>
      <x:c r="R1581" s="15" t="n">
        <x:f>IF(E1581=0,"해당 없음",J1581/E1581)</x:f>
        <x:v>0.00980392156862745</x:v>
      </x:c>
      <x:c r="S1581" s="15" t="n">
        <x:f>IF(E1581=0,"해당 없음",K1581/E1581)</x:f>
        <x:v>0.08823529411764706</x:v>
      </x:c>
      <x:c r="T1581" s="15" t="n">
        <x:f>IF(E1581=0,"해당 없음",L1581/E1581)</x:f>
        <x:v>0.3627450980392157</x:v>
      </x:c>
      <x:c r="U1581" s="15" t="n">
        <x:f>IF(E1581=0,"해당 없음",M1581/E1581)</x:f>
        <x:v>0.22549019607843138</x:v>
      </x:c>
      <x:c r="V1581" s="16" t="n">
        <x:f>E1581/5</x:f>
        <x:v>20.4</x:v>
      </x:c>
    </x:row>
    <x:row r="1582" ht="22" customHeight="1">
      <x:c r="A1582" s="2" t="n">
        <x:v>789</x:v>
      </x:c>
      <x:c r="B1582" s="2" t="str">
        <x:v>RED</x:v>
      </x:c>
      <x:c r="C1582" s="2" t="str">
        <x:v>80만</x:v>
      </x:c>
      <x:c r="D1582" s="2" t="str">
        <x:v>160만</x:v>
      </x:c>
      <x:c r="E1582" s="14" t="n">
        <x:f>SUM(F1582:M1582)</x:f>
        <x:v>105</x:v>
      </x:c>
      <x:c r="F1582" s="14" t="n">
        <x:v>6</x:v>
      </x:c>
      <x:c r="G1582" s="14" t="n">
        <x:v>20</x:v>
      </x:c>
      <x:c r="H1582" s="14" t="n">
        <x:v>9</x:v>
      </x:c>
      <x:c r="I1582" s="14" t="n">
        <x:v>7</x:v>
      </x:c>
      <x:c r="J1582" s="14" t="n">
        <x:v>1</x:v>
      </x:c>
      <x:c r="K1582" s="14" t="n">
        <x:v>7</x:v>
      </x:c>
      <x:c r="L1582" s="14" t="n">
        <x:v>41</x:v>
      </x:c>
      <x:c r="M1582" s="14" t="n">
        <x:v>14</x:v>
      </x:c>
      <x:c r="N1582" s="15" t="n">
        <x:f>IF(E1582=0,"해당 없음",F1582/E1582)</x:f>
        <x:v>0.05714285714285714</x:v>
      </x:c>
      <x:c r="O1582" s="15" t="n">
        <x:f>IF(E1582=0,"해당 없음",G1582/E1582)</x:f>
        <x:v>0.19047619047619047</x:v>
      </x:c>
      <x:c r="P1582" s="15" t="n">
        <x:f>IF(E1582=0,"해당 없음",H1582/E1582)</x:f>
        <x:v>0.08571428571428572</x:v>
      </x:c>
      <x:c r="Q1582" s="15" t="n">
        <x:f>IF(E1582=0,"해당 없음",I1582/E1582)</x:f>
        <x:v>0.06666666666666667</x:v>
      </x:c>
      <x:c r="R1582" s="15" t="n">
        <x:f>IF(E1582=0,"해당 없음",J1582/E1582)</x:f>
        <x:v>0.009523809523809525</x:v>
      </x:c>
      <x:c r="S1582" s="15" t="n">
        <x:f>IF(E1582=0,"해당 없음",K1582/E1582)</x:f>
        <x:v>0.06666666666666667</x:v>
      </x:c>
      <x:c r="T1582" s="15" t="n">
        <x:f>IF(E1582=0,"해당 없음",L1582/E1582)</x:f>
        <x:v>0.3904761904761905</x:v>
      </x:c>
      <x:c r="U1582" s="15" t="n">
        <x:f>IF(E1582=0,"해당 없음",M1582/E1582)</x:f>
        <x:v>0.13333333333333333</x:v>
      </x:c>
      <x:c r="V1582" s="16" t="n">
        <x:f>E1582/5</x:f>
        <x:v>21</x:v>
      </x:c>
    </x:row>
    <x:row r="1583" ht="22" customHeight="1">
      <x:c r="A1583" s="2" t="n">
        <x:v>789</x:v>
      </x:c>
      <x:c r="B1583" s="2" t="str">
        <x:v>NAVY</x:v>
      </x:c>
      <x:c r="C1583" s="2" t="str">
        <x:v>160만</x:v>
      </x:c>
      <x:c r="D1583" s="2" t="str">
        <x:v>80만</x:v>
      </x:c>
      <x:c r="E1583" s="14" t="n">
        <x:f>SUM(F1583:M1583)</x:f>
        <x:v>107</x:v>
      </x:c>
      <x:c r="F1583" s="14" t="n">
        <x:v>1</x:v>
      </x:c>
      <x:c r="G1583" s="14" t="n">
        <x:v>14</x:v>
      </x:c>
      <x:c r="H1583" s="14" t="n">
        <x:v>4</x:v>
      </x:c>
      <x:c r="I1583" s="14" t="n">
        <x:v>6</x:v>
      </x:c>
      <x:c r="J1583" s="14" t="n">
        <x:v>5</x:v>
      </x:c>
      <x:c r="K1583" s="14" t="n">
        <x:v>12</x:v>
      </x:c>
      <x:c r="L1583" s="14" t="n">
        <x:v>39</x:v>
      </x:c>
      <x:c r="M1583" s="14" t="n">
        <x:v>26</x:v>
      </x:c>
      <x:c r="N1583" s="15" t="n">
        <x:f>IF(E1583=0,"해당 없음",F1583/E1583)</x:f>
        <x:v>0.009345794392523364</x:v>
      </x:c>
      <x:c r="O1583" s="15" t="n">
        <x:f>IF(E1583=0,"해당 없음",G1583/E1583)</x:f>
        <x:v>0.1308411214953271</x:v>
      </x:c>
      <x:c r="P1583" s="15" t="n">
        <x:f>IF(E1583=0,"해당 없음",H1583/E1583)</x:f>
        <x:v>0.037383177570093455</x:v>
      </x:c>
      <x:c r="Q1583" s="15" t="n">
        <x:f>IF(E1583=0,"해당 없음",I1583/E1583)</x:f>
        <x:v>0.056074766355140186</x:v>
      </x:c>
      <x:c r="R1583" s="15" t="n">
        <x:f>IF(E1583=0,"해당 없음",J1583/E1583)</x:f>
        <x:v>0.04672897196261682</x:v>
      </x:c>
      <x:c r="S1583" s="15" t="n">
        <x:f>IF(E1583=0,"해당 없음",K1583/E1583)</x:f>
        <x:v>0.11214953271028037</x:v>
      </x:c>
      <x:c r="T1583" s="15" t="n">
        <x:f>IF(E1583=0,"해당 없음",L1583/E1583)</x:f>
        <x:v>0.3644859813084112</x:v>
      </x:c>
      <x:c r="U1583" s="15" t="n">
        <x:f>IF(E1583=0,"해당 없음",M1583/E1583)</x:f>
        <x:v>0.24299065420560748</x:v>
      </x:c>
      <x:c r="V1583" s="16" t="n">
        <x:f>E1583/5</x:f>
        <x:v>21.4</x:v>
      </x:c>
    </x:row>
    <x:row r="1584" ht="22" customHeight="1">
      <x:c r="A1584" s="2" t="n">
        <x:v>790</x:v>
      </x:c>
      <x:c r="B1584" s="2" t="str">
        <x:v>RED</x:v>
      </x:c>
      <x:c r="C1584" s="2" t="str">
        <x:v>160만</x:v>
      </x:c>
      <x:c r="D1584" s="2" t="str">
        <x:v>80만</x:v>
      </x:c>
      <x:c r="E1584" s="14" t="n">
        <x:f>SUM(F1584:M1584)</x:f>
        <x:v>105</x:v>
      </x:c>
      <x:c r="F1584" s="14" t="n">
        <x:v>1</x:v>
      </x:c>
      <x:c r="G1584" s="14" t="n">
        <x:v>17</x:v>
      </x:c>
      <x:c r="H1584" s="14" t="n">
        <x:v>11</x:v>
      </x:c>
      <x:c r="I1584" s="14" t="n">
        <x:v>8</x:v>
      </x:c>
      <x:c r="J1584" s="14" t="n">
        <x:v>1</x:v>
      </x:c>
      <x:c r="K1584" s="14" t="n">
        <x:v>6</x:v>
      </x:c>
      <x:c r="L1584" s="14" t="n">
        <x:v>40</x:v>
      </x:c>
      <x:c r="M1584" s="14" t="n">
        <x:v>21</x:v>
      </x:c>
      <x:c r="N1584" s="15" t="n">
        <x:f>IF(E1584=0,"해당 없음",F1584/E1584)</x:f>
        <x:v>0.009523809523809525</x:v>
      </x:c>
      <x:c r="O1584" s="15" t="n">
        <x:f>IF(E1584=0,"해당 없음",G1584/E1584)</x:f>
        <x:v>0.1619047619047619</x:v>
      </x:c>
      <x:c r="P1584" s="15" t="n">
        <x:f>IF(E1584=0,"해당 없음",H1584/E1584)</x:f>
        <x:v>0.10476190476190476</x:v>
      </x:c>
      <x:c r="Q1584" s="15" t="n">
        <x:f>IF(E1584=0,"해당 없음",I1584/E1584)</x:f>
        <x:v>0.0761904761904762</x:v>
      </x:c>
      <x:c r="R1584" s="15" t="n">
        <x:f>IF(E1584=0,"해당 없음",J1584/E1584)</x:f>
        <x:v>0.009523809523809525</x:v>
      </x:c>
      <x:c r="S1584" s="15" t="n">
        <x:f>IF(E1584=0,"해당 없음",K1584/E1584)</x:f>
        <x:v>0.05714285714285714</x:v>
      </x:c>
      <x:c r="T1584" s="15" t="n">
        <x:f>IF(E1584=0,"해당 없음",L1584/E1584)</x:f>
        <x:v>0.38095238095238093</x:v>
      </x:c>
      <x:c r="U1584" s="15" t="n">
        <x:f>IF(E1584=0,"해당 없음",M1584/E1584)</x:f>
        <x:v>0.2</x:v>
      </x:c>
      <x:c r="V1584" s="16" t="n">
        <x:f>E1584/5</x:f>
        <x:v>21</x:v>
      </x:c>
    </x:row>
    <x:row r="1585" ht="22" customHeight="1">
      <x:c r="A1585" s="2" t="n">
        <x:v>790</x:v>
      </x:c>
      <x:c r="B1585" s="2" t="str">
        <x:v>NAVY</x:v>
      </x:c>
      <x:c r="C1585" s="2" t="str">
        <x:v>80만</x:v>
      </x:c>
      <x:c r="D1585" s="2" t="str">
        <x:v>160만</x:v>
      </x:c>
      <x:c r="E1585" s="14" t="n">
        <x:f>SUM(F1585:M1585)</x:f>
        <x:v>106</x:v>
      </x:c>
      <x:c r="F1585" s="14" t="n">
        <x:v>4</x:v>
      </x:c>
      <x:c r="G1585" s="14" t="n">
        <x:v>16</x:v>
      </x:c>
      <x:c r="H1585" s="14" t="n">
        <x:v>8</x:v>
      </x:c>
      <x:c r="I1585" s="14" t="n">
        <x:v>9</x:v>
      </x:c>
      <x:c r="J1585" s="14" t="n">
        <x:v>7</x:v>
      </x:c>
      <x:c r="K1585" s="14" t="n">
        <x:v>3</x:v>
      </x:c>
      <x:c r="L1585" s="14" t="n">
        <x:v>41</x:v>
      </x:c>
      <x:c r="M1585" s="14" t="n">
        <x:v>18</x:v>
      </x:c>
      <x:c r="N1585" s="15" t="n">
        <x:f>IF(E1585=0,"해당 없음",F1585/E1585)</x:f>
        <x:v>0.03773584905660377</x:v>
      </x:c>
      <x:c r="O1585" s="15" t="n">
        <x:f>IF(E1585=0,"해당 없음",G1585/E1585)</x:f>
        <x:v>0.1509433962264151</x:v>
      </x:c>
      <x:c r="P1585" s="15" t="n">
        <x:f>IF(E1585=0,"해당 없음",H1585/E1585)</x:f>
        <x:v>0.07547169811320754</x:v>
      </x:c>
      <x:c r="Q1585" s="15" t="n">
        <x:f>IF(E1585=0,"해당 없음",I1585/E1585)</x:f>
        <x:v>0.08490566037735849</x:v>
      </x:c>
      <x:c r="R1585" s="15" t="n">
        <x:f>IF(E1585=0,"해당 없음",J1585/E1585)</x:f>
        <x:v>0.0660377358490566</x:v>
      </x:c>
      <x:c r="S1585" s="15" t="n">
        <x:f>IF(E1585=0,"해당 없음",K1585/E1585)</x:f>
        <x:v>0.02830188679245283</x:v>
      </x:c>
      <x:c r="T1585" s="15" t="n">
        <x:f>IF(E1585=0,"해당 없음",L1585/E1585)</x:f>
        <x:v>0.3867924528301887</x:v>
      </x:c>
      <x:c r="U1585" s="15" t="n">
        <x:f>IF(E1585=0,"해당 없음",M1585/E1585)</x:f>
        <x:v>0.16981132075471697</x:v>
      </x:c>
      <x:c r="V1585" s="16" t="n">
        <x:f>E1585/5</x:f>
        <x:v>21.2</x:v>
      </x:c>
    </x:row>
    <x:row r="1586" ht="22" customHeight="1">
      <x:c r="A1586" s="2" t="n">
        <x:v>791</x:v>
      </x:c>
      <x:c r="B1586" s="2" t="str">
        <x:v>RED</x:v>
      </x:c>
      <x:c r="C1586" s="2" t="str">
        <x:v>80만</x:v>
      </x:c>
      <x:c r="D1586" s="2" t="str">
        <x:v>160만</x:v>
      </x:c>
      <x:c r="E1586" s="14" t="n">
        <x:f>SUM(F1586:M1586)</x:f>
        <x:v>105</x:v>
      </x:c>
      <x:c r="F1586" s="14" t="n">
        <x:v>3</x:v>
      </x:c>
      <x:c r="G1586" s="14" t="n">
        <x:v>13</x:v>
      </x:c>
      <x:c r="H1586" s="14" t="n">
        <x:v>11</x:v>
      </x:c>
      <x:c r="I1586" s="14" t="n">
        <x:v>9</x:v>
      </x:c>
      <x:c r="J1586" s="14" t="n">
        <x:v>6</x:v>
      </x:c>
      <x:c r="K1586" s="14" t="n">
        <x:v>12</x:v>
      </x:c>
      <x:c r="L1586" s="14" t="n">
        <x:v>43</x:v>
      </x:c>
      <x:c r="M1586" s="14" t="n">
        <x:v>8</x:v>
      </x:c>
      <x:c r="N1586" s="15" t="n">
        <x:f>IF(E1586=0,"해당 없음",F1586/E1586)</x:f>
        <x:v>0.02857142857142857</x:v>
      </x:c>
      <x:c r="O1586" s="15" t="n">
        <x:f>IF(E1586=0,"해당 없음",G1586/E1586)</x:f>
        <x:v>0.12380952380952381</x:v>
      </x:c>
      <x:c r="P1586" s="15" t="n">
        <x:f>IF(E1586=0,"해당 없음",H1586/E1586)</x:f>
        <x:v>0.10476190476190476</x:v>
      </x:c>
      <x:c r="Q1586" s="15" t="n">
        <x:f>IF(E1586=0,"해당 없음",I1586/E1586)</x:f>
        <x:v>0.08571428571428572</x:v>
      </x:c>
      <x:c r="R1586" s="15" t="n">
        <x:f>IF(E1586=0,"해당 없음",J1586/E1586)</x:f>
        <x:v>0.05714285714285714</x:v>
      </x:c>
      <x:c r="S1586" s="15" t="n">
        <x:f>IF(E1586=0,"해당 없음",K1586/E1586)</x:f>
        <x:v>0.11428571428571428</x:v>
      </x:c>
      <x:c r="T1586" s="15" t="n">
        <x:f>IF(E1586=0,"해당 없음",L1586/E1586)</x:f>
        <x:v>0.4095238095238095</x:v>
      </x:c>
      <x:c r="U1586" s="15" t="n">
        <x:f>IF(E1586=0,"해당 없음",M1586/E1586)</x:f>
        <x:v>0.0761904761904762</x:v>
      </x:c>
      <x:c r="V1586" s="16" t="n">
        <x:f>E1586/5</x:f>
        <x:v>21</x:v>
      </x:c>
    </x:row>
    <x:row r="1587" ht="22" customHeight="1">
      <x:c r="A1587" s="2" t="n">
        <x:v>791</x:v>
      </x:c>
      <x:c r="B1587" s="2" t="str">
        <x:v>NAVY</x:v>
      </x:c>
      <x:c r="C1587" s="2" t="str">
        <x:v>160만</x:v>
      </x:c>
      <x:c r="D1587" s="2" t="str">
        <x:v>80만</x:v>
      </x:c>
      <x:c r="E1587" s="14" t="n">
        <x:f>SUM(F1587:M1587)</x:f>
        <x:v>106</x:v>
      </x:c>
      <x:c r="F1587" s="14" t="n">
        <x:v>2</x:v>
      </x:c>
      <x:c r="G1587" s="14" t="n">
        <x:v>20</x:v>
      </x:c>
      <x:c r="H1587" s="14" t="n">
        <x:v>6</x:v>
      </x:c>
      <x:c r="I1587" s="14" t="n">
        <x:v>3</x:v>
      </x:c>
      <x:c r="J1587" s="14" t="n">
        <x:v>5</x:v>
      </x:c>
      <x:c r="K1587" s="14" t="n">
        <x:v>4</x:v>
      </x:c>
      <x:c r="L1587" s="14" t="n">
        <x:v>34</x:v>
      </x:c>
      <x:c r="M1587" s="14" t="n">
        <x:v>32</x:v>
      </x:c>
      <x:c r="N1587" s="15" t="n">
        <x:f>IF(E1587=0,"해당 없음",F1587/E1587)</x:f>
        <x:v>0.018867924528301886</x:v>
      </x:c>
      <x:c r="O1587" s="15" t="n">
        <x:f>IF(E1587=0,"해당 없음",G1587/E1587)</x:f>
        <x:v>0.18867924528301888</x:v>
      </x:c>
      <x:c r="P1587" s="15" t="n">
        <x:f>IF(E1587=0,"해당 없음",H1587/E1587)</x:f>
        <x:v>0.05660377358490566</x:v>
      </x:c>
      <x:c r="Q1587" s="15" t="n">
        <x:f>IF(E1587=0,"해당 없음",I1587/E1587)</x:f>
        <x:v>0.02830188679245283</x:v>
      </x:c>
      <x:c r="R1587" s="15" t="n">
        <x:f>IF(E1587=0,"해당 없음",J1587/E1587)</x:f>
        <x:v>0.04716981132075472</x:v>
      </x:c>
      <x:c r="S1587" s="15" t="n">
        <x:f>IF(E1587=0,"해당 없음",K1587/E1587)</x:f>
        <x:v>0.03773584905660377</x:v>
      </x:c>
      <x:c r="T1587" s="15" t="n">
        <x:f>IF(E1587=0,"해당 없음",L1587/E1587)</x:f>
        <x:v>0.32075471698113206</x:v>
      </x:c>
      <x:c r="U1587" s="15" t="n">
        <x:f>IF(E1587=0,"해당 없음",M1587/E1587)</x:f>
        <x:v>0.3018867924528302</x:v>
      </x:c>
      <x:c r="V1587" s="16" t="n">
        <x:f>E1587/5</x:f>
        <x:v>21.2</x:v>
      </x:c>
    </x:row>
    <x:row r="1588" ht="22" customHeight="1">
      <x:c r="A1588" s="2" t="n">
        <x:v>792</x:v>
      </x:c>
      <x:c r="B1588" s="2" t="str">
        <x:v>RED</x:v>
      </x:c>
      <x:c r="C1588" s="2" t="str">
        <x:v>160만</x:v>
      </x:c>
      <x:c r="D1588" s="2" t="str">
        <x:v>80만</x:v>
      </x:c>
      <x:c r="E1588" s="14" t="n">
        <x:f>SUM(F1588:M1588)</x:f>
        <x:v>103</x:v>
      </x:c>
      <x:c r="F1588" s="14" t="n">
        <x:v>5</x:v>
      </x:c>
      <x:c r="G1588" s="14" t="n">
        <x:v>17</x:v>
      </x:c>
      <x:c r="H1588" s="14" t="n">
        <x:v>2</x:v>
      </x:c>
      <x:c r="I1588" s="14" t="n">
        <x:v>1</x:v>
      </x:c>
      <x:c r="J1588" s="14" t="n">
        <x:v>4</x:v>
      </x:c>
      <x:c r="K1588" s="14" t="n">
        <x:v>8</x:v>
      </x:c>
      <x:c r="L1588" s="14" t="n">
        <x:v>39</x:v>
      </x:c>
      <x:c r="M1588" s="14" t="n">
        <x:v>27</x:v>
      </x:c>
      <x:c r="N1588" s="15" t="n">
        <x:f>IF(E1588=0,"해당 없음",F1588/E1588)</x:f>
        <x:v>0.04854368932038835</x:v>
      </x:c>
      <x:c r="O1588" s="15" t="n">
        <x:f>IF(E1588=0,"해당 없음",G1588/E1588)</x:f>
        <x:v>0.1650485436893204</x:v>
      </x:c>
      <x:c r="P1588" s="15" t="n">
        <x:f>IF(E1588=0,"해당 없음",H1588/E1588)</x:f>
        <x:v>0.019417475728155338</x:v>
      </x:c>
      <x:c r="Q1588" s="15" t="n">
        <x:f>IF(E1588=0,"해당 없음",I1588/E1588)</x:f>
        <x:v>0.009708737864077669</x:v>
      </x:c>
      <x:c r="R1588" s="15" t="n">
        <x:f>IF(E1588=0,"해당 없음",J1588/E1588)</x:f>
        <x:v>0.038834951456310676</x:v>
      </x:c>
      <x:c r="S1588" s="15" t="n">
        <x:f>IF(E1588=0,"해당 없음",K1588/E1588)</x:f>
        <x:v>0.07766990291262135</x:v>
      </x:c>
      <x:c r="T1588" s="15" t="n">
        <x:f>IF(E1588=0,"해당 없음",L1588/E1588)</x:f>
        <x:v>0.3786407766990291</x:v>
      </x:c>
      <x:c r="U1588" s="15" t="n">
        <x:f>IF(E1588=0,"해당 없음",M1588/E1588)</x:f>
        <x:v>0.2621359223300971</x:v>
      </x:c>
      <x:c r="V1588" s="16" t="n">
        <x:f>E1588/5</x:f>
        <x:v>20.6</x:v>
      </x:c>
    </x:row>
    <x:row r="1589" ht="22" customHeight="1">
      <x:c r="A1589" s="2" t="n">
        <x:v>792</x:v>
      </x:c>
      <x:c r="B1589" s="2" t="str">
        <x:v>NAVY</x:v>
      </x:c>
      <x:c r="C1589" s="2" t="str">
        <x:v>80만</x:v>
      </x:c>
      <x:c r="D1589" s="2" t="str">
        <x:v>160만</x:v>
      </x:c>
      <x:c r="E1589" s="14" t="n">
        <x:f>SUM(F1589:M1589)</x:f>
        <x:v>100</x:v>
      </x:c>
      <x:c r="F1589" s="14" t="n">
        <x:v>3</x:v>
      </x:c>
      <x:c r="G1589" s="14" t="n">
        <x:v>16</x:v>
      </x:c>
      <x:c r="H1589" s="14" t="n">
        <x:v>7</x:v>
      </x:c>
      <x:c r="I1589" s="14" t="n">
        <x:v>6</x:v>
      </x:c>
      <x:c r="J1589" s="14" t="n">
        <x:v>1</x:v>
      </x:c>
      <x:c r="K1589" s="14" t="n">
        <x:v>11</x:v>
      </x:c>
      <x:c r="L1589" s="14" t="n">
        <x:v>36</x:v>
      </x:c>
      <x:c r="M1589" s="14" t="n">
        <x:v>20</x:v>
      </x:c>
      <x:c r="N1589" s="15" t="n">
        <x:f>IF(E1589=0,"해당 없음",F1589/E1589)</x:f>
        <x:v>0.03</x:v>
      </x:c>
      <x:c r="O1589" s="15" t="n">
        <x:f>IF(E1589=0,"해당 없음",G1589/E1589)</x:f>
        <x:v>0.16</x:v>
      </x:c>
      <x:c r="P1589" s="15" t="n">
        <x:f>IF(E1589=0,"해당 없음",H1589/E1589)</x:f>
        <x:v>0.07</x:v>
      </x:c>
      <x:c r="Q1589" s="15" t="n">
        <x:f>IF(E1589=0,"해당 없음",I1589/E1589)</x:f>
        <x:v>0.06</x:v>
      </x:c>
      <x:c r="R1589" s="15" t="n">
        <x:f>IF(E1589=0,"해당 없음",J1589/E1589)</x:f>
        <x:v>0.01</x:v>
      </x:c>
      <x:c r="S1589" s="15" t="n">
        <x:f>IF(E1589=0,"해당 없음",K1589/E1589)</x:f>
        <x:v>0.11</x:v>
      </x:c>
      <x:c r="T1589" s="15" t="n">
        <x:f>IF(E1589=0,"해당 없음",L1589/E1589)</x:f>
        <x:v>0.36</x:v>
      </x:c>
      <x:c r="U1589" s="15" t="n">
        <x:f>IF(E1589=0,"해당 없음",M1589/E1589)</x:f>
        <x:v>0.2</x:v>
      </x:c>
      <x:c r="V1589" s="16" t="n">
        <x:f>E1589/5</x:f>
        <x:v>20</x:v>
      </x:c>
    </x:row>
    <x:row r="1590" ht="22" customHeight="1">
      <x:c r="A1590" s="2" t="n">
        <x:v>793</x:v>
      </x:c>
      <x:c r="B1590" s="2" t="str">
        <x:v>RED</x:v>
      </x:c>
      <x:c r="C1590" s="2" t="str">
        <x:v>80만</x:v>
      </x:c>
      <x:c r="D1590" s="2" t="str">
        <x:v>160만</x:v>
      </x:c>
      <x:c r="E1590" s="14" t="n">
        <x:f>SUM(F1590:M1590)</x:f>
        <x:v>101</x:v>
      </x:c>
      <x:c r="F1590" s="14" t="n">
        <x:v>5</x:v>
      </x:c>
      <x:c r="G1590" s="14" t="n">
        <x:v>11</x:v>
      </x:c>
      <x:c r="H1590" s="14" t="n">
        <x:v>9</x:v>
      </x:c>
      <x:c r="I1590" s="14" t="n">
        <x:v>6</x:v>
      </x:c>
      <x:c r="J1590" s="14" t="n">
        <x:v>1</x:v>
      </x:c>
      <x:c r="K1590" s="14" t="n">
        <x:v>11</x:v>
      </x:c>
      <x:c r="L1590" s="14" t="n">
        <x:v>41</x:v>
      </x:c>
      <x:c r="M1590" s="14" t="n">
        <x:v>17</x:v>
      </x:c>
      <x:c r="N1590" s="15" t="n">
        <x:f>IF(E1590=0,"해당 없음",F1590/E1590)</x:f>
        <x:v>0.04950495049504951</x:v>
      </x:c>
      <x:c r="O1590" s="15" t="n">
        <x:f>IF(E1590=0,"해당 없음",G1590/E1590)</x:f>
        <x:v>0.10891089108910891</x:v>
      </x:c>
      <x:c r="P1590" s="15" t="n">
        <x:f>IF(E1590=0,"해당 없음",H1590/E1590)</x:f>
        <x:v>0.0891089108910891</x:v>
      </x:c>
      <x:c r="Q1590" s="15" t="n">
        <x:f>IF(E1590=0,"해당 없음",I1590/E1590)</x:f>
        <x:v>0.0594059405940594</x:v>
      </x:c>
      <x:c r="R1590" s="15" t="n">
        <x:f>IF(E1590=0,"해당 없음",J1590/E1590)</x:f>
        <x:v>0.009900990099009901</x:v>
      </x:c>
      <x:c r="S1590" s="15" t="n">
        <x:f>IF(E1590=0,"해당 없음",K1590/E1590)</x:f>
        <x:v>0.10891089108910891</x:v>
      </x:c>
      <x:c r="T1590" s="15" t="n">
        <x:f>IF(E1590=0,"해당 없음",L1590/E1590)</x:f>
        <x:v>0.40594059405940597</x:v>
      </x:c>
      <x:c r="U1590" s="15" t="n">
        <x:f>IF(E1590=0,"해당 없음",M1590/E1590)</x:f>
        <x:v>0.16831683168316833</x:v>
      </x:c>
      <x:c r="V1590" s="16" t="n">
        <x:f>E1590/5</x:f>
        <x:v>20.2</x:v>
      </x:c>
    </x:row>
    <x:row r="1591" ht="22" customHeight="1">
      <x:c r="A1591" s="2" t="n">
        <x:v>793</x:v>
      </x:c>
      <x:c r="B1591" s="2" t="str">
        <x:v>NAVY</x:v>
      </x:c>
      <x:c r="C1591" s="2" t="str">
        <x:v>160만</x:v>
      </x:c>
      <x:c r="D1591" s="2" t="str">
        <x:v>80만</x:v>
      </x:c>
      <x:c r="E1591" s="14" t="n">
        <x:f>SUM(F1591:M1591)</x:f>
        <x:v>102</x:v>
      </x:c>
      <x:c r="F1591" s="14" t="n">
        <x:v>3</x:v>
      </x:c>
      <x:c r="G1591" s="14" t="n">
        <x:v>25</x:v>
      </x:c>
      <x:c r="H1591" s="14" t="n">
        <x:v>3</x:v>
      </x:c>
      <x:c r="I1591" s="14" t="n">
        <x:v>3</x:v>
      </x:c>
      <x:c r="J1591" s="14" t="n">
        <x:v>4</x:v>
      </x:c>
      <x:c r="K1591" s="14" t="n">
        <x:v>5</x:v>
      </x:c>
      <x:c r="L1591" s="14" t="n">
        <x:v>34</x:v>
      </x:c>
      <x:c r="M1591" s="14" t="n">
        <x:v>25</x:v>
      </x:c>
      <x:c r="N1591" s="15" t="n">
        <x:f>IF(E1591=0,"해당 없음",F1591/E1591)</x:f>
        <x:v>0.029411764705882353</x:v>
      </x:c>
      <x:c r="O1591" s="15" t="n">
        <x:f>IF(E1591=0,"해당 없음",G1591/E1591)</x:f>
        <x:v>0.24509803921568626</x:v>
      </x:c>
      <x:c r="P1591" s="15" t="n">
        <x:f>IF(E1591=0,"해당 없음",H1591/E1591)</x:f>
        <x:v>0.029411764705882353</x:v>
      </x:c>
      <x:c r="Q1591" s="15" t="n">
        <x:f>IF(E1591=0,"해당 없음",I1591/E1591)</x:f>
        <x:v>0.029411764705882353</x:v>
      </x:c>
      <x:c r="R1591" s="15" t="n">
        <x:f>IF(E1591=0,"해당 없음",J1591/E1591)</x:f>
        <x:v>0.0392156862745098</x:v>
      </x:c>
      <x:c r="S1591" s="15" t="n">
        <x:f>IF(E1591=0,"해당 없음",K1591/E1591)</x:f>
        <x:v>0.049019607843137254</x:v>
      </x:c>
      <x:c r="T1591" s="15" t="n">
        <x:f>IF(E1591=0,"해당 없음",L1591/E1591)</x:f>
        <x:v>0.3333333333333333</x:v>
      </x:c>
      <x:c r="U1591" s="15" t="n">
        <x:f>IF(E1591=0,"해당 없음",M1591/E1591)</x:f>
        <x:v>0.24509803921568626</x:v>
      </x:c>
      <x:c r="V1591" s="16" t="n">
        <x:f>E1591/5</x:f>
        <x:v>20.4</x:v>
      </x:c>
    </x:row>
    <x:row r="1592" ht="22" customHeight="1">
      <x:c r="A1592" s="2" t="n">
        <x:v>794</x:v>
      </x:c>
      <x:c r="B1592" s="2" t="str">
        <x:v>RED</x:v>
      </x:c>
      <x:c r="C1592" s="2" t="str">
        <x:v>160만</x:v>
      </x:c>
      <x:c r="D1592" s="2" t="str">
        <x:v>80만</x:v>
      </x:c>
      <x:c r="E1592" s="14" t="n">
        <x:f>SUM(F1592:M1592)</x:f>
        <x:v>102</x:v>
      </x:c>
      <x:c r="F1592" s="14" t="n">
        <x:v>3</x:v>
      </x:c>
      <x:c r="G1592" s="14" t="n">
        <x:v>16</x:v>
      </x:c>
      <x:c r="H1592" s="14" t="n">
        <x:v>4</x:v>
      </x:c>
      <x:c r="I1592" s="14" t="n">
        <x:v>8</x:v>
      </x:c>
      <x:c r="J1592" s="14" t="n">
        <x:v>2</x:v>
      </x:c>
      <x:c r="K1592" s="14" t="n">
        <x:v>3</x:v>
      </x:c>
      <x:c r="L1592" s="14" t="n">
        <x:v>30</x:v>
      </x:c>
      <x:c r="M1592" s="14" t="n">
        <x:v>36</x:v>
      </x:c>
      <x:c r="N1592" s="15" t="n">
        <x:f>IF(E1592=0,"해당 없음",F1592/E1592)</x:f>
        <x:v>0.029411764705882353</x:v>
      </x:c>
      <x:c r="O1592" s="15" t="n">
        <x:f>IF(E1592=0,"해당 없음",G1592/E1592)</x:f>
        <x:v>0.1568627450980392</x:v>
      </x:c>
      <x:c r="P1592" s="15" t="n">
        <x:f>IF(E1592=0,"해당 없음",H1592/E1592)</x:f>
        <x:v>0.0392156862745098</x:v>
      </x:c>
      <x:c r="Q1592" s="15" t="n">
        <x:f>IF(E1592=0,"해당 없음",I1592/E1592)</x:f>
        <x:v>0.0784313725490196</x:v>
      </x:c>
      <x:c r="R1592" s="15" t="n">
        <x:f>IF(E1592=0,"해당 없음",J1592/E1592)</x:f>
        <x:v>0.0196078431372549</x:v>
      </x:c>
      <x:c r="S1592" s="15" t="n">
        <x:f>IF(E1592=0,"해당 없음",K1592/E1592)</x:f>
        <x:v>0.029411764705882353</x:v>
      </x:c>
      <x:c r="T1592" s="15" t="n">
        <x:f>IF(E1592=0,"해당 없음",L1592/E1592)</x:f>
        <x:v>0.29411764705882354</x:v>
      </x:c>
      <x:c r="U1592" s="15" t="n">
        <x:f>IF(E1592=0,"해당 없음",M1592/E1592)</x:f>
        <x:v>0.35294117647058826</x:v>
      </x:c>
      <x:c r="V1592" s="16" t="n">
        <x:f>E1592/5</x:f>
        <x:v>20.4</x:v>
      </x:c>
    </x:row>
    <x:row r="1593" ht="22" customHeight="1">
      <x:c r="A1593" s="2" t="n">
        <x:v>794</x:v>
      </x:c>
      <x:c r="B1593" s="2" t="str">
        <x:v>NAVY</x:v>
      </x:c>
      <x:c r="C1593" s="2" t="str">
        <x:v>80만</x:v>
      </x:c>
      <x:c r="D1593" s="2" t="str">
        <x:v>160만</x:v>
      </x:c>
      <x:c r="E1593" s="14" t="n">
        <x:f>SUM(F1593:M1593)</x:f>
        <x:v>102</x:v>
      </x:c>
      <x:c r="F1593" s="14" t="n">
        <x:v>1</x:v>
      </x:c>
      <x:c r="G1593" s="14" t="n">
        <x:v>16</x:v>
      </x:c>
      <x:c r="H1593" s="14" t="n">
        <x:v>6</x:v>
      </x:c>
      <x:c r="I1593" s="14" t="n">
        <x:v>10</x:v>
      </x:c>
      <x:c r="J1593" s="14" t="n">
        <x:v>1</x:v>
      </x:c>
      <x:c r="K1593" s="14" t="n">
        <x:v>8</x:v>
      </x:c>
      <x:c r="L1593" s="14" t="n">
        <x:v>36</x:v>
      </x:c>
      <x:c r="M1593" s="14" t="n">
        <x:v>24</x:v>
      </x:c>
      <x:c r="N1593" s="15" t="n">
        <x:f>IF(E1593=0,"해당 없음",F1593/E1593)</x:f>
        <x:v>0.00980392156862745</x:v>
      </x:c>
      <x:c r="O1593" s="15" t="n">
        <x:f>IF(E1593=0,"해당 없음",G1593/E1593)</x:f>
        <x:v>0.1568627450980392</x:v>
      </x:c>
      <x:c r="P1593" s="15" t="n">
        <x:f>IF(E1593=0,"해당 없음",H1593/E1593)</x:f>
        <x:v>0.058823529411764705</x:v>
      </x:c>
      <x:c r="Q1593" s="15" t="n">
        <x:f>IF(E1593=0,"해당 없음",I1593/E1593)</x:f>
        <x:v>0.09803921568627451</x:v>
      </x:c>
      <x:c r="R1593" s="15" t="n">
        <x:f>IF(E1593=0,"해당 없음",J1593/E1593)</x:f>
        <x:v>0.00980392156862745</x:v>
      </x:c>
      <x:c r="S1593" s="15" t="n">
        <x:f>IF(E1593=0,"해당 없음",K1593/E1593)</x:f>
        <x:v>0.0784313725490196</x:v>
      </x:c>
      <x:c r="T1593" s="15" t="n">
        <x:f>IF(E1593=0,"해당 없음",L1593/E1593)</x:f>
        <x:v>0.35294117647058826</x:v>
      </x:c>
      <x:c r="U1593" s="15" t="n">
        <x:f>IF(E1593=0,"해당 없음",M1593/E1593)</x:f>
        <x:v>0.23529411764705882</x:v>
      </x:c>
      <x:c r="V1593" s="16" t="n">
        <x:f>E1593/5</x:f>
        <x:v>20.4</x:v>
      </x:c>
    </x:row>
    <x:row r="1594" ht="22" customHeight="1">
      <x:c r="A1594" s="2" t="n">
        <x:v>795</x:v>
      </x:c>
      <x:c r="B1594" s="2" t="str">
        <x:v>RED</x:v>
      </x:c>
      <x:c r="C1594" s="2" t="str">
        <x:v>80만</x:v>
      </x:c>
      <x:c r="D1594" s="2" t="str">
        <x:v>160만</x:v>
      </x:c>
      <x:c r="E1594" s="14" t="n">
        <x:f>SUM(F1594:M1594)</x:f>
        <x:v>101</x:v>
      </x:c>
      <x:c r="F1594" s="14" t="n">
        <x:v>7</x:v>
      </x:c>
      <x:c r="G1594" s="14" t="n">
        <x:v>15</x:v>
      </x:c>
      <x:c r="H1594" s="14" t="n">
        <x:v>8</x:v>
      </x:c>
      <x:c r="I1594" s="14" t="n">
        <x:v>4</x:v>
      </x:c>
      <x:c r="J1594" s="14" t="n">
        <x:v>3</x:v>
      </x:c>
      <x:c r="K1594" s="14" t="n">
        <x:v>6</x:v>
      </x:c>
      <x:c r="L1594" s="14" t="n">
        <x:v>32</x:v>
      </x:c>
      <x:c r="M1594" s="14" t="n">
        <x:v>26</x:v>
      </x:c>
      <x:c r="N1594" s="15" t="n">
        <x:f>IF(E1594=0,"해당 없음",F1594/E1594)</x:f>
        <x:v>0.06930693069306931</x:v>
      </x:c>
      <x:c r="O1594" s="15" t="n">
        <x:f>IF(E1594=0,"해당 없음",G1594/E1594)</x:f>
        <x:v>0.1485148514851485</x:v>
      </x:c>
      <x:c r="P1594" s="15" t="n">
        <x:f>IF(E1594=0,"해당 없음",H1594/E1594)</x:f>
        <x:v>0.07920792079207921</x:v>
      </x:c>
      <x:c r="Q1594" s="15" t="n">
        <x:f>IF(E1594=0,"해당 없음",I1594/E1594)</x:f>
        <x:v>0.039603960396039604</x:v>
      </x:c>
      <x:c r="R1594" s="15" t="n">
        <x:f>IF(E1594=0,"해당 없음",J1594/E1594)</x:f>
        <x:v>0.0297029702970297</x:v>
      </x:c>
      <x:c r="S1594" s="15" t="n">
        <x:f>IF(E1594=0,"해당 없음",K1594/E1594)</x:f>
        <x:v>0.0594059405940594</x:v>
      </x:c>
      <x:c r="T1594" s="15" t="n">
        <x:f>IF(E1594=0,"해당 없음",L1594/E1594)</x:f>
        <x:v>0.31683168316831684</x:v>
      </x:c>
      <x:c r="U1594" s="15" t="n">
        <x:f>IF(E1594=0,"해당 없음",M1594/E1594)</x:f>
        <x:v>0.25742574257425743</x:v>
      </x:c>
      <x:c r="V1594" s="16" t="n">
        <x:f>E1594/5</x:f>
        <x:v>20.2</x:v>
      </x:c>
    </x:row>
    <x:row r="1595" ht="22" customHeight="1">
      <x:c r="A1595" s="2" t="n">
        <x:v>795</x:v>
      </x:c>
      <x:c r="B1595" s="2" t="str">
        <x:v>NAVY</x:v>
      </x:c>
      <x:c r="C1595" s="2" t="str">
        <x:v>160만</x:v>
      </x:c>
      <x:c r="D1595" s="2" t="str">
        <x:v>80만</x:v>
      </x:c>
      <x:c r="E1595" s="14" t="n">
        <x:f>SUM(F1595:M1595)</x:f>
        <x:v>101</x:v>
      </x:c>
      <x:c r="F1595" s="14" t="n">
        <x:v>4</x:v>
      </x:c>
      <x:c r="G1595" s="14" t="n">
        <x:v>17</x:v>
      </x:c>
      <x:c r="H1595" s="14" t="n">
        <x:v>6</x:v>
      </x:c>
      <x:c r="I1595" s="14" t="n">
        <x:v>6</x:v>
      </x:c>
      <x:c r="J1595" s="14" t="n">
        <x:v>2</x:v>
      </x:c>
      <x:c r="K1595" s="14" t="n">
        <x:v>10</x:v>
      </x:c>
      <x:c r="L1595" s="14" t="n">
        <x:v>31</x:v>
      </x:c>
      <x:c r="M1595" s="14" t="n">
        <x:v>25</x:v>
      </x:c>
      <x:c r="N1595" s="15" t="n">
        <x:f>IF(E1595=0,"해당 없음",F1595/E1595)</x:f>
        <x:v>0.039603960396039604</x:v>
      </x:c>
      <x:c r="O1595" s="15" t="n">
        <x:f>IF(E1595=0,"해당 없음",G1595/E1595)</x:f>
        <x:v>0.16831683168316833</x:v>
      </x:c>
      <x:c r="P1595" s="15" t="n">
        <x:f>IF(E1595=0,"해당 없음",H1595/E1595)</x:f>
        <x:v>0.0594059405940594</x:v>
      </x:c>
      <x:c r="Q1595" s="15" t="n">
        <x:f>IF(E1595=0,"해당 없음",I1595/E1595)</x:f>
        <x:v>0.0594059405940594</x:v>
      </x:c>
      <x:c r="R1595" s="15" t="n">
        <x:f>IF(E1595=0,"해당 없음",J1595/E1595)</x:f>
        <x:v>0.019801980198019802</x:v>
      </x:c>
      <x:c r="S1595" s="15" t="n">
        <x:f>IF(E1595=0,"해당 없음",K1595/E1595)</x:f>
        <x:v>0.09900990099009901</x:v>
      </x:c>
      <x:c r="T1595" s="15" t="n">
        <x:f>IF(E1595=0,"해당 없음",L1595/E1595)</x:f>
        <x:v>0.3069306930693069</x:v>
      </x:c>
      <x:c r="U1595" s="15" t="n">
        <x:f>IF(E1595=0,"해당 없음",M1595/E1595)</x:f>
        <x:v>0.24752475247524752</x:v>
      </x:c>
      <x:c r="V1595" s="16" t="n">
        <x:f>E1595/5</x:f>
        <x:v>20.2</x:v>
      </x:c>
    </x:row>
    <x:row r="1596" ht="22" customHeight="1">
      <x:c r="A1596" s="2" t="n">
        <x:v>796</x:v>
      </x:c>
      <x:c r="B1596" s="2" t="str">
        <x:v>RED</x:v>
      </x:c>
      <x:c r="C1596" s="2" t="str">
        <x:v>160만</x:v>
      </x:c>
      <x:c r="D1596" s="2" t="str">
        <x:v>80만</x:v>
      </x:c>
      <x:c r="E1596" s="14" t="n">
        <x:f>SUM(F1596:M1596)</x:f>
        <x:v>103</x:v>
      </x:c>
      <x:c r="F1596" s="14" t="n">
        <x:v>1</x:v>
      </x:c>
      <x:c r="G1596" s="14" t="n">
        <x:v>12</x:v>
      </x:c>
      <x:c r="H1596" s="14" t="n">
        <x:v>4</x:v>
      </x:c>
      <x:c r="I1596" s="14" t="n">
        <x:v>3</x:v>
      </x:c>
      <x:c r="J1596" s="14" t="n">
        <x:v>4</x:v>
      </x:c>
      <x:c r="K1596" s="14" t="n">
        <x:v>2</x:v>
      </x:c>
      <x:c r="L1596" s="14" t="n">
        <x:v>35</x:v>
      </x:c>
      <x:c r="M1596" s="14" t="n">
        <x:v>42</x:v>
      </x:c>
      <x:c r="N1596" s="15" t="n">
        <x:f>IF(E1596=0,"해당 없음",F1596/E1596)</x:f>
        <x:v>0.009708737864077669</x:v>
      </x:c>
      <x:c r="O1596" s="15" t="n">
        <x:f>IF(E1596=0,"해당 없음",G1596/E1596)</x:f>
        <x:v>0.11650485436893204</x:v>
      </x:c>
      <x:c r="P1596" s="15" t="n">
        <x:f>IF(E1596=0,"해당 없음",H1596/E1596)</x:f>
        <x:v>0.038834951456310676</x:v>
      </x:c>
      <x:c r="Q1596" s="15" t="n">
        <x:f>IF(E1596=0,"해당 없음",I1596/E1596)</x:f>
        <x:v>0.02912621359223301</x:v>
      </x:c>
      <x:c r="R1596" s="15" t="n">
        <x:f>IF(E1596=0,"해당 없음",J1596/E1596)</x:f>
        <x:v>0.038834951456310676</x:v>
      </x:c>
      <x:c r="S1596" s="15" t="n">
        <x:f>IF(E1596=0,"해당 없음",K1596/E1596)</x:f>
        <x:v>0.019417475728155338</x:v>
      </x:c>
      <x:c r="T1596" s="15" t="n">
        <x:f>IF(E1596=0,"해당 없음",L1596/E1596)</x:f>
        <x:v>0.33980582524271846</x:v>
      </x:c>
      <x:c r="U1596" s="15" t="n">
        <x:f>IF(E1596=0,"해당 없음",M1596/E1596)</x:f>
        <x:v>0.4077669902912621</x:v>
      </x:c>
      <x:c r="V1596" s="16" t="n">
        <x:f>E1596/5</x:f>
        <x:v>20.6</x:v>
      </x:c>
    </x:row>
    <x:row r="1597" ht="22" customHeight="1">
      <x:c r="A1597" s="2" t="n">
        <x:v>796</x:v>
      </x:c>
      <x:c r="B1597" s="2" t="str">
        <x:v>NAVY</x:v>
      </x:c>
      <x:c r="C1597" s="2" t="str">
        <x:v>80만</x:v>
      </x:c>
      <x:c r="D1597" s="2" t="str">
        <x:v>160만</x:v>
      </x:c>
      <x:c r="E1597" s="14" t="n">
        <x:f>SUM(F1597:M1597)</x:f>
        <x:v>104</x:v>
      </x:c>
      <x:c r="F1597" s="14" t="n">
        <x:v>1</x:v>
      </x:c>
      <x:c r="G1597" s="14" t="n">
        <x:v>13</x:v>
      </x:c>
      <x:c r="H1597" s="14" t="n">
        <x:v>8</x:v>
      </x:c>
      <x:c r="I1597" s="14" t="n">
        <x:v>9</x:v>
      </x:c>
      <x:c r="J1597" s="14" t="n">
        <x:v>2</x:v>
      </x:c>
      <x:c r="K1597" s="14" t="n">
        <x:v>18</x:v>
      </x:c>
      <x:c r="L1597" s="14" t="n">
        <x:v>31</x:v>
      </x:c>
      <x:c r="M1597" s="14" t="n">
        <x:v>22</x:v>
      </x:c>
      <x:c r="N1597" s="15" t="n">
        <x:f>IF(E1597=0,"해당 없음",F1597/E1597)</x:f>
        <x:v>0.009615384615384616</x:v>
      </x:c>
      <x:c r="O1597" s="15" t="n">
        <x:f>IF(E1597=0,"해당 없음",G1597/E1597)</x:f>
        <x:v>0.125</x:v>
      </x:c>
      <x:c r="P1597" s="15" t="n">
        <x:f>IF(E1597=0,"해당 없음",H1597/E1597)</x:f>
        <x:v>0.07692307692307693</x:v>
      </x:c>
      <x:c r="Q1597" s="15" t="n">
        <x:f>IF(E1597=0,"해당 없음",I1597/E1597)</x:f>
        <x:v>0.08653846153846154</x:v>
      </x:c>
      <x:c r="R1597" s="15" t="n">
        <x:f>IF(E1597=0,"해당 없음",J1597/E1597)</x:f>
        <x:v>0.019230769230769232</x:v>
      </x:c>
      <x:c r="S1597" s="15" t="n">
        <x:f>IF(E1597=0,"해당 없음",K1597/E1597)</x:f>
        <x:v>0.17307692307692307</x:v>
      </x:c>
      <x:c r="T1597" s="15" t="n">
        <x:f>IF(E1597=0,"해당 없음",L1597/E1597)</x:f>
        <x:v>0.2980769230769231</x:v>
      </x:c>
      <x:c r="U1597" s="15" t="n">
        <x:f>IF(E1597=0,"해당 없음",M1597/E1597)</x:f>
        <x:v>0.21153846153846154</x:v>
      </x:c>
      <x:c r="V1597" s="16" t="n">
        <x:f>E1597/5</x:f>
        <x:v>20.8</x:v>
      </x:c>
    </x:row>
    <x:row r="1598" ht="22" customHeight="1">
      <x:c r="A1598" s="2" t="n">
        <x:v>797</x:v>
      </x:c>
      <x:c r="B1598" s="2" t="str">
        <x:v>RED</x:v>
      </x:c>
      <x:c r="C1598" s="2" t="str">
        <x:v>80만</x:v>
      </x:c>
      <x:c r="D1598" s="2" t="str">
        <x:v>160만</x:v>
      </x:c>
      <x:c r="E1598" s="14" t="n">
        <x:f>SUM(F1598:M1598)</x:f>
        <x:v>103</x:v>
      </x:c>
      <x:c r="F1598" s="14" t="n">
        <x:v>3</x:v>
      </x:c>
      <x:c r="G1598" s="14" t="n">
        <x:v>13</x:v>
      </x:c>
      <x:c r="H1598" s="14" t="n">
        <x:v>8</x:v>
      </x:c>
      <x:c r="I1598" s="14" t="n">
        <x:v>9</x:v>
      </x:c>
      <x:c r="J1598" s="14" t="n">
        <x:v>1</x:v>
      </x:c>
      <x:c r="K1598" s="14" t="n">
        <x:v>5</x:v>
      </x:c>
      <x:c r="L1598" s="14" t="n">
        <x:v>42</x:v>
      </x:c>
      <x:c r="M1598" s="14" t="n">
        <x:v>22</x:v>
      </x:c>
      <x:c r="N1598" s="15" t="n">
        <x:f>IF(E1598=0,"해당 없음",F1598/E1598)</x:f>
        <x:v>0.02912621359223301</x:v>
      </x:c>
      <x:c r="O1598" s="15" t="n">
        <x:f>IF(E1598=0,"해당 없음",G1598/E1598)</x:f>
        <x:v>0.1262135922330097</x:v>
      </x:c>
      <x:c r="P1598" s="15" t="n">
        <x:f>IF(E1598=0,"해당 없음",H1598/E1598)</x:f>
        <x:v>0.07766990291262135</x:v>
      </x:c>
      <x:c r="Q1598" s="15" t="n">
        <x:f>IF(E1598=0,"해당 없음",I1598/E1598)</x:f>
        <x:v>0.08737864077669903</x:v>
      </x:c>
      <x:c r="R1598" s="15" t="n">
        <x:f>IF(E1598=0,"해당 없음",J1598/E1598)</x:f>
        <x:v>0.009708737864077669</x:v>
      </x:c>
      <x:c r="S1598" s="15" t="n">
        <x:f>IF(E1598=0,"해당 없음",K1598/E1598)</x:f>
        <x:v>0.04854368932038835</x:v>
      </x:c>
      <x:c r="T1598" s="15" t="n">
        <x:f>IF(E1598=0,"해당 없음",L1598/E1598)</x:f>
        <x:v>0.4077669902912621</x:v>
      </x:c>
      <x:c r="U1598" s="15" t="n">
        <x:f>IF(E1598=0,"해당 없음",M1598/E1598)</x:f>
        <x:v>0.21359223300970873</x:v>
      </x:c>
      <x:c r="V1598" s="16" t="n">
        <x:f>E1598/5</x:f>
        <x:v>20.6</x:v>
      </x:c>
    </x:row>
    <x:row r="1599" ht="22" customHeight="1">
      <x:c r="A1599" s="2" t="n">
        <x:v>797</x:v>
      </x:c>
      <x:c r="B1599" s="2" t="str">
        <x:v>NAVY</x:v>
      </x:c>
      <x:c r="C1599" s="2" t="str">
        <x:v>160만</x:v>
      </x:c>
      <x:c r="D1599" s="2" t="str">
        <x:v>80만</x:v>
      </x:c>
      <x:c r="E1599" s="14" t="n">
        <x:f>SUM(F1599:M1599)</x:f>
        <x:v>104</x:v>
      </x:c>
      <x:c r="F1599" s="14" t="n">
        <x:v>3</x:v>
      </x:c>
      <x:c r="G1599" s="14" t="n">
        <x:v>17</x:v>
      </x:c>
      <x:c r="H1599" s="14" t="n">
        <x:v>2</x:v>
      </x:c>
      <x:c r="I1599" s="14" t="n">
        <x:v>8</x:v>
      </x:c>
      <x:c r="J1599" s="14" t="n">
        <x:v>5</x:v>
      </x:c>
      <x:c r="K1599" s="14" t="n">
        <x:v>6</x:v>
      </x:c>
      <x:c r="L1599" s="14" t="n">
        <x:v>33</x:v>
      </x:c>
      <x:c r="M1599" s="14" t="n">
        <x:v>30</x:v>
      </x:c>
      <x:c r="N1599" s="15" t="n">
        <x:f>IF(E1599=0,"해당 없음",F1599/E1599)</x:f>
        <x:v>0.028846153846153848</x:v>
      </x:c>
      <x:c r="O1599" s="15" t="n">
        <x:f>IF(E1599=0,"해당 없음",G1599/E1599)</x:f>
        <x:v>0.16346153846153846</x:v>
      </x:c>
      <x:c r="P1599" s="15" t="n">
        <x:f>IF(E1599=0,"해당 없음",H1599/E1599)</x:f>
        <x:v>0.019230769230769232</x:v>
      </x:c>
      <x:c r="Q1599" s="15" t="n">
        <x:f>IF(E1599=0,"해당 없음",I1599/E1599)</x:f>
        <x:v>0.07692307692307693</x:v>
      </x:c>
      <x:c r="R1599" s="15" t="n">
        <x:f>IF(E1599=0,"해당 없음",J1599/E1599)</x:f>
        <x:v>0.04807692307692308</x:v>
      </x:c>
      <x:c r="S1599" s="15" t="n">
        <x:f>IF(E1599=0,"해당 없음",K1599/E1599)</x:f>
        <x:v>0.057692307692307696</x:v>
      </x:c>
      <x:c r="T1599" s="15" t="n">
        <x:f>IF(E1599=0,"해당 없음",L1599/E1599)</x:f>
        <x:v>0.3173076923076923</x:v>
      </x:c>
      <x:c r="U1599" s="15" t="n">
        <x:f>IF(E1599=0,"해당 없음",M1599/E1599)</x:f>
        <x:v>0.28846153846153844</x:v>
      </x:c>
      <x:c r="V1599" s="16" t="n">
        <x:f>E1599/5</x:f>
        <x:v>20.8</x:v>
      </x:c>
    </x:row>
    <x:row r="1600" ht="22" customHeight="1">
      <x:c r="A1600" s="2" t="n">
        <x:v>798</x:v>
      </x:c>
      <x:c r="B1600" s="2" t="str">
        <x:v>RED</x:v>
      </x:c>
      <x:c r="C1600" s="2" t="str">
        <x:v>160만</x:v>
      </x:c>
      <x:c r="D1600" s="2" t="str">
        <x:v>80만</x:v>
      </x:c>
      <x:c r="E1600" s="14" t="n">
        <x:f>SUM(F1600:M1600)</x:f>
        <x:v>101</x:v>
      </x:c>
      <x:c r="F1600" s="14" t="n">
        <x:v>3</x:v>
      </x:c>
      <x:c r="G1600" s="14" t="n">
        <x:v>14</x:v>
      </x:c>
      <x:c r="H1600" s="14" t="n">
        <x:v>5</x:v>
      </x:c>
      <x:c r="I1600" s="14" t="n">
        <x:v>6</x:v>
      </x:c>
      <x:c r="J1600" s="14" t="n">
        <x:v>2</x:v>
      </x:c>
      <x:c r="K1600" s="14" t="n">
        <x:v>7</x:v>
      </x:c>
      <x:c r="L1600" s="14" t="n">
        <x:v>31</x:v>
      </x:c>
      <x:c r="M1600" s="14" t="n">
        <x:v>33</x:v>
      </x:c>
      <x:c r="N1600" s="15" t="n">
        <x:f>IF(E1600=0,"해당 없음",F1600/E1600)</x:f>
        <x:v>0.0297029702970297</x:v>
      </x:c>
      <x:c r="O1600" s="15" t="n">
        <x:f>IF(E1600=0,"해당 없음",G1600/E1600)</x:f>
        <x:v>0.13861386138613863</x:v>
      </x:c>
      <x:c r="P1600" s="15" t="n">
        <x:f>IF(E1600=0,"해당 없음",H1600/E1600)</x:f>
        <x:v>0.04950495049504951</x:v>
      </x:c>
      <x:c r="Q1600" s="15" t="n">
        <x:f>IF(E1600=0,"해당 없음",I1600/E1600)</x:f>
        <x:v>0.0594059405940594</x:v>
      </x:c>
      <x:c r="R1600" s="15" t="n">
        <x:f>IF(E1600=0,"해당 없음",J1600/E1600)</x:f>
        <x:v>0.019801980198019802</x:v>
      </x:c>
      <x:c r="S1600" s="15" t="n">
        <x:f>IF(E1600=0,"해당 없음",K1600/E1600)</x:f>
        <x:v>0.06930693069306931</x:v>
      </x:c>
      <x:c r="T1600" s="15" t="n">
        <x:f>IF(E1600=0,"해당 없음",L1600/E1600)</x:f>
        <x:v>0.3069306930693069</x:v>
      </x:c>
      <x:c r="U1600" s="15" t="n">
        <x:f>IF(E1600=0,"해당 없음",M1600/E1600)</x:f>
        <x:v>0.32673267326732675</x:v>
      </x:c>
      <x:c r="V1600" s="16" t="n">
        <x:f>E1600/5</x:f>
        <x:v>20.2</x:v>
      </x:c>
    </x:row>
    <x:row r="1601" ht="22" customHeight="1">
      <x:c r="A1601" s="2" t="n">
        <x:v>798</x:v>
      </x:c>
      <x:c r="B1601" s="2" t="str">
        <x:v>NAVY</x:v>
      </x:c>
      <x:c r="C1601" s="2" t="str">
        <x:v>80만</x:v>
      </x:c>
      <x:c r="D1601" s="2" t="str">
        <x:v>160만</x:v>
      </x:c>
      <x:c r="E1601" s="14" t="n">
        <x:f>SUM(F1601:M1601)</x:f>
        <x:v>103</x:v>
      </x:c>
      <x:c r="F1601" s="14" t="n">
        <x:v>3</x:v>
      </x:c>
      <x:c r="G1601" s="14" t="n">
        <x:v>26</x:v>
      </x:c>
      <x:c r="H1601" s="14" t="n">
        <x:v>6</x:v>
      </x:c>
      <x:c r="I1601" s="14" t="n">
        <x:v>6</x:v>
      </x:c>
      <x:c r="J1601" s="14" t="n">
        <x:v>4</x:v>
      </x:c>
      <x:c r="K1601" s="14" t="n">
        <x:v>11</x:v>
      </x:c>
      <x:c r="L1601" s="14" t="n">
        <x:v>32</x:v>
      </x:c>
      <x:c r="M1601" s="14" t="n">
        <x:v>15</x:v>
      </x:c>
      <x:c r="N1601" s="15" t="n">
        <x:f>IF(E1601=0,"해당 없음",F1601/E1601)</x:f>
        <x:v>0.02912621359223301</x:v>
      </x:c>
      <x:c r="O1601" s="15" t="n">
        <x:f>IF(E1601=0,"해당 없음",G1601/E1601)</x:f>
        <x:v>0.2524271844660194</x:v>
      </x:c>
      <x:c r="P1601" s="15" t="n">
        <x:f>IF(E1601=0,"해당 없음",H1601/E1601)</x:f>
        <x:v>0.05825242718446602</x:v>
      </x:c>
      <x:c r="Q1601" s="15" t="n">
        <x:f>IF(E1601=0,"해당 없음",I1601/E1601)</x:f>
        <x:v>0.05825242718446602</x:v>
      </x:c>
      <x:c r="R1601" s="15" t="n">
        <x:f>IF(E1601=0,"해당 없음",J1601/E1601)</x:f>
        <x:v>0.038834951456310676</x:v>
      </x:c>
      <x:c r="S1601" s="15" t="n">
        <x:f>IF(E1601=0,"해당 없음",K1601/E1601)</x:f>
        <x:v>0.10679611650485436</x:v>
      </x:c>
      <x:c r="T1601" s="15" t="n">
        <x:f>IF(E1601=0,"해당 없음",L1601/E1601)</x:f>
        <x:v>0.3106796116504854</x:v>
      </x:c>
      <x:c r="U1601" s="15" t="n">
        <x:f>IF(E1601=0,"해당 없음",M1601/E1601)</x:f>
        <x:v>0.14563106796116504</x:v>
      </x:c>
      <x:c r="V1601" s="16" t="n">
        <x:f>E1601/5</x:f>
        <x:v>20.6</x:v>
      </x:c>
    </x:row>
    <x:row r="1602" ht="22" customHeight="1">
      <x:c r="A1602" s="2" t="n">
        <x:v>799</x:v>
      </x:c>
      <x:c r="B1602" s="2" t="str">
        <x:v>RED</x:v>
      </x:c>
      <x:c r="C1602" s="2" t="str">
        <x:v>80만</x:v>
      </x:c>
      <x:c r="D1602" s="2" t="str">
        <x:v>160만</x:v>
      </x:c>
      <x:c r="E1602" s="14" t="n">
        <x:f>SUM(F1602:M1602)</x:f>
        <x:v>104</x:v>
      </x:c>
      <x:c r="F1602" s="14" t="n">
        <x:v>3</x:v>
      </x:c>
      <x:c r="G1602" s="14" t="n">
        <x:v>23</x:v>
      </x:c>
      <x:c r="H1602" s="14" t="n">
        <x:v>9</x:v>
      </x:c>
      <x:c r="I1602" s="14" t="n">
        <x:v>7</x:v>
      </x:c>
      <x:c r="J1602" s="14" t="n">
        <x:v>3</x:v>
      </x:c>
      <x:c r="K1602" s="14" t="n">
        <x:v>6</x:v>
      </x:c>
      <x:c r="L1602" s="14" t="n">
        <x:v>37</x:v>
      </x:c>
      <x:c r="M1602" s="14" t="n">
        <x:v>16</x:v>
      </x:c>
      <x:c r="N1602" s="15" t="n">
        <x:f>IF(E1602=0,"해당 없음",F1602/E1602)</x:f>
        <x:v>0.028846153846153848</x:v>
      </x:c>
      <x:c r="O1602" s="15" t="n">
        <x:f>IF(E1602=0,"해당 없음",G1602/E1602)</x:f>
        <x:v>0.22115384615384615</x:v>
      </x:c>
      <x:c r="P1602" s="15" t="n">
        <x:f>IF(E1602=0,"해당 없음",H1602/E1602)</x:f>
        <x:v>0.08653846153846154</x:v>
      </x:c>
      <x:c r="Q1602" s="15" t="n">
        <x:f>IF(E1602=0,"해당 없음",I1602/E1602)</x:f>
        <x:v>0.0673076923076923</x:v>
      </x:c>
      <x:c r="R1602" s="15" t="n">
        <x:f>IF(E1602=0,"해당 없음",J1602/E1602)</x:f>
        <x:v>0.028846153846153848</x:v>
      </x:c>
      <x:c r="S1602" s="15" t="n">
        <x:f>IF(E1602=0,"해당 없음",K1602/E1602)</x:f>
        <x:v>0.057692307692307696</x:v>
      </x:c>
      <x:c r="T1602" s="15" t="n">
        <x:f>IF(E1602=0,"해당 없음",L1602/E1602)</x:f>
        <x:v>0.3557692307692308</x:v>
      </x:c>
      <x:c r="U1602" s="15" t="n">
        <x:f>IF(E1602=0,"해당 없음",M1602/E1602)</x:f>
        <x:v>0.15384615384615385</x:v>
      </x:c>
      <x:c r="V1602" s="16" t="n">
        <x:f>E1602/5</x:f>
        <x:v>20.8</x:v>
      </x:c>
    </x:row>
    <x:row r="1603" ht="22" customHeight="1">
      <x:c r="A1603" s="2" t="n">
        <x:v>799</x:v>
      </x:c>
      <x:c r="B1603" s="2" t="str">
        <x:v>NAVY</x:v>
      </x:c>
      <x:c r="C1603" s="2" t="str">
        <x:v>160만</x:v>
      </x:c>
      <x:c r="D1603" s="2" t="str">
        <x:v>80만</x:v>
      </x:c>
      <x:c r="E1603" s="14" t="n">
        <x:f>SUM(F1603:M1603)</x:f>
        <x:v>103</x:v>
      </x:c>
      <x:c r="F1603" s="14" t="n">
        <x:v>5</x:v>
      </x:c>
      <x:c r="G1603" s="14" t="n">
        <x:v>20</x:v>
      </x:c>
      <x:c r="H1603" s="14" t="n">
        <x:v>7</x:v>
      </x:c>
      <x:c r="I1603" s="14" t="n">
        <x:v>4</x:v>
      </x:c>
      <x:c r="J1603" s="14" t="n">
        <x:v>6</x:v>
      </x:c>
      <x:c r="K1603" s="14" t="n">
        <x:v>6</x:v>
      </x:c>
      <x:c r="L1603" s="14" t="n">
        <x:v>34</x:v>
      </x:c>
      <x:c r="M1603" s="14" t="n">
        <x:v>21</x:v>
      </x:c>
      <x:c r="N1603" s="15" t="n">
        <x:f>IF(E1603=0,"해당 없음",F1603/E1603)</x:f>
        <x:v>0.04854368932038835</x:v>
      </x:c>
      <x:c r="O1603" s="15" t="n">
        <x:f>IF(E1603=0,"해당 없음",G1603/E1603)</x:f>
        <x:v>0.1941747572815534</x:v>
      </x:c>
      <x:c r="P1603" s="15" t="n">
        <x:f>IF(E1603=0,"해당 없음",H1603/E1603)</x:f>
        <x:v>0.06796116504854369</x:v>
      </x:c>
      <x:c r="Q1603" s="15" t="n">
        <x:f>IF(E1603=0,"해당 없음",I1603/E1603)</x:f>
        <x:v>0.038834951456310676</x:v>
      </x:c>
      <x:c r="R1603" s="15" t="n">
        <x:f>IF(E1603=0,"해당 없음",J1603/E1603)</x:f>
        <x:v>0.05825242718446602</x:v>
      </x:c>
      <x:c r="S1603" s="15" t="n">
        <x:f>IF(E1603=0,"해당 없음",K1603/E1603)</x:f>
        <x:v>0.05825242718446602</x:v>
      </x:c>
      <x:c r="T1603" s="15" t="n">
        <x:f>IF(E1603=0,"해당 없음",L1603/E1603)</x:f>
        <x:v>0.3300970873786408</x:v>
      </x:c>
      <x:c r="U1603" s="15" t="n">
        <x:f>IF(E1603=0,"해당 없음",M1603/E1603)</x:f>
        <x:v>0.20388349514563106</x:v>
      </x:c>
      <x:c r="V1603" s="16" t="n">
        <x:f>E1603/5</x:f>
        <x:v>20.6</x:v>
      </x:c>
    </x:row>
    <x:row r="1604" ht="22" customHeight="1">
      <x:c r="A1604" s="2" t="n">
        <x:v>800</x:v>
      </x:c>
      <x:c r="B1604" s="2" t="str">
        <x:v>RED</x:v>
      </x:c>
      <x:c r="C1604" s="2" t="str">
        <x:v>160만</x:v>
      </x:c>
      <x:c r="D1604" s="2" t="str">
        <x:v>80만</x:v>
      </x:c>
      <x:c r="E1604" s="14" t="n">
        <x:f>SUM(F1604:M1604)</x:f>
        <x:v>103</x:v>
      </x:c>
      <x:c r="F1604" s="14" t="n">
        <x:v>2</x:v>
      </x:c>
      <x:c r="G1604" s="14" t="n">
        <x:v>12</x:v>
      </x:c>
      <x:c r="H1604" s="14" t="n">
        <x:v>9</x:v>
      </x:c>
      <x:c r="I1604" s="14" t="n">
        <x:v>6</x:v>
      </x:c>
      <x:c r="J1604" s="14" t="n">
        <x:v>6</x:v>
      </x:c>
      <x:c r="K1604" s="14" t="n">
        <x:v>5</x:v>
      </x:c>
      <x:c r="L1604" s="14" t="n">
        <x:v>37</x:v>
      </x:c>
      <x:c r="M1604" s="14" t="n">
        <x:v>26</x:v>
      </x:c>
      <x:c r="N1604" s="15" t="n">
        <x:f>IF(E1604=0,"해당 없음",F1604/E1604)</x:f>
        <x:v>0.019417475728155338</x:v>
      </x:c>
      <x:c r="O1604" s="15" t="n">
        <x:f>IF(E1604=0,"해당 없음",G1604/E1604)</x:f>
        <x:v>0.11650485436893204</x:v>
      </x:c>
      <x:c r="P1604" s="15" t="n">
        <x:f>IF(E1604=0,"해당 없음",H1604/E1604)</x:f>
        <x:v>0.08737864077669903</x:v>
      </x:c>
      <x:c r="Q1604" s="15" t="n">
        <x:f>IF(E1604=0,"해당 없음",I1604/E1604)</x:f>
        <x:v>0.05825242718446602</x:v>
      </x:c>
      <x:c r="R1604" s="15" t="n">
        <x:f>IF(E1604=0,"해당 없음",J1604/E1604)</x:f>
        <x:v>0.05825242718446602</x:v>
      </x:c>
      <x:c r="S1604" s="15" t="n">
        <x:f>IF(E1604=0,"해당 없음",K1604/E1604)</x:f>
        <x:v>0.04854368932038835</x:v>
      </x:c>
      <x:c r="T1604" s="15" t="n">
        <x:f>IF(E1604=0,"해당 없음",L1604/E1604)</x:f>
        <x:v>0.3592233009708738</x:v>
      </x:c>
      <x:c r="U1604" s="15" t="n">
        <x:f>IF(E1604=0,"해당 없음",M1604/E1604)</x:f>
        <x:v>0.2524271844660194</x:v>
      </x:c>
      <x:c r="V1604" s="16" t="n">
        <x:f>E1604/5</x:f>
        <x:v>20.6</x:v>
      </x:c>
    </x:row>
    <x:row r="1605" ht="22" customHeight="1">
      <x:c r="A1605" s="2" t="n">
        <x:v>800</x:v>
      </x:c>
      <x:c r="B1605" s="2" t="str">
        <x:v>NAVY</x:v>
      </x:c>
      <x:c r="C1605" s="2" t="str">
        <x:v>80만</x:v>
      </x:c>
      <x:c r="D1605" s="2" t="str">
        <x:v>160만</x:v>
      </x:c>
      <x:c r="E1605" s="14" t="n">
        <x:f>SUM(F1605:M1605)</x:f>
        <x:v>103</x:v>
      </x:c>
      <x:c r="F1605" s="14" t="n">
        <x:v>5</x:v>
      </x:c>
      <x:c r="G1605" s="14" t="n">
        <x:v>21</x:v>
      </x:c>
      <x:c r="H1605" s="14" t="n">
        <x:v>11</x:v>
      </x:c>
      <x:c r="I1605" s="14" t="n">
        <x:v>4</x:v>
      </x:c>
      <x:c r="J1605" s="14" t="n">
        <x:v>2</x:v>
      </x:c>
      <x:c r="K1605" s="14" t="n">
        <x:v>9</x:v>
      </x:c>
      <x:c r="L1605" s="14" t="n">
        <x:v>40</x:v>
      </x:c>
      <x:c r="M1605" s="14" t="n">
        <x:v>11</x:v>
      </x:c>
      <x:c r="N1605" s="15" t="n">
        <x:f>IF(E1605=0,"해당 없음",F1605/E1605)</x:f>
        <x:v>0.04854368932038835</x:v>
      </x:c>
      <x:c r="O1605" s="15" t="n">
        <x:f>IF(E1605=0,"해당 없음",G1605/E1605)</x:f>
        <x:v>0.20388349514563106</x:v>
      </x:c>
      <x:c r="P1605" s="15" t="n">
        <x:f>IF(E1605=0,"해당 없음",H1605/E1605)</x:f>
        <x:v>0.10679611650485436</x:v>
      </x:c>
      <x:c r="Q1605" s="15" t="n">
        <x:f>IF(E1605=0,"해당 없음",I1605/E1605)</x:f>
        <x:v>0.038834951456310676</x:v>
      </x:c>
      <x:c r="R1605" s="15" t="n">
        <x:f>IF(E1605=0,"해당 없음",J1605/E1605)</x:f>
        <x:v>0.019417475728155338</x:v>
      </x:c>
      <x:c r="S1605" s="15" t="n">
        <x:f>IF(E1605=0,"해당 없음",K1605/E1605)</x:f>
        <x:v>0.08737864077669903</x:v>
      </x:c>
      <x:c r="T1605" s="15" t="n">
        <x:f>IF(E1605=0,"해당 없음",L1605/E1605)</x:f>
        <x:v>0.3883495145631068</x:v>
      </x:c>
      <x:c r="U1605" s="15" t="n">
        <x:f>IF(E1605=0,"해당 없음",M1605/E1605)</x:f>
        <x:v>0.10679611650485436</x:v>
      </x:c>
      <x:c r="V1605" s="16" t="n">
        <x:f>E1605/5</x:f>
        <x:v>20.6</x:v>
      </x:c>
    </x:row>
    <x:row r="1606" ht="22" customHeight="1">
      <x:c r="A1606" s="2" t="n">
        <x:v>801</x:v>
      </x:c>
      <x:c r="B1606" s="2" t="str">
        <x:v>RED</x:v>
      </x:c>
      <x:c r="C1606" s="2" t="str">
        <x:v>80만</x:v>
      </x:c>
      <x:c r="D1606" s="2" t="str">
        <x:v>200만</x:v>
      </x:c>
      <x:c r="E1606" s="14" t="n">
        <x:f>SUM(F1606:M1606)</x:f>
        <x:v>104</x:v>
      </x:c>
      <x:c r="F1606" s="14" t="n">
        <x:v>3</x:v>
      </x:c>
      <x:c r="G1606" s="14" t="n">
        <x:v>19</x:v>
      </x:c>
      <x:c r="H1606" s="14" t="n">
        <x:v>5</x:v>
      </x:c>
      <x:c r="I1606" s="14" t="n">
        <x:v>5</x:v>
      </x:c>
      <x:c r="J1606" s="14" t="n">
        <x:v>3</x:v>
      </x:c>
      <x:c r="K1606" s="14" t="n">
        <x:v>12</x:v>
      </x:c>
      <x:c r="L1606" s="14" t="n">
        <x:v>40</x:v>
      </x:c>
      <x:c r="M1606" s="14" t="n">
        <x:v>17</x:v>
      </x:c>
      <x:c r="N1606" s="15" t="n">
        <x:f>IF(E1606=0,"해당 없음",F1606/E1606)</x:f>
        <x:v>0.028846153846153848</x:v>
      </x:c>
      <x:c r="O1606" s="15" t="n">
        <x:f>IF(E1606=0,"해당 없음",G1606/E1606)</x:f>
        <x:v>0.18269230769230768</x:v>
      </x:c>
      <x:c r="P1606" s="15" t="n">
        <x:f>IF(E1606=0,"해당 없음",H1606/E1606)</x:f>
        <x:v>0.04807692307692308</x:v>
      </x:c>
      <x:c r="Q1606" s="15" t="n">
        <x:f>IF(E1606=0,"해당 없음",I1606/E1606)</x:f>
        <x:v>0.04807692307692308</x:v>
      </x:c>
      <x:c r="R1606" s="15" t="n">
        <x:f>IF(E1606=0,"해당 없음",J1606/E1606)</x:f>
        <x:v>0.028846153846153848</x:v>
      </x:c>
      <x:c r="S1606" s="15" t="n">
        <x:f>IF(E1606=0,"해당 없음",K1606/E1606)</x:f>
        <x:v>0.11538461538461539</x:v>
      </x:c>
      <x:c r="T1606" s="15" t="n">
        <x:f>IF(E1606=0,"해당 없음",L1606/E1606)</x:f>
        <x:v>0.38461538461538464</x:v>
      </x:c>
      <x:c r="U1606" s="15" t="n">
        <x:f>IF(E1606=0,"해당 없음",M1606/E1606)</x:f>
        <x:v>0.16346153846153846</x:v>
      </x:c>
      <x:c r="V1606" s="16" t="n">
        <x:f>E1606/5</x:f>
        <x:v>20.8</x:v>
      </x:c>
    </x:row>
    <x:row r="1607" ht="22" customHeight="1">
      <x:c r="A1607" s="2" t="n">
        <x:v>801</x:v>
      </x:c>
      <x:c r="B1607" s="2" t="str">
        <x:v>NAVY</x:v>
      </x:c>
      <x:c r="C1607" s="2" t="str">
        <x:v>200만</x:v>
      </x:c>
      <x:c r="D1607" s="2" t="str">
        <x:v>80만</x:v>
      </x:c>
      <x:c r="E1607" s="14" t="n">
        <x:f>SUM(F1607:M1607)</x:f>
        <x:v>103</x:v>
      </x:c>
      <x:c r="F1607" s="14" t="n">
        <x:v>5</x:v>
      </x:c>
      <x:c r="G1607" s="14" t="n">
        <x:v>18</x:v>
      </x:c>
      <x:c r="H1607" s="14" t="n">
        <x:v>3</x:v>
      </x:c>
      <x:c r="I1607" s="14" t="n">
        <x:v>4</x:v>
      </x:c>
      <x:c r="J1607" s="14" t="n">
        <x:v>3</x:v>
      </x:c>
      <x:c r="K1607" s="14" t="n">
        <x:v>8</x:v>
      </x:c>
      <x:c r="L1607" s="14" t="n">
        <x:v>34</x:v>
      </x:c>
      <x:c r="M1607" s="14" t="n">
        <x:v>28</x:v>
      </x:c>
      <x:c r="N1607" s="15" t="n">
        <x:f>IF(E1607=0,"해당 없음",F1607/E1607)</x:f>
        <x:v>0.04854368932038835</x:v>
      </x:c>
      <x:c r="O1607" s="15" t="n">
        <x:f>IF(E1607=0,"해당 없음",G1607/E1607)</x:f>
        <x:v>0.17475728155339806</x:v>
      </x:c>
      <x:c r="P1607" s="15" t="n">
        <x:f>IF(E1607=0,"해당 없음",H1607/E1607)</x:f>
        <x:v>0.02912621359223301</x:v>
      </x:c>
      <x:c r="Q1607" s="15" t="n">
        <x:f>IF(E1607=0,"해당 없음",I1607/E1607)</x:f>
        <x:v>0.038834951456310676</x:v>
      </x:c>
      <x:c r="R1607" s="15" t="n">
        <x:f>IF(E1607=0,"해당 없음",J1607/E1607)</x:f>
        <x:v>0.02912621359223301</x:v>
      </x:c>
      <x:c r="S1607" s="15" t="n">
        <x:f>IF(E1607=0,"해당 없음",K1607/E1607)</x:f>
        <x:v>0.07766990291262135</x:v>
      </x:c>
      <x:c r="T1607" s="15" t="n">
        <x:f>IF(E1607=0,"해당 없음",L1607/E1607)</x:f>
        <x:v>0.3300970873786408</x:v>
      </x:c>
      <x:c r="U1607" s="15" t="n">
        <x:f>IF(E1607=0,"해당 없음",M1607/E1607)</x:f>
        <x:v>0.27184466019417475</x:v>
      </x:c>
      <x:c r="V1607" s="16" t="n">
        <x:f>E1607/5</x:f>
        <x:v>20.6</x:v>
      </x:c>
    </x:row>
    <x:row r="1608" ht="22" customHeight="1">
      <x:c r="A1608" s="2" t="n">
        <x:v>802</x:v>
      </x:c>
      <x:c r="B1608" s="2" t="str">
        <x:v>RED</x:v>
      </x:c>
      <x:c r="C1608" s="2" t="str">
        <x:v>200만</x:v>
      </x:c>
      <x:c r="D1608" s="2" t="str">
        <x:v>80만</x:v>
      </x:c>
      <x:c r="E1608" s="14" t="n">
        <x:f>SUM(F1608:M1608)</x:f>
        <x:v>103</x:v>
      </x:c>
      <x:c r="F1608" s="14" t="n">
        <x:v>2</x:v>
      </x:c>
      <x:c r="G1608" s="14" t="n">
        <x:v>18</x:v>
      </x:c>
      <x:c r="H1608" s="14" t="n">
        <x:v>2</x:v>
      </x:c>
      <x:c r="I1608" s="14" t="n">
        <x:v>0</x:v>
      </x:c>
      <x:c r="J1608" s="14" t="n">
        <x:v>1</x:v>
      </x:c>
      <x:c r="K1608" s="14" t="n">
        <x:v>9</x:v>
      </x:c>
      <x:c r="L1608" s="14" t="n">
        <x:v>29</x:v>
      </x:c>
      <x:c r="M1608" s="14" t="n">
        <x:v>42</x:v>
      </x:c>
      <x:c r="N1608" s="15" t="n">
        <x:f>IF(E1608=0,"해당 없음",F1608/E1608)</x:f>
        <x:v>0.019417475728155338</x:v>
      </x:c>
      <x:c r="O1608" s="15" t="n">
        <x:f>IF(E1608=0,"해당 없음",G1608/E1608)</x:f>
        <x:v>0.17475728155339806</x:v>
      </x:c>
      <x:c r="P1608" s="15" t="n">
        <x:f>IF(E1608=0,"해당 없음",H1608/E1608)</x:f>
        <x:v>0.019417475728155338</x:v>
      </x:c>
      <x:c r="Q1608" s="15" t="n">
        <x:f>IF(E1608=0,"해당 없음",I1608/E1608)</x:f>
        <x:v>0</x:v>
      </x:c>
      <x:c r="R1608" s="15" t="n">
        <x:f>IF(E1608=0,"해당 없음",J1608/E1608)</x:f>
        <x:v>0.009708737864077669</x:v>
      </x:c>
      <x:c r="S1608" s="15" t="n">
        <x:f>IF(E1608=0,"해당 없음",K1608/E1608)</x:f>
        <x:v>0.08737864077669903</x:v>
      </x:c>
      <x:c r="T1608" s="15" t="n">
        <x:f>IF(E1608=0,"해당 없음",L1608/E1608)</x:f>
        <x:v>0.2815533980582524</x:v>
      </x:c>
      <x:c r="U1608" s="15" t="n">
        <x:f>IF(E1608=0,"해당 없음",M1608/E1608)</x:f>
        <x:v>0.4077669902912621</x:v>
      </x:c>
      <x:c r="V1608" s="16" t="n">
        <x:f>E1608/5</x:f>
        <x:v>20.6</x:v>
      </x:c>
    </x:row>
    <x:row r="1609" ht="22" customHeight="1">
      <x:c r="A1609" s="2" t="n">
        <x:v>802</x:v>
      </x:c>
      <x:c r="B1609" s="2" t="str">
        <x:v>NAVY</x:v>
      </x:c>
      <x:c r="C1609" s="2" t="str">
        <x:v>80만</x:v>
      </x:c>
      <x:c r="D1609" s="2" t="str">
        <x:v>200만</x:v>
      </x:c>
      <x:c r="E1609" s="14" t="n">
        <x:f>SUM(F1609:M1609)</x:f>
        <x:v>104</x:v>
      </x:c>
      <x:c r="F1609" s="14" t="n">
        <x:v>6</x:v>
      </x:c>
      <x:c r="G1609" s="14" t="n">
        <x:v>12</x:v>
      </x:c>
      <x:c r="H1609" s="14" t="n">
        <x:v>6</x:v>
      </x:c>
      <x:c r="I1609" s="14" t="n">
        <x:v>9</x:v>
      </x:c>
      <x:c r="J1609" s="14" t="n">
        <x:v>2</x:v>
      </x:c>
      <x:c r="K1609" s="14" t="n">
        <x:v>10</x:v>
      </x:c>
      <x:c r="L1609" s="14" t="n">
        <x:v>43</x:v>
      </x:c>
      <x:c r="M1609" s="14" t="n">
        <x:v>16</x:v>
      </x:c>
      <x:c r="N1609" s="15" t="n">
        <x:f>IF(E1609=0,"해당 없음",F1609/E1609)</x:f>
        <x:v>0.057692307692307696</x:v>
      </x:c>
      <x:c r="O1609" s="15" t="n">
        <x:f>IF(E1609=0,"해당 없음",G1609/E1609)</x:f>
        <x:v>0.11538461538461539</x:v>
      </x:c>
      <x:c r="P1609" s="15" t="n">
        <x:f>IF(E1609=0,"해당 없음",H1609/E1609)</x:f>
        <x:v>0.057692307692307696</x:v>
      </x:c>
      <x:c r="Q1609" s="15" t="n">
        <x:f>IF(E1609=0,"해당 없음",I1609/E1609)</x:f>
        <x:v>0.08653846153846154</x:v>
      </x:c>
      <x:c r="R1609" s="15" t="n">
        <x:f>IF(E1609=0,"해당 없음",J1609/E1609)</x:f>
        <x:v>0.019230769230769232</x:v>
      </x:c>
      <x:c r="S1609" s="15" t="n">
        <x:f>IF(E1609=0,"해당 없음",K1609/E1609)</x:f>
        <x:v>0.09615384615384616</x:v>
      </x:c>
      <x:c r="T1609" s="15" t="n">
        <x:f>IF(E1609=0,"해당 없음",L1609/E1609)</x:f>
        <x:v>0.41346153846153844</x:v>
      </x:c>
      <x:c r="U1609" s="15" t="n">
        <x:f>IF(E1609=0,"해당 없음",M1609/E1609)</x:f>
        <x:v>0.15384615384615385</x:v>
      </x:c>
      <x:c r="V1609" s="16" t="n">
        <x:f>E1609/5</x:f>
        <x:v>20.8</x:v>
      </x:c>
    </x:row>
    <x:row r="1610" ht="22" customHeight="1">
      <x:c r="A1610" s="2" t="n">
        <x:v>803</x:v>
      </x:c>
      <x:c r="B1610" s="2" t="str">
        <x:v>RED</x:v>
      </x:c>
      <x:c r="C1610" s="2" t="str">
        <x:v>80만</x:v>
      </x:c>
      <x:c r="D1610" s="2" t="str">
        <x:v>200만</x:v>
      </x:c>
      <x:c r="E1610" s="14" t="n">
        <x:f>SUM(F1610:M1610)</x:f>
        <x:v>107</x:v>
      </x:c>
      <x:c r="F1610" s="14" t="n">
        <x:v>5</x:v>
      </x:c>
      <x:c r="G1610" s="14" t="n">
        <x:v>17</x:v>
      </x:c>
      <x:c r="H1610" s="14" t="n">
        <x:v>10</x:v>
      </x:c>
      <x:c r="I1610" s="14" t="n">
        <x:v>5</x:v>
      </x:c>
      <x:c r="J1610" s="14" t="n">
        <x:v>3</x:v>
      </x:c>
      <x:c r="K1610" s="14" t="n">
        <x:v>15</x:v>
      </x:c>
      <x:c r="L1610" s="14" t="n">
        <x:v>40</x:v>
      </x:c>
      <x:c r="M1610" s="14" t="n">
        <x:v>12</x:v>
      </x:c>
      <x:c r="N1610" s="15" t="n">
        <x:f>IF(E1610=0,"해당 없음",F1610/E1610)</x:f>
        <x:v>0.04672897196261682</x:v>
      </x:c>
      <x:c r="O1610" s="15" t="n">
        <x:f>IF(E1610=0,"해당 없음",G1610/E1610)</x:f>
        <x:v>0.1588785046728972</x:v>
      </x:c>
      <x:c r="P1610" s="15" t="n">
        <x:f>IF(E1610=0,"해당 없음",H1610/E1610)</x:f>
        <x:v>0.09345794392523364</x:v>
      </x:c>
      <x:c r="Q1610" s="15" t="n">
        <x:f>IF(E1610=0,"해당 없음",I1610/E1610)</x:f>
        <x:v>0.04672897196261682</x:v>
      </x:c>
      <x:c r="R1610" s="15" t="n">
        <x:f>IF(E1610=0,"해당 없음",J1610/E1610)</x:f>
        <x:v>0.028037383177570093</x:v>
      </x:c>
      <x:c r="S1610" s="15" t="n">
        <x:f>IF(E1610=0,"해당 없음",K1610/E1610)</x:f>
        <x:v>0.14018691588785046</x:v>
      </x:c>
      <x:c r="T1610" s="15" t="n">
        <x:f>IF(E1610=0,"해당 없음",L1610/E1610)</x:f>
        <x:v>0.37383177570093457</x:v>
      </x:c>
      <x:c r="U1610" s="15" t="n">
        <x:f>IF(E1610=0,"해당 없음",M1610/E1610)</x:f>
        <x:v>0.11214953271028037</x:v>
      </x:c>
      <x:c r="V1610" s="16" t="n">
        <x:f>E1610/5</x:f>
        <x:v>21.4</x:v>
      </x:c>
    </x:row>
    <x:row r="1611" ht="22" customHeight="1">
      <x:c r="A1611" s="2" t="n">
        <x:v>803</x:v>
      </x:c>
      <x:c r="B1611" s="2" t="str">
        <x:v>NAVY</x:v>
      </x:c>
      <x:c r="C1611" s="2" t="str">
        <x:v>200만</x:v>
      </x:c>
      <x:c r="D1611" s="2" t="str">
        <x:v>80만</x:v>
      </x:c>
      <x:c r="E1611" s="14" t="n">
        <x:f>SUM(F1611:M1611)</x:f>
        <x:v>107</x:v>
      </x:c>
      <x:c r="F1611" s="14" t="n">
        <x:v>4</x:v>
      </x:c>
      <x:c r="G1611" s="14" t="n">
        <x:v>14</x:v>
      </x:c>
      <x:c r="H1611" s="14" t="n">
        <x:v>3</x:v>
      </x:c>
      <x:c r="I1611" s="14" t="n">
        <x:v>1</x:v>
      </x:c>
      <x:c r="J1611" s="14" t="n">
        <x:v>11</x:v>
      </x:c>
      <x:c r="K1611" s="14" t="n">
        <x:v>6</x:v>
      </x:c>
      <x:c r="L1611" s="14" t="n">
        <x:v>36</x:v>
      </x:c>
      <x:c r="M1611" s="14" t="n">
        <x:v>32</x:v>
      </x:c>
      <x:c r="N1611" s="15" t="n">
        <x:f>IF(E1611=0,"해당 없음",F1611/E1611)</x:f>
        <x:v>0.037383177570093455</x:v>
      </x:c>
      <x:c r="O1611" s="15" t="n">
        <x:f>IF(E1611=0,"해당 없음",G1611/E1611)</x:f>
        <x:v>0.1308411214953271</x:v>
      </x:c>
      <x:c r="P1611" s="15" t="n">
        <x:f>IF(E1611=0,"해당 없음",H1611/E1611)</x:f>
        <x:v>0.028037383177570093</x:v>
      </x:c>
      <x:c r="Q1611" s="15" t="n">
        <x:f>IF(E1611=0,"해당 없음",I1611/E1611)</x:f>
        <x:v>0.009345794392523364</x:v>
      </x:c>
      <x:c r="R1611" s="15" t="n">
        <x:f>IF(E1611=0,"해당 없음",J1611/E1611)</x:f>
        <x:v>0.102803738317757</x:v>
      </x:c>
      <x:c r="S1611" s="15" t="n">
        <x:f>IF(E1611=0,"해당 없음",K1611/E1611)</x:f>
        <x:v>0.056074766355140186</x:v>
      </x:c>
      <x:c r="T1611" s="15" t="n">
        <x:f>IF(E1611=0,"해당 없음",L1611/E1611)</x:f>
        <x:v>0.3364485981308411</x:v>
      </x:c>
      <x:c r="U1611" s="15" t="n">
        <x:f>IF(E1611=0,"해당 없음",M1611/E1611)</x:f>
        <x:v>0.29906542056074764</x:v>
      </x:c>
      <x:c r="V1611" s="16" t="n">
        <x:f>E1611/5</x:f>
        <x:v>21.4</x:v>
      </x:c>
    </x:row>
    <x:row r="1612" ht="22" customHeight="1">
      <x:c r="A1612" s="2" t="n">
        <x:v>804</x:v>
      </x:c>
      <x:c r="B1612" s="2" t="str">
        <x:v>RED</x:v>
      </x:c>
      <x:c r="C1612" s="2" t="str">
        <x:v>200만</x:v>
      </x:c>
      <x:c r="D1612" s="2" t="str">
        <x:v>80만</x:v>
      </x:c>
      <x:c r="E1612" s="14" t="n">
        <x:f>SUM(F1612:M1612)</x:f>
        <x:v>105</x:v>
      </x:c>
      <x:c r="F1612" s="14" t="n">
        <x:v>2</x:v>
      </x:c>
      <x:c r="G1612" s="14" t="n">
        <x:v>7</x:v>
      </x:c>
      <x:c r="H1612" s="14" t="n">
        <x:v>3</x:v>
      </x:c>
      <x:c r="I1612" s="14" t="n">
        <x:v>12</x:v>
      </x:c>
      <x:c r="J1612" s="14" t="n">
        <x:v>5</x:v>
      </x:c>
      <x:c r="K1612" s="14" t="n">
        <x:v>8</x:v>
      </x:c>
      <x:c r="L1612" s="14" t="n">
        <x:v>35</x:v>
      </x:c>
      <x:c r="M1612" s="14" t="n">
        <x:v>33</x:v>
      </x:c>
      <x:c r="N1612" s="15" t="n">
        <x:f>IF(E1612=0,"해당 없음",F1612/E1612)</x:f>
        <x:v>0.01904761904761905</x:v>
      </x:c>
      <x:c r="O1612" s="15" t="n">
        <x:f>IF(E1612=0,"해당 없음",G1612/E1612)</x:f>
        <x:v>0.06666666666666667</x:v>
      </x:c>
      <x:c r="P1612" s="15" t="n">
        <x:f>IF(E1612=0,"해당 없음",H1612/E1612)</x:f>
        <x:v>0.02857142857142857</x:v>
      </x:c>
      <x:c r="Q1612" s="15" t="n">
        <x:f>IF(E1612=0,"해당 없음",I1612/E1612)</x:f>
        <x:v>0.11428571428571428</x:v>
      </x:c>
      <x:c r="R1612" s="15" t="n">
        <x:f>IF(E1612=0,"해당 없음",J1612/E1612)</x:f>
        <x:v>0.047619047619047616</x:v>
      </x:c>
      <x:c r="S1612" s="15" t="n">
        <x:f>IF(E1612=0,"해당 없음",K1612/E1612)</x:f>
        <x:v>0.0761904761904762</x:v>
      </x:c>
      <x:c r="T1612" s="15" t="n">
        <x:f>IF(E1612=0,"해당 없음",L1612/E1612)</x:f>
        <x:v>0.3333333333333333</x:v>
      </x:c>
      <x:c r="U1612" s="15" t="n">
        <x:f>IF(E1612=0,"해당 없음",M1612/E1612)</x:f>
        <x:v>0.3142857142857143</x:v>
      </x:c>
      <x:c r="V1612" s="16" t="n">
        <x:f>E1612/5</x:f>
        <x:v>21</x:v>
      </x:c>
    </x:row>
    <x:row r="1613" ht="22" customHeight="1">
      <x:c r="A1613" s="2" t="n">
        <x:v>804</x:v>
      </x:c>
      <x:c r="B1613" s="2" t="str">
        <x:v>NAVY</x:v>
      </x:c>
      <x:c r="C1613" s="2" t="str">
        <x:v>80만</x:v>
      </x:c>
      <x:c r="D1613" s="2" t="str">
        <x:v>200만</x:v>
      </x:c>
      <x:c r="E1613" s="14" t="n">
        <x:f>SUM(F1613:M1613)</x:f>
        <x:v>105</x:v>
      </x:c>
      <x:c r="F1613" s="14" t="n">
        <x:v>5</x:v>
      </x:c>
      <x:c r="G1613" s="14" t="n">
        <x:v>20</x:v>
      </x:c>
      <x:c r="H1613" s="14" t="n">
        <x:v>8</x:v>
      </x:c>
      <x:c r="I1613" s="14" t="n">
        <x:v>10</x:v>
      </x:c>
      <x:c r="J1613" s="14" t="n">
        <x:v>1</x:v>
      </x:c>
      <x:c r="K1613" s="14" t="n">
        <x:v>5</x:v>
      </x:c>
      <x:c r="L1613" s="14" t="n">
        <x:v>39</x:v>
      </x:c>
      <x:c r="M1613" s="14" t="n">
        <x:v>17</x:v>
      </x:c>
      <x:c r="N1613" s="15" t="n">
        <x:f>IF(E1613=0,"해당 없음",F1613/E1613)</x:f>
        <x:v>0.047619047619047616</x:v>
      </x:c>
      <x:c r="O1613" s="15" t="n">
        <x:f>IF(E1613=0,"해당 없음",G1613/E1613)</x:f>
        <x:v>0.19047619047619047</x:v>
      </x:c>
      <x:c r="P1613" s="15" t="n">
        <x:f>IF(E1613=0,"해당 없음",H1613/E1613)</x:f>
        <x:v>0.0761904761904762</x:v>
      </x:c>
      <x:c r="Q1613" s="15" t="n">
        <x:f>IF(E1613=0,"해당 없음",I1613/E1613)</x:f>
        <x:v>0.09523809523809523</x:v>
      </x:c>
      <x:c r="R1613" s="15" t="n">
        <x:f>IF(E1613=0,"해당 없음",J1613/E1613)</x:f>
        <x:v>0.009523809523809525</x:v>
      </x:c>
      <x:c r="S1613" s="15" t="n">
        <x:f>IF(E1613=0,"해당 없음",K1613/E1613)</x:f>
        <x:v>0.047619047619047616</x:v>
      </x:c>
      <x:c r="T1613" s="15" t="n">
        <x:f>IF(E1613=0,"해당 없음",L1613/E1613)</x:f>
        <x:v>0.37142857142857144</x:v>
      </x:c>
      <x:c r="U1613" s="15" t="n">
        <x:f>IF(E1613=0,"해당 없음",M1613/E1613)</x:f>
        <x:v>0.1619047619047619</x:v>
      </x:c>
      <x:c r="V1613" s="16" t="n">
        <x:f>E1613/5</x:f>
        <x:v>21</x:v>
      </x:c>
    </x:row>
    <x:row r="1614" ht="22" customHeight="1">
      <x:c r="A1614" s="2" t="n">
        <x:v>805</x:v>
      </x:c>
      <x:c r="B1614" s="2" t="str">
        <x:v>RED</x:v>
      </x:c>
      <x:c r="C1614" s="2" t="str">
        <x:v>80만</x:v>
      </x:c>
      <x:c r="D1614" s="2" t="str">
        <x:v>200만</x:v>
      </x:c>
      <x:c r="E1614" s="14" t="n">
        <x:f>SUM(F1614:M1614)</x:f>
        <x:v>102</x:v>
      </x:c>
      <x:c r="F1614" s="14" t="n">
        <x:v>7</x:v>
      </x:c>
      <x:c r="G1614" s="14" t="n">
        <x:v>20</x:v>
      </x:c>
      <x:c r="H1614" s="14" t="n">
        <x:v>8</x:v>
      </x:c>
      <x:c r="I1614" s="14" t="n">
        <x:v>5</x:v>
      </x:c>
      <x:c r="J1614" s="14" t="n">
        <x:v>3</x:v>
      </x:c>
      <x:c r="K1614" s="14" t="n">
        <x:v>17</x:v>
      </x:c>
      <x:c r="L1614" s="14" t="n">
        <x:v>31</x:v>
      </x:c>
      <x:c r="M1614" s="14" t="n">
        <x:v>11</x:v>
      </x:c>
      <x:c r="N1614" s="15" t="n">
        <x:f>IF(E1614=0,"해당 없음",F1614/E1614)</x:f>
        <x:v>0.06862745098039216</x:v>
      </x:c>
      <x:c r="O1614" s="15" t="n">
        <x:f>IF(E1614=0,"해당 없음",G1614/E1614)</x:f>
        <x:v>0.19607843137254902</x:v>
      </x:c>
      <x:c r="P1614" s="15" t="n">
        <x:f>IF(E1614=0,"해당 없음",H1614/E1614)</x:f>
        <x:v>0.0784313725490196</x:v>
      </x:c>
      <x:c r="Q1614" s="15" t="n">
        <x:f>IF(E1614=0,"해당 없음",I1614/E1614)</x:f>
        <x:v>0.049019607843137254</x:v>
      </x:c>
      <x:c r="R1614" s="15" t="n">
        <x:f>IF(E1614=0,"해당 없음",J1614/E1614)</x:f>
        <x:v>0.029411764705882353</x:v>
      </x:c>
      <x:c r="S1614" s="15" t="n">
        <x:f>IF(E1614=0,"해당 없음",K1614/E1614)</x:f>
        <x:v>0.16666666666666666</x:v>
      </x:c>
      <x:c r="T1614" s="15" t="n">
        <x:f>IF(E1614=0,"해당 없음",L1614/E1614)</x:f>
        <x:v>0.30392156862745096</x:v>
      </x:c>
      <x:c r="U1614" s="15" t="n">
        <x:f>IF(E1614=0,"해당 없음",M1614/E1614)</x:f>
        <x:v>0.10784313725490197</x:v>
      </x:c>
      <x:c r="V1614" s="16" t="n">
        <x:f>E1614/5</x:f>
        <x:v>20.4</x:v>
      </x:c>
    </x:row>
    <x:row r="1615" ht="22" customHeight="1">
      <x:c r="A1615" s="2" t="n">
        <x:v>805</x:v>
      </x:c>
      <x:c r="B1615" s="2" t="str">
        <x:v>NAVY</x:v>
      </x:c>
      <x:c r="C1615" s="2" t="str">
        <x:v>200만</x:v>
      </x:c>
      <x:c r="D1615" s="2" t="str">
        <x:v>80만</x:v>
      </x:c>
      <x:c r="E1615" s="14" t="n">
        <x:f>SUM(F1615:M1615)</x:f>
        <x:v>100</x:v>
      </x:c>
      <x:c r="F1615" s="14" t="n">
        <x:v>4</x:v>
      </x:c>
      <x:c r="G1615" s="14" t="n">
        <x:v>24</x:v>
      </x:c>
      <x:c r="H1615" s="14" t="n">
        <x:v>3</x:v>
      </x:c>
      <x:c r="I1615" s="14" t="n">
        <x:v>2</x:v>
      </x:c>
      <x:c r="J1615" s="14" t="n">
        <x:v>2</x:v>
      </x:c>
      <x:c r="K1615" s="14" t="n">
        <x:v>5</x:v>
      </x:c>
      <x:c r="L1615" s="14" t="n">
        <x:v>28</x:v>
      </x:c>
      <x:c r="M1615" s="14" t="n">
        <x:v>32</x:v>
      </x:c>
      <x:c r="N1615" s="15" t="n">
        <x:f>IF(E1615=0,"해당 없음",F1615/E1615)</x:f>
        <x:v>0.04</x:v>
      </x:c>
      <x:c r="O1615" s="15" t="n">
        <x:f>IF(E1615=0,"해당 없음",G1615/E1615)</x:f>
        <x:v>0.24</x:v>
      </x:c>
      <x:c r="P1615" s="15" t="n">
        <x:f>IF(E1615=0,"해당 없음",H1615/E1615)</x:f>
        <x:v>0.03</x:v>
      </x:c>
      <x:c r="Q1615" s="15" t="n">
        <x:f>IF(E1615=0,"해당 없음",I1615/E1615)</x:f>
        <x:v>0.02</x:v>
      </x:c>
      <x:c r="R1615" s="15" t="n">
        <x:f>IF(E1615=0,"해당 없음",J1615/E1615)</x:f>
        <x:v>0.02</x:v>
      </x:c>
      <x:c r="S1615" s="15" t="n">
        <x:f>IF(E1615=0,"해당 없음",K1615/E1615)</x:f>
        <x:v>0.05</x:v>
      </x:c>
      <x:c r="T1615" s="15" t="n">
        <x:f>IF(E1615=0,"해당 없음",L1615/E1615)</x:f>
        <x:v>0.28</x:v>
      </x:c>
      <x:c r="U1615" s="15" t="n">
        <x:f>IF(E1615=0,"해당 없음",M1615/E1615)</x:f>
        <x:v>0.32</x:v>
      </x:c>
      <x:c r="V1615" s="16" t="n">
        <x:f>E1615/5</x:f>
        <x:v>20</x:v>
      </x:c>
    </x:row>
    <x:row r="1616" ht="22" customHeight="1">
      <x:c r="A1616" s="2" t="n">
        <x:v>806</x:v>
      </x:c>
      <x:c r="B1616" s="2" t="str">
        <x:v>RED</x:v>
      </x:c>
      <x:c r="C1616" s="2" t="str">
        <x:v>200만</x:v>
      </x:c>
      <x:c r="D1616" s="2" t="str">
        <x:v>80만</x:v>
      </x:c>
      <x:c r="E1616" s="14" t="n">
        <x:f>SUM(F1616:M1616)</x:f>
        <x:v>102</x:v>
      </x:c>
      <x:c r="F1616" s="14" t="n">
        <x:v>7</x:v>
      </x:c>
      <x:c r="G1616" s="14" t="n">
        <x:v>12</x:v>
      </x:c>
      <x:c r="H1616" s="14" t="n">
        <x:v>5</x:v>
      </x:c>
      <x:c r="I1616" s="14" t="n">
        <x:v>4</x:v>
      </x:c>
      <x:c r="J1616" s="14" t="n">
        <x:v>6</x:v>
      </x:c>
      <x:c r="K1616" s="14" t="n">
        <x:v>3</x:v>
      </x:c>
      <x:c r="L1616" s="14" t="n">
        <x:v>32</x:v>
      </x:c>
      <x:c r="M1616" s="14" t="n">
        <x:v>33</x:v>
      </x:c>
      <x:c r="N1616" s="15" t="n">
        <x:f>IF(E1616=0,"해당 없음",F1616/E1616)</x:f>
        <x:v>0.06862745098039216</x:v>
      </x:c>
      <x:c r="O1616" s="15" t="n">
        <x:f>IF(E1616=0,"해당 없음",G1616/E1616)</x:f>
        <x:v>0.11764705882352941</x:v>
      </x:c>
      <x:c r="P1616" s="15" t="n">
        <x:f>IF(E1616=0,"해당 없음",H1616/E1616)</x:f>
        <x:v>0.049019607843137254</x:v>
      </x:c>
      <x:c r="Q1616" s="15" t="n">
        <x:f>IF(E1616=0,"해당 없음",I1616/E1616)</x:f>
        <x:v>0.0392156862745098</x:v>
      </x:c>
      <x:c r="R1616" s="15" t="n">
        <x:f>IF(E1616=0,"해당 없음",J1616/E1616)</x:f>
        <x:v>0.058823529411764705</x:v>
      </x:c>
      <x:c r="S1616" s="15" t="n">
        <x:f>IF(E1616=0,"해당 없음",K1616/E1616)</x:f>
        <x:v>0.029411764705882353</x:v>
      </x:c>
      <x:c r="T1616" s="15" t="n">
        <x:f>IF(E1616=0,"해당 없음",L1616/E1616)</x:f>
        <x:v>0.3137254901960784</x:v>
      </x:c>
      <x:c r="U1616" s="15" t="n">
        <x:f>IF(E1616=0,"해당 없음",M1616/E1616)</x:f>
        <x:v>0.3235294117647059</x:v>
      </x:c>
      <x:c r="V1616" s="16" t="n">
        <x:f>E1616/5</x:f>
        <x:v>20.4</x:v>
      </x:c>
    </x:row>
    <x:row r="1617" ht="22" customHeight="1">
      <x:c r="A1617" s="2" t="n">
        <x:v>806</x:v>
      </x:c>
      <x:c r="B1617" s="2" t="str">
        <x:v>NAVY</x:v>
      </x:c>
      <x:c r="C1617" s="2" t="str">
        <x:v>80만</x:v>
      </x:c>
      <x:c r="D1617" s="2" t="str">
        <x:v>200만</x:v>
      </x:c>
      <x:c r="E1617" s="14" t="n">
        <x:f>SUM(F1617:M1617)</x:f>
        <x:v>105</x:v>
      </x:c>
      <x:c r="F1617" s="14" t="n">
        <x:v>3</x:v>
      </x:c>
      <x:c r="G1617" s="14" t="n">
        <x:v>19</x:v>
      </x:c>
      <x:c r="H1617" s="14" t="n">
        <x:v>8</x:v>
      </x:c>
      <x:c r="I1617" s="14" t="n">
        <x:v>11</x:v>
      </x:c>
      <x:c r="J1617" s="14" t="n">
        <x:v>1</x:v>
      </x:c>
      <x:c r="K1617" s="14" t="n">
        <x:v>11</x:v>
      </x:c>
      <x:c r="L1617" s="14" t="n">
        <x:v>37</x:v>
      </x:c>
      <x:c r="M1617" s="14" t="n">
        <x:v>15</x:v>
      </x:c>
      <x:c r="N1617" s="15" t="n">
        <x:f>IF(E1617=0,"해당 없음",F1617/E1617)</x:f>
        <x:v>0.02857142857142857</x:v>
      </x:c>
      <x:c r="O1617" s="15" t="n">
        <x:f>IF(E1617=0,"해당 없음",G1617/E1617)</x:f>
        <x:v>0.18095238095238095</x:v>
      </x:c>
      <x:c r="P1617" s="15" t="n">
        <x:f>IF(E1617=0,"해당 없음",H1617/E1617)</x:f>
        <x:v>0.0761904761904762</x:v>
      </x:c>
      <x:c r="Q1617" s="15" t="n">
        <x:f>IF(E1617=0,"해당 없음",I1617/E1617)</x:f>
        <x:v>0.10476190476190476</x:v>
      </x:c>
      <x:c r="R1617" s="15" t="n">
        <x:f>IF(E1617=0,"해당 없음",J1617/E1617)</x:f>
        <x:v>0.009523809523809525</x:v>
      </x:c>
      <x:c r="S1617" s="15" t="n">
        <x:f>IF(E1617=0,"해당 없음",K1617/E1617)</x:f>
        <x:v>0.10476190476190476</x:v>
      </x:c>
      <x:c r="T1617" s="15" t="n">
        <x:f>IF(E1617=0,"해당 없음",L1617/E1617)</x:f>
        <x:v>0.3523809523809524</x:v>
      </x:c>
      <x:c r="U1617" s="15" t="n">
        <x:f>IF(E1617=0,"해당 없음",M1617/E1617)</x:f>
        <x:v>0.14285714285714285</x:v>
      </x:c>
      <x:c r="V1617" s="16" t="n">
        <x:f>E1617/5</x:f>
        <x:v>21</x:v>
      </x:c>
    </x:row>
    <x:row r="1618" ht="22" customHeight="1">
      <x:c r="A1618" s="2" t="n">
        <x:v>807</x:v>
      </x:c>
      <x:c r="B1618" s="2" t="str">
        <x:v>RED</x:v>
      </x:c>
      <x:c r="C1618" s="2" t="str">
        <x:v>80만</x:v>
      </x:c>
      <x:c r="D1618" s="2" t="str">
        <x:v>200만</x:v>
      </x:c>
      <x:c r="E1618" s="14" t="n">
        <x:f>SUM(F1618:M1618)</x:f>
        <x:v>104</x:v>
      </x:c>
      <x:c r="F1618" s="14" t="n">
        <x:v>3</x:v>
      </x:c>
      <x:c r="G1618" s="14" t="n">
        <x:v>14</x:v>
      </x:c>
      <x:c r="H1618" s="14" t="n">
        <x:v>10</x:v>
      </x:c>
      <x:c r="I1618" s="14" t="n">
        <x:v>4</x:v>
      </x:c>
      <x:c r="J1618" s="14" t="n">
        <x:v>5</x:v>
      </x:c>
      <x:c r="K1618" s="14" t="n">
        <x:v>11</x:v>
      </x:c>
      <x:c r="L1618" s="14" t="n">
        <x:v>36</x:v>
      </x:c>
      <x:c r="M1618" s="14" t="n">
        <x:v>21</x:v>
      </x:c>
      <x:c r="N1618" s="15" t="n">
        <x:f>IF(E1618=0,"해당 없음",F1618/E1618)</x:f>
        <x:v>0.028846153846153848</x:v>
      </x:c>
      <x:c r="O1618" s="15" t="n">
        <x:f>IF(E1618=0,"해당 없음",G1618/E1618)</x:f>
        <x:v>0.1346153846153846</x:v>
      </x:c>
      <x:c r="P1618" s="15" t="n">
        <x:f>IF(E1618=0,"해당 없음",H1618/E1618)</x:f>
        <x:v>0.09615384615384616</x:v>
      </x:c>
      <x:c r="Q1618" s="15" t="n">
        <x:f>IF(E1618=0,"해당 없음",I1618/E1618)</x:f>
        <x:v>0.038461538461538464</x:v>
      </x:c>
      <x:c r="R1618" s="15" t="n">
        <x:f>IF(E1618=0,"해당 없음",J1618/E1618)</x:f>
        <x:v>0.04807692307692308</x:v>
      </x:c>
      <x:c r="S1618" s="15" t="n">
        <x:f>IF(E1618=0,"해당 없음",K1618/E1618)</x:f>
        <x:v>0.10576923076923077</x:v>
      </x:c>
      <x:c r="T1618" s="15" t="n">
        <x:f>IF(E1618=0,"해당 없음",L1618/E1618)</x:f>
        <x:v>0.34615384615384615</x:v>
      </x:c>
      <x:c r="U1618" s="15" t="n">
        <x:f>IF(E1618=0,"해당 없음",M1618/E1618)</x:f>
        <x:v>0.20192307692307693</x:v>
      </x:c>
      <x:c r="V1618" s="16" t="n">
        <x:f>E1618/5</x:f>
        <x:v>20.8</x:v>
      </x:c>
    </x:row>
    <x:row r="1619" ht="22" customHeight="1">
      <x:c r="A1619" s="2" t="n">
        <x:v>807</x:v>
      </x:c>
      <x:c r="B1619" s="2" t="str">
        <x:v>NAVY</x:v>
      </x:c>
      <x:c r="C1619" s="2" t="str">
        <x:v>200만</x:v>
      </x:c>
      <x:c r="D1619" s="2" t="str">
        <x:v>80만</x:v>
      </x:c>
      <x:c r="E1619" s="14" t="n">
        <x:f>SUM(F1619:M1619)</x:f>
        <x:v>103</x:v>
      </x:c>
      <x:c r="F1619" s="14" t="n">
        <x:v>6</x:v>
      </x:c>
      <x:c r="G1619" s="14" t="n">
        <x:v>20</x:v>
      </x:c>
      <x:c r="H1619" s="14" t="n">
        <x:v>4</x:v>
      </x:c>
      <x:c r="I1619" s="14" t="n">
        <x:v>6</x:v>
      </x:c>
      <x:c r="J1619" s="14" t="n">
        <x:v>5</x:v>
      </x:c>
      <x:c r="K1619" s="14" t="n">
        <x:v>2</x:v>
      </x:c>
      <x:c r="L1619" s="14" t="n">
        <x:v>34</x:v>
      </x:c>
      <x:c r="M1619" s="14" t="n">
        <x:v>26</x:v>
      </x:c>
      <x:c r="N1619" s="15" t="n">
        <x:f>IF(E1619=0,"해당 없음",F1619/E1619)</x:f>
        <x:v>0.05825242718446602</x:v>
      </x:c>
      <x:c r="O1619" s="15" t="n">
        <x:f>IF(E1619=0,"해당 없음",G1619/E1619)</x:f>
        <x:v>0.1941747572815534</x:v>
      </x:c>
      <x:c r="P1619" s="15" t="n">
        <x:f>IF(E1619=0,"해당 없음",H1619/E1619)</x:f>
        <x:v>0.038834951456310676</x:v>
      </x:c>
      <x:c r="Q1619" s="15" t="n">
        <x:f>IF(E1619=0,"해당 없음",I1619/E1619)</x:f>
        <x:v>0.05825242718446602</x:v>
      </x:c>
      <x:c r="R1619" s="15" t="n">
        <x:f>IF(E1619=0,"해당 없음",J1619/E1619)</x:f>
        <x:v>0.04854368932038835</x:v>
      </x:c>
      <x:c r="S1619" s="15" t="n">
        <x:f>IF(E1619=0,"해당 없음",K1619/E1619)</x:f>
        <x:v>0.019417475728155338</x:v>
      </x:c>
      <x:c r="T1619" s="15" t="n">
        <x:f>IF(E1619=0,"해당 없음",L1619/E1619)</x:f>
        <x:v>0.3300970873786408</x:v>
      </x:c>
      <x:c r="U1619" s="15" t="n">
        <x:f>IF(E1619=0,"해당 없음",M1619/E1619)</x:f>
        <x:v>0.2524271844660194</x:v>
      </x:c>
      <x:c r="V1619" s="16" t="n">
        <x:f>E1619/5</x:f>
        <x:v>20.6</x:v>
      </x:c>
    </x:row>
    <x:row r="1620" ht="22" customHeight="1">
      <x:c r="A1620" s="2" t="n">
        <x:v>808</x:v>
      </x:c>
      <x:c r="B1620" s="2" t="str">
        <x:v>RED</x:v>
      </x:c>
      <x:c r="C1620" s="2" t="str">
        <x:v>200만</x:v>
      </x:c>
      <x:c r="D1620" s="2" t="str">
        <x:v>80만</x:v>
      </x:c>
      <x:c r="E1620" s="14" t="n">
        <x:f>SUM(F1620:M1620)</x:f>
        <x:v>104</x:v>
      </x:c>
      <x:c r="F1620" s="14" t="n">
        <x:v>5</x:v>
      </x:c>
      <x:c r="G1620" s="14" t="n">
        <x:v>17</x:v>
      </x:c>
      <x:c r="H1620" s="14" t="n">
        <x:v>6</x:v>
      </x:c>
      <x:c r="I1620" s="14" t="n">
        <x:v>4</x:v>
      </x:c>
      <x:c r="J1620" s="14" t="n">
        <x:v>3</x:v>
      </x:c>
      <x:c r="K1620" s="14" t="n">
        <x:v>5</x:v>
      </x:c>
      <x:c r="L1620" s="14" t="n">
        <x:v>35</x:v>
      </x:c>
      <x:c r="M1620" s="14" t="n">
        <x:v>29</x:v>
      </x:c>
      <x:c r="N1620" s="15" t="n">
        <x:f>IF(E1620=0,"해당 없음",F1620/E1620)</x:f>
        <x:v>0.04807692307692308</x:v>
      </x:c>
      <x:c r="O1620" s="15" t="n">
        <x:f>IF(E1620=0,"해당 없음",G1620/E1620)</x:f>
        <x:v>0.16346153846153846</x:v>
      </x:c>
      <x:c r="P1620" s="15" t="n">
        <x:f>IF(E1620=0,"해당 없음",H1620/E1620)</x:f>
        <x:v>0.057692307692307696</x:v>
      </x:c>
      <x:c r="Q1620" s="15" t="n">
        <x:f>IF(E1620=0,"해당 없음",I1620/E1620)</x:f>
        <x:v>0.038461538461538464</x:v>
      </x:c>
      <x:c r="R1620" s="15" t="n">
        <x:f>IF(E1620=0,"해당 없음",J1620/E1620)</x:f>
        <x:v>0.028846153846153848</x:v>
      </x:c>
      <x:c r="S1620" s="15" t="n">
        <x:f>IF(E1620=0,"해당 없음",K1620/E1620)</x:f>
        <x:v>0.04807692307692308</x:v>
      </x:c>
      <x:c r="T1620" s="15" t="n">
        <x:f>IF(E1620=0,"해당 없음",L1620/E1620)</x:f>
        <x:v>0.33653846153846156</x:v>
      </x:c>
      <x:c r="U1620" s="15" t="n">
        <x:f>IF(E1620=0,"해당 없음",M1620/E1620)</x:f>
        <x:v>0.27884615384615385</x:v>
      </x:c>
      <x:c r="V1620" s="16" t="n">
        <x:f>E1620/5</x:f>
        <x:v>20.8</x:v>
      </x:c>
    </x:row>
    <x:row r="1621" ht="22" customHeight="1">
      <x:c r="A1621" s="2" t="n">
        <x:v>808</x:v>
      </x:c>
      <x:c r="B1621" s="2" t="str">
        <x:v>NAVY</x:v>
      </x:c>
      <x:c r="C1621" s="2" t="str">
        <x:v>80만</x:v>
      </x:c>
      <x:c r="D1621" s="2" t="str">
        <x:v>200만</x:v>
      </x:c>
      <x:c r="E1621" s="14" t="n">
        <x:f>SUM(F1621:M1621)</x:f>
        <x:v>102</x:v>
      </x:c>
      <x:c r="F1621" s="14" t="n">
        <x:v>2</x:v>
      </x:c>
      <x:c r="G1621" s="14" t="n">
        <x:v>22</x:v>
      </x:c>
      <x:c r="H1621" s="14" t="n">
        <x:v>9</x:v>
      </x:c>
      <x:c r="I1621" s="14" t="n">
        <x:v>4</x:v>
      </x:c>
      <x:c r="J1621" s="14" t="n">
        <x:v>4</x:v>
      </x:c>
      <x:c r="K1621" s="14" t="n">
        <x:v>9</x:v>
      </x:c>
      <x:c r="L1621" s="14" t="n">
        <x:v>34</x:v>
      </x:c>
      <x:c r="M1621" s="14" t="n">
        <x:v>18</x:v>
      </x:c>
      <x:c r="N1621" s="15" t="n">
        <x:f>IF(E1621=0,"해당 없음",F1621/E1621)</x:f>
        <x:v>0.0196078431372549</x:v>
      </x:c>
      <x:c r="O1621" s="15" t="n">
        <x:f>IF(E1621=0,"해당 없음",G1621/E1621)</x:f>
        <x:v>0.21568627450980393</x:v>
      </x:c>
      <x:c r="P1621" s="15" t="n">
        <x:f>IF(E1621=0,"해당 없음",H1621/E1621)</x:f>
        <x:v>0.08823529411764706</x:v>
      </x:c>
      <x:c r="Q1621" s="15" t="n">
        <x:f>IF(E1621=0,"해당 없음",I1621/E1621)</x:f>
        <x:v>0.0392156862745098</x:v>
      </x:c>
      <x:c r="R1621" s="15" t="n">
        <x:f>IF(E1621=0,"해당 없음",J1621/E1621)</x:f>
        <x:v>0.0392156862745098</x:v>
      </x:c>
      <x:c r="S1621" s="15" t="n">
        <x:f>IF(E1621=0,"해당 없음",K1621/E1621)</x:f>
        <x:v>0.08823529411764706</x:v>
      </x:c>
      <x:c r="T1621" s="15" t="n">
        <x:f>IF(E1621=0,"해당 없음",L1621/E1621)</x:f>
        <x:v>0.3333333333333333</x:v>
      </x:c>
      <x:c r="U1621" s="15" t="n">
        <x:f>IF(E1621=0,"해당 없음",M1621/E1621)</x:f>
        <x:v>0.17647058823529413</x:v>
      </x:c>
      <x:c r="V1621" s="16" t="n">
        <x:f>E1621/5</x:f>
        <x:v>20.4</x:v>
      </x:c>
    </x:row>
    <x:row r="1622" ht="22" customHeight="1">
      <x:c r="A1622" s="2" t="n">
        <x:v>809</x:v>
      </x:c>
      <x:c r="B1622" s="2" t="str">
        <x:v>RED</x:v>
      </x:c>
      <x:c r="C1622" s="2" t="str">
        <x:v>80만</x:v>
      </x:c>
      <x:c r="D1622" s="2" t="str">
        <x:v>200만</x:v>
      </x:c>
      <x:c r="E1622" s="14" t="n">
        <x:f>SUM(F1622:M1622)</x:f>
        <x:v>105</x:v>
      </x:c>
      <x:c r="F1622" s="14" t="n">
        <x:v>6</x:v>
      </x:c>
      <x:c r="G1622" s="14" t="n">
        <x:v>11</x:v>
      </x:c>
      <x:c r="H1622" s="14" t="n">
        <x:v>15</x:v>
      </x:c>
      <x:c r="I1622" s="14" t="n">
        <x:v>3</x:v>
      </x:c>
      <x:c r="J1622" s="14" t="n">
        <x:v>1</x:v>
      </x:c>
      <x:c r="K1622" s="14" t="n">
        <x:v>15</x:v>
      </x:c>
      <x:c r="L1622" s="14" t="n">
        <x:v>39</x:v>
      </x:c>
      <x:c r="M1622" s="14" t="n">
        <x:v>15</x:v>
      </x:c>
      <x:c r="N1622" s="15" t="n">
        <x:f>IF(E1622=0,"해당 없음",F1622/E1622)</x:f>
        <x:v>0.05714285714285714</x:v>
      </x:c>
      <x:c r="O1622" s="15" t="n">
        <x:f>IF(E1622=0,"해당 없음",G1622/E1622)</x:f>
        <x:v>0.10476190476190476</x:v>
      </x:c>
      <x:c r="P1622" s="15" t="n">
        <x:f>IF(E1622=0,"해당 없음",H1622/E1622)</x:f>
        <x:v>0.14285714285714285</x:v>
      </x:c>
      <x:c r="Q1622" s="15" t="n">
        <x:f>IF(E1622=0,"해당 없음",I1622/E1622)</x:f>
        <x:v>0.02857142857142857</x:v>
      </x:c>
      <x:c r="R1622" s="15" t="n">
        <x:f>IF(E1622=0,"해당 없음",J1622/E1622)</x:f>
        <x:v>0.009523809523809525</x:v>
      </x:c>
      <x:c r="S1622" s="15" t="n">
        <x:f>IF(E1622=0,"해당 없음",K1622/E1622)</x:f>
        <x:v>0.14285714285714285</x:v>
      </x:c>
      <x:c r="T1622" s="15" t="n">
        <x:f>IF(E1622=0,"해당 없음",L1622/E1622)</x:f>
        <x:v>0.37142857142857144</x:v>
      </x:c>
      <x:c r="U1622" s="15" t="n">
        <x:f>IF(E1622=0,"해당 없음",M1622/E1622)</x:f>
        <x:v>0.14285714285714285</x:v>
      </x:c>
      <x:c r="V1622" s="16" t="n">
        <x:f>E1622/5</x:f>
        <x:v>21</x:v>
      </x:c>
    </x:row>
    <x:row r="1623" ht="22" customHeight="1">
      <x:c r="A1623" s="2" t="n">
        <x:v>809</x:v>
      </x:c>
      <x:c r="B1623" s="2" t="str">
        <x:v>NAVY</x:v>
      </x:c>
      <x:c r="C1623" s="2" t="str">
        <x:v>200만</x:v>
      </x:c>
      <x:c r="D1623" s="2" t="str">
        <x:v>80만</x:v>
      </x:c>
      <x:c r="E1623" s="14" t="n">
        <x:f>SUM(F1623:M1623)</x:f>
        <x:v>104</x:v>
      </x:c>
      <x:c r="F1623" s="14" t="n">
        <x:v>3</x:v>
      </x:c>
      <x:c r="G1623" s="14" t="n">
        <x:v>18</x:v>
      </x:c>
      <x:c r="H1623" s="14" t="n">
        <x:v>1</x:v>
      </x:c>
      <x:c r="I1623" s="14" t="n">
        <x:v>4</x:v>
      </x:c>
      <x:c r="J1623" s="14" t="n">
        <x:v>5</x:v>
      </x:c>
      <x:c r="K1623" s="14" t="n">
        <x:v>3</x:v>
      </x:c>
      <x:c r="L1623" s="14" t="n">
        <x:v>32</x:v>
      </x:c>
      <x:c r="M1623" s="14" t="n">
        <x:v>38</x:v>
      </x:c>
      <x:c r="N1623" s="15" t="n">
        <x:f>IF(E1623=0,"해당 없음",F1623/E1623)</x:f>
        <x:v>0.028846153846153848</x:v>
      </x:c>
      <x:c r="O1623" s="15" t="n">
        <x:f>IF(E1623=0,"해당 없음",G1623/E1623)</x:f>
        <x:v>0.17307692307692307</x:v>
      </x:c>
      <x:c r="P1623" s="15" t="n">
        <x:f>IF(E1623=0,"해당 없음",H1623/E1623)</x:f>
        <x:v>0.009615384615384616</x:v>
      </x:c>
      <x:c r="Q1623" s="15" t="n">
        <x:f>IF(E1623=0,"해당 없음",I1623/E1623)</x:f>
        <x:v>0.038461538461538464</x:v>
      </x:c>
      <x:c r="R1623" s="15" t="n">
        <x:f>IF(E1623=0,"해당 없음",J1623/E1623)</x:f>
        <x:v>0.04807692307692308</x:v>
      </x:c>
      <x:c r="S1623" s="15" t="n">
        <x:f>IF(E1623=0,"해당 없음",K1623/E1623)</x:f>
        <x:v>0.028846153846153848</x:v>
      </x:c>
      <x:c r="T1623" s="15" t="n">
        <x:f>IF(E1623=0,"해당 없음",L1623/E1623)</x:f>
        <x:v>0.3076923076923077</x:v>
      </x:c>
      <x:c r="U1623" s="15" t="n">
        <x:f>IF(E1623=0,"해당 없음",M1623/E1623)</x:f>
        <x:v>0.36538461538461536</x:v>
      </x:c>
      <x:c r="V1623" s="16" t="n">
        <x:f>E1623/5</x:f>
        <x:v>20.8</x:v>
      </x:c>
    </x:row>
    <x:row r="1624" ht="22" customHeight="1">
      <x:c r="A1624" s="2" t="n">
        <x:v>810</x:v>
      </x:c>
      <x:c r="B1624" s="2" t="str">
        <x:v>RED</x:v>
      </x:c>
      <x:c r="C1624" s="2" t="str">
        <x:v>200만</x:v>
      </x:c>
      <x:c r="D1624" s="2" t="str">
        <x:v>80만</x:v>
      </x:c>
      <x:c r="E1624" s="14" t="n">
        <x:f>SUM(F1624:M1624)</x:f>
        <x:v>102</x:v>
      </x:c>
      <x:c r="F1624" s="14" t="n">
        <x:v>4</x:v>
      </x:c>
      <x:c r="G1624" s="14" t="n">
        <x:v>11</x:v>
      </x:c>
      <x:c r="H1624" s="14" t="n">
        <x:v>1</x:v>
      </x:c>
      <x:c r="I1624" s="14" t="n">
        <x:v>3</x:v>
      </x:c>
      <x:c r="J1624" s="14" t="n">
        <x:v>3</x:v>
      </x:c>
      <x:c r="K1624" s="14" t="n">
        <x:v>7</x:v>
      </x:c>
      <x:c r="L1624" s="14" t="n">
        <x:v>33</x:v>
      </x:c>
      <x:c r="M1624" s="14" t="n">
        <x:v>40</x:v>
      </x:c>
      <x:c r="N1624" s="15" t="n">
        <x:f>IF(E1624=0,"해당 없음",F1624/E1624)</x:f>
        <x:v>0.0392156862745098</x:v>
      </x:c>
      <x:c r="O1624" s="15" t="n">
        <x:f>IF(E1624=0,"해당 없음",G1624/E1624)</x:f>
        <x:v>0.10784313725490197</x:v>
      </x:c>
      <x:c r="P1624" s="15" t="n">
        <x:f>IF(E1624=0,"해당 없음",H1624/E1624)</x:f>
        <x:v>0.00980392156862745</x:v>
      </x:c>
      <x:c r="Q1624" s="15" t="n">
        <x:f>IF(E1624=0,"해당 없음",I1624/E1624)</x:f>
        <x:v>0.029411764705882353</x:v>
      </x:c>
      <x:c r="R1624" s="15" t="n">
        <x:f>IF(E1624=0,"해당 없음",J1624/E1624)</x:f>
        <x:v>0.029411764705882353</x:v>
      </x:c>
      <x:c r="S1624" s="15" t="n">
        <x:f>IF(E1624=0,"해당 없음",K1624/E1624)</x:f>
        <x:v>0.06862745098039216</x:v>
      </x:c>
      <x:c r="T1624" s="15" t="n">
        <x:f>IF(E1624=0,"해당 없음",L1624/E1624)</x:f>
        <x:v>0.3235294117647059</x:v>
      </x:c>
      <x:c r="U1624" s="15" t="n">
        <x:f>IF(E1624=0,"해당 없음",M1624/E1624)</x:f>
        <x:v>0.39215686274509803</x:v>
      </x:c>
      <x:c r="V1624" s="16" t="n">
        <x:f>E1624/5</x:f>
        <x:v>20.4</x:v>
      </x:c>
    </x:row>
    <x:row r="1625" ht="22" customHeight="1">
      <x:c r="A1625" s="2" t="n">
        <x:v>810</x:v>
      </x:c>
      <x:c r="B1625" s="2" t="str">
        <x:v>NAVY</x:v>
      </x:c>
      <x:c r="C1625" s="2" t="str">
        <x:v>80만</x:v>
      </x:c>
      <x:c r="D1625" s="2" t="str">
        <x:v>200만</x:v>
      </x:c>
      <x:c r="E1625" s="14" t="n">
        <x:f>SUM(F1625:M1625)</x:f>
        <x:v>100</x:v>
      </x:c>
      <x:c r="F1625" s="14" t="n">
        <x:v>5</x:v>
      </x:c>
      <x:c r="G1625" s="14" t="n">
        <x:v>12</x:v>
      </x:c>
      <x:c r="H1625" s="14" t="n">
        <x:v>12</x:v>
      </x:c>
      <x:c r="I1625" s="14" t="n">
        <x:v>7</x:v>
      </x:c>
      <x:c r="J1625" s="14" t="n">
        <x:v>3</x:v>
      </x:c>
      <x:c r="K1625" s="14" t="n">
        <x:v>6</x:v>
      </x:c>
      <x:c r="L1625" s="14" t="n">
        <x:v>33</x:v>
      </x:c>
      <x:c r="M1625" s="14" t="n">
        <x:v>22</x:v>
      </x:c>
      <x:c r="N1625" s="15" t="n">
        <x:f>IF(E1625=0,"해당 없음",F1625/E1625)</x:f>
        <x:v>0.05</x:v>
      </x:c>
      <x:c r="O1625" s="15" t="n">
        <x:f>IF(E1625=0,"해당 없음",G1625/E1625)</x:f>
        <x:v>0.12</x:v>
      </x:c>
      <x:c r="P1625" s="15" t="n">
        <x:f>IF(E1625=0,"해당 없음",H1625/E1625)</x:f>
        <x:v>0.12</x:v>
      </x:c>
      <x:c r="Q1625" s="15" t="n">
        <x:f>IF(E1625=0,"해당 없음",I1625/E1625)</x:f>
        <x:v>0.07</x:v>
      </x:c>
      <x:c r="R1625" s="15" t="n">
        <x:f>IF(E1625=0,"해당 없음",J1625/E1625)</x:f>
        <x:v>0.03</x:v>
      </x:c>
      <x:c r="S1625" s="15" t="n">
        <x:f>IF(E1625=0,"해당 없음",K1625/E1625)</x:f>
        <x:v>0.06</x:v>
      </x:c>
      <x:c r="T1625" s="15" t="n">
        <x:f>IF(E1625=0,"해당 없음",L1625/E1625)</x:f>
        <x:v>0.33</x:v>
      </x:c>
      <x:c r="U1625" s="15" t="n">
        <x:f>IF(E1625=0,"해당 없음",M1625/E1625)</x:f>
        <x:v>0.22</x:v>
      </x:c>
      <x:c r="V1625" s="16" t="n">
        <x:f>E1625/5</x:f>
        <x:v>20</x:v>
      </x:c>
    </x:row>
    <x:row r="1626" ht="22" customHeight="1">
      <x:c r="A1626" s="2" t="n">
        <x:v>811</x:v>
      </x:c>
      <x:c r="B1626" s="2" t="str">
        <x:v>RED</x:v>
      </x:c>
      <x:c r="C1626" s="2" t="str">
        <x:v>80만</x:v>
      </x:c>
      <x:c r="D1626" s="2" t="str">
        <x:v>200만</x:v>
      </x:c>
      <x:c r="E1626" s="14" t="n">
        <x:f>SUM(F1626:M1626)</x:f>
        <x:v>105</x:v>
      </x:c>
      <x:c r="F1626" s="14" t="n">
        <x:v>6</x:v>
      </x:c>
      <x:c r="G1626" s="14" t="n">
        <x:v>12</x:v>
      </x:c>
      <x:c r="H1626" s="14" t="n">
        <x:v>9</x:v>
      </x:c>
      <x:c r="I1626" s="14" t="n">
        <x:v>8</x:v>
      </x:c>
      <x:c r="J1626" s="14" t="n">
        <x:v>3</x:v>
      </x:c>
      <x:c r="K1626" s="14" t="n">
        <x:v>9</x:v>
      </x:c>
      <x:c r="L1626" s="14" t="n">
        <x:v>40</x:v>
      </x:c>
      <x:c r="M1626" s="14" t="n">
        <x:v>18</x:v>
      </x:c>
      <x:c r="N1626" s="15" t="n">
        <x:f>IF(E1626=0,"해당 없음",F1626/E1626)</x:f>
        <x:v>0.05714285714285714</x:v>
      </x:c>
      <x:c r="O1626" s="15" t="n">
        <x:f>IF(E1626=0,"해당 없음",G1626/E1626)</x:f>
        <x:v>0.11428571428571428</x:v>
      </x:c>
      <x:c r="P1626" s="15" t="n">
        <x:f>IF(E1626=0,"해당 없음",H1626/E1626)</x:f>
        <x:v>0.08571428571428572</x:v>
      </x:c>
      <x:c r="Q1626" s="15" t="n">
        <x:f>IF(E1626=0,"해당 없음",I1626/E1626)</x:f>
        <x:v>0.0761904761904762</x:v>
      </x:c>
      <x:c r="R1626" s="15" t="n">
        <x:f>IF(E1626=0,"해당 없음",J1626/E1626)</x:f>
        <x:v>0.02857142857142857</x:v>
      </x:c>
      <x:c r="S1626" s="15" t="n">
        <x:f>IF(E1626=0,"해당 없음",K1626/E1626)</x:f>
        <x:v>0.08571428571428572</x:v>
      </x:c>
      <x:c r="T1626" s="15" t="n">
        <x:f>IF(E1626=0,"해당 없음",L1626/E1626)</x:f>
        <x:v>0.38095238095238093</x:v>
      </x:c>
      <x:c r="U1626" s="15" t="n">
        <x:f>IF(E1626=0,"해당 없음",M1626/E1626)</x:f>
        <x:v>0.17142857142857143</x:v>
      </x:c>
      <x:c r="V1626" s="16" t="n">
        <x:f>E1626/5</x:f>
        <x:v>21</x:v>
      </x:c>
    </x:row>
    <x:row r="1627" ht="22" customHeight="1">
      <x:c r="A1627" s="2" t="n">
        <x:v>811</x:v>
      </x:c>
      <x:c r="B1627" s="2" t="str">
        <x:v>NAVY</x:v>
      </x:c>
      <x:c r="C1627" s="2" t="str">
        <x:v>200만</x:v>
      </x:c>
      <x:c r="D1627" s="2" t="str">
        <x:v>80만</x:v>
      </x:c>
      <x:c r="E1627" s="14" t="n">
        <x:f>SUM(F1627:M1627)</x:f>
        <x:v>104</x:v>
      </x:c>
      <x:c r="F1627" s="14" t="n">
        <x:v>3</x:v>
      </x:c>
      <x:c r="G1627" s="14" t="n">
        <x:v>20</x:v>
      </x:c>
      <x:c r="H1627" s="14" t="n">
        <x:v>4</x:v>
      </x:c>
      <x:c r="I1627" s="14" t="n">
        <x:v>3</x:v>
      </x:c>
      <x:c r="J1627" s="14" t="n">
        <x:v>3</x:v>
      </x:c>
      <x:c r="K1627" s="14" t="n">
        <x:v>3</x:v>
      </x:c>
      <x:c r="L1627" s="14" t="n">
        <x:v>34</x:v>
      </x:c>
      <x:c r="M1627" s="14" t="n">
        <x:v>34</x:v>
      </x:c>
      <x:c r="N1627" s="15" t="n">
        <x:f>IF(E1627=0,"해당 없음",F1627/E1627)</x:f>
        <x:v>0.028846153846153848</x:v>
      </x:c>
      <x:c r="O1627" s="15" t="n">
        <x:f>IF(E1627=0,"해당 없음",G1627/E1627)</x:f>
        <x:v>0.19230769230769232</x:v>
      </x:c>
      <x:c r="P1627" s="15" t="n">
        <x:f>IF(E1627=0,"해당 없음",H1627/E1627)</x:f>
        <x:v>0.038461538461538464</x:v>
      </x:c>
      <x:c r="Q1627" s="15" t="n">
        <x:f>IF(E1627=0,"해당 없음",I1627/E1627)</x:f>
        <x:v>0.028846153846153848</x:v>
      </x:c>
      <x:c r="R1627" s="15" t="n">
        <x:f>IF(E1627=0,"해당 없음",J1627/E1627)</x:f>
        <x:v>0.028846153846153848</x:v>
      </x:c>
      <x:c r="S1627" s="15" t="n">
        <x:f>IF(E1627=0,"해당 없음",K1627/E1627)</x:f>
        <x:v>0.028846153846153848</x:v>
      </x:c>
      <x:c r="T1627" s="15" t="n">
        <x:f>IF(E1627=0,"해당 없음",L1627/E1627)</x:f>
        <x:v>0.3269230769230769</x:v>
      </x:c>
      <x:c r="U1627" s="15" t="n">
        <x:f>IF(E1627=0,"해당 없음",M1627/E1627)</x:f>
        <x:v>0.3269230769230769</x:v>
      </x:c>
      <x:c r="V1627" s="16" t="n">
        <x:f>E1627/5</x:f>
        <x:v>20.8</x:v>
      </x:c>
    </x:row>
    <x:row r="1628" ht="22" customHeight="1">
      <x:c r="A1628" s="2" t="n">
        <x:v>812</x:v>
      </x:c>
      <x:c r="B1628" s="2" t="str">
        <x:v>RED</x:v>
      </x:c>
      <x:c r="C1628" s="2" t="str">
        <x:v>200만</x:v>
      </x:c>
      <x:c r="D1628" s="2" t="str">
        <x:v>80만</x:v>
      </x:c>
      <x:c r="E1628" s="14" t="n">
        <x:f>SUM(F1628:M1628)</x:f>
        <x:v>101</x:v>
      </x:c>
      <x:c r="F1628" s="14" t="n">
        <x:v>7</x:v>
      </x:c>
      <x:c r="G1628" s="14" t="n">
        <x:v>14</x:v>
      </x:c>
      <x:c r="H1628" s="14" t="n">
        <x:v>5</x:v>
      </x:c>
      <x:c r="I1628" s="14" t="n">
        <x:v>3</x:v>
      </x:c>
      <x:c r="J1628" s="14" t="n">
        <x:v>3</x:v>
      </x:c>
      <x:c r="K1628" s="14" t="n">
        <x:v>8</x:v>
      </x:c>
      <x:c r="L1628" s="14" t="n">
        <x:v>34</x:v>
      </x:c>
      <x:c r="M1628" s="14" t="n">
        <x:v>27</x:v>
      </x:c>
      <x:c r="N1628" s="15" t="n">
        <x:f>IF(E1628=0,"해당 없음",F1628/E1628)</x:f>
        <x:v>0.06930693069306931</x:v>
      </x:c>
      <x:c r="O1628" s="15" t="n">
        <x:f>IF(E1628=0,"해당 없음",G1628/E1628)</x:f>
        <x:v>0.13861386138613863</x:v>
      </x:c>
      <x:c r="P1628" s="15" t="n">
        <x:f>IF(E1628=0,"해당 없음",H1628/E1628)</x:f>
        <x:v>0.04950495049504951</x:v>
      </x:c>
      <x:c r="Q1628" s="15" t="n">
        <x:f>IF(E1628=0,"해당 없음",I1628/E1628)</x:f>
        <x:v>0.0297029702970297</x:v>
      </x:c>
      <x:c r="R1628" s="15" t="n">
        <x:f>IF(E1628=0,"해당 없음",J1628/E1628)</x:f>
        <x:v>0.0297029702970297</x:v>
      </x:c>
      <x:c r="S1628" s="15" t="n">
        <x:f>IF(E1628=0,"해당 없음",K1628/E1628)</x:f>
        <x:v>0.07920792079207921</x:v>
      </x:c>
      <x:c r="T1628" s="15" t="n">
        <x:f>IF(E1628=0,"해당 없음",L1628/E1628)</x:f>
        <x:v>0.33663366336633666</x:v>
      </x:c>
      <x:c r="U1628" s="15" t="n">
        <x:f>IF(E1628=0,"해당 없음",M1628/E1628)</x:f>
        <x:v>0.26732673267326734</x:v>
      </x:c>
      <x:c r="V1628" s="16" t="n">
        <x:f>E1628/5</x:f>
        <x:v>20.2</x:v>
      </x:c>
    </x:row>
    <x:row r="1629" ht="22" customHeight="1">
      <x:c r="A1629" s="2" t="n">
        <x:v>812</x:v>
      </x:c>
      <x:c r="B1629" s="2" t="str">
        <x:v>NAVY</x:v>
      </x:c>
      <x:c r="C1629" s="2" t="str">
        <x:v>80만</x:v>
      </x:c>
      <x:c r="D1629" s="2" t="str">
        <x:v>200만</x:v>
      </x:c>
      <x:c r="E1629" s="14" t="n">
        <x:f>SUM(F1629:M1629)</x:f>
        <x:v>103</x:v>
      </x:c>
      <x:c r="F1629" s="14" t="n">
        <x:v>7</x:v>
      </x:c>
      <x:c r="G1629" s="14" t="n">
        <x:v>17</x:v>
      </x:c>
      <x:c r="H1629" s="14" t="n">
        <x:v>11</x:v>
      </x:c>
      <x:c r="I1629" s="14" t="n">
        <x:v>4</x:v>
      </x:c>
      <x:c r="J1629" s="14" t="n">
        <x:v>2</x:v>
      </x:c>
      <x:c r="K1629" s="14" t="n">
        <x:v>10</x:v>
      </x:c>
      <x:c r="L1629" s="14" t="n">
        <x:v>34</x:v>
      </x:c>
      <x:c r="M1629" s="14" t="n">
        <x:v>18</x:v>
      </x:c>
      <x:c r="N1629" s="15" t="n">
        <x:f>IF(E1629=0,"해당 없음",F1629/E1629)</x:f>
        <x:v>0.06796116504854369</x:v>
      </x:c>
      <x:c r="O1629" s="15" t="n">
        <x:f>IF(E1629=0,"해당 없음",G1629/E1629)</x:f>
        <x:v>0.1650485436893204</x:v>
      </x:c>
      <x:c r="P1629" s="15" t="n">
        <x:f>IF(E1629=0,"해당 없음",H1629/E1629)</x:f>
        <x:v>0.10679611650485436</x:v>
      </x:c>
      <x:c r="Q1629" s="15" t="n">
        <x:f>IF(E1629=0,"해당 없음",I1629/E1629)</x:f>
        <x:v>0.038834951456310676</x:v>
      </x:c>
      <x:c r="R1629" s="15" t="n">
        <x:f>IF(E1629=0,"해당 없음",J1629/E1629)</x:f>
        <x:v>0.019417475728155338</x:v>
      </x:c>
      <x:c r="S1629" s="15" t="n">
        <x:f>IF(E1629=0,"해당 없음",K1629/E1629)</x:f>
        <x:v>0.0970873786407767</x:v>
      </x:c>
      <x:c r="T1629" s="15" t="n">
        <x:f>IF(E1629=0,"해당 없음",L1629/E1629)</x:f>
        <x:v>0.3300970873786408</x:v>
      </x:c>
      <x:c r="U1629" s="15" t="n">
        <x:f>IF(E1629=0,"해당 없음",M1629/E1629)</x:f>
        <x:v>0.17475728155339806</x:v>
      </x:c>
      <x:c r="V1629" s="16" t="n">
        <x:f>E1629/5</x:f>
        <x:v>20.6</x:v>
      </x:c>
    </x:row>
    <x:row r="1630" ht="22" customHeight="1">
      <x:c r="A1630" s="2" t="n">
        <x:v>813</x:v>
      </x:c>
      <x:c r="B1630" s="2" t="str">
        <x:v>RED</x:v>
      </x:c>
      <x:c r="C1630" s="2" t="str">
        <x:v>80만</x:v>
      </x:c>
      <x:c r="D1630" s="2" t="str">
        <x:v>200만</x:v>
      </x:c>
      <x:c r="E1630" s="14" t="n">
        <x:f>SUM(F1630:M1630)</x:f>
        <x:v>101</x:v>
      </x:c>
      <x:c r="F1630" s="14" t="n">
        <x:v>2</x:v>
      </x:c>
      <x:c r="G1630" s="14" t="n">
        <x:v>20</x:v>
      </x:c>
      <x:c r="H1630" s="14" t="n">
        <x:v>5</x:v>
      </x:c>
      <x:c r="I1630" s="14" t="n">
        <x:v>8</x:v>
      </x:c>
      <x:c r="J1630" s="14" t="n">
        <x:v>3</x:v>
      </x:c>
      <x:c r="K1630" s="14" t="n">
        <x:v>14</x:v>
      </x:c>
      <x:c r="L1630" s="14" t="n">
        <x:v>33</x:v>
      </x:c>
      <x:c r="M1630" s="14" t="n">
        <x:v>16</x:v>
      </x:c>
      <x:c r="N1630" s="15" t="n">
        <x:f>IF(E1630=0,"해당 없음",F1630/E1630)</x:f>
        <x:v>0.019801980198019802</x:v>
      </x:c>
      <x:c r="O1630" s="15" t="n">
        <x:f>IF(E1630=0,"해당 없음",G1630/E1630)</x:f>
        <x:v>0.19801980198019803</x:v>
      </x:c>
      <x:c r="P1630" s="15" t="n">
        <x:f>IF(E1630=0,"해당 없음",H1630/E1630)</x:f>
        <x:v>0.04950495049504951</x:v>
      </x:c>
      <x:c r="Q1630" s="15" t="n">
        <x:f>IF(E1630=0,"해당 없음",I1630/E1630)</x:f>
        <x:v>0.07920792079207921</x:v>
      </x:c>
      <x:c r="R1630" s="15" t="n">
        <x:f>IF(E1630=0,"해당 없음",J1630/E1630)</x:f>
        <x:v>0.0297029702970297</x:v>
      </x:c>
      <x:c r="S1630" s="15" t="n">
        <x:f>IF(E1630=0,"해당 없음",K1630/E1630)</x:f>
        <x:v>0.13861386138613863</x:v>
      </x:c>
      <x:c r="T1630" s="15" t="n">
        <x:f>IF(E1630=0,"해당 없음",L1630/E1630)</x:f>
        <x:v>0.32673267326732675</x:v>
      </x:c>
      <x:c r="U1630" s="15" t="n">
        <x:f>IF(E1630=0,"해당 없음",M1630/E1630)</x:f>
        <x:v>0.15841584158415842</x:v>
      </x:c>
      <x:c r="V1630" s="16" t="n">
        <x:f>E1630/5</x:f>
        <x:v>20.2</x:v>
      </x:c>
    </x:row>
    <x:row r="1631" ht="22" customHeight="1">
      <x:c r="A1631" s="2" t="n">
        <x:v>813</x:v>
      </x:c>
      <x:c r="B1631" s="2" t="str">
        <x:v>NAVY</x:v>
      </x:c>
      <x:c r="C1631" s="2" t="str">
        <x:v>200만</x:v>
      </x:c>
      <x:c r="D1631" s="2" t="str">
        <x:v>80만</x:v>
      </x:c>
      <x:c r="E1631" s="14" t="n">
        <x:f>SUM(F1631:M1631)</x:f>
        <x:v>104</x:v>
      </x:c>
      <x:c r="F1631" s="14" t="n">
        <x:v>5</x:v>
      </x:c>
      <x:c r="G1631" s="14" t="n">
        <x:v>15</x:v>
      </x:c>
      <x:c r="H1631" s="14" t="n">
        <x:v>3</x:v>
      </x:c>
      <x:c r="I1631" s="14" t="n">
        <x:v>4</x:v>
      </x:c>
      <x:c r="J1631" s="14" t="n">
        <x:v>4</x:v>
      </x:c>
      <x:c r="K1631" s="14" t="n">
        <x:v>3</x:v>
      </x:c>
      <x:c r="L1631" s="14" t="n">
        <x:v>37</x:v>
      </x:c>
      <x:c r="M1631" s="14" t="n">
        <x:v>33</x:v>
      </x:c>
      <x:c r="N1631" s="15" t="n">
        <x:f>IF(E1631=0,"해당 없음",F1631/E1631)</x:f>
        <x:v>0.04807692307692308</x:v>
      </x:c>
      <x:c r="O1631" s="15" t="n">
        <x:f>IF(E1631=0,"해당 없음",G1631/E1631)</x:f>
        <x:v>0.14423076923076922</x:v>
      </x:c>
      <x:c r="P1631" s="15" t="n">
        <x:f>IF(E1631=0,"해당 없음",H1631/E1631)</x:f>
        <x:v>0.028846153846153848</x:v>
      </x:c>
      <x:c r="Q1631" s="15" t="n">
        <x:f>IF(E1631=0,"해당 없음",I1631/E1631)</x:f>
        <x:v>0.038461538461538464</x:v>
      </x:c>
      <x:c r="R1631" s="15" t="n">
        <x:f>IF(E1631=0,"해당 없음",J1631/E1631)</x:f>
        <x:v>0.038461538461538464</x:v>
      </x:c>
      <x:c r="S1631" s="15" t="n">
        <x:f>IF(E1631=0,"해당 없음",K1631/E1631)</x:f>
        <x:v>0.028846153846153848</x:v>
      </x:c>
      <x:c r="T1631" s="15" t="n">
        <x:f>IF(E1631=0,"해당 없음",L1631/E1631)</x:f>
        <x:v>0.3557692307692308</x:v>
      </x:c>
      <x:c r="U1631" s="15" t="n">
        <x:f>IF(E1631=0,"해당 없음",M1631/E1631)</x:f>
        <x:v>0.3173076923076923</x:v>
      </x:c>
      <x:c r="V1631" s="16" t="n">
        <x:f>E1631/5</x:f>
        <x:v>20.8</x:v>
      </x:c>
    </x:row>
    <x:row r="1632" ht="22" customHeight="1">
      <x:c r="A1632" s="2" t="n">
        <x:v>814</x:v>
      </x:c>
      <x:c r="B1632" s="2" t="str">
        <x:v>RED</x:v>
      </x:c>
      <x:c r="C1632" s="2" t="str">
        <x:v>200만</x:v>
      </x:c>
      <x:c r="D1632" s="2" t="str">
        <x:v>80만</x:v>
      </x:c>
      <x:c r="E1632" s="14" t="n">
        <x:f>SUM(F1632:M1632)</x:f>
        <x:v>102</x:v>
      </x:c>
      <x:c r="F1632" s="14" t="n">
        <x:v>4</x:v>
      </x:c>
      <x:c r="G1632" s="14" t="n">
        <x:v>12</x:v>
      </x:c>
      <x:c r="H1632" s="14" t="n">
        <x:v>3</x:v>
      </x:c>
      <x:c r="I1632" s="14" t="n">
        <x:v>5</x:v>
      </x:c>
      <x:c r="J1632" s="14" t="n">
        <x:v>0</x:v>
      </x:c>
      <x:c r="K1632" s="14" t="n">
        <x:v>2</x:v>
      </x:c>
      <x:c r="L1632" s="14" t="n">
        <x:v>33</x:v>
      </x:c>
      <x:c r="M1632" s="14" t="n">
        <x:v>43</x:v>
      </x:c>
      <x:c r="N1632" s="15" t="n">
        <x:f>IF(E1632=0,"해당 없음",F1632/E1632)</x:f>
        <x:v>0.0392156862745098</x:v>
      </x:c>
      <x:c r="O1632" s="15" t="n">
        <x:f>IF(E1632=0,"해당 없음",G1632/E1632)</x:f>
        <x:v>0.11764705882352941</x:v>
      </x:c>
      <x:c r="P1632" s="15" t="n">
        <x:f>IF(E1632=0,"해당 없음",H1632/E1632)</x:f>
        <x:v>0.029411764705882353</x:v>
      </x:c>
      <x:c r="Q1632" s="15" t="n">
        <x:f>IF(E1632=0,"해당 없음",I1632/E1632)</x:f>
        <x:v>0.049019607843137254</x:v>
      </x:c>
      <x:c r="R1632" s="15" t="n">
        <x:f>IF(E1632=0,"해당 없음",J1632/E1632)</x:f>
        <x:v>0</x:v>
      </x:c>
      <x:c r="S1632" s="15" t="n">
        <x:f>IF(E1632=0,"해당 없음",K1632/E1632)</x:f>
        <x:v>0.0196078431372549</x:v>
      </x:c>
      <x:c r="T1632" s="15" t="n">
        <x:f>IF(E1632=0,"해당 없음",L1632/E1632)</x:f>
        <x:v>0.3235294117647059</x:v>
      </x:c>
      <x:c r="U1632" s="15" t="n">
        <x:f>IF(E1632=0,"해당 없음",M1632/E1632)</x:f>
        <x:v>0.4215686274509804</x:v>
      </x:c>
      <x:c r="V1632" s="16" t="n">
        <x:f>E1632/5</x:f>
        <x:v>20.4</x:v>
      </x:c>
    </x:row>
    <x:row r="1633" ht="22" customHeight="1">
      <x:c r="A1633" s="2" t="n">
        <x:v>814</x:v>
      </x:c>
      <x:c r="B1633" s="2" t="str">
        <x:v>NAVY</x:v>
      </x:c>
      <x:c r="C1633" s="2" t="str">
        <x:v>80만</x:v>
      </x:c>
      <x:c r="D1633" s="2" t="str">
        <x:v>200만</x:v>
      </x:c>
      <x:c r="E1633" s="14" t="n">
        <x:f>SUM(F1633:M1633)</x:f>
        <x:v>102</x:v>
      </x:c>
      <x:c r="F1633" s="14" t="n">
        <x:v>7</x:v>
      </x:c>
      <x:c r="G1633" s="14" t="n">
        <x:v>17</x:v>
      </x:c>
      <x:c r="H1633" s="14" t="n">
        <x:v>8</x:v>
      </x:c>
      <x:c r="I1633" s="14" t="n">
        <x:v>3</x:v>
      </x:c>
      <x:c r="J1633" s="14" t="n">
        <x:v>6</x:v>
      </x:c>
      <x:c r="K1633" s="14" t="n">
        <x:v>10</x:v>
      </x:c>
      <x:c r="L1633" s="14" t="n">
        <x:v>35</x:v>
      </x:c>
      <x:c r="M1633" s="14" t="n">
        <x:v>16</x:v>
      </x:c>
      <x:c r="N1633" s="15" t="n">
        <x:f>IF(E1633=0,"해당 없음",F1633/E1633)</x:f>
        <x:v>0.06862745098039216</x:v>
      </x:c>
      <x:c r="O1633" s="15" t="n">
        <x:f>IF(E1633=0,"해당 없음",G1633/E1633)</x:f>
        <x:v>0.16666666666666666</x:v>
      </x:c>
      <x:c r="P1633" s="15" t="n">
        <x:f>IF(E1633=0,"해당 없음",H1633/E1633)</x:f>
        <x:v>0.0784313725490196</x:v>
      </x:c>
      <x:c r="Q1633" s="15" t="n">
        <x:f>IF(E1633=0,"해당 없음",I1633/E1633)</x:f>
        <x:v>0.029411764705882353</x:v>
      </x:c>
      <x:c r="R1633" s="15" t="n">
        <x:f>IF(E1633=0,"해당 없음",J1633/E1633)</x:f>
        <x:v>0.058823529411764705</x:v>
      </x:c>
      <x:c r="S1633" s="15" t="n">
        <x:f>IF(E1633=0,"해당 없음",K1633/E1633)</x:f>
        <x:v>0.09803921568627451</x:v>
      </x:c>
      <x:c r="T1633" s="15" t="n">
        <x:f>IF(E1633=0,"해당 없음",L1633/E1633)</x:f>
        <x:v>0.3431372549019608</x:v>
      </x:c>
      <x:c r="U1633" s="15" t="n">
        <x:f>IF(E1633=0,"해당 없음",M1633/E1633)</x:f>
        <x:v>0.1568627450980392</x:v>
      </x:c>
      <x:c r="V1633" s="16" t="n">
        <x:f>E1633/5</x:f>
        <x:v>20.4</x:v>
      </x:c>
    </x:row>
    <x:row r="1634" ht="22" customHeight="1">
      <x:c r="A1634" s="2" t="n">
        <x:v>815</x:v>
      </x:c>
      <x:c r="B1634" s="2" t="str">
        <x:v>RED</x:v>
      </x:c>
      <x:c r="C1634" s="2" t="str">
        <x:v>80만</x:v>
      </x:c>
      <x:c r="D1634" s="2" t="str">
        <x:v>200만</x:v>
      </x:c>
      <x:c r="E1634" s="14" t="n">
        <x:f>SUM(F1634:M1634)</x:f>
        <x:v>107</x:v>
      </x:c>
      <x:c r="F1634" s="14" t="n">
        <x:v>7</x:v>
      </x:c>
      <x:c r="G1634" s="14" t="n">
        <x:v>10</x:v>
      </x:c>
      <x:c r="H1634" s="14" t="n">
        <x:v>8</x:v>
      </x:c>
      <x:c r="I1634" s="14" t="n">
        <x:v>7</x:v>
      </x:c>
      <x:c r="J1634" s="14" t="n">
        <x:v>0</x:v>
      </x:c>
      <x:c r="K1634" s="14" t="n">
        <x:v>10</x:v>
      </x:c>
      <x:c r="L1634" s="14" t="n">
        <x:v>41</x:v>
      </x:c>
      <x:c r="M1634" s="14" t="n">
        <x:v>24</x:v>
      </x:c>
      <x:c r="N1634" s="15" t="n">
        <x:f>IF(E1634=0,"해당 없음",F1634/E1634)</x:f>
        <x:v>0.06542056074766354</x:v>
      </x:c>
      <x:c r="O1634" s="15" t="n">
        <x:f>IF(E1634=0,"해당 없음",G1634/E1634)</x:f>
        <x:v>0.09345794392523364</x:v>
      </x:c>
      <x:c r="P1634" s="15" t="n">
        <x:f>IF(E1634=0,"해당 없음",H1634/E1634)</x:f>
        <x:v>0.07476635514018691</x:v>
      </x:c>
      <x:c r="Q1634" s="15" t="n">
        <x:f>IF(E1634=0,"해당 없음",I1634/E1634)</x:f>
        <x:v>0.06542056074766354</x:v>
      </x:c>
      <x:c r="R1634" s="15" t="n">
        <x:f>IF(E1634=0,"해당 없음",J1634/E1634)</x:f>
        <x:v>0</x:v>
      </x:c>
      <x:c r="S1634" s="15" t="n">
        <x:f>IF(E1634=0,"해당 없음",K1634/E1634)</x:f>
        <x:v>0.09345794392523364</x:v>
      </x:c>
      <x:c r="T1634" s="15" t="n">
        <x:f>IF(E1634=0,"해당 없음",L1634/E1634)</x:f>
        <x:v>0.38317757009345793</x:v>
      </x:c>
      <x:c r="U1634" s="15" t="n">
        <x:f>IF(E1634=0,"해당 없음",M1634/E1634)</x:f>
        <x:v>0.22429906542056074</x:v>
      </x:c>
      <x:c r="V1634" s="16" t="n">
        <x:f>E1634/5</x:f>
        <x:v>21.4</x:v>
      </x:c>
    </x:row>
    <x:row r="1635" ht="22" customHeight="1">
      <x:c r="A1635" s="2" t="n">
        <x:v>815</x:v>
      </x:c>
      <x:c r="B1635" s="2" t="str">
        <x:v>NAVY</x:v>
      </x:c>
      <x:c r="C1635" s="2" t="str">
        <x:v>200만</x:v>
      </x:c>
      <x:c r="D1635" s="2" t="str">
        <x:v>80만</x:v>
      </x:c>
      <x:c r="E1635" s="14" t="n">
        <x:f>SUM(F1635:M1635)</x:f>
        <x:v>106</x:v>
      </x:c>
      <x:c r="F1635" s="14" t="n">
        <x:v>6</x:v>
      </x:c>
      <x:c r="G1635" s="14" t="n">
        <x:v>12</x:v>
      </x:c>
      <x:c r="H1635" s="14" t="n">
        <x:v>2</x:v>
      </x:c>
      <x:c r="I1635" s="14" t="n">
        <x:v>4</x:v>
      </x:c>
      <x:c r="J1635" s="14" t="n">
        <x:v>7</x:v>
      </x:c>
      <x:c r="K1635" s="14" t="n">
        <x:v>1</x:v>
      </x:c>
      <x:c r="L1635" s="14" t="n">
        <x:v>35</x:v>
      </x:c>
      <x:c r="M1635" s="14" t="n">
        <x:v>39</x:v>
      </x:c>
      <x:c r="N1635" s="15" t="n">
        <x:f>IF(E1635=0,"해당 없음",F1635/E1635)</x:f>
        <x:v>0.05660377358490566</x:v>
      </x:c>
      <x:c r="O1635" s="15" t="n">
        <x:f>IF(E1635=0,"해당 없음",G1635/E1635)</x:f>
        <x:v>0.11320754716981132</x:v>
      </x:c>
      <x:c r="P1635" s="15" t="n">
        <x:f>IF(E1635=0,"해당 없음",H1635/E1635)</x:f>
        <x:v>0.018867924528301886</x:v>
      </x:c>
      <x:c r="Q1635" s="15" t="n">
        <x:f>IF(E1635=0,"해당 없음",I1635/E1635)</x:f>
        <x:v>0.03773584905660377</x:v>
      </x:c>
      <x:c r="R1635" s="15" t="n">
        <x:f>IF(E1635=0,"해당 없음",J1635/E1635)</x:f>
        <x:v>0.0660377358490566</x:v>
      </x:c>
      <x:c r="S1635" s="15" t="n">
        <x:f>IF(E1635=0,"해당 없음",K1635/E1635)</x:f>
        <x:v>0.009433962264150943</x:v>
      </x:c>
      <x:c r="T1635" s="15" t="n">
        <x:f>IF(E1635=0,"해당 없음",L1635/E1635)</x:f>
        <x:v>0.330188679245283</x:v>
      </x:c>
      <x:c r="U1635" s="15" t="n">
        <x:f>IF(E1635=0,"해당 없음",M1635/E1635)</x:f>
        <x:v>0.36792452830188677</x:v>
      </x:c>
      <x:c r="V1635" s="16" t="n">
        <x:f>E1635/5</x:f>
        <x:v>21.2</x:v>
      </x:c>
    </x:row>
    <x:row r="1636" ht="22" customHeight="1">
      <x:c r="A1636" s="2" t="n">
        <x:v>816</x:v>
      </x:c>
      <x:c r="B1636" s="2" t="str">
        <x:v>RED</x:v>
      </x:c>
      <x:c r="C1636" s="2" t="str">
        <x:v>200만</x:v>
      </x:c>
      <x:c r="D1636" s="2" t="str">
        <x:v>80만</x:v>
      </x:c>
      <x:c r="E1636" s="14" t="n">
        <x:f>SUM(F1636:M1636)</x:f>
        <x:v>102</x:v>
      </x:c>
      <x:c r="F1636" s="14" t="n">
        <x:v>3</x:v>
      </x:c>
      <x:c r="G1636" s="14" t="n">
        <x:v>14</x:v>
      </x:c>
      <x:c r="H1636" s="14" t="n">
        <x:v>4</x:v>
      </x:c>
      <x:c r="I1636" s="14" t="n">
        <x:v>4</x:v>
      </x:c>
      <x:c r="J1636" s="14" t="n">
        <x:v>3</x:v>
      </x:c>
      <x:c r="K1636" s="14" t="n">
        <x:v>4</x:v>
      </x:c>
      <x:c r="L1636" s="14" t="n">
        <x:v>36</x:v>
      </x:c>
      <x:c r="M1636" s="14" t="n">
        <x:v>34</x:v>
      </x:c>
      <x:c r="N1636" s="15" t="n">
        <x:f>IF(E1636=0,"해당 없음",F1636/E1636)</x:f>
        <x:v>0.029411764705882353</x:v>
      </x:c>
      <x:c r="O1636" s="15" t="n">
        <x:f>IF(E1636=0,"해당 없음",G1636/E1636)</x:f>
        <x:v>0.13725490196078433</x:v>
      </x:c>
      <x:c r="P1636" s="15" t="n">
        <x:f>IF(E1636=0,"해당 없음",H1636/E1636)</x:f>
        <x:v>0.0392156862745098</x:v>
      </x:c>
      <x:c r="Q1636" s="15" t="n">
        <x:f>IF(E1636=0,"해당 없음",I1636/E1636)</x:f>
        <x:v>0.0392156862745098</x:v>
      </x:c>
      <x:c r="R1636" s="15" t="n">
        <x:f>IF(E1636=0,"해당 없음",J1636/E1636)</x:f>
        <x:v>0.029411764705882353</x:v>
      </x:c>
      <x:c r="S1636" s="15" t="n">
        <x:f>IF(E1636=0,"해당 없음",K1636/E1636)</x:f>
        <x:v>0.0392156862745098</x:v>
      </x:c>
      <x:c r="T1636" s="15" t="n">
        <x:f>IF(E1636=0,"해당 없음",L1636/E1636)</x:f>
        <x:v>0.35294117647058826</x:v>
      </x:c>
      <x:c r="U1636" s="15" t="n">
        <x:f>IF(E1636=0,"해당 없음",M1636/E1636)</x:f>
        <x:v>0.3333333333333333</x:v>
      </x:c>
      <x:c r="V1636" s="16" t="n">
        <x:f>E1636/5</x:f>
        <x:v>20.4</x:v>
      </x:c>
    </x:row>
    <x:row r="1637" ht="22" customHeight="1">
      <x:c r="A1637" s="2" t="n">
        <x:v>816</x:v>
      </x:c>
      <x:c r="B1637" s="2" t="str">
        <x:v>NAVY</x:v>
      </x:c>
      <x:c r="C1637" s="2" t="str">
        <x:v>80만</x:v>
      </x:c>
      <x:c r="D1637" s="2" t="str">
        <x:v>200만</x:v>
      </x:c>
      <x:c r="E1637" s="14" t="n">
        <x:f>SUM(F1637:M1637)</x:f>
        <x:v>103</x:v>
      </x:c>
      <x:c r="F1637" s="14" t="n">
        <x:v>6</x:v>
      </x:c>
      <x:c r="G1637" s="14" t="n">
        <x:v>12</x:v>
      </x:c>
      <x:c r="H1637" s="14" t="n">
        <x:v>4</x:v>
      </x:c>
      <x:c r="I1637" s="14" t="n">
        <x:v>10</x:v>
      </x:c>
      <x:c r="J1637" s="14" t="n">
        <x:v>1</x:v>
      </x:c>
      <x:c r="K1637" s="14" t="n">
        <x:v>7</x:v>
      </x:c>
      <x:c r="L1637" s="14" t="n">
        <x:v>37</x:v>
      </x:c>
      <x:c r="M1637" s="14" t="n">
        <x:v>26</x:v>
      </x:c>
      <x:c r="N1637" s="15" t="n">
        <x:f>IF(E1637=0,"해당 없음",F1637/E1637)</x:f>
        <x:v>0.05825242718446602</x:v>
      </x:c>
      <x:c r="O1637" s="15" t="n">
        <x:f>IF(E1637=0,"해당 없음",G1637/E1637)</x:f>
        <x:v>0.11650485436893204</x:v>
      </x:c>
      <x:c r="P1637" s="15" t="n">
        <x:f>IF(E1637=0,"해당 없음",H1637/E1637)</x:f>
        <x:v>0.038834951456310676</x:v>
      </x:c>
      <x:c r="Q1637" s="15" t="n">
        <x:f>IF(E1637=0,"해당 없음",I1637/E1637)</x:f>
        <x:v>0.0970873786407767</x:v>
      </x:c>
      <x:c r="R1637" s="15" t="n">
        <x:f>IF(E1637=0,"해당 없음",J1637/E1637)</x:f>
        <x:v>0.009708737864077669</x:v>
      </x:c>
      <x:c r="S1637" s="15" t="n">
        <x:f>IF(E1637=0,"해당 없음",K1637/E1637)</x:f>
        <x:v>0.06796116504854369</x:v>
      </x:c>
      <x:c r="T1637" s="15" t="n">
        <x:f>IF(E1637=0,"해당 없음",L1637/E1637)</x:f>
        <x:v>0.3592233009708738</x:v>
      </x:c>
      <x:c r="U1637" s="15" t="n">
        <x:f>IF(E1637=0,"해당 없음",M1637/E1637)</x:f>
        <x:v>0.2524271844660194</x:v>
      </x:c>
      <x:c r="V1637" s="16" t="n">
        <x:f>E1637/5</x:f>
        <x:v>20.6</x:v>
      </x:c>
    </x:row>
    <x:row r="1638" ht="22" customHeight="1">
      <x:c r="A1638" s="2" t="n">
        <x:v>817</x:v>
      </x:c>
      <x:c r="B1638" s="2" t="str">
        <x:v>RED</x:v>
      </x:c>
      <x:c r="C1638" s="2" t="str">
        <x:v>80만</x:v>
      </x:c>
      <x:c r="D1638" s="2" t="str">
        <x:v>200만</x:v>
      </x:c>
      <x:c r="E1638" s="14" t="n">
        <x:f>SUM(F1638:M1638)</x:f>
        <x:v>102</x:v>
      </x:c>
      <x:c r="F1638" s="14" t="n">
        <x:v>4</x:v>
      </x:c>
      <x:c r="G1638" s="14" t="n">
        <x:v>19</x:v>
      </x:c>
      <x:c r="H1638" s="14" t="n">
        <x:v>10</x:v>
      </x:c>
      <x:c r="I1638" s="14" t="n">
        <x:v>9</x:v>
      </x:c>
      <x:c r="J1638" s="14" t="n">
        <x:v>2</x:v>
      </x:c>
      <x:c r="K1638" s="14" t="n">
        <x:v>6</x:v>
      </x:c>
      <x:c r="L1638" s="14" t="n">
        <x:v>38</x:v>
      </x:c>
      <x:c r="M1638" s="14" t="n">
        <x:v>14</x:v>
      </x:c>
      <x:c r="N1638" s="15" t="n">
        <x:f>IF(E1638=0,"해당 없음",F1638/E1638)</x:f>
        <x:v>0.0392156862745098</x:v>
      </x:c>
      <x:c r="O1638" s="15" t="n">
        <x:f>IF(E1638=0,"해당 없음",G1638/E1638)</x:f>
        <x:v>0.18627450980392157</x:v>
      </x:c>
      <x:c r="P1638" s="15" t="n">
        <x:f>IF(E1638=0,"해당 없음",H1638/E1638)</x:f>
        <x:v>0.09803921568627451</x:v>
      </x:c>
      <x:c r="Q1638" s="15" t="n">
        <x:f>IF(E1638=0,"해당 없음",I1638/E1638)</x:f>
        <x:v>0.08823529411764706</x:v>
      </x:c>
      <x:c r="R1638" s="15" t="n">
        <x:f>IF(E1638=0,"해당 없음",J1638/E1638)</x:f>
        <x:v>0.0196078431372549</x:v>
      </x:c>
      <x:c r="S1638" s="15" t="n">
        <x:f>IF(E1638=0,"해당 없음",K1638/E1638)</x:f>
        <x:v>0.058823529411764705</x:v>
      </x:c>
      <x:c r="T1638" s="15" t="n">
        <x:f>IF(E1638=0,"해당 없음",L1638/E1638)</x:f>
        <x:v>0.37254901960784315</x:v>
      </x:c>
      <x:c r="U1638" s="15" t="n">
        <x:f>IF(E1638=0,"해당 없음",M1638/E1638)</x:f>
        <x:v>0.13725490196078433</x:v>
      </x:c>
      <x:c r="V1638" s="16" t="n">
        <x:f>E1638/5</x:f>
        <x:v>20.4</x:v>
      </x:c>
    </x:row>
    <x:row r="1639" ht="22" customHeight="1">
      <x:c r="A1639" s="2" t="n">
        <x:v>817</x:v>
      </x:c>
      <x:c r="B1639" s="2" t="str">
        <x:v>NAVY</x:v>
      </x:c>
      <x:c r="C1639" s="2" t="str">
        <x:v>200만</x:v>
      </x:c>
      <x:c r="D1639" s="2" t="str">
        <x:v>80만</x:v>
      </x:c>
      <x:c r="E1639" s="14" t="n">
        <x:f>SUM(F1639:M1639)</x:f>
        <x:v>104</x:v>
      </x:c>
      <x:c r="F1639" s="14" t="n">
        <x:v>5</x:v>
      </x:c>
      <x:c r="G1639" s="14" t="n">
        <x:v>19</x:v>
      </x:c>
      <x:c r="H1639" s="14" t="n">
        <x:v>2</x:v>
      </x:c>
      <x:c r="I1639" s="14" t="n">
        <x:v>3</x:v>
      </x:c>
      <x:c r="J1639" s="14" t="n">
        <x:v>3</x:v>
      </x:c>
      <x:c r="K1639" s="14" t="n">
        <x:v>11</x:v>
      </x:c>
      <x:c r="L1639" s="14" t="n">
        <x:v>33</x:v>
      </x:c>
      <x:c r="M1639" s="14" t="n">
        <x:v>28</x:v>
      </x:c>
      <x:c r="N1639" s="15" t="n">
        <x:f>IF(E1639=0,"해당 없음",F1639/E1639)</x:f>
        <x:v>0.04807692307692308</x:v>
      </x:c>
      <x:c r="O1639" s="15" t="n">
        <x:f>IF(E1639=0,"해당 없음",G1639/E1639)</x:f>
        <x:v>0.18269230769230768</x:v>
      </x:c>
      <x:c r="P1639" s="15" t="n">
        <x:f>IF(E1639=0,"해당 없음",H1639/E1639)</x:f>
        <x:v>0.019230769230769232</x:v>
      </x:c>
      <x:c r="Q1639" s="15" t="n">
        <x:f>IF(E1639=0,"해당 없음",I1639/E1639)</x:f>
        <x:v>0.028846153846153848</x:v>
      </x:c>
      <x:c r="R1639" s="15" t="n">
        <x:f>IF(E1639=0,"해당 없음",J1639/E1639)</x:f>
        <x:v>0.028846153846153848</x:v>
      </x:c>
      <x:c r="S1639" s="15" t="n">
        <x:f>IF(E1639=0,"해당 없음",K1639/E1639)</x:f>
        <x:v>0.10576923076923077</x:v>
      </x:c>
      <x:c r="T1639" s="15" t="n">
        <x:f>IF(E1639=0,"해당 없음",L1639/E1639)</x:f>
        <x:v>0.3173076923076923</x:v>
      </x:c>
      <x:c r="U1639" s="15" t="n">
        <x:f>IF(E1639=0,"해당 없음",M1639/E1639)</x:f>
        <x:v>0.2692307692307692</x:v>
      </x:c>
      <x:c r="V1639" s="16" t="n">
        <x:f>E1639/5</x:f>
        <x:v>20.8</x:v>
      </x:c>
    </x:row>
    <x:row r="1640" ht="22" customHeight="1">
      <x:c r="A1640" s="2" t="n">
        <x:v>818</x:v>
      </x:c>
      <x:c r="B1640" s="2" t="str">
        <x:v>RED</x:v>
      </x:c>
      <x:c r="C1640" s="2" t="str">
        <x:v>200만</x:v>
      </x:c>
      <x:c r="D1640" s="2" t="str">
        <x:v>80만</x:v>
      </x:c>
      <x:c r="E1640" s="14" t="n">
        <x:f>SUM(F1640:M1640)</x:f>
        <x:v>103</x:v>
      </x:c>
      <x:c r="F1640" s="14" t="n">
        <x:v>5</x:v>
      </x:c>
      <x:c r="G1640" s="14" t="n">
        <x:v>16</x:v>
      </x:c>
      <x:c r="H1640" s="14" t="n">
        <x:v>0</x:v>
      </x:c>
      <x:c r="I1640" s="14" t="n">
        <x:v>5</x:v>
      </x:c>
      <x:c r="J1640" s="14" t="n">
        <x:v>5</x:v>
      </x:c>
      <x:c r="K1640" s="14" t="n">
        <x:v>4</x:v>
      </x:c>
      <x:c r="L1640" s="14" t="n">
        <x:v>37</x:v>
      </x:c>
      <x:c r="M1640" s="14" t="n">
        <x:v>31</x:v>
      </x:c>
      <x:c r="N1640" s="15" t="n">
        <x:f>IF(E1640=0,"해당 없음",F1640/E1640)</x:f>
        <x:v>0.04854368932038835</x:v>
      </x:c>
      <x:c r="O1640" s="15" t="n">
        <x:f>IF(E1640=0,"해당 없음",G1640/E1640)</x:f>
        <x:v>0.1553398058252427</x:v>
      </x:c>
      <x:c r="P1640" s="15" t="n">
        <x:f>IF(E1640=0,"해당 없음",H1640/E1640)</x:f>
        <x:v>0</x:v>
      </x:c>
      <x:c r="Q1640" s="15" t="n">
        <x:f>IF(E1640=0,"해당 없음",I1640/E1640)</x:f>
        <x:v>0.04854368932038835</x:v>
      </x:c>
      <x:c r="R1640" s="15" t="n">
        <x:f>IF(E1640=0,"해당 없음",J1640/E1640)</x:f>
        <x:v>0.04854368932038835</x:v>
      </x:c>
      <x:c r="S1640" s="15" t="n">
        <x:f>IF(E1640=0,"해당 없음",K1640/E1640)</x:f>
        <x:v>0.038834951456310676</x:v>
      </x:c>
      <x:c r="T1640" s="15" t="n">
        <x:f>IF(E1640=0,"해당 없음",L1640/E1640)</x:f>
        <x:v>0.3592233009708738</x:v>
      </x:c>
      <x:c r="U1640" s="15" t="n">
        <x:f>IF(E1640=0,"해당 없음",M1640/E1640)</x:f>
        <x:v>0.30097087378640774</x:v>
      </x:c>
      <x:c r="V1640" s="16" t="n">
        <x:f>E1640/5</x:f>
        <x:v>20.6</x:v>
      </x:c>
    </x:row>
    <x:row r="1641" ht="22" customHeight="1">
      <x:c r="A1641" s="2" t="n">
        <x:v>818</x:v>
      </x:c>
      <x:c r="B1641" s="2" t="str">
        <x:v>NAVY</x:v>
      </x:c>
      <x:c r="C1641" s="2" t="str">
        <x:v>80만</x:v>
      </x:c>
      <x:c r="D1641" s="2" t="str">
        <x:v>200만</x:v>
      </x:c>
      <x:c r="E1641" s="14" t="n">
        <x:f>SUM(F1641:M1641)</x:f>
        <x:v>103</x:v>
      </x:c>
      <x:c r="F1641" s="14" t="n">
        <x:v>6</x:v>
      </x:c>
      <x:c r="G1641" s="14" t="n">
        <x:v>15</x:v>
      </x:c>
      <x:c r="H1641" s="14" t="n">
        <x:v>7</x:v>
      </x:c>
      <x:c r="I1641" s="14" t="n">
        <x:v>5</x:v>
      </x:c>
      <x:c r="J1641" s="14" t="n">
        <x:v>7</x:v>
      </x:c>
      <x:c r="K1641" s="14" t="n">
        <x:v>3</x:v>
      </x:c>
      <x:c r="L1641" s="14" t="n">
        <x:v>40</x:v>
      </x:c>
      <x:c r="M1641" s="14" t="n">
        <x:v>20</x:v>
      </x:c>
      <x:c r="N1641" s="15" t="n">
        <x:f>IF(E1641=0,"해당 없음",F1641/E1641)</x:f>
        <x:v>0.05825242718446602</x:v>
      </x:c>
      <x:c r="O1641" s="15" t="n">
        <x:f>IF(E1641=0,"해당 없음",G1641/E1641)</x:f>
        <x:v>0.14563106796116504</x:v>
      </x:c>
      <x:c r="P1641" s="15" t="n">
        <x:f>IF(E1641=0,"해당 없음",H1641/E1641)</x:f>
        <x:v>0.06796116504854369</x:v>
      </x:c>
      <x:c r="Q1641" s="15" t="n">
        <x:f>IF(E1641=0,"해당 없음",I1641/E1641)</x:f>
        <x:v>0.04854368932038835</x:v>
      </x:c>
      <x:c r="R1641" s="15" t="n">
        <x:f>IF(E1641=0,"해당 없음",J1641/E1641)</x:f>
        <x:v>0.06796116504854369</x:v>
      </x:c>
      <x:c r="S1641" s="15" t="n">
        <x:f>IF(E1641=0,"해당 없음",K1641/E1641)</x:f>
        <x:v>0.02912621359223301</x:v>
      </x:c>
      <x:c r="T1641" s="15" t="n">
        <x:f>IF(E1641=0,"해당 없음",L1641/E1641)</x:f>
        <x:v>0.3883495145631068</x:v>
      </x:c>
      <x:c r="U1641" s="15" t="n">
        <x:f>IF(E1641=0,"해당 없음",M1641/E1641)</x:f>
        <x:v>0.1941747572815534</x:v>
      </x:c>
      <x:c r="V1641" s="16" t="n">
        <x:f>E1641/5</x:f>
        <x:v>20.6</x:v>
      </x:c>
    </x:row>
    <x:row r="1642" ht="22" customHeight="1">
      <x:c r="A1642" s="2" t="n">
        <x:v>819</x:v>
      </x:c>
      <x:c r="B1642" s="2" t="str">
        <x:v>RED</x:v>
      </x:c>
      <x:c r="C1642" s="2" t="str">
        <x:v>80만</x:v>
      </x:c>
      <x:c r="D1642" s="2" t="str">
        <x:v>200만</x:v>
      </x:c>
      <x:c r="E1642" s="14" t="n">
        <x:f>SUM(F1642:M1642)</x:f>
        <x:v>102</x:v>
      </x:c>
      <x:c r="F1642" s="14" t="n">
        <x:v>3</x:v>
      </x:c>
      <x:c r="G1642" s="14" t="n">
        <x:v>15</x:v>
      </x:c>
      <x:c r="H1642" s="14" t="n">
        <x:v>10</x:v>
      </x:c>
      <x:c r="I1642" s="14" t="n">
        <x:v>10</x:v>
      </x:c>
      <x:c r="J1642" s="14" t="n">
        <x:v>1</x:v>
      </x:c>
      <x:c r="K1642" s="14" t="n">
        <x:v>11</x:v>
      </x:c>
      <x:c r="L1642" s="14" t="n">
        <x:v>36</x:v>
      </x:c>
      <x:c r="M1642" s="14" t="n">
        <x:v>16</x:v>
      </x:c>
      <x:c r="N1642" s="15" t="n">
        <x:f>IF(E1642=0,"해당 없음",F1642/E1642)</x:f>
        <x:v>0.029411764705882353</x:v>
      </x:c>
      <x:c r="O1642" s="15" t="n">
        <x:f>IF(E1642=0,"해당 없음",G1642/E1642)</x:f>
        <x:v>0.14705882352941177</x:v>
      </x:c>
      <x:c r="P1642" s="15" t="n">
        <x:f>IF(E1642=0,"해당 없음",H1642/E1642)</x:f>
        <x:v>0.09803921568627451</x:v>
      </x:c>
      <x:c r="Q1642" s="15" t="n">
        <x:f>IF(E1642=0,"해당 없음",I1642/E1642)</x:f>
        <x:v>0.09803921568627451</x:v>
      </x:c>
      <x:c r="R1642" s="15" t="n">
        <x:f>IF(E1642=0,"해당 없음",J1642/E1642)</x:f>
        <x:v>0.00980392156862745</x:v>
      </x:c>
      <x:c r="S1642" s="15" t="n">
        <x:f>IF(E1642=0,"해당 없음",K1642/E1642)</x:f>
        <x:v>0.10784313725490197</x:v>
      </x:c>
      <x:c r="T1642" s="15" t="n">
        <x:f>IF(E1642=0,"해당 없음",L1642/E1642)</x:f>
        <x:v>0.35294117647058826</x:v>
      </x:c>
      <x:c r="U1642" s="15" t="n">
        <x:f>IF(E1642=0,"해당 없음",M1642/E1642)</x:f>
        <x:v>0.1568627450980392</x:v>
      </x:c>
      <x:c r="V1642" s="16" t="n">
        <x:f>E1642/5</x:f>
        <x:v>20.4</x:v>
      </x:c>
    </x:row>
    <x:row r="1643" ht="22" customHeight="1">
      <x:c r="A1643" s="2" t="n">
        <x:v>819</x:v>
      </x:c>
      <x:c r="B1643" s="2" t="str">
        <x:v>NAVY</x:v>
      </x:c>
      <x:c r="C1643" s="2" t="str">
        <x:v>200만</x:v>
      </x:c>
      <x:c r="D1643" s="2" t="str">
        <x:v>80만</x:v>
      </x:c>
      <x:c r="E1643" s="14" t="n">
        <x:f>SUM(F1643:M1643)</x:f>
        <x:v>101</x:v>
      </x:c>
      <x:c r="F1643" s="14" t="n">
        <x:v>7</x:v>
      </x:c>
      <x:c r="G1643" s="14" t="n">
        <x:v>28</x:v>
      </x:c>
      <x:c r="H1643" s="14" t="n">
        <x:v>5</x:v>
      </x:c>
      <x:c r="I1643" s="14" t="n">
        <x:v>5</x:v>
      </x:c>
      <x:c r="J1643" s="14" t="n">
        <x:v>2</x:v>
      </x:c>
      <x:c r="K1643" s="14" t="n">
        <x:v>10</x:v>
      </x:c>
      <x:c r="L1643" s="14" t="n">
        <x:v>25</x:v>
      </x:c>
      <x:c r="M1643" s="14" t="n">
        <x:v>19</x:v>
      </x:c>
      <x:c r="N1643" s="15" t="n">
        <x:f>IF(E1643=0,"해당 없음",F1643/E1643)</x:f>
        <x:v>0.06930693069306931</x:v>
      </x:c>
      <x:c r="O1643" s="15" t="n">
        <x:f>IF(E1643=0,"해당 없음",G1643/E1643)</x:f>
        <x:v>0.27722772277227725</x:v>
      </x:c>
      <x:c r="P1643" s="15" t="n">
        <x:f>IF(E1643=0,"해당 없음",H1643/E1643)</x:f>
        <x:v>0.04950495049504951</x:v>
      </x:c>
      <x:c r="Q1643" s="15" t="n">
        <x:f>IF(E1643=0,"해당 없음",I1643/E1643)</x:f>
        <x:v>0.04950495049504951</x:v>
      </x:c>
      <x:c r="R1643" s="15" t="n">
        <x:f>IF(E1643=0,"해당 없음",J1643/E1643)</x:f>
        <x:v>0.019801980198019802</x:v>
      </x:c>
      <x:c r="S1643" s="15" t="n">
        <x:f>IF(E1643=0,"해당 없음",K1643/E1643)</x:f>
        <x:v>0.09900990099009901</x:v>
      </x:c>
      <x:c r="T1643" s="15" t="n">
        <x:f>IF(E1643=0,"해당 없음",L1643/E1643)</x:f>
        <x:v>0.24752475247524752</x:v>
      </x:c>
      <x:c r="U1643" s="15" t="n">
        <x:f>IF(E1643=0,"해당 없음",M1643/E1643)</x:f>
        <x:v>0.18811881188118812</x:v>
      </x:c>
      <x:c r="V1643" s="16" t="n">
        <x:f>E1643/5</x:f>
        <x:v>20.2</x:v>
      </x:c>
    </x:row>
    <x:row r="1644" ht="22" customHeight="1">
      <x:c r="A1644" s="2" t="n">
        <x:v>820</x:v>
      </x:c>
      <x:c r="B1644" s="2" t="str">
        <x:v>RED</x:v>
      </x:c>
      <x:c r="C1644" s="2" t="str">
        <x:v>200만</x:v>
      </x:c>
      <x:c r="D1644" s="2" t="str">
        <x:v>80만</x:v>
      </x:c>
      <x:c r="E1644" s="14" t="n">
        <x:f>SUM(F1644:M1644)</x:f>
        <x:v>103</x:v>
      </x:c>
      <x:c r="F1644" s="14" t="n">
        <x:v>7</x:v>
      </x:c>
      <x:c r="G1644" s="14" t="n">
        <x:v>19</x:v>
      </x:c>
      <x:c r="H1644" s="14" t="n">
        <x:v>6</x:v>
      </x:c>
      <x:c r="I1644" s="14" t="n">
        <x:v>5</x:v>
      </x:c>
      <x:c r="J1644" s="14" t="n">
        <x:v>3</x:v>
      </x:c>
      <x:c r="K1644" s="14" t="n">
        <x:v>2</x:v>
      </x:c>
      <x:c r="L1644" s="14" t="n">
        <x:v>36</x:v>
      </x:c>
      <x:c r="M1644" s="14" t="n">
        <x:v>25</x:v>
      </x:c>
      <x:c r="N1644" s="15" t="n">
        <x:f>IF(E1644=0,"해당 없음",F1644/E1644)</x:f>
        <x:v>0.06796116504854369</x:v>
      </x:c>
      <x:c r="O1644" s="15" t="n">
        <x:f>IF(E1644=0,"해당 없음",G1644/E1644)</x:f>
        <x:v>0.18446601941747573</x:v>
      </x:c>
      <x:c r="P1644" s="15" t="n">
        <x:f>IF(E1644=0,"해당 없음",H1644/E1644)</x:f>
        <x:v>0.05825242718446602</x:v>
      </x:c>
      <x:c r="Q1644" s="15" t="n">
        <x:f>IF(E1644=0,"해당 없음",I1644/E1644)</x:f>
        <x:v>0.04854368932038835</x:v>
      </x:c>
      <x:c r="R1644" s="15" t="n">
        <x:f>IF(E1644=0,"해당 없음",J1644/E1644)</x:f>
        <x:v>0.02912621359223301</x:v>
      </x:c>
      <x:c r="S1644" s="15" t="n">
        <x:f>IF(E1644=0,"해당 없음",K1644/E1644)</x:f>
        <x:v>0.019417475728155338</x:v>
      </x:c>
      <x:c r="T1644" s="15" t="n">
        <x:f>IF(E1644=0,"해당 없음",L1644/E1644)</x:f>
        <x:v>0.34951456310679613</x:v>
      </x:c>
      <x:c r="U1644" s="15" t="n">
        <x:f>IF(E1644=0,"해당 없음",M1644/E1644)</x:f>
        <x:v>0.24271844660194175</x:v>
      </x:c>
      <x:c r="V1644" s="16" t="n">
        <x:f>E1644/5</x:f>
        <x:v>20.6</x:v>
      </x:c>
    </x:row>
    <x:row r="1645" ht="22" customHeight="1">
      <x:c r="A1645" s="2" t="n">
        <x:v>820</x:v>
      </x:c>
      <x:c r="B1645" s="2" t="str">
        <x:v>NAVY</x:v>
      </x:c>
      <x:c r="C1645" s="2" t="str">
        <x:v>80만</x:v>
      </x:c>
      <x:c r="D1645" s="2" t="str">
        <x:v>200만</x:v>
      </x:c>
      <x:c r="E1645" s="14" t="n">
        <x:f>SUM(F1645:M1645)</x:f>
        <x:v>104</x:v>
      </x:c>
      <x:c r="F1645" s="14" t="n">
        <x:v>5</x:v>
      </x:c>
      <x:c r="G1645" s="14" t="n">
        <x:v>23</x:v>
      </x:c>
      <x:c r="H1645" s="14" t="n">
        <x:v>9</x:v>
      </x:c>
      <x:c r="I1645" s="14" t="n">
        <x:v>4</x:v>
      </x:c>
      <x:c r="J1645" s="14" t="n">
        <x:v>2</x:v>
      </x:c>
      <x:c r="K1645" s="14" t="n">
        <x:v>14</x:v>
      </x:c>
      <x:c r="L1645" s="14" t="n">
        <x:v>35</x:v>
      </x:c>
      <x:c r="M1645" s="14" t="n">
        <x:v>12</x:v>
      </x:c>
      <x:c r="N1645" s="15" t="n">
        <x:f>IF(E1645=0,"해당 없음",F1645/E1645)</x:f>
        <x:v>0.04807692307692308</x:v>
      </x:c>
      <x:c r="O1645" s="15" t="n">
        <x:f>IF(E1645=0,"해당 없음",G1645/E1645)</x:f>
        <x:v>0.22115384615384615</x:v>
      </x:c>
      <x:c r="P1645" s="15" t="n">
        <x:f>IF(E1645=0,"해당 없음",H1645/E1645)</x:f>
        <x:v>0.08653846153846154</x:v>
      </x:c>
      <x:c r="Q1645" s="15" t="n">
        <x:f>IF(E1645=0,"해당 없음",I1645/E1645)</x:f>
        <x:v>0.038461538461538464</x:v>
      </x:c>
      <x:c r="R1645" s="15" t="n">
        <x:f>IF(E1645=0,"해당 없음",J1645/E1645)</x:f>
        <x:v>0.019230769230769232</x:v>
      </x:c>
      <x:c r="S1645" s="15" t="n">
        <x:f>IF(E1645=0,"해당 없음",K1645/E1645)</x:f>
        <x:v>0.1346153846153846</x:v>
      </x:c>
      <x:c r="T1645" s="15" t="n">
        <x:f>IF(E1645=0,"해당 없음",L1645/E1645)</x:f>
        <x:v>0.33653846153846156</x:v>
      </x:c>
      <x:c r="U1645" s="15" t="n">
        <x:f>IF(E1645=0,"해당 없음",M1645/E1645)</x:f>
        <x:v>0.11538461538461539</x:v>
      </x:c>
      <x:c r="V1645" s="16" t="n">
        <x:f>E1645/5</x:f>
        <x:v>20.8</x:v>
      </x:c>
    </x:row>
    <x:row r="1646" ht="22" customHeight="1">
      <x:c r="A1646" s="2" t="n">
        <x:v>821</x:v>
      </x:c>
      <x:c r="B1646" s="2" t="str">
        <x:v>RED</x:v>
      </x:c>
      <x:c r="C1646" s="2" t="str">
        <x:v>80만</x:v>
      </x:c>
      <x:c r="D1646" s="2" t="str">
        <x:v>200만</x:v>
      </x:c>
      <x:c r="E1646" s="14" t="n">
        <x:f>SUM(F1646:M1646)</x:f>
        <x:v>104</x:v>
      </x:c>
      <x:c r="F1646" s="14" t="n">
        <x:v>3</x:v>
      </x:c>
      <x:c r="G1646" s="14" t="n">
        <x:v>19</x:v>
      </x:c>
      <x:c r="H1646" s="14" t="n">
        <x:v>12</x:v>
      </x:c>
      <x:c r="I1646" s="14" t="n">
        <x:v>8</x:v>
      </x:c>
      <x:c r="J1646" s="14" t="n">
        <x:v>0</x:v>
      </x:c>
      <x:c r="K1646" s="14" t="n">
        <x:v>7</x:v>
      </x:c>
      <x:c r="L1646" s="14" t="n">
        <x:v>40</x:v>
      </x:c>
      <x:c r="M1646" s="14" t="n">
        <x:v>15</x:v>
      </x:c>
      <x:c r="N1646" s="15" t="n">
        <x:f>IF(E1646=0,"해당 없음",F1646/E1646)</x:f>
        <x:v>0.028846153846153848</x:v>
      </x:c>
      <x:c r="O1646" s="15" t="n">
        <x:f>IF(E1646=0,"해당 없음",G1646/E1646)</x:f>
        <x:v>0.18269230769230768</x:v>
      </x:c>
      <x:c r="P1646" s="15" t="n">
        <x:f>IF(E1646=0,"해당 없음",H1646/E1646)</x:f>
        <x:v>0.11538461538461539</x:v>
      </x:c>
      <x:c r="Q1646" s="15" t="n">
        <x:f>IF(E1646=0,"해당 없음",I1646/E1646)</x:f>
        <x:v>0.07692307692307693</x:v>
      </x:c>
      <x:c r="R1646" s="15" t="n">
        <x:f>IF(E1646=0,"해당 없음",J1646/E1646)</x:f>
        <x:v>0</x:v>
      </x:c>
      <x:c r="S1646" s="15" t="n">
        <x:f>IF(E1646=0,"해당 없음",K1646/E1646)</x:f>
        <x:v>0.0673076923076923</x:v>
      </x:c>
      <x:c r="T1646" s="15" t="n">
        <x:f>IF(E1646=0,"해당 없음",L1646/E1646)</x:f>
        <x:v>0.38461538461538464</x:v>
      </x:c>
      <x:c r="U1646" s="15" t="n">
        <x:f>IF(E1646=0,"해당 없음",M1646/E1646)</x:f>
        <x:v>0.14423076923076922</x:v>
      </x:c>
      <x:c r="V1646" s="16" t="n">
        <x:f>E1646/5</x:f>
        <x:v>20.8</x:v>
      </x:c>
    </x:row>
    <x:row r="1647" ht="22" customHeight="1">
      <x:c r="A1647" s="2" t="n">
        <x:v>821</x:v>
      </x:c>
      <x:c r="B1647" s="2" t="str">
        <x:v>NAVY</x:v>
      </x:c>
      <x:c r="C1647" s="2" t="str">
        <x:v>200만</x:v>
      </x:c>
      <x:c r="D1647" s="2" t="str">
        <x:v>80만</x:v>
      </x:c>
      <x:c r="E1647" s="14" t="n">
        <x:f>SUM(F1647:M1647)</x:f>
        <x:v>105</x:v>
      </x:c>
      <x:c r="F1647" s="14" t="n">
        <x:v>3</x:v>
      </x:c>
      <x:c r="G1647" s="14" t="n">
        <x:v>16</x:v>
      </x:c>
      <x:c r="H1647" s="14" t="n">
        <x:v>4</x:v>
      </x:c>
      <x:c r="I1647" s="14" t="n">
        <x:v>3</x:v>
      </x:c>
      <x:c r="J1647" s="14" t="n">
        <x:v>7</x:v>
      </x:c>
      <x:c r="K1647" s="14" t="n">
        <x:v>7</x:v>
      </x:c>
      <x:c r="L1647" s="14" t="n">
        <x:v>32</x:v>
      </x:c>
      <x:c r="M1647" s="14" t="n">
        <x:v>33</x:v>
      </x:c>
      <x:c r="N1647" s="15" t="n">
        <x:f>IF(E1647=0,"해당 없음",F1647/E1647)</x:f>
        <x:v>0.02857142857142857</x:v>
      </x:c>
      <x:c r="O1647" s="15" t="n">
        <x:f>IF(E1647=0,"해당 없음",G1647/E1647)</x:f>
        <x:v>0.1523809523809524</x:v>
      </x:c>
      <x:c r="P1647" s="15" t="n">
        <x:f>IF(E1647=0,"해당 없음",H1647/E1647)</x:f>
        <x:v>0.0380952380952381</x:v>
      </x:c>
      <x:c r="Q1647" s="15" t="n">
        <x:f>IF(E1647=0,"해당 없음",I1647/E1647)</x:f>
        <x:v>0.02857142857142857</x:v>
      </x:c>
      <x:c r="R1647" s="15" t="n">
        <x:f>IF(E1647=0,"해당 없음",J1647/E1647)</x:f>
        <x:v>0.06666666666666667</x:v>
      </x:c>
      <x:c r="S1647" s="15" t="n">
        <x:f>IF(E1647=0,"해당 없음",K1647/E1647)</x:f>
        <x:v>0.06666666666666667</x:v>
      </x:c>
      <x:c r="T1647" s="15" t="n">
        <x:f>IF(E1647=0,"해당 없음",L1647/E1647)</x:f>
        <x:v>0.3047619047619048</x:v>
      </x:c>
      <x:c r="U1647" s="15" t="n">
        <x:f>IF(E1647=0,"해당 없음",M1647/E1647)</x:f>
        <x:v>0.3142857142857143</x:v>
      </x:c>
      <x:c r="V1647" s="16" t="n">
        <x:f>E1647/5</x:f>
        <x:v>21</x:v>
      </x:c>
    </x:row>
    <x:row r="1648" ht="22" customHeight="1">
      <x:c r="A1648" s="2" t="n">
        <x:v>822</x:v>
      </x:c>
      <x:c r="B1648" s="2" t="str">
        <x:v>RED</x:v>
      </x:c>
      <x:c r="C1648" s="2" t="str">
        <x:v>200만</x:v>
      </x:c>
      <x:c r="D1648" s="2" t="str">
        <x:v>80만</x:v>
      </x:c>
      <x:c r="E1648" s="14" t="n">
        <x:f>SUM(F1648:M1648)</x:f>
        <x:v>106</x:v>
      </x:c>
      <x:c r="F1648" s="14" t="n">
        <x:v>6</x:v>
      </x:c>
      <x:c r="G1648" s="14" t="n">
        <x:v>22</x:v>
      </x:c>
      <x:c r="H1648" s="14" t="n">
        <x:v>2</x:v>
      </x:c>
      <x:c r="I1648" s="14" t="n">
        <x:v>2</x:v>
      </x:c>
      <x:c r="J1648" s="14" t="n">
        <x:v>4</x:v>
      </x:c>
      <x:c r="K1648" s="14" t="n">
        <x:v>13</x:v>
      </x:c>
      <x:c r="L1648" s="14" t="n">
        <x:v>36</x:v>
      </x:c>
      <x:c r="M1648" s="14" t="n">
        <x:v>21</x:v>
      </x:c>
      <x:c r="N1648" s="15" t="n">
        <x:f>IF(E1648=0,"해당 없음",F1648/E1648)</x:f>
        <x:v>0.05660377358490566</x:v>
      </x:c>
      <x:c r="O1648" s="15" t="n">
        <x:f>IF(E1648=0,"해당 없음",G1648/E1648)</x:f>
        <x:v>0.20754716981132076</x:v>
      </x:c>
      <x:c r="P1648" s="15" t="n">
        <x:f>IF(E1648=0,"해당 없음",H1648/E1648)</x:f>
        <x:v>0.018867924528301886</x:v>
      </x:c>
      <x:c r="Q1648" s="15" t="n">
        <x:f>IF(E1648=0,"해당 없음",I1648/E1648)</x:f>
        <x:v>0.018867924528301886</x:v>
      </x:c>
      <x:c r="R1648" s="15" t="n">
        <x:f>IF(E1648=0,"해당 없음",J1648/E1648)</x:f>
        <x:v>0.03773584905660377</x:v>
      </x:c>
      <x:c r="S1648" s="15" t="n">
        <x:f>IF(E1648=0,"해당 없음",K1648/E1648)</x:f>
        <x:v>0.12264150943396226</x:v>
      </x:c>
      <x:c r="T1648" s="15" t="n">
        <x:f>IF(E1648=0,"해당 없음",L1648/E1648)</x:f>
        <x:v>0.33962264150943394</x:v>
      </x:c>
      <x:c r="U1648" s="15" t="n">
        <x:f>IF(E1648=0,"해당 없음",M1648/E1648)</x:f>
        <x:v>0.19811320754716982</x:v>
      </x:c>
      <x:c r="V1648" s="16" t="n">
        <x:f>E1648/5</x:f>
        <x:v>21.2</x:v>
      </x:c>
    </x:row>
    <x:row r="1649" ht="22" customHeight="1">
      <x:c r="A1649" s="2" t="n">
        <x:v>822</x:v>
      </x:c>
      <x:c r="B1649" s="2" t="str">
        <x:v>NAVY</x:v>
      </x:c>
      <x:c r="C1649" s="2" t="str">
        <x:v>80만</x:v>
      </x:c>
      <x:c r="D1649" s="2" t="str">
        <x:v>200만</x:v>
      </x:c>
      <x:c r="E1649" s="14" t="n">
        <x:f>SUM(F1649:M1649)</x:f>
        <x:v>105</x:v>
      </x:c>
      <x:c r="F1649" s="14" t="n">
        <x:v>7</x:v>
      </x:c>
      <x:c r="G1649" s="14" t="n">
        <x:v>19</x:v>
      </x:c>
      <x:c r="H1649" s="14" t="n">
        <x:v>8</x:v>
      </x:c>
      <x:c r="I1649" s="14" t="n">
        <x:v>8</x:v>
      </x:c>
      <x:c r="J1649" s="14" t="n">
        <x:v>5</x:v>
      </x:c>
      <x:c r="K1649" s="14" t="n">
        <x:v>3</x:v>
      </x:c>
      <x:c r="L1649" s="14" t="n">
        <x:v>41</x:v>
      </x:c>
      <x:c r="M1649" s="14" t="n">
        <x:v>14</x:v>
      </x:c>
      <x:c r="N1649" s="15" t="n">
        <x:f>IF(E1649=0,"해당 없음",F1649/E1649)</x:f>
        <x:v>0.06666666666666667</x:v>
      </x:c>
      <x:c r="O1649" s="15" t="n">
        <x:f>IF(E1649=0,"해당 없음",G1649/E1649)</x:f>
        <x:v>0.18095238095238095</x:v>
      </x:c>
      <x:c r="P1649" s="15" t="n">
        <x:f>IF(E1649=0,"해당 없음",H1649/E1649)</x:f>
        <x:v>0.0761904761904762</x:v>
      </x:c>
      <x:c r="Q1649" s="15" t="n">
        <x:f>IF(E1649=0,"해당 없음",I1649/E1649)</x:f>
        <x:v>0.0761904761904762</x:v>
      </x:c>
      <x:c r="R1649" s="15" t="n">
        <x:f>IF(E1649=0,"해당 없음",J1649/E1649)</x:f>
        <x:v>0.047619047619047616</x:v>
      </x:c>
      <x:c r="S1649" s="15" t="n">
        <x:f>IF(E1649=0,"해당 없음",K1649/E1649)</x:f>
        <x:v>0.02857142857142857</x:v>
      </x:c>
      <x:c r="T1649" s="15" t="n">
        <x:f>IF(E1649=0,"해당 없음",L1649/E1649)</x:f>
        <x:v>0.3904761904761905</x:v>
      </x:c>
      <x:c r="U1649" s="15" t="n">
        <x:f>IF(E1649=0,"해당 없음",M1649/E1649)</x:f>
        <x:v>0.13333333333333333</x:v>
      </x:c>
      <x:c r="V1649" s="16" t="n">
        <x:f>E1649/5</x:f>
        <x:v>21</x:v>
      </x:c>
    </x:row>
    <x:row r="1650" ht="22" customHeight="1">
      <x:c r="A1650" s="2" t="n">
        <x:v>823</x:v>
      </x:c>
      <x:c r="B1650" s="2" t="str">
        <x:v>RED</x:v>
      </x:c>
      <x:c r="C1650" s="2" t="str">
        <x:v>80만</x:v>
      </x:c>
      <x:c r="D1650" s="2" t="str">
        <x:v>200만</x:v>
      </x:c>
      <x:c r="E1650" s="14" t="n">
        <x:f>SUM(F1650:M1650)</x:f>
        <x:v>104</x:v>
      </x:c>
      <x:c r="F1650" s="14" t="n">
        <x:v>8</x:v>
      </x:c>
      <x:c r="G1650" s="14" t="n">
        <x:v>21</x:v>
      </x:c>
      <x:c r="H1650" s="14" t="n">
        <x:v>9</x:v>
      </x:c>
      <x:c r="I1650" s="14" t="n">
        <x:v>3</x:v>
      </x:c>
      <x:c r="J1650" s="14" t="n">
        <x:v>5</x:v>
      </x:c>
      <x:c r="K1650" s="14" t="n">
        <x:v>4</x:v>
      </x:c>
      <x:c r="L1650" s="14" t="n">
        <x:v>40</x:v>
      </x:c>
      <x:c r="M1650" s="14" t="n">
        <x:v>14</x:v>
      </x:c>
      <x:c r="N1650" s="15" t="n">
        <x:f>IF(E1650=0,"해당 없음",F1650/E1650)</x:f>
        <x:v>0.07692307692307693</x:v>
      </x:c>
      <x:c r="O1650" s="15" t="n">
        <x:f>IF(E1650=0,"해당 없음",G1650/E1650)</x:f>
        <x:v>0.20192307692307693</x:v>
      </x:c>
      <x:c r="P1650" s="15" t="n">
        <x:f>IF(E1650=0,"해당 없음",H1650/E1650)</x:f>
        <x:v>0.08653846153846154</x:v>
      </x:c>
      <x:c r="Q1650" s="15" t="n">
        <x:f>IF(E1650=0,"해당 없음",I1650/E1650)</x:f>
        <x:v>0.028846153846153848</x:v>
      </x:c>
      <x:c r="R1650" s="15" t="n">
        <x:f>IF(E1650=0,"해당 없음",J1650/E1650)</x:f>
        <x:v>0.04807692307692308</x:v>
      </x:c>
      <x:c r="S1650" s="15" t="n">
        <x:f>IF(E1650=0,"해당 없음",K1650/E1650)</x:f>
        <x:v>0.038461538461538464</x:v>
      </x:c>
      <x:c r="T1650" s="15" t="n">
        <x:f>IF(E1650=0,"해당 없음",L1650/E1650)</x:f>
        <x:v>0.38461538461538464</x:v>
      </x:c>
      <x:c r="U1650" s="15" t="n">
        <x:f>IF(E1650=0,"해당 없음",M1650/E1650)</x:f>
        <x:v>0.1346153846153846</x:v>
      </x:c>
      <x:c r="V1650" s="16" t="n">
        <x:f>E1650/5</x:f>
        <x:v>20.8</x:v>
      </x:c>
    </x:row>
    <x:row r="1651" ht="22" customHeight="1">
      <x:c r="A1651" s="2" t="n">
        <x:v>823</x:v>
      </x:c>
      <x:c r="B1651" s="2" t="str">
        <x:v>NAVY</x:v>
      </x:c>
      <x:c r="C1651" s="2" t="str">
        <x:v>200만</x:v>
      </x:c>
      <x:c r="D1651" s="2" t="str">
        <x:v>80만</x:v>
      </x:c>
      <x:c r="E1651" s="14" t="n">
        <x:f>SUM(F1651:M1651)</x:f>
        <x:v>104</x:v>
      </x:c>
      <x:c r="F1651" s="14" t="n">
        <x:v>5</x:v>
      </x:c>
      <x:c r="G1651" s="14" t="n">
        <x:v>18</x:v>
      </x:c>
      <x:c r="H1651" s="14" t="n">
        <x:v>1</x:v>
      </x:c>
      <x:c r="I1651" s="14" t="n">
        <x:v>4</x:v>
      </x:c>
      <x:c r="J1651" s="14" t="n">
        <x:v>5</x:v>
      </x:c>
      <x:c r="K1651" s="14" t="n">
        <x:v>10</x:v>
      </x:c>
      <x:c r="L1651" s="14" t="n">
        <x:v>35</x:v>
      </x:c>
      <x:c r="M1651" s="14" t="n">
        <x:v>26</x:v>
      </x:c>
      <x:c r="N1651" s="15" t="n">
        <x:f>IF(E1651=0,"해당 없음",F1651/E1651)</x:f>
        <x:v>0.04807692307692308</x:v>
      </x:c>
      <x:c r="O1651" s="15" t="n">
        <x:f>IF(E1651=0,"해당 없음",G1651/E1651)</x:f>
        <x:v>0.17307692307692307</x:v>
      </x:c>
      <x:c r="P1651" s="15" t="n">
        <x:f>IF(E1651=0,"해당 없음",H1651/E1651)</x:f>
        <x:v>0.009615384615384616</x:v>
      </x:c>
      <x:c r="Q1651" s="15" t="n">
        <x:f>IF(E1651=0,"해당 없음",I1651/E1651)</x:f>
        <x:v>0.038461538461538464</x:v>
      </x:c>
      <x:c r="R1651" s="15" t="n">
        <x:f>IF(E1651=0,"해당 없음",J1651/E1651)</x:f>
        <x:v>0.04807692307692308</x:v>
      </x:c>
      <x:c r="S1651" s="15" t="n">
        <x:f>IF(E1651=0,"해당 없음",K1651/E1651)</x:f>
        <x:v>0.09615384615384616</x:v>
      </x:c>
      <x:c r="T1651" s="15" t="n">
        <x:f>IF(E1651=0,"해당 없음",L1651/E1651)</x:f>
        <x:v>0.33653846153846156</x:v>
      </x:c>
      <x:c r="U1651" s="15" t="n">
        <x:f>IF(E1651=0,"해당 없음",M1651/E1651)</x:f>
        <x:v>0.25</x:v>
      </x:c>
      <x:c r="V1651" s="16" t="n">
        <x:f>E1651/5</x:f>
        <x:v>20.8</x:v>
      </x:c>
    </x:row>
    <x:row r="1652" ht="22" customHeight="1">
      <x:c r="A1652" s="2" t="n">
        <x:v>824</x:v>
      </x:c>
      <x:c r="B1652" s="2" t="str">
        <x:v>RED</x:v>
      </x:c>
      <x:c r="C1652" s="2" t="str">
        <x:v>200만</x:v>
      </x:c>
      <x:c r="D1652" s="2" t="str">
        <x:v>80만</x:v>
      </x:c>
      <x:c r="E1652" s="14" t="n">
        <x:f>SUM(F1652:M1652)</x:f>
        <x:v>101</x:v>
      </x:c>
      <x:c r="F1652" s="14" t="n">
        <x:v>7</x:v>
      </x:c>
      <x:c r="G1652" s="14" t="n">
        <x:v>15</x:v>
      </x:c>
      <x:c r="H1652" s="14" t="n">
        <x:v>3</x:v>
      </x:c>
      <x:c r="I1652" s="14" t="n">
        <x:v>5</x:v>
      </x:c>
      <x:c r="J1652" s="14" t="n">
        <x:v>1</x:v>
      </x:c>
      <x:c r="K1652" s="14" t="n">
        <x:v>8</x:v>
      </x:c>
      <x:c r="L1652" s="14" t="n">
        <x:v>35</x:v>
      </x:c>
      <x:c r="M1652" s="14" t="n">
        <x:v>27</x:v>
      </x:c>
      <x:c r="N1652" s="15" t="n">
        <x:f>IF(E1652=0,"해당 없음",F1652/E1652)</x:f>
        <x:v>0.06930693069306931</x:v>
      </x:c>
      <x:c r="O1652" s="15" t="n">
        <x:f>IF(E1652=0,"해당 없음",G1652/E1652)</x:f>
        <x:v>0.1485148514851485</x:v>
      </x:c>
      <x:c r="P1652" s="15" t="n">
        <x:f>IF(E1652=0,"해당 없음",H1652/E1652)</x:f>
        <x:v>0.0297029702970297</x:v>
      </x:c>
      <x:c r="Q1652" s="15" t="n">
        <x:f>IF(E1652=0,"해당 없음",I1652/E1652)</x:f>
        <x:v>0.04950495049504951</x:v>
      </x:c>
      <x:c r="R1652" s="15" t="n">
        <x:f>IF(E1652=0,"해당 없음",J1652/E1652)</x:f>
        <x:v>0.009900990099009901</x:v>
      </x:c>
      <x:c r="S1652" s="15" t="n">
        <x:f>IF(E1652=0,"해당 없음",K1652/E1652)</x:f>
        <x:v>0.07920792079207921</x:v>
      </x:c>
      <x:c r="T1652" s="15" t="n">
        <x:f>IF(E1652=0,"해당 없음",L1652/E1652)</x:f>
        <x:v>0.3465346534653465</x:v>
      </x:c>
      <x:c r="U1652" s="15" t="n">
        <x:f>IF(E1652=0,"해당 없음",M1652/E1652)</x:f>
        <x:v>0.26732673267326734</x:v>
      </x:c>
      <x:c r="V1652" s="16" t="n">
        <x:f>E1652/5</x:f>
        <x:v>20.2</x:v>
      </x:c>
    </x:row>
    <x:row r="1653" ht="22" customHeight="1">
      <x:c r="A1653" s="2" t="n">
        <x:v>824</x:v>
      </x:c>
      <x:c r="B1653" s="2" t="str">
        <x:v>NAVY</x:v>
      </x:c>
      <x:c r="C1653" s="2" t="str">
        <x:v>80만</x:v>
      </x:c>
      <x:c r="D1653" s="2" t="str">
        <x:v>200만</x:v>
      </x:c>
      <x:c r="E1653" s="14" t="n">
        <x:f>SUM(F1653:M1653)</x:f>
        <x:v>101</x:v>
      </x:c>
      <x:c r="F1653" s="14" t="n">
        <x:v>10</x:v>
      </x:c>
      <x:c r="G1653" s="14" t="n">
        <x:v>23</x:v>
      </x:c>
      <x:c r="H1653" s="14" t="n">
        <x:v>6</x:v>
      </x:c>
      <x:c r="I1653" s="14" t="n">
        <x:v>3</x:v>
      </x:c>
      <x:c r="J1653" s="14" t="n">
        <x:v>3</x:v>
      </x:c>
      <x:c r="K1653" s="14" t="n">
        <x:v>9</x:v>
      </x:c>
      <x:c r="L1653" s="14" t="n">
        <x:v>29</x:v>
      </x:c>
      <x:c r="M1653" s="14" t="n">
        <x:v>18</x:v>
      </x:c>
      <x:c r="N1653" s="15" t="n">
        <x:f>IF(E1653=0,"해당 없음",F1653/E1653)</x:f>
        <x:v>0.09900990099009901</x:v>
      </x:c>
      <x:c r="O1653" s="15" t="n">
        <x:f>IF(E1653=0,"해당 없음",G1653/E1653)</x:f>
        <x:v>0.22772277227722773</x:v>
      </x:c>
      <x:c r="P1653" s="15" t="n">
        <x:f>IF(E1653=0,"해당 없음",H1653/E1653)</x:f>
        <x:v>0.0594059405940594</x:v>
      </x:c>
      <x:c r="Q1653" s="15" t="n">
        <x:f>IF(E1653=0,"해당 없음",I1653/E1653)</x:f>
        <x:v>0.0297029702970297</x:v>
      </x:c>
      <x:c r="R1653" s="15" t="n">
        <x:f>IF(E1653=0,"해당 없음",J1653/E1653)</x:f>
        <x:v>0.0297029702970297</x:v>
      </x:c>
      <x:c r="S1653" s="15" t="n">
        <x:f>IF(E1653=0,"해당 없음",K1653/E1653)</x:f>
        <x:v>0.0891089108910891</x:v>
      </x:c>
      <x:c r="T1653" s="15" t="n">
        <x:f>IF(E1653=0,"해당 없음",L1653/E1653)</x:f>
        <x:v>0.2871287128712871</x:v>
      </x:c>
      <x:c r="U1653" s="15" t="n">
        <x:f>IF(E1653=0,"해당 없음",M1653/E1653)</x:f>
        <x:v>0.1782178217821782</x:v>
      </x:c>
      <x:c r="V1653" s="16" t="n">
        <x:f>E1653/5</x:f>
        <x:v>20.2</x:v>
      </x:c>
    </x:row>
    <x:row r="1654" ht="22" customHeight="1">
      <x:c r="A1654" s="2" t="n">
        <x:v>825</x:v>
      </x:c>
      <x:c r="B1654" s="2" t="str">
        <x:v>RED</x:v>
      </x:c>
      <x:c r="C1654" s="2" t="str">
        <x:v>80만</x:v>
      </x:c>
      <x:c r="D1654" s="2" t="str">
        <x:v>200만</x:v>
      </x:c>
      <x:c r="E1654" s="14" t="n">
        <x:f>SUM(F1654:M1654)</x:f>
        <x:v>103</x:v>
      </x:c>
      <x:c r="F1654" s="14" t="n">
        <x:v>4</x:v>
      </x:c>
      <x:c r="G1654" s="14" t="n">
        <x:v>14</x:v>
      </x:c>
      <x:c r="H1654" s="14" t="n">
        <x:v>12</x:v>
      </x:c>
      <x:c r="I1654" s="14" t="n">
        <x:v>7</x:v>
      </x:c>
      <x:c r="J1654" s="14" t="n">
        <x:v>1</x:v>
      </x:c>
      <x:c r="K1654" s="14" t="n">
        <x:v>4</x:v>
      </x:c>
      <x:c r="L1654" s="14" t="n">
        <x:v>38</x:v>
      </x:c>
      <x:c r="M1654" s="14" t="n">
        <x:v>23</x:v>
      </x:c>
      <x:c r="N1654" s="15" t="n">
        <x:f>IF(E1654=0,"해당 없음",F1654/E1654)</x:f>
        <x:v>0.038834951456310676</x:v>
      </x:c>
      <x:c r="O1654" s="15" t="n">
        <x:f>IF(E1654=0,"해당 없음",G1654/E1654)</x:f>
        <x:v>0.13592233009708737</x:v>
      </x:c>
      <x:c r="P1654" s="15" t="n">
        <x:f>IF(E1654=0,"해당 없음",H1654/E1654)</x:f>
        <x:v>0.11650485436893204</x:v>
      </x:c>
      <x:c r="Q1654" s="15" t="n">
        <x:f>IF(E1654=0,"해당 없음",I1654/E1654)</x:f>
        <x:v>0.06796116504854369</x:v>
      </x:c>
      <x:c r="R1654" s="15" t="n">
        <x:f>IF(E1654=0,"해당 없음",J1654/E1654)</x:f>
        <x:v>0.009708737864077669</x:v>
      </x:c>
      <x:c r="S1654" s="15" t="n">
        <x:f>IF(E1654=0,"해당 없음",K1654/E1654)</x:f>
        <x:v>0.038834951456310676</x:v>
      </x:c>
      <x:c r="T1654" s="15" t="n">
        <x:f>IF(E1654=0,"해당 없음",L1654/E1654)</x:f>
        <x:v>0.36893203883495146</x:v>
      </x:c>
      <x:c r="U1654" s="15" t="n">
        <x:f>IF(E1654=0,"해당 없음",M1654/E1654)</x:f>
        <x:v>0.22330097087378642</x:v>
      </x:c>
      <x:c r="V1654" s="16" t="n">
        <x:f>E1654/5</x:f>
        <x:v>20.6</x:v>
      </x:c>
    </x:row>
    <x:row r="1655" ht="22" customHeight="1">
      <x:c r="A1655" s="2" t="n">
        <x:v>825</x:v>
      </x:c>
      <x:c r="B1655" s="2" t="str">
        <x:v>NAVY</x:v>
      </x:c>
      <x:c r="C1655" s="2" t="str">
        <x:v>200만</x:v>
      </x:c>
      <x:c r="D1655" s="2" t="str">
        <x:v>80만</x:v>
      </x:c>
      <x:c r="E1655" s="14" t="n">
        <x:f>SUM(F1655:M1655)</x:f>
        <x:v>104</x:v>
      </x:c>
      <x:c r="F1655" s="14" t="n">
        <x:v>6</x:v>
      </x:c>
      <x:c r="G1655" s="14" t="n">
        <x:v>11</x:v>
      </x:c>
      <x:c r="H1655" s="14" t="n">
        <x:v>4</x:v>
      </x:c>
      <x:c r="I1655" s="14" t="n">
        <x:v>4</x:v>
      </x:c>
      <x:c r="J1655" s="14" t="n">
        <x:v>7</x:v>
      </x:c>
      <x:c r="K1655" s="14" t="n">
        <x:v>2</x:v>
      </x:c>
      <x:c r="L1655" s="14" t="n">
        <x:v>34</x:v>
      </x:c>
      <x:c r="M1655" s="14" t="n">
        <x:v>36</x:v>
      </x:c>
      <x:c r="N1655" s="15" t="n">
        <x:f>IF(E1655=0,"해당 없음",F1655/E1655)</x:f>
        <x:v>0.057692307692307696</x:v>
      </x:c>
      <x:c r="O1655" s="15" t="n">
        <x:f>IF(E1655=0,"해당 없음",G1655/E1655)</x:f>
        <x:v>0.10576923076923077</x:v>
      </x:c>
      <x:c r="P1655" s="15" t="n">
        <x:f>IF(E1655=0,"해당 없음",H1655/E1655)</x:f>
        <x:v>0.038461538461538464</x:v>
      </x:c>
      <x:c r="Q1655" s="15" t="n">
        <x:f>IF(E1655=0,"해당 없음",I1655/E1655)</x:f>
        <x:v>0.038461538461538464</x:v>
      </x:c>
      <x:c r="R1655" s="15" t="n">
        <x:f>IF(E1655=0,"해당 없음",J1655/E1655)</x:f>
        <x:v>0.0673076923076923</x:v>
      </x:c>
      <x:c r="S1655" s="15" t="n">
        <x:f>IF(E1655=0,"해당 없음",K1655/E1655)</x:f>
        <x:v>0.019230769230769232</x:v>
      </x:c>
      <x:c r="T1655" s="15" t="n">
        <x:f>IF(E1655=0,"해당 없음",L1655/E1655)</x:f>
        <x:v>0.3269230769230769</x:v>
      </x:c>
      <x:c r="U1655" s="15" t="n">
        <x:f>IF(E1655=0,"해당 없음",M1655/E1655)</x:f>
        <x:v>0.34615384615384615</x:v>
      </x:c>
      <x:c r="V1655" s="16" t="n">
        <x:f>E1655/5</x:f>
        <x:v>20.8</x:v>
      </x:c>
    </x:row>
    <x:row r="1656" ht="22" customHeight="1">
      <x:c r="A1656" s="2" t="n">
        <x:v>826</x:v>
      </x:c>
      <x:c r="B1656" s="2" t="str">
        <x:v>RED</x:v>
      </x:c>
      <x:c r="C1656" s="2" t="str">
        <x:v>200만</x:v>
      </x:c>
      <x:c r="D1656" s="2" t="str">
        <x:v>80만</x:v>
      </x:c>
      <x:c r="E1656" s="14" t="n">
        <x:f>SUM(F1656:M1656)</x:f>
        <x:v>105</x:v>
      </x:c>
      <x:c r="F1656" s="14" t="n">
        <x:v>3</x:v>
      </x:c>
      <x:c r="G1656" s="14" t="n">
        <x:v>21</x:v>
      </x:c>
      <x:c r="H1656" s="14" t="n">
        <x:v>4</x:v>
      </x:c>
      <x:c r="I1656" s="14" t="n">
        <x:v>6</x:v>
      </x:c>
      <x:c r="J1656" s="14" t="n">
        <x:v>4</x:v>
      </x:c>
      <x:c r="K1656" s="14" t="n">
        <x:v>2</x:v>
      </x:c>
      <x:c r="L1656" s="14" t="n">
        <x:v>35</x:v>
      </x:c>
      <x:c r="M1656" s="14" t="n">
        <x:v>30</x:v>
      </x:c>
      <x:c r="N1656" s="15" t="n">
        <x:f>IF(E1656=0,"해당 없음",F1656/E1656)</x:f>
        <x:v>0.02857142857142857</x:v>
      </x:c>
      <x:c r="O1656" s="15" t="n">
        <x:f>IF(E1656=0,"해당 없음",G1656/E1656)</x:f>
        <x:v>0.2</x:v>
      </x:c>
      <x:c r="P1656" s="15" t="n">
        <x:f>IF(E1656=0,"해당 없음",H1656/E1656)</x:f>
        <x:v>0.0380952380952381</x:v>
      </x:c>
      <x:c r="Q1656" s="15" t="n">
        <x:f>IF(E1656=0,"해당 없음",I1656/E1656)</x:f>
        <x:v>0.05714285714285714</x:v>
      </x:c>
      <x:c r="R1656" s="15" t="n">
        <x:f>IF(E1656=0,"해당 없음",J1656/E1656)</x:f>
        <x:v>0.0380952380952381</x:v>
      </x:c>
      <x:c r="S1656" s="15" t="n">
        <x:f>IF(E1656=0,"해당 없음",K1656/E1656)</x:f>
        <x:v>0.01904761904761905</x:v>
      </x:c>
      <x:c r="T1656" s="15" t="n">
        <x:f>IF(E1656=0,"해당 없음",L1656/E1656)</x:f>
        <x:v>0.3333333333333333</x:v>
      </x:c>
      <x:c r="U1656" s="15" t="n">
        <x:f>IF(E1656=0,"해당 없음",M1656/E1656)</x:f>
        <x:v>0.2857142857142857</x:v>
      </x:c>
      <x:c r="V1656" s="16" t="n">
        <x:f>E1656/5</x:f>
        <x:v>21</x:v>
      </x:c>
    </x:row>
    <x:row r="1657" ht="22" customHeight="1">
      <x:c r="A1657" s="2" t="n">
        <x:v>826</x:v>
      </x:c>
      <x:c r="B1657" s="2" t="str">
        <x:v>NAVY</x:v>
      </x:c>
      <x:c r="C1657" s="2" t="str">
        <x:v>80만</x:v>
      </x:c>
      <x:c r="D1657" s="2" t="str">
        <x:v>200만</x:v>
      </x:c>
      <x:c r="E1657" s="14" t="n">
        <x:f>SUM(F1657:M1657)</x:f>
        <x:v>103</x:v>
      </x:c>
      <x:c r="F1657" s="14" t="n">
        <x:v>6</x:v>
      </x:c>
      <x:c r="G1657" s="14" t="n">
        <x:v>14</x:v>
      </x:c>
      <x:c r="H1657" s="14" t="n">
        <x:v>7</x:v>
      </x:c>
      <x:c r="I1657" s="14" t="n">
        <x:v>11</x:v>
      </x:c>
      <x:c r="J1657" s="14" t="n">
        <x:v>1</x:v>
      </x:c>
      <x:c r="K1657" s="14" t="n">
        <x:v>8</x:v>
      </x:c>
      <x:c r="L1657" s="14" t="n">
        <x:v>38</x:v>
      </x:c>
      <x:c r="M1657" s="14" t="n">
        <x:v>18</x:v>
      </x:c>
      <x:c r="N1657" s="15" t="n">
        <x:f>IF(E1657=0,"해당 없음",F1657/E1657)</x:f>
        <x:v>0.05825242718446602</x:v>
      </x:c>
      <x:c r="O1657" s="15" t="n">
        <x:f>IF(E1657=0,"해당 없음",G1657/E1657)</x:f>
        <x:v>0.13592233009708737</x:v>
      </x:c>
      <x:c r="P1657" s="15" t="n">
        <x:f>IF(E1657=0,"해당 없음",H1657/E1657)</x:f>
        <x:v>0.06796116504854369</x:v>
      </x:c>
      <x:c r="Q1657" s="15" t="n">
        <x:f>IF(E1657=0,"해당 없음",I1657/E1657)</x:f>
        <x:v>0.10679611650485436</x:v>
      </x:c>
      <x:c r="R1657" s="15" t="n">
        <x:f>IF(E1657=0,"해당 없음",J1657/E1657)</x:f>
        <x:v>0.009708737864077669</x:v>
      </x:c>
      <x:c r="S1657" s="15" t="n">
        <x:f>IF(E1657=0,"해당 없음",K1657/E1657)</x:f>
        <x:v>0.07766990291262135</x:v>
      </x:c>
      <x:c r="T1657" s="15" t="n">
        <x:f>IF(E1657=0,"해당 없음",L1657/E1657)</x:f>
        <x:v>0.36893203883495146</x:v>
      </x:c>
      <x:c r="U1657" s="15" t="n">
        <x:f>IF(E1657=0,"해당 없음",M1657/E1657)</x:f>
        <x:v>0.17475728155339806</x:v>
      </x:c>
      <x:c r="V1657" s="16" t="n">
        <x:f>E1657/5</x:f>
        <x:v>20.6</x:v>
      </x:c>
    </x:row>
    <x:row r="1658" ht="22" customHeight="1">
      <x:c r="A1658" s="2" t="n">
        <x:v>827</x:v>
      </x:c>
      <x:c r="B1658" s="2" t="str">
        <x:v>RED</x:v>
      </x:c>
      <x:c r="C1658" s="2" t="str">
        <x:v>80만</x:v>
      </x:c>
      <x:c r="D1658" s="2" t="str">
        <x:v>200만</x:v>
      </x:c>
      <x:c r="E1658" s="14" t="n">
        <x:f>SUM(F1658:M1658)</x:f>
        <x:v>102</x:v>
      </x:c>
      <x:c r="F1658" s="14" t="n">
        <x:v>3</x:v>
      </x:c>
      <x:c r="G1658" s="14" t="n">
        <x:v>14</x:v>
      </x:c>
      <x:c r="H1658" s="14" t="n">
        <x:v>7</x:v>
      </x:c>
      <x:c r="I1658" s="14" t="n">
        <x:v>8</x:v>
      </x:c>
      <x:c r="J1658" s="14" t="n">
        <x:v>2</x:v>
      </x:c>
      <x:c r="K1658" s="14" t="n">
        <x:v>2</x:v>
      </x:c>
      <x:c r="L1658" s="14" t="n">
        <x:v>39</x:v>
      </x:c>
      <x:c r="M1658" s="14" t="n">
        <x:v>27</x:v>
      </x:c>
      <x:c r="N1658" s="15" t="n">
        <x:f>IF(E1658=0,"해당 없음",F1658/E1658)</x:f>
        <x:v>0.029411764705882353</x:v>
      </x:c>
      <x:c r="O1658" s="15" t="n">
        <x:f>IF(E1658=0,"해당 없음",G1658/E1658)</x:f>
        <x:v>0.13725490196078433</x:v>
      </x:c>
      <x:c r="P1658" s="15" t="n">
        <x:f>IF(E1658=0,"해당 없음",H1658/E1658)</x:f>
        <x:v>0.06862745098039216</x:v>
      </x:c>
      <x:c r="Q1658" s="15" t="n">
        <x:f>IF(E1658=0,"해당 없음",I1658/E1658)</x:f>
        <x:v>0.0784313725490196</x:v>
      </x:c>
      <x:c r="R1658" s="15" t="n">
        <x:f>IF(E1658=0,"해당 없음",J1658/E1658)</x:f>
        <x:v>0.0196078431372549</x:v>
      </x:c>
      <x:c r="S1658" s="15" t="n">
        <x:f>IF(E1658=0,"해당 없음",K1658/E1658)</x:f>
        <x:v>0.0196078431372549</x:v>
      </x:c>
      <x:c r="T1658" s="15" t="n">
        <x:f>IF(E1658=0,"해당 없음",L1658/E1658)</x:f>
        <x:v>0.38235294117647056</x:v>
      </x:c>
      <x:c r="U1658" s="15" t="n">
        <x:f>IF(E1658=0,"해당 없음",M1658/E1658)</x:f>
        <x:v>0.2647058823529412</x:v>
      </x:c>
      <x:c r="V1658" s="16" t="n">
        <x:f>E1658/5</x:f>
        <x:v>20.4</x:v>
      </x:c>
    </x:row>
    <x:row r="1659" ht="22" customHeight="1">
      <x:c r="A1659" s="2" t="n">
        <x:v>827</x:v>
      </x:c>
      <x:c r="B1659" s="2" t="str">
        <x:v>NAVY</x:v>
      </x:c>
      <x:c r="C1659" s="2" t="str">
        <x:v>200만</x:v>
      </x:c>
      <x:c r="D1659" s="2" t="str">
        <x:v>80만</x:v>
      </x:c>
      <x:c r="E1659" s="14" t="n">
        <x:f>SUM(F1659:M1659)</x:f>
        <x:v>106</x:v>
      </x:c>
      <x:c r="F1659" s="14" t="n">
        <x:v>5</x:v>
      </x:c>
      <x:c r="G1659" s="14" t="n">
        <x:v>12</x:v>
      </x:c>
      <x:c r="H1659" s="14" t="n">
        <x:v>3</x:v>
      </x:c>
      <x:c r="I1659" s="14" t="n">
        <x:v>2</x:v>
      </x:c>
      <x:c r="J1659" s="14" t="n">
        <x:v>6</x:v>
      </x:c>
      <x:c r="K1659" s="14" t="n">
        <x:v>6</x:v>
      </x:c>
      <x:c r="L1659" s="14" t="n">
        <x:v>37</x:v>
      </x:c>
      <x:c r="M1659" s="14" t="n">
        <x:v>35</x:v>
      </x:c>
      <x:c r="N1659" s="15" t="n">
        <x:f>IF(E1659=0,"해당 없음",F1659/E1659)</x:f>
        <x:v>0.04716981132075472</x:v>
      </x:c>
      <x:c r="O1659" s="15" t="n">
        <x:f>IF(E1659=0,"해당 없음",G1659/E1659)</x:f>
        <x:v>0.11320754716981132</x:v>
      </x:c>
      <x:c r="P1659" s="15" t="n">
        <x:f>IF(E1659=0,"해당 없음",H1659/E1659)</x:f>
        <x:v>0.02830188679245283</x:v>
      </x:c>
      <x:c r="Q1659" s="15" t="n">
        <x:f>IF(E1659=0,"해당 없음",I1659/E1659)</x:f>
        <x:v>0.018867924528301886</x:v>
      </x:c>
      <x:c r="R1659" s="15" t="n">
        <x:f>IF(E1659=0,"해당 없음",J1659/E1659)</x:f>
        <x:v>0.05660377358490566</x:v>
      </x:c>
      <x:c r="S1659" s="15" t="n">
        <x:f>IF(E1659=0,"해당 없음",K1659/E1659)</x:f>
        <x:v>0.05660377358490566</x:v>
      </x:c>
      <x:c r="T1659" s="15" t="n">
        <x:f>IF(E1659=0,"해당 없음",L1659/E1659)</x:f>
        <x:v>0.3490566037735849</x:v>
      </x:c>
      <x:c r="U1659" s="15" t="n">
        <x:f>IF(E1659=0,"해당 없음",M1659/E1659)</x:f>
        <x:v>0.330188679245283</x:v>
      </x:c>
      <x:c r="V1659" s="16" t="n">
        <x:f>E1659/5</x:f>
        <x:v>21.2</x:v>
      </x:c>
    </x:row>
    <x:row r="1660" ht="22" customHeight="1">
      <x:c r="A1660" s="2" t="n">
        <x:v>828</x:v>
      </x:c>
      <x:c r="B1660" s="2" t="str">
        <x:v>RED</x:v>
      </x:c>
      <x:c r="C1660" s="2" t="str">
        <x:v>200만</x:v>
      </x:c>
      <x:c r="D1660" s="2" t="str">
        <x:v>80만</x:v>
      </x:c>
      <x:c r="E1660" s="14" t="n">
        <x:f>SUM(F1660:M1660)</x:f>
        <x:v>103</x:v>
      </x:c>
      <x:c r="F1660" s="14" t="n">
        <x:v>3</x:v>
      </x:c>
      <x:c r="G1660" s="14" t="n">
        <x:v>15</x:v>
      </x:c>
      <x:c r="H1660" s="14" t="n">
        <x:v>4</x:v>
      </x:c>
      <x:c r="I1660" s="14" t="n">
        <x:v>3</x:v>
      </x:c>
      <x:c r="J1660" s="14" t="n">
        <x:v>7</x:v>
      </x:c>
      <x:c r="K1660" s="14" t="n">
        <x:v>7</x:v>
      </x:c>
      <x:c r="L1660" s="14" t="n">
        <x:v>33</x:v>
      </x:c>
      <x:c r="M1660" s="14" t="n">
        <x:v>31</x:v>
      </x:c>
      <x:c r="N1660" s="15" t="n">
        <x:f>IF(E1660=0,"해당 없음",F1660/E1660)</x:f>
        <x:v>0.02912621359223301</x:v>
      </x:c>
      <x:c r="O1660" s="15" t="n">
        <x:f>IF(E1660=0,"해당 없음",G1660/E1660)</x:f>
        <x:v>0.14563106796116504</x:v>
      </x:c>
      <x:c r="P1660" s="15" t="n">
        <x:f>IF(E1660=0,"해당 없음",H1660/E1660)</x:f>
        <x:v>0.038834951456310676</x:v>
      </x:c>
      <x:c r="Q1660" s="15" t="n">
        <x:f>IF(E1660=0,"해당 없음",I1660/E1660)</x:f>
        <x:v>0.02912621359223301</x:v>
      </x:c>
      <x:c r="R1660" s="15" t="n">
        <x:f>IF(E1660=0,"해당 없음",J1660/E1660)</x:f>
        <x:v>0.06796116504854369</x:v>
      </x:c>
      <x:c r="S1660" s="15" t="n">
        <x:f>IF(E1660=0,"해당 없음",K1660/E1660)</x:f>
        <x:v>0.06796116504854369</x:v>
      </x:c>
      <x:c r="T1660" s="15" t="n">
        <x:f>IF(E1660=0,"해당 없음",L1660/E1660)</x:f>
        <x:v>0.32038834951456313</x:v>
      </x:c>
      <x:c r="U1660" s="15" t="n">
        <x:f>IF(E1660=0,"해당 없음",M1660/E1660)</x:f>
        <x:v>0.30097087378640774</x:v>
      </x:c>
      <x:c r="V1660" s="16" t="n">
        <x:f>E1660/5</x:f>
        <x:v>20.6</x:v>
      </x:c>
    </x:row>
    <x:row r="1661" ht="22" customHeight="1">
      <x:c r="A1661" s="2" t="n">
        <x:v>828</x:v>
      </x:c>
      <x:c r="B1661" s="2" t="str">
        <x:v>NAVY</x:v>
      </x:c>
      <x:c r="C1661" s="2" t="str">
        <x:v>80만</x:v>
      </x:c>
      <x:c r="D1661" s="2" t="str">
        <x:v>200만</x:v>
      </x:c>
      <x:c r="E1661" s="14" t="n">
        <x:f>SUM(F1661:M1661)</x:f>
        <x:v>102</x:v>
      </x:c>
      <x:c r="F1661" s="14" t="n">
        <x:v>6</x:v>
      </x:c>
      <x:c r="G1661" s="14" t="n">
        <x:v>16</x:v>
      </x:c>
      <x:c r="H1661" s="14" t="n">
        <x:v>8</x:v>
      </x:c>
      <x:c r="I1661" s="14" t="n">
        <x:v>8</x:v>
      </x:c>
      <x:c r="J1661" s="14" t="n">
        <x:v>4</x:v>
      </x:c>
      <x:c r="K1661" s="14" t="n">
        <x:v>4</x:v>
      </x:c>
      <x:c r="L1661" s="14" t="n">
        <x:v>35</x:v>
      </x:c>
      <x:c r="M1661" s="14" t="n">
        <x:v>21</x:v>
      </x:c>
      <x:c r="N1661" s="15" t="n">
        <x:f>IF(E1661=0,"해당 없음",F1661/E1661)</x:f>
        <x:v>0.058823529411764705</x:v>
      </x:c>
      <x:c r="O1661" s="15" t="n">
        <x:f>IF(E1661=0,"해당 없음",G1661/E1661)</x:f>
        <x:v>0.1568627450980392</x:v>
      </x:c>
      <x:c r="P1661" s="15" t="n">
        <x:f>IF(E1661=0,"해당 없음",H1661/E1661)</x:f>
        <x:v>0.0784313725490196</x:v>
      </x:c>
      <x:c r="Q1661" s="15" t="n">
        <x:f>IF(E1661=0,"해당 없음",I1661/E1661)</x:f>
        <x:v>0.0784313725490196</x:v>
      </x:c>
      <x:c r="R1661" s="15" t="n">
        <x:f>IF(E1661=0,"해당 없음",J1661/E1661)</x:f>
        <x:v>0.0392156862745098</x:v>
      </x:c>
      <x:c r="S1661" s="15" t="n">
        <x:f>IF(E1661=0,"해당 없음",K1661/E1661)</x:f>
        <x:v>0.0392156862745098</x:v>
      </x:c>
      <x:c r="T1661" s="15" t="n">
        <x:f>IF(E1661=0,"해당 없음",L1661/E1661)</x:f>
        <x:v>0.3431372549019608</x:v>
      </x:c>
      <x:c r="U1661" s="15" t="n">
        <x:f>IF(E1661=0,"해당 없음",M1661/E1661)</x:f>
        <x:v>0.20588235294117646</x:v>
      </x:c>
      <x:c r="V1661" s="16" t="n">
        <x:f>E1661/5</x:f>
        <x:v>20.4</x:v>
      </x:c>
    </x:row>
    <x:row r="1662" ht="22" customHeight="1">
      <x:c r="A1662" s="2" t="n">
        <x:v>829</x:v>
      </x:c>
      <x:c r="B1662" s="2" t="str">
        <x:v>RED</x:v>
      </x:c>
      <x:c r="C1662" s="2" t="str">
        <x:v>80만</x:v>
      </x:c>
      <x:c r="D1662" s="2" t="str">
        <x:v>200만</x:v>
      </x:c>
      <x:c r="E1662" s="14" t="n">
        <x:f>SUM(F1662:M1662)</x:f>
        <x:v>104</x:v>
      </x:c>
      <x:c r="F1662" s="14" t="n">
        <x:v>6</x:v>
      </x:c>
      <x:c r="G1662" s="14" t="n">
        <x:v>13</x:v>
      </x:c>
      <x:c r="H1662" s="14" t="n">
        <x:v>7</x:v>
      </x:c>
      <x:c r="I1662" s="14" t="n">
        <x:v>5</x:v>
      </x:c>
      <x:c r="J1662" s="14" t="n">
        <x:v>1</x:v>
      </x:c>
      <x:c r="K1662" s="14" t="n">
        <x:v>14</x:v>
      </x:c>
      <x:c r="L1662" s="14" t="n">
        <x:v>38</x:v>
      </x:c>
      <x:c r="M1662" s="14" t="n">
        <x:v>20</x:v>
      </x:c>
      <x:c r="N1662" s="15" t="n">
        <x:f>IF(E1662=0,"해당 없음",F1662/E1662)</x:f>
        <x:v>0.057692307692307696</x:v>
      </x:c>
      <x:c r="O1662" s="15" t="n">
        <x:f>IF(E1662=0,"해당 없음",G1662/E1662)</x:f>
        <x:v>0.125</x:v>
      </x:c>
      <x:c r="P1662" s="15" t="n">
        <x:f>IF(E1662=0,"해당 없음",H1662/E1662)</x:f>
        <x:v>0.0673076923076923</x:v>
      </x:c>
      <x:c r="Q1662" s="15" t="n">
        <x:f>IF(E1662=0,"해당 없음",I1662/E1662)</x:f>
        <x:v>0.04807692307692308</x:v>
      </x:c>
      <x:c r="R1662" s="15" t="n">
        <x:f>IF(E1662=0,"해당 없음",J1662/E1662)</x:f>
        <x:v>0.009615384615384616</x:v>
      </x:c>
      <x:c r="S1662" s="15" t="n">
        <x:f>IF(E1662=0,"해당 없음",K1662/E1662)</x:f>
        <x:v>0.1346153846153846</x:v>
      </x:c>
      <x:c r="T1662" s="15" t="n">
        <x:f>IF(E1662=0,"해당 없음",L1662/E1662)</x:f>
        <x:v>0.36538461538461536</x:v>
      </x:c>
      <x:c r="U1662" s="15" t="n">
        <x:f>IF(E1662=0,"해당 없음",M1662/E1662)</x:f>
        <x:v>0.19230769230769232</x:v>
      </x:c>
      <x:c r="V1662" s="16" t="n">
        <x:f>E1662/5</x:f>
        <x:v>20.8</x:v>
      </x:c>
    </x:row>
    <x:row r="1663" ht="22" customHeight="1">
      <x:c r="A1663" s="2" t="n">
        <x:v>829</x:v>
      </x:c>
      <x:c r="B1663" s="2" t="str">
        <x:v>NAVY</x:v>
      </x:c>
      <x:c r="C1663" s="2" t="str">
        <x:v>200만</x:v>
      </x:c>
      <x:c r="D1663" s="2" t="str">
        <x:v>80만</x:v>
      </x:c>
      <x:c r="E1663" s="14" t="n">
        <x:f>SUM(F1663:M1663)</x:f>
        <x:v>105</x:v>
      </x:c>
      <x:c r="F1663" s="14" t="n">
        <x:v>2</x:v>
      </x:c>
      <x:c r="G1663" s="14" t="n">
        <x:v>15</x:v>
      </x:c>
      <x:c r="H1663" s="14" t="n">
        <x:v>2</x:v>
      </x:c>
      <x:c r="I1663" s="14" t="n">
        <x:v>2</x:v>
      </x:c>
      <x:c r="J1663" s="14" t="n">
        <x:v>6</x:v>
      </x:c>
      <x:c r="K1663" s="14" t="n">
        <x:v>10</x:v>
      </x:c>
      <x:c r="L1663" s="14" t="n">
        <x:v>28</x:v>
      </x:c>
      <x:c r="M1663" s="14" t="n">
        <x:v>40</x:v>
      </x:c>
      <x:c r="N1663" s="15" t="n">
        <x:f>IF(E1663=0,"해당 없음",F1663/E1663)</x:f>
        <x:v>0.01904761904761905</x:v>
      </x:c>
      <x:c r="O1663" s="15" t="n">
        <x:f>IF(E1663=0,"해당 없음",G1663/E1663)</x:f>
        <x:v>0.14285714285714285</x:v>
      </x:c>
      <x:c r="P1663" s="15" t="n">
        <x:f>IF(E1663=0,"해당 없음",H1663/E1663)</x:f>
        <x:v>0.01904761904761905</x:v>
      </x:c>
      <x:c r="Q1663" s="15" t="n">
        <x:f>IF(E1663=0,"해당 없음",I1663/E1663)</x:f>
        <x:v>0.01904761904761905</x:v>
      </x:c>
      <x:c r="R1663" s="15" t="n">
        <x:f>IF(E1663=0,"해당 없음",J1663/E1663)</x:f>
        <x:v>0.05714285714285714</x:v>
      </x:c>
      <x:c r="S1663" s="15" t="n">
        <x:f>IF(E1663=0,"해당 없음",K1663/E1663)</x:f>
        <x:v>0.09523809523809523</x:v>
      </x:c>
      <x:c r="T1663" s="15" t="n">
        <x:f>IF(E1663=0,"해당 없음",L1663/E1663)</x:f>
        <x:v>0.26666666666666666</x:v>
      </x:c>
      <x:c r="U1663" s="15" t="n">
        <x:f>IF(E1663=0,"해당 없음",M1663/E1663)</x:f>
        <x:v>0.38095238095238093</x:v>
      </x:c>
      <x:c r="V1663" s="16" t="n">
        <x:f>E1663/5</x:f>
        <x:v>21</x:v>
      </x:c>
    </x:row>
    <x:row r="1664" ht="22" customHeight="1">
      <x:c r="A1664" s="2" t="n">
        <x:v>830</x:v>
      </x:c>
      <x:c r="B1664" s="2" t="str">
        <x:v>RED</x:v>
      </x:c>
      <x:c r="C1664" s="2" t="str">
        <x:v>200만</x:v>
      </x:c>
      <x:c r="D1664" s="2" t="str">
        <x:v>80만</x:v>
      </x:c>
      <x:c r="E1664" s="14" t="n">
        <x:f>SUM(F1664:M1664)</x:f>
        <x:v>103</x:v>
      </x:c>
      <x:c r="F1664" s="14" t="n">
        <x:v>5</x:v>
      </x:c>
      <x:c r="G1664" s="14" t="n">
        <x:v>13</x:v>
      </x:c>
      <x:c r="H1664" s="14" t="n">
        <x:v>4</x:v>
      </x:c>
      <x:c r="I1664" s="14" t="n">
        <x:v>7</x:v>
      </x:c>
      <x:c r="J1664" s="14" t="n">
        <x:v>4</x:v>
      </x:c>
      <x:c r="K1664" s="14" t="n">
        <x:v>0</x:v>
      </x:c>
      <x:c r="L1664" s="14" t="n">
        <x:v>37</x:v>
      </x:c>
      <x:c r="M1664" s="14" t="n">
        <x:v>33</x:v>
      </x:c>
      <x:c r="N1664" s="15" t="n">
        <x:f>IF(E1664=0,"해당 없음",F1664/E1664)</x:f>
        <x:v>0.04854368932038835</x:v>
      </x:c>
      <x:c r="O1664" s="15" t="n">
        <x:f>IF(E1664=0,"해당 없음",G1664/E1664)</x:f>
        <x:v>0.1262135922330097</x:v>
      </x:c>
      <x:c r="P1664" s="15" t="n">
        <x:f>IF(E1664=0,"해당 없음",H1664/E1664)</x:f>
        <x:v>0.038834951456310676</x:v>
      </x:c>
      <x:c r="Q1664" s="15" t="n">
        <x:f>IF(E1664=0,"해당 없음",I1664/E1664)</x:f>
        <x:v>0.06796116504854369</x:v>
      </x:c>
      <x:c r="R1664" s="15" t="n">
        <x:f>IF(E1664=0,"해당 없음",J1664/E1664)</x:f>
        <x:v>0.038834951456310676</x:v>
      </x:c>
      <x:c r="S1664" s="15" t="n">
        <x:f>IF(E1664=0,"해당 없음",K1664/E1664)</x:f>
        <x:v>0</x:v>
      </x:c>
      <x:c r="T1664" s="15" t="n">
        <x:f>IF(E1664=0,"해당 없음",L1664/E1664)</x:f>
        <x:v>0.3592233009708738</x:v>
      </x:c>
      <x:c r="U1664" s="15" t="n">
        <x:f>IF(E1664=0,"해당 없음",M1664/E1664)</x:f>
        <x:v>0.32038834951456313</x:v>
      </x:c>
      <x:c r="V1664" s="16" t="n">
        <x:f>E1664/5</x:f>
        <x:v>20.6</x:v>
      </x:c>
    </x:row>
    <x:row r="1665" ht="22" customHeight="1">
      <x:c r="A1665" s="2" t="n">
        <x:v>830</x:v>
      </x:c>
      <x:c r="B1665" s="2" t="str">
        <x:v>NAVY</x:v>
      </x:c>
      <x:c r="C1665" s="2" t="str">
        <x:v>80만</x:v>
      </x:c>
      <x:c r="D1665" s="2" t="str">
        <x:v>200만</x:v>
      </x:c>
      <x:c r="E1665" s="14" t="n">
        <x:f>SUM(F1665:M1665)</x:f>
        <x:v>105</x:v>
      </x:c>
      <x:c r="F1665" s="14" t="n">
        <x:v>7</x:v>
      </x:c>
      <x:c r="G1665" s="14" t="n">
        <x:v>18</x:v>
      </x:c>
      <x:c r="H1665" s="14" t="n">
        <x:v>9</x:v>
      </x:c>
      <x:c r="I1665" s="14" t="n">
        <x:v>7</x:v>
      </x:c>
      <x:c r="J1665" s="14" t="n">
        <x:v>3</x:v>
      </x:c>
      <x:c r="K1665" s="14" t="n">
        <x:v>11</x:v>
      </x:c>
      <x:c r="L1665" s="14" t="n">
        <x:v>41</x:v>
      </x:c>
      <x:c r="M1665" s="14" t="n">
        <x:v>9</x:v>
      </x:c>
      <x:c r="N1665" s="15" t="n">
        <x:f>IF(E1665=0,"해당 없음",F1665/E1665)</x:f>
        <x:v>0.06666666666666667</x:v>
      </x:c>
      <x:c r="O1665" s="15" t="n">
        <x:f>IF(E1665=0,"해당 없음",G1665/E1665)</x:f>
        <x:v>0.17142857142857143</x:v>
      </x:c>
      <x:c r="P1665" s="15" t="n">
        <x:f>IF(E1665=0,"해당 없음",H1665/E1665)</x:f>
        <x:v>0.08571428571428572</x:v>
      </x:c>
      <x:c r="Q1665" s="15" t="n">
        <x:f>IF(E1665=0,"해당 없음",I1665/E1665)</x:f>
        <x:v>0.06666666666666667</x:v>
      </x:c>
      <x:c r="R1665" s="15" t="n">
        <x:f>IF(E1665=0,"해당 없음",J1665/E1665)</x:f>
        <x:v>0.02857142857142857</x:v>
      </x:c>
      <x:c r="S1665" s="15" t="n">
        <x:f>IF(E1665=0,"해당 없음",K1665/E1665)</x:f>
        <x:v>0.10476190476190476</x:v>
      </x:c>
      <x:c r="T1665" s="15" t="n">
        <x:f>IF(E1665=0,"해당 없음",L1665/E1665)</x:f>
        <x:v>0.3904761904761905</x:v>
      </x:c>
      <x:c r="U1665" s="15" t="n">
        <x:f>IF(E1665=0,"해당 없음",M1665/E1665)</x:f>
        <x:v>0.08571428571428572</x:v>
      </x:c>
      <x:c r="V1665" s="16" t="n">
        <x:f>E1665/5</x:f>
        <x:v>21</x:v>
      </x:c>
    </x:row>
    <x:row r="1666" ht="22" customHeight="1">
      <x:c r="A1666" s="2" t="n">
        <x:v>831</x:v>
      </x:c>
      <x:c r="B1666" s="2" t="str">
        <x:v>RED</x:v>
      </x:c>
      <x:c r="C1666" s="2" t="str">
        <x:v>80만</x:v>
      </x:c>
      <x:c r="D1666" s="2" t="str">
        <x:v>200만</x:v>
      </x:c>
      <x:c r="E1666" s="14" t="n">
        <x:f>SUM(F1666:M1666)</x:f>
        <x:v>103</x:v>
      </x:c>
      <x:c r="F1666" s="14" t="n">
        <x:v>6</x:v>
      </x:c>
      <x:c r="G1666" s="14" t="n">
        <x:v>16</x:v>
      </x:c>
      <x:c r="H1666" s="14" t="n">
        <x:v>4</x:v>
      </x:c>
      <x:c r="I1666" s="14" t="n">
        <x:v>9</x:v>
      </x:c>
      <x:c r="J1666" s="14" t="n">
        <x:v>3</x:v>
      </x:c>
      <x:c r="K1666" s="14" t="n">
        <x:v>8</x:v>
      </x:c>
      <x:c r="L1666" s="14" t="n">
        <x:v>41</x:v>
      </x:c>
      <x:c r="M1666" s="14" t="n">
        <x:v>16</x:v>
      </x:c>
      <x:c r="N1666" s="15" t="n">
        <x:f>IF(E1666=0,"해당 없음",F1666/E1666)</x:f>
        <x:v>0.05825242718446602</x:v>
      </x:c>
      <x:c r="O1666" s="15" t="n">
        <x:f>IF(E1666=0,"해당 없음",G1666/E1666)</x:f>
        <x:v>0.1553398058252427</x:v>
      </x:c>
      <x:c r="P1666" s="15" t="n">
        <x:f>IF(E1666=0,"해당 없음",H1666/E1666)</x:f>
        <x:v>0.038834951456310676</x:v>
      </x:c>
      <x:c r="Q1666" s="15" t="n">
        <x:f>IF(E1666=0,"해당 없음",I1666/E1666)</x:f>
        <x:v>0.08737864077669903</x:v>
      </x:c>
      <x:c r="R1666" s="15" t="n">
        <x:f>IF(E1666=0,"해당 없음",J1666/E1666)</x:f>
        <x:v>0.02912621359223301</x:v>
      </x:c>
      <x:c r="S1666" s="15" t="n">
        <x:f>IF(E1666=0,"해당 없음",K1666/E1666)</x:f>
        <x:v>0.07766990291262135</x:v>
      </x:c>
      <x:c r="T1666" s="15" t="n">
        <x:f>IF(E1666=0,"해당 없음",L1666/E1666)</x:f>
        <x:v>0.39805825242718446</x:v>
      </x:c>
      <x:c r="U1666" s="15" t="n">
        <x:f>IF(E1666=0,"해당 없음",M1666/E1666)</x:f>
        <x:v>0.1553398058252427</x:v>
      </x:c>
      <x:c r="V1666" s="16" t="n">
        <x:f>E1666/5</x:f>
        <x:v>20.6</x:v>
      </x:c>
    </x:row>
    <x:row r="1667" ht="22" customHeight="1">
      <x:c r="A1667" s="2" t="n">
        <x:v>831</x:v>
      </x:c>
      <x:c r="B1667" s="2" t="str">
        <x:v>NAVY</x:v>
      </x:c>
      <x:c r="C1667" s="2" t="str">
        <x:v>200만</x:v>
      </x:c>
      <x:c r="D1667" s="2" t="str">
        <x:v>80만</x:v>
      </x:c>
      <x:c r="E1667" s="14" t="n">
        <x:f>SUM(F1667:M1667)</x:f>
        <x:v>104</x:v>
      </x:c>
      <x:c r="F1667" s="14" t="n">
        <x:v>3</x:v>
      </x:c>
      <x:c r="G1667" s="14" t="n">
        <x:v>13</x:v>
      </x:c>
      <x:c r="H1667" s="14" t="n">
        <x:v>2</x:v>
      </x:c>
      <x:c r="I1667" s="14" t="n">
        <x:v>9</x:v>
      </x:c>
      <x:c r="J1667" s="14" t="n">
        <x:v>2</x:v>
      </x:c>
      <x:c r="K1667" s="14" t="n">
        <x:v>8</x:v>
      </x:c>
      <x:c r="L1667" s="14" t="n">
        <x:v>44</x:v>
      </x:c>
      <x:c r="M1667" s="14" t="n">
        <x:v>23</x:v>
      </x:c>
      <x:c r="N1667" s="15" t="n">
        <x:f>IF(E1667=0,"해당 없음",F1667/E1667)</x:f>
        <x:v>0.028846153846153848</x:v>
      </x:c>
      <x:c r="O1667" s="15" t="n">
        <x:f>IF(E1667=0,"해당 없음",G1667/E1667)</x:f>
        <x:v>0.125</x:v>
      </x:c>
      <x:c r="P1667" s="15" t="n">
        <x:f>IF(E1667=0,"해당 없음",H1667/E1667)</x:f>
        <x:v>0.019230769230769232</x:v>
      </x:c>
      <x:c r="Q1667" s="15" t="n">
        <x:f>IF(E1667=0,"해당 없음",I1667/E1667)</x:f>
        <x:v>0.08653846153846154</x:v>
      </x:c>
      <x:c r="R1667" s="15" t="n">
        <x:f>IF(E1667=0,"해당 없음",J1667/E1667)</x:f>
        <x:v>0.019230769230769232</x:v>
      </x:c>
      <x:c r="S1667" s="15" t="n">
        <x:f>IF(E1667=0,"해당 없음",K1667/E1667)</x:f>
        <x:v>0.07692307692307693</x:v>
      </x:c>
      <x:c r="T1667" s="15" t="n">
        <x:f>IF(E1667=0,"해당 없음",L1667/E1667)</x:f>
        <x:v>0.4230769230769231</x:v>
      </x:c>
      <x:c r="U1667" s="15" t="n">
        <x:f>IF(E1667=0,"해당 없음",M1667/E1667)</x:f>
        <x:v>0.22115384615384615</x:v>
      </x:c>
      <x:c r="V1667" s="16" t="n">
        <x:f>E1667/5</x:f>
        <x:v>20.8</x:v>
      </x:c>
    </x:row>
    <x:row r="1668" ht="22" customHeight="1">
      <x:c r="A1668" s="2" t="n">
        <x:v>832</x:v>
      </x:c>
      <x:c r="B1668" s="2" t="str">
        <x:v>RED</x:v>
      </x:c>
      <x:c r="C1668" s="2" t="str">
        <x:v>200만</x:v>
      </x:c>
      <x:c r="D1668" s="2" t="str">
        <x:v>80만</x:v>
      </x:c>
      <x:c r="E1668" s="14" t="n">
        <x:f>SUM(F1668:M1668)</x:f>
        <x:v>101</x:v>
      </x:c>
      <x:c r="F1668" s="14" t="n">
        <x:v>6</x:v>
      </x:c>
      <x:c r="G1668" s="14" t="n">
        <x:v>14</x:v>
      </x:c>
      <x:c r="H1668" s="14" t="n">
        <x:v>2</x:v>
      </x:c>
      <x:c r="I1668" s="14" t="n">
        <x:v>3</x:v>
      </x:c>
      <x:c r="J1668" s="14" t="n">
        <x:v>4</x:v>
      </x:c>
      <x:c r="K1668" s="14" t="n">
        <x:v>6</x:v>
      </x:c>
      <x:c r="L1668" s="14" t="n">
        <x:v>33</x:v>
      </x:c>
      <x:c r="M1668" s="14" t="n">
        <x:v>33</x:v>
      </x:c>
      <x:c r="N1668" s="15" t="n">
        <x:f>IF(E1668=0,"해당 없음",F1668/E1668)</x:f>
        <x:v>0.0594059405940594</x:v>
      </x:c>
      <x:c r="O1668" s="15" t="n">
        <x:f>IF(E1668=0,"해당 없음",G1668/E1668)</x:f>
        <x:v>0.13861386138613863</x:v>
      </x:c>
      <x:c r="P1668" s="15" t="n">
        <x:f>IF(E1668=0,"해당 없음",H1668/E1668)</x:f>
        <x:v>0.019801980198019802</x:v>
      </x:c>
      <x:c r="Q1668" s="15" t="n">
        <x:f>IF(E1668=0,"해당 없음",I1668/E1668)</x:f>
        <x:v>0.0297029702970297</x:v>
      </x:c>
      <x:c r="R1668" s="15" t="n">
        <x:f>IF(E1668=0,"해당 없음",J1668/E1668)</x:f>
        <x:v>0.039603960396039604</x:v>
      </x:c>
      <x:c r="S1668" s="15" t="n">
        <x:f>IF(E1668=0,"해당 없음",K1668/E1668)</x:f>
        <x:v>0.0594059405940594</x:v>
      </x:c>
      <x:c r="T1668" s="15" t="n">
        <x:f>IF(E1668=0,"해당 없음",L1668/E1668)</x:f>
        <x:v>0.32673267326732675</x:v>
      </x:c>
      <x:c r="U1668" s="15" t="n">
        <x:f>IF(E1668=0,"해당 없음",M1668/E1668)</x:f>
        <x:v>0.32673267326732675</x:v>
      </x:c>
      <x:c r="V1668" s="16" t="n">
        <x:f>E1668/5</x:f>
        <x:v>20.2</x:v>
      </x:c>
    </x:row>
    <x:row r="1669" ht="22" customHeight="1">
      <x:c r="A1669" s="2" t="n">
        <x:v>832</x:v>
      </x:c>
      <x:c r="B1669" s="2" t="str">
        <x:v>NAVY</x:v>
      </x:c>
      <x:c r="C1669" s="2" t="str">
        <x:v>80만</x:v>
      </x:c>
      <x:c r="D1669" s="2" t="str">
        <x:v>200만</x:v>
      </x:c>
      <x:c r="E1669" s="14" t="n">
        <x:f>SUM(F1669:M1669)</x:f>
        <x:v>103</x:v>
      </x:c>
      <x:c r="F1669" s="14" t="n">
        <x:v>4</x:v>
      </x:c>
      <x:c r="G1669" s="14" t="n">
        <x:v>16</x:v>
      </x:c>
      <x:c r="H1669" s="14" t="n">
        <x:v>11</x:v>
      </x:c>
      <x:c r="I1669" s="14" t="n">
        <x:v>2</x:v>
      </x:c>
      <x:c r="J1669" s="14" t="n">
        <x:v>1</x:v>
      </x:c>
      <x:c r="K1669" s="14" t="n">
        <x:v>10</x:v>
      </x:c>
      <x:c r="L1669" s="14" t="n">
        <x:v>36</x:v>
      </x:c>
      <x:c r="M1669" s="14" t="n">
        <x:v>23</x:v>
      </x:c>
      <x:c r="N1669" s="15" t="n">
        <x:f>IF(E1669=0,"해당 없음",F1669/E1669)</x:f>
        <x:v>0.038834951456310676</x:v>
      </x:c>
      <x:c r="O1669" s="15" t="n">
        <x:f>IF(E1669=0,"해당 없음",G1669/E1669)</x:f>
        <x:v>0.1553398058252427</x:v>
      </x:c>
      <x:c r="P1669" s="15" t="n">
        <x:f>IF(E1669=0,"해당 없음",H1669/E1669)</x:f>
        <x:v>0.10679611650485436</x:v>
      </x:c>
      <x:c r="Q1669" s="15" t="n">
        <x:f>IF(E1669=0,"해당 없음",I1669/E1669)</x:f>
        <x:v>0.019417475728155338</x:v>
      </x:c>
      <x:c r="R1669" s="15" t="n">
        <x:f>IF(E1669=0,"해당 없음",J1669/E1669)</x:f>
        <x:v>0.009708737864077669</x:v>
      </x:c>
      <x:c r="S1669" s="15" t="n">
        <x:f>IF(E1669=0,"해당 없음",K1669/E1669)</x:f>
        <x:v>0.0970873786407767</x:v>
      </x:c>
      <x:c r="T1669" s="15" t="n">
        <x:f>IF(E1669=0,"해당 없음",L1669/E1669)</x:f>
        <x:v>0.34951456310679613</x:v>
      </x:c>
      <x:c r="U1669" s="15" t="n">
        <x:f>IF(E1669=0,"해당 없음",M1669/E1669)</x:f>
        <x:v>0.22330097087378642</x:v>
      </x:c>
      <x:c r="V1669" s="16" t="n">
        <x:f>E1669/5</x:f>
        <x:v>20.6</x:v>
      </x:c>
    </x:row>
    <x:row r="1670" ht="22" customHeight="1">
      <x:c r="A1670" s="2" t="n">
        <x:v>833</x:v>
      </x:c>
      <x:c r="B1670" s="2" t="str">
        <x:v>RED</x:v>
      </x:c>
      <x:c r="C1670" s="2" t="str">
        <x:v>80만</x:v>
      </x:c>
      <x:c r="D1670" s="2" t="str">
        <x:v>200만</x:v>
      </x:c>
      <x:c r="E1670" s="14" t="n">
        <x:f>SUM(F1670:M1670)</x:f>
        <x:v>103</x:v>
      </x:c>
      <x:c r="F1670" s="14" t="n">
        <x:v>5</x:v>
      </x:c>
      <x:c r="G1670" s="14" t="n">
        <x:v>16</x:v>
      </x:c>
      <x:c r="H1670" s="14" t="n">
        <x:v>7</x:v>
      </x:c>
      <x:c r="I1670" s="14" t="n">
        <x:v>9</x:v>
      </x:c>
      <x:c r="J1670" s="14" t="n">
        <x:v>0</x:v>
      </x:c>
      <x:c r="K1670" s="14" t="n">
        <x:v>9</x:v>
      </x:c>
      <x:c r="L1670" s="14" t="n">
        <x:v>42</x:v>
      </x:c>
      <x:c r="M1670" s="14" t="n">
        <x:v>15</x:v>
      </x:c>
      <x:c r="N1670" s="15" t="n">
        <x:f>IF(E1670=0,"해당 없음",F1670/E1670)</x:f>
        <x:v>0.04854368932038835</x:v>
      </x:c>
      <x:c r="O1670" s="15" t="n">
        <x:f>IF(E1670=0,"해당 없음",G1670/E1670)</x:f>
        <x:v>0.1553398058252427</x:v>
      </x:c>
      <x:c r="P1670" s="15" t="n">
        <x:f>IF(E1670=0,"해당 없음",H1670/E1670)</x:f>
        <x:v>0.06796116504854369</x:v>
      </x:c>
      <x:c r="Q1670" s="15" t="n">
        <x:f>IF(E1670=0,"해당 없음",I1670/E1670)</x:f>
        <x:v>0.08737864077669903</x:v>
      </x:c>
      <x:c r="R1670" s="15" t="n">
        <x:f>IF(E1670=0,"해당 없음",J1670/E1670)</x:f>
        <x:v>0</x:v>
      </x:c>
      <x:c r="S1670" s="15" t="n">
        <x:f>IF(E1670=0,"해당 없음",K1670/E1670)</x:f>
        <x:v>0.08737864077669903</x:v>
      </x:c>
      <x:c r="T1670" s="15" t="n">
        <x:f>IF(E1670=0,"해당 없음",L1670/E1670)</x:f>
        <x:v>0.4077669902912621</x:v>
      </x:c>
      <x:c r="U1670" s="15" t="n">
        <x:f>IF(E1670=0,"해당 없음",M1670/E1670)</x:f>
        <x:v>0.14563106796116504</x:v>
      </x:c>
      <x:c r="V1670" s="16" t="n">
        <x:f>E1670/5</x:f>
        <x:v>20.6</x:v>
      </x:c>
    </x:row>
    <x:row r="1671" ht="22" customHeight="1">
      <x:c r="A1671" s="2" t="n">
        <x:v>833</x:v>
      </x:c>
      <x:c r="B1671" s="2" t="str">
        <x:v>NAVY</x:v>
      </x:c>
      <x:c r="C1671" s="2" t="str">
        <x:v>200만</x:v>
      </x:c>
      <x:c r="D1671" s="2" t="str">
        <x:v>80만</x:v>
      </x:c>
      <x:c r="E1671" s="14" t="n">
        <x:f>SUM(F1671:M1671)</x:f>
        <x:v>104</x:v>
      </x:c>
      <x:c r="F1671" s="14" t="n">
        <x:v>5</x:v>
      </x:c>
      <x:c r="G1671" s="14" t="n">
        <x:v>8</x:v>
      </x:c>
      <x:c r="H1671" s="14" t="n">
        <x:v>2</x:v>
      </x:c>
      <x:c r="I1671" s="14" t="n">
        <x:v>3</x:v>
      </x:c>
      <x:c r="J1671" s="14" t="n">
        <x:v>4</x:v>
      </x:c>
      <x:c r="K1671" s="14" t="n">
        <x:v>3</x:v>
      </x:c>
      <x:c r="L1671" s="14" t="n">
        <x:v>31</x:v>
      </x:c>
      <x:c r="M1671" s="14" t="n">
        <x:v>48</x:v>
      </x:c>
      <x:c r="N1671" s="15" t="n">
        <x:f>IF(E1671=0,"해당 없음",F1671/E1671)</x:f>
        <x:v>0.04807692307692308</x:v>
      </x:c>
      <x:c r="O1671" s="15" t="n">
        <x:f>IF(E1671=0,"해당 없음",G1671/E1671)</x:f>
        <x:v>0.07692307692307693</x:v>
      </x:c>
      <x:c r="P1671" s="15" t="n">
        <x:f>IF(E1671=0,"해당 없음",H1671/E1671)</x:f>
        <x:v>0.019230769230769232</x:v>
      </x:c>
      <x:c r="Q1671" s="15" t="n">
        <x:f>IF(E1671=0,"해당 없음",I1671/E1671)</x:f>
        <x:v>0.028846153846153848</x:v>
      </x:c>
      <x:c r="R1671" s="15" t="n">
        <x:f>IF(E1671=0,"해당 없음",J1671/E1671)</x:f>
        <x:v>0.038461538461538464</x:v>
      </x:c>
      <x:c r="S1671" s="15" t="n">
        <x:f>IF(E1671=0,"해당 없음",K1671/E1671)</x:f>
        <x:v>0.028846153846153848</x:v>
      </x:c>
      <x:c r="T1671" s="15" t="n">
        <x:f>IF(E1671=0,"해당 없음",L1671/E1671)</x:f>
        <x:v>0.2980769230769231</x:v>
      </x:c>
      <x:c r="U1671" s="15" t="n">
        <x:f>IF(E1671=0,"해당 없음",M1671/E1671)</x:f>
        <x:v>0.46153846153846156</x:v>
      </x:c>
      <x:c r="V1671" s="16" t="n">
        <x:f>E1671/5</x:f>
        <x:v>20.8</x:v>
      </x:c>
    </x:row>
    <x:row r="1672" ht="22" customHeight="1">
      <x:c r="A1672" s="2" t="n">
        <x:v>834</x:v>
      </x:c>
      <x:c r="B1672" s="2" t="str">
        <x:v>RED</x:v>
      </x:c>
      <x:c r="C1672" s="2" t="str">
        <x:v>200만</x:v>
      </x:c>
      <x:c r="D1672" s="2" t="str">
        <x:v>80만</x:v>
      </x:c>
      <x:c r="E1672" s="14" t="n">
        <x:f>SUM(F1672:M1672)</x:f>
        <x:v>105</x:v>
      </x:c>
      <x:c r="F1672" s="14" t="n">
        <x:v>3</x:v>
      </x:c>
      <x:c r="G1672" s="14" t="n">
        <x:v>15</x:v>
      </x:c>
      <x:c r="H1672" s="14" t="n">
        <x:v>4</x:v>
      </x:c>
      <x:c r="I1672" s="14" t="n">
        <x:v>10</x:v>
      </x:c>
      <x:c r="J1672" s="14" t="n">
        <x:v>2</x:v>
      </x:c>
      <x:c r="K1672" s="14" t="n">
        <x:v>7</x:v>
      </x:c>
      <x:c r="L1672" s="14" t="n">
        <x:v>43</x:v>
      </x:c>
      <x:c r="M1672" s="14" t="n">
        <x:v>21</x:v>
      </x:c>
      <x:c r="N1672" s="15" t="n">
        <x:f>IF(E1672=0,"해당 없음",F1672/E1672)</x:f>
        <x:v>0.02857142857142857</x:v>
      </x:c>
      <x:c r="O1672" s="15" t="n">
        <x:f>IF(E1672=0,"해당 없음",G1672/E1672)</x:f>
        <x:v>0.14285714285714285</x:v>
      </x:c>
      <x:c r="P1672" s="15" t="n">
        <x:f>IF(E1672=0,"해당 없음",H1672/E1672)</x:f>
        <x:v>0.0380952380952381</x:v>
      </x:c>
      <x:c r="Q1672" s="15" t="n">
        <x:f>IF(E1672=0,"해당 없음",I1672/E1672)</x:f>
        <x:v>0.09523809523809523</x:v>
      </x:c>
      <x:c r="R1672" s="15" t="n">
        <x:f>IF(E1672=0,"해당 없음",J1672/E1672)</x:f>
        <x:v>0.01904761904761905</x:v>
      </x:c>
      <x:c r="S1672" s="15" t="n">
        <x:f>IF(E1672=0,"해당 없음",K1672/E1672)</x:f>
        <x:v>0.06666666666666667</x:v>
      </x:c>
      <x:c r="T1672" s="15" t="n">
        <x:f>IF(E1672=0,"해당 없음",L1672/E1672)</x:f>
        <x:v>0.4095238095238095</x:v>
      </x:c>
      <x:c r="U1672" s="15" t="n">
        <x:f>IF(E1672=0,"해당 없음",M1672/E1672)</x:f>
        <x:v>0.2</x:v>
      </x:c>
      <x:c r="V1672" s="16" t="n">
        <x:f>E1672/5</x:f>
        <x:v>21</x:v>
      </x:c>
    </x:row>
    <x:row r="1673" ht="22" customHeight="1">
      <x:c r="A1673" s="2" t="n">
        <x:v>834</x:v>
      </x:c>
      <x:c r="B1673" s="2" t="str">
        <x:v>NAVY</x:v>
      </x:c>
      <x:c r="C1673" s="2" t="str">
        <x:v>80만</x:v>
      </x:c>
      <x:c r="D1673" s="2" t="str">
        <x:v>200만</x:v>
      </x:c>
      <x:c r="E1673" s="14" t="n">
        <x:f>SUM(F1673:M1673)</x:f>
        <x:v>106</x:v>
      </x:c>
      <x:c r="F1673" s="14" t="n">
        <x:v>5</x:v>
      </x:c>
      <x:c r="G1673" s="14" t="n">
        <x:v>18</x:v>
      </x:c>
      <x:c r="H1673" s="14" t="n">
        <x:v>5</x:v>
      </x:c>
      <x:c r="I1673" s="14" t="n">
        <x:v>6</x:v>
      </x:c>
      <x:c r="J1673" s="14" t="n">
        <x:v>4</x:v>
      </x:c>
      <x:c r="K1673" s="14" t="n">
        <x:v>4</x:v>
      </x:c>
      <x:c r="L1673" s="14" t="n">
        <x:v>44</x:v>
      </x:c>
      <x:c r="M1673" s="14" t="n">
        <x:v>20</x:v>
      </x:c>
      <x:c r="N1673" s="15" t="n">
        <x:f>IF(E1673=0,"해당 없음",F1673/E1673)</x:f>
        <x:v>0.04716981132075472</x:v>
      </x:c>
      <x:c r="O1673" s="15" t="n">
        <x:f>IF(E1673=0,"해당 없음",G1673/E1673)</x:f>
        <x:v>0.16981132075471697</x:v>
      </x:c>
      <x:c r="P1673" s="15" t="n">
        <x:f>IF(E1673=0,"해당 없음",H1673/E1673)</x:f>
        <x:v>0.04716981132075472</x:v>
      </x:c>
      <x:c r="Q1673" s="15" t="n">
        <x:f>IF(E1673=0,"해당 없음",I1673/E1673)</x:f>
        <x:v>0.05660377358490566</x:v>
      </x:c>
      <x:c r="R1673" s="15" t="n">
        <x:f>IF(E1673=0,"해당 없음",J1673/E1673)</x:f>
        <x:v>0.03773584905660377</x:v>
      </x:c>
      <x:c r="S1673" s="15" t="n">
        <x:f>IF(E1673=0,"해당 없음",K1673/E1673)</x:f>
        <x:v>0.03773584905660377</x:v>
      </x:c>
      <x:c r="T1673" s="15" t="n">
        <x:f>IF(E1673=0,"해당 없음",L1673/E1673)</x:f>
        <x:v>0.41509433962264153</x:v>
      </x:c>
      <x:c r="U1673" s="15" t="n">
        <x:f>IF(E1673=0,"해당 없음",M1673/E1673)</x:f>
        <x:v>0.18867924528301888</x:v>
      </x:c>
      <x:c r="V1673" s="16" t="n">
        <x:f>E1673/5</x:f>
        <x:v>21.2</x:v>
      </x:c>
    </x:row>
    <x:row r="1674" ht="22" customHeight="1">
      <x:c r="A1674" s="2" t="n">
        <x:v>835</x:v>
      </x:c>
      <x:c r="B1674" s="2" t="str">
        <x:v>RED</x:v>
      </x:c>
      <x:c r="C1674" s="2" t="str">
        <x:v>80만</x:v>
      </x:c>
      <x:c r="D1674" s="2" t="str">
        <x:v>200만</x:v>
      </x:c>
      <x:c r="E1674" s="14" t="n">
        <x:f>SUM(F1674:M1674)</x:f>
        <x:v>102</x:v>
      </x:c>
      <x:c r="F1674" s="14" t="n">
        <x:v>4</x:v>
      </x:c>
      <x:c r="G1674" s="14" t="n">
        <x:v>18</x:v>
      </x:c>
      <x:c r="H1674" s="14" t="n">
        <x:v>10</x:v>
      </x:c>
      <x:c r="I1674" s="14" t="n">
        <x:v>5</x:v>
      </x:c>
      <x:c r="J1674" s="14" t="n">
        <x:v>3</x:v>
      </x:c>
      <x:c r="K1674" s="14" t="n">
        <x:v>19</x:v>
      </x:c>
      <x:c r="L1674" s="14" t="n">
        <x:v>30</x:v>
      </x:c>
      <x:c r="M1674" s="14" t="n">
        <x:v>13</x:v>
      </x:c>
      <x:c r="N1674" s="15" t="n">
        <x:f>IF(E1674=0,"해당 없음",F1674/E1674)</x:f>
        <x:v>0.0392156862745098</x:v>
      </x:c>
      <x:c r="O1674" s="15" t="n">
        <x:f>IF(E1674=0,"해당 없음",G1674/E1674)</x:f>
        <x:v>0.17647058823529413</x:v>
      </x:c>
      <x:c r="P1674" s="15" t="n">
        <x:f>IF(E1674=0,"해당 없음",H1674/E1674)</x:f>
        <x:v>0.09803921568627451</x:v>
      </x:c>
      <x:c r="Q1674" s="15" t="n">
        <x:f>IF(E1674=0,"해당 없음",I1674/E1674)</x:f>
        <x:v>0.049019607843137254</x:v>
      </x:c>
      <x:c r="R1674" s="15" t="n">
        <x:f>IF(E1674=0,"해당 없음",J1674/E1674)</x:f>
        <x:v>0.029411764705882353</x:v>
      </x:c>
      <x:c r="S1674" s="15" t="n">
        <x:f>IF(E1674=0,"해당 없음",K1674/E1674)</x:f>
        <x:v>0.18627450980392157</x:v>
      </x:c>
      <x:c r="T1674" s="15" t="n">
        <x:f>IF(E1674=0,"해당 없음",L1674/E1674)</x:f>
        <x:v>0.29411764705882354</x:v>
      </x:c>
      <x:c r="U1674" s="15" t="n">
        <x:f>IF(E1674=0,"해당 없음",M1674/E1674)</x:f>
        <x:v>0.12745098039215685</x:v>
      </x:c>
      <x:c r="V1674" s="16" t="n">
        <x:f>E1674/5</x:f>
        <x:v>20.4</x:v>
      </x:c>
    </x:row>
    <x:row r="1675" ht="22" customHeight="1">
      <x:c r="A1675" s="2" t="n">
        <x:v>835</x:v>
      </x:c>
      <x:c r="B1675" s="2" t="str">
        <x:v>NAVY</x:v>
      </x:c>
      <x:c r="C1675" s="2" t="str">
        <x:v>200만</x:v>
      </x:c>
      <x:c r="D1675" s="2" t="str">
        <x:v>80만</x:v>
      </x:c>
      <x:c r="E1675" s="14" t="n">
        <x:f>SUM(F1675:M1675)</x:f>
        <x:v>104</x:v>
      </x:c>
      <x:c r="F1675" s="14" t="n">
        <x:v>3</x:v>
      </x:c>
      <x:c r="G1675" s="14" t="n">
        <x:v>16</x:v>
      </x:c>
      <x:c r="H1675" s="14" t="n">
        <x:v>1</x:v>
      </x:c>
      <x:c r="I1675" s="14" t="n">
        <x:v>1</x:v>
      </x:c>
      <x:c r="J1675" s="14" t="n">
        <x:v>3</x:v>
      </x:c>
      <x:c r="K1675" s="14" t="n">
        <x:v>9</x:v>
      </x:c>
      <x:c r="L1675" s="14" t="n">
        <x:v>30</x:v>
      </x:c>
      <x:c r="M1675" s="14" t="n">
        <x:v>41</x:v>
      </x:c>
      <x:c r="N1675" s="15" t="n">
        <x:f>IF(E1675=0,"해당 없음",F1675/E1675)</x:f>
        <x:v>0.028846153846153848</x:v>
      </x:c>
      <x:c r="O1675" s="15" t="n">
        <x:f>IF(E1675=0,"해당 없음",G1675/E1675)</x:f>
        <x:v>0.15384615384615385</x:v>
      </x:c>
      <x:c r="P1675" s="15" t="n">
        <x:f>IF(E1675=0,"해당 없음",H1675/E1675)</x:f>
        <x:v>0.009615384615384616</x:v>
      </x:c>
      <x:c r="Q1675" s="15" t="n">
        <x:f>IF(E1675=0,"해당 없음",I1675/E1675)</x:f>
        <x:v>0.009615384615384616</x:v>
      </x:c>
      <x:c r="R1675" s="15" t="n">
        <x:f>IF(E1675=0,"해당 없음",J1675/E1675)</x:f>
        <x:v>0.028846153846153848</x:v>
      </x:c>
      <x:c r="S1675" s="15" t="n">
        <x:f>IF(E1675=0,"해당 없음",K1675/E1675)</x:f>
        <x:v>0.08653846153846154</x:v>
      </x:c>
      <x:c r="T1675" s="15" t="n">
        <x:f>IF(E1675=0,"해당 없음",L1675/E1675)</x:f>
        <x:v>0.28846153846153844</x:v>
      </x:c>
      <x:c r="U1675" s="15" t="n">
        <x:f>IF(E1675=0,"해당 없음",M1675/E1675)</x:f>
        <x:v>0.3942307692307692</x:v>
      </x:c>
      <x:c r="V1675" s="16" t="n">
        <x:f>E1675/5</x:f>
        <x:v>20.8</x:v>
      </x:c>
    </x:row>
    <x:row r="1676" ht="22" customHeight="1">
      <x:c r="A1676" s="2" t="n">
        <x:v>836</x:v>
      </x:c>
      <x:c r="B1676" s="2" t="str">
        <x:v>RED</x:v>
      </x:c>
      <x:c r="C1676" s="2" t="str">
        <x:v>200만</x:v>
      </x:c>
      <x:c r="D1676" s="2" t="str">
        <x:v>80만</x:v>
      </x:c>
      <x:c r="E1676" s="14" t="n">
        <x:f>SUM(F1676:M1676)</x:f>
        <x:v>102</x:v>
      </x:c>
      <x:c r="F1676" s="14" t="n">
        <x:v>4</x:v>
      </x:c>
      <x:c r="G1676" s="14" t="n">
        <x:v>19</x:v>
      </x:c>
      <x:c r="H1676" s="14" t="n">
        <x:v>3</x:v>
      </x:c>
      <x:c r="I1676" s="14" t="n">
        <x:v>5</x:v>
      </x:c>
      <x:c r="J1676" s="14" t="n">
        <x:v>1</x:v>
      </x:c>
      <x:c r="K1676" s="14" t="n">
        <x:v>5</x:v>
      </x:c>
      <x:c r="L1676" s="14" t="n">
        <x:v>31</x:v>
      </x:c>
      <x:c r="M1676" s="14" t="n">
        <x:v>34</x:v>
      </x:c>
      <x:c r="N1676" s="15" t="n">
        <x:f>IF(E1676=0,"해당 없음",F1676/E1676)</x:f>
        <x:v>0.0392156862745098</x:v>
      </x:c>
      <x:c r="O1676" s="15" t="n">
        <x:f>IF(E1676=0,"해당 없음",G1676/E1676)</x:f>
        <x:v>0.18627450980392157</x:v>
      </x:c>
      <x:c r="P1676" s="15" t="n">
        <x:f>IF(E1676=0,"해당 없음",H1676/E1676)</x:f>
        <x:v>0.029411764705882353</x:v>
      </x:c>
      <x:c r="Q1676" s="15" t="n">
        <x:f>IF(E1676=0,"해당 없음",I1676/E1676)</x:f>
        <x:v>0.049019607843137254</x:v>
      </x:c>
      <x:c r="R1676" s="15" t="n">
        <x:f>IF(E1676=0,"해당 없음",J1676/E1676)</x:f>
        <x:v>0.00980392156862745</x:v>
      </x:c>
      <x:c r="S1676" s="15" t="n">
        <x:f>IF(E1676=0,"해당 없음",K1676/E1676)</x:f>
        <x:v>0.049019607843137254</x:v>
      </x:c>
      <x:c r="T1676" s="15" t="n">
        <x:f>IF(E1676=0,"해당 없음",L1676/E1676)</x:f>
        <x:v>0.30392156862745096</x:v>
      </x:c>
      <x:c r="U1676" s="15" t="n">
        <x:f>IF(E1676=0,"해당 없음",M1676/E1676)</x:f>
        <x:v>0.3333333333333333</x:v>
      </x:c>
      <x:c r="V1676" s="16" t="n">
        <x:f>E1676/5</x:f>
        <x:v>20.4</x:v>
      </x:c>
    </x:row>
    <x:row r="1677" ht="22" customHeight="1">
      <x:c r="A1677" s="2" t="n">
        <x:v>836</x:v>
      </x:c>
      <x:c r="B1677" s="2" t="str">
        <x:v>NAVY</x:v>
      </x:c>
      <x:c r="C1677" s="2" t="str">
        <x:v>80만</x:v>
      </x:c>
      <x:c r="D1677" s="2" t="str">
        <x:v>200만</x:v>
      </x:c>
      <x:c r="E1677" s="14" t="n">
        <x:f>SUM(F1677:M1677)</x:f>
        <x:v>102</x:v>
      </x:c>
      <x:c r="F1677" s="14" t="n">
        <x:v>4</x:v>
      </x:c>
      <x:c r="G1677" s="14" t="n">
        <x:v>20</x:v>
      </x:c>
      <x:c r="H1677" s="14" t="n">
        <x:v>6</x:v>
      </x:c>
      <x:c r="I1677" s="14" t="n">
        <x:v>7</x:v>
      </x:c>
      <x:c r="J1677" s="14" t="n">
        <x:v>4</x:v>
      </x:c>
      <x:c r="K1677" s="14" t="n">
        <x:v>9</x:v>
      </x:c>
      <x:c r="L1677" s="14" t="n">
        <x:v>32</x:v>
      </x:c>
      <x:c r="M1677" s="14" t="n">
        <x:v>20</x:v>
      </x:c>
      <x:c r="N1677" s="15" t="n">
        <x:f>IF(E1677=0,"해당 없음",F1677/E1677)</x:f>
        <x:v>0.0392156862745098</x:v>
      </x:c>
      <x:c r="O1677" s="15" t="n">
        <x:f>IF(E1677=0,"해당 없음",G1677/E1677)</x:f>
        <x:v>0.19607843137254902</x:v>
      </x:c>
      <x:c r="P1677" s="15" t="n">
        <x:f>IF(E1677=0,"해당 없음",H1677/E1677)</x:f>
        <x:v>0.058823529411764705</x:v>
      </x:c>
      <x:c r="Q1677" s="15" t="n">
        <x:f>IF(E1677=0,"해당 없음",I1677/E1677)</x:f>
        <x:v>0.06862745098039216</x:v>
      </x:c>
      <x:c r="R1677" s="15" t="n">
        <x:f>IF(E1677=0,"해당 없음",J1677/E1677)</x:f>
        <x:v>0.0392156862745098</x:v>
      </x:c>
      <x:c r="S1677" s="15" t="n">
        <x:f>IF(E1677=0,"해당 없음",K1677/E1677)</x:f>
        <x:v>0.08823529411764706</x:v>
      </x:c>
      <x:c r="T1677" s="15" t="n">
        <x:f>IF(E1677=0,"해당 없음",L1677/E1677)</x:f>
        <x:v>0.3137254901960784</x:v>
      </x:c>
      <x:c r="U1677" s="15" t="n">
        <x:f>IF(E1677=0,"해당 없음",M1677/E1677)</x:f>
        <x:v>0.19607843137254902</x:v>
      </x:c>
      <x:c r="V1677" s="16" t="n">
        <x:f>E1677/5</x:f>
        <x:v>20.4</x:v>
      </x:c>
    </x:row>
    <x:row r="1678" ht="22" customHeight="1">
      <x:c r="A1678" s="2" t="n">
        <x:v>837</x:v>
      </x:c>
      <x:c r="B1678" s="2" t="str">
        <x:v>RED</x:v>
      </x:c>
      <x:c r="C1678" s="2" t="str">
        <x:v>80만</x:v>
      </x:c>
      <x:c r="D1678" s="2" t="str">
        <x:v>200만</x:v>
      </x:c>
      <x:c r="E1678" s="14" t="n">
        <x:f>SUM(F1678:M1678)</x:f>
        <x:v>102</x:v>
      </x:c>
      <x:c r="F1678" s="14" t="n">
        <x:v>7</x:v>
      </x:c>
      <x:c r="G1678" s="14" t="n">
        <x:v>11</x:v>
      </x:c>
      <x:c r="H1678" s="14" t="n">
        <x:v>9</x:v>
      </x:c>
      <x:c r="I1678" s="14" t="n">
        <x:v>5</x:v>
      </x:c>
      <x:c r="J1678" s="14" t="n">
        <x:v>0</x:v>
      </x:c>
      <x:c r="K1678" s="14" t="n">
        <x:v>8</x:v>
      </x:c>
      <x:c r="L1678" s="14" t="n">
        <x:v>37</x:v>
      </x:c>
      <x:c r="M1678" s="14" t="n">
        <x:v>25</x:v>
      </x:c>
      <x:c r="N1678" s="15" t="n">
        <x:f>IF(E1678=0,"해당 없음",F1678/E1678)</x:f>
        <x:v>0.06862745098039216</x:v>
      </x:c>
      <x:c r="O1678" s="15" t="n">
        <x:f>IF(E1678=0,"해당 없음",G1678/E1678)</x:f>
        <x:v>0.10784313725490197</x:v>
      </x:c>
      <x:c r="P1678" s="15" t="n">
        <x:f>IF(E1678=0,"해당 없음",H1678/E1678)</x:f>
        <x:v>0.08823529411764706</x:v>
      </x:c>
      <x:c r="Q1678" s="15" t="n">
        <x:f>IF(E1678=0,"해당 없음",I1678/E1678)</x:f>
        <x:v>0.049019607843137254</x:v>
      </x:c>
      <x:c r="R1678" s="15" t="n">
        <x:f>IF(E1678=0,"해당 없음",J1678/E1678)</x:f>
        <x:v>0</x:v>
      </x:c>
      <x:c r="S1678" s="15" t="n">
        <x:f>IF(E1678=0,"해당 없음",K1678/E1678)</x:f>
        <x:v>0.0784313725490196</x:v>
      </x:c>
      <x:c r="T1678" s="15" t="n">
        <x:f>IF(E1678=0,"해당 없음",L1678/E1678)</x:f>
        <x:v>0.3627450980392157</x:v>
      </x:c>
      <x:c r="U1678" s="15" t="n">
        <x:f>IF(E1678=0,"해당 없음",M1678/E1678)</x:f>
        <x:v>0.24509803921568626</x:v>
      </x:c>
      <x:c r="V1678" s="16" t="n">
        <x:f>E1678/5</x:f>
        <x:v>20.4</x:v>
      </x:c>
    </x:row>
    <x:row r="1679" ht="22" customHeight="1">
      <x:c r="A1679" s="2" t="n">
        <x:v>837</x:v>
      </x:c>
      <x:c r="B1679" s="2" t="str">
        <x:v>NAVY</x:v>
      </x:c>
      <x:c r="C1679" s="2" t="str">
        <x:v>200만</x:v>
      </x:c>
      <x:c r="D1679" s="2" t="str">
        <x:v>80만</x:v>
      </x:c>
      <x:c r="E1679" s="14" t="n">
        <x:f>SUM(F1679:M1679)</x:f>
        <x:v>103</x:v>
      </x:c>
      <x:c r="F1679" s="14" t="n">
        <x:v>4</x:v>
      </x:c>
      <x:c r="G1679" s="14" t="n">
        <x:v>23</x:v>
      </x:c>
      <x:c r="H1679" s="14" t="n">
        <x:v>3</x:v>
      </x:c>
      <x:c r="I1679" s="14" t="n">
        <x:v>4</x:v>
      </x:c>
      <x:c r="J1679" s="14" t="n">
        <x:v>3</x:v>
      </x:c>
      <x:c r="K1679" s="14" t="n">
        <x:v>4</x:v>
      </x:c>
      <x:c r="L1679" s="14" t="n">
        <x:v>30</x:v>
      </x:c>
      <x:c r="M1679" s="14" t="n">
        <x:v>32</x:v>
      </x:c>
      <x:c r="N1679" s="15" t="n">
        <x:f>IF(E1679=0,"해당 없음",F1679/E1679)</x:f>
        <x:v>0.038834951456310676</x:v>
      </x:c>
      <x:c r="O1679" s="15" t="n">
        <x:f>IF(E1679=0,"해당 없음",G1679/E1679)</x:f>
        <x:v>0.22330097087378642</x:v>
      </x:c>
      <x:c r="P1679" s="15" t="n">
        <x:f>IF(E1679=0,"해당 없음",H1679/E1679)</x:f>
        <x:v>0.02912621359223301</x:v>
      </x:c>
      <x:c r="Q1679" s="15" t="n">
        <x:f>IF(E1679=0,"해당 없음",I1679/E1679)</x:f>
        <x:v>0.038834951456310676</x:v>
      </x:c>
      <x:c r="R1679" s="15" t="n">
        <x:f>IF(E1679=0,"해당 없음",J1679/E1679)</x:f>
        <x:v>0.02912621359223301</x:v>
      </x:c>
      <x:c r="S1679" s="15" t="n">
        <x:f>IF(E1679=0,"해당 없음",K1679/E1679)</x:f>
        <x:v>0.038834951456310676</x:v>
      </x:c>
      <x:c r="T1679" s="15" t="n">
        <x:f>IF(E1679=0,"해당 없음",L1679/E1679)</x:f>
        <x:v>0.2912621359223301</x:v>
      </x:c>
      <x:c r="U1679" s="15" t="n">
        <x:f>IF(E1679=0,"해당 없음",M1679/E1679)</x:f>
        <x:v>0.3106796116504854</x:v>
      </x:c>
      <x:c r="V1679" s="16" t="n">
        <x:f>E1679/5</x:f>
        <x:v>20.6</x:v>
      </x:c>
    </x:row>
    <x:row r="1680" ht="22" customHeight="1">
      <x:c r="A1680" s="2" t="n">
        <x:v>838</x:v>
      </x:c>
      <x:c r="B1680" s="2" t="str">
        <x:v>RED</x:v>
      </x:c>
      <x:c r="C1680" s="2" t="str">
        <x:v>200만</x:v>
      </x:c>
      <x:c r="D1680" s="2" t="str">
        <x:v>80만</x:v>
      </x:c>
      <x:c r="E1680" s="14" t="n">
        <x:f>SUM(F1680:M1680)</x:f>
        <x:v>102</x:v>
      </x:c>
      <x:c r="F1680" s="14" t="n">
        <x:v>3</x:v>
      </x:c>
      <x:c r="G1680" s="14" t="n">
        <x:v>8</x:v>
      </x:c>
      <x:c r="H1680" s="14" t="n">
        <x:v>2</x:v>
      </x:c>
      <x:c r="I1680" s="14" t="n">
        <x:v>6</x:v>
      </x:c>
      <x:c r="J1680" s="14" t="n">
        <x:v>3</x:v>
      </x:c>
      <x:c r="K1680" s="14" t="n">
        <x:v>1</x:v>
      </x:c>
      <x:c r="L1680" s="14" t="n">
        <x:v>33</x:v>
      </x:c>
      <x:c r="M1680" s="14" t="n">
        <x:v>46</x:v>
      </x:c>
      <x:c r="N1680" s="15" t="n">
        <x:f>IF(E1680=0,"해당 없음",F1680/E1680)</x:f>
        <x:v>0.029411764705882353</x:v>
      </x:c>
      <x:c r="O1680" s="15" t="n">
        <x:f>IF(E1680=0,"해당 없음",G1680/E1680)</x:f>
        <x:v>0.0784313725490196</x:v>
      </x:c>
      <x:c r="P1680" s="15" t="n">
        <x:f>IF(E1680=0,"해당 없음",H1680/E1680)</x:f>
        <x:v>0.0196078431372549</x:v>
      </x:c>
      <x:c r="Q1680" s="15" t="n">
        <x:f>IF(E1680=0,"해당 없음",I1680/E1680)</x:f>
        <x:v>0.058823529411764705</x:v>
      </x:c>
      <x:c r="R1680" s="15" t="n">
        <x:f>IF(E1680=0,"해당 없음",J1680/E1680)</x:f>
        <x:v>0.029411764705882353</x:v>
      </x:c>
      <x:c r="S1680" s="15" t="n">
        <x:f>IF(E1680=0,"해당 없음",K1680/E1680)</x:f>
        <x:v>0.00980392156862745</x:v>
      </x:c>
      <x:c r="T1680" s="15" t="n">
        <x:f>IF(E1680=0,"해당 없음",L1680/E1680)</x:f>
        <x:v>0.3235294117647059</x:v>
      </x:c>
      <x:c r="U1680" s="15" t="n">
        <x:f>IF(E1680=0,"해당 없음",M1680/E1680)</x:f>
        <x:v>0.45098039215686275</x:v>
      </x:c>
      <x:c r="V1680" s="16" t="n">
        <x:f>E1680/5</x:f>
        <x:v>20.4</x:v>
      </x:c>
    </x:row>
    <x:row r="1681" ht="22" customHeight="1">
      <x:c r="A1681" s="2" t="n">
        <x:v>838</x:v>
      </x:c>
      <x:c r="B1681" s="2" t="str">
        <x:v>NAVY</x:v>
      </x:c>
      <x:c r="C1681" s="2" t="str">
        <x:v>80만</x:v>
      </x:c>
      <x:c r="D1681" s="2" t="str">
        <x:v>200만</x:v>
      </x:c>
      <x:c r="E1681" s="14" t="n">
        <x:f>SUM(F1681:M1681)</x:f>
        <x:v>104</x:v>
      </x:c>
      <x:c r="F1681" s="14" t="n">
        <x:v>1</x:v>
      </x:c>
      <x:c r="G1681" s="14" t="n">
        <x:v>20</x:v>
      </x:c>
      <x:c r="H1681" s="14" t="n">
        <x:v>9</x:v>
      </x:c>
      <x:c r="I1681" s="14" t="n">
        <x:v>7</x:v>
      </x:c>
      <x:c r="J1681" s="14" t="n">
        <x:v>5</x:v>
      </x:c>
      <x:c r="K1681" s="14" t="n">
        <x:v>16</x:v>
      </x:c>
      <x:c r="L1681" s="14" t="n">
        <x:v>34</x:v>
      </x:c>
      <x:c r="M1681" s="14" t="n">
        <x:v>12</x:v>
      </x:c>
      <x:c r="N1681" s="15" t="n">
        <x:f>IF(E1681=0,"해당 없음",F1681/E1681)</x:f>
        <x:v>0.009615384615384616</x:v>
      </x:c>
      <x:c r="O1681" s="15" t="n">
        <x:f>IF(E1681=0,"해당 없음",G1681/E1681)</x:f>
        <x:v>0.19230769230769232</x:v>
      </x:c>
      <x:c r="P1681" s="15" t="n">
        <x:f>IF(E1681=0,"해당 없음",H1681/E1681)</x:f>
        <x:v>0.08653846153846154</x:v>
      </x:c>
      <x:c r="Q1681" s="15" t="n">
        <x:f>IF(E1681=0,"해당 없음",I1681/E1681)</x:f>
        <x:v>0.0673076923076923</x:v>
      </x:c>
      <x:c r="R1681" s="15" t="n">
        <x:f>IF(E1681=0,"해당 없음",J1681/E1681)</x:f>
        <x:v>0.04807692307692308</x:v>
      </x:c>
      <x:c r="S1681" s="15" t="n">
        <x:f>IF(E1681=0,"해당 없음",K1681/E1681)</x:f>
        <x:v>0.15384615384615385</x:v>
      </x:c>
      <x:c r="T1681" s="15" t="n">
        <x:f>IF(E1681=0,"해당 없음",L1681/E1681)</x:f>
        <x:v>0.3269230769230769</x:v>
      </x:c>
      <x:c r="U1681" s="15" t="n">
        <x:f>IF(E1681=0,"해당 없음",M1681/E1681)</x:f>
        <x:v>0.11538461538461539</x:v>
      </x:c>
      <x:c r="V1681" s="16" t="n">
        <x:f>E1681/5</x:f>
        <x:v>20.8</x:v>
      </x:c>
    </x:row>
    <x:row r="1682" ht="22" customHeight="1">
      <x:c r="A1682" s="2" t="n">
        <x:v>839</x:v>
      </x:c>
      <x:c r="B1682" s="2" t="str">
        <x:v>RED</x:v>
      </x:c>
      <x:c r="C1682" s="2" t="str">
        <x:v>80만</x:v>
      </x:c>
      <x:c r="D1682" s="2" t="str">
        <x:v>200만</x:v>
      </x:c>
      <x:c r="E1682" s="14" t="n">
        <x:f>SUM(F1682:M1682)</x:f>
        <x:v>104</x:v>
      </x:c>
      <x:c r="F1682" s="14" t="n">
        <x:v>3</x:v>
      </x:c>
      <x:c r="G1682" s="14" t="n">
        <x:v>21</x:v>
      </x:c>
      <x:c r="H1682" s="14" t="n">
        <x:v>5</x:v>
      </x:c>
      <x:c r="I1682" s="14" t="n">
        <x:v>11</x:v>
      </x:c>
      <x:c r="J1682" s="14" t="n">
        <x:v>2</x:v>
      </x:c>
      <x:c r="K1682" s="14" t="n">
        <x:v>13</x:v>
      </x:c>
      <x:c r="L1682" s="14" t="n">
        <x:v>38</x:v>
      </x:c>
      <x:c r="M1682" s="14" t="n">
        <x:v>11</x:v>
      </x:c>
      <x:c r="N1682" s="15" t="n">
        <x:f>IF(E1682=0,"해당 없음",F1682/E1682)</x:f>
        <x:v>0.028846153846153848</x:v>
      </x:c>
      <x:c r="O1682" s="15" t="n">
        <x:f>IF(E1682=0,"해당 없음",G1682/E1682)</x:f>
        <x:v>0.20192307692307693</x:v>
      </x:c>
      <x:c r="P1682" s="15" t="n">
        <x:f>IF(E1682=0,"해당 없음",H1682/E1682)</x:f>
        <x:v>0.04807692307692308</x:v>
      </x:c>
      <x:c r="Q1682" s="15" t="n">
        <x:f>IF(E1682=0,"해당 없음",I1682/E1682)</x:f>
        <x:v>0.10576923076923077</x:v>
      </x:c>
      <x:c r="R1682" s="15" t="n">
        <x:f>IF(E1682=0,"해당 없음",J1682/E1682)</x:f>
        <x:v>0.019230769230769232</x:v>
      </x:c>
      <x:c r="S1682" s="15" t="n">
        <x:f>IF(E1682=0,"해당 없음",K1682/E1682)</x:f>
        <x:v>0.125</x:v>
      </x:c>
      <x:c r="T1682" s="15" t="n">
        <x:f>IF(E1682=0,"해당 없음",L1682/E1682)</x:f>
        <x:v>0.36538461538461536</x:v>
      </x:c>
      <x:c r="U1682" s="15" t="n">
        <x:f>IF(E1682=0,"해당 없음",M1682/E1682)</x:f>
        <x:v>0.10576923076923077</x:v>
      </x:c>
      <x:c r="V1682" s="16" t="n">
        <x:f>E1682/5</x:f>
        <x:v>20.8</x:v>
      </x:c>
    </x:row>
    <x:row r="1683" ht="22" customHeight="1">
      <x:c r="A1683" s="2" t="n">
        <x:v>839</x:v>
      </x:c>
      <x:c r="B1683" s="2" t="str">
        <x:v>NAVY</x:v>
      </x:c>
      <x:c r="C1683" s="2" t="str">
        <x:v>200만</x:v>
      </x:c>
      <x:c r="D1683" s="2" t="str">
        <x:v>80만</x:v>
      </x:c>
      <x:c r="E1683" s="14" t="n">
        <x:f>SUM(F1683:M1683)</x:f>
        <x:v>105</x:v>
      </x:c>
      <x:c r="F1683" s="14" t="n">
        <x:v>6</x:v>
      </x:c>
      <x:c r="G1683" s="14" t="n">
        <x:v>18</x:v>
      </x:c>
      <x:c r="H1683" s="14" t="n">
        <x:v>4</x:v>
      </x:c>
      <x:c r="I1683" s="14" t="n">
        <x:v>3</x:v>
      </x:c>
      <x:c r="J1683" s="14" t="n">
        <x:v>4</x:v>
      </x:c>
      <x:c r="K1683" s="14" t="n">
        <x:v>4</x:v>
      </x:c>
      <x:c r="L1683" s="14" t="n">
        <x:v>35</x:v>
      </x:c>
      <x:c r="M1683" s="14" t="n">
        <x:v>31</x:v>
      </x:c>
      <x:c r="N1683" s="15" t="n">
        <x:f>IF(E1683=0,"해당 없음",F1683/E1683)</x:f>
        <x:v>0.05714285714285714</x:v>
      </x:c>
      <x:c r="O1683" s="15" t="n">
        <x:f>IF(E1683=0,"해당 없음",G1683/E1683)</x:f>
        <x:v>0.17142857142857143</x:v>
      </x:c>
      <x:c r="P1683" s="15" t="n">
        <x:f>IF(E1683=0,"해당 없음",H1683/E1683)</x:f>
        <x:v>0.0380952380952381</x:v>
      </x:c>
      <x:c r="Q1683" s="15" t="n">
        <x:f>IF(E1683=0,"해당 없음",I1683/E1683)</x:f>
        <x:v>0.02857142857142857</x:v>
      </x:c>
      <x:c r="R1683" s="15" t="n">
        <x:f>IF(E1683=0,"해당 없음",J1683/E1683)</x:f>
        <x:v>0.0380952380952381</x:v>
      </x:c>
      <x:c r="S1683" s="15" t="n">
        <x:f>IF(E1683=0,"해당 없음",K1683/E1683)</x:f>
        <x:v>0.0380952380952381</x:v>
      </x:c>
      <x:c r="T1683" s="15" t="n">
        <x:f>IF(E1683=0,"해당 없음",L1683/E1683)</x:f>
        <x:v>0.3333333333333333</x:v>
      </x:c>
      <x:c r="U1683" s="15" t="n">
        <x:f>IF(E1683=0,"해당 없음",M1683/E1683)</x:f>
        <x:v>0.29523809523809524</x:v>
      </x:c>
      <x:c r="V1683" s="16" t="n">
        <x:f>E1683/5</x:f>
        <x:v>21</x:v>
      </x:c>
    </x:row>
    <x:row r="1684" ht="22" customHeight="1">
      <x:c r="A1684" s="2" t="n">
        <x:v>840</x:v>
      </x:c>
      <x:c r="B1684" s="2" t="str">
        <x:v>RED</x:v>
      </x:c>
      <x:c r="C1684" s="2" t="str">
        <x:v>200만</x:v>
      </x:c>
      <x:c r="D1684" s="2" t="str">
        <x:v>80만</x:v>
      </x:c>
      <x:c r="E1684" s="14" t="n">
        <x:f>SUM(F1684:M1684)</x:f>
        <x:v>104</x:v>
      </x:c>
      <x:c r="F1684" s="14" t="n">
        <x:v>2</x:v>
      </x:c>
      <x:c r="G1684" s="14" t="n">
        <x:v>3</x:v>
      </x:c>
      <x:c r="H1684" s="14" t="n">
        <x:v>7</x:v>
      </x:c>
      <x:c r="I1684" s="14" t="n">
        <x:v>7</x:v>
      </x:c>
      <x:c r="J1684" s="14" t="n">
        <x:v>6</x:v>
      </x:c>
      <x:c r="K1684" s="14" t="n">
        <x:v>4</x:v>
      </x:c>
      <x:c r="L1684" s="14" t="n">
        <x:v>38</x:v>
      </x:c>
      <x:c r="M1684" s="14" t="n">
        <x:v>37</x:v>
      </x:c>
      <x:c r="N1684" s="15" t="n">
        <x:f>IF(E1684=0,"해당 없음",F1684/E1684)</x:f>
        <x:v>0.019230769230769232</x:v>
      </x:c>
      <x:c r="O1684" s="15" t="n">
        <x:f>IF(E1684=0,"해당 없음",G1684/E1684)</x:f>
        <x:v>0.028846153846153848</x:v>
      </x:c>
      <x:c r="P1684" s="15" t="n">
        <x:f>IF(E1684=0,"해당 없음",H1684/E1684)</x:f>
        <x:v>0.0673076923076923</x:v>
      </x:c>
      <x:c r="Q1684" s="15" t="n">
        <x:f>IF(E1684=0,"해당 없음",I1684/E1684)</x:f>
        <x:v>0.0673076923076923</x:v>
      </x:c>
      <x:c r="R1684" s="15" t="n">
        <x:f>IF(E1684=0,"해당 없음",J1684/E1684)</x:f>
        <x:v>0.057692307692307696</x:v>
      </x:c>
      <x:c r="S1684" s="15" t="n">
        <x:f>IF(E1684=0,"해당 없음",K1684/E1684)</x:f>
        <x:v>0.038461538461538464</x:v>
      </x:c>
      <x:c r="T1684" s="15" t="n">
        <x:f>IF(E1684=0,"해당 없음",L1684/E1684)</x:f>
        <x:v>0.36538461538461536</x:v>
      </x:c>
      <x:c r="U1684" s="15" t="n">
        <x:f>IF(E1684=0,"해당 없음",M1684/E1684)</x:f>
        <x:v>0.3557692307692308</x:v>
      </x:c>
      <x:c r="V1684" s="16" t="n">
        <x:f>E1684/5</x:f>
        <x:v>20.8</x:v>
      </x:c>
    </x:row>
    <x:row r="1685" ht="22" customHeight="1">
      <x:c r="A1685" s="2" t="n">
        <x:v>840</x:v>
      </x:c>
      <x:c r="B1685" s="2" t="str">
        <x:v>NAVY</x:v>
      </x:c>
      <x:c r="C1685" s="2" t="str">
        <x:v>80만</x:v>
      </x:c>
      <x:c r="D1685" s="2" t="str">
        <x:v>200만</x:v>
      </x:c>
      <x:c r="E1685" s="14" t="n">
        <x:f>SUM(F1685:M1685)</x:f>
        <x:v>105</x:v>
      </x:c>
      <x:c r="F1685" s="14" t="n">
        <x:v>9</x:v>
      </x:c>
      <x:c r="G1685" s="14" t="n">
        <x:v>13</x:v>
      </x:c>
      <x:c r="H1685" s="14" t="n">
        <x:v>11</x:v>
      </x:c>
      <x:c r="I1685" s="14" t="n">
        <x:v>5</x:v>
      </x:c>
      <x:c r="J1685" s="14" t="n">
        <x:v>3</x:v>
      </x:c>
      <x:c r="K1685" s="14" t="n">
        <x:v>5</x:v>
      </x:c>
      <x:c r="L1685" s="14" t="n">
        <x:v>45</x:v>
      </x:c>
      <x:c r="M1685" s="14" t="n">
        <x:v>14</x:v>
      </x:c>
      <x:c r="N1685" s="15" t="n">
        <x:f>IF(E1685=0,"해당 없음",F1685/E1685)</x:f>
        <x:v>0.08571428571428572</x:v>
      </x:c>
      <x:c r="O1685" s="15" t="n">
        <x:f>IF(E1685=0,"해당 없음",G1685/E1685)</x:f>
        <x:v>0.12380952380952381</x:v>
      </x:c>
      <x:c r="P1685" s="15" t="n">
        <x:f>IF(E1685=0,"해당 없음",H1685/E1685)</x:f>
        <x:v>0.10476190476190476</x:v>
      </x:c>
      <x:c r="Q1685" s="15" t="n">
        <x:f>IF(E1685=0,"해당 없음",I1685/E1685)</x:f>
        <x:v>0.047619047619047616</x:v>
      </x:c>
      <x:c r="R1685" s="15" t="n">
        <x:f>IF(E1685=0,"해당 없음",J1685/E1685)</x:f>
        <x:v>0.02857142857142857</x:v>
      </x:c>
      <x:c r="S1685" s="15" t="n">
        <x:f>IF(E1685=0,"해당 없음",K1685/E1685)</x:f>
        <x:v>0.047619047619047616</x:v>
      </x:c>
      <x:c r="T1685" s="15" t="n">
        <x:f>IF(E1685=0,"해당 없음",L1685/E1685)</x:f>
        <x:v>0.42857142857142855</x:v>
      </x:c>
      <x:c r="U1685" s="15" t="n">
        <x:f>IF(E1685=0,"해당 없음",M1685/E1685)</x:f>
        <x:v>0.13333333333333333</x:v>
      </x:c>
      <x:c r="V1685" s="16" t="n">
        <x:f>E1685/5</x:f>
        <x:v>21</x:v>
      </x:c>
    </x:row>
    <x:row r="1686" ht="22" customHeight="1">
      <x:c r="A1686" s="2" t="n">
        <x:v>841</x:v>
      </x:c>
      <x:c r="B1686" s="2" t="str">
        <x:v>RED</x:v>
      </x:c>
      <x:c r="C1686" s="2" t="str">
        <x:v>80만</x:v>
      </x:c>
      <x:c r="D1686" s="2" t="str">
        <x:v>240만</x:v>
      </x:c>
      <x:c r="E1686" s="14" t="n">
        <x:f>SUM(F1686:M1686)</x:f>
        <x:v>102</x:v>
      </x:c>
      <x:c r="F1686" s="14" t="n">
        <x:v>4</x:v>
      </x:c>
      <x:c r="G1686" s="14" t="n">
        <x:v>15</x:v>
      </x:c>
      <x:c r="H1686" s="14" t="n">
        <x:v>8</x:v>
      </x:c>
      <x:c r="I1686" s="14" t="n">
        <x:v>6</x:v>
      </x:c>
      <x:c r="J1686" s="14" t="n">
        <x:v>1</x:v>
      </x:c>
      <x:c r="K1686" s="14" t="n">
        <x:v>7</x:v>
      </x:c>
      <x:c r="L1686" s="14" t="n">
        <x:v>35</x:v>
      </x:c>
      <x:c r="M1686" s="14" t="n">
        <x:v>26</x:v>
      </x:c>
      <x:c r="N1686" s="15" t="n">
        <x:f>IF(E1686=0,"해당 없음",F1686/E1686)</x:f>
        <x:v>0.0392156862745098</x:v>
      </x:c>
      <x:c r="O1686" s="15" t="n">
        <x:f>IF(E1686=0,"해당 없음",G1686/E1686)</x:f>
        <x:v>0.14705882352941177</x:v>
      </x:c>
      <x:c r="P1686" s="15" t="n">
        <x:f>IF(E1686=0,"해당 없음",H1686/E1686)</x:f>
        <x:v>0.0784313725490196</x:v>
      </x:c>
      <x:c r="Q1686" s="15" t="n">
        <x:f>IF(E1686=0,"해당 없음",I1686/E1686)</x:f>
        <x:v>0.058823529411764705</x:v>
      </x:c>
      <x:c r="R1686" s="15" t="n">
        <x:f>IF(E1686=0,"해당 없음",J1686/E1686)</x:f>
        <x:v>0.00980392156862745</x:v>
      </x:c>
      <x:c r="S1686" s="15" t="n">
        <x:f>IF(E1686=0,"해당 없음",K1686/E1686)</x:f>
        <x:v>0.06862745098039216</x:v>
      </x:c>
      <x:c r="T1686" s="15" t="n">
        <x:f>IF(E1686=0,"해당 없음",L1686/E1686)</x:f>
        <x:v>0.3431372549019608</x:v>
      </x:c>
      <x:c r="U1686" s="15" t="n">
        <x:f>IF(E1686=0,"해당 없음",M1686/E1686)</x:f>
        <x:v>0.2549019607843137</x:v>
      </x:c>
      <x:c r="V1686" s="16" t="n">
        <x:f>E1686/5</x:f>
        <x:v>20.4</x:v>
      </x:c>
    </x:row>
    <x:row r="1687" ht="22" customHeight="1">
      <x:c r="A1687" s="2" t="n">
        <x:v>841</x:v>
      </x:c>
      <x:c r="B1687" s="2" t="str">
        <x:v>NAVY</x:v>
      </x:c>
      <x:c r="C1687" s="2" t="str">
        <x:v>240만</x:v>
      </x:c>
      <x:c r="D1687" s="2" t="str">
        <x:v>80만</x:v>
      </x:c>
      <x:c r="E1687" s="14" t="n">
        <x:f>SUM(F1687:M1687)</x:f>
        <x:v>103</x:v>
      </x:c>
      <x:c r="F1687" s="14" t="n">
        <x:v>1</x:v>
      </x:c>
      <x:c r="G1687" s="14" t="n">
        <x:v>14</x:v>
      </x:c>
      <x:c r="H1687" s="14" t="n">
        <x:v>3</x:v>
      </x:c>
      <x:c r="I1687" s="14" t="n">
        <x:v>3</x:v>
      </x:c>
      <x:c r="J1687" s="14" t="n">
        <x:v>3</x:v>
      </x:c>
      <x:c r="K1687" s="14" t="n">
        <x:v>2</x:v>
      </x:c>
      <x:c r="L1687" s="14" t="n">
        <x:v>38</x:v>
      </x:c>
      <x:c r="M1687" s="14" t="n">
        <x:v>39</x:v>
      </x:c>
      <x:c r="N1687" s="15" t="n">
        <x:f>IF(E1687=0,"해당 없음",F1687/E1687)</x:f>
        <x:v>0.009708737864077669</x:v>
      </x:c>
      <x:c r="O1687" s="15" t="n">
        <x:f>IF(E1687=0,"해당 없음",G1687/E1687)</x:f>
        <x:v>0.13592233009708737</x:v>
      </x:c>
      <x:c r="P1687" s="15" t="n">
        <x:f>IF(E1687=0,"해당 없음",H1687/E1687)</x:f>
        <x:v>0.02912621359223301</x:v>
      </x:c>
      <x:c r="Q1687" s="15" t="n">
        <x:f>IF(E1687=0,"해당 없음",I1687/E1687)</x:f>
        <x:v>0.02912621359223301</x:v>
      </x:c>
      <x:c r="R1687" s="15" t="n">
        <x:f>IF(E1687=0,"해당 없음",J1687/E1687)</x:f>
        <x:v>0.02912621359223301</x:v>
      </x:c>
      <x:c r="S1687" s="15" t="n">
        <x:f>IF(E1687=0,"해당 없음",K1687/E1687)</x:f>
        <x:v>0.019417475728155338</x:v>
      </x:c>
      <x:c r="T1687" s="15" t="n">
        <x:f>IF(E1687=0,"해당 없음",L1687/E1687)</x:f>
        <x:v>0.36893203883495146</x:v>
      </x:c>
      <x:c r="U1687" s="15" t="n">
        <x:f>IF(E1687=0,"해당 없음",M1687/E1687)</x:f>
        <x:v>0.3786407766990291</x:v>
      </x:c>
      <x:c r="V1687" s="16" t="n">
        <x:f>E1687/5</x:f>
        <x:v>20.6</x:v>
      </x:c>
    </x:row>
    <x:row r="1688" ht="22" customHeight="1">
      <x:c r="A1688" s="2" t="n">
        <x:v>842</x:v>
      </x:c>
      <x:c r="B1688" s="2" t="str">
        <x:v>RED</x:v>
      </x:c>
      <x:c r="C1688" s="2" t="str">
        <x:v>240만</x:v>
      </x:c>
      <x:c r="D1688" s="2" t="str">
        <x:v>80만</x:v>
      </x:c>
      <x:c r="E1688" s="14" t="n">
        <x:f>SUM(F1688:M1688)</x:f>
        <x:v>103</x:v>
      </x:c>
      <x:c r="F1688" s="14" t="n">
        <x:v>0</x:v>
      </x:c>
      <x:c r="G1688" s="14" t="n">
        <x:v>15</x:v>
      </x:c>
      <x:c r="H1688" s="14" t="n">
        <x:v>4</x:v>
      </x:c>
      <x:c r="I1688" s="14" t="n">
        <x:v>2</x:v>
      </x:c>
      <x:c r="J1688" s="14" t="n">
        <x:v>0</x:v>
      </x:c>
      <x:c r="K1688" s="14" t="n">
        <x:v>5</x:v>
      </x:c>
      <x:c r="L1688" s="14" t="n">
        <x:v>37</x:v>
      </x:c>
      <x:c r="M1688" s="14" t="n">
        <x:v>40</x:v>
      </x:c>
      <x:c r="N1688" s="15" t="n">
        <x:f>IF(E1688=0,"해당 없음",F1688/E1688)</x:f>
        <x:v>0</x:v>
      </x:c>
      <x:c r="O1688" s="15" t="n">
        <x:f>IF(E1688=0,"해당 없음",G1688/E1688)</x:f>
        <x:v>0.14563106796116504</x:v>
      </x:c>
      <x:c r="P1688" s="15" t="n">
        <x:f>IF(E1688=0,"해당 없음",H1688/E1688)</x:f>
        <x:v>0.038834951456310676</x:v>
      </x:c>
      <x:c r="Q1688" s="15" t="n">
        <x:f>IF(E1688=0,"해당 없음",I1688/E1688)</x:f>
        <x:v>0.019417475728155338</x:v>
      </x:c>
      <x:c r="R1688" s="15" t="n">
        <x:f>IF(E1688=0,"해당 없음",J1688/E1688)</x:f>
        <x:v>0</x:v>
      </x:c>
      <x:c r="S1688" s="15" t="n">
        <x:f>IF(E1688=0,"해당 없음",K1688/E1688)</x:f>
        <x:v>0.04854368932038835</x:v>
      </x:c>
      <x:c r="T1688" s="15" t="n">
        <x:f>IF(E1688=0,"해당 없음",L1688/E1688)</x:f>
        <x:v>0.3592233009708738</x:v>
      </x:c>
      <x:c r="U1688" s="15" t="n">
        <x:f>IF(E1688=0,"해당 없음",M1688/E1688)</x:f>
        <x:v>0.3883495145631068</x:v>
      </x:c>
      <x:c r="V1688" s="16" t="n">
        <x:f>E1688/5</x:f>
        <x:v>20.6</x:v>
      </x:c>
    </x:row>
    <x:row r="1689" ht="22" customHeight="1">
      <x:c r="A1689" s="2" t="n">
        <x:v>842</x:v>
      </x:c>
      <x:c r="B1689" s="2" t="str">
        <x:v>NAVY</x:v>
      </x:c>
      <x:c r="C1689" s="2" t="str">
        <x:v>80만</x:v>
      </x:c>
      <x:c r="D1689" s="2" t="str">
        <x:v>240만</x:v>
      </x:c>
      <x:c r="E1689" s="14" t="n">
        <x:f>SUM(F1689:M1689)</x:f>
        <x:v>100</x:v>
      </x:c>
      <x:c r="F1689" s="14" t="n">
        <x:v>5</x:v>
      </x:c>
      <x:c r="G1689" s="14" t="n">
        <x:v>15</x:v>
      </x:c>
      <x:c r="H1689" s="14" t="n">
        <x:v>4</x:v>
      </x:c>
      <x:c r="I1689" s="14" t="n">
        <x:v>5</x:v>
      </x:c>
      <x:c r="J1689" s="14" t="n">
        <x:v>4</x:v>
      </x:c>
      <x:c r="K1689" s="14" t="n">
        <x:v>9</x:v>
      </x:c>
      <x:c r="L1689" s="14" t="n">
        <x:v>38</x:v>
      </x:c>
      <x:c r="M1689" s="14" t="n">
        <x:v>20</x:v>
      </x:c>
      <x:c r="N1689" s="15" t="n">
        <x:f>IF(E1689=0,"해당 없음",F1689/E1689)</x:f>
        <x:v>0.05</x:v>
      </x:c>
      <x:c r="O1689" s="15" t="n">
        <x:f>IF(E1689=0,"해당 없음",G1689/E1689)</x:f>
        <x:v>0.15</x:v>
      </x:c>
      <x:c r="P1689" s="15" t="n">
        <x:f>IF(E1689=0,"해당 없음",H1689/E1689)</x:f>
        <x:v>0.04</x:v>
      </x:c>
      <x:c r="Q1689" s="15" t="n">
        <x:f>IF(E1689=0,"해당 없음",I1689/E1689)</x:f>
        <x:v>0.05</x:v>
      </x:c>
      <x:c r="R1689" s="15" t="n">
        <x:f>IF(E1689=0,"해당 없음",J1689/E1689)</x:f>
        <x:v>0.04</x:v>
      </x:c>
      <x:c r="S1689" s="15" t="n">
        <x:f>IF(E1689=0,"해당 없음",K1689/E1689)</x:f>
        <x:v>0.09</x:v>
      </x:c>
      <x:c r="T1689" s="15" t="n">
        <x:f>IF(E1689=0,"해당 없음",L1689/E1689)</x:f>
        <x:v>0.38</x:v>
      </x:c>
      <x:c r="U1689" s="15" t="n">
        <x:f>IF(E1689=0,"해당 없음",M1689/E1689)</x:f>
        <x:v>0.2</x:v>
      </x:c>
      <x:c r="V1689" s="16" t="n">
        <x:f>E1689/5</x:f>
        <x:v>20</x:v>
      </x:c>
    </x:row>
    <x:row r="1690" ht="22" customHeight="1">
      <x:c r="A1690" s="2" t="n">
        <x:v>843</x:v>
      </x:c>
      <x:c r="B1690" s="2" t="str">
        <x:v>RED</x:v>
      </x:c>
      <x:c r="C1690" s="2" t="str">
        <x:v>80만</x:v>
      </x:c>
      <x:c r="D1690" s="2" t="str">
        <x:v>240만</x:v>
      </x:c>
      <x:c r="E1690" s="14" t="n">
        <x:f>SUM(F1690:M1690)</x:f>
        <x:v>104</x:v>
      </x:c>
      <x:c r="F1690" s="14" t="n">
        <x:v>6</x:v>
      </x:c>
      <x:c r="G1690" s="14" t="n">
        <x:v>12</x:v>
      </x:c>
      <x:c r="H1690" s="14" t="n">
        <x:v>10</x:v>
      </x:c>
      <x:c r="I1690" s="14" t="n">
        <x:v>14</x:v>
      </x:c>
      <x:c r="J1690" s="14" t="n">
        <x:v>1</x:v>
      </x:c>
      <x:c r="K1690" s="14" t="n">
        <x:v>17</x:v>
      </x:c>
      <x:c r="L1690" s="14" t="n">
        <x:v>35</x:v>
      </x:c>
      <x:c r="M1690" s="14" t="n">
        <x:v>9</x:v>
      </x:c>
      <x:c r="N1690" s="15" t="n">
        <x:f>IF(E1690=0,"해당 없음",F1690/E1690)</x:f>
        <x:v>0.057692307692307696</x:v>
      </x:c>
      <x:c r="O1690" s="15" t="n">
        <x:f>IF(E1690=0,"해당 없음",G1690/E1690)</x:f>
        <x:v>0.11538461538461539</x:v>
      </x:c>
      <x:c r="P1690" s="15" t="n">
        <x:f>IF(E1690=0,"해당 없음",H1690/E1690)</x:f>
        <x:v>0.09615384615384616</x:v>
      </x:c>
      <x:c r="Q1690" s="15" t="n">
        <x:f>IF(E1690=0,"해당 없음",I1690/E1690)</x:f>
        <x:v>0.1346153846153846</x:v>
      </x:c>
      <x:c r="R1690" s="15" t="n">
        <x:f>IF(E1690=0,"해당 없음",J1690/E1690)</x:f>
        <x:v>0.009615384615384616</x:v>
      </x:c>
      <x:c r="S1690" s="15" t="n">
        <x:f>IF(E1690=0,"해당 없음",K1690/E1690)</x:f>
        <x:v>0.16346153846153846</x:v>
      </x:c>
      <x:c r="T1690" s="15" t="n">
        <x:f>IF(E1690=0,"해당 없음",L1690/E1690)</x:f>
        <x:v>0.33653846153846156</x:v>
      </x:c>
      <x:c r="U1690" s="15" t="n">
        <x:f>IF(E1690=0,"해당 없음",M1690/E1690)</x:f>
        <x:v>0.08653846153846154</x:v>
      </x:c>
      <x:c r="V1690" s="16" t="n">
        <x:f>E1690/5</x:f>
        <x:v>20.8</x:v>
      </x:c>
    </x:row>
    <x:row r="1691" ht="22" customHeight="1">
      <x:c r="A1691" s="2" t="n">
        <x:v>843</x:v>
      </x:c>
      <x:c r="B1691" s="2" t="str">
        <x:v>NAVY</x:v>
      </x:c>
      <x:c r="C1691" s="2" t="str">
        <x:v>240만</x:v>
      </x:c>
      <x:c r="D1691" s="2" t="str">
        <x:v>80만</x:v>
      </x:c>
      <x:c r="E1691" s="14" t="n">
        <x:f>SUM(F1691:M1691)</x:f>
        <x:v>103</x:v>
      </x:c>
      <x:c r="F1691" s="14" t="n">
        <x:v>1</x:v>
      </x:c>
      <x:c r="G1691" s="14" t="n">
        <x:v>8</x:v>
      </x:c>
      <x:c r="H1691" s="14" t="n">
        <x:v>1</x:v>
      </x:c>
      <x:c r="I1691" s="14" t="n">
        <x:v>8</x:v>
      </x:c>
      <x:c r="J1691" s="14" t="n">
        <x:v>0</x:v>
      </x:c>
      <x:c r="K1691" s="14" t="n">
        <x:v>2</x:v>
      </x:c>
      <x:c r="L1691" s="14" t="n">
        <x:v>36</x:v>
      </x:c>
      <x:c r="M1691" s="14" t="n">
        <x:v>47</x:v>
      </x:c>
      <x:c r="N1691" s="15" t="n">
        <x:f>IF(E1691=0,"해당 없음",F1691/E1691)</x:f>
        <x:v>0.009708737864077669</x:v>
      </x:c>
      <x:c r="O1691" s="15" t="n">
        <x:f>IF(E1691=0,"해당 없음",G1691/E1691)</x:f>
        <x:v>0.07766990291262135</x:v>
      </x:c>
      <x:c r="P1691" s="15" t="n">
        <x:f>IF(E1691=0,"해당 없음",H1691/E1691)</x:f>
        <x:v>0.009708737864077669</x:v>
      </x:c>
      <x:c r="Q1691" s="15" t="n">
        <x:f>IF(E1691=0,"해당 없음",I1691/E1691)</x:f>
        <x:v>0.07766990291262135</x:v>
      </x:c>
      <x:c r="R1691" s="15" t="n">
        <x:f>IF(E1691=0,"해당 없음",J1691/E1691)</x:f>
        <x:v>0</x:v>
      </x:c>
      <x:c r="S1691" s="15" t="n">
        <x:f>IF(E1691=0,"해당 없음",K1691/E1691)</x:f>
        <x:v>0.019417475728155338</x:v>
      </x:c>
      <x:c r="T1691" s="15" t="n">
        <x:f>IF(E1691=0,"해당 없음",L1691/E1691)</x:f>
        <x:v>0.34951456310679613</x:v>
      </x:c>
      <x:c r="U1691" s="15" t="n">
        <x:f>IF(E1691=0,"해당 없음",M1691/E1691)</x:f>
        <x:v>0.4563106796116505</x:v>
      </x:c>
      <x:c r="V1691" s="16" t="n">
        <x:f>E1691/5</x:f>
        <x:v>20.6</x:v>
      </x:c>
    </x:row>
    <x:row r="1692" ht="22" customHeight="1">
      <x:c r="A1692" s="2" t="n">
        <x:v>844</x:v>
      </x:c>
      <x:c r="B1692" s="2" t="str">
        <x:v>RED</x:v>
      </x:c>
      <x:c r="C1692" s="2" t="str">
        <x:v>240만</x:v>
      </x:c>
      <x:c r="D1692" s="2" t="str">
        <x:v>80만</x:v>
      </x:c>
      <x:c r="E1692" s="14" t="n">
        <x:f>SUM(F1692:M1692)</x:f>
        <x:v>101</x:v>
      </x:c>
      <x:c r="F1692" s="14" t="n">
        <x:v>2</x:v>
      </x:c>
      <x:c r="G1692" s="14" t="n">
        <x:v>11</x:v>
      </x:c>
      <x:c r="H1692" s="14" t="n">
        <x:v>1</x:v>
      </x:c>
      <x:c r="I1692" s="14" t="n">
        <x:v>5</x:v>
      </x:c>
      <x:c r="J1692" s="14" t="n">
        <x:v>2</x:v>
      </x:c>
      <x:c r="K1692" s="14" t="n">
        <x:v>2</x:v>
      </x:c>
      <x:c r="L1692" s="14" t="n">
        <x:v>34</x:v>
      </x:c>
      <x:c r="M1692" s="14" t="n">
        <x:v>44</x:v>
      </x:c>
      <x:c r="N1692" s="15" t="n">
        <x:f>IF(E1692=0,"해당 없음",F1692/E1692)</x:f>
        <x:v>0.019801980198019802</x:v>
      </x:c>
      <x:c r="O1692" s="15" t="n">
        <x:f>IF(E1692=0,"해당 없음",G1692/E1692)</x:f>
        <x:v>0.10891089108910891</x:v>
      </x:c>
      <x:c r="P1692" s="15" t="n">
        <x:f>IF(E1692=0,"해당 없음",H1692/E1692)</x:f>
        <x:v>0.009900990099009901</x:v>
      </x:c>
      <x:c r="Q1692" s="15" t="n">
        <x:f>IF(E1692=0,"해당 없음",I1692/E1692)</x:f>
        <x:v>0.04950495049504951</x:v>
      </x:c>
      <x:c r="R1692" s="15" t="n">
        <x:f>IF(E1692=0,"해당 없음",J1692/E1692)</x:f>
        <x:v>0.019801980198019802</x:v>
      </x:c>
      <x:c r="S1692" s="15" t="n">
        <x:f>IF(E1692=0,"해당 없음",K1692/E1692)</x:f>
        <x:v>0.019801980198019802</x:v>
      </x:c>
      <x:c r="T1692" s="15" t="n">
        <x:f>IF(E1692=0,"해당 없음",L1692/E1692)</x:f>
        <x:v>0.33663366336633666</x:v>
      </x:c>
      <x:c r="U1692" s="15" t="n">
        <x:f>IF(E1692=0,"해당 없음",M1692/E1692)</x:f>
        <x:v>0.43564356435643564</x:v>
      </x:c>
      <x:c r="V1692" s="16" t="n">
        <x:f>E1692/5</x:f>
        <x:v>20.2</x:v>
      </x:c>
    </x:row>
    <x:row r="1693" ht="22" customHeight="1">
      <x:c r="A1693" s="2" t="n">
        <x:v>844</x:v>
      </x:c>
      <x:c r="B1693" s="2" t="str">
        <x:v>NAVY</x:v>
      </x:c>
      <x:c r="C1693" s="2" t="str">
        <x:v>80만</x:v>
      </x:c>
      <x:c r="D1693" s="2" t="str">
        <x:v>240만</x:v>
      </x:c>
      <x:c r="E1693" s="14" t="n">
        <x:f>SUM(F1693:M1693)</x:f>
        <x:v>103</x:v>
      </x:c>
      <x:c r="F1693" s="14" t="n">
        <x:v>6</x:v>
      </x:c>
      <x:c r="G1693" s="14" t="n">
        <x:v>16</x:v>
      </x:c>
      <x:c r="H1693" s="14" t="n">
        <x:v>3</x:v>
      </x:c>
      <x:c r="I1693" s="14" t="n">
        <x:v>7</x:v>
      </x:c>
      <x:c r="J1693" s="14" t="n">
        <x:v>2</x:v>
      </x:c>
      <x:c r="K1693" s="14" t="n">
        <x:v>15</x:v>
      </x:c>
      <x:c r="L1693" s="14" t="n">
        <x:v>33</x:v>
      </x:c>
      <x:c r="M1693" s="14" t="n">
        <x:v>21</x:v>
      </x:c>
      <x:c r="N1693" s="15" t="n">
        <x:f>IF(E1693=0,"해당 없음",F1693/E1693)</x:f>
        <x:v>0.05825242718446602</x:v>
      </x:c>
      <x:c r="O1693" s="15" t="n">
        <x:f>IF(E1693=0,"해당 없음",G1693/E1693)</x:f>
        <x:v>0.1553398058252427</x:v>
      </x:c>
      <x:c r="P1693" s="15" t="n">
        <x:f>IF(E1693=0,"해당 없음",H1693/E1693)</x:f>
        <x:v>0.02912621359223301</x:v>
      </x:c>
      <x:c r="Q1693" s="15" t="n">
        <x:f>IF(E1693=0,"해당 없음",I1693/E1693)</x:f>
        <x:v>0.06796116504854369</x:v>
      </x:c>
      <x:c r="R1693" s="15" t="n">
        <x:f>IF(E1693=0,"해당 없음",J1693/E1693)</x:f>
        <x:v>0.019417475728155338</x:v>
      </x:c>
      <x:c r="S1693" s="15" t="n">
        <x:f>IF(E1693=0,"해당 없음",K1693/E1693)</x:f>
        <x:v>0.14563106796116504</x:v>
      </x:c>
      <x:c r="T1693" s="15" t="n">
        <x:f>IF(E1693=0,"해당 없음",L1693/E1693)</x:f>
        <x:v>0.32038834951456313</x:v>
      </x:c>
      <x:c r="U1693" s="15" t="n">
        <x:f>IF(E1693=0,"해당 없음",M1693/E1693)</x:f>
        <x:v>0.20388349514563106</x:v>
      </x:c>
      <x:c r="V1693" s="16" t="n">
        <x:f>E1693/5</x:f>
        <x:v>20.6</x:v>
      </x:c>
    </x:row>
    <x:row r="1694" ht="22" customHeight="1">
      <x:c r="A1694" s="2" t="n">
        <x:v>845</x:v>
      </x:c>
      <x:c r="B1694" s="2" t="str">
        <x:v>RED</x:v>
      </x:c>
      <x:c r="C1694" s="2" t="str">
        <x:v>80만</x:v>
      </x:c>
      <x:c r="D1694" s="2" t="str">
        <x:v>240만</x:v>
      </x:c>
      <x:c r="E1694" s="14" t="n">
        <x:f>SUM(F1694:M1694)</x:f>
        <x:v>103</x:v>
      </x:c>
      <x:c r="F1694" s="14" t="n">
        <x:v>3</x:v>
      </x:c>
      <x:c r="G1694" s="14" t="n">
        <x:v>18</x:v>
      </x:c>
      <x:c r="H1694" s="14" t="n">
        <x:v>8</x:v>
      </x:c>
      <x:c r="I1694" s="14" t="n">
        <x:v>6</x:v>
      </x:c>
      <x:c r="J1694" s="14" t="n">
        <x:v>1</x:v>
      </x:c>
      <x:c r="K1694" s="14" t="n">
        <x:v>10</x:v>
      </x:c>
      <x:c r="L1694" s="14" t="n">
        <x:v>34</x:v>
      </x:c>
      <x:c r="M1694" s="14" t="n">
        <x:v>23</x:v>
      </x:c>
      <x:c r="N1694" s="15" t="n">
        <x:f>IF(E1694=0,"해당 없음",F1694/E1694)</x:f>
        <x:v>0.02912621359223301</x:v>
      </x:c>
      <x:c r="O1694" s="15" t="n">
        <x:f>IF(E1694=0,"해당 없음",G1694/E1694)</x:f>
        <x:v>0.17475728155339806</x:v>
      </x:c>
      <x:c r="P1694" s="15" t="n">
        <x:f>IF(E1694=0,"해당 없음",H1694/E1694)</x:f>
        <x:v>0.07766990291262135</x:v>
      </x:c>
      <x:c r="Q1694" s="15" t="n">
        <x:f>IF(E1694=0,"해당 없음",I1694/E1694)</x:f>
        <x:v>0.05825242718446602</x:v>
      </x:c>
      <x:c r="R1694" s="15" t="n">
        <x:f>IF(E1694=0,"해당 없음",J1694/E1694)</x:f>
        <x:v>0.009708737864077669</x:v>
      </x:c>
      <x:c r="S1694" s="15" t="n">
        <x:f>IF(E1694=0,"해당 없음",K1694/E1694)</x:f>
        <x:v>0.0970873786407767</x:v>
      </x:c>
      <x:c r="T1694" s="15" t="n">
        <x:f>IF(E1694=0,"해당 없음",L1694/E1694)</x:f>
        <x:v>0.3300970873786408</x:v>
      </x:c>
      <x:c r="U1694" s="15" t="n">
        <x:f>IF(E1694=0,"해당 없음",M1694/E1694)</x:f>
        <x:v>0.22330097087378642</x:v>
      </x:c>
      <x:c r="V1694" s="16" t="n">
        <x:f>E1694/5</x:f>
        <x:v>20.6</x:v>
      </x:c>
    </x:row>
    <x:row r="1695" ht="22" customHeight="1">
      <x:c r="A1695" s="2" t="n">
        <x:v>845</x:v>
      </x:c>
      <x:c r="B1695" s="2" t="str">
        <x:v>NAVY</x:v>
      </x:c>
      <x:c r="C1695" s="2" t="str">
        <x:v>240만</x:v>
      </x:c>
      <x:c r="D1695" s="2" t="str">
        <x:v>80만</x:v>
      </x:c>
      <x:c r="E1695" s="14" t="n">
        <x:f>SUM(F1695:M1695)</x:f>
        <x:v>100</x:v>
      </x:c>
      <x:c r="F1695" s="14" t="n">
        <x:v>4</x:v>
      </x:c>
      <x:c r="G1695" s="14" t="n">
        <x:v>25</x:v>
      </x:c>
      <x:c r="H1695" s="14" t="n">
        <x:v>5</x:v>
      </x:c>
      <x:c r="I1695" s="14" t="n">
        <x:v>2</x:v>
      </x:c>
      <x:c r="J1695" s="14" t="n">
        <x:v>2</x:v>
      </x:c>
      <x:c r="K1695" s="14" t="n">
        <x:v>4</x:v>
      </x:c>
      <x:c r="L1695" s="14" t="n">
        <x:v>37</x:v>
      </x:c>
      <x:c r="M1695" s="14" t="n">
        <x:v>21</x:v>
      </x:c>
      <x:c r="N1695" s="15" t="n">
        <x:f>IF(E1695=0,"해당 없음",F1695/E1695)</x:f>
        <x:v>0.04</x:v>
      </x:c>
      <x:c r="O1695" s="15" t="n">
        <x:f>IF(E1695=0,"해당 없음",G1695/E1695)</x:f>
        <x:v>0.25</x:v>
      </x:c>
      <x:c r="P1695" s="15" t="n">
        <x:f>IF(E1695=0,"해당 없음",H1695/E1695)</x:f>
        <x:v>0.05</x:v>
      </x:c>
      <x:c r="Q1695" s="15" t="n">
        <x:f>IF(E1695=0,"해당 없음",I1695/E1695)</x:f>
        <x:v>0.02</x:v>
      </x:c>
      <x:c r="R1695" s="15" t="n">
        <x:f>IF(E1695=0,"해당 없음",J1695/E1695)</x:f>
        <x:v>0.02</x:v>
      </x:c>
      <x:c r="S1695" s="15" t="n">
        <x:f>IF(E1695=0,"해당 없음",K1695/E1695)</x:f>
        <x:v>0.04</x:v>
      </x:c>
      <x:c r="T1695" s="15" t="n">
        <x:f>IF(E1695=0,"해당 없음",L1695/E1695)</x:f>
        <x:v>0.37</x:v>
      </x:c>
      <x:c r="U1695" s="15" t="n">
        <x:f>IF(E1695=0,"해당 없음",M1695/E1695)</x:f>
        <x:v>0.21</x:v>
      </x:c>
      <x:c r="V1695" s="16" t="n">
        <x:f>E1695/5</x:f>
        <x:v>20</x:v>
      </x:c>
    </x:row>
    <x:row r="1696" ht="22" customHeight="1">
      <x:c r="A1696" s="2" t="n">
        <x:v>846</x:v>
      </x:c>
      <x:c r="B1696" s="2" t="str">
        <x:v>RED</x:v>
      </x:c>
      <x:c r="C1696" s="2" t="str">
        <x:v>240만</x:v>
      </x:c>
      <x:c r="D1696" s="2" t="str">
        <x:v>80만</x:v>
      </x:c>
      <x:c r="E1696" s="14" t="n">
        <x:f>SUM(F1696:M1696)</x:f>
        <x:v>102</x:v>
      </x:c>
      <x:c r="F1696" s="14" t="n">
        <x:v>2</x:v>
      </x:c>
      <x:c r="G1696" s="14" t="n">
        <x:v>12</x:v>
      </x:c>
      <x:c r="H1696" s="14" t="n">
        <x:v>2</x:v>
      </x:c>
      <x:c r="I1696" s="14" t="n">
        <x:v>3</x:v>
      </x:c>
      <x:c r="J1696" s="14" t="n">
        <x:v>2</x:v>
      </x:c>
      <x:c r="K1696" s="14" t="n">
        <x:v>2</x:v>
      </x:c>
      <x:c r="L1696" s="14" t="n">
        <x:v>40</x:v>
      </x:c>
      <x:c r="M1696" s="14" t="n">
        <x:v>39</x:v>
      </x:c>
      <x:c r="N1696" s="15" t="n">
        <x:f>IF(E1696=0,"해당 없음",F1696/E1696)</x:f>
        <x:v>0.0196078431372549</x:v>
      </x:c>
      <x:c r="O1696" s="15" t="n">
        <x:f>IF(E1696=0,"해당 없음",G1696/E1696)</x:f>
        <x:v>0.11764705882352941</x:v>
      </x:c>
      <x:c r="P1696" s="15" t="n">
        <x:f>IF(E1696=0,"해당 없음",H1696/E1696)</x:f>
        <x:v>0.0196078431372549</x:v>
      </x:c>
      <x:c r="Q1696" s="15" t="n">
        <x:f>IF(E1696=0,"해당 없음",I1696/E1696)</x:f>
        <x:v>0.029411764705882353</x:v>
      </x:c>
      <x:c r="R1696" s="15" t="n">
        <x:f>IF(E1696=0,"해당 없음",J1696/E1696)</x:f>
        <x:v>0.0196078431372549</x:v>
      </x:c>
      <x:c r="S1696" s="15" t="n">
        <x:f>IF(E1696=0,"해당 없음",K1696/E1696)</x:f>
        <x:v>0.0196078431372549</x:v>
      </x:c>
      <x:c r="T1696" s="15" t="n">
        <x:f>IF(E1696=0,"해당 없음",L1696/E1696)</x:f>
        <x:v>0.39215686274509803</x:v>
      </x:c>
      <x:c r="U1696" s="15" t="n">
        <x:f>IF(E1696=0,"해당 없음",M1696/E1696)</x:f>
        <x:v>0.38235294117647056</x:v>
      </x:c>
      <x:c r="V1696" s="16" t="n">
        <x:f>E1696/5</x:f>
        <x:v>20.4</x:v>
      </x:c>
    </x:row>
    <x:row r="1697" ht="22" customHeight="1">
      <x:c r="A1697" s="2" t="n">
        <x:v>846</x:v>
      </x:c>
      <x:c r="B1697" s="2" t="str">
        <x:v>NAVY</x:v>
      </x:c>
      <x:c r="C1697" s="2" t="str">
        <x:v>80만</x:v>
      </x:c>
      <x:c r="D1697" s="2" t="str">
        <x:v>240만</x:v>
      </x:c>
      <x:c r="E1697" s="14" t="n">
        <x:f>SUM(F1697:M1697)</x:f>
        <x:v>101</x:v>
      </x:c>
      <x:c r="F1697" s="14" t="n">
        <x:v>8</x:v>
      </x:c>
      <x:c r="G1697" s="14" t="n">
        <x:v>11</x:v>
      </x:c>
      <x:c r="H1697" s="14" t="n">
        <x:v>6</x:v>
      </x:c>
      <x:c r="I1697" s="14" t="n">
        <x:v>9</x:v>
      </x:c>
      <x:c r="J1697" s="14" t="n">
        <x:v>0</x:v>
      </x:c>
      <x:c r="K1697" s="14" t="n">
        <x:v>6</x:v>
      </x:c>
      <x:c r="L1697" s="14" t="n">
        <x:v>37</x:v>
      </x:c>
      <x:c r="M1697" s="14" t="n">
        <x:v>24</x:v>
      </x:c>
      <x:c r="N1697" s="15" t="n">
        <x:f>IF(E1697=0,"해당 없음",F1697/E1697)</x:f>
        <x:v>0.07920792079207921</x:v>
      </x:c>
      <x:c r="O1697" s="15" t="n">
        <x:f>IF(E1697=0,"해당 없음",G1697/E1697)</x:f>
        <x:v>0.10891089108910891</x:v>
      </x:c>
      <x:c r="P1697" s="15" t="n">
        <x:f>IF(E1697=0,"해당 없음",H1697/E1697)</x:f>
        <x:v>0.0594059405940594</x:v>
      </x:c>
      <x:c r="Q1697" s="15" t="n">
        <x:f>IF(E1697=0,"해당 없음",I1697/E1697)</x:f>
        <x:v>0.0891089108910891</x:v>
      </x:c>
      <x:c r="R1697" s="15" t="n">
        <x:f>IF(E1697=0,"해당 없음",J1697/E1697)</x:f>
        <x:v>0</x:v>
      </x:c>
      <x:c r="S1697" s="15" t="n">
        <x:f>IF(E1697=0,"해당 없음",K1697/E1697)</x:f>
        <x:v>0.0594059405940594</x:v>
      </x:c>
      <x:c r="T1697" s="15" t="n">
        <x:f>IF(E1697=0,"해당 없음",L1697/E1697)</x:f>
        <x:v>0.36633663366336633</x:v>
      </x:c>
      <x:c r="U1697" s="15" t="n">
        <x:f>IF(E1697=0,"해당 없음",M1697/E1697)</x:f>
        <x:v>0.2376237623762376</x:v>
      </x:c>
      <x:c r="V1697" s="16" t="n">
        <x:f>E1697/5</x:f>
        <x:v>20.2</x:v>
      </x:c>
    </x:row>
    <x:row r="1698" ht="22" customHeight="1">
      <x:c r="A1698" s="2" t="n">
        <x:v>847</x:v>
      </x:c>
      <x:c r="B1698" s="2" t="str">
        <x:v>RED</x:v>
      </x:c>
      <x:c r="C1698" s="2" t="str">
        <x:v>80만</x:v>
      </x:c>
      <x:c r="D1698" s="2" t="str">
        <x:v>240만</x:v>
      </x:c>
      <x:c r="E1698" s="14" t="n">
        <x:f>SUM(F1698:M1698)</x:f>
        <x:v>102</x:v>
      </x:c>
      <x:c r="F1698" s="14" t="n">
        <x:v>3</x:v>
      </x:c>
      <x:c r="G1698" s="14" t="n">
        <x:v>26</x:v>
      </x:c>
      <x:c r="H1698" s="14" t="n">
        <x:v>8</x:v>
      </x:c>
      <x:c r="I1698" s="14" t="n">
        <x:v>2</x:v>
      </x:c>
      <x:c r="J1698" s="14" t="n">
        <x:v>2</x:v>
      </x:c>
      <x:c r="K1698" s="14" t="n">
        <x:v>11</x:v>
      </x:c>
      <x:c r="L1698" s="14" t="n">
        <x:v>30</x:v>
      </x:c>
      <x:c r="M1698" s="14" t="n">
        <x:v>20</x:v>
      </x:c>
      <x:c r="N1698" s="15" t="n">
        <x:f>IF(E1698=0,"해당 없음",F1698/E1698)</x:f>
        <x:v>0.029411764705882353</x:v>
      </x:c>
      <x:c r="O1698" s="15" t="n">
        <x:f>IF(E1698=0,"해당 없음",G1698/E1698)</x:f>
        <x:v>0.2549019607843137</x:v>
      </x:c>
      <x:c r="P1698" s="15" t="n">
        <x:f>IF(E1698=0,"해당 없음",H1698/E1698)</x:f>
        <x:v>0.0784313725490196</x:v>
      </x:c>
      <x:c r="Q1698" s="15" t="n">
        <x:f>IF(E1698=0,"해당 없음",I1698/E1698)</x:f>
        <x:v>0.0196078431372549</x:v>
      </x:c>
      <x:c r="R1698" s="15" t="n">
        <x:f>IF(E1698=0,"해당 없음",J1698/E1698)</x:f>
        <x:v>0.0196078431372549</x:v>
      </x:c>
      <x:c r="S1698" s="15" t="n">
        <x:f>IF(E1698=0,"해당 없음",K1698/E1698)</x:f>
        <x:v>0.10784313725490197</x:v>
      </x:c>
      <x:c r="T1698" s="15" t="n">
        <x:f>IF(E1698=0,"해당 없음",L1698/E1698)</x:f>
        <x:v>0.29411764705882354</x:v>
      </x:c>
      <x:c r="U1698" s="15" t="n">
        <x:f>IF(E1698=0,"해당 없음",M1698/E1698)</x:f>
        <x:v>0.19607843137254902</x:v>
      </x:c>
      <x:c r="V1698" s="16" t="n">
        <x:f>E1698/5</x:f>
        <x:v>20.4</x:v>
      </x:c>
    </x:row>
    <x:row r="1699" ht="22" customHeight="1">
      <x:c r="A1699" s="2" t="n">
        <x:v>847</x:v>
      </x:c>
      <x:c r="B1699" s="2" t="str">
        <x:v>NAVY</x:v>
      </x:c>
      <x:c r="C1699" s="2" t="str">
        <x:v>240만</x:v>
      </x:c>
      <x:c r="D1699" s="2" t="str">
        <x:v>80만</x:v>
      </x:c>
      <x:c r="E1699" s="14" t="n">
        <x:f>SUM(F1699:M1699)</x:f>
        <x:v>101</x:v>
      </x:c>
      <x:c r="F1699" s="14" t="n">
        <x:v>2</x:v>
      </x:c>
      <x:c r="G1699" s="14" t="n">
        <x:v>17</x:v>
      </x:c>
      <x:c r="H1699" s="14" t="n">
        <x:v>3</x:v>
      </x:c>
      <x:c r="I1699" s="14" t="n">
        <x:v>1</x:v>
      </x:c>
      <x:c r="J1699" s="14" t="n">
        <x:v>2</x:v>
      </x:c>
      <x:c r="K1699" s="14" t="n">
        <x:v>4</x:v>
      </x:c>
      <x:c r="L1699" s="14" t="n">
        <x:v>27</x:v>
      </x:c>
      <x:c r="M1699" s="14" t="n">
        <x:v>45</x:v>
      </x:c>
      <x:c r="N1699" s="15" t="n">
        <x:f>IF(E1699=0,"해당 없음",F1699/E1699)</x:f>
        <x:v>0.019801980198019802</x:v>
      </x:c>
      <x:c r="O1699" s="15" t="n">
        <x:f>IF(E1699=0,"해당 없음",G1699/E1699)</x:f>
        <x:v>0.16831683168316833</x:v>
      </x:c>
      <x:c r="P1699" s="15" t="n">
        <x:f>IF(E1699=0,"해당 없음",H1699/E1699)</x:f>
        <x:v>0.0297029702970297</x:v>
      </x:c>
      <x:c r="Q1699" s="15" t="n">
        <x:f>IF(E1699=0,"해당 없음",I1699/E1699)</x:f>
        <x:v>0.009900990099009901</x:v>
      </x:c>
      <x:c r="R1699" s="15" t="n">
        <x:f>IF(E1699=0,"해당 없음",J1699/E1699)</x:f>
        <x:v>0.019801980198019802</x:v>
      </x:c>
      <x:c r="S1699" s="15" t="n">
        <x:f>IF(E1699=0,"해당 없음",K1699/E1699)</x:f>
        <x:v>0.039603960396039604</x:v>
      </x:c>
      <x:c r="T1699" s="15" t="n">
        <x:f>IF(E1699=0,"해당 없음",L1699/E1699)</x:f>
        <x:v>0.26732673267326734</x:v>
      </x:c>
      <x:c r="U1699" s="15" t="n">
        <x:f>IF(E1699=0,"해당 없음",M1699/E1699)</x:f>
        <x:v>0.44554455445544555</x:v>
      </x:c>
      <x:c r="V1699" s="16" t="n">
        <x:f>E1699/5</x:f>
        <x:v>20.2</x:v>
      </x:c>
    </x:row>
    <x:row r="1700" ht="22" customHeight="1">
      <x:c r="A1700" s="2" t="n">
        <x:v>848</x:v>
      </x:c>
      <x:c r="B1700" s="2" t="str">
        <x:v>RED</x:v>
      </x:c>
      <x:c r="C1700" s="2" t="str">
        <x:v>240만</x:v>
      </x:c>
      <x:c r="D1700" s="2" t="str">
        <x:v>80만</x:v>
      </x:c>
      <x:c r="E1700" s="14" t="n">
        <x:f>SUM(F1700:M1700)</x:f>
        <x:v>102</x:v>
      </x:c>
      <x:c r="F1700" s="14" t="n">
        <x:v>0</x:v>
      </x:c>
      <x:c r="G1700" s="14" t="n">
        <x:v>8</x:v>
      </x:c>
      <x:c r="H1700" s="14" t="n">
        <x:v>2</x:v>
      </x:c>
      <x:c r="I1700" s="14" t="n">
        <x:v>3</x:v>
      </x:c>
      <x:c r="J1700" s="14" t="n">
        <x:v>1</x:v>
      </x:c>
      <x:c r="K1700" s="14" t="n">
        <x:v>4</x:v>
      </x:c>
      <x:c r="L1700" s="14" t="n">
        <x:v>37</x:v>
      </x:c>
      <x:c r="M1700" s="14" t="n">
        <x:v>47</x:v>
      </x:c>
      <x:c r="N1700" s="15" t="n">
        <x:f>IF(E1700=0,"해당 없음",F1700/E1700)</x:f>
        <x:v>0</x:v>
      </x:c>
      <x:c r="O1700" s="15" t="n">
        <x:f>IF(E1700=0,"해당 없음",G1700/E1700)</x:f>
        <x:v>0.0784313725490196</x:v>
      </x:c>
      <x:c r="P1700" s="15" t="n">
        <x:f>IF(E1700=0,"해당 없음",H1700/E1700)</x:f>
        <x:v>0.0196078431372549</x:v>
      </x:c>
      <x:c r="Q1700" s="15" t="n">
        <x:f>IF(E1700=0,"해당 없음",I1700/E1700)</x:f>
        <x:v>0.029411764705882353</x:v>
      </x:c>
      <x:c r="R1700" s="15" t="n">
        <x:f>IF(E1700=0,"해당 없음",J1700/E1700)</x:f>
        <x:v>0.00980392156862745</x:v>
      </x:c>
      <x:c r="S1700" s="15" t="n">
        <x:f>IF(E1700=0,"해당 없음",K1700/E1700)</x:f>
        <x:v>0.0392156862745098</x:v>
      </x:c>
      <x:c r="T1700" s="15" t="n">
        <x:f>IF(E1700=0,"해당 없음",L1700/E1700)</x:f>
        <x:v>0.3627450980392157</x:v>
      </x:c>
      <x:c r="U1700" s="15" t="n">
        <x:f>IF(E1700=0,"해당 없음",M1700/E1700)</x:f>
        <x:v>0.46078431372549017</x:v>
      </x:c>
      <x:c r="V1700" s="16" t="n">
        <x:f>E1700/5</x:f>
        <x:v>20.4</x:v>
      </x:c>
    </x:row>
    <x:row r="1701" ht="22" customHeight="1">
      <x:c r="A1701" s="2" t="n">
        <x:v>848</x:v>
      </x:c>
      <x:c r="B1701" s="2" t="str">
        <x:v>NAVY</x:v>
      </x:c>
      <x:c r="C1701" s="2" t="str">
        <x:v>80만</x:v>
      </x:c>
      <x:c r="D1701" s="2" t="str">
        <x:v>240만</x:v>
      </x:c>
      <x:c r="E1701" s="14" t="n">
        <x:f>SUM(F1701:M1701)</x:f>
        <x:v>103</x:v>
      </x:c>
      <x:c r="F1701" s="14" t="n">
        <x:v>2</x:v>
      </x:c>
      <x:c r="G1701" s="14" t="n">
        <x:v>22</x:v>
      </x:c>
      <x:c r="H1701" s="14" t="n">
        <x:v>6</x:v>
      </x:c>
      <x:c r="I1701" s="14" t="n">
        <x:v>3</x:v>
      </x:c>
      <x:c r="J1701" s="14" t="n">
        <x:v>2</x:v>
      </x:c>
      <x:c r="K1701" s="14" t="n">
        <x:v>12</x:v>
      </x:c>
      <x:c r="L1701" s="14" t="n">
        <x:v>40</x:v>
      </x:c>
      <x:c r="M1701" s="14" t="n">
        <x:v>16</x:v>
      </x:c>
      <x:c r="N1701" s="15" t="n">
        <x:f>IF(E1701=0,"해당 없음",F1701/E1701)</x:f>
        <x:v>0.019417475728155338</x:v>
      </x:c>
      <x:c r="O1701" s="15" t="n">
        <x:f>IF(E1701=0,"해당 없음",G1701/E1701)</x:f>
        <x:v>0.21359223300970873</x:v>
      </x:c>
      <x:c r="P1701" s="15" t="n">
        <x:f>IF(E1701=0,"해당 없음",H1701/E1701)</x:f>
        <x:v>0.05825242718446602</x:v>
      </x:c>
      <x:c r="Q1701" s="15" t="n">
        <x:f>IF(E1701=0,"해당 없음",I1701/E1701)</x:f>
        <x:v>0.02912621359223301</x:v>
      </x:c>
      <x:c r="R1701" s="15" t="n">
        <x:f>IF(E1701=0,"해당 없음",J1701/E1701)</x:f>
        <x:v>0.019417475728155338</x:v>
      </x:c>
      <x:c r="S1701" s="15" t="n">
        <x:f>IF(E1701=0,"해당 없음",K1701/E1701)</x:f>
        <x:v>0.11650485436893204</x:v>
      </x:c>
      <x:c r="T1701" s="15" t="n">
        <x:f>IF(E1701=0,"해당 없음",L1701/E1701)</x:f>
        <x:v>0.3883495145631068</x:v>
      </x:c>
      <x:c r="U1701" s="15" t="n">
        <x:f>IF(E1701=0,"해당 없음",M1701/E1701)</x:f>
        <x:v>0.1553398058252427</x:v>
      </x:c>
      <x:c r="V1701" s="16" t="n">
        <x:f>E1701/5</x:f>
        <x:v>20.6</x:v>
      </x:c>
    </x:row>
    <x:row r="1702" ht="22" customHeight="1">
      <x:c r="A1702" s="2" t="n">
        <x:v>849</x:v>
      </x:c>
      <x:c r="B1702" s="2" t="str">
        <x:v>RED</x:v>
      </x:c>
      <x:c r="C1702" s="2" t="str">
        <x:v>80만</x:v>
      </x:c>
      <x:c r="D1702" s="2" t="str">
        <x:v>240만</x:v>
      </x:c>
      <x:c r="E1702" s="14" t="n">
        <x:f>SUM(F1702:M1702)</x:f>
        <x:v>107</x:v>
      </x:c>
      <x:c r="F1702" s="14" t="n">
        <x:v>4</x:v>
      </x:c>
      <x:c r="G1702" s="14" t="n">
        <x:v>10</x:v>
      </x:c>
      <x:c r="H1702" s="14" t="n">
        <x:v>6</x:v>
      </x:c>
      <x:c r="I1702" s="14" t="n">
        <x:v>8</x:v>
      </x:c>
      <x:c r="J1702" s="14" t="n">
        <x:v>4</x:v>
      </x:c>
      <x:c r="K1702" s="14" t="n">
        <x:v>7</x:v>
      </x:c>
      <x:c r="L1702" s="14" t="n">
        <x:v>41</x:v>
      </x:c>
      <x:c r="M1702" s="14" t="n">
        <x:v>27</x:v>
      </x:c>
      <x:c r="N1702" s="15" t="n">
        <x:f>IF(E1702=0,"해당 없음",F1702/E1702)</x:f>
        <x:v>0.037383177570093455</x:v>
      </x:c>
      <x:c r="O1702" s="15" t="n">
        <x:f>IF(E1702=0,"해당 없음",G1702/E1702)</x:f>
        <x:v>0.09345794392523364</x:v>
      </x:c>
      <x:c r="P1702" s="15" t="n">
        <x:f>IF(E1702=0,"해당 없음",H1702/E1702)</x:f>
        <x:v>0.056074766355140186</x:v>
      </x:c>
      <x:c r="Q1702" s="15" t="n">
        <x:f>IF(E1702=0,"해당 없음",I1702/E1702)</x:f>
        <x:v>0.07476635514018691</x:v>
      </x:c>
      <x:c r="R1702" s="15" t="n">
        <x:f>IF(E1702=0,"해당 없음",J1702/E1702)</x:f>
        <x:v>0.037383177570093455</x:v>
      </x:c>
      <x:c r="S1702" s="15" t="n">
        <x:f>IF(E1702=0,"해당 없음",K1702/E1702)</x:f>
        <x:v>0.06542056074766354</x:v>
      </x:c>
      <x:c r="T1702" s="15" t="n">
        <x:f>IF(E1702=0,"해당 없음",L1702/E1702)</x:f>
        <x:v>0.38317757009345793</x:v>
      </x:c>
      <x:c r="U1702" s="15" t="n">
        <x:f>IF(E1702=0,"해당 없음",M1702/E1702)</x:f>
        <x:v>0.2523364485981308</x:v>
      </x:c>
      <x:c r="V1702" s="16" t="n">
        <x:f>E1702/5</x:f>
        <x:v>21.4</x:v>
      </x:c>
    </x:row>
    <x:row r="1703" ht="22" customHeight="1">
      <x:c r="A1703" s="2" t="n">
        <x:v>849</x:v>
      </x:c>
      <x:c r="B1703" s="2" t="str">
        <x:v>NAVY</x:v>
      </x:c>
      <x:c r="C1703" s="2" t="str">
        <x:v>240만</x:v>
      </x:c>
      <x:c r="D1703" s="2" t="str">
        <x:v>80만</x:v>
      </x:c>
      <x:c r="E1703" s="14" t="n">
        <x:f>SUM(F1703:M1703)</x:f>
        <x:v>106</x:v>
      </x:c>
      <x:c r="F1703" s="14" t="n">
        <x:v>1</x:v>
      </x:c>
      <x:c r="G1703" s="14" t="n">
        <x:v>9</x:v>
      </x:c>
      <x:c r="H1703" s="14" t="n">
        <x:v>3</x:v>
      </x:c>
      <x:c r="I1703" s="14" t="n">
        <x:v>4</x:v>
      </x:c>
      <x:c r="J1703" s="14" t="n">
        <x:v>6</x:v>
      </x:c>
      <x:c r="K1703" s="14" t="n">
        <x:v>4</x:v>
      </x:c>
      <x:c r="L1703" s="14" t="n">
        <x:v>36</x:v>
      </x:c>
      <x:c r="M1703" s="14" t="n">
        <x:v>43</x:v>
      </x:c>
      <x:c r="N1703" s="15" t="n">
        <x:f>IF(E1703=0,"해당 없음",F1703/E1703)</x:f>
        <x:v>0.009433962264150943</x:v>
      </x:c>
      <x:c r="O1703" s="15" t="n">
        <x:f>IF(E1703=0,"해당 없음",G1703/E1703)</x:f>
        <x:v>0.08490566037735849</x:v>
      </x:c>
      <x:c r="P1703" s="15" t="n">
        <x:f>IF(E1703=0,"해당 없음",H1703/E1703)</x:f>
        <x:v>0.02830188679245283</x:v>
      </x:c>
      <x:c r="Q1703" s="15" t="n">
        <x:f>IF(E1703=0,"해당 없음",I1703/E1703)</x:f>
        <x:v>0.03773584905660377</x:v>
      </x:c>
      <x:c r="R1703" s="15" t="n">
        <x:f>IF(E1703=0,"해당 없음",J1703/E1703)</x:f>
        <x:v>0.05660377358490566</x:v>
      </x:c>
      <x:c r="S1703" s="15" t="n">
        <x:f>IF(E1703=0,"해당 없음",K1703/E1703)</x:f>
        <x:v>0.03773584905660377</x:v>
      </x:c>
      <x:c r="T1703" s="15" t="n">
        <x:f>IF(E1703=0,"해당 없음",L1703/E1703)</x:f>
        <x:v>0.33962264150943394</x:v>
      </x:c>
      <x:c r="U1703" s="15" t="n">
        <x:f>IF(E1703=0,"해당 없음",M1703/E1703)</x:f>
        <x:v>0.4056603773584906</x:v>
      </x:c>
      <x:c r="V1703" s="16" t="n">
        <x:f>E1703/5</x:f>
        <x:v>21.2</x:v>
      </x:c>
    </x:row>
    <x:row r="1704" ht="22" customHeight="1">
      <x:c r="A1704" s="2" t="n">
        <x:v>850</x:v>
      </x:c>
      <x:c r="B1704" s="2" t="str">
        <x:v>RED</x:v>
      </x:c>
      <x:c r="C1704" s="2" t="str">
        <x:v>240만</x:v>
      </x:c>
      <x:c r="D1704" s="2" t="str">
        <x:v>80만</x:v>
      </x:c>
      <x:c r="E1704" s="14" t="n">
        <x:f>SUM(F1704:M1704)</x:f>
        <x:v>101</x:v>
      </x:c>
      <x:c r="F1704" s="14" t="n">
        <x:v>1</x:v>
      </x:c>
      <x:c r="G1704" s="14" t="n">
        <x:v>12</x:v>
      </x:c>
      <x:c r="H1704" s="14" t="n">
        <x:v>1</x:v>
      </x:c>
      <x:c r="I1704" s="14" t="n">
        <x:v>5</x:v>
      </x:c>
      <x:c r="J1704" s="14" t="n">
        <x:v>1</x:v>
      </x:c>
      <x:c r="K1704" s="14" t="n">
        <x:v>0</x:v>
      </x:c>
      <x:c r="L1704" s="14" t="n">
        <x:v>39</x:v>
      </x:c>
      <x:c r="M1704" s="14" t="n">
        <x:v>42</x:v>
      </x:c>
      <x:c r="N1704" s="15" t="n">
        <x:f>IF(E1704=0,"해당 없음",F1704/E1704)</x:f>
        <x:v>0.009900990099009901</x:v>
      </x:c>
      <x:c r="O1704" s="15" t="n">
        <x:f>IF(E1704=0,"해당 없음",G1704/E1704)</x:f>
        <x:v>0.1188118811881188</x:v>
      </x:c>
      <x:c r="P1704" s="15" t="n">
        <x:f>IF(E1704=0,"해당 없음",H1704/E1704)</x:f>
        <x:v>0.009900990099009901</x:v>
      </x:c>
      <x:c r="Q1704" s="15" t="n">
        <x:f>IF(E1704=0,"해당 없음",I1704/E1704)</x:f>
        <x:v>0.04950495049504951</x:v>
      </x:c>
      <x:c r="R1704" s="15" t="n">
        <x:f>IF(E1704=0,"해당 없음",J1704/E1704)</x:f>
        <x:v>0.009900990099009901</x:v>
      </x:c>
      <x:c r="S1704" s="15" t="n">
        <x:f>IF(E1704=0,"해당 없음",K1704/E1704)</x:f>
        <x:v>0</x:v>
      </x:c>
      <x:c r="T1704" s="15" t="n">
        <x:f>IF(E1704=0,"해당 없음",L1704/E1704)</x:f>
        <x:v>0.38613861386138615</x:v>
      </x:c>
      <x:c r="U1704" s="15" t="n">
        <x:f>IF(E1704=0,"해당 없음",M1704/E1704)</x:f>
        <x:v>0.4158415841584158</x:v>
      </x:c>
      <x:c r="V1704" s="16" t="n">
        <x:f>E1704/5</x:f>
        <x:v>20.2</x:v>
      </x:c>
    </x:row>
    <x:row r="1705" ht="22" customHeight="1">
      <x:c r="A1705" s="2" t="n">
        <x:v>850</x:v>
      </x:c>
      <x:c r="B1705" s="2" t="str">
        <x:v>NAVY</x:v>
      </x:c>
      <x:c r="C1705" s="2" t="str">
        <x:v>80만</x:v>
      </x:c>
      <x:c r="D1705" s="2" t="str">
        <x:v>240만</x:v>
      </x:c>
      <x:c r="E1705" s="14" t="n">
        <x:f>SUM(F1705:M1705)</x:f>
        <x:v>102</x:v>
      </x:c>
      <x:c r="F1705" s="14" t="n">
        <x:v>3</x:v>
      </x:c>
      <x:c r="G1705" s="14" t="n">
        <x:v>12</x:v>
      </x:c>
      <x:c r="H1705" s="14" t="n">
        <x:v>2</x:v>
      </x:c>
      <x:c r="I1705" s="14" t="n">
        <x:v>6</x:v>
      </x:c>
      <x:c r="J1705" s="14" t="n">
        <x:v>3</x:v>
      </x:c>
      <x:c r="K1705" s="14" t="n">
        <x:v>9</x:v>
      </x:c>
      <x:c r="L1705" s="14" t="n">
        <x:v>36</x:v>
      </x:c>
      <x:c r="M1705" s="14" t="n">
        <x:v>31</x:v>
      </x:c>
      <x:c r="N1705" s="15" t="n">
        <x:f>IF(E1705=0,"해당 없음",F1705/E1705)</x:f>
        <x:v>0.029411764705882353</x:v>
      </x:c>
      <x:c r="O1705" s="15" t="n">
        <x:f>IF(E1705=0,"해당 없음",G1705/E1705)</x:f>
        <x:v>0.11764705882352941</x:v>
      </x:c>
      <x:c r="P1705" s="15" t="n">
        <x:f>IF(E1705=0,"해당 없음",H1705/E1705)</x:f>
        <x:v>0.0196078431372549</x:v>
      </x:c>
      <x:c r="Q1705" s="15" t="n">
        <x:f>IF(E1705=0,"해당 없음",I1705/E1705)</x:f>
        <x:v>0.058823529411764705</x:v>
      </x:c>
      <x:c r="R1705" s="15" t="n">
        <x:f>IF(E1705=0,"해당 없음",J1705/E1705)</x:f>
        <x:v>0.029411764705882353</x:v>
      </x:c>
      <x:c r="S1705" s="15" t="n">
        <x:f>IF(E1705=0,"해당 없음",K1705/E1705)</x:f>
        <x:v>0.08823529411764706</x:v>
      </x:c>
      <x:c r="T1705" s="15" t="n">
        <x:f>IF(E1705=0,"해당 없음",L1705/E1705)</x:f>
        <x:v>0.35294117647058826</x:v>
      </x:c>
      <x:c r="U1705" s="15" t="n">
        <x:f>IF(E1705=0,"해당 없음",M1705/E1705)</x:f>
        <x:v>0.30392156862745096</x:v>
      </x:c>
      <x:c r="V1705" s="16" t="n">
        <x:f>E1705/5</x:f>
        <x:v>20.4</x:v>
      </x:c>
    </x:row>
    <x:row r="1706" ht="22" customHeight="1">
      <x:c r="A1706" s="2" t="n">
        <x:v>851</x:v>
      </x:c>
      <x:c r="B1706" s="2" t="str">
        <x:v>RED</x:v>
      </x:c>
      <x:c r="C1706" s="2" t="str">
        <x:v>80만</x:v>
      </x:c>
      <x:c r="D1706" s="2" t="str">
        <x:v>240만</x:v>
      </x:c>
      <x:c r="E1706" s="14" t="n">
        <x:f>SUM(F1706:M1706)</x:f>
        <x:v>101</x:v>
      </x:c>
      <x:c r="F1706" s="14" t="n">
        <x:v>3</x:v>
      </x:c>
      <x:c r="G1706" s="14" t="n">
        <x:v>14</x:v>
      </x:c>
      <x:c r="H1706" s="14" t="n">
        <x:v>8</x:v>
      </x:c>
      <x:c r="I1706" s="14" t="n">
        <x:v>5</x:v>
      </x:c>
      <x:c r="J1706" s="14" t="n">
        <x:v>3</x:v>
      </x:c>
      <x:c r="K1706" s="14" t="n">
        <x:v>15</x:v>
      </x:c>
      <x:c r="L1706" s="14" t="n">
        <x:v>32</x:v>
      </x:c>
      <x:c r="M1706" s="14" t="n">
        <x:v>21</x:v>
      </x:c>
      <x:c r="N1706" s="15" t="n">
        <x:f>IF(E1706=0,"해당 없음",F1706/E1706)</x:f>
        <x:v>0.0297029702970297</x:v>
      </x:c>
      <x:c r="O1706" s="15" t="n">
        <x:f>IF(E1706=0,"해당 없음",G1706/E1706)</x:f>
        <x:v>0.13861386138613863</x:v>
      </x:c>
      <x:c r="P1706" s="15" t="n">
        <x:f>IF(E1706=0,"해당 없음",H1706/E1706)</x:f>
        <x:v>0.07920792079207921</x:v>
      </x:c>
      <x:c r="Q1706" s="15" t="n">
        <x:f>IF(E1706=0,"해당 없음",I1706/E1706)</x:f>
        <x:v>0.04950495049504951</x:v>
      </x:c>
      <x:c r="R1706" s="15" t="n">
        <x:f>IF(E1706=0,"해당 없음",J1706/E1706)</x:f>
        <x:v>0.0297029702970297</x:v>
      </x:c>
      <x:c r="S1706" s="15" t="n">
        <x:f>IF(E1706=0,"해당 없음",K1706/E1706)</x:f>
        <x:v>0.1485148514851485</x:v>
      </x:c>
      <x:c r="T1706" s="15" t="n">
        <x:f>IF(E1706=0,"해당 없음",L1706/E1706)</x:f>
        <x:v>0.31683168316831684</x:v>
      </x:c>
      <x:c r="U1706" s="15" t="n">
        <x:f>IF(E1706=0,"해당 없음",M1706/E1706)</x:f>
        <x:v>0.2079207920792079</x:v>
      </x:c>
      <x:c r="V1706" s="16" t="n">
        <x:f>E1706/5</x:f>
        <x:v>20.2</x:v>
      </x:c>
    </x:row>
    <x:row r="1707" ht="22" customHeight="1">
      <x:c r="A1707" s="2" t="n">
        <x:v>851</x:v>
      </x:c>
      <x:c r="B1707" s="2" t="str">
        <x:v>NAVY</x:v>
      </x:c>
      <x:c r="C1707" s="2" t="str">
        <x:v>240만</x:v>
      </x:c>
      <x:c r="D1707" s="2" t="str">
        <x:v>80만</x:v>
      </x:c>
      <x:c r="E1707" s="14" t="n">
        <x:f>SUM(F1707:M1707)</x:f>
        <x:v>102</x:v>
      </x:c>
      <x:c r="F1707" s="14" t="n">
        <x:v>3</x:v>
      </x:c>
      <x:c r="G1707" s="14" t="n">
        <x:v>15</x:v>
      </x:c>
      <x:c r="H1707" s="14" t="n">
        <x:v>0</x:v>
      </x:c>
      <x:c r="I1707" s="14" t="n">
        <x:v>4</x:v>
      </x:c>
      <x:c r="J1707" s="14" t="n">
        <x:v>3</x:v>
      </x:c>
      <x:c r="K1707" s="14" t="n">
        <x:v>5</x:v>
      </x:c>
      <x:c r="L1707" s="14" t="n">
        <x:v>38</x:v>
      </x:c>
      <x:c r="M1707" s="14" t="n">
        <x:v>34</x:v>
      </x:c>
      <x:c r="N1707" s="15" t="n">
        <x:f>IF(E1707=0,"해당 없음",F1707/E1707)</x:f>
        <x:v>0.029411764705882353</x:v>
      </x:c>
      <x:c r="O1707" s="15" t="n">
        <x:f>IF(E1707=0,"해당 없음",G1707/E1707)</x:f>
        <x:v>0.14705882352941177</x:v>
      </x:c>
      <x:c r="P1707" s="15" t="n">
        <x:f>IF(E1707=0,"해당 없음",H1707/E1707)</x:f>
        <x:v>0</x:v>
      </x:c>
      <x:c r="Q1707" s="15" t="n">
        <x:f>IF(E1707=0,"해당 없음",I1707/E1707)</x:f>
        <x:v>0.0392156862745098</x:v>
      </x:c>
      <x:c r="R1707" s="15" t="n">
        <x:f>IF(E1707=0,"해당 없음",J1707/E1707)</x:f>
        <x:v>0.029411764705882353</x:v>
      </x:c>
      <x:c r="S1707" s="15" t="n">
        <x:f>IF(E1707=0,"해당 없음",K1707/E1707)</x:f>
        <x:v>0.049019607843137254</x:v>
      </x:c>
      <x:c r="T1707" s="15" t="n">
        <x:f>IF(E1707=0,"해당 없음",L1707/E1707)</x:f>
        <x:v>0.37254901960784315</x:v>
      </x:c>
      <x:c r="U1707" s="15" t="n">
        <x:f>IF(E1707=0,"해당 없음",M1707/E1707)</x:f>
        <x:v>0.3333333333333333</x:v>
      </x:c>
      <x:c r="V1707" s="16" t="n">
        <x:f>E1707/5</x:f>
        <x:v>20.4</x:v>
      </x:c>
    </x:row>
    <x:row r="1708" ht="22" customHeight="1">
      <x:c r="A1708" s="2" t="n">
        <x:v>852</x:v>
      </x:c>
      <x:c r="B1708" s="2" t="str">
        <x:v>RED</x:v>
      </x:c>
      <x:c r="C1708" s="2" t="str">
        <x:v>240만</x:v>
      </x:c>
      <x:c r="D1708" s="2" t="str">
        <x:v>80만</x:v>
      </x:c>
      <x:c r="E1708" s="14" t="n">
        <x:f>SUM(F1708:M1708)</x:f>
        <x:v>105</x:v>
      </x:c>
      <x:c r="F1708" s="14" t="n">
        <x:v>3</x:v>
      </x:c>
      <x:c r="G1708" s="14" t="n">
        <x:v>10</x:v>
      </x:c>
      <x:c r="H1708" s="14" t="n">
        <x:v>1</x:v>
      </x:c>
      <x:c r="I1708" s="14" t="n">
        <x:v>7</x:v>
      </x:c>
      <x:c r="J1708" s="14" t="n">
        <x:v>1</x:v>
      </x:c>
      <x:c r="K1708" s="14" t="n">
        <x:v>3</x:v>
      </x:c>
      <x:c r="L1708" s="14" t="n">
        <x:v>41</x:v>
      </x:c>
      <x:c r="M1708" s="14" t="n">
        <x:v>39</x:v>
      </x:c>
      <x:c r="N1708" s="15" t="n">
        <x:f>IF(E1708=0,"해당 없음",F1708/E1708)</x:f>
        <x:v>0.02857142857142857</x:v>
      </x:c>
      <x:c r="O1708" s="15" t="n">
        <x:f>IF(E1708=0,"해당 없음",G1708/E1708)</x:f>
        <x:v>0.09523809523809523</x:v>
      </x:c>
      <x:c r="P1708" s="15" t="n">
        <x:f>IF(E1708=0,"해당 없음",H1708/E1708)</x:f>
        <x:v>0.009523809523809525</x:v>
      </x:c>
      <x:c r="Q1708" s="15" t="n">
        <x:f>IF(E1708=0,"해당 없음",I1708/E1708)</x:f>
        <x:v>0.06666666666666667</x:v>
      </x:c>
      <x:c r="R1708" s="15" t="n">
        <x:f>IF(E1708=0,"해당 없음",J1708/E1708)</x:f>
        <x:v>0.009523809523809525</x:v>
      </x:c>
      <x:c r="S1708" s="15" t="n">
        <x:f>IF(E1708=0,"해당 없음",K1708/E1708)</x:f>
        <x:v>0.02857142857142857</x:v>
      </x:c>
      <x:c r="T1708" s="15" t="n">
        <x:f>IF(E1708=0,"해당 없음",L1708/E1708)</x:f>
        <x:v>0.3904761904761905</x:v>
      </x:c>
      <x:c r="U1708" s="15" t="n">
        <x:f>IF(E1708=0,"해당 없음",M1708/E1708)</x:f>
        <x:v>0.37142857142857144</x:v>
      </x:c>
      <x:c r="V1708" s="16" t="n">
        <x:f>E1708/5</x:f>
        <x:v>21</x:v>
      </x:c>
    </x:row>
    <x:row r="1709" ht="22" customHeight="1">
      <x:c r="A1709" s="2" t="n">
        <x:v>852</x:v>
      </x:c>
      <x:c r="B1709" s="2" t="str">
        <x:v>NAVY</x:v>
      </x:c>
      <x:c r="C1709" s="2" t="str">
        <x:v>80만</x:v>
      </x:c>
      <x:c r="D1709" s="2" t="str">
        <x:v>240만</x:v>
      </x:c>
      <x:c r="E1709" s="14" t="n">
        <x:f>SUM(F1709:M1709)</x:f>
        <x:v>104</x:v>
      </x:c>
      <x:c r="F1709" s="14" t="n">
        <x:v>6</x:v>
      </x:c>
      <x:c r="G1709" s="14" t="n">
        <x:v>17</x:v>
      </x:c>
      <x:c r="H1709" s="14" t="n">
        <x:v>8</x:v>
      </x:c>
      <x:c r="I1709" s="14" t="n">
        <x:v>8</x:v>
      </x:c>
      <x:c r="J1709" s="14" t="n">
        <x:v>3</x:v>
      </x:c>
      <x:c r="K1709" s="14" t="n">
        <x:v>4</x:v>
      </x:c>
      <x:c r="L1709" s="14" t="n">
        <x:v>38</x:v>
      </x:c>
      <x:c r="M1709" s="14" t="n">
        <x:v>20</x:v>
      </x:c>
      <x:c r="N1709" s="15" t="n">
        <x:f>IF(E1709=0,"해당 없음",F1709/E1709)</x:f>
        <x:v>0.057692307692307696</x:v>
      </x:c>
      <x:c r="O1709" s="15" t="n">
        <x:f>IF(E1709=0,"해당 없음",G1709/E1709)</x:f>
        <x:v>0.16346153846153846</x:v>
      </x:c>
      <x:c r="P1709" s="15" t="n">
        <x:f>IF(E1709=0,"해당 없음",H1709/E1709)</x:f>
        <x:v>0.07692307692307693</x:v>
      </x:c>
      <x:c r="Q1709" s="15" t="n">
        <x:f>IF(E1709=0,"해당 없음",I1709/E1709)</x:f>
        <x:v>0.07692307692307693</x:v>
      </x:c>
      <x:c r="R1709" s="15" t="n">
        <x:f>IF(E1709=0,"해당 없음",J1709/E1709)</x:f>
        <x:v>0.028846153846153848</x:v>
      </x:c>
      <x:c r="S1709" s="15" t="n">
        <x:f>IF(E1709=0,"해당 없음",K1709/E1709)</x:f>
        <x:v>0.038461538461538464</x:v>
      </x:c>
      <x:c r="T1709" s="15" t="n">
        <x:f>IF(E1709=0,"해당 없음",L1709/E1709)</x:f>
        <x:v>0.36538461538461536</x:v>
      </x:c>
      <x:c r="U1709" s="15" t="n">
        <x:f>IF(E1709=0,"해당 없음",M1709/E1709)</x:f>
        <x:v>0.19230769230769232</x:v>
      </x:c>
      <x:c r="V1709" s="16" t="n">
        <x:f>E1709/5</x:f>
        <x:v>20.8</x:v>
      </x:c>
    </x:row>
    <x:row r="1710" ht="22" customHeight="1">
      <x:c r="A1710" s="2" t="n">
        <x:v>853</x:v>
      </x:c>
      <x:c r="B1710" s="2" t="str">
        <x:v>RED</x:v>
      </x:c>
      <x:c r="C1710" s="2" t="str">
        <x:v>80만</x:v>
      </x:c>
      <x:c r="D1710" s="2" t="str">
        <x:v>240만</x:v>
      </x:c>
      <x:c r="E1710" s="14" t="n">
        <x:f>SUM(F1710:M1710)</x:f>
        <x:v>104</x:v>
      </x:c>
      <x:c r="F1710" s="14" t="n">
        <x:v>8</x:v>
      </x:c>
      <x:c r="G1710" s="14" t="n">
        <x:v>7</x:v>
      </x:c>
      <x:c r="H1710" s="14" t="n">
        <x:v>10</x:v>
      </x:c>
      <x:c r="I1710" s="14" t="n">
        <x:v>9</x:v>
      </x:c>
      <x:c r="J1710" s="14" t="n">
        <x:v>1</x:v>
      </x:c>
      <x:c r="K1710" s="14" t="n">
        <x:v>16</x:v>
      </x:c>
      <x:c r="L1710" s="14" t="n">
        <x:v>34</x:v>
      </x:c>
      <x:c r="M1710" s="14" t="n">
        <x:v>19</x:v>
      </x:c>
      <x:c r="N1710" s="15" t="n">
        <x:f>IF(E1710=0,"해당 없음",F1710/E1710)</x:f>
        <x:v>0.07692307692307693</x:v>
      </x:c>
      <x:c r="O1710" s="15" t="n">
        <x:f>IF(E1710=0,"해당 없음",G1710/E1710)</x:f>
        <x:v>0.0673076923076923</x:v>
      </x:c>
      <x:c r="P1710" s="15" t="n">
        <x:f>IF(E1710=0,"해당 없음",H1710/E1710)</x:f>
        <x:v>0.09615384615384616</x:v>
      </x:c>
      <x:c r="Q1710" s="15" t="n">
        <x:f>IF(E1710=0,"해당 없음",I1710/E1710)</x:f>
        <x:v>0.08653846153846154</x:v>
      </x:c>
      <x:c r="R1710" s="15" t="n">
        <x:f>IF(E1710=0,"해당 없음",J1710/E1710)</x:f>
        <x:v>0.009615384615384616</x:v>
      </x:c>
      <x:c r="S1710" s="15" t="n">
        <x:f>IF(E1710=0,"해당 없음",K1710/E1710)</x:f>
        <x:v>0.15384615384615385</x:v>
      </x:c>
      <x:c r="T1710" s="15" t="n">
        <x:f>IF(E1710=0,"해당 없음",L1710/E1710)</x:f>
        <x:v>0.3269230769230769</x:v>
      </x:c>
      <x:c r="U1710" s="15" t="n">
        <x:f>IF(E1710=0,"해당 없음",M1710/E1710)</x:f>
        <x:v>0.18269230769230768</x:v>
      </x:c>
      <x:c r="V1710" s="16" t="n">
        <x:f>E1710/5</x:f>
        <x:v>20.8</x:v>
      </x:c>
    </x:row>
    <x:row r="1711" ht="22" customHeight="1">
      <x:c r="A1711" s="2" t="n">
        <x:v>853</x:v>
      </x:c>
      <x:c r="B1711" s="2" t="str">
        <x:v>NAVY</x:v>
      </x:c>
      <x:c r="C1711" s="2" t="str">
        <x:v>240만</x:v>
      </x:c>
      <x:c r="D1711" s="2" t="str">
        <x:v>80만</x:v>
      </x:c>
      <x:c r="E1711" s="14" t="n">
        <x:f>SUM(F1711:M1711)</x:f>
        <x:v>103</x:v>
      </x:c>
      <x:c r="F1711" s="14" t="n">
        <x:v>1</x:v>
      </x:c>
      <x:c r="G1711" s="14" t="n">
        <x:v>9</x:v>
      </x:c>
      <x:c r="H1711" s="14" t="n">
        <x:v>2</x:v>
      </x:c>
      <x:c r="I1711" s="14" t="n">
        <x:v>3</x:v>
      </x:c>
      <x:c r="J1711" s="14" t="n">
        <x:v>2</x:v>
      </x:c>
      <x:c r="K1711" s="14" t="n">
        <x:v>2</x:v>
      </x:c>
      <x:c r="L1711" s="14" t="n">
        <x:v>38</x:v>
      </x:c>
      <x:c r="M1711" s="14" t="n">
        <x:v>46</x:v>
      </x:c>
      <x:c r="N1711" s="15" t="n">
        <x:f>IF(E1711=0,"해당 없음",F1711/E1711)</x:f>
        <x:v>0.009708737864077669</x:v>
      </x:c>
      <x:c r="O1711" s="15" t="n">
        <x:f>IF(E1711=0,"해당 없음",G1711/E1711)</x:f>
        <x:v>0.08737864077669903</x:v>
      </x:c>
      <x:c r="P1711" s="15" t="n">
        <x:f>IF(E1711=0,"해당 없음",H1711/E1711)</x:f>
        <x:v>0.019417475728155338</x:v>
      </x:c>
      <x:c r="Q1711" s="15" t="n">
        <x:f>IF(E1711=0,"해당 없음",I1711/E1711)</x:f>
        <x:v>0.02912621359223301</x:v>
      </x:c>
      <x:c r="R1711" s="15" t="n">
        <x:f>IF(E1711=0,"해당 없음",J1711/E1711)</x:f>
        <x:v>0.019417475728155338</x:v>
      </x:c>
      <x:c r="S1711" s="15" t="n">
        <x:f>IF(E1711=0,"해당 없음",K1711/E1711)</x:f>
        <x:v>0.019417475728155338</x:v>
      </x:c>
      <x:c r="T1711" s="15" t="n">
        <x:f>IF(E1711=0,"해당 없음",L1711/E1711)</x:f>
        <x:v>0.36893203883495146</x:v>
      </x:c>
      <x:c r="U1711" s="15" t="n">
        <x:f>IF(E1711=0,"해당 없음",M1711/E1711)</x:f>
        <x:v>0.44660194174757284</x:v>
      </x:c>
      <x:c r="V1711" s="16" t="n">
        <x:f>E1711/5</x:f>
        <x:v>20.6</x:v>
      </x:c>
    </x:row>
    <x:row r="1712" ht="22" customHeight="1">
      <x:c r="A1712" s="2" t="n">
        <x:v>854</x:v>
      </x:c>
      <x:c r="B1712" s="2" t="str">
        <x:v>RED</x:v>
      </x:c>
      <x:c r="C1712" s="2" t="str">
        <x:v>240만</x:v>
      </x:c>
      <x:c r="D1712" s="2" t="str">
        <x:v>80만</x:v>
      </x:c>
      <x:c r="E1712" s="14" t="n">
        <x:f>SUM(F1712:M1712)</x:f>
        <x:v>104</x:v>
      </x:c>
      <x:c r="F1712" s="14" t="n">
        <x:v>6</x:v>
      </x:c>
      <x:c r="G1712" s="14" t="n">
        <x:v>4</x:v>
      </x:c>
      <x:c r="H1712" s="14" t="n">
        <x:v>1</x:v>
      </x:c>
      <x:c r="I1712" s="14" t="n">
        <x:v>4</x:v>
      </x:c>
      <x:c r="J1712" s="14" t="n">
        <x:v>1</x:v>
      </x:c>
      <x:c r="K1712" s="14" t="n">
        <x:v>4</x:v>
      </x:c>
      <x:c r="L1712" s="14" t="n">
        <x:v>41</x:v>
      </x:c>
      <x:c r="M1712" s="14" t="n">
        <x:v>43</x:v>
      </x:c>
      <x:c r="N1712" s="15" t="n">
        <x:f>IF(E1712=0,"해당 없음",F1712/E1712)</x:f>
        <x:v>0.057692307692307696</x:v>
      </x:c>
      <x:c r="O1712" s="15" t="n">
        <x:f>IF(E1712=0,"해당 없음",G1712/E1712)</x:f>
        <x:v>0.038461538461538464</x:v>
      </x:c>
      <x:c r="P1712" s="15" t="n">
        <x:f>IF(E1712=0,"해당 없음",H1712/E1712)</x:f>
        <x:v>0.009615384615384616</x:v>
      </x:c>
      <x:c r="Q1712" s="15" t="n">
        <x:f>IF(E1712=0,"해당 없음",I1712/E1712)</x:f>
        <x:v>0.038461538461538464</x:v>
      </x:c>
      <x:c r="R1712" s="15" t="n">
        <x:f>IF(E1712=0,"해당 없음",J1712/E1712)</x:f>
        <x:v>0.009615384615384616</x:v>
      </x:c>
      <x:c r="S1712" s="15" t="n">
        <x:f>IF(E1712=0,"해당 없음",K1712/E1712)</x:f>
        <x:v>0.038461538461538464</x:v>
      </x:c>
      <x:c r="T1712" s="15" t="n">
        <x:f>IF(E1712=0,"해당 없음",L1712/E1712)</x:f>
        <x:v>0.3942307692307692</x:v>
      </x:c>
      <x:c r="U1712" s="15" t="n">
        <x:f>IF(E1712=0,"해당 없음",M1712/E1712)</x:f>
        <x:v>0.41346153846153844</x:v>
      </x:c>
      <x:c r="V1712" s="16" t="n">
        <x:f>E1712/5</x:f>
        <x:v>20.8</x:v>
      </x:c>
    </x:row>
    <x:row r="1713" ht="22" customHeight="1">
      <x:c r="A1713" s="2" t="n">
        <x:v>854</x:v>
      </x:c>
      <x:c r="B1713" s="2" t="str">
        <x:v>NAVY</x:v>
      </x:c>
      <x:c r="C1713" s="2" t="str">
        <x:v>80만</x:v>
      </x:c>
      <x:c r="D1713" s="2" t="str">
        <x:v>240만</x:v>
      </x:c>
      <x:c r="E1713" s="14" t="n">
        <x:f>SUM(F1713:M1713)</x:f>
        <x:v>103</x:v>
      </x:c>
      <x:c r="F1713" s="14" t="n">
        <x:v>4</x:v>
      </x:c>
      <x:c r="G1713" s="14" t="n">
        <x:v>21</x:v>
      </x:c>
      <x:c r="H1713" s="14" t="n">
        <x:v>11</x:v>
      </x:c>
      <x:c r="I1713" s="14" t="n">
        <x:v>5</x:v>
      </x:c>
      <x:c r="J1713" s="14" t="n">
        <x:v>3</x:v>
      </x:c>
      <x:c r="K1713" s="14" t="n">
        <x:v>9</x:v>
      </x:c>
      <x:c r="L1713" s="14" t="n">
        <x:v>36</x:v>
      </x:c>
      <x:c r="M1713" s="14" t="n">
        <x:v>14</x:v>
      </x:c>
      <x:c r="N1713" s="15" t="n">
        <x:f>IF(E1713=0,"해당 없음",F1713/E1713)</x:f>
        <x:v>0.038834951456310676</x:v>
      </x:c>
      <x:c r="O1713" s="15" t="n">
        <x:f>IF(E1713=0,"해당 없음",G1713/E1713)</x:f>
        <x:v>0.20388349514563106</x:v>
      </x:c>
      <x:c r="P1713" s="15" t="n">
        <x:f>IF(E1713=0,"해당 없음",H1713/E1713)</x:f>
        <x:v>0.10679611650485436</x:v>
      </x:c>
      <x:c r="Q1713" s="15" t="n">
        <x:f>IF(E1713=0,"해당 없음",I1713/E1713)</x:f>
        <x:v>0.04854368932038835</x:v>
      </x:c>
      <x:c r="R1713" s="15" t="n">
        <x:f>IF(E1713=0,"해당 없음",J1713/E1713)</x:f>
        <x:v>0.02912621359223301</x:v>
      </x:c>
      <x:c r="S1713" s="15" t="n">
        <x:f>IF(E1713=0,"해당 없음",K1713/E1713)</x:f>
        <x:v>0.08737864077669903</x:v>
      </x:c>
      <x:c r="T1713" s="15" t="n">
        <x:f>IF(E1713=0,"해당 없음",L1713/E1713)</x:f>
        <x:v>0.34951456310679613</x:v>
      </x:c>
      <x:c r="U1713" s="15" t="n">
        <x:f>IF(E1713=0,"해당 없음",M1713/E1713)</x:f>
        <x:v>0.13592233009708737</x:v>
      </x:c>
      <x:c r="V1713" s="16" t="n">
        <x:f>E1713/5</x:f>
        <x:v>20.6</x:v>
      </x:c>
    </x:row>
    <x:row r="1714" ht="22" customHeight="1">
      <x:c r="A1714" s="2" t="n">
        <x:v>855</x:v>
      </x:c>
      <x:c r="B1714" s="2" t="str">
        <x:v>RED</x:v>
      </x:c>
      <x:c r="C1714" s="2" t="str">
        <x:v>80만</x:v>
      </x:c>
      <x:c r="D1714" s="2" t="str">
        <x:v>240만</x:v>
      </x:c>
      <x:c r="E1714" s="14" t="n">
        <x:f>SUM(F1714:M1714)</x:f>
        <x:v>102</x:v>
      </x:c>
      <x:c r="F1714" s="14" t="n">
        <x:v>4</x:v>
      </x:c>
      <x:c r="G1714" s="14" t="n">
        <x:v>14</x:v>
      </x:c>
      <x:c r="H1714" s="14" t="n">
        <x:v>5</x:v>
      </x:c>
      <x:c r="I1714" s="14" t="n">
        <x:v>9</x:v>
      </x:c>
      <x:c r="J1714" s="14" t="n">
        <x:v>1</x:v>
      </x:c>
      <x:c r="K1714" s="14" t="n">
        <x:v>7</x:v>
      </x:c>
      <x:c r="L1714" s="14" t="n">
        <x:v>39</x:v>
      </x:c>
      <x:c r="M1714" s="14" t="n">
        <x:v>23</x:v>
      </x:c>
      <x:c r="N1714" s="15" t="n">
        <x:f>IF(E1714=0,"해당 없음",F1714/E1714)</x:f>
        <x:v>0.0392156862745098</x:v>
      </x:c>
      <x:c r="O1714" s="15" t="n">
        <x:f>IF(E1714=0,"해당 없음",G1714/E1714)</x:f>
        <x:v>0.13725490196078433</x:v>
      </x:c>
      <x:c r="P1714" s="15" t="n">
        <x:f>IF(E1714=0,"해당 없음",H1714/E1714)</x:f>
        <x:v>0.049019607843137254</x:v>
      </x:c>
      <x:c r="Q1714" s="15" t="n">
        <x:f>IF(E1714=0,"해당 없음",I1714/E1714)</x:f>
        <x:v>0.08823529411764706</x:v>
      </x:c>
      <x:c r="R1714" s="15" t="n">
        <x:f>IF(E1714=0,"해당 없음",J1714/E1714)</x:f>
        <x:v>0.00980392156862745</x:v>
      </x:c>
      <x:c r="S1714" s="15" t="n">
        <x:f>IF(E1714=0,"해당 없음",K1714/E1714)</x:f>
        <x:v>0.06862745098039216</x:v>
      </x:c>
      <x:c r="T1714" s="15" t="n">
        <x:f>IF(E1714=0,"해당 없음",L1714/E1714)</x:f>
        <x:v>0.38235294117647056</x:v>
      </x:c>
      <x:c r="U1714" s="15" t="n">
        <x:f>IF(E1714=0,"해당 없음",M1714/E1714)</x:f>
        <x:v>0.22549019607843138</x:v>
      </x:c>
      <x:c r="V1714" s="16" t="n">
        <x:f>E1714/5</x:f>
        <x:v>20.4</x:v>
      </x:c>
    </x:row>
    <x:row r="1715" ht="22" customHeight="1">
      <x:c r="A1715" s="2" t="n">
        <x:v>855</x:v>
      </x:c>
      <x:c r="B1715" s="2" t="str">
        <x:v>NAVY</x:v>
      </x:c>
      <x:c r="C1715" s="2" t="str">
        <x:v>240만</x:v>
      </x:c>
      <x:c r="D1715" s="2" t="str">
        <x:v>80만</x:v>
      </x:c>
      <x:c r="E1715" s="14" t="n">
        <x:f>SUM(F1715:M1715)</x:f>
        <x:v>104</x:v>
      </x:c>
      <x:c r="F1715" s="14" t="n">
        <x:v>3</x:v>
      </x:c>
      <x:c r="G1715" s="14" t="n">
        <x:v>12</x:v>
      </x:c>
      <x:c r="H1715" s="14" t="n">
        <x:v>3</x:v>
      </x:c>
      <x:c r="I1715" s="14" t="n">
        <x:v>3</x:v>
      </x:c>
      <x:c r="J1715" s="14" t="n">
        <x:v>4</x:v>
      </x:c>
      <x:c r="K1715" s="14" t="n">
        <x:v>1</x:v>
      </x:c>
      <x:c r="L1715" s="14" t="n">
        <x:v>37</x:v>
      </x:c>
      <x:c r="M1715" s="14" t="n">
        <x:v>41</x:v>
      </x:c>
      <x:c r="N1715" s="15" t="n">
        <x:f>IF(E1715=0,"해당 없음",F1715/E1715)</x:f>
        <x:v>0.028846153846153848</x:v>
      </x:c>
      <x:c r="O1715" s="15" t="n">
        <x:f>IF(E1715=0,"해당 없음",G1715/E1715)</x:f>
        <x:v>0.11538461538461539</x:v>
      </x:c>
      <x:c r="P1715" s="15" t="n">
        <x:f>IF(E1715=0,"해당 없음",H1715/E1715)</x:f>
        <x:v>0.028846153846153848</x:v>
      </x:c>
      <x:c r="Q1715" s="15" t="n">
        <x:f>IF(E1715=0,"해당 없음",I1715/E1715)</x:f>
        <x:v>0.028846153846153848</x:v>
      </x:c>
      <x:c r="R1715" s="15" t="n">
        <x:f>IF(E1715=0,"해당 없음",J1715/E1715)</x:f>
        <x:v>0.038461538461538464</x:v>
      </x:c>
      <x:c r="S1715" s="15" t="n">
        <x:f>IF(E1715=0,"해당 없음",K1715/E1715)</x:f>
        <x:v>0.009615384615384616</x:v>
      </x:c>
      <x:c r="T1715" s="15" t="n">
        <x:f>IF(E1715=0,"해당 없음",L1715/E1715)</x:f>
        <x:v>0.3557692307692308</x:v>
      </x:c>
      <x:c r="U1715" s="15" t="n">
        <x:f>IF(E1715=0,"해당 없음",M1715/E1715)</x:f>
        <x:v>0.3942307692307692</x:v>
      </x:c>
      <x:c r="V1715" s="16" t="n">
        <x:f>E1715/5</x:f>
        <x:v>20.8</x:v>
      </x:c>
    </x:row>
    <x:row r="1716" ht="22" customHeight="1">
      <x:c r="A1716" s="2" t="n">
        <x:v>856</x:v>
      </x:c>
      <x:c r="B1716" s="2" t="str">
        <x:v>RED</x:v>
      </x:c>
      <x:c r="C1716" s="2" t="str">
        <x:v>240만</x:v>
      </x:c>
      <x:c r="D1716" s="2" t="str">
        <x:v>80만</x:v>
      </x:c>
      <x:c r="E1716" s="14" t="n">
        <x:f>SUM(F1716:M1716)</x:f>
        <x:v>102</x:v>
      </x:c>
      <x:c r="F1716" s="14" t="n">
        <x:v>3</x:v>
      </x:c>
      <x:c r="G1716" s="14" t="n">
        <x:v>12</x:v>
      </x:c>
      <x:c r="H1716" s="14" t="n">
        <x:v>5</x:v>
      </x:c>
      <x:c r="I1716" s="14" t="n">
        <x:v>2</x:v>
      </x:c>
      <x:c r="J1716" s="14" t="n">
        <x:v>3</x:v>
      </x:c>
      <x:c r="K1716" s="14" t="n">
        <x:v>2</x:v>
      </x:c>
      <x:c r="L1716" s="14" t="n">
        <x:v>34</x:v>
      </x:c>
      <x:c r="M1716" s="14" t="n">
        <x:v>41</x:v>
      </x:c>
      <x:c r="N1716" s="15" t="n">
        <x:f>IF(E1716=0,"해당 없음",F1716/E1716)</x:f>
        <x:v>0.029411764705882353</x:v>
      </x:c>
      <x:c r="O1716" s="15" t="n">
        <x:f>IF(E1716=0,"해당 없음",G1716/E1716)</x:f>
        <x:v>0.11764705882352941</x:v>
      </x:c>
      <x:c r="P1716" s="15" t="n">
        <x:f>IF(E1716=0,"해당 없음",H1716/E1716)</x:f>
        <x:v>0.049019607843137254</x:v>
      </x:c>
      <x:c r="Q1716" s="15" t="n">
        <x:f>IF(E1716=0,"해당 없음",I1716/E1716)</x:f>
        <x:v>0.0196078431372549</x:v>
      </x:c>
      <x:c r="R1716" s="15" t="n">
        <x:f>IF(E1716=0,"해당 없음",J1716/E1716)</x:f>
        <x:v>0.029411764705882353</x:v>
      </x:c>
      <x:c r="S1716" s="15" t="n">
        <x:f>IF(E1716=0,"해당 없음",K1716/E1716)</x:f>
        <x:v>0.0196078431372549</x:v>
      </x:c>
      <x:c r="T1716" s="15" t="n">
        <x:f>IF(E1716=0,"해당 없음",L1716/E1716)</x:f>
        <x:v>0.3333333333333333</x:v>
      </x:c>
      <x:c r="U1716" s="15" t="n">
        <x:f>IF(E1716=0,"해당 없음",M1716/E1716)</x:f>
        <x:v>0.4019607843137255</x:v>
      </x:c>
      <x:c r="V1716" s="16" t="n">
        <x:f>E1716/5</x:f>
        <x:v>20.4</x:v>
      </x:c>
    </x:row>
    <x:row r="1717" ht="22" customHeight="1">
      <x:c r="A1717" s="2" t="n">
        <x:v>856</x:v>
      </x:c>
      <x:c r="B1717" s="2" t="str">
        <x:v>NAVY</x:v>
      </x:c>
      <x:c r="C1717" s="2" t="str">
        <x:v>80만</x:v>
      </x:c>
      <x:c r="D1717" s="2" t="str">
        <x:v>240만</x:v>
      </x:c>
      <x:c r="E1717" s="14" t="n">
        <x:f>SUM(F1717:M1717)</x:f>
        <x:v>103</x:v>
      </x:c>
      <x:c r="F1717" s="14" t="n">
        <x:v>5</x:v>
      </x:c>
      <x:c r="G1717" s="14" t="n">
        <x:v>8</x:v>
      </x:c>
      <x:c r="H1717" s="14" t="n">
        <x:v>8</x:v>
      </x:c>
      <x:c r="I1717" s="14" t="n">
        <x:v>13</x:v>
      </x:c>
      <x:c r="J1717" s="14" t="n">
        <x:v>1</x:v>
      </x:c>
      <x:c r="K1717" s="14" t="n">
        <x:v>4</x:v>
      </x:c>
      <x:c r="L1717" s="14" t="n">
        <x:v>40</x:v>
      </x:c>
      <x:c r="M1717" s="14" t="n">
        <x:v>24</x:v>
      </x:c>
      <x:c r="N1717" s="15" t="n">
        <x:f>IF(E1717=0,"해당 없음",F1717/E1717)</x:f>
        <x:v>0.04854368932038835</x:v>
      </x:c>
      <x:c r="O1717" s="15" t="n">
        <x:f>IF(E1717=0,"해당 없음",G1717/E1717)</x:f>
        <x:v>0.07766990291262135</x:v>
      </x:c>
      <x:c r="P1717" s="15" t="n">
        <x:f>IF(E1717=0,"해당 없음",H1717/E1717)</x:f>
        <x:v>0.07766990291262135</x:v>
      </x:c>
      <x:c r="Q1717" s="15" t="n">
        <x:f>IF(E1717=0,"해당 없음",I1717/E1717)</x:f>
        <x:v>0.1262135922330097</x:v>
      </x:c>
      <x:c r="R1717" s="15" t="n">
        <x:f>IF(E1717=0,"해당 없음",J1717/E1717)</x:f>
        <x:v>0.009708737864077669</x:v>
      </x:c>
      <x:c r="S1717" s="15" t="n">
        <x:f>IF(E1717=0,"해당 없음",K1717/E1717)</x:f>
        <x:v>0.038834951456310676</x:v>
      </x:c>
      <x:c r="T1717" s="15" t="n">
        <x:f>IF(E1717=0,"해당 없음",L1717/E1717)</x:f>
        <x:v>0.3883495145631068</x:v>
      </x:c>
      <x:c r="U1717" s="15" t="n">
        <x:f>IF(E1717=0,"해당 없음",M1717/E1717)</x:f>
        <x:v>0.23300970873786409</x:v>
      </x:c>
      <x:c r="V1717" s="16" t="n">
        <x:f>E1717/5</x:f>
        <x:v>20.6</x:v>
      </x:c>
    </x:row>
    <x:row r="1718" ht="22" customHeight="1">
      <x:c r="A1718" s="2" t="n">
        <x:v>857</x:v>
      </x:c>
      <x:c r="B1718" s="2" t="str">
        <x:v>RED</x:v>
      </x:c>
      <x:c r="C1718" s="2" t="str">
        <x:v>80만</x:v>
      </x:c>
      <x:c r="D1718" s="2" t="str">
        <x:v>240만</x:v>
      </x:c>
      <x:c r="E1718" s="14" t="n">
        <x:f>SUM(F1718:M1718)</x:f>
        <x:v>103</x:v>
      </x:c>
      <x:c r="F1718" s="14" t="n">
        <x:v>5</x:v>
      </x:c>
      <x:c r="G1718" s="14" t="n">
        <x:v>15</x:v>
      </x:c>
      <x:c r="H1718" s="14" t="n">
        <x:v>8</x:v>
      </x:c>
      <x:c r="I1718" s="14" t="n">
        <x:v>6</x:v>
      </x:c>
      <x:c r="J1718" s="14" t="n">
        <x:v>0</x:v>
      </x:c>
      <x:c r="K1718" s="14" t="n">
        <x:v>7</x:v>
      </x:c>
      <x:c r="L1718" s="14" t="n">
        <x:v>38</x:v>
      </x:c>
      <x:c r="M1718" s="14" t="n">
        <x:v>24</x:v>
      </x:c>
      <x:c r="N1718" s="15" t="n">
        <x:f>IF(E1718=0,"해당 없음",F1718/E1718)</x:f>
        <x:v>0.04854368932038835</x:v>
      </x:c>
      <x:c r="O1718" s="15" t="n">
        <x:f>IF(E1718=0,"해당 없음",G1718/E1718)</x:f>
        <x:v>0.14563106796116504</x:v>
      </x:c>
      <x:c r="P1718" s="15" t="n">
        <x:f>IF(E1718=0,"해당 없음",H1718/E1718)</x:f>
        <x:v>0.07766990291262135</x:v>
      </x:c>
      <x:c r="Q1718" s="15" t="n">
        <x:f>IF(E1718=0,"해당 없음",I1718/E1718)</x:f>
        <x:v>0.05825242718446602</x:v>
      </x:c>
      <x:c r="R1718" s="15" t="n">
        <x:f>IF(E1718=0,"해당 없음",J1718/E1718)</x:f>
        <x:v>0</x:v>
      </x:c>
      <x:c r="S1718" s="15" t="n">
        <x:f>IF(E1718=0,"해당 없음",K1718/E1718)</x:f>
        <x:v>0.06796116504854369</x:v>
      </x:c>
      <x:c r="T1718" s="15" t="n">
        <x:f>IF(E1718=0,"해당 없음",L1718/E1718)</x:f>
        <x:v>0.36893203883495146</x:v>
      </x:c>
      <x:c r="U1718" s="15" t="n">
        <x:f>IF(E1718=0,"해당 없음",M1718/E1718)</x:f>
        <x:v>0.23300970873786409</x:v>
      </x:c>
      <x:c r="V1718" s="16" t="n">
        <x:f>E1718/5</x:f>
        <x:v>20.6</x:v>
      </x:c>
    </x:row>
    <x:row r="1719" ht="22" customHeight="1">
      <x:c r="A1719" s="2" t="n">
        <x:v>857</x:v>
      </x:c>
      <x:c r="B1719" s="2" t="str">
        <x:v>NAVY</x:v>
      </x:c>
      <x:c r="C1719" s="2" t="str">
        <x:v>240만</x:v>
      </x:c>
      <x:c r="D1719" s="2" t="str">
        <x:v>80만</x:v>
      </x:c>
      <x:c r="E1719" s="14" t="n">
        <x:f>SUM(F1719:M1719)</x:f>
        <x:v>103</x:v>
      </x:c>
      <x:c r="F1719" s="14" t="n">
        <x:v>0</x:v>
      </x:c>
      <x:c r="G1719" s="14" t="n">
        <x:v>9</x:v>
      </x:c>
      <x:c r="H1719" s="14" t="n">
        <x:v>1</x:v>
      </x:c>
      <x:c r="I1719" s="14" t="n">
        <x:v>4</x:v>
      </x:c>
      <x:c r="J1719" s="14" t="n">
        <x:v>1</x:v>
      </x:c>
      <x:c r="K1719" s="14" t="n">
        <x:v>5</x:v>
      </x:c>
      <x:c r="L1719" s="14" t="n">
        <x:v>39</x:v>
      </x:c>
      <x:c r="M1719" s="14" t="n">
        <x:v>44</x:v>
      </x:c>
      <x:c r="N1719" s="15" t="n">
        <x:f>IF(E1719=0,"해당 없음",F1719/E1719)</x:f>
        <x:v>0</x:v>
      </x:c>
      <x:c r="O1719" s="15" t="n">
        <x:f>IF(E1719=0,"해당 없음",G1719/E1719)</x:f>
        <x:v>0.08737864077669903</x:v>
      </x:c>
      <x:c r="P1719" s="15" t="n">
        <x:f>IF(E1719=0,"해당 없음",H1719/E1719)</x:f>
        <x:v>0.009708737864077669</x:v>
      </x:c>
      <x:c r="Q1719" s="15" t="n">
        <x:f>IF(E1719=0,"해당 없음",I1719/E1719)</x:f>
        <x:v>0.038834951456310676</x:v>
      </x:c>
      <x:c r="R1719" s="15" t="n">
        <x:f>IF(E1719=0,"해당 없음",J1719/E1719)</x:f>
        <x:v>0.009708737864077669</x:v>
      </x:c>
      <x:c r="S1719" s="15" t="n">
        <x:f>IF(E1719=0,"해당 없음",K1719/E1719)</x:f>
        <x:v>0.04854368932038835</x:v>
      </x:c>
      <x:c r="T1719" s="15" t="n">
        <x:f>IF(E1719=0,"해당 없음",L1719/E1719)</x:f>
        <x:v>0.3786407766990291</x:v>
      </x:c>
      <x:c r="U1719" s="15" t="n">
        <x:f>IF(E1719=0,"해당 없음",M1719/E1719)</x:f>
        <x:v>0.42718446601941745</x:v>
      </x:c>
      <x:c r="V1719" s="16" t="n">
        <x:f>E1719/5</x:f>
        <x:v>20.6</x:v>
      </x:c>
    </x:row>
    <x:row r="1720" ht="22" customHeight="1">
      <x:c r="A1720" s="2" t="n">
        <x:v>858</x:v>
      </x:c>
      <x:c r="B1720" s="2" t="str">
        <x:v>RED</x:v>
      </x:c>
      <x:c r="C1720" s="2" t="str">
        <x:v>240만</x:v>
      </x:c>
      <x:c r="D1720" s="2" t="str">
        <x:v>80만</x:v>
      </x:c>
      <x:c r="E1720" s="14" t="n">
        <x:f>SUM(F1720:M1720)</x:f>
        <x:v>103</x:v>
      </x:c>
      <x:c r="F1720" s="14" t="n">
        <x:v>4</x:v>
      </x:c>
      <x:c r="G1720" s="14" t="n">
        <x:v>10</x:v>
      </x:c>
      <x:c r="H1720" s="14" t="n">
        <x:v>1</x:v>
      </x:c>
      <x:c r="I1720" s="14" t="n">
        <x:v>5</x:v>
      </x:c>
      <x:c r="J1720" s="14" t="n">
        <x:v>1</x:v>
      </x:c>
      <x:c r="K1720" s="14" t="n">
        <x:v>2</x:v>
      </x:c>
      <x:c r="L1720" s="14" t="n">
        <x:v>40</x:v>
      </x:c>
      <x:c r="M1720" s="14" t="n">
        <x:v>40</x:v>
      </x:c>
      <x:c r="N1720" s="15" t="n">
        <x:f>IF(E1720=0,"해당 없음",F1720/E1720)</x:f>
        <x:v>0.038834951456310676</x:v>
      </x:c>
      <x:c r="O1720" s="15" t="n">
        <x:f>IF(E1720=0,"해당 없음",G1720/E1720)</x:f>
        <x:v>0.0970873786407767</x:v>
      </x:c>
      <x:c r="P1720" s="15" t="n">
        <x:f>IF(E1720=0,"해당 없음",H1720/E1720)</x:f>
        <x:v>0.009708737864077669</x:v>
      </x:c>
      <x:c r="Q1720" s="15" t="n">
        <x:f>IF(E1720=0,"해당 없음",I1720/E1720)</x:f>
        <x:v>0.04854368932038835</x:v>
      </x:c>
      <x:c r="R1720" s="15" t="n">
        <x:f>IF(E1720=0,"해당 없음",J1720/E1720)</x:f>
        <x:v>0.009708737864077669</x:v>
      </x:c>
      <x:c r="S1720" s="15" t="n">
        <x:f>IF(E1720=0,"해당 없음",K1720/E1720)</x:f>
        <x:v>0.019417475728155338</x:v>
      </x:c>
      <x:c r="T1720" s="15" t="n">
        <x:f>IF(E1720=0,"해당 없음",L1720/E1720)</x:f>
        <x:v>0.3883495145631068</x:v>
      </x:c>
      <x:c r="U1720" s="15" t="n">
        <x:f>IF(E1720=0,"해당 없음",M1720/E1720)</x:f>
        <x:v>0.3883495145631068</x:v>
      </x:c>
      <x:c r="V1720" s="16" t="n">
        <x:f>E1720/5</x:f>
        <x:v>20.6</x:v>
      </x:c>
    </x:row>
    <x:row r="1721" ht="22" customHeight="1">
      <x:c r="A1721" s="2" t="n">
        <x:v>858</x:v>
      </x:c>
      <x:c r="B1721" s="2" t="str">
        <x:v>NAVY</x:v>
      </x:c>
      <x:c r="C1721" s="2" t="str">
        <x:v>80만</x:v>
      </x:c>
      <x:c r="D1721" s="2" t="str">
        <x:v>240만</x:v>
      </x:c>
      <x:c r="E1721" s="14" t="n">
        <x:f>SUM(F1721:M1721)</x:f>
        <x:v>103</x:v>
      </x:c>
      <x:c r="F1721" s="14" t="n">
        <x:v>4</x:v>
      </x:c>
      <x:c r="G1721" s="14" t="n">
        <x:v>17</x:v>
      </x:c>
      <x:c r="H1721" s="14" t="n">
        <x:v>8</x:v>
      </x:c>
      <x:c r="I1721" s="14" t="n">
        <x:v>5</x:v>
      </x:c>
      <x:c r="J1721" s="14" t="n">
        <x:v>1</x:v>
      </x:c>
      <x:c r="K1721" s="14" t="n">
        <x:v>12</x:v>
      </x:c>
      <x:c r="L1721" s="14" t="n">
        <x:v>37</x:v>
      </x:c>
      <x:c r="M1721" s="14" t="n">
        <x:v>19</x:v>
      </x:c>
      <x:c r="N1721" s="15" t="n">
        <x:f>IF(E1721=0,"해당 없음",F1721/E1721)</x:f>
        <x:v>0.038834951456310676</x:v>
      </x:c>
      <x:c r="O1721" s="15" t="n">
        <x:f>IF(E1721=0,"해당 없음",G1721/E1721)</x:f>
        <x:v>0.1650485436893204</x:v>
      </x:c>
      <x:c r="P1721" s="15" t="n">
        <x:f>IF(E1721=0,"해당 없음",H1721/E1721)</x:f>
        <x:v>0.07766990291262135</x:v>
      </x:c>
      <x:c r="Q1721" s="15" t="n">
        <x:f>IF(E1721=0,"해당 없음",I1721/E1721)</x:f>
        <x:v>0.04854368932038835</x:v>
      </x:c>
      <x:c r="R1721" s="15" t="n">
        <x:f>IF(E1721=0,"해당 없음",J1721/E1721)</x:f>
        <x:v>0.009708737864077669</x:v>
      </x:c>
      <x:c r="S1721" s="15" t="n">
        <x:f>IF(E1721=0,"해당 없음",K1721/E1721)</x:f>
        <x:v>0.11650485436893204</x:v>
      </x:c>
      <x:c r="T1721" s="15" t="n">
        <x:f>IF(E1721=0,"해당 없음",L1721/E1721)</x:f>
        <x:v>0.3592233009708738</x:v>
      </x:c>
      <x:c r="U1721" s="15" t="n">
        <x:f>IF(E1721=0,"해당 없음",M1721/E1721)</x:f>
        <x:v>0.18446601941747573</x:v>
      </x:c>
      <x:c r="V1721" s="16" t="n">
        <x:f>E1721/5</x:f>
        <x:v>20.6</x:v>
      </x:c>
    </x:row>
    <x:row r="1722" ht="22" customHeight="1">
      <x:c r="A1722" s="2" t="n">
        <x:v>859</x:v>
      </x:c>
      <x:c r="B1722" s="2" t="str">
        <x:v>RED</x:v>
      </x:c>
      <x:c r="C1722" s="2" t="str">
        <x:v>80만</x:v>
      </x:c>
      <x:c r="D1722" s="2" t="str">
        <x:v>240만</x:v>
      </x:c>
      <x:c r="E1722" s="14" t="n">
        <x:f>SUM(F1722:M1722)</x:f>
        <x:v>103</x:v>
      </x:c>
      <x:c r="F1722" s="14" t="n">
        <x:v>9</x:v>
      </x:c>
      <x:c r="G1722" s="14" t="n">
        <x:v>11</x:v>
      </x:c>
      <x:c r="H1722" s="14" t="n">
        <x:v>10</x:v>
      </x:c>
      <x:c r="I1722" s="14" t="n">
        <x:v>5</x:v>
      </x:c>
      <x:c r="J1722" s="14" t="n">
        <x:v>1</x:v>
      </x:c>
      <x:c r="K1722" s="14" t="n">
        <x:v>4</x:v>
      </x:c>
      <x:c r="L1722" s="14" t="n">
        <x:v>38</x:v>
      </x:c>
      <x:c r="M1722" s="14" t="n">
        <x:v>25</x:v>
      </x:c>
      <x:c r="N1722" s="15" t="n">
        <x:f>IF(E1722=0,"해당 없음",F1722/E1722)</x:f>
        <x:v>0.08737864077669903</x:v>
      </x:c>
      <x:c r="O1722" s="15" t="n">
        <x:f>IF(E1722=0,"해당 없음",G1722/E1722)</x:f>
        <x:v>0.10679611650485436</x:v>
      </x:c>
      <x:c r="P1722" s="15" t="n">
        <x:f>IF(E1722=0,"해당 없음",H1722/E1722)</x:f>
        <x:v>0.0970873786407767</x:v>
      </x:c>
      <x:c r="Q1722" s="15" t="n">
        <x:f>IF(E1722=0,"해당 없음",I1722/E1722)</x:f>
        <x:v>0.04854368932038835</x:v>
      </x:c>
      <x:c r="R1722" s="15" t="n">
        <x:f>IF(E1722=0,"해당 없음",J1722/E1722)</x:f>
        <x:v>0.009708737864077669</x:v>
      </x:c>
      <x:c r="S1722" s="15" t="n">
        <x:f>IF(E1722=0,"해당 없음",K1722/E1722)</x:f>
        <x:v>0.038834951456310676</x:v>
      </x:c>
      <x:c r="T1722" s="15" t="n">
        <x:f>IF(E1722=0,"해당 없음",L1722/E1722)</x:f>
        <x:v>0.36893203883495146</x:v>
      </x:c>
      <x:c r="U1722" s="15" t="n">
        <x:f>IF(E1722=0,"해당 없음",M1722/E1722)</x:f>
        <x:v>0.24271844660194175</x:v>
      </x:c>
      <x:c r="V1722" s="16" t="n">
        <x:f>E1722/5</x:f>
        <x:v>20.6</x:v>
      </x:c>
    </x:row>
    <x:row r="1723" ht="22" customHeight="1">
      <x:c r="A1723" s="2" t="n">
        <x:v>859</x:v>
      </x:c>
      <x:c r="B1723" s="2" t="str">
        <x:v>NAVY</x:v>
      </x:c>
      <x:c r="C1723" s="2" t="str">
        <x:v>240만</x:v>
      </x:c>
      <x:c r="D1723" s="2" t="str">
        <x:v>80만</x:v>
      </x:c>
      <x:c r="E1723" s="14" t="n">
        <x:f>SUM(F1723:M1723)</x:f>
        <x:v>103</x:v>
      </x:c>
      <x:c r="F1723" s="14" t="n">
        <x:v>2</x:v>
      </x:c>
      <x:c r="G1723" s="14" t="n">
        <x:v>12</x:v>
      </x:c>
      <x:c r="H1723" s="14" t="n">
        <x:v>2</x:v>
      </x:c>
      <x:c r="I1723" s="14" t="n">
        <x:v>2</x:v>
      </x:c>
      <x:c r="J1723" s="14" t="n">
        <x:v>1</x:v>
      </x:c>
      <x:c r="K1723" s="14" t="n">
        <x:v>5</x:v>
      </x:c>
      <x:c r="L1723" s="14" t="n">
        <x:v>40</x:v>
      </x:c>
      <x:c r="M1723" s="14" t="n">
        <x:v>39</x:v>
      </x:c>
      <x:c r="N1723" s="15" t="n">
        <x:f>IF(E1723=0,"해당 없음",F1723/E1723)</x:f>
        <x:v>0.019417475728155338</x:v>
      </x:c>
      <x:c r="O1723" s="15" t="n">
        <x:f>IF(E1723=0,"해당 없음",G1723/E1723)</x:f>
        <x:v>0.11650485436893204</x:v>
      </x:c>
      <x:c r="P1723" s="15" t="n">
        <x:f>IF(E1723=0,"해당 없음",H1723/E1723)</x:f>
        <x:v>0.019417475728155338</x:v>
      </x:c>
      <x:c r="Q1723" s="15" t="n">
        <x:f>IF(E1723=0,"해당 없음",I1723/E1723)</x:f>
        <x:v>0.019417475728155338</x:v>
      </x:c>
      <x:c r="R1723" s="15" t="n">
        <x:f>IF(E1723=0,"해당 없음",J1723/E1723)</x:f>
        <x:v>0.009708737864077669</x:v>
      </x:c>
      <x:c r="S1723" s="15" t="n">
        <x:f>IF(E1723=0,"해당 없음",K1723/E1723)</x:f>
        <x:v>0.04854368932038835</x:v>
      </x:c>
      <x:c r="T1723" s="15" t="n">
        <x:f>IF(E1723=0,"해당 없음",L1723/E1723)</x:f>
        <x:v>0.3883495145631068</x:v>
      </x:c>
      <x:c r="U1723" s="15" t="n">
        <x:f>IF(E1723=0,"해당 없음",M1723/E1723)</x:f>
        <x:v>0.3786407766990291</x:v>
      </x:c>
      <x:c r="V1723" s="16" t="n">
        <x:f>E1723/5</x:f>
        <x:v>20.6</x:v>
      </x:c>
    </x:row>
    <x:row r="1724" ht="22" customHeight="1">
      <x:c r="A1724" s="2" t="n">
        <x:v>860</x:v>
      </x:c>
      <x:c r="B1724" s="2" t="str">
        <x:v>RED</x:v>
      </x:c>
      <x:c r="C1724" s="2" t="str">
        <x:v>240만</x:v>
      </x:c>
      <x:c r="D1724" s="2" t="str">
        <x:v>80만</x:v>
      </x:c>
      <x:c r="E1724" s="14" t="n">
        <x:f>SUM(F1724:M1724)</x:f>
        <x:v>104</x:v>
      </x:c>
      <x:c r="F1724" s="14" t="n">
        <x:v>7</x:v>
      </x:c>
      <x:c r="G1724" s="14" t="n">
        <x:v>17</x:v>
      </x:c>
      <x:c r="H1724" s="14" t="n">
        <x:v>4</x:v>
      </x:c>
      <x:c r="I1724" s="14" t="n">
        <x:v>4</x:v>
      </x:c>
      <x:c r="J1724" s="14" t="n">
        <x:v>4</x:v>
      </x:c>
      <x:c r="K1724" s="14" t="n">
        <x:v>4</x:v>
      </x:c>
      <x:c r="L1724" s="14" t="n">
        <x:v>35</x:v>
      </x:c>
      <x:c r="M1724" s="14" t="n">
        <x:v>29</x:v>
      </x:c>
      <x:c r="N1724" s="15" t="n">
        <x:f>IF(E1724=0,"해당 없음",F1724/E1724)</x:f>
        <x:v>0.0673076923076923</x:v>
      </x:c>
      <x:c r="O1724" s="15" t="n">
        <x:f>IF(E1724=0,"해당 없음",G1724/E1724)</x:f>
        <x:v>0.16346153846153846</x:v>
      </x:c>
      <x:c r="P1724" s="15" t="n">
        <x:f>IF(E1724=0,"해당 없음",H1724/E1724)</x:f>
        <x:v>0.038461538461538464</x:v>
      </x:c>
      <x:c r="Q1724" s="15" t="n">
        <x:f>IF(E1724=0,"해당 없음",I1724/E1724)</x:f>
        <x:v>0.038461538461538464</x:v>
      </x:c>
      <x:c r="R1724" s="15" t="n">
        <x:f>IF(E1724=0,"해당 없음",J1724/E1724)</x:f>
        <x:v>0.038461538461538464</x:v>
      </x:c>
      <x:c r="S1724" s="15" t="n">
        <x:f>IF(E1724=0,"해당 없음",K1724/E1724)</x:f>
        <x:v>0.038461538461538464</x:v>
      </x:c>
      <x:c r="T1724" s="15" t="n">
        <x:f>IF(E1724=0,"해당 없음",L1724/E1724)</x:f>
        <x:v>0.33653846153846156</x:v>
      </x:c>
      <x:c r="U1724" s="15" t="n">
        <x:f>IF(E1724=0,"해당 없음",M1724/E1724)</x:f>
        <x:v>0.27884615384615385</x:v>
      </x:c>
      <x:c r="V1724" s="16" t="n">
        <x:f>E1724/5</x:f>
        <x:v>20.8</x:v>
      </x:c>
    </x:row>
    <x:row r="1725" ht="22" customHeight="1">
      <x:c r="A1725" s="2" t="n">
        <x:v>860</x:v>
      </x:c>
      <x:c r="B1725" s="2" t="str">
        <x:v>NAVY</x:v>
      </x:c>
      <x:c r="C1725" s="2" t="str">
        <x:v>80만</x:v>
      </x:c>
      <x:c r="D1725" s="2" t="str">
        <x:v>240만</x:v>
      </x:c>
      <x:c r="E1725" s="14" t="n">
        <x:f>SUM(F1725:M1725)</x:f>
        <x:v>104</x:v>
      </x:c>
      <x:c r="F1725" s="14" t="n">
        <x:v>4</x:v>
      </x:c>
      <x:c r="G1725" s="14" t="n">
        <x:v>12</x:v>
      </x:c>
      <x:c r="H1725" s="14" t="n">
        <x:v>8</x:v>
      </x:c>
      <x:c r="I1725" s="14" t="n">
        <x:v>10</x:v>
      </x:c>
      <x:c r="J1725" s="14" t="n">
        <x:v>0</x:v>
      </x:c>
      <x:c r="K1725" s="14" t="n">
        <x:v>7</x:v>
      </x:c>
      <x:c r="L1725" s="14" t="n">
        <x:v>39</x:v>
      </x:c>
      <x:c r="M1725" s="14" t="n">
        <x:v>24</x:v>
      </x:c>
      <x:c r="N1725" s="15" t="n">
        <x:f>IF(E1725=0,"해당 없음",F1725/E1725)</x:f>
        <x:v>0.038461538461538464</x:v>
      </x:c>
      <x:c r="O1725" s="15" t="n">
        <x:f>IF(E1725=0,"해당 없음",G1725/E1725)</x:f>
        <x:v>0.11538461538461539</x:v>
      </x:c>
      <x:c r="P1725" s="15" t="n">
        <x:f>IF(E1725=0,"해당 없음",H1725/E1725)</x:f>
        <x:v>0.07692307692307693</x:v>
      </x:c>
      <x:c r="Q1725" s="15" t="n">
        <x:f>IF(E1725=0,"해당 없음",I1725/E1725)</x:f>
        <x:v>0.09615384615384616</x:v>
      </x:c>
      <x:c r="R1725" s="15" t="n">
        <x:f>IF(E1725=0,"해당 없음",J1725/E1725)</x:f>
        <x:v>0</x:v>
      </x:c>
      <x:c r="S1725" s="15" t="n">
        <x:f>IF(E1725=0,"해당 없음",K1725/E1725)</x:f>
        <x:v>0.0673076923076923</x:v>
      </x:c>
      <x:c r="T1725" s="15" t="n">
        <x:f>IF(E1725=0,"해당 없음",L1725/E1725)</x:f>
        <x:v>0.375</x:v>
      </x:c>
      <x:c r="U1725" s="15" t="n">
        <x:f>IF(E1725=0,"해당 없음",M1725/E1725)</x:f>
        <x:v>0.23076923076923078</x:v>
      </x:c>
      <x:c r="V1725" s="16" t="n">
        <x:f>E1725/5</x:f>
        <x:v>20.8</x:v>
      </x:c>
    </x:row>
    <x:row r="1726" ht="22" customHeight="1">
      <x:c r="A1726" s="2" t="n">
        <x:v>861</x:v>
      </x:c>
      <x:c r="B1726" s="2" t="str">
        <x:v>RED</x:v>
      </x:c>
      <x:c r="C1726" s="2" t="str">
        <x:v>80만</x:v>
      </x:c>
      <x:c r="D1726" s="2" t="str">
        <x:v>240만</x:v>
      </x:c>
      <x:c r="E1726" s="14" t="n">
        <x:f>SUM(F1726:M1726)</x:f>
        <x:v>102</x:v>
      </x:c>
      <x:c r="F1726" s="14" t="n">
        <x:v>4</x:v>
      </x:c>
      <x:c r="G1726" s="14" t="n">
        <x:v>22</x:v>
      </x:c>
      <x:c r="H1726" s="14" t="n">
        <x:v>8</x:v>
      </x:c>
      <x:c r="I1726" s="14" t="n">
        <x:v>8</x:v>
      </x:c>
      <x:c r="J1726" s="14" t="n">
        <x:v>2</x:v>
      </x:c>
      <x:c r="K1726" s="14" t="n">
        <x:v>22</x:v>
      </x:c>
      <x:c r="L1726" s="14" t="n">
        <x:v>26</x:v>
      </x:c>
      <x:c r="M1726" s="14" t="n">
        <x:v>10</x:v>
      </x:c>
      <x:c r="N1726" s="15" t="n">
        <x:f>IF(E1726=0,"해당 없음",F1726/E1726)</x:f>
        <x:v>0.0392156862745098</x:v>
      </x:c>
      <x:c r="O1726" s="15" t="n">
        <x:f>IF(E1726=0,"해당 없음",G1726/E1726)</x:f>
        <x:v>0.21568627450980393</x:v>
      </x:c>
      <x:c r="P1726" s="15" t="n">
        <x:f>IF(E1726=0,"해당 없음",H1726/E1726)</x:f>
        <x:v>0.0784313725490196</x:v>
      </x:c>
      <x:c r="Q1726" s="15" t="n">
        <x:f>IF(E1726=0,"해당 없음",I1726/E1726)</x:f>
        <x:v>0.0784313725490196</x:v>
      </x:c>
      <x:c r="R1726" s="15" t="n">
        <x:f>IF(E1726=0,"해당 없음",J1726/E1726)</x:f>
        <x:v>0.0196078431372549</x:v>
      </x:c>
      <x:c r="S1726" s="15" t="n">
        <x:f>IF(E1726=0,"해당 없음",K1726/E1726)</x:f>
        <x:v>0.21568627450980393</x:v>
      </x:c>
      <x:c r="T1726" s="15" t="n">
        <x:f>IF(E1726=0,"해당 없음",L1726/E1726)</x:f>
        <x:v>0.2549019607843137</x:v>
      </x:c>
      <x:c r="U1726" s="15" t="n">
        <x:f>IF(E1726=0,"해당 없음",M1726/E1726)</x:f>
        <x:v>0.09803921568627451</x:v>
      </x:c>
      <x:c r="V1726" s="16" t="n">
        <x:f>E1726/5</x:f>
        <x:v>20.4</x:v>
      </x:c>
    </x:row>
    <x:row r="1727" ht="22" customHeight="1">
      <x:c r="A1727" s="2" t="n">
        <x:v>861</x:v>
      </x:c>
      <x:c r="B1727" s="2" t="str">
        <x:v>NAVY</x:v>
      </x:c>
      <x:c r="C1727" s="2" t="str">
        <x:v>240만</x:v>
      </x:c>
      <x:c r="D1727" s="2" t="str">
        <x:v>80만</x:v>
      </x:c>
      <x:c r="E1727" s="14" t="n">
        <x:f>SUM(F1727:M1727)</x:f>
        <x:v>101</x:v>
      </x:c>
      <x:c r="F1727" s="14" t="n">
        <x:v>4</x:v>
      </x:c>
      <x:c r="G1727" s="14" t="n">
        <x:v>11</x:v>
      </x:c>
      <x:c r="H1727" s="14" t="n">
        <x:v>3</x:v>
      </x:c>
      <x:c r="I1727" s="14" t="n">
        <x:v>4</x:v>
      </x:c>
      <x:c r="J1727" s="14" t="n">
        <x:v>1</x:v>
      </x:c>
      <x:c r="K1727" s="14" t="n">
        <x:v>2</x:v>
      </x:c>
      <x:c r="L1727" s="14" t="n">
        <x:v>31</x:v>
      </x:c>
      <x:c r="M1727" s="14" t="n">
        <x:v>45</x:v>
      </x:c>
      <x:c r="N1727" s="15" t="n">
        <x:f>IF(E1727=0,"해당 없음",F1727/E1727)</x:f>
        <x:v>0.039603960396039604</x:v>
      </x:c>
      <x:c r="O1727" s="15" t="n">
        <x:f>IF(E1727=0,"해당 없음",G1727/E1727)</x:f>
        <x:v>0.10891089108910891</x:v>
      </x:c>
      <x:c r="P1727" s="15" t="n">
        <x:f>IF(E1727=0,"해당 없음",H1727/E1727)</x:f>
        <x:v>0.0297029702970297</x:v>
      </x:c>
      <x:c r="Q1727" s="15" t="n">
        <x:f>IF(E1727=0,"해당 없음",I1727/E1727)</x:f>
        <x:v>0.039603960396039604</x:v>
      </x:c>
      <x:c r="R1727" s="15" t="n">
        <x:f>IF(E1727=0,"해당 없음",J1727/E1727)</x:f>
        <x:v>0.009900990099009901</x:v>
      </x:c>
      <x:c r="S1727" s="15" t="n">
        <x:f>IF(E1727=0,"해당 없음",K1727/E1727)</x:f>
        <x:v>0.019801980198019802</x:v>
      </x:c>
      <x:c r="T1727" s="15" t="n">
        <x:f>IF(E1727=0,"해당 없음",L1727/E1727)</x:f>
        <x:v>0.3069306930693069</x:v>
      </x:c>
      <x:c r="U1727" s="15" t="n">
        <x:f>IF(E1727=0,"해당 없음",M1727/E1727)</x:f>
        <x:v>0.44554455445544555</x:v>
      </x:c>
      <x:c r="V1727" s="16" t="n">
        <x:f>E1727/5</x:f>
        <x:v>20.2</x:v>
      </x:c>
    </x:row>
    <x:row r="1728" ht="22" customHeight="1">
      <x:c r="A1728" s="2" t="n">
        <x:v>862</x:v>
      </x:c>
      <x:c r="B1728" s="2" t="str">
        <x:v>RED</x:v>
      </x:c>
      <x:c r="C1728" s="2" t="str">
        <x:v>240만</x:v>
      </x:c>
      <x:c r="D1728" s="2" t="str">
        <x:v>80만</x:v>
      </x:c>
      <x:c r="E1728" s="14" t="n">
        <x:f>SUM(F1728:M1728)</x:f>
        <x:v>101</x:v>
      </x:c>
      <x:c r="F1728" s="14" t="n">
        <x:v>0</x:v>
      </x:c>
      <x:c r="G1728" s="14" t="n">
        <x:v>19</x:v>
      </x:c>
      <x:c r="H1728" s="14" t="n">
        <x:v>2</x:v>
      </x:c>
      <x:c r="I1728" s="14" t="n">
        <x:v>3</x:v>
      </x:c>
      <x:c r="J1728" s="14" t="n">
        <x:v>2</x:v>
      </x:c>
      <x:c r="K1728" s="14" t="n">
        <x:v>7</x:v>
      </x:c>
      <x:c r="L1728" s="14" t="n">
        <x:v>36</x:v>
      </x:c>
      <x:c r="M1728" s="14" t="n">
        <x:v>32</x:v>
      </x:c>
      <x:c r="N1728" s="15" t="n">
        <x:f>IF(E1728=0,"해당 없음",F1728/E1728)</x:f>
        <x:v>0</x:v>
      </x:c>
      <x:c r="O1728" s="15" t="n">
        <x:f>IF(E1728=0,"해당 없음",G1728/E1728)</x:f>
        <x:v>0.18811881188118812</x:v>
      </x:c>
      <x:c r="P1728" s="15" t="n">
        <x:f>IF(E1728=0,"해당 없음",H1728/E1728)</x:f>
        <x:v>0.019801980198019802</x:v>
      </x:c>
      <x:c r="Q1728" s="15" t="n">
        <x:f>IF(E1728=0,"해당 없음",I1728/E1728)</x:f>
        <x:v>0.0297029702970297</x:v>
      </x:c>
      <x:c r="R1728" s="15" t="n">
        <x:f>IF(E1728=0,"해당 없음",J1728/E1728)</x:f>
        <x:v>0.019801980198019802</x:v>
      </x:c>
      <x:c r="S1728" s="15" t="n">
        <x:f>IF(E1728=0,"해당 없음",K1728/E1728)</x:f>
        <x:v>0.06930693069306931</x:v>
      </x:c>
      <x:c r="T1728" s="15" t="n">
        <x:f>IF(E1728=0,"해당 없음",L1728/E1728)</x:f>
        <x:v>0.3564356435643564</x:v>
      </x:c>
      <x:c r="U1728" s="15" t="n">
        <x:f>IF(E1728=0,"해당 없음",M1728/E1728)</x:f>
        <x:v>0.31683168316831684</x:v>
      </x:c>
      <x:c r="V1728" s="16" t="n">
        <x:f>E1728/5</x:f>
        <x:v>20.2</x:v>
      </x:c>
    </x:row>
    <x:row r="1729" ht="22" customHeight="1">
      <x:c r="A1729" s="2" t="n">
        <x:v>862</x:v>
      </x:c>
      <x:c r="B1729" s="2" t="str">
        <x:v>NAVY</x:v>
      </x:c>
      <x:c r="C1729" s="2" t="str">
        <x:v>80만</x:v>
      </x:c>
      <x:c r="D1729" s="2" t="str">
        <x:v>240만</x:v>
      </x:c>
      <x:c r="E1729" s="14" t="n">
        <x:f>SUM(F1729:M1729)</x:f>
        <x:v>102</x:v>
      </x:c>
      <x:c r="F1729" s="14" t="n">
        <x:v>5</x:v>
      </x:c>
      <x:c r="G1729" s="14" t="n">
        <x:v>19</x:v>
      </x:c>
      <x:c r="H1729" s="14" t="n">
        <x:v>10</x:v>
      </x:c>
      <x:c r="I1729" s="14" t="n">
        <x:v>9</x:v>
      </x:c>
      <x:c r="J1729" s="14" t="n">
        <x:v>0</x:v>
      </x:c>
      <x:c r="K1729" s="14" t="n">
        <x:v>5</x:v>
      </x:c>
      <x:c r="L1729" s="14" t="n">
        <x:v>38</x:v>
      </x:c>
      <x:c r="M1729" s="14" t="n">
        <x:v>16</x:v>
      </x:c>
      <x:c r="N1729" s="15" t="n">
        <x:f>IF(E1729=0,"해당 없음",F1729/E1729)</x:f>
        <x:v>0.049019607843137254</x:v>
      </x:c>
      <x:c r="O1729" s="15" t="n">
        <x:f>IF(E1729=0,"해당 없음",G1729/E1729)</x:f>
        <x:v>0.18627450980392157</x:v>
      </x:c>
      <x:c r="P1729" s="15" t="n">
        <x:f>IF(E1729=0,"해당 없음",H1729/E1729)</x:f>
        <x:v>0.09803921568627451</x:v>
      </x:c>
      <x:c r="Q1729" s="15" t="n">
        <x:f>IF(E1729=0,"해당 없음",I1729/E1729)</x:f>
        <x:v>0.08823529411764706</x:v>
      </x:c>
      <x:c r="R1729" s="15" t="n">
        <x:f>IF(E1729=0,"해당 없음",J1729/E1729)</x:f>
        <x:v>0</x:v>
      </x:c>
      <x:c r="S1729" s="15" t="n">
        <x:f>IF(E1729=0,"해당 없음",K1729/E1729)</x:f>
        <x:v>0.049019607843137254</x:v>
      </x:c>
      <x:c r="T1729" s="15" t="n">
        <x:f>IF(E1729=0,"해당 없음",L1729/E1729)</x:f>
        <x:v>0.37254901960784315</x:v>
      </x:c>
      <x:c r="U1729" s="15" t="n">
        <x:f>IF(E1729=0,"해당 없음",M1729/E1729)</x:f>
        <x:v>0.1568627450980392</x:v>
      </x:c>
      <x:c r="V1729" s="16" t="n">
        <x:f>E1729/5</x:f>
        <x:v>20.4</x:v>
      </x:c>
    </x:row>
    <x:row r="1730" ht="22" customHeight="1">
      <x:c r="A1730" s="2" t="n">
        <x:v>863</x:v>
      </x:c>
      <x:c r="B1730" s="2" t="str">
        <x:v>RED</x:v>
      </x:c>
      <x:c r="C1730" s="2" t="str">
        <x:v>80만</x:v>
      </x:c>
      <x:c r="D1730" s="2" t="str">
        <x:v>240만</x:v>
      </x:c>
      <x:c r="E1730" s="14" t="n">
        <x:f>SUM(F1730:M1730)</x:f>
        <x:v>104</x:v>
      </x:c>
      <x:c r="F1730" s="14" t="n">
        <x:v>9</x:v>
      </x:c>
      <x:c r="G1730" s="14" t="n">
        <x:v>13</x:v>
      </x:c>
      <x:c r="H1730" s="14" t="n">
        <x:v>7</x:v>
      </x:c>
      <x:c r="I1730" s="14" t="n">
        <x:v>9</x:v>
      </x:c>
      <x:c r="J1730" s="14" t="n">
        <x:v>1</x:v>
      </x:c>
      <x:c r="K1730" s="14" t="n">
        <x:v>7</x:v>
      </x:c>
      <x:c r="L1730" s="14" t="n">
        <x:v>35</x:v>
      </x:c>
      <x:c r="M1730" s="14" t="n">
        <x:v>23</x:v>
      </x:c>
      <x:c r="N1730" s="15" t="n">
        <x:f>IF(E1730=0,"해당 없음",F1730/E1730)</x:f>
        <x:v>0.08653846153846154</x:v>
      </x:c>
      <x:c r="O1730" s="15" t="n">
        <x:f>IF(E1730=0,"해당 없음",G1730/E1730)</x:f>
        <x:v>0.125</x:v>
      </x:c>
      <x:c r="P1730" s="15" t="n">
        <x:f>IF(E1730=0,"해당 없음",H1730/E1730)</x:f>
        <x:v>0.0673076923076923</x:v>
      </x:c>
      <x:c r="Q1730" s="15" t="n">
        <x:f>IF(E1730=0,"해당 없음",I1730/E1730)</x:f>
        <x:v>0.08653846153846154</x:v>
      </x:c>
      <x:c r="R1730" s="15" t="n">
        <x:f>IF(E1730=0,"해당 없음",J1730/E1730)</x:f>
        <x:v>0.009615384615384616</x:v>
      </x:c>
      <x:c r="S1730" s="15" t="n">
        <x:f>IF(E1730=0,"해당 없음",K1730/E1730)</x:f>
        <x:v>0.0673076923076923</x:v>
      </x:c>
      <x:c r="T1730" s="15" t="n">
        <x:f>IF(E1730=0,"해당 없음",L1730/E1730)</x:f>
        <x:v>0.33653846153846156</x:v>
      </x:c>
      <x:c r="U1730" s="15" t="n">
        <x:f>IF(E1730=0,"해당 없음",M1730/E1730)</x:f>
        <x:v>0.22115384615384615</x:v>
      </x:c>
      <x:c r="V1730" s="16" t="n">
        <x:f>E1730/5</x:f>
        <x:v>20.8</x:v>
      </x:c>
    </x:row>
    <x:row r="1731" ht="22" customHeight="1">
      <x:c r="A1731" s="2" t="n">
        <x:v>863</x:v>
      </x:c>
      <x:c r="B1731" s="2" t="str">
        <x:v>NAVY</x:v>
      </x:c>
      <x:c r="C1731" s="2" t="str">
        <x:v>240만</x:v>
      </x:c>
      <x:c r="D1731" s="2" t="str">
        <x:v>80만</x:v>
      </x:c>
      <x:c r="E1731" s="14" t="n">
        <x:f>SUM(F1731:M1731)</x:f>
        <x:v>102</x:v>
      </x:c>
      <x:c r="F1731" s="14" t="n">
        <x:v>1</x:v>
      </x:c>
      <x:c r="G1731" s="14" t="n">
        <x:v>7</x:v>
      </x:c>
      <x:c r="H1731" s="14" t="n">
        <x:v>5</x:v>
      </x:c>
      <x:c r="I1731" s="14" t="n">
        <x:v>6</x:v>
      </x:c>
      <x:c r="J1731" s="14" t="n">
        <x:v>1</x:v>
      </x:c>
      <x:c r="K1731" s="14" t="n">
        <x:v>5</x:v>
      </x:c>
      <x:c r="L1731" s="14" t="n">
        <x:v>40</x:v>
      </x:c>
      <x:c r="M1731" s="14" t="n">
        <x:v>37</x:v>
      </x:c>
      <x:c r="N1731" s="15" t="n">
        <x:f>IF(E1731=0,"해당 없음",F1731/E1731)</x:f>
        <x:v>0.00980392156862745</x:v>
      </x:c>
      <x:c r="O1731" s="15" t="n">
        <x:f>IF(E1731=0,"해당 없음",G1731/E1731)</x:f>
        <x:v>0.06862745098039216</x:v>
      </x:c>
      <x:c r="P1731" s="15" t="n">
        <x:f>IF(E1731=0,"해당 없음",H1731/E1731)</x:f>
        <x:v>0.049019607843137254</x:v>
      </x:c>
      <x:c r="Q1731" s="15" t="n">
        <x:f>IF(E1731=0,"해당 없음",I1731/E1731)</x:f>
        <x:v>0.058823529411764705</x:v>
      </x:c>
      <x:c r="R1731" s="15" t="n">
        <x:f>IF(E1731=0,"해당 없음",J1731/E1731)</x:f>
        <x:v>0.00980392156862745</x:v>
      </x:c>
      <x:c r="S1731" s="15" t="n">
        <x:f>IF(E1731=0,"해당 없음",K1731/E1731)</x:f>
        <x:v>0.049019607843137254</x:v>
      </x:c>
      <x:c r="T1731" s="15" t="n">
        <x:f>IF(E1731=0,"해당 없음",L1731/E1731)</x:f>
        <x:v>0.39215686274509803</x:v>
      </x:c>
      <x:c r="U1731" s="15" t="n">
        <x:f>IF(E1731=0,"해당 없음",M1731/E1731)</x:f>
        <x:v>0.3627450980392157</x:v>
      </x:c>
      <x:c r="V1731" s="16" t="n">
        <x:f>E1731/5</x:f>
        <x:v>20.4</x:v>
      </x:c>
    </x:row>
    <x:row r="1732" ht="22" customHeight="1">
      <x:c r="A1732" s="2" t="n">
        <x:v>864</x:v>
      </x:c>
      <x:c r="B1732" s="2" t="str">
        <x:v>RED</x:v>
      </x:c>
      <x:c r="C1732" s="2" t="str">
        <x:v>240만</x:v>
      </x:c>
      <x:c r="D1732" s="2" t="str">
        <x:v>80만</x:v>
      </x:c>
      <x:c r="E1732" s="14" t="n">
        <x:f>SUM(F1732:M1732)</x:f>
        <x:v>101</x:v>
      </x:c>
      <x:c r="F1732" s="14" t="n">
        <x:v>2</x:v>
      </x:c>
      <x:c r="G1732" s="14" t="n">
        <x:v>16</x:v>
      </x:c>
      <x:c r="H1732" s="14" t="n">
        <x:v>2</x:v>
      </x:c>
      <x:c r="I1732" s="14" t="n">
        <x:v>5</x:v>
      </x:c>
      <x:c r="J1732" s="14" t="n">
        <x:v>0</x:v>
      </x:c>
      <x:c r="K1732" s="14" t="n">
        <x:v>7</x:v>
      </x:c>
      <x:c r="L1732" s="14" t="n">
        <x:v>36</x:v>
      </x:c>
      <x:c r="M1732" s="14" t="n">
        <x:v>33</x:v>
      </x:c>
      <x:c r="N1732" s="15" t="n">
        <x:f>IF(E1732=0,"해당 없음",F1732/E1732)</x:f>
        <x:v>0.019801980198019802</x:v>
      </x:c>
      <x:c r="O1732" s="15" t="n">
        <x:f>IF(E1732=0,"해당 없음",G1732/E1732)</x:f>
        <x:v>0.15841584158415842</x:v>
      </x:c>
      <x:c r="P1732" s="15" t="n">
        <x:f>IF(E1732=0,"해당 없음",H1732/E1732)</x:f>
        <x:v>0.019801980198019802</x:v>
      </x:c>
      <x:c r="Q1732" s="15" t="n">
        <x:f>IF(E1732=0,"해당 없음",I1732/E1732)</x:f>
        <x:v>0.04950495049504951</x:v>
      </x:c>
      <x:c r="R1732" s="15" t="n">
        <x:f>IF(E1732=0,"해당 없음",J1732/E1732)</x:f>
        <x:v>0</x:v>
      </x:c>
      <x:c r="S1732" s="15" t="n">
        <x:f>IF(E1732=0,"해당 없음",K1732/E1732)</x:f>
        <x:v>0.06930693069306931</x:v>
      </x:c>
      <x:c r="T1732" s="15" t="n">
        <x:f>IF(E1732=0,"해당 없음",L1732/E1732)</x:f>
        <x:v>0.3564356435643564</x:v>
      </x:c>
      <x:c r="U1732" s="15" t="n">
        <x:f>IF(E1732=0,"해당 없음",M1732/E1732)</x:f>
        <x:v>0.32673267326732675</x:v>
      </x:c>
      <x:c r="V1732" s="16" t="n">
        <x:f>E1732/5</x:f>
        <x:v>20.2</x:v>
      </x:c>
    </x:row>
    <x:row r="1733" ht="22" customHeight="1">
      <x:c r="A1733" s="2" t="n">
        <x:v>864</x:v>
      </x:c>
      <x:c r="B1733" s="2" t="str">
        <x:v>NAVY</x:v>
      </x:c>
      <x:c r="C1733" s="2" t="str">
        <x:v>80만</x:v>
      </x:c>
      <x:c r="D1733" s="2" t="str">
        <x:v>240만</x:v>
      </x:c>
      <x:c r="E1733" s="14" t="n">
        <x:f>SUM(F1733:M1733)</x:f>
        <x:v>102</x:v>
      </x:c>
      <x:c r="F1733" s="14" t="n">
        <x:v>7</x:v>
      </x:c>
      <x:c r="G1733" s="14" t="n">
        <x:v>25</x:v>
      </x:c>
      <x:c r="H1733" s="14" t="n">
        <x:v>6</x:v>
      </x:c>
      <x:c r="I1733" s="14" t="n">
        <x:v>3</x:v>
      </x:c>
      <x:c r="J1733" s="14" t="n">
        <x:v>0</x:v>
      </x:c>
      <x:c r="K1733" s="14" t="n">
        <x:v>8</x:v>
      </x:c>
      <x:c r="L1733" s="14" t="n">
        <x:v>36</x:v>
      </x:c>
      <x:c r="M1733" s="14" t="n">
        <x:v>17</x:v>
      </x:c>
      <x:c r="N1733" s="15" t="n">
        <x:f>IF(E1733=0,"해당 없음",F1733/E1733)</x:f>
        <x:v>0.06862745098039216</x:v>
      </x:c>
      <x:c r="O1733" s="15" t="n">
        <x:f>IF(E1733=0,"해당 없음",G1733/E1733)</x:f>
        <x:v>0.24509803921568626</x:v>
      </x:c>
      <x:c r="P1733" s="15" t="n">
        <x:f>IF(E1733=0,"해당 없음",H1733/E1733)</x:f>
        <x:v>0.058823529411764705</x:v>
      </x:c>
      <x:c r="Q1733" s="15" t="n">
        <x:f>IF(E1733=0,"해당 없음",I1733/E1733)</x:f>
        <x:v>0.029411764705882353</x:v>
      </x:c>
      <x:c r="R1733" s="15" t="n">
        <x:f>IF(E1733=0,"해당 없음",J1733/E1733)</x:f>
        <x:v>0</x:v>
      </x:c>
      <x:c r="S1733" s="15" t="n">
        <x:f>IF(E1733=0,"해당 없음",K1733/E1733)</x:f>
        <x:v>0.0784313725490196</x:v>
      </x:c>
      <x:c r="T1733" s="15" t="n">
        <x:f>IF(E1733=0,"해당 없음",L1733/E1733)</x:f>
        <x:v>0.35294117647058826</x:v>
      </x:c>
      <x:c r="U1733" s="15" t="n">
        <x:f>IF(E1733=0,"해당 없음",M1733/E1733)</x:f>
        <x:v>0.16666666666666666</x:v>
      </x:c>
      <x:c r="V1733" s="16" t="n">
        <x:f>E1733/5</x:f>
        <x:v>20.4</x:v>
      </x:c>
    </x:row>
    <x:row r="1734" ht="22" customHeight="1">
      <x:c r="A1734" s="2" t="n">
        <x:v>865</x:v>
      </x:c>
      <x:c r="B1734" s="2" t="str">
        <x:v>RED</x:v>
      </x:c>
      <x:c r="C1734" s="2" t="str">
        <x:v>80만</x:v>
      </x:c>
      <x:c r="D1734" s="2" t="str">
        <x:v>240만</x:v>
      </x:c>
      <x:c r="E1734" s="14" t="n">
        <x:f>SUM(F1734:M1734)</x:f>
        <x:v>107</x:v>
      </x:c>
      <x:c r="F1734" s="14" t="n">
        <x:v>6</x:v>
      </x:c>
      <x:c r="G1734" s="14" t="n">
        <x:v>10</x:v>
      </x:c>
      <x:c r="H1734" s="14" t="n">
        <x:v>9</x:v>
      </x:c>
      <x:c r="I1734" s="14" t="n">
        <x:v>8</x:v>
      </x:c>
      <x:c r="J1734" s="14" t="n">
        <x:v>2</x:v>
      </x:c>
      <x:c r="K1734" s="14" t="n">
        <x:v>11</x:v>
      </x:c>
      <x:c r="L1734" s="14" t="n">
        <x:v>42</x:v>
      </x:c>
      <x:c r="M1734" s="14" t="n">
        <x:v>19</x:v>
      </x:c>
      <x:c r="N1734" s="15" t="n">
        <x:f>IF(E1734=0,"해당 없음",F1734/E1734)</x:f>
        <x:v>0.056074766355140186</x:v>
      </x:c>
      <x:c r="O1734" s="15" t="n">
        <x:f>IF(E1734=0,"해당 없음",G1734/E1734)</x:f>
        <x:v>0.09345794392523364</x:v>
      </x:c>
      <x:c r="P1734" s="15" t="n">
        <x:f>IF(E1734=0,"해당 없음",H1734/E1734)</x:f>
        <x:v>0.08411214953271028</x:v>
      </x:c>
      <x:c r="Q1734" s="15" t="n">
        <x:f>IF(E1734=0,"해당 없음",I1734/E1734)</x:f>
        <x:v>0.07476635514018691</x:v>
      </x:c>
      <x:c r="R1734" s="15" t="n">
        <x:f>IF(E1734=0,"해당 없음",J1734/E1734)</x:f>
        <x:v>0.018691588785046728</x:v>
      </x:c>
      <x:c r="S1734" s="15" t="n">
        <x:f>IF(E1734=0,"해당 없음",K1734/E1734)</x:f>
        <x:v>0.102803738317757</x:v>
      </x:c>
      <x:c r="T1734" s="15" t="n">
        <x:f>IF(E1734=0,"해당 없음",L1734/E1734)</x:f>
        <x:v>0.3925233644859813</x:v>
      </x:c>
      <x:c r="U1734" s="15" t="n">
        <x:f>IF(E1734=0,"해당 없음",M1734/E1734)</x:f>
        <x:v>0.17757009345794392</x:v>
      </x:c>
      <x:c r="V1734" s="16" t="n">
        <x:f>E1734/5</x:f>
        <x:v>21.4</x:v>
      </x:c>
    </x:row>
    <x:row r="1735" ht="22" customHeight="1">
      <x:c r="A1735" s="2" t="n">
        <x:v>865</x:v>
      </x:c>
      <x:c r="B1735" s="2" t="str">
        <x:v>NAVY</x:v>
      </x:c>
      <x:c r="C1735" s="2" t="str">
        <x:v>240만</x:v>
      </x:c>
      <x:c r="D1735" s="2" t="str">
        <x:v>80만</x:v>
      </x:c>
      <x:c r="E1735" s="14" t="n">
        <x:f>SUM(F1735:M1735)</x:f>
        <x:v>105</x:v>
      </x:c>
      <x:c r="F1735" s="14" t="n">
        <x:v>3</x:v>
      </x:c>
      <x:c r="G1735" s="14" t="n">
        <x:v>10</x:v>
      </x:c>
      <x:c r="H1735" s="14" t="n">
        <x:v>4</x:v>
      </x:c>
      <x:c r="I1735" s="14" t="n">
        <x:v>7</x:v>
      </x:c>
      <x:c r="J1735" s="14" t="n">
        <x:v>3</x:v>
      </x:c>
      <x:c r="K1735" s="14" t="n">
        <x:v>2</x:v>
      </x:c>
      <x:c r="L1735" s="14" t="n">
        <x:v>39</x:v>
      </x:c>
      <x:c r="M1735" s="14" t="n">
        <x:v>37</x:v>
      </x:c>
      <x:c r="N1735" s="15" t="n">
        <x:f>IF(E1735=0,"해당 없음",F1735/E1735)</x:f>
        <x:v>0.02857142857142857</x:v>
      </x:c>
      <x:c r="O1735" s="15" t="n">
        <x:f>IF(E1735=0,"해당 없음",G1735/E1735)</x:f>
        <x:v>0.09523809523809523</x:v>
      </x:c>
      <x:c r="P1735" s="15" t="n">
        <x:f>IF(E1735=0,"해당 없음",H1735/E1735)</x:f>
        <x:v>0.0380952380952381</x:v>
      </x:c>
      <x:c r="Q1735" s="15" t="n">
        <x:f>IF(E1735=0,"해당 없음",I1735/E1735)</x:f>
        <x:v>0.06666666666666667</x:v>
      </x:c>
      <x:c r="R1735" s="15" t="n">
        <x:f>IF(E1735=0,"해당 없음",J1735/E1735)</x:f>
        <x:v>0.02857142857142857</x:v>
      </x:c>
      <x:c r="S1735" s="15" t="n">
        <x:f>IF(E1735=0,"해당 없음",K1735/E1735)</x:f>
        <x:v>0.01904761904761905</x:v>
      </x:c>
      <x:c r="T1735" s="15" t="n">
        <x:f>IF(E1735=0,"해당 없음",L1735/E1735)</x:f>
        <x:v>0.37142857142857144</x:v>
      </x:c>
      <x:c r="U1735" s="15" t="n">
        <x:f>IF(E1735=0,"해당 없음",M1735/E1735)</x:f>
        <x:v>0.3523809523809524</x:v>
      </x:c>
      <x:c r="V1735" s="16" t="n">
        <x:f>E1735/5</x:f>
        <x:v>21</x:v>
      </x:c>
    </x:row>
    <x:row r="1736" ht="22" customHeight="1">
      <x:c r="A1736" s="2" t="n">
        <x:v>866</x:v>
      </x:c>
      <x:c r="B1736" s="2" t="str">
        <x:v>RED</x:v>
      </x:c>
      <x:c r="C1736" s="2" t="str">
        <x:v>240만</x:v>
      </x:c>
      <x:c r="D1736" s="2" t="str">
        <x:v>80만</x:v>
      </x:c>
      <x:c r="E1736" s="14" t="n">
        <x:f>SUM(F1736:M1736)</x:f>
        <x:v>105</x:v>
      </x:c>
      <x:c r="F1736" s="14" t="n">
        <x:v>2</x:v>
      </x:c>
      <x:c r="G1736" s="14" t="n">
        <x:v>10</x:v>
      </x:c>
      <x:c r="H1736" s="14" t="n">
        <x:v>2</x:v>
      </x:c>
      <x:c r="I1736" s="14" t="n">
        <x:v>6</x:v>
      </x:c>
      <x:c r="J1736" s="14" t="n">
        <x:v>1</x:v>
      </x:c>
      <x:c r="K1736" s="14" t="n">
        <x:v>6</x:v>
      </x:c>
      <x:c r="L1736" s="14" t="n">
        <x:v>39</x:v>
      </x:c>
      <x:c r="M1736" s="14" t="n">
        <x:v>39</x:v>
      </x:c>
      <x:c r="N1736" s="15" t="n">
        <x:f>IF(E1736=0,"해당 없음",F1736/E1736)</x:f>
        <x:v>0.01904761904761905</x:v>
      </x:c>
      <x:c r="O1736" s="15" t="n">
        <x:f>IF(E1736=0,"해당 없음",G1736/E1736)</x:f>
        <x:v>0.09523809523809523</x:v>
      </x:c>
      <x:c r="P1736" s="15" t="n">
        <x:f>IF(E1736=0,"해당 없음",H1736/E1736)</x:f>
        <x:v>0.01904761904761905</x:v>
      </x:c>
      <x:c r="Q1736" s="15" t="n">
        <x:f>IF(E1736=0,"해당 없음",I1736/E1736)</x:f>
        <x:v>0.05714285714285714</x:v>
      </x:c>
      <x:c r="R1736" s="15" t="n">
        <x:f>IF(E1736=0,"해당 없음",J1736/E1736)</x:f>
        <x:v>0.009523809523809525</x:v>
      </x:c>
      <x:c r="S1736" s="15" t="n">
        <x:f>IF(E1736=0,"해당 없음",K1736/E1736)</x:f>
        <x:v>0.05714285714285714</x:v>
      </x:c>
      <x:c r="T1736" s="15" t="n">
        <x:f>IF(E1736=0,"해당 없음",L1736/E1736)</x:f>
        <x:v>0.37142857142857144</x:v>
      </x:c>
      <x:c r="U1736" s="15" t="n">
        <x:f>IF(E1736=0,"해당 없음",M1736/E1736)</x:f>
        <x:v>0.37142857142857144</x:v>
      </x:c>
      <x:c r="V1736" s="16" t="n">
        <x:f>E1736/5</x:f>
        <x:v>21</x:v>
      </x:c>
    </x:row>
    <x:row r="1737" ht="22" customHeight="1">
      <x:c r="A1737" s="2" t="n">
        <x:v>866</x:v>
      </x:c>
      <x:c r="B1737" s="2" t="str">
        <x:v>NAVY</x:v>
      </x:c>
      <x:c r="C1737" s="2" t="str">
        <x:v>80만</x:v>
      </x:c>
      <x:c r="D1737" s="2" t="str">
        <x:v>240만</x:v>
      </x:c>
      <x:c r="E1737" s="14" t="n">
        <x:f>SUM(F1737:M1737)</x:f>
        <x:v>104</x:v>
      </x:c>
      <x:c r="F1737" s="14" t="n">
        <x:v>5</x:v>
      </x:c>
      <x:c r="G1737" s="14" t="n">
        <x:v>17</x:v>
      </x:c>
      <x:c r="H1737" s="14" t="n">
        <x:v>13</x:v>
      </x:c>
      <x:c r="I1737" s="14" t="n">
        <x:v>6</x:v>
      </x:c>
      <x:c r="J1737" s="14" t="n">
        <x:v>1</x:v>
      </x:c>
      <x:c r="K1737" s="14" t="n">
        <x:v>8</x:v>
      </x:c>
      <x:c r="L1737" s="14" t="n">
        <x:v>36</x:v>
      </x:c>
      <x:c r="M1737" s="14" t="n">
        <x:v>18</x:v>
      </x:c>
      <x:c r="N1737" s="15" t="n">
        <x:f>IF(E1737=0,"해당 없음",F1737/E1737)</x:f>
        <x:v>0.04807692307692308</x:v>
      </x:c>
      <x:c r="O1737" s="15" t="n">
        <x:f>IF(E1737=0,"해당 없음",G1737/E1737)</x:f>
        <x:v>0.16346153846153846</x:v>
      </x:c>
      <x:c r="P1737" s="15" t="n">
        <x:f>IF(E1737=0,"해당 없음",H1737/E1737)</x:f>
        <x:v>0.125</x:v>
      </x:c>
      <x:c r="Q1737" s="15" t="n">
        <x:f>IF(E1737=0,"해당 없음",I1737/E1737)</x:f>
        <x:v>0.057692307692307696</x:v>
      </x:c>
      <x:c r="R1737" s="15" t="n">
        <x:f>IF(E1737=0,"해당 없음",J1737/E1737)</x:f>
        <x:v>0.009615384615384616</x:v>
      </x:c>
      <x:c r="S1737" s="15" t="n">
        <x:f>IF(E1737=0,"해당 없음",K1737/E1737)</x:f>
        <x:v>0.07692307692307693</x:v>
      </x:c>
      <x:c r="T1737" s="15" t="n">
        <x:f>IF(E1737=0,"해당 없음",L1737/E1737)</x:f>
        <x:v>0.34615384615384615</x:v>
      </x:c>
      <x:c r="U1737" s="15" t="n">
        <x:f>IF(E1737=0,"해당 없음",M1737/E1737)</x:f>
        <x:v>0.17307692307692307</x:v>
      </x:c>
      <x:c r="V1737" s="16" t="n">
        <x:f>E1737/5</x:f>
        <x:v>20.8</x:v>
      </x:c>
    </x:row>
    <x:row r="1738" ht="22" customHeight="1">
      <x:c r="A1738" s="2" t="n">
        <x:v>867</x:v>
      </x:c>
      <x:c r="B1738" s="2" t="str">
        <x:v>RED</x:v>
      </x:c>
      <x:c r="C1738" s="2" t="str">
        <x:v>80만</x:v>
      </x:c>
      <x:c r="D1738" s="2" t="str">
        <x:v>240만</x:v>
      </x:c>
      <x:c r="E1738" s="14" t="n">
        <x:f>SUM(F1738:M1738)</x:f>
        <x:v>103</x:v>
      </x:c>
      <x:c r="F1738" s="14" t="n">
        <x:v>2</x:v>
      </x:c>
      <x:c r="G1738" s="14" t="n">
        <x:v>16</x:v>
      </x:c>
      <x:c r="H1738" s="14" t="n">
        <x:v>10</x:v>
      </x:c>
      <x:c r="I1738" s="14" t="n">
        <x:v>6</x:v>
      </x:c>
      <x:c r="J1738" s="14" t="n">
        <x:v>8</x:v>
      </x:c>
      <x:c r="K1738" s="14" t="n">
        <x:v>15</x:v>
      </x:c>
      <x:c r="L1738" s="14" t="n">
        <x:v>32</x:v>
      </x:c>
      <x:c r="M1738" s="14" t="n">
        <x:v>14</x:v>
      </x:c>
      <x:c r="N1738" s="15" t="n">
        <x:f>IF(E1738=0,"해당 없음",F1738/E1738)</x:f>
        <x:v>0.019417475728155338</x:v>
      </x:c>
      <x:c r="O1738" s="15" t="n">
        <x:f>IF(E1738=0,"해당 없음",G1738/E1738)</x:f>
        <x:v>0.1553398058252427</x:v>
      </x:c>
      <x:c r="P1738" s="15" t="n">
        <x:f>IF(E1738=0,"해당 없음",H1738/E1738)</x:f>
        <x:v>0.0970873786407767</x:v>
      </x:c>
      <x:c r="Q1738" s="15" t="n">
        <x:f>IF(E1738=0,"해당 없음",I1738/E1738)</x:f>
        <x:v>0.05825242718446602</x:v>
      </x:c>
      <x:c r="R1738" s="15" t="n">
        <x:f>IF(E1738=0,"해당 없음",J1738/E1738)</x:f>
        <x:v>0.07766990291262135</x:v>
      </x:c>
      <x:c r="S1738" s="15" t="n">
        <x:f>IF(E1738=0,"해당 없음",K1738/E1738)</x:f>
        <x:v>0.14563106796116504</x:v>
      </x:c>
      <x:c r="T1738" s="15" t="n">
        <x:f>IF(E1738=0,"해당 없음",L1738/E1738)</x:f>
        <x:v>0.3106796116504854</x:v>
      </x:c>
      <x:c r="U1738" s="15" t="n">
        <x:f>IF(E1738=0,"해당 없음",M1738/E1738)</x:f>
        <x:v>0.13592233009708737</x:v>
      </x:c>
      <x:c r="V1738" s="16" t="n">
        <x:f>E1738/5</x:f>
        <x:v>20.6</x:v>
      </x:c>
    </x:row>
    <x:row r="1739" ht="22" customHeight="1">
      <x:c r="A1739" s="2" t="n">
        <x:v>867</x:v>
      </x:c>
      <x:c r="B1739" s="2" t="str">
        <x:v>NAVY</x:v>
      </x:c>
      <x:c r="C1739" s="2" t="str">
        <x:v>240만</x:v>
      </x:c>
      <x:c r="D1739" s="2" t="str">
        <x:v>80만</x:v>
      </x:c>
      <x:c r="E1739" s="14" t="n">
        <x:f>SUM(F1739:M1739)</x:f>
        <x:v>103</x:v>
      </x:c>
      <x:c r="F1739" s="14" t="n">
        <x:v>2</x:v>
      </x:c>
      <x:c r="G1739" s="14" t="n">
        <x:v>10</x:v>
      </x:c>
      <x:c r="H1739" s="14" t="n">
        <x:v>3</x:v>
      </x:c>
      <x:c r="I1739" s="14" t="n">
        <x:v>1</x:v>
      </x:c>
      <x:c r="J1739" s="14" t="n">
        <x:v>2</x:v>
      </x:c>
      <x:c r="K1739" s="14" t="n">
        <x:v>3</x:v>
      </x:c>
      <x:c r="L1739" s="14" t="n">
        <x:v>35</x:v>
      </x:c>
      <x:c r="M1739" s="14" t="n">
        <x:v>47</x:v>
      </x:c>
      <x:c r="N1739" s="15" t="n">
        <x:f>IF(E1739=0,"해당 없음",F1739/E1739)</x:f>
        <x:v>0.019417475728155338</x:v>
      </x:c>
      <x:c r="O1739" s="15" t="n">
        <x:f>IF(E1739=0,"해당 없음",G1739/E1739)</x:f>
        <x:v>0.0970873786407767</x:v>
      </x:c>
      <x:c r="P1739" s="15" t="n">
        <x:f>IF(E1739=0,"해당 없음",H1739/E1739)</x:f>
        <x:v>0.02912621359223301</x:v>
      </x:c>
      <x:c r="Q1739" s="15" t="n">
        <x:f>IF(E1739=0,"해당 없음",I1739/E1739)</x:f>
        <x:v>0.009708737864077669</x:v>
      </x:c>
      <x:c r="R1739" s="15" t="n">
        <x:f>IF(E1739=0,"해당 없음",J1739/E1739)</x:f>
        <x:v>0.019417475728155338</x:v>
      </x:c>
      <x:c r="S1739" s="15" t="n">
        <x:f>IF(E1739=0,"해당 없음",K1739/E1739)</x:f>
        <x:v>0.02912621359223301</x:v>
      </x:c>
      <x:c r="T1739" s="15" t="n">
        <x:f>IF(E1739=0,"해당 없음",L1739/E1739)</x:f>
        <x:v>0.33980582524271846</x:v>
      </x:c>
      <x:c r="U1739" s="15" t="n">
        <x:f>IF(E1739=0,"해당 없음",M1739/E1739)</x:f>
        <x:v>0.4563106796116505</x:v>
      </x:c>
      <x:c r="V1739" s="16" t="n">
        <x:f>E1739/5</x:f>
        <x:v>20.6</x:v>
      </x:c>
    </x:row>
    <x:row r="1740" ht="22" customHeight="1">
      <x:c r="A1740" s="2" t="n">
        <x:v>868</x:v>
      </x:c>
      <x:c r="B1740" s="2" t="str">
        <x:v>RED</x:v>
      </x:c>
      <x:c r="C1740" s="2" t="str">
        <x:v>240만</x:v>
      </x:c>
      <x:c r="D1740" s="2" t="str">
        <x:v>80만</x:v>
      </x:c>
      <x:c r="E1740" s="14" t="n">
        <x:f>SUM(F1740:M1740)</x:f>
        <x:v>100</x:v>
      </x:c>
      <x:c r="F1740" s="14" t="n">
        <x:v>3</x:v>
      </x:c>
      <x:c r="G1740" s="14" t="n">
        <x:v>15</x:v>
      </x:c>
      <x:c r="H1740" s="14" t="n">
        <x:v>4</x:v>
      </x:c>
      <x:c r="I1740" s="14" t="n">
        <x:v>8</x:v>
      </x:c>
      <x:c r="J1740" s="14" t="n">
        <x:v>1</x:v>
      </x:c>
      <x:c r="K1740" s="14" t="n">
        <x:v>4</x:v>
      </x:c>
      <x:c r="L1740" s="14" t="n">
        <x:v>34</x:v>
      </x:c>
      <x:c r="M1740" s="14" t="n">
        <x:v>31</x:v>
      </x:c>
      <x:c r="N1740" s="15" t="n">
        <x:f>IF(E1740=0,"해당 없음",F1740/E1740)</x:f>
        <x:v>0.03</x:v>
      </x:c>
      <x:c r="O1740" s="15" t="n">
        <x:f>IF(E1740=0,"해당 없음",G1740/E1740)</x:f>
        <x:v>0.15</x:v>
      </x:c>
      <x:c r="P1740" s="15" t="n">
        <x:f>IF(E1740=0,"해당 없음",H1740/E1740)</x:f>
        <x:v>0.04</x:v>
      </x:c>
      <x:c r="Q1740" s="15" t="n">
        <x:f>IF(E1740=0,"해당 없음",I1740/E1740)</x:f>
        <x:v>0.08</x:v>
      </x:c>
      <x:c r="R1740" s="15" t="n">
        <x:f>IF(E1740=0,"해당 없음",J1740/E1740)</x:f>
        <x:v>0.01</x:v>
      </x:c>
      <x:c r="S1740" s="15" t="n">
        <x:f>IF(E1740=0,"해당 없음",K1740/E1740)</x:f>
        <x:v>0.04</x:v>
      </x:c>
      <x:c r="T1740" s="15" t="n">
        <x:f>IF(E1740=0,"해당 없음",L1740/E1740)</x:f>
        <x:v>0.34</x:v>
      </x:c>
      <x:c r="U1740" s="15" t="n">
        <x:f>IF(E1740=0,"해당 없음",M1740/E1740)</x:f>
        <x:v>0.31</x:v>
      </x:c>
      <x:c r="V1740" s="16" t="n">
        <x:f>E1740/5</x:f>
        <x:v>20</x:v>
      </x:c>
    </x:row>
    <x:row r="1741" ht="22" customHeight="1">
      <x:c r="A1741" s="2" t="n">
        <x:v>868</x:v>
      </x:c>
      <x:c r="B1741" s="2" t="str">
        <x:v>NAVY</x:v>
      </x:c>
      <x:c r="C1741" s="2" t="str">
        <x:v>80만</x:v>
      </x:c>
      <x:c r="D1741" s="2" t="str">
        <x:v>240만</x:v>
      </x:c>
      <x:c r="E1741" s="14" t="n">
        <x:f>SUM(F1741:M1741)</x:f>
        <x:v>101</x:v>
      </x:c>
      <x:c r="F1741" s="14" t="n">
        <x:v>2</x:v>
      </x:c>
      <x:c r="G1741" s="14" t="n">
        <x:v>16</x:v>
      </x:c>
      <x:c r="H1741" s="14" t="n">
        <x:v>16</x:v>
      </x:c>
      <x:c r="I1741" s="14" t="n">
        <x:v>7</x:v>
      </x:c>
      <x:c r="J1741" s="14" t="n">
        <x:v>0</x:v>
      </x:c>
      <x:c r="K1741" s="14" t="n">
        <x:v>6</x:v>
      </x:c>
      <x:c r="L1741" s="14" t="n">
        <x:v>33</x:v>
      </x:c>
      <x:c r="M1741" s="14" t="n">
        <x:v>21</x:v>
      </x:c>
      <x:c r="N1741" s="15" t="n">
        <x:f>IF(E1741=0,"해당 없음",F1741/E1741)</x:f>
        <x:v>0.019801980198019802</x:v>
      </x:c>
      <x:c r="O1741" s="15" t="n">
        <x:f>IF(E1741=0,"해당 없음",G1741/E1741)</x:f>
        <x:v>0.15841584158415842</x:v>
      </x:c>
      <x:c r="P1741" s="15" t="n">
        <x:f>IF(E1741=0,"해당 없음",H1741/E1741)</x:f>
        <x:v>0.15841584158415842</x:v>
      </x:c>
      <x:c r="Q1741" s="15" t="n">
        <x:f>IF(E1741=0,"해당 없음",I1741/E1741)</x:f>
        <x:v>0.06930693069306931</x:v>
      </x:c>
      <x:c r="R1741" s="15" t="n">
        <x:f>IF(E1741=0,"해당 없음",J1741/E1741)</x:f>
        <x:v>0</x:v>
      </x:c>
      <x:c r="S1741" s="15" t="n">
        <x:f>IF(E1741=0,"해당 없음",K1741/E1741)</x:f>
        <x:v>0.0594059405940594</x:v>
      </x:c>
      <x:c r="T1741" s="15" t="n">
        <x:f>IF(E1741=0,"해당 없음",L1741/E1741)</x:f>
        <x:v>0.32673267326732675</x:v>
      </x:c>
      <x:c r="U1741" s="15" t="n">
        <x:f>IF(E1741=0,"해당 없음",M1741/E1741)</x:f>
        <x:v>0.2079207920792079</x:v>
      </x:c>
      <x:c r="V1741" s="16" t="n">
        <x:f>E1741/5</x:f>
        <x:v>20.2</x:v>
      </x:c>
    </x:row>
    <x:row r="1742" ht="22" customHeight="1">
      <x:c r="A1742" s="2" t="n">
        <x:v>869</x:v>
      </x:c>
      <x:c r="B1742" s="2" t="str">
        <x:v>RED</x:v>
      </x:c>
      <x:c r="C1742" s="2" t="str">
        <x:v>80만</x:v>
      </x:c>
      <x:c r="D1742" s="2" t="str">
        <x:v>240만</x:v>
      </x:c>
      <x:c r="E1742" s="14" t="n">
        <x:f>SUM(F1742:M1742)</x:f>
        <x:v>104</x:v>
      </x:c>
      <x:c r="F1742" s="14" t="n">
        <x:v>3</x:v>
      </x:c>
      <x:c r="G1742" s="14" t="n">
        <x:v>18</x:v>
      </x:c>
      <x:c r="H1742" s="14" t="n">
        <x:v>9</x:v>
      </x:c>
      <x:c r="I1742" s="14" t="n">
        <x:v>8</x:v>
      </x:c>
      <x:c r="J1742" s="14" t="n">
        <x:v>6</x:v>
      </x:c>
      <x:c r="K1742" s="14" t="n">
        <x:v>8</x:v>
      </x:c>
      <x:c r="L1742" s="14" t="n">
        <x:v>36</x:v>
      </x:c>
      <x:c r="M1742" s="14" t="n">
        <x:v>16</x:v>
      </x:c>
      <x:c r="N1742" s="15" t="n">
        <x:f>IF(E1742=0,"해당 없음",F1742/E1742)</x:f>
        <x:v>0.028846153846153848</x:v>
      </x:c>
      <x:c r="O1742" s="15" t="n">
        <x:f>IF(E1742=0,"해당 없음",G1742/E1742)</x:f>
        <x:v>0.17307692307692307</x:v>
      </x:c>
      <x:c r="P1742" s="15" t="n">
        <x:f>IF(E1742=0,"해당 없음",H1742/E1742)</x:f>
        <x:v>0.08653846153846154</x:v>
      </x:c>
      <x:c r="Q1742" s="15" t="n">
        <x:f>IF(E1742=0,"해당 없음",I1742/E1742)</x:f>
        <x:v>0.07692307692307693</x:v>
      </x:c>
      <x:c r="R1742" s="15" t="n">
        <x:f>IF(E1742=0,"해당 없음",J1742/E1742)</x:f>
        <x:v>0.057692307692307696</x:v>
      </x:c>
      <x:c r="S1742" s="15" t="n">
        <x:f>IF(E1742=0,"해당 없음",K1742/E1742)</x:f>
        <x:v>0.07692307692307693</x:v>
      </x:c>
      <x:c r="T1742" s="15" t="n">
        <x:f>IF(E1742=0,"해당 없음",L1742/E1742)</x:f>
        <x:v>0.34615384615384615</x:v>
      </x:c>
      <x:c r="U1742" s="15" t="n">
        <x:f>IF(E1742=0,"해당 없음",M1742/E1742)</x:f>
        <x:v>0.15384615384615385</x:v>
      </x:c>
      <x:c r="V1742" s="16" t="n">
        <x:f>E1742/5</x:f>
        <x:v>20.8</x:v>
      </x:c>
    </x:row>
    <x:row r="1743" ht="22" customHeight="1">
      <x:c r="A1743" s="2" t="n">
        <x:v>869</x:v>
      </x:c>
      <x:c r="B1743" s="2" t="str">
        <x:v>NAVY</x:v>
      </x:c>
      <x:c r="C1743" s="2" t="str">
        <x:v>240만</x:v>
      </x:c>
      <x:c r="D1743" s="2" t="str">
        <x:v>80만</x:v>
      </x:c>
      <x:c r="E1743" s="14" t="n">
        <x:f>SUM(F1743:M1743)</x:f>
        <x:v>103</x:v>
      </x:c>
      <x:c r="F1743" s="14" t="n">
        <x:v>2</x:v>
      </x:c>
      <x:c r="G1743" s="14" t="n">
        <x:v>11</x:v>
      </x:c>
      <x:c r="H1743" s="14" t="n">
        <x:v>0</x:v>
      </x:c>
      <x:c r="I1743" s="14" t="n">
        <x:v>8</x:v>
      </x:c>
      <x:c r="J1743" s="14" t="n">
        <x:v>0</x:v>
      </x:c>
      <x:c r="K1743" s="14" t="n">
        <x:v>4</x:v>
      </x:c>
      <x:c r="L1743" s="14" t="n">
        <x:v>39</x:v>
      </x:c>
      <x:c r="M1743" s="14" t="n">
        <x:v>39</x:v>
      </x:c>
      <x:c r="N1743" s="15" t="n">
        <x:f>IF(E1743=0,"해당 없음",F1743/E1743)</x:f>
        <x:v>0.019417475728155338</x:v>
      </x:c>
      <x:c r="O1743" s="15" t="n">
        <x:f>IF(E1743=0,"해당 없음",G1743/E1743)</x:f>
        <x:v>0.10679611650485436</x:v>
      </x:c>
      <x:c r="P1743" s="15" t="n">
        <x:f>IF(E1743=0,"해당 없음",H1743/E1743)</x:f>
        <x:v>0</x:v>
      </x:c>
      <x:c r="Q1743" s="15" t="n">
        <x:f>IF(E1743=0,"해당 없음",I1743/E1743)</x:f>
        <x:v>0.07766990291262135</x:v>
      </x:c>
      <x:c r="R1743" s="15" t="n">
        <x:f>IF(E1743=0,"해당 없음",J1743/E1743)</x:f>
        <x:v>0</x:v>
      </x:c>
      <x:c r="S1743" s="15" t="n">
        <x:f>IF(E1743=0,"해당 없음",K1743/E1743)</x:f>
        <x:v>0.038834951456310676</x:v>
      </x:c>
      <x:c r="T1743" s="15" t="n">
        <x:f>IF(E1743=0,"해당 없음",L1743/E1743)</x:f>
        <x:v>0.3786407766990291</x:v>
      </x:c>
      <x:c r="U1743" s="15" t="n">
        <x:f>IF(E1743=0,"해당 없음",M1743/E1743)</x:f>
        <x:v>0.3786407766990291</x:v>
      </x:c>
      <x:c r="V1743" s="16" t="n">
        <x:f>E1743/5</x:f>
        <x:v>20.6</x:v>
      </x:c>
    </x:row>
    <x:row r="1744" ht="22" customHeight="1">
      <x:c r="A1744" s="2" t="n">
        <x:v>870</x:v>
      </x:c>
      <x:c r="B1744" s="2" t="str">
        <x:v>RED</x:v>
      </x:c>
      <x:c r="C1744" s="2" t="str">
        <x:v>240만</x:v>
      </x:c>
      <x:c r="D1744" s="2" t="str">
        <x:v>80만</x:v>
      </x:c>
      <x:c r="E1744" s="14" t="n">
        <x:f>SUM(F1744:M1744)</x:f>
        <x:v>104</x:v>
      </x:c>
      <x:c r="F1744" s="14" t="n">
        <x:v>2</x:v>
      </x:c>
      <x:c r="G1744" s="14" t="n">
        <x:v>9</x:v>
      </x:c>
      <x:c r="H1744" s="14" t="n">
        <x:v>2</x:v>
      </x:c>
      <x:c r="I1744" s="14" t="n">
        <x:v>4</x:v>
      </x:c>
      <x:c r="J1744" s="14" t="n">
        <x:v>0</x:v>
      </x:c>
      <x:c r="K1744" s="14" t="n">
        <x:v>5</x:v>
      </x:c>
      <x:c r="L1744" s="14" t="n">
        <x:v>37</x:v>
      </x:c>
      <x:c r="M1744" s="14" t="n">
        <x:v>45</x:v>
      </x:c>
      <x:c r="N1744" s="15" t="n">
        <x:f>IF(E1744=0,"해당 없음",F1744/E1744)</x:f>
        <x:v>0.019230769230769232</x:v>
      </x:c>
      <x:c r="O1744" s="15" t="n">
        <x:f>IF(E1744=0,"해당 없음",G1744/E1744)</x:f>
        <x:v>0.08653846153846154</x:v>
      </x:c>
      <x:c r="P1744" s="15" t="n">
        <x:f>IF(E1744=0,"해당 없음",H1744/E1744)</x:f>
        <x:v>0.019230769230769232</x:v>
      </x:c>
      <x:c r="Q1744" s="15" t="n">
        <x:f>IF(E1744=0,"해당 없음",I1744/E1744)</x:f>
        <x:v>0.038461538461538464</x:v>
      </x:c>
      <x:c r="R1744" s="15" t="n">
        <x:f>IF(E1744=0,"해당 없음",J1744/E1744)</x:f>
        <x:v>0</x:v>
      </x:c>
      <x:c r="S1744" s="15" t="n">
        <x:f>IF(E1744=0,"해당 없음",K1744/E1744)</x:f>
        <x:v>0.04807692307692308</x:v>
      </x:c>
      <x:c r="T1744" s="15" t="n">
        <x:f>IF(E1744=0,"해당 없음",L1744/E1744)</x:f>
        <x:v>0.3557692307692308</x:v>
      </x:c>
      <x:c r="U1744" s="15" t="n">
        <x:f>IF(E1744=0,"해당 없음",M1744/E1744)</x:f>
        <x:v>0.4326923076923077</x:v>
      </x:c>
      <x:c r="V1744" s="16" t="n">
        <x:f>E1744/5</x:f>
        <x:v>20.8</x:v>
      </x:c>
    </x:row>
    <x:row r="1745" ht="22" customHeight="1">
      <x:c r="A1745" s="2" t="n">
        <x:v>870</x:v>
      </x:c>
      <x:c r="B1745" s="2" t="str">
        <x:v>NAVY</x:v>
      </x:c>
      <x:c r="C1745" s="2" t="str">
        <x:v>80만</x:v>
      </x:c>
      <x:c r="D1745" s="2" t="str">
        <x:v>240만</x:v>
      </x:c>
      <x:c r="E1745" s="14" t="n">
        <x:f>SUM(F1745:M1745)</x:f>
        <x:v>102</x:v>
      </x:c>
      <x:c r="F1745" s="14" t="n">
        <x:v>8</x:v>
      </x:c>
      <x:c r="G1745" s="14" t="n">
        <x:v>15</x:v>
      </x:c>
      <x:c r="H1745" s="14" t="n">
        <x:v>2</x:v>
      </x:c>
      <x:c r="I1745" s="14" t="n">
        <x:v>9</x:v>
      </x:c>
      <x:c r="J1745" s="14" t="n">
        <x:v>2</x:v>
      </x:c>
      <x:c r="K1745" s="14" t="n">
        <x:v>4</x:v>
      </x:c>
      <x:c r="L1745" s="14" t="n">
        <x:v>39</x:v>
      </x:c>
      <x:c r="M1745" s="14" t="n">
        <x:v>23</x:v>
      </x:c>
      <x:c r="N1745" s="15" t="n">
        <x:f>IF(E1745=0,"해당 없음",F1745/E1745)</x:f>
        <x:v>0.0784313725490196</x:v>
      </x:c>
      <x:c r="O1745" s="15" t="n">
        <x:f>IF(E1745=0,"해당 없음",G1745/E1745)</x:f>
        <x:v>0.14705882352941177</x:v>
      </x:c>
      <x:c r="P1745" s="15" t="n">
        <x:f>IF(E1745=0,"해당 없음",H1745/E1745)</x:f>
        <x:v>0.0196078431372549</x:v>
      </x:c>
      <x:c r="Q1745" s="15" t="n">
        <x:f>IF(E1745=0,"해당 없음",I1745/E1745)</x:f>
        <x:v>0.08823529411764706</x:v>
      </x:c>
      <x:c r="R1745" s="15" t="n">
        <x:f>IF(E1745=0,"해당 없음",J1745/E1745)</x:f>
        <x:v>0.0196078431372549</x:v>
      </x:c>
      <x:c r="S1745" s="15" t="n">
        <x:f>IF(E1745=0,"해당 없음",K1745/E1745)</x:f>
        <x:v>0.0392156862745098</x:v>
      </x:c>
      <x:c r="T1745" s="15" t="n">
        <x:f>IF(E1745=0,"해당 없음",L1745/E1745)</x:f>
        <x:v>0.38235294117647056</x:v>
      </x:c>
      <x:c r="U1745" s="15" t="n">
        <x:f>IF(E1745=0,"해당 없음",M1745/E1745)</x:f>
        <x:v>0.22549019607843138</x:v>
      </x:c>
      <x:c r="V1745" s="16" t="n">
        <x:f>E1745/5</x:f>
        <x:v>20.4</x:v>
      </x:c>
    </x:row>
    <x:row r="1746" ht="22" customHeight="1">
      <x:c r="A1746" s="2" t="n">
        <x:v>871</x:v>
      </x:c>
      <x:c r="B1746" s="2" t="str">
        <x:v>RED</x:v>
      </x:c>
      <x:c r="C1746" s="2" t="str">
        <x:v>80만</x:v>
      </x:c>
      <x:c r="D1746" s="2" t="str">
        <x:v>240만</x:v>
      </x:c>
      <x:c r="E1746" s="14" t="n">
        <x:f>SUM(F1746:M1746)</x:f>
        <x:v>104</x:v>
      </x:c>
      <x:c r="F1746" s="14" t="n">
        <x:v>4</x:v>
      </x:c>
      <x:c r="G1746" s="14" t="n">
        <x:v>13</x:v>
      </x:c>
      <x:c r="H1746" s="14" t="n">
        <x:v>6</x:v>
      </x:c>
      <x:c r="I1746" s="14" t="n">
        <x:v>5</x:v>
      </x:c>
      <x:c r="J1746" s="14" t="n">
        <x:v>2</x:v>
      </x:c>
      <x:c r="K1746" s="14" t="n">
        <x:v>15</x:v>
      </x:c>
      <x:c r="L1746" s="14" t="n">
        <x:v>34</x:v>
      </x:c>
      <x:c r="M1746" s="14" t="n">
        <x:v>25</x:v>
      </x:c>
      <x:c r="N1746" s="15" t="n">
        <x:f>IF(E1746=0,"해당 없음",F1746/E1746)</x:f>
        <x:v>0.038461538461538464</x:v>
      </x:c>
      <x:c r="O1746" s="15" t="n">
        <x:f>IF(E1746=0,"해당 없음",G1746/E1746)</x:f>
        <x:v>0.125</x:v>
      </x:c>
      <x:c r="P1746" s="15" t="n">
        <x:f>IF(E1746=0,"해당 없음",H1746/E1746)</x:f>
        <x:v>0.057692307692307696</x:v>
      </x:c>
      <x:c r="Q1746" s="15" t="n">
        <x:f>IF(E1746=0,"해당 없음",I1746/E1746)</x:f>
        <x:v>0.04807692307692308</x:v>
      </x:c>
      <x:c r="R1746" s="15" t="n">
        <x:f>IF(E1746=0,"해당 없음",J1746/E1746)</x:f>
        <x:v>0.019230769230769232</x:v>
      </x:c>
      <x:c r="S1746" s="15" t="n">
        <x:f>IF(E1746=0,"해당 없음",K1746/E1746)</x:f>
        <x:v>0.14423076923076922</x:v>
      </x:c>
      <x:c r="T1746" s="15" t="n">
        <x:f>IF(E1746=0,"해당 없음",L1746/E1746)</x:f>
        <x:v>0.3269230769230769</x:v>
      </x:c>
      <x:c r="U1746" s="15" t="n">
        <x:f>IF(E1746=0,"해당 없음",M1746/E1746)</x:f>
        <x:v>0.2403846153846154</x:v>
      </x:c>
      <x:c r="V1746" s="16" t="n">
        <x:f>E1746/5</x:f>
        <x:v>20.8</x:v>
      </x:c>
    </x:row>
    <x:row r="1747" ht="22" customHeight="1">
      <x:c r="A1747" s="2" t="n">
        <x:v>871</x:v>
      </x:c>
      <x:c r="B1747" s="2" t="str">
        <x:v>NAVY</x:v>
      </x:c>
      <x:c r="C1747" s="2" t="str">
        <x:v>240만</x:v>
      </x:c>
      <x:c r="D1747" s="2" t="str">
        <x:v>80만</x:v>
      </x:c>
      <x:c r="E1747" s="14" t="n">
        <x:f>SUM(F1747:M1747)</x:f>
        <x:v>101</x:v>
      </x:c>
      <x:c r="F1747" s="14" t="n">
        <x:v>2</x:v>
      </x:c>
      <x:c r="G1747" s="14" t="n">
        <x:v>15</x:v>
      </x:c>
      <x:c r="H1747" s="14" t="n">
        <x:v>5</x:v>
      </x:c>
      <x:c r="I1747" s="14" t="n">
        <x:v>1</x:v>
      </x:c>
      <x:c r="J1747" s="14" t="n">
        <x:v>2</x:v>
      </x:c>
      <x:c r="K1747" s="14" t="n">
        <x:v>3</x:v>
      </x:c>
      <x:c r="L1747" s="14" t="n">
        <x:v>37</x:v>
      </x:c>
      <x:c r="M1747" s="14" t="n">
        <x:v>36</x:v>
      </x:c>
      <x:c r="N1747" s="15" t="n">
        <x:f>IF(E1747=0,"해당 없음",F1747/E1747)</x:f>
        <x:v>0.019801980198019802</x:v>
      </x:c>
      <x:c r="O1747" s="15" t="n">
        <x:f>IF(E1747=0,"해당 없음",G1747/E1747)</x:f>
        <x:v>0.1485148514851485</x:v>
      </x:c>
      <x:c r="P1747" s="15" t="n">
        <x:f>IF(E1747=0,"해당 없음",H1747/E1747)</x:f>
        <x:v>0.04950495049504951</x:v>
      </x:c>
      <x:c r="Q1747" s="15" t="n">
        <x:f>IF(E1747=0,"해당 없음",I1747/E1747)</x:f>
        <x:v>0.009900990099009901</x:v>
      </x:c>
      <x:c r="R1747" s="15" t="n">
        <x:f>IF(E1747=0,"해당 없음",J1747/E1747)</x:f>
        <x:v>0.019801980198019802</x:v>
      </x:c>
      <x:c r="S1747" s="15" t="n">
        <x:f>IF(E1747=0,"해당 없음",K1747/E1747)</x:f>
        <x:v>0.0297029702970297</x:v>
      </x:c>
      <x:c r="T1747" s="15" t="n">
        <x:f>IF(E1747=0,"해당 없음",L1747/E1747)</x:f>
        <x:v>0.36633663366336633</x:v>
      </x:c>
      <x:c r="U1747" s="15" t="n">
        <x:f>IF(E1747=0,"해당 없음",M1747/E1747)</x:f>
        <x:v>0.3564356435643564</x:v>
      </x:c>
      <x:c r="V1747" s="16" t="n">
        <x:f>E1747/5</x:f>
        <x:v>20.2</x:v>
      </x:c>
    </x:row>
    <x:row r="1748" ht="22" customHeight="1">
      <x:c r="A1748" s="2" t="n">
        <x:v>872</x:v>
      </x:c>
      <x:c r="B1748" s="2" t="str">
        <x:v>RED</x:v>
      </x:c>
      <x:c r="C1748" s="2" t="str">
        <x:v>240만</x:v>
      </x:c>
      <x:c r="D1748" s="2" t="str">
        <x:v>80만</x:v>
      </x:c>
      <x:c r="E1748" s="14" t="n">
        <x:f>SUM(F1748:M1748)</x:f>
        <x:v>101</x:v>
      </x:c>
      <x:c r="F1748" s="14" t="n">
        <x:v>2</x:v>
      </x:c>
      <x:c r="G1748" s="14" t="n">
        <x:v>12</x:v>
      </x:c>
      <x:c r="H1748" s="14" t="n">
        <x:v>5</x:v>
      </x:c>
      <x:c r="I1748" s="14" t="n">
        <x:v>4</x:v>
      </x:c>
      <x:c r="J1748" s="14" t="n">
        <x:v>1</x:v>
      </x:c>
      <x:c r="K1748" s="14" t="n">
        <x:v>1</x:v>
      </x:c>
      <x:c r="L1748" s="14" t="n">
        <x:v>41</x:v>
      </x:c>
      <x:c r="M1748" s="14" t="n">
        <x:v>35</x:v>
      </x:c>
      <x:c r="N1748" s="15" t="n">
        <x:f>IF(E1748=0,"해당 없음",F1748/E1748)</x:f>
        <x:v>0.019801980198019802</x:v>
      </x:c>
      <x:c r="O1748" s="15" t="n">
        <x:f>IF(E1748=0,"해당 없음",G1748/E1748)</x:f>
        <x:v>0.1188118811881188</x:v>
      </x:c>
      <x:c r="P1748" s="15" t="n">
        <x:f>IF(E1748=0,"해당 없음",H1748/E1748)</x:f>
        <x:v>0.04950495049504951</x:v>
      </x:c>
      <x:c r="Q1748" s="15" t="n">
        <x:f>IF(E1748=0,"해당 없음",I1748/E1748)</x:f>
        <x:v>0.039603960396039604</x:v>
      </x:c>
      <x:c r="R1748" s="15" t="n">
        <x:f>IF(E1748=0,"해당 없음",J1748/E1748)</x:f>
        <x:v>0.009900990099009901</x:v>
      </x:c>
      <x:c r="S1748" s="15" t="n">
        <x:f>IF(E1748=0,"해당 없음",K1748/E1748)</x:f>
        <x:v>0.009900990099009901</x:v>
      </x:c>
      <x:c r="T1748" s="15" t="n">
        <x:f>IF(E1748=0,"해당 없음",L1748/E1748)</x:f>
        <x:v>0.40594059405940597</x:v>
      </x:c>
      <x:c r="U1748" s="15" t="n">
        <x:f>IF(E1748=0,"해당 없음",M1748/E1748)</x:f>
        <x:v>0.3465346534653465</x:v>
      </x:c>
      <x:c r="V1748" s="16" t="n">
        <x:f>E1748/5</x:f>
        <x:v>20.2</x:v>
      </x:c>
    </x:row>
    <x:row r="1749" ht="22" customHeight="1">
      <x:c r="A1749" s="2" t="n">
        <x:v>872</x:v>
      </x:c>
      <x:c r="B1749" s="2" t="str">
        <x:v>NAVY</x:v>
      </x:c>
      <x:c r="C1749" s="2" t="str">
        <x:v>80만</x:v>
      </x:c>
      <x:c r="D1749" s="2" t="str">
        <x:v>240만</x:v>
      </x:c>
      <x:c r="E1749" s="14" t="n">
        <x:f>SUM(F1749:M1749)</x:f>
        <x:v>101</x:v>
      </x:c>
      <x:c r="F1749" s="14" t="n">
        <x:v>3</x:v>
      </x:c>
      <x:c r="G1749" s="14" t="n">
        <x:v>17</x:v>
      </x:c>
      <x:c r="H1749" s="14" t="n">
        <x:v>5</x:v>
      </x:c>
      <x:c r="I1749" s="14" t="n">
        <x:v>4</x:v>
      </x:c>
      <x:c r="J1749" s="14" t="n">
        <x:v>1</x:v>
      </x:c>
      <x:c r="K1749" s="14" t="n">
        <x:v>13</x:v>
      </x:c>
      <x:c r="L1749" s="14" t="n">
        <x:v>38</x:v>
      </x:c>
      <x:c r="M1749" s="14" t="n">
        <x:v>20</x:v>
      </x:c>
      <x:c r="N1749" s="15" t="n">
        <x:f>IF(E1749=0,"해당 없음",F1749/E1749)</x:f>
        <x:v>0.0297029702970297</x:v>
      </x:c>
      <x:c r="O1749" s="15" t="n">
        <x:f>IF(E1749=0,"해당 없음",G1749/E1749)</x:f>
        <x:v>0.16831683168316833</x:v>
      </x:c>
      <x:c r="P1749" s="15" t="n">
        <x:f>IF(E1749=0,"해당 없음",H1749/E1749)</x:f>
        <x:v>0.04950495049504951</x:v>
      </x:c>
      <x:c r="Q1749" s="15" t="n">
        <x:f>IF(E1749=0,"해당 없음",I1749/E1749)</x:f>
        <x:v>0.039603960396039604</x:v>
      </x:c>
      <x:c r="R1749" s="15" t="n">
        <x:f>IF(E1749=0,"해당 없음",J1749/E1749)</x:f>
        <x:v>0.009900990099009901</x:v>
      </x:c>
      <x:c r="S1749" s="15" t="n">
        <x:f>IF(E1749=0,"해당 없음",K1749/E1749)</x:f>
        <x:v>0.12871287128712872</x:v>
      </x:c>
      <x:c r="T1749" s="15" t="n">
        <x:f>IF(E1749=0,"해당 없음",L1749/E1749)</x:f>
        <x:v>0.37623762376237624</x:v>
      </x:c>
      <x:c r="U1749" s="15" t="n">
        <x:f>IF(E1749=0,"해당 없음",M1749/E1749)</x:f>
        <x:v>0.19801980198019803</x:v>
      </x:c>
      <x:c r="V1749" s="16" t="n">
        <x:f>E1749/5</x:f>
        <x:v>20.2</x:v>
      </x:c>
    </x:row>
    <x:row r="1750" ht="22" customHeight="1">
      <x:c r="A1750" s="2" t="n">
        <x:v>873</x:v>
      </x:c>
      <x:c r="B1750" s="2" t="str">
        <x:v>RED</x:v>
      </x:c>
      <x:c r="C1750" s="2" t="str">
        <x:v>80만</x:v>
      </x:c>
      <x:c r="D1750" s="2" t="str">
        <x:v>240만</x:v>
      </x:c>
      <x:c r="E1750" s="14" t="n">
        <x:f>SUM(F1750:M1750)</x:f>
        <x:v>104</x:v>
      </x:c>
      <x:c r="F1750" s="14" t="n">
        <x:v>2</x:v>
      </x:c>
      <x:c r="G1750" s="14" t="n">
        <x:v>17</x:v>
      </x:c>
      <x:c r="H1750" s="14" t="n">
        <x:v>8</x:v>
      </x:c>
      <x:c r="I1750" s="14" t="n">
        <x:v>12</x:v>
      </x:c>
      <x:c r="J1750" s="14" t="n">
        <x:v>1</x:v>
      </x:c>
      <x:c r="K1750" s="14" t="n">
        <x:v>14</x:v>
      </x:c>
      <x:c r="L1750" s="14" t="n">
        <x:v>34</x:v>
      </x:c>
      <x:c r="M1750" s="14" t="n">
        <x:v>16</x:v>
      </x:c>
      <x:c r="N1750" s="15" t="n">
        <x:f>IF(E1750=0,"해당 없음",F1750/E1750)</x:f>
        <x:v>0.019230769230769232</x:v>
      </x:c>
      <x:c r="O1750" s="15" t="n">
        <x:f>IF(E1750=0,"해당 없음",G1750/E1750)</x:f>
        <x:v>0.16346153846153846</x:v>
      </x:c>
      <x:c r="P1750" s="15" t="n">
        <x:f>IF(E1750=0,"해당 없음",H1750/E1750)</x:f>
        <x:v>0.07692307692307693</x:v>
      </x:c>
      <x:c r="Q1750" s="15" t="n">
        <x:f>IF(E1750=0,"해당 없음",I1750/E1750)</x:f>
        <x:v>0.11538461538461539</x:v>
      </x:c>
      <x:c r="R1750" s="15" t="n">
        <x:f>IF(E1750=0,"해당 없음",J1750/E1750)</x:f>
        <x:v>0.009615384615384616</x:v>
      </x:c>
      <x:c r="S1750" s="15" t="n">
        <x:f>IF(E1750=0,"해당 없음",K1750/E1750)</x:f>
        <x:v>0.1346153846153846</x:v>
      </x:c>
      <x:c r="T1750" s="15" t="n">
        <x:f>IF(E1750=0,"해당 없음",L1750/E1750)</x:f>
        <x:v>0.3269230769230769</x:v>
      </x:c>
      <x:c r="U1750" s="15" t="n">
        <x:f>IF(E1750=0,"해당 없음",M1750/E1750)</x:f>
        <x:v>0.15384615384615385</x:v>
      </x:c>
      <x:c r="V1750" s="16" t="n">
        <x:f>E1750/5</x:f>
        <x:v>20.8</x:v>
      </x:c>
    </x:row>
    <x:row r="1751" ht="22" customHeight="1">
      <x:c r="A1751" s="2" t="n">
        <x:v>873</x:v>
      </x:c>
      <x:c r="B1751" s="2" t="str">
        <x:v>NAVY</x:v>
      </x:c>
      <x:c r="C1751" s="2" t="str">
        <x:v>240만</x:v>
      </x:c>
      <x:c r="D1751" s="2" t="str">
        <x:v>80만</x:v>
      </x:c>
      <x:c r="E1751" s="14" t="n">
        <x:f>SUM(F1751:M1751)</x:f>
        <x:v>103</x:v>
      </x:c>
      <x:c r="F1751" s="14" t="n">
        <x:v>2</x:v>
      </x:c>
      <x:c r="G1751" s="14" t="n">
        <x:v>15</x:v>
      </x:c>
      <x:c r="H1751" s="14" t="n">
        <x:v>3</x:v>
      </x:c>
      <x:c r="I1751" s="14" t="n">
        <x:v>2</x:v>
      </x:c>
      <x:c r="J1751" s="14" t="n">
        <x:v>3</x:v>
      </x:c>
      <x:c r="K1751" s="14" t="n">
        <x:v>2</x:v>
      </x:c>
      <x:c r="L1751" s="14" t="n">
        <x:v>30</x:v>
      </x:c>
      <x:c r="M1751" s="14" t="n">
        <x:v>46</x:v>
      </x:c>
      <x:c r="N1751" s="15" t="n">
        <x:f>IF(E1751=0,"해당 없음",F1751/E1751)</x:f>
        <x:v>0.019417475728155338</x:v>
      </x:c>
      <x:c r="O1751" s="15" t="n">
        <x:f>IF(E1751=0,"해당 없음",G1751/E1751)</x:f>
        <x:v>0.14563106796116504</x:v>
      </x:c>
      <x:c r="P1751" s="15" t="n">
        <x:f>IF(E1751=0,"해당 없음",H1751/E1751)</x:f>
        <x:v>0.02912621359223301</x:v>
      </x:c>
      <x:c r="Q1751" s="15" t="n">
        <x:f>IF(E1751=0,"해당 없음",I1751/E1751)</x:f>
        <x:v>0.019417475728155338</x:v>
      </x:c>
      <x:c r="R1751" s="15" t="n">
        <x:f>IF(E1751=0,"해당 없음",J1751/E1751)</x:f>
        <x:v>0.02912621359223301</x:v>
      </x:c>
      <x:c r="S1751" s="15" t="n">
        <x:f>IF(E1751=0,"해당 없음",K1751/E1751)</x:f>
        <x:v>0.019417475728155338</x:v>
      </x:c>
      <x:c r="T1751" s="15" t="n">
        <x:f>IF(E1751=0,"해당 없음",L1751/E1751)</x:f>
        <x:v>0.2912621359223301</x:v>
      </x:c>
      <x:c r="U1751" s="15" t="n">
        <x:f>IF(E1751=0,"해당 없음",M1751/E1751)</x:f>
        <x:v>0.44660194174757284</x:v>
      </x:c>
      <x:c r="V1751" s="16" t="n">
        <x:f>E1751/5</x:f>
        <x:v>20.6</x:v>
      </x:c>
    </x:row>
    <x:row r="1752" ht="22" customHeight="1">
      <x:c r="A1752" s="2" t="n">
        <x:v>874</x:v>
      </x:c>
      <x:c r="B1752" s="2" t="str">
        <x:v>RED</x:v>
      </x:c>
      <x:c r="C1752" s="2" t="str">
        <x:v>240만</x:v>
      </x:c>
      <x:c r="D1752" s="2" t="str">
        <x:v>80만</x:v>
      </x:c>
      <x:c r="E1752" s="14" t="n">
        <x:f>SUM(F1752:M1752)</x:f>
        <x:v>103</x:v>
      </x:c>
      <x:c r="F1752" s="14" t="n">
        <x:v>2</x:v>
      </x:c>
      <x:c r="G1752" s="14" t="n">
        <x:v>4</x:v>
      </x:c>
      <x:c r="H1752" s="14" t="n">
        <x:v>1</x:v>
      </x:c>
      <x:c r="I1752" s="14" t="n">
        <x:v>7</x:v>
      </x:c>
      <x:c r="J1752" s="14" t="n">
        <x:v>1</x:v>
      </x:c>
      <x:c r="K1752" s="14" t="n">
        <x:v>4</x:v>
      </x:c>
      <x:c r="L1752" s="14" t="n">
        <x:v>43</x:v>
      </x:c>
      <x:c r="M1752" s="14" t="n">
        <x:v>41</x:v>
      </x:c>
      <x:c r="N1752" s="15" t="n">
        <x:f>IF(E1752=0,"해당 없음",F1752/E1752)</x:f>
        <x:v>0.019417475728155338</x:v>
      </x:c>
      <x:c r="O1752" s="15" t="n">
        <x:f>IF(E1752=0,"해당 없음",G1752/E1752)</x:f>
        <x:v>0.038834951456310676</x:v>
      </x:c>
      <x:c r="P1752" s="15" t="n">
        <x:f>IF(E1752=0,"해당 없음",H1752/E1752)</x:f>
        <x:v>0.009708737864077669</x:v>
      </x:c>
      <x:c r="Q1752" s="15" t="n">
        <x:f>IF(E1752=0,"해당 없음",I1752/E1752)</x:f>
        <x:v>0.06796116504854369</x:v>
      </x:c>
      <x:c r="R1752" s="15" t="n">
        <x:f>IF(E1752=0,"해당 없음",J1752/E1752)</x:f>
        <x:v>0.009708737864077669</x:v>
      </x:c>
      <x:c r="S1752" s="15" t="n">
        <x:f>IF(E1752=0,"해당 없음",K1752/E1752)</x:f>
        <x:v>0.038834951456310676</x:v>
      </x:c>
      <x:c r="T1752" s="15" t="n">
        <x:f>IF(E1752=0,"해당 없음",L1752/E1752)</x:f>
        <x:v>0.4174757281553398</x:v>
      </x:c>
      <x:c r="U1752" s="15" t="n">
        <x:f>IF(E1752=0,"해당 없음",M1752/E1752)</x:f>
        <x:v>0.39805825242718446</x:v>
      </x:c>
      <x:c r="V1752" s="16" t="n">
        <x:f>E1752/5</x:f>
        <x:v>20.6</x:v>
      </x:c>
    </x:row>
    <x:row r="1753" ht="22" customHeight="1">
      <x:c r="A1753" s="2" t="n">
        <x:v>874</x:v>
      </x:c>
      <x:c r="B1753" s="2" t="str">
        <x:v>NAVY</x:v>
      </x:c>
      <x:c r="C1753" s="2" t="str">
        <x:v>80만</x:v>
      </x:c>
      <x:c r="D1753" s="2" t="str">
        <x:v>240만</x:v>
      </x:c>
      <x:c r="E1753" s="14" t="n">
        <x:f>SUM(F1753:M1753)</x:f>
        <x:v>104</x:v>
      </x:c>
      <x:c r="F1753" s="14" t="n">
        <x:v>2</x:v>
      </x:c>
      <x:c r="G1753" s="14" t="n">
        <x:v>18</x:v>
      </x:c>
      <x:c r="H1753" s="14" t="n">
        <x:v>7</x:v>
      </x:c>
      <x:c r="I1753" s="14" t="n">
        <x:v>10</x:v>
      </x:c>
      <x:c r="J1753" s="14" t="n">
        <x:v>2</x:v>
      </x:c>
      <x:c r="K1753" s="14" t="n">
        <x:v>1</x:v>
      </x:c>
      <x:c r="L1753" s="14" t="n">
        <x:v>44</x:v>
      </x:c>
      <x:c r="M1753" s="14" t="n">
        <x:v>20</x:v>
      </x:c>
      <x:c r="N1753" s="15" t="n">
        <x:f>IF(E1753=0,"해당 없음",F1753/E1753)</x:f>
        <x:v>0.019230769230769232</x:v>
      </x:c>
      <x:c r="O1753" s="15" t="n">
        <x:f>IF(E1753=0,"해당 없음",G1753/E1753)</x:f>
        <x:v>0.17307692307692307</x:v>
      </x:c>
      <x:c r="P1753" s="15" t="n">
        <x:f>IF(E1753=0,"해당 없음",H1753/E1753)</x:f>
        <x:v>0.0673076923076923</x:v>
      </x:c>
      <x:c r="Q1753" s="15" t="n">
        <x:f>IF(E1753=0,"해당 없음",I1753/E1753)</x:f>
        <x:v>0.09615384615384616</x:v>
      </x:c>
      <x:c r="R1753" s="15" t="n">
        <x:f>IF(E1753=0,"해당 없음",J1753/E1753)</x:f>
        <x:v>0.019230769230769232</x:v>
      </x:c>
      <x:c r="S1753" s="15" t="n">
        <x:f>IF(E1753=0,"해당 없음",K1753/E1753)</x:f>
        <x:v>0.009615384615384616</x:v>
      </x:c>
      <x:c r="T1753" s="15" t="n">
        <x:f>IF(E1753=0,"해당 없음",L1753/E1753)</x:f>
        <x:v>0.4230769230769231</x:v>
      </x:c>
      <x:c r="U1753" s="15" t="n">
        <x:f>IF(E1753=0,"해당 없음",M1753/E1753)</x:f>
        <x:v>0.19230769230769232</x:v>
      </x:c>
      <x:c r="V1753" s="16" t="n">
        <x:f>E1753/5</x:f>
        <x:v>20.8</x:v>
      </x:c>
    </x:row>
    <x:row r="1754" ht="22" customHeight="1">
      <x:c r="A1754" s="2" t="n">
        <x:v>875</x:v>
      </x:c>
      <x:c r="B1754" s="2" t="str">
        <x:v>RED</x:v>
      </x:c>
      <x:c r="C1754" s="2" t="str">
        <x:v>80만</x:v>
      </x:c>
      <x:c r="D1754" s="2" t="str">
        <x:v>240만</x:v>
      </x:c>
      <x:c r="E1754" s="14" t="n">
        <x:f>SUM(F1754:M1754)</x:f>
        <x:v>104</x:v>
      </x:c>
      <x:c r="F1754" s="14" t="n">
        <x:v>5</x:v>
      </x:c>
      <x:c r="G1754" s="14" t="n">
        <x:v>18</x:v>
      </x:c>
      <x:c r="H1754" s="14" t="n">
        <x:v>9</x:v>
      </x:c>
      <x:c r="I1754" s="14" t="n">
        <x:v>5</x:v>
      </x:c>
      <x:c r="J1754" s="14" t="n">
        <x:v>2</x:v>
      </x:c>
      <x:c r="K1754" s="14" t="n">
        <x:v>13</x:v>
      </x:c>
      <x:c r="L1754" s="14" t="n">
        <x:v>39</x:v>
      </x:c>
      <x:c r="M1754" s="14" t="n">
        <x:v>13</x:v>
      </x:c>
      <x:c r="N1754" s="15" t="n">
        <x:f>IF(E1754=0,"해당 없음",F1754/E1754)</x:f>
        <x:v>0.04807692307692308</x:v>
      </x:c>
      <x:c r="O1754" s="15" t="n">
        <x:f>IF(E1754=0,"해당 없음",G1754/E1754)</x:f>
        <x:v>0.17307692307692307</x:v>
      </x:c>
      <x:c r="P1754" s="15" t="n">
        <x:f>IF(E1754=0,"해당 없음",H1754/E1754)</x:f>
        <x:v>0.08653846153846154</x:v>
      </x:c>
      <x:c r="Q1754" s="15" t="n">
        <x:f>IF(E1754=0,"해당 없음",I1754/E1754)</x:f>
        <x:v>0.04807692307692308</x:v>
      </x:c>
      <x:c r="R1754" s="15" t="n">
        <x:f>IF(E1754=0,"해당 없음",J1754/E1754)</x:f>
        <x:v>0.019230769230769232</x:v>
      </x:c>
      <x:c r="S1754" s="15" t="n">
        <x:f>IF(E1754=0,"해당 없음",K1754/E1754)</x:f>
        <x:v>0.125</x:v>
      </x:c>
      <x:c r="T1754" s="15" t="n">
        <x:f>IF(E1754=0,"해당 없음",L1754/E1754)</x:f>
        <x:v>0.375</x:v>
      </x:c>
      <x:c r="U1754" s="15" t="n">
        <x:f>IF(E1754=0,"해당 없음",M1754/E1754)</x:f>
        <x:v>0.125</x:v>
      </x:c>
      <x:c r="V1754" s="16" t="n">
        <x:f>E1754/5</x:f>
        <x:v>20.8</x:v>
      </x:c>
    </x:row>
    <x:row r="1755" ht="22" customHeight="1">
      <x:c r="A1755" s="2" t="n">
        <x:v>875</x:v>
      </x:c>
      <x:c r="B1755" s="2" t="str">
        <x:v>NAVY</x:v>
      </x:c>
      <x:c r="C1755" s="2" t="str">
        <x:v>240만</x:v>
      </x:c>
      <x:c r="D1755" s="2" t="str">
        <x:v>80만</x:v>
      </x:c>
      <x:c r="E1755" s="14" t="n">
        <x:f>SUM(F1755:M1755)</x:f>
        <x:v>106</x:v>
      </x:c>
      <x:c r="F1755" s="14" t="n">
        <x:v>3</x:v>
      </x:c>
      <x:c r="G1755" s="14" t="n">
        <x:v>13</x:v>
      </x:c>
      <x:c r="H1755" s="14" t="n">
        <x:v>4</x:v>
      </x:c>
      <x:c r="I1755" s="14" t="n">
        <x:v>1</x:v>
      </x:c>
      <x:c r="J1755" s="14" t="n">
        <x:v>4</x:v>
      </x:c>
      <x:c r="K1755" s="14" t="n">
        <x:v>5</x:v>
      </x:c>
      <x:c r="L1755" s="14" t="n">
        <x:v>35</x:v>
      </x:c>
      <x:c r="M1755" s="14" t="n">
        <x:v>41</x:v>
      </x:c>
      <x:c r="N1755" s="15" t="n">
        <x:f>IF(E1755=0,"해당 없음",F1755/E1755)</x:f>
        <x:v>0.02830188679245283</x:v>
      </x:c>
      <x:c r="O1755" s="15" t="n">
        <x:f>IF(E1755=0,"해당 없음",G1755/E1755)</x:f>
        <x:v>0.12264150943396226</x:v>
      </x:c>
      <x:c r="P1755" s="15" t="n">
        <x:f>IF(E1755=0,"해당 없음",H1755/E1755)</x:f>
        <x:v>0.03773584905660377</x:v>
      </x:c>
      <x:c r="Q1755" s="15" t="n">
        <x:f>IF(E1755=0,"해당 없음",I1755/E1755)</x:f>
        <x:v>0.009433962264150943</x:v>
      </x:c>
      <x:c r="R1755" s="15" t="n">
        <x:f>IF(E1755=0,"해당 없음",J1755/E1755)</x:f>
        <x:v>0.03773584905660377</x:v>
      </x:c>
      <x:c r="S1755" s="15" t="n">
        <x:f>IF(E1755=0,"해당 없음",K1755/E1755)</x:f>
        <x:v>0.04716981132075472</x:v>
      </x:c>
      <x:c r="T1755" s="15" t="n">
        <x:f>IF(E1755=0,"해당 없음",L1755/E1755)</x:f>
        <x:v>0.330188679245283</x:v>
      </x:c>
      <x:c r="U1755" s="15" t="n">
        <x:f>IF(E1755=0,"해당 없음",M1755/E1755)</x:f>
        <x:v>0.3867924528301887</x:v>
      </x:c>
      <x:c r="V1755" s="16" t="n">
        <x:f>E1755/5</x:f>
        <x:v>21.2</x:v>
      </x:c>
    </x:row>
    <x:row r="1756" ht="22" customHeight="1">
      <x:c r="A1756" s="2" t="n">
        <x:v>876</x:v>
      </x:c>
      <x:c r="B1756" s="2" t="str">
        <x:v>RED</x:v>
      </x:c>
      <x:c r="C1756" s="2" t="str">
        <x:v>240만</x:v>
      </x:c>
      <x:c r="D1756" s="2" t="str">
        <x:v>80만</x:v>
      </x:c>
      <x:c r="E1756" s="14" t="n">
        <x:f>SUM(F1756:M1756)</x:f>
        <x:v>103</x:v>
      </x:c>
      <x:c r="F1756" s="14" t="n">
        <x:v>3</x:v>
      </x:c>
      <x:c r="G1756" s="14" t="n">
        <x:v>11</x:v>
      </x:c>
      <x:c r="H1756" s="14" t="n">
        <x:v>6</x:v>
      </x:c>
      <x:c r="I1756" s="14" t="n">
        <x:v>4</x:v>
      </x:c>
      <x:c r="J1756" s="14" t="n">
        <x:v>1</x:v>
      </x:c>
      <x:c r="K1756" s="14" t="n">
        <x:v>0</x:v>
      </x:c>
      <x:c r="L1756" s="14" t="n">
        <x:v>37</x:v>
      </x:c>
      <x:c r="M1756" s="14" t="n">
        <x:v>41</x:v>
      </x:c>
      <x:c r="N1756" s="15" t="n">
        <x:f>IF(E1756=0,"해당 없음",F1756/E1756)</x:f>
        <x:v>0.02912621359223301</x:v>
      </x:c>
      <x:c r="O1756" s="15" t="n">
        <x:f>IF(E1756=0,"해당 없음",G1756/E1756)</x:f>
        <x:v>0.10679611650485436</x:v>
      </x:c>
      <x:c r="P1756" s="15" t="n">
        <x:f>IF(E1756=0,"해당 없음",H1756/E1756)</x:f>
        <x:v>0.05825242718446602</x:v>
      </x:c>
      <x:c r="Q1756" s="15" t="n">
        <x:f>IF(E1756=0,"해당 없음",I1756/E1756)</x:f>
        <x:v>0.038834951456310676</x:v>
      </x:c>
      <x:c r="R1756" s="15" t="n">
        <x:f>IF(E1756=0,"해당 없음",J1756/E1756)</x:f>
        <x:v>0.009708737864077669</x:v>
      </x:c>
      <x:c r="S1756" s="15" t="n">
        <x:f>IF(E1756=0,"해당 없음",K1756/E1756)</x:f>
        <x:v>0</x:v>
      </x:c>
      <x:c r="T1756" s="15" t="n">
        <x:f>IF(E1756=0,"해당 없음",L1756/E1756)</x:f>
        <x:v>0.3592233009708738</x:v>
      </x:c>
      <x:c r="U1756" s="15" t="n">
        <x:f>IF(E1756=0,"해당 없음",M1756/E1756)</x:f>
        <x:v>0.39805825242718446</x:v>
      </x:c>
      <x:c r="V1756" s="16" t="n">
        <x:f>E1756/5</x:f>
        <x:v>20.6</x:v>
      </x:c>
    </x:row>
    <x:row r="1757" ht="22" customHeight="1">
      <x:c r="A1757" s="2" t="n">
        <x:v>876</x:v>
      </x:c>
      <x:c r="B1757" s="2" t="str">
        <x:v>NAVY</x:v>
      </x:c>
      <x:c r="C1757" s="2" t="str">
        <x:v>80만</x:v>
      </x:c>
      <x:c r="D1757" s="2" t="str">
        <x:v>240만</x:v>
      </x:c>
      <x:c r="E1757" s="14" t="n">
        <x:f>SUM(F1757:M1757)</x:f>
        <x:v>102</x:v>
      </x:c>
      <x:c r="F1757" s="14" t="n">
        <x:v>6</x:v>
      </x:c>
      <x:c r="G1757" s="14" t="n">
        <x:v>15</x:v>
      </x:c>
      <x:c r="H1757" s="14" t="n">
        <x:v>9</x:v>
      </x:c>
      <x:c r="I1757" s="14" t="n">
        <x:v>10</x:v>
      </x:c>
      <x:c r="J1757" s="14" t="n">
        <x:v>1</x:v>
      </x:c>
      <x:c r="K1757" s="14" t="n">
        <x:v>10</x:v>
      </x:c>
      <x:c r="L1757" s="14" t="n">
        <x:v>36</x:v>
      </x:c>
      <x:c r="M1757" s="14" t="n">
        <x:v>15</x:v>
      </x:c>
      <x:c r="N1757" s="15" t="n">
        <x:f>IF(E1757=0,"해당 없음",F1757/E1757)</x:f>
        <x:v>0.058823529411764705</x:v>
      </x:c>
      <x:c r="O1757" s="15" t="n">
        <x:f>IF(E1757=0,"해당 없음",G1757/E1757)</x:f>
        <x:v>0.14705882352941177</x:v>
      </x:c>
      <x:c r="P1757" s="15" t="n">
        <x:f>IF(E1757=0,"해당 없음",H1757/E1757)</x:f>
        <x:v>0.08823529411764706</x:v>
      </x:c>
      <x:c r="Q1757" s="15" t="n">
        <x:f>IF(E1757=0,"해당 없음",I1757/E1757)</x:f>
        <x:v>0.09803921568627451</x:v>
      </x:c>
      <x:c r="R1757" s="15" t="n">
        <x:f>IF(E1757=0,"해당 없음",J1757/E1757)</x:f>
        <x:v>0.00980392156862745</x:v>
      </x:c>
      <x:c r="S1757" s="15" t="n">
        <x:f>IF(E1757=0,"해당 없음",K1757/E1757)</x:f>
        <x:v>0.09803921568627451</x:v>
      </x:c>
      <x:c r="T1757" s="15" t="n">
        <x:f>IF(E1757=0,"해당 없음",L1757/E1757)</x:f>
        <x:v>0.35294117647058826</x:v>
      </x:c>
      <x:c r="U1757" s="15" t="n">
        <x:f>IF(E1757=0,"해당 없음",M1757/E1757)</x:f>
        <x:v>0.14705882352941177</x:v>
      </x:c>
      <x:c r="V1757" s="16" t="n">
        <x:f>E1757/5</x:f>
        <x:v>20.4</x:v>
      </x:c>
    </x:row>
    <x:row r="1758" ht="22" customHeight="1">
      <x:c r="A1758" s="2" t="n">
        <x:v>877</x:v>
      </x:c>
      <x:c r="B1758" s="2" t="str">
        <x:v>RED</x:v>
      </x:c>
      <x:c r="C1758" s="2" t="str">
        <x:v>80만</x:v>
      </x:c>
      <x:c r="D1758" s="2" t="str">
        <x:v>240만</x:v>
      </x:c>
      <x:c r="E1758" s="14" t="n">
        <x:f>SUM(F1758:M1758)</x:f>
        <x:v>101</x:v>
      </x:c>
      <x:c r="F1758" s="14" t="n">
        <x:v>4</x:v>
      </x:c>
      <x:c r="G1758" s="14" t="n">
        <x:v>21</x:v>
      </x:c>
      <x:c r="H1758" s="14" t="n">
        <x:v>6</x:v>
      </x:c>
      <x:c r="I1758" s="14" t="n">
        <x:v>6</x:v>
      </x:c>
      <x:c r="J1758" s="14" t="n">
        <x:v>2</x:v>
      </x:c>
      <x:c r="K1758" s="14" t="n">
        <x:v>7</x:v>
      </x:c>
      <x:c r="L1758" s="14" t="n">
        <x:v>33</x:v>
      </x:c>
      <x:c r="M1758" s="14" t="n">
        <x:v>22</x:v>
      </x:c>
      <x:c r="N1758" s="15" t="n">
        <x:f>IF(E1758=0,"해당 없음",F1758/E1758)</x:f>
        <x:v>0.039603960396039604</x:v>
      </x:c>
      <x:c r="O1758" s="15" t="n">
        <x:f>IF(E1758=0,"해당 없음",G1758/E1758)</x:f>
        <x:v>0.2079207920792079</x:v>
      </x:c>
      <x:c r="P1758" s="15" t="n">
        <x:f>IF(E1758=0,"해당 없음",H1758/E1758)</x:f>
        <x:v>0.0594059405940594</x:v>
      </x:c>
      <x:c r="Q1758" s="15" t="n">
        <x:f>IF(E1758=0,"해당 없음",I1758/E1758)</x:f>
        <x:v>0.0594059405940594</x:v>
      </x:c>
      <x:c r="R1758" s="15" t="n">
        <x:f>IF(E1758=0,"해당 없음",J1758/E1758)</x:f>
        <x:v>0.019801980198019802</x:v>
      </x:c>
      <x:c r="S1758" s="15" t="n">
        <x:f>IF(E1758=0,"해당 없음",K1758/E1758)</x:f>
        <x:v>0.06930693069306931</x:v>
      </x:c>
      <x:c r="T1758" s="15" t="n">
        <x:f>IF(E1758=0,"해당 없음",L1758/E1758)</x:f>
        <x:v>0.32673267326732675</x:v>
      </x:c>
      <x:c r="U1758" s="15" t="n">
        <x:f>IF(E1758=0,"해당 없음",M1758/E1758)</x:f>
        <x:v>0.21782178217821782</x:v>
      </x:c>
      <x:c r="V1758" s="16" t="n">
        <x:f>E1758/5</x:f>
        <x:v>20.2</x:v>
      </x:c>
    </x:row>
    <x:row r="1759" ht="22" customHeight="1">
      <x:c r="A1759" s="2" t="n">
        <x:v>877</x:v>
      </x:c>
      <x:c r="B1759" s="2" t="str">
        <x:v>NAVY</x:v>
      </x:c>
      <x:c r="C1759" s="2" t="str">
        <x:v>240만</x:v>
      </x:c>
      <x:c r="D1759" s="2" t="str">
        <x:v>80만</x:v>
      </x:c>
      <x:c r="E1759" s="14" t="n">
        <x:f>SUM(F1759:M1759)</x:f>
        <x:v>101</x:v>
      </x:c>
      <x:c r="F1759" s="14" t="n">
        <x:v>2</x:v>
      </x:c>
      <x:c r="G1759" s="14" t="n">
        <x:v>17</x:v>
      </x:c>
      <x:c r="H1759" s="14" t="n">
        <x:v>3</x:v>
      </x:c>
      <x:c r="I1759" s="14" t="n">
        <x:v>2</x:v>
      </x:c>
      <x:c r="J1759" s="14" t="n">
        <x:v>2</x:v>
      </x:c>
      <x:c r="K1759" s="14" t="n">
        <x:v>9</x:v>
      </x:c>
      <x:c r="L1759" s="14" t="n">
        <x:v>40</x:v>
      </x:c>
      <x:c r="M1759" s="14" t="n">
        <x:v>26</x:v>
      </x:c>
      <x:c r="N1759" s="15" t="n">
        <x:f>IF(E1759=0,"해당 없음",F1759/E1759)</x:f>
        <x:v>0.019801980198019802</x:v>
      </x:c>
      <x:c r="O1759" s="15" t="n">
        <x:f>IF(E1759=0,"해당 없음",G1759/E1759)</x:f>
        <x:v>0.16831683168316833</x:v>
      </x:c>
      <x:c r="P1759" s="15" t="n">
        <x:f>IF(E1759=0,"해당 없음",H1759/E1759)</x:f>
        <x:v>0.0297029702970297</x:v>
      </x:c>
      <x:c r="Q1759" s="15" t="n">
        <x:f>IF(E1759=0,"해당 없음",I1759/E1759)</x:f>
        <x:v>0.019801980198019802</x:v>
      </x:c>
      <x:c r="R1759" s="15" t="n">
        <x:f>IF(E1759=0,"해당 없음",J1759/E1759)</x:f>
        <x:v>0.019801980198019802</x:v>
      </x:c>
      <x:c r="S1759" s="15" t="n">
        <x:f>IF(E1759=0,"해당 없음",K1759/E1759)</x:f>
        <x:v>0.0891089108910891</x:v>
      </x:c>
      <x:c r="T1759" s="15" t="n">
        <x:f>IF(E1759=0,"해당 없음",L1759/E1759)</x:f>
        <x:v>0.39603960396039606</x:v>
      </x:c>
      <x:c r="U1759" s="15" t="n">
        <x:f>IF(E1759=0,"해당 없음",M1759/E1759)</x:f>
        <x:v>0.25742574257425743</x:v>
      </x:c>
      <x:c r="V1759" s="16" t="n">
        <x:f>E1759/5</x:f>
        <x:v>20.2</x:v>
      </x:c>
    </x:row>
    <x:row r="1760" ht="22" customHeight="1">
      <x:c r="A1760" s="2" t="n">
        <x:v>878</x:v>
      </x:c>
      <x:c r="B1760" s="2" t="str">
        <x:v>RED</x:v>
      </x:c>
      <x:c r="C1760" s="2" t="str">
        <x:v>240만</x:v>
      </x:c>
      <x:c r="D1760" s="2" t="str">
        <x:v>80만</x:v>
      </x:c>
      <x:c r="E1760" s="14" t="n">
        <x:f>SUM(F1760:M1760)</x:f>
        <x:v>102</x:v>
      </x:c>
      <x:c r="F1760" s="14" t="n">
        <x:v>2</x:v>
      </x:c>
      <x:c r="G1760" s="14" t="n">
        <x:v>14</x:v>
      </x:c>
      <x:c r="H1760" s="14" t="n">
        <x:v>2</x:v>
      </x:c>
      <x:c r="I1760" s="14" t="n">
        <x:v>3</x:v>
      </x:c>
      <x:c r="J1760" s="14" t="n">
        <x:v>0</x:v>
      </x:c>
      <x:c r="K1760" s="14" t="n">
        <x:v>11</x:v>
      </x:c>
      <x:c r="L1760" s="14" t="n">
        <x:v>29</x:v>
      </x:c>
      <x:c r="M1760" s="14" t="n">
        <x:v>41</x:v>
      </x:c>
      <x:c r="N1760" s="15" t="n">
        <x:f>IF(E1760=0,"해당 없음",F1760/E1760)</x:f>
        <x:v>0.0196078431372549</x:v>
      </x:c>
      <x:c r="O1760" s="15" t="n">
        <x:f>IF(E1760=0,"해당 없음",G1760/E1760)</x:f>
        <x:v>0.13725490196078433</x:v>
      </x:c>
      <x:c r="P1760" s="15" t="n">
        <x:f>IF(E1760=0,"해당 없음",H1760/E1760)</x:f>
        <x:v>0.0196078431372549</x:v>
      </x:c>
      <x:c r="Q1760" s="15" t="n">
        <x:f>IF(E1760=0,"해당 없음",I1760/E1760)</x:f>
        <x:v>0.029411764705882353</x:v>
      </x:c>
      <x:c r="R1760" s="15" t="n">
        <x:f>IF(E1760=0,"해당 없음",J1760/E1760)</x:f>
        <x:v>0</x:v>
      </x:c>
      <x:c r="S1760" s="15" t="n">
        <x:f>IF(E1760=0,"해당 없음",K1760/E1760)</x:f>
        <x:v>0.10784313725490197</x:v>
      </x:c>
      <x:c r="T1760" s="15" t="n">
        <x:f>IF(E1760=0,"해당 없음",L1760/E1760)</x:f>
        <x:v>0.28431372549019607</x:v>
      </x:c>
      <x:c r="U1760" s="15" t="n">
        <x:f>IF(E1760=0,"해당 없음",M1760/E1760)</x:f>
        <x:v>0.4019607843137255</x:v>
      </x:c>
      <x:c r="V1760" s="16" t="n">
        <x:f>E1760/5</x:f>
        <x:v>20.4</x:v>
      </x:c>
    </x:row>
    <x:row r="1761" ht="22" customHeight="1">
      <x:c r="A1761" s="2" t="n">
        <x:v>878</x:v>
      </x:c>
      <x:c r="B1761" s="2" t="str">
        <x:v>NAVY</x:v>
      </x:c>
      <x:c r="C1761" s="2" t="str">
        <x:v>80만</x:v>
      </x:c>
      <x:c r="D1761" s="2" t="str">
        <x:v>240만</x:v>
      </x:c>
      <x:c r="E1761" s="14" t="n">
        <x:f>SUM(F1761:M1761)</x:f>
        <x:v>101</x:v>
      </x:c>
      <x:c r="F1761" s="14" t="n">
        <x:v>6</x:v>
      </x:c>
      <x:c r="G1761" s="14" t="n">
        <x:v>14</x:v>
      </x:c>
      <x:c r="H1761" s="14" t="n">
        <x:v>3</x:v>
      </x:c>
      <x:c r="I1761" s="14" t="n">
        <x:v>8</x:v>
      </x:c>
      <x:c r="J1761" s="14" t="n">
        <x:v>5</x:v>
      </x:c>
      <x:c r="K1761" s="14" t="n">
        <x:v>3</x:v>
      </x:c>
      <x:c r="L1761" s="14" t="n">
        <x:v>40</x:v>
      </x:c>
      <x:c r="M1761" s="14" t="n">
        <x:v>22</x:v>
      </x:c>
      <x:c r="N1761" s="15" t="n">
        <x:f>IF(E1761=0,"해당 없음",F1761/E1761)</x:f>
        <x:v>0.0594059405940594</x:v>
      </x:c>
      <x:c r="O1761" s="15" t="n">
        <x:f>IF(E1761=0,"해당 없음",G1761/E1761)</x:f>
        <x:v>0.13861386138613863</x:v>
      </x:c>
      <x:c r="P1761" s="15" t="n">
        <x:f>IF(E1761=0,"해당 없음",H1761/E1761)</x:f>
        <x:v>0.0297029702970297</x:v>
      </x:c>
      <x:c r="Q1761" s="15" t="n">
        <x:f>IF(E1761=0,"해당 없음",I1761/E1761)</x:f>
        <x:v>0.07920792079207921</x:v>
      </x:c>
      <x:c r="R1761" s="15" t="n">
        <x:f>IF(E1761=0,"해당 없음",J1761/E1761)</x:f>
        <x:v>0.04950495049504951</x:v>
      </x:c>
      <x:c r="S1761" s="15" t="n">
        <x:f>IF(E1761=0,"해당 없음",K1761/E1761)</x:f>
        <x:v>0.0297029702970297</x:v>
      </x:c>
      <x:c r="T1761" s="15" t="n">
        <x:f>IF(E1761=0,"해당 없음",L1761/E1761)</x:f>
        <x:v>0.39603960396039606</x:v>
      </x:c>
      <x:c r="U1761" s="15" t="n">
        <x:f>IF(E1761=0,"해당 없음",M1761/E1761)</x:f>
        <x:v>0.21782178217821782</x:v>
      </x:c>
      <x:c r="V1761" s="16" t="n">
        <x:f>E1761/5</x:f>
        <x:v>20.2</x:v>
      </x:c>
    </x:row>
    <x:row r="1762" ht="22" customHeight="1">
      <x:c r="A1762" s="2" t="n">
        <x:v>879</x:v>
      </x:c>
      <x:c r="B1762" s="2" t="str">
        <x:v>RED</x:v>
      </x:c>
      <x:c r="C1762" s="2" t="str">
        <x:v>80만</x:v>
      </x:c>
      <x:c r="D1762" s="2" t="str">
        <x:v>240만</x:v>
      </x:c>
      <x:c r="E1762" s="14" t="n">
        <x:f>SUM(F1762:M1762)</x:f>
        <x:v>104</x:v>
      </x:c>
      <x:c r="F1762" s="14" t="n">
        <x:v>4</x:v>
      </x:c>
      <x:c r="G1762" s="14" t="n">
        <x:v>21</x:v>
      </x:c>
      <x:c r="H1762" s="14" t="n">
        <x:v>11</x:v>
      </x:c>
      <x:c r="I1762" s="14" t="n">
        <x:v>5</x:v>
      </x:c>
      <x:c r="J1762" s="14" t="n">
        <x:v>7</x:v>
      </x:c>
      <x:c r="K1762" s="14" t="n">
        <x:v>10</x:v>
      </x:c>
      <x:c r="L1762" s="14" t="n">
        <x:v>31</x:v>
      </x:c>
      <x:c r="M1762" s="14" t="n">
        <x:v>15</x:v>
      </x:c>
      <x:c r="N1762" s="15" t="n">
        <x:f>IF(E1762=0,"해당 없음",F1762/E1762)</x:f>
        <x:v>0.038461538461538464</x:v>
      </x:c>
      <x:c r="O1762" s="15" t="n">
        <x:f>IF(E1762=0,"해당 없음",G1762/E1762)</x:f>
        <x:v>0.20192307692307693</x:v>
      </x:c>
      <x:c r="P1762" s="15" t="n">
        <x:f>IF(E1762=0,"해당 없음",H1762/E1762)</x:f>
        <x:v>0.10576923076923077</x:v>
      </x:c>
      <x:c r="Q1762" s="15" t="n">
        <x:f>IF(E1762=0,"해당 없음",I1762/E1762)</x:f>
        <x:v>0.04807692307692308</x:v>
      </x:c>
      <x:c r="R1762" s="15" t="n">
        <x:f>IF(E1762=0,"해당 없음",J1762/E1762)</x:f>
        <x:v>0.0673076923076923</x:v>
      </x:c>
      <x:c r="S1762" s="15" t="n">
        <x:f>IF(E1762=0,"해당 없음",K1762/E1762)</x:f>
        <x:v>0.09615384615384616</x:v>
      </x:c>
      <x:c r="T1762" s="15" t="n">
        <x:f>IF(E1762=0,"해당 없음",L1762/E1762)</x:f>
        <x:v>0.2980769230769231</x:v>
      </x:c>
      <x:c r="U1762" s="15" t="n">
        <x:f>IF(E1762=0,"해당 없음",M1762/E1762)</x:f>
        <x:v>0.14423076923076922</x:v>
      </x:c>
      <x:c r="V1762" s="16" t="n">
        <x:f>E1762/5</x:f>
        <x:v>20.8</x:v>
      </x:c>
    </x:row>
    <x:row r="1763" ht="22" customHeight="1">
      <x:c r="A1763" s="2" t="n">
        <x:v>879</x:v>
      </x:c>
      <x:c r="B1763" s="2" t="str">
        <x:v>NAVY</x:v>
      </x:c>
      <x:c r="C1763" s="2" t="str">
        <x:v>240만</x:v>
      </x:c>
      <x:c r="D1763" s="2" t="str">
        <x:v>80만</x:v>
      </x:c>
      <x:c r="E1763" s="14" t="n">
        <x:f>SUM(F1763:M1763)</x:f>
        <x:v>103</x:v>
      </x:c>
      <x:c r="F1763" s="14" t="n">
        <x:v>0</x:v>
      </x:c>
      <x:c r="G1763" s="14" t="n">
        <x:v>10</x:v>
      </x:c>
      <x:c r="H1763" s="14" t="n">
        <x:v>4</x:v>
      </x:c>
      <x:c r="I1763" s="14" t="n">
        <x:v>3</x:v>
      </x:c>
      <x:c r="J1763" s="14" t="n">
        <x:v>2</x:v>
      </x:c>
      <x:c r="K1763" s="14" t="n">
        <x:v>5</x:v>
      </x:c>
      <x:c r="L1763" s="14" t="n">
        <x:v>34</x:v>
      </x:c>
      <x:c r="M1763" s="14" t="n">
        <x:v>45</x:v>
      </x:c>
      <x:c r="N1763" s="15" t="n">
        <x:f>IF(E1763=0,"해당 없음",F1763/E1763)</x:f>
        <x:v>0</x:v>
      </x:c>
      <x:c r="O1763" s="15" t="n">
        <x:f>IF(E1763=0,"해당 없음",G1763/E1763)</x:f>
        <x:v>0.0970873786407767</x:v>
      </x:c>
      <x:c r="P1763" s="15" t="n">
        <x:f>IF(E1763=0,"해당 없음",H1763/E1763)</x:f>
        <x:v>0.038834951456310676</x:v>
      </x:c>
      <x:c r="Q1763" s="15" t="n">
        <x:f>IF(E1763=0,"해당 없음",I1763/E1763)</x:f>
        <x:v>0.02912621359223301</x:v>
      </x:c>
      <x:c r="R1763" s="15" t="n">
        <x:f>IF(E1763=0,"해당 없음",J1763/E1763)</x:f>
        <x:v>0.019417475728155338</x:v>
      </x:c>
      <x:c r="S1763" s="15" t="n">
        <x:f>IF(E1763=0,"해당 없음",K1763/E1763)</x:f>
        <x:v>0.04854368932038835</x:v>
      </x:c>
      <x:c r="T1763" s="15" t="n">
        <x:f>IF(E1763=0,"해당 없음",L1763/E1763)</x:f>
        <x:v>0.3300970873786408</x:v>
      </x:c>
      <x:c r="U1763" s="15" t="n">
        <x:f>IF(E1763=0,"해당 없음",M1763/E1763)</x:f>
        <x:v>0.4368932038834951</x:v>
      </x:c>
      <x:c r="V1763" s="16" t="n">
        <x:f>E1763/5</x:f>
        <x:v>20.6</x:v>
      </x:c>
    </x:row>
    <x:row r="1764" ht="22" customHeight="1">
      <x:c r="A1764" s="2" t="n">
        <x:v>880</x:v>
      </x:c>
      <x:c r="B1764" s="2" t="str">
        <x:v>RED</x:v>
      </x:c>
      <x:c r="C1764" s="2" t="str">
        <x:v>240만</x:v>
      </x:c>
      <x:c r="D1764" s="2" t="str">
        <x:v>80만</x:v>
      </x:c>
      <x:c r="E1764" s="14" t="n">
        <x:f>SUM(F1764:M1764)</x:f>
        <x:v>101</x:v>
      </x:c>
      <x:c r="F1764" s="14" t="n">
        <x:v>1</x:v>
      </x:c>
      <x:c r="G1764" s="14" t="n">
        <x:v>9</x:v>
      </x:c>
      <x:c r="H1764" s="14" t="n">
        <x:v>3</x:v>
      </x:c>
      <x:c r="I1764" s="14" t="n">
        <x:v>5</x:v>
      </x:c>
      <x:c r="J1764" s="14" t="n">
        <x:v>4</x:v>
      </x:c>
      <x:c r="K1764" s="14" t="n">
        <x:v>4</x:v>
      </x:c>
      <x:c r="L1764" s="14" t="n">
        <x:v>34</x:v>
      </x:c>
      <x:c r="M1764" s="14" t="n">
        <x:v>41</x:v>
      </x:c>
      <x:c r="N1764" s="15" t="n">
        <x:f>IF(E1764=0,"해당 없음",F1764/E1764)</x:f>
        <x:v>0.009900990099009901</x:v>
      </x:c>
      <x:c r="O1764" s="15" t="n">
        <x:f>IF(E1764=0,"해당 없음",G1764/E1764)</x:f>
        <x:v>0.0891089108910891</x:v>
      </x:c>
      <x:c r="P1764" s="15" t="n">
        <x:f>IF(E1764=0,"해당 없음",H1764/E1764)</x:f>
        <x:v>0.0297029702970297</x:v>
      </x:c>
      <x:c r="Q1764" s="15" t="n">
        <x:f>IF(E1764=0,"해당 없음",I1764/E1764)</x:f>
        <x:v>0.04950495049504951</x:v>
      </x:c>
      <x:c r="R1764" s="15" t="n">
        <x:f>IF(E1764=0,"해당 없음",J1764/E1764)</x:f>
        <x:v>0.039603960396039604</x:v>
      </x:c>
      <x:c r="S1764" s="15" t="n">
        <x:f>IF(E1764=0,"해당 없음",K1764/E1764)</x:f>
        <x:v>0.039603960396039604</x:v>
      </x:c>
      <x:c r="T1764" s="15" t="n">
        <x:f>IF(E1764=0,"해당 없음",L1764/E1764)</x:f>
        <x:v>0.33663366336633666</x:v>
      </x:c>
      <x:c r="U1764" s="15" t="n">
        <x:f>IF(E1764=0,"해당 없음",M1764/E1764)</x:f>
        <x:v>0.40594059405940597</x:v>
      </x:c>
      <x:c r="V1764" s="16" t="n">
        <x:f>E1764/5</x:f>
        <x:v>20.2</x:v>
      </x:c>
    </x:row>
    <x:row r="1765" ht="22" customHeight="1">
      <x:c r="A1765" s="2" t="n">
        <x:v>880</x:v>
      </x:c>
      <x:c r="B1765" s="2" t="str">
        <x:v>NAVY</x:v>
      </x:c>
      <x:c r="C1765" s="2" t="str">
        <x:v>80만</x:v>
      </x:c>
      <x:c r="D1765" s="2" t="str">
        <x:v>240만</x:v>
      </x:c>
      <x:c r="E1765" s="14" t="n">
        <x:f>SUM(F1765:M1765)</x:f>
        <x:v>103</x:v>
      </x:c>
      <x:c r="F1765" s="14" t="n">
        <x:v>6</x:v>
      </x:c>
      <x:c r="G1765" s="14" t="n">
        <x:v>18</x:v>
      </x:c>
      <x:c r="H1765" s="14" t="n">
        <x:v>7</x:v>
      </x:c>
      <x:c r="I1765" s="14" t="n">
        <x:v>5</x:v>
      </x:c>
      <x:c r="J1765" s="14" t="n">
        <x:v>3</x:v>
      </x:c>
      <x:c r="K1765" s="14" t="n">
        <x:v>13</x:v>
      </x:c>
      <x:c r="L1765" s="14" t="n">
        <x:v>38</x:v>
      </x:c>
      <x:c r="M1765" s="14" t="n">
        <x:v>13</x:v>
      </x:c>
      <x:c r="N1765" s="15" t="n">
        <x:f>IF(E1765=0,"해당 없음",F1765/E1765)</x:f>
        <x:v>0.05825242718446602</x:v>
      </x:c>
      <x:c r="O1765" s="15" t="n">
        <x:f>IF(E1765=0,"해당 없음",G1765/E1765)</x:f>
        <x:v>0.17475728155339806</x:v>
      </x:c>
      <x:c r="P1765" s="15" t="n">
        <x:f>IF(E1765=0,"해당 없음",H1765/E1765)</x:f>
        <x:v>0.06796116504854369</x:v>
      </x:c>
      <x:c r="Q1765" s="15" t="n">
        <x:f>IF(E1765=0,"해당 없음",I1765/E1765)</x:f>
        <x:v>0.04854368932038835</x:v>
      </x:c>
      <x:c r="R1765" s="15" t="n">
        <x:f>IF(E1765=0,"해당 없음",J1765/E1765)</x:f>
        <x:v>0.02912621359223301</x:v>
      </x:c>
      <x:c r="S1765" s="15" t="n">
        <x:f>IF(E1765=0,"해당 없음",K1765/E1765)</x:f>
        <x:v>0.1262135922330097</x:v>
      </x:c>
      <x:c r="T1765" s="15" t="n">
        <x:f>IF(E1765=0,"해당 없음",L1765/E1765)</x:f>
        <x:v>0.36893203883495146</x:v>
      </x:c>
      <x:c r="U1765" s="15" t="n">
        <x:f>IF(E1765=0,"해당 없음",M1765/E1765)</x:f>
        <x:v>0.1262135922330097</x:v>
      </x:c>
      <x:c r="V1765" s="16" t="n">
        <x:f>E1765/5</x:f>
        <x:v>20.6</x:v>
      </x:c>
    </x:row>
    <x:row r="1766" ht="22" customHeight="1">
      <x:c r="A1766" s="2" t="n">
        <x:v>881</x:v>
      </x:c>
      <x:c r="B1766" s="2" t="str">
        <x:v>RED</x:v>
      </x:c>
      <x:c r="C1766" s="2" t="str">
        <x:v>120만</x:v>
      </x:c>
      <x:c r="D1766" s="2" t="str">
        <x:v>160만</x:v>
      </x:c>
      <x:c r="E1766" s="14" t="n">
        <x:f>SUM(F1766:M1766)</x:f>
        <x:v>102</x:v>
      </x:c>
      <x:c r="F1766" s="14" t="n">
        <x:v>3</x:v>
      </x:c>
      <x:c r="G1766" s="14" t="n">
        <x:v>8</x:v>
      </x:c>
      <x:c r="H1766" s="14" t="n">
        <x:v>6</x:v>
      </x:c>
      <x:c r="I1766" s="14" t="n">
        <x:v>8</x:v>
      </x:c>
      <x:c r="J1766" s="14" t="n">
        <x:v>7</x:v>
      </x:c>
      <x:c r="K1766" s="14" t="n">
        <x:v>10</x:v>
      </x:c>
      <x:c r="L1766" s="14" t="n">
        <x:v>38</x:v>
      </x:c>
      <x:c r="M1766" s="14" t="n">
        <x:v>22</x:v>
      </x:c>
      <x:c r="N1766" s="15" t="n">
        <x:f>IF(E1766=0,"해당 없음",F1766/E1766)</x:f>
        <x:v>0.029411764705882353</x:v>
      </x:c>
      <x:c r="O1766" s="15" t="n">
        <x:f>IF(E1766=0,"해당 없음",G1766/E1766)</x:f>
        <x:v>0.0784313725490196</x:v>
      </x:c>
      <x:c r="P1766" s="15" t="n">
        <x:f>IF(E1766=0,"해당 없음",H1766/E1766)</x:f>
        <x:v>0.058823529411764705</x:v>
      </x:c>
      <x:c r="Q1766" s="15" t="n">
        <x:f>IF(E1766=0,"해당 없음",I1766/E1766)</x:f>
        <x:v>0.0784313725490196</x:v>
      </x:c>
      <x:c r="R1766" s="15" t="n">
        <x:f>IF(E1766=0,"해당 없음",J1766/E1766)</x:f>
        <x:v>0.06862745098039216</x:v>
      </x:c>
      <x:c r="S1766" s="15" t="n">
        <x:f>IF(E1766=0,"해당 없음",K1766/E1766)</x:f>
        <x:v>0.09803921568627451</x:v>
      </x:c>
      <x:c r="T1766" s="15" t="n">
        <x:f>IF(E1766=0,"해당 없음",L1766/E1766)</x:f>
        <x:v>0.37254901960784315</x:v>
      </x:c>
      <x:c r="U1766" s="15" t="n">
        <x:f>IF(E1766=0,"해당 없음",M1766/E1766)</x:f>
        <x:v>0.21568627450980393</x:v>
      </x:c>
      <x:c r="V1766" s="16" t="n">
        <x:f>E1766/5</x:f>
        <x:v>20.4</x:v>
      </x:c>
    </x:row>
    <x:row r="1767" ht="22" customHeight="1">
      <x:c r="A1767" s="2" t="n">
        <x:v>881</x:v>
      </x:c>
      <x:c r="B1767" s="2" t="str">
        <x:v>NAVY</x:v>
      </x:c>
      <x:c r="C1767" s="2" t="str">
        <x:v>160만</x:v>
      </x:c>
      <x:c r="D1767" s="2" t="str">
        <x:v>120만</x:v>
      </x:c>
      <x:c r="E1767" s="14" t="n">
        <x:f>SUM(F1767:M1767)</x:f>
        <x:v>102</x:v>
      </x:c>
      <x:c r="F1767" s="14" t="n">
        <x:v>2</x:v>
      </x:c>
      <x:c r="G1767" s="14" t="n">
        <x:v>18</x:v>
      </x:c>
      <x:c r="H1767" s="14" t="n">
        <x:v>6</x:v>
      </x:c>
      <x:c r="I1767" s="14" t="n">
        <x:v>3</x:v>
      </x:c>
      <x:c r="J1767" s="14" t="n">
        <x:v>3</x:v>
      </x:c>
      <x:c r="K1767" s="14" t="n">
        <x:v>5</x:v>
      </x:c>
      <x:c r="L1767" s="14" t="n">
        <x:v>35</x:v>
      </x:c>
      <x:c r="M1767" s="14" t="n">
        <x:v>30</x:v>
      </x:c>
      <x:c r="N1767" s="15" t="n">
        <x:f>IF(E1767=0,"해당 없음",F1767/E1767)</x:f>
        <x:v>0.0196078431372549</x:v>
      </x:c>
      <x:c r="O1767" s="15" t="n">
        <x:f>IF(E1767=0,"해당 없음",G1767/E1767)</x:f>
        <x:v>0.17647058823529413</x:v>
      </x:c>
      <x:c r="P1767" s="15" t="n">
        <x:f>IF(E1767=0,"해당 없음",H1767/E1767)</x:f>
        <x:v>0.058823529411764705</x:v>
      </x:c>
      <x:c r="Q1767" s="15" t="n">
        <x:f>IF(E1767=0,"해당 없음",I1767/E1767)</x:f>
        <x:v>0.029411764705882353</x:v>
      </x:c>
      <x:c r="R1767" s="15" t="n">
        <x:f>IF(E1767=0,"해당 없음",J1767/E1767)</x:f>
        <x:v>0.029411764705882353</x:v>
      </x:c>
      <x:c r="S1767" s="15" t="n">
        <x:f>IF(E1767=0,"해당 없음",K1767/E1767)</x:f>
        <x:v>0.049019607843137254</x:v>
      </x:c>
      <x:c r="T1767" s="15" t="n">
        <x:f>IF(E1767=0,"해당 없음",L1767/E1767)</x:f>
        <x:v>0.3431372549019608</x:v>
      </x:c>
      <x:c r="U1767" s="15" t="n">
        <x:f>IF(E1767=0,"해당 없음",M1767/E1767)</x:f>
        <x:v>0.29411764705882354</x:v>
      </x:c>
      <x:c r="V1767" s="16" t="n">
        <x:f>E1767/5</x:f>
        <x:v>20.4</x:v>
      </x:c>
    </x:row>
    <x:row r="1768" ht="22" customHeight="1">
      <x:c r="A1768" s="2" t="n">
        <x:v>882</x:v>
      </x:c>
      <x:c r="B1768" s="2" t="str">
        <x:v>RED</x:v>
      </x:c>
      <x:c r="C1768" s="2" t="str">
        <x:v>160만</x:v>
      </x:c>
      <x:c r="D1768" s="2" t="str">
        <x:v>120만</x:v>
      </x:c>
      <x:c r="E1768" s="14" t="n">
        <x:f>SUM(F1768:M1768)</x:f>
        <x:v>101</x:v>
      </x:c>
      <x:c r="F1768" s="14" t="n">
        <x:v>1</x:v>
      </x:c>
      <x:c r="G1768" s="14" t="n">
        <x:v>16</x:v>
      </x:c>
      <x:c r="H1768" s="14" t="n">
        <x:v>4</x:v>
      </x:c>
      <x:c r="I1768" s="14" t="n">
        <x:v>8</x:v>
      </x:c>
      <x:c r="J1768" s="14" t="n">
        <x:v>1</x:v>
      </x:c>
      <x:c r="K1768" s="14" t="n">
        <x:v>9</x:v>
      </x:c>
      <x:c r="L1768" s="14" t="n">
        <x:v>31</x:v>
      </x:c>
      <x:c r="M1768" s="14" t="n">
        <x:v>31</x:v>
      </x:c>
      <x:c r="N1768" s="15" t="n">
        <x:f>IF(E1768=0,"해당 없음",F1768/E1768)</x:f>
        <x:v>0.009900990099009901</x:v>
      </x:c>
      <x:c r="O1768" s="15" t="n">
        <x:f>IF(E1768=0,"해당 없음",G1768/E1768)</x:f>
        <x:v>0.15841584158415842</x:v>
      </x:c>
      <x:c r="P1768" s="15" t="n">
        <x:f>IF(E1768=0,"해당 없음",H1768/E1768)</x:f>
        <x:v>0.039603960396039604</x:v>
      </x:c>
      <x:c r="Q1768" s="15" t="n">
        <x:f>IF(E1768=0,"해당 없음",I1768/E1768)</x:f>
        <x:v>0.07920792079207921</x:v>
      </x:c>
      <x:c r="R1768" s="15" t="n">
        <x:f>IF(E1768=0,"해당 없음",J1768/E1768)</x:f>
        <x:v>0.009900990099009901</x:v>
      </x:c>
      <x:c r="S1768" s="15" t="n">
        <x:f>IF(E1768=0,"해당 없음",K1768/E1768)</x:f>
        <x:v>0.0891089108910891</x:v>
      </x:c>
      <x:c r="T1768" s="15" t="n">
        <x:f>IF(E1768=0,"해당 없음",L1768/E1768)</x:f>
        <x:v>0.3069306930693069</x:v>
      </x:c>
      <x:c r="U1768" s="15" t="n">
        <x:f>IF(E1768=0,"해당 없음",M1768/E1768)</x:f>
        <x:v>0.3069306930693069</x:v>
      </x:c>
      <x:c r="V1768" s="16" t="n">
        <x:f>E1768/5</x:f>
        <x:v>20.2</x:v>
      </x:c>
    </x:row>
    <x:row r="1769" ht="22" customHeight="1">
      <x:c r="A1769" s="2" t="n">
        <x:v>882</x:v>
      </x:c>
      <x:c r="B1769" s="2" t="str">
        <x:v>NAVY</x:v>
      </x:c>
      <x:c r="C1769" s="2" t="str">
        <x:v>120만</x:v>
      </x:c>
      <x:c r="D1769" s="2" t="str">
        <x:v>160만</x:v>
      </x:c>
      <x:c r="E1769" s="14" t="n">
        <x:f>SUM(F1769:M1769)</x:f>
        <x:v>103</x:v>
      </x:c>
      <x:c r="F1769" s="14" t="n">
        <x:v>0</x:v>
      </x:c>
      <x:c r="G1769" s="14" t="n">
        <x:v>20</x:v>
      </x:c>
      <x:c r="H1769" s="14" t="n">
        <x:v>6</x:v>
      </x:c>
      <x:c r="I1769" s="14" t="n">
        <x:v>7</x:v>
      </x:c>
      <x:c r="J1769" s="14" t="n">
        <x:v>2</x:v>
      </x:c>
      <x:c r="K1769" s="14" t="n">
        <x:v>5</x:v>
      </x:c>
      <x:c r="L1769" s="14" t="n">
        <x:v>34</x:v>
      </x:c>
      <x:c r="M1769" s="14" t="n">
        <x:v>29</x:v>
      </x:c>
      <x:c r="N1769" s="15" t="n">
        <x:f>IF(E1769=0,"해당 없음",F1769/E1769)</x:f>
        <x:v>0</x:v>
      </x:c>
      <x:c r="O1769" s="15" t="n">
        <x:f>IF(E1769=0,"해당 없음",G1769/E1769)</x:f>
        <x:v>0.1941747572815534</x:v>
      </x:c>
      <x:c r="P1769" s="15" t="n">
        <x:f>IF(E1769=0,"해당 없음",H1769/E1769)</x:f>
        <x:v>0.05825242718446602</x:v>
      </x:c>
      <x:c r="Q1769" s="15" t="n">
        <x:f>IF(E1769=0,"해당 없음",I1769/E1769)</x:f>
        <x:v>0.06796116504854369</x:v>
      </x:c>
      <x:c r="R1769" s="15" t="n">
        <x:f>IF(E1769=0,"해당 없음",J1769/E1769)</x:f>
        <x:v>0.019417475728155338</x:v>
      </x:c>
      <x:c r="S1769" s="15" t="n">
        <x:f>IF(E1769=0,"해당 없음",K1769/E1769)</x:f>
        <x:v>0.04854368932038835</x:v>
      </x:c>
      <x:c r="T1769" s="15" t="n">
        <x:f>IF(E1769=0,"해당 없음",L1769/E1769)</x:f>
        <x:v>0.3300970873786408</x:v>
      </x:c>
      <x:c r="U1769" s="15" t="n">
        <x:f>IF(E1769=0,"해당 없음",M1769/E1769)</x:f>
        <x:v>0.2815533980582524</x:v>
      </x:c>
      <x:c r="V1769" s="16" t="n">
        <x:f>E1769/5</x:f>
        <x:v>20.6</x:v>
      </x:c>
    </x:row>
    <x:row r="1770" ht="22" customHeight="1">
      <x:c r="A1770" s="2" t="n">
        <x:v>883</x:v>
      </x:c>
      <x:c r="B1770" s="2" t="str">
        <x:v>RED</x:v>
      </x:c>
      <x:c r="C1770" s="2" t="str">
        <x:v>120만</x:v>
      </x:c>
      <x:c r="D1770" s="2" t="str">
        <x:v>160만</x:v>
      </x:c>
      <x:c r="E1770" s="14" t="n">
        <x:f>SUM(F1770:M1770)</x:f>
        <x:v>102</x:v>
      </x:c>
      <x:c r="F1770" s="14" t="n">
        <x:v>0</x:v>
      </x:c>
      <x:c r="G1770" s="14" t="n">
        <x:v>18</x:v>
      </x:c>
      <x:c r="H1770" s="14" t="n">
        <x:v>8</x:v>
      </x:c>
      <x:c r="I1770" s="14" t="n">
        <x:v>4</x:v>
      </x:c>
      <x:c r="J1770" s="14" t="n">
        <x:v>3</x:v>
      </x:c>
      <x:c r="K1770" s="14" t="n">
        <x:v>15</x:v>
      </x:c>
      <x:c r="L1770" s="14" t="n">
        <x:v>33</x:v>
      </x:c>
      <x:c r="M1770" s="14" t="n">
        <x:v>21</x:v>
      </x:c>
      <x:c r="N1770" s="15" t="n">
        <x:f>IF(E1770=0,"해당 없음",F1770/E1770)</x:f>
        <x:v>0</x:v>
      </x:c>
      <x:c r="O1770" s="15" t="n">
        <x:f>IF(E1770=0,"해당 없음",G1770/E1770)</x:f>
        <x:v>0.17647058823529413</x:v>
      </x:c>
      <x:c r="P1770" s="15" t="n">
        <x:f>IF(E1770=0,"해당 없음",H1770/E1770)</x:f>
        <x:v>0.0784313725490196</x:v>
      </x:c>
      <x:c r="Q1770" s="15" t="n">
        <x:f>IF(E1770=0,"해당 없음",I1770/E1770)</x:f>
        <x:v>0.0392156862745098</x:v>
      </x:c>
      <x:c r="R1770" s="15" t="n">
        <x:f>IF(E1770=0,"해당 없음",J1770/E1770)</x:f>
        <x:v>0.029411764705882353</x:v>
      </x:c>
      <x:c r="S1770" s="15" t="n">
        <x:f>IF(E1770=0,"해당 없음",K1770/E1770)</x:f>
        <x:v>0.14705882352941177</x:v>
      </x:c>
      <x:c r="T1770" s="15" t="n">
        <x:f>IF(E1770=0,"해당 없음",L1770/E1770)</x:f>
        <x:v>0.3235294117647059</x:v>
      </x:c>
      <x:c r="U1770" s="15" t="n">
        <x:f>IF(E1770=0,"해당 없음",M1770/E1770)</x:f>
        <x:v>0.20588235294117646</x:v>
      </x:c>
      <x:c r="V1770" s="16" t="n">
        <x:f>E1770/5</x:f>
        <x:v>20.4</x:v>
      </x:c>
    </x:row>
    <x:row r="1771" ht="22" customHeight="1">
      <x:c r="A1771" s="2" t="n">
        <x:v>883</x:v>
      </x:c>
      <x:c r="B1771" s="2" t="str">
        <x:v>NAVY</x:v>
      </x:c>
      <x:c r="C1771" s="2" t="str">
        <x:v>160만</x:v>
      </x:c>
      <x:c r="D1771" s="2" t="str">
        <x:v>120만</x:v>
      </x:c>
      <x:c r="E1771" s="14" t="n">
        <x:f>SUM(F1771:M1771)</x:f>
        <x:v>104</x:v>
      </x:c>
      <x:c r="F1771" s="14" t="n">
        <x:v>0</x:v>
      </x:c>
      <x:c r="G1771" s="14" t="n">
        <x:v>12</x:v>
      </x:c>
      <x:c r="H1771" s="14" t="n">
        <x:v>5</x:v>
      </x:c>
      <x:c r="I1771" s="14" t="n">
        <x:v>2</x:v>
      </x:c>
      <x:c r="J1771" s="14" t="n">
        <x:v>4</x:v>
      </x:c>
      <x:c r="K1771" s="14" t="n">
        <x:v>5</x:v>
      </x:c>
      <x:c r="L1771" s="14" t="n">
        <x:v>34</x:v>
      </x:c>
      <x:c r="M1771" s="14" t="n">
        <x:v>42</x:v>
      </x:c>
      <x:c r="N1771" s="15" t="n">
        <x:f>IF(E1771=0,"해당 없음",F1771/E1771)</x:f>
        <x:v>0</x:v>
      </x:c>
      <x:c r="O1771" s="15" t="n">
        <x:f>IF(E1771=0,"해당 없음",G1771/E1771)</x:f>
        <x:v>0.11538461538461539</x:v>
      </x:c>
      <x:c r="P1771" s="15" t="n">
        <x:f>IF(E1771=0,"해당 없음",H1771/E1771)</x:f>
        <x:v>0.04807692307692308</x:v>
      </x:c>
      <x:c r="Q1771" s="15" t="n">
        <x:f>IF(E1771=0,"해당 없음",I1771/E1771)</x:f>
        <x:v>0.019230769230769232</x:v>
      </x:c>
      <x:c r="R1771" s="15" t="n">
        <x:f>IF(E1771=0,"해당 없음",J1771/E1771)</x:f>
        <x:v>0.038461538461538464</x:v>
      </x:c>
      <x:c r="S1771" s="15" t="n">
        <x:f>IF(E1771=0,"해당 없음",K1771/E1771)</x:f>
        <x:v>0.04807692307692308</x:v>
      </x:c>
      <x:c r="T1771" s="15" t="n">
        <x:f>IF(E1771=0,"해당 없음",L1771/E1771)</x:f>
        <x:v>0.3269230769230769</x:v>
      </x:c>
      <x:c r="U1771" s="15" t="n">
        <x:f>IF(E1771=0,"해당 없음",M1771/E1771)</x:f>
        <x:v>0.40384615384615385</x:v>
      </x:c>
      <x:c r="V1771" s="16" t="n">
        <x:f>E1771/5</x:f>
        <x:v>20.8</x:v>
      </x:c>
    </x:row>
    <x:row r="1772" ht="22" customHeight="1">
      <x:c r="A1772" s="2" t="n">
        <x:v>884</x:v>
      </x:c>
      <x:c r="B1772" s="2" t="str">
        <x:v>RED</x:v>
      </x:c>
      <x:c r="C1772" s="2" t="str">
        <x:v>160만</x:v>
      </x:c>
      <x:c r="D1772" s="2" t="str">
        <x:v>120만</x:v>
      </x:c>
      <x:c r="E1772" s="14" t="n">
        <x:f>SUM(F1772:M1772)</x:f>
        <x:v>102</x:v>
      </x:c>
      <x:c r="F1772" s="14" t="n">
        <x:v>0</x:v>
      </x:c>
      <x:c r="G1772" s="14" t="n">
        <x:v>13</x:v>
      </x:c>
      <x:c r="H1772" s="14" t="n">
        <x:v>3</x:v>
      </x:c>
      <x:c r="I1772" s="14" t="n">
        <x:v>3</x:v>
      </x:c>
      <x:c r="J1772" s="14" t="n">
        <x:v>2</x:v>
      </x:c>
      <x:c r="K1772" s="14" t="n">
        <x:v>7</x:v>
      </x:c>
      <x:c r="L1772" s="14" t="n">
        <x:v>36</x:v>
      </x:c>
      <x:c r="M1772" s="14" t="n">
        <x:v>38</x:v>
      </x:c>
      <x:c r="N1772" s="15" t="n">
        <x:f>IF(E1772=0,"해당 없음",F1772/E1772)</x:f>
        <x:v>0</x:v>
      </x:c>
      <x:c r="O1772" s="15" t="n">
        <x:f>IF(E1772=0,"해당 없음",G1772/E1772)</x:f>
        <x:v>0.12745098039215685</x:v>
      </x:c>
      <x:c r="P1772" s="15" t="n">
        <x:f>IF(E1772=0,"해당 없음",H1772/E1772)</x:f>
        <x:v>0.029411764705882353</x:v>
      </x:c>
      <x:c r="Q1772" s="15" t="n">
        <x:f>IF(E1772=0,"해당 없음",I1772/E1772)</x:f>
        <x:v>0.029411764705882353</x:v>
      </x:c>
      <x:c r="R1772" s="15" t="n">
        <x:f>IF(E1772=0,"해당 없음",J1772/E1772)</x:f>
        <x:v>0.0196078431372549</x:v>
      </x:c>
      <x:c r="S1772" s="15" t="n">
        <x:f>IF(E1772=0,"해당 없음",K1772/E1772)</x:f>
        <x:v>0.06862745098039216</x:v>
      </x:c>
      <x:c r="T1772" s="15" t="n">
        <x:f>IF(E1772=0,"해당 없음",L1772/E1772)</x:f>
        <x:v>0.35294117647058826</x:v>
      </x:c>
      <x:c r="U1772" s="15" t="n">
        <x:f>IF(E1772=0,"해당 없음",M1772/E1772)</x:f>
        <x:v>0.37254901960784315</x:v>
      </x:c>
      <x:c r="V1772" s="16" t="n">
        <x:f>E1772/5</x:f>
        <x:v>20.4</x:v>
      </x:c>
    </x:row>
    <x:row r="1773" ht="22" customHeight="1">
      <x:c r="A1773" s="2" t="n">
        <x:v>884</x:v>
      </x:c>
      <x:c r="B1773" s="2" t="str">
        <x:v>NAVY</x:v>
      </x:c>
      <x:c r="C1773" s="2" t="str">
        <x:v>120만</x:v>
      </x:c>
      <x:c r="D1773" s="2" t="str">
        <x:v>160만</x:v>
      </x:c>
      <x:c r="E1773" s="14" t="n">
        <x:f>SUM(F1773:M1773)</x:f>
        <x:v>101</x:v>
      </x:c>
      <x:c r="F1773" s="14" t="n">
        <x:v>1</x:v>
      </x:c>
      <x:c r="G1773" s="14" t="n">
        <x:v>14</x:v>
      </x:c>
      <x:c r="H1773" s="14" t="n">
        <x:v>5</x:v>
      </x:c>
      <x:c r="I1773" s="14" t="n">
        <x:v>8</x:v>
      </x:c>
      <x:c r="J1773" s="14" t="n">
        <x:v>1</x:v>
      </x:c>
      <x:c r="K1773" s="14" t="n">
        <x:v>12</x:v>
      </x:c>
      <x:c r="L1773" s="14" t="n">
        <x:v>38</x:v>
      </x:c>
      <x:c r="M1773" s="14" t="n">
        <x:v>22</x:v>
      </x:c>
      <x:c r="N1773" s="15" t="n">
        <x:f>IF(E1773=0,"해당 없음",F1773/E1773)</x:f>
        <x:v>0.009900990099009901</x:v>
      </x:c>
      <x:c r="O1773" s="15" t="n">
        <x:f>IF(E1773=0,"해당 없음",G1773/E1773)</x:f>
        <x:v>0.13861386138613863</x:v>
      </x:c>
      <x:c r="P1773" s="15" t="n">
        <x:f>IF(E1773=0,"해당 없음",H1773/E1773)</x:f>
        <x:v>0.04950495049504951</x:v>
      </x:c>
      <x:c r="Q1773" s="15" t="n">
        <x:f>IF(E1773=0,"해당 없음",I1773/E1773)</x:f>
        <x:v>0.07920792079207921</x:v>
      </x:c>
      <x:c r="R1773" s="15" t="n">
        <x:f>IF(E1773=0,"해당 없음",J1773/E1773)</x:f>
        <x:v>0.009900990099009901</x:v>
      </x:c>
      <x:c r="S1773" s="15" t="n">
        <x:f>IF(E1773=0,"해당 없음",K1773/E1773)</x:f>
        <x:v>0.1188118811881188</x:v>
      </x:c>
      <x:c r="T1773" s="15" t="n">
        <x:f>IF(E1773=0,"해당 없음",L1773/E1773)</x:f>
        <x:v>0.37623762376237624</x:v>
      </x:c>
      <x:c r="U1773" s="15" t="n">
        <x:f>IF(E1773=0,"해당 없음",M1773/E1773)</x:f>
        <x:v>0.21782178217821782</x:v>
      </x:c>
      <x:c r="V1773" s="16" t="n">
        <x:f>E1773/5</x:f>
        <x:v>20.2</x:v>
      </x:c>
    </x:row>
    <x:row r="1774" ht="22" customHeight="1">
      <x:c r="A1774" s="2" t="n">
        <x:v>885</x:v>
      </x:c>
      <x:c r="B1774" s="2" t="str">
        <x:v>RED</x:v>
      </x:c>
      <x:c r="C1774" s="2" t="str">
        <x:v>120만</x:v>
      </x:c>
      <x:c r="D1774" s="2" t="str">
        <x:v>160만</x:v>
      </x:c>
      <x:c r="E1774" s="14" t="n">
        <x:f>SUM(F1774:M1774)</x:f>
        <x:v>102</x:v>
      </x:c>
      <x:c r="F1774" s="14" t="n">
        <x:v>0</x:v>
      </x:c>
      <x:c r="G1774" s="14" t="n">
        <x:v>14</x:v>
      </x:c>
      <x:c r="H1774" s="14" t="n">
        <x:v>9</x:v>
      </x:c>
      <x:c r="I1774" s="14" t="n">
        <x:v>8</x:v>
      </x:c>
      <x:c r="J1774" s="14" t="n">
        <x:v>4</x:v>
      </x:c>
      <x:c r="K1774" s="14" t="n">
        <x:v>13</x:v>
      </x:c>
      <x:c r="L1774" s="14" t="n">
        <x:v>36</x:v>
      </x:c>
      <x:c r="M1774" s="14" t="n">
        <x:v>18</x:v>
      </x:c>
      <x:c r="N1774" s="15" t="n">
        <x:f>IF(E1774=0,"해당 없음",F1774/E1774)</x:f>
        <x:v>0</x:v>
      </x:c>
      <x:c r="O1774" s="15" t="n">
        <x:f>IF(E1774=0,"해당 없음",G1774/E1774)</x:f>
        <x:v>0.13725490196078433</x:v>
      </x:c>
      <x:c r="P1774" s="15" t="n">
        <x:f>IF(E1774=0,"해당 없음",H1774/E1774)</x:f>
        <x:v>0.08823529411764706</x:v>
      </x:c>
      <x:c r="Q1774" s="15" t="n">
        <x:f>IF(E1774=0,"해당 없음",I1774/E1774)</x:f>
        <x:v>0.0784313725490196</x:v>
      </x:c>
      <x:c r="R1774" s="15" t="n">
        <x:f>IF(E1774=0,"해당 없음",J1774/E1774)</x:f>
        <x:v>0.0392156862745098</x:v>
      </x:c>
      <x:c r="S1774" s="15" t="n">
        <x:f>IF(E1774=0,"해당 없음",K1774/E1774)</x:f>
        <x:v>0.12745098039215685</x:v>
      </x:c>
      <x:c r="T1774" s="15" t="n">
        <x:f>IF(E1774=0,"해당 없음",L1774/E1774)</x:f>
        <x:v>0.35294117647058826</x:v>
      </x:c>
      <x:c r="U1774" s="15" t="n">
        <x:f>IF(E1774=0,"해당 없음",M1774/E1774)</x:f>
        <x:v>0.17647058823529413</x:v>
      </x:c>
      <x:c r="V1774" s="16" t="n">
        <x:f>E1774/5</x:f>
        <x:v>20.4</x:v>
      </x:c>
    </x:row>
    <x:row r="1775" ht="22" customHeight="1">
      <x:c r="A1775" s="2" t="n">
        <x:v>885</x:v>
      </x:c>
      <x:c r="B1775" s="2" t="str">
        <x:v>NAVY</x:v>
      </x:c>
      <x:c r="C1775" s="2" t="str">
        <x:v>160만</x:v>
      </x:c>
      <x:c r="D1775" s="2" t="str">
        <x:v>120만</x:v>
      </x:c>
      <x:c r="E1775" s="14" t="n">
        <x:f>SUM(F1775:M1775)</x:f>
        <x:v>102</x:v>
      </x:c>
      <x:c r="F1775" s="14" t="n">
        <x:v>4</x:v>
      </x:c>
      <x:c r="G1775" s="14" t="n">
        <x:v>15</x:v>
      </x:c>
      <x:c r="H1775" s="14" t="n">
        <x:v>6</x:v>
      </x:c>
      <x:c r="I1775" s="14" t="n">
        <x:v>4</x:v>
      </x:c>
      <x:c r="J1775" s="14" t="n">
        <x:v>2</x:v>
      </x:c>
      <x:c r="K1775" s="14" t="n">
        <x:v>3</x:v>
      </x:c>
      <x:c r="L1775" s="14" t="n">
        <x:v>25</x:v>
      </x:c>
      <x:c r="M1775" s="14" t="n">
        <x:v>43</x:v>
      </x:c>
      <x:c r="N1775" s="15" t="n">
        <x:f>IF(E1775=0,"해당 없음",F1775/E1775)</x:f>
        <x:v>0.0392156862745098</x:v>
      </x:c>
      <x:c r="O1775" s="15" t="n">
        <x:f>IF(E1775=0,"해당 없음",G1775/E1775)</x:f>
        <x:v>0.14705882352941177</x:v>
      </x:c>
      <x:c r="P1775" s="15" t="n">
        <x:f>IF(E1775=0,"해당 없음",H1775/E1775)</x:f>
        <x:v>0.058823529411764705</x:v>
      </x:c>
      <x:c r="Q1775" s="15" t="n">
        <x:f>IF(E1775=0,"해당 없음",I1775/E1775)</x:f>
        <x:v>0.0392156862745098</x:v>
      </x:c>
      <x:c r="R1775" s="15" t="n">
        <x:f>IF(E1775=0,"해당 없음",J1775/E1775)</x:f>
        <x:v>0.0196078431372549</x:v>
      </x:c>
      <x:c r="S1775" s="15" t="n">
        <x:f>IF(E1775=0,"해당 없음",K1775/E1775)</x:f>
        <x:v>0.029411764705882353</x:v>
      </x:c>
      <x:c r="T1775" s="15" t="n">
        <x:f>IF(E1775=0,"해당 없음",L1775/E1775)</x:f>
        <x:v>0.24509803921568626</x:v>
      </x:c>
      <x:c r="U1775" s="15" t="n">
        <x:f>IF(E1775=0,"해당 없음",M1775/E1775)</x:f>
        <x:v>0.4215686274509804</x:v>
      </x:c>
      <x:c r="V1775" s="16" t="n">
        <x:f>E1775/5</x:f>
        <x:v>20.4</x:v>
      </x:c>
    </x:row>
    <x:row r="1776" ht="22" customHeight="1">
      <x:c r="A1776" s="2" t="n">
        <x:v>886</x:v>
      </x:c>
      <x:c r="B1776" s="2" t="str">
        <x:v>RED</x:v>
      </x:c>
      <x:c r="C1776" s="2" t="str">
        <x:v>160만</x:v>
      </x:c>
      <x:c r="D1776" s="2" t="str">
        <x:v>120만</x:v>
      </x:c>
      <x:c r="E1776" s="14" t="n">
        <x:f>SUM(F1776:M1776)</x:f>
        <x:v>102</x:v>
      </x:c>
      <x:c r="F1776" s="14" t="n">
        <x:v>1</x:v>
      </x:c>
      <x:c r="G1776" s="14" t="n">
        <x:v>4</x:v>
      </x:c>
      <x:c r="H1776" s="14" t="n">
        <x:v>2</x:v>
      </x:c>
      <x:c r="I1776" s="14" t="n">
        <x:v>4</x:v>
      </x:c>
      <x:c r="J1776" s="14" t="n">
        <x:v>2</x:v>
      </x:c>
      <x:c r="K1776" s="14" t="n">
        <x:v>0</x:v>
      </x:c>
      <x:c r="L1776" s="14" t="n">
        <x:v>12</x:v>
      </x:c>
      <x:c r="M1776" s="14" t="n">
        <x:v>77</x:v>
      </x:c>
      <x:c r="N1776" s="15" t="n">
        <x:f>IF(E1776=0,"해당 없음",F1776/E1776)</x:f>
        <x:v>0.00980392156862745</x:v>
      </x:c>
      <x:c r="O1776" s="15" t="n">
        <x:f>IF(E1776=0,"해당 없음",G1776/E1776)</x:f>
        <x:v>0.0392156862745098</x:v>
      </x:c>
      <x:c r="P1776" s="15" t="n">
        <x:f>IF(E1776=0,"해당 없음",H1776/E1776)</x:f>
        <x:v>0.0196078431372549</x:v>
      </x:c>
      <x:c r="Q1776" s="15" t="n">
        <x:f>IF(E1776=0,"해당 없음",I1776/E1776)</x:f>
        <x:v>0.0392156862745098</x:v>
      </x:c>
      <x:c r="R1776" s="15" t="n">
        <x:f>IF(E1776=0,"해당 없음",J1776/E1776)</x:f>
        <x:v>0.0196078431372549</x:v>
      </x:c>
      <x:c r="S1776" s="15" t="n">
        <x:f>IF(E1776=0,"해당 없음",K1776/E1776)</x:f>
        <x:v>0</x:v>
      </x:c>
      <x:c r="T1776" s="15" t="n">
        <x:f>IF(E1776=0,"해당 없음",L1776/E1776)</x:f>
        <x:v>0.11764705882352941</x:v>
      </x:c>
      <x:c r="U1776" s="15" t="n">
        <x:f>IF(E1776=0,"해당 없음",M1776/E1776)</x:f>
        <x:v>0.7549019607843137</x:v>
      </x:c>
      <x:c r="V1776" s="16" t="n">
        <x:f>E1776/5</x:f>
        <x:v>20.4</x:v>
      </x:c>
    </x:row>
    <x:row r="1777" ht="22" customHeight="1">
      <x:c r="A1777" s="2" t="n">
        <x:v>886</x:v>
      </x:c>
      <x:c r="B1777" s="2" t="str">
        <x:v>NAVY</x:v>
      </x:c>
      <x:c r="C1777" s="2" t="str">
        <x:v>120만</x:v>
      </x:c>
      <x:c r="D1777" s="2" t="str">
        <x:v>160만</x:v>
      </x:c>
      <x:c r="E1777" s="14" t="n">
        <x:f>SUM(F1777:M1777)</x:f>
        <x:v>103</x:v>
      </x:c>
      <x:c r="F1777" s="14" t="n">
        <x:v>0</x:v>
      </x:c>
      <x:c r="G1777" s="14" t="n">
        <x:v>8</x:v>
      </x:c>
      <x:c r="H1777" s="14" t="n">
        <x:v>4</x:v>
      </x:c>
      <x:c r="I1777" s="14" t="n">
        <x:v>4</x:v>
      </x:c>
      <x:c r="J1777" s="14" t="n">
        <x:v>2</x:v>
      </x:c>
      <x:c r="K1777" s="14" t="n">
        <x:v>70</x:v>
      </x:c>
      <x:c r="L1777" s="14" t="n">
        <x:v>14</x:v>
      </x:c>
      <x:c r="M1777" s="14" t="n">
        <x:v>1</x:v>
      </x:c>
      <x:c r="N1777" s="15" t="n">
        <x:f>IF(E1777=0,"해당 없음",F1777/E1777)</x:f>
        <x:v>0</x:v>
      </x:c>
      <x:c r="O1777" s="15" t="n">
        <x:f>IF(E1777=0,"해당 없음",G1777/E1777)</x:f>
        <x:v>0.07766990291262135</x:v>
      </x:c>
      <x:c r="P1777" s="15" t="n">
        <x:f>IF(E1777=0,"해당 없음",H1777/E1777)</x:f>
        <x:v>0.038834951456310676</x:v>
      </x:c>
      <x:c r="Q1777" s="15" t="n">
        <x:f>IF(E1777=0,"해당 없음",I1777/E1777)</x:f>
        <x:v>0.038834951456310676</x:v>
      </x:c>
      <x:c r="R1777" s="15" t="n">
        <x:f>IF(E1777=0,"해당 없음",J1777/E1777)</x:f>
        <x:v>0.019417475728155338</x:v>
      </x:c>
      <x:c r="S1777" s="15" t="n">
        <x:f>IF(E1777=0,"해당 없음",K1777/E1777)</x:f>
        <x:v>0.6796116504854369</x:v>
      </x:c>
      <x:c r="T1777" s="15" t="n">
        <x:f>IF(E1777=0,"해당 없음",L1777/E1777)</x:f>
        <x:v>0.13592233009708737</x:v>
      </x:c>
      <x:c r="U1777" s="15" t="n">
        <x:f>IF(E1777=0,"해당 없음",M1777/E1777)</x:f>
        <x:v>0.009708737864077669</x:v>
      </x:c>
      <x:c r="V1777" s="16" t="n">
        <x:f>E1777/5</x:f>
        <x:v>20.6</x:v>
      </x:c>
    </x:row>
    <x:row r="1778" ht="22" customHeight="1">
      <x:c r="A1778" s="2" t="n">
        <x:v>887</x:v>
      </x:c>
      <x:c r="B1778" s="2" t="str">
        <x:v>RED</x:v>
      </x:c>
      <x:c r="C1778" s="2" t="str">
        <x:v>120만</x:v>
      </x:c>
      <x:c r="D1778" s="2" t="str">
        <x:v>160만</x:v>
      </x:c>
      <x:c r="E1778" s="14" t="n">
        <x:f>SUM(F1778:M1778)</x:f>
        <x:v>104</x:v>
      </x:c>
      <x:c r="F1778" s="14" t="n">
        <x:v>2</x:v>
      </x:c>
      <x:c r="G1778" s="14" t="n">
        <x:v>12</x:v>
      </x:c>
      <x:c r="H1778" s="14" t="n">
        <x:v>3</x:v>
      </x:c>
      <x:c r="I1778" s="14" t="n">
        <x:v>9</x:v>
      </x:c>
      <x:c r="J1778" s="14" t="n">
        <x:v>8</x:v>
      </x:c>
      <x:c r="K1778" s="14" t="n">
        <x:v>8</x:v>
      </x:c>
      <x:c r="L1778" s="14" t="n">
        <x:v>40</x:v>
      </x:c>
      <x:c r="M1778" s="14" t="n">
        <x:v>22</x:v>
      </x:c>
      <x:c r="N1778" s="15" t="n">
        <x:f>IF(E1778=0,"해당 없음",F1778/E1778)</x:f>
        <x:v>0.019230769230769232</x:v>
      </x:c>
      <x:c r="O1778" s="15" t="n">
        <x:f>IF(E1778=0,"해당 없음",G1778/E1778)</x:f>
        <x:v>0.11538461538461539</x:v>
      </x:c>
      <x:c r="P1778" s="15" t="n">
        <x:f>IF(E1778=0,"해당 없음",H1778/E1778)</x:f>
        <x:v>0.028846153846153848</x:v>
      </x:c>
      <x:c r="Q1778" s="15" t="n">
        <x:f>IF(E1778=0,"해당 없음",I1778/E1778)</x:f>
        <x:v>0.08653846153846154</x:v>
      </x:c>
      <x:c r="R1778" s="15" t="n">
        <x:f>IF(E1778=0,"해당 없음",J1778/E1778)</x:f>
        <x:v>0.07692307692307693</x:v>
      </x:c>
      <x:c r="S1778" s="15" t="n">
        <x:f>IF(E1778=0,"해당 없음",K1778/E1778)</x:f>
        <x:v>0.07692307692307693</x:v>
      </x:c>
      <x:c r="T1778" s="15" t="n">
        <x:f>IF(E1778=0,"해당 없음",L1778/E1778)</x:f>
        <x:v>0.38461538461538464</x:v>
      </x:c>
      <x:c r="U1778" s="15" t="n">
        <x:f>IF(E1778=0,"해당 없음",M1778/E1778)</x:f>
        <x:v>0.21153846153846154</x:v>
      </x:c>
      <x:c r="V1778" s="16" t="n">
        <x:f>E1778/5</x:f>
        <x:v>20.8</x:v>
      </x:c>
    </x:row>
    <x:row r="1779" ht="22" customHeight="1">
      <x:c r="A1779" s="2" t="n">
        <x:v>887</x:v>
      </x:c>
      <x:c r="B1779" s="2" t="str">
        <x:v>NAVY</x:v>
      </x:c>
      <x:c r="C1779" s="2" t="str">
        <x:v>160만</x:v>
      </x:c>
      <x:c r="D1779" s="2" t="str">
        <x:v>120만</x:v>
      </x:c>
      <x:c r="E1779" s="14" t="n">
        <x:f>SUM(F1779:M1779)</x:f>
        <x:v>105</x:v>
      </x:c>
      <x:c r="F1779" s="14" t="n">
        <x:v>7</x:v>
      </x:c>
      <x:c r="G1779" s="14" t="n">
        <x:v>15</x:v>
      </x:c>
      <x:c r="H1779" s="14" t="n">
        <x:v>7</x:v>
      </x:c>
      <x:c r="I1779" s="14" t="n">
        <x:v>5</x:v>
      </x:c>
      <x:c r="J1779" s="14" t="n">
        <x:v>4</x:v>
      </x:c>
      <x:c r="K1779" s="14" t="n">
        <x:v>5</x:v>
      </x:c>
      <x:c r="L1779" s="14" t="n">
        <x:v>30</x:v>
      </x:c>
      <x:c r="M1779" s="14" t="n">
        <x:v>32</x:v>
      </x:c>
      <x:c r="N1779" s="15" t="n">
        <x:f>IF(E1779=0,"해당 없음",F1779/E1779)</x:f>
        <x:v>0.06666666666666667</x:v>
      </x:c>
      <x:c r="O1779" s="15" t="n">
        <x:f>IF(E1779=0,"해당 없음",G1779/E1779)</x:f>
        <x:v>0.14285714285714285</x:v>
      </x:c>
      <x:c r="P1779" s="15" t="n">
        <x:f>IF(E1779=0,"해당 없음",H1779/E1779)</x:f>
        <x:v>0.06666666666666667</x:v>
      </x:c>
      <x:c r="Q1779" s="15" t="n">
        <x:f>IF(E1779=0,"해당 없음",I1779/E1779)</x:f>
        <x:v>0.047619047619047616</x:v>
      </x:c>
      <x:c r="R1779" s="15" t="n">
        <x:f>IF(E1779=0,"해당 없음",J1779/E1779)</x:f>
        <x:v>0.0380952380952381</x:v>
      </x:c>
      <x:c r="S1779" s="15" t="n">
        <x:f>IF(E1779=0,"해당 없음",K1779/E1779)</x:f>
        <x:v>0.047619047619047616</x:v>
      </x:c>
      <x:c r="T1779" s="15" t="n">
        <x:f>IF(E1779=0,"해당 없음",L1779/E1779)</x:f>
        <x:v>0.2857142857142857</x:v>
      </x:c>
      <x:c r="U1779" s="15" t="n">
        <x:f>IF(E1779=0,"해당 없음",M1779/E1779)</x:f>
        <x:v>0.3047619047619048</x:v>
      </x:c>
      <x:c r="V1779" s="16" t="n">
        <x:f>E1779/5</x:f>
        <x:v>21</x:v>
      </x:c>
    </x:row>
    <x:row r="1780" ht="22" customHeight="1">
      <x:c r="A1780" s="2" t="n">
        <x:v>888</x:v>
      </x:c>
      <x:c r="B1780" s="2" t="str">
        <x:v>RED</x:v>
      </x:c>
      <x:c r="C1780" s="2" t="str">
        <x:v>160만</x:v>
      </x:c>
      <x:c r="D1780" s="2" t="str">
        <x:v>120만</x:v>
      </x:c>
      <x:c r="E1780" s="14" t="n">
        <x:f>SUM(F1780:M1780)</x:f>
        <x:v>103</x:v>
      </x:c>
      <x:c r="F1780" s="14" t="n">
        <x:v>4</x:v>
      </x:c>
      <x:c r="G1780" s="14" t="n">
        <x:v>22</x:v>
      </x:c>
      <x:c r="H1780" s="14" t="n">
        <x:v>3</x:v>
      </x:c>
      <x:c r="I1780" s="14" t="n">
        <x:v>3</x:v>
      </x:c>
      <x:c r="J1780" s="14" t="n">
        <x:v>4</x:v>
      </x:c>
      <x:c r="K1780" s="14" t="n">
        <x:v>7</x:v>
      </x:c>
      <x:c r="L1780" s="14" t="n">
        <x:v>36</x:v>
      </x:c>
      <x:c r="M1780" s="14" t="n">
        <x:v>24</x:v>
      </x:c>
      <x:c r="N1780" s="15" t="n">
        <x:f>IF(E1780=0,"해당 없음",F1780/E1780)</x:f>
        <x:v>0.038834951456310676</x:v>
      </x:c>
      <x:c r="O1780" s="15" t="n">
        <x:f>IF(E1780=0,"해당 없음",G1780/E1780)</x:f>
        <x:v>0.21359223300970873</x:v>
      </x:c>
      <x:c r="P1780" s="15" t="n">
        <x:f>IF(E1780=0,"해당 없음",H1780/E1780)</x:f>
        <x:v>0.02912621359223301</x:v>
      </x:c>
      <x:c r="Q1780" s="15" t="n">
        <x:f>IF(E1780=0,"해당 없음",I1780/E1780)</x:f>
        <x:v>0.02912621359223301</x:v>
      </x:c>
      <x:c r="R1780" s="15" t="n">
        <x:f>IF(E1780=0,"해당 없음",J1780/E1780)</x:f>
        <x:v>0.038834951456310676</x:v>
      </x:c>
      <x:c r="S1780" s="15" t="n">
        <x:f>IF(E1780=0,"해당 없음",K1780/E1780)</x:f>
        <x:v>0.06796116504854369</x:v>
      </x:c>
      <x:c r="T1780" s="15" t="n">
        <x:f>IF(E1780=0,"해당 없음",L1780/E1780)</x:f>
        <x:v>0.34951456310679613</x:v>
      </x:c>
      <x:c r="U1780" s="15" t="n">
        <x:f>IF(E1780=0,"해당 없음",M1780/E1780)</x:f>
        <x:v>0.23300970873786409</x:v>
      </x:c>
      <x:c r="V1780" s="16" t="n">
        <x:f>E1780/5</x:f>
        <x:v>20.6</x:v>
      </x:c>
    </x:row>
    <x:row r="1781" ht="22" customHeight="1">
      <x:c r="A1781" s="2" t="n">
        <x:v>888</x:v>
      </x:c>
      <x:c r="B1781" s="2" t="str">
        <x:v>NAVY</x:v>
      </x:c>
      <x:c r="C1781" s="2" t="str">
        <x:v>120만</x:v>
      </x:c>
      <x:c r="D1781" s="2" t="str">
        <x:v>160만</x:v>
      </x:c>
      <x:c r="E1781" s="14" t="n">
        <x:f>SUM(F1781:M1781)</x:f>
        <x:v>103</x:v>
      </x:c>
      <x:c r="F1781" s="14" t="n">
        <x:v>1</x:v>
      </x:c>
      <x:c r="G1781" s="14" t="n">
        <x:v>16</x:v>
      </x:c>
      <x:c r="H1781" s="14" t="n">
        <x:v>8</x:v>
      </x:c>
      <x:c r="I1781" s="14" t="n">
        <x:v>9</x:v>
      </x:c>
      <x:c r="J1781" s="14" t="n">
        <x:v>3</x:v>
      </x:c>
      <x:c r="K1781" s="14" t="n">
        <x:v>4</x:v>
      </x:c>
      <x:c r="L1781" s="14" t="n">
        <x:v>40</x:v>
      </x:c>
      <x:c r="M1781" s="14" t="n">
        <x:v>22</x:v>
      </x:c>
      <x:c r="N1781" s="15" t="n">
        <x:f>IF(E1781=0,"해당 없음",F1781/E1781)</x:f>
        <x:v>0.009708737864077669</x:v>
      </x:c>
      <x:c r="O1781" s="15" t="n">
        <x:f>IF(E1781=0,"해당 없음",G1781/E1781)</x:f>
        <x:v>0.1553398058252427</x:v>
      </x:c>
      <x:c r="P1781" s="15" t="n">
        <x:f>IF(E1781=0,"해당 없음",H1781/E1781)</x:f>
        <x:v>0.07766990291262135</x:v>
      </x:c>
      <x:c r="Q1781" s="15" t="n">
        <x:f>IF(E1781=0,"해당 없음",I1781/E1781)</x:f>
        <x:v>0.08737864077669903</x:v>
      </x:c>
      <x:c r="R1781" s="15" t="n">
        <x:f>IF(E1781=0,"해당 없음",J1781/E1781)</x:f>
        <x:v>0.02912621359223301</x:v>
      </x:c>
      <x:c r="S1781" s="15" t="n">
        <x:f>IF(E1781=0,"해당 없음",K1781/E1781)</x:f>
        <x:v>0.038834951456310676</x:v>
      </x:c>
      <x:c r="T1781" s="15" t="n">
        <x:f>IF(E1781=0,"해당 없음",L1781/E1781)</x:f>
        <x:v>0.3883495145631068</x:v>
      </x:c>
      <x:c r="U1781" s="15" t="n">
        <x:f>IF(E1781=0,"해당 없음",M1781/E1781)</x:f>
        <x:v>0.21359223300970873</x:v>
      </x:c>
      <x:c r="V1781" s="16" t="n">
        <x:f>E1781/5</x:f>
        <x:v>20.6</x:v>
      </x:c>
    </x:row>
    <x:row r="1782" ht="22" customHeight="1">
      <x:c r="A1782" s="2" t="n">
        <x:v>889</x:v>
      </x:c>
      <x:c r="B1782" s="2" t="str">
        <x:v>RED</x:v>
      </x:c>
      <x:c r="C1782" s="2" t="str">
        <x:v>120만</x:v>
      </x:c>
      <x:c r="D1782" s="2" t="str">
        <x:v>160만</x:v>
      </x:c>
      <x:c r="E1782" s="14" t="n">
        <x:f>SUM(F1782:M1782)</x:f>
        <x:v>101</x:v>
      </x:c>
      <x:c r="F1782" s="14" t="n">
        <x:v>1</x:v>
      </x:c>
      <x:c r="G1782" s="14" t="n">
        <x:v>15</x:v>
      </x:c>
      <x:c r="H1782" s="14" t="n">
        <x:v>6</x:v>
      </x:c>
      <x:c r="I1782" s="14" t="n">
        <x:v>14</x:v>
      </x:c>
      <x:c r="J1782" s="14" t="n">
        <x:v>0</x:v>
      </x:c>
      <x:c r="K1782" s="14" t="n">
        <x:v>22</x:v>
      </x:c>
      <x:c r="L1782" s="14" t="n">
        <x:v>30</x:v>
      </x:c>
      <x:c r="M1782" s="14" t="n">
        <x:v>13</x:v>
      </x:c>
      <x:c r="N1782" s="15" t="n">
        <x:f>IF(E1782=0,"해당 없음",F1782/E1782)</x:f>
        <x:v>0.009900990099009901</x:v>
      </x:c>
      <x:c r="O1782" s="15" t="n">
        <x:f>IF(E1782=0,"해당 없음",G1782/E1782)</x:f>
        <x:v>0.1485148514851485</x:v>
      </x:c>
      <x:c r="P1782" s="15" t="n">
        <x:f>IF(E1782=0,"해당 없음",H1782/E1782)</x:f>
        <x:v>0.0594059405940594</x:v>
      </x:c>
      <x:c r="Q1782" s="15" t="n">
        <x:f>IF(E1782=0,"해당 없음",I1782/E1782)</x:f>
        <x:v>0.13861386138613863</x:v>
      </x:c>
      <x:c r="R1782" s="15" t="n">
        <x:f>IF(E1782=0,"해당 없음",J1782/E1782)</x:f>
        <x:v>0</x:v>
      </x:c>
      <x:c r="S1782" s="15" t="n">
        <x:f>IF(E1782=0,"해당 없음",K1782/E1782)</x:f>
        <x:v>0.21782178217821782</x:v>
      </x:c>
      <x:c r="T1782" s="15" t="n">
        <x:f>IF(E1782=0,"해당 없음",L1782/E1782)</x:f>
        <x:v>0.297029702970297</x:v>
      </x:c>
      <x:c r="U1782" s="15" t="n">
        <x:f>IF(E1782=0,"해당 없음",M1782/E1782)</x:f>
        <x:v>0.12871287128712872</x:v>
      </x:c>
      <x:c r="V1782" s="16" t="n">
        <x:f>E1782/5</x:f>
        <x:v>20.2</x:v>
      </x:c>
    </x:row>
    <x:row r="1783" ht="22" customHeight="1">
      <x:c r="A1783" s="2" t="n">
        <x:v>889</x:v>
      </x:c>
      <x:c r="B1783" s="2" t="str">
        <x:v>NAVY</x:v>
      </x:c>
      <x:c r="C1783" s="2" t="str">
        <x:v>160만</x:v>
      </x:c>
      <x:c r="D1783" s="2" t="str">
        <x:v>120만</x:v>
      </x:c>
      <x:c r="E1783" s="14" t="n">
        <x:f>SUM(F1783:M1783)</x:f>
        <x:v>102</x:v>
      </x:c>
      <x:c r="F1783" s="14" t="n">
        <x:v>6</x:v>
      </x:c>
      <x:c r="G1783" s="14" t="n">
        <x:v>24</x:v>
      </x:c>
      <x:c r="H1783" s="14" t="n">
        <x:v>6</x:v>
      </x:c>
      <x:c r="I1783" s="14" t="n">
        <x:v>1</x:v>
      </x:c>
      <x:c r="J1783" s="14" t="n">
        <x:v>1</x:v>
      </x:c>
      <x:c r="K1783" s="14" t="n">
        <x:v>3</x:v>
      </x:c>
      <x:c r="L1783" s="14" t="n">
        <x:v>26</x:v>
      </x:c>
      <x:c r="M1783" s="14" t="n">
        <x:v>35</x:v>
      </x:c>
      <x:c r="N1783" s="15" t="n">
        <x:f>IF(E1783=0,"해당 없음",F1783/E1783)</x:f>
        <x:v>0.058823529411764705</x:v>
      </x:c>
      <x:c r="O1783" s="15" t="n">
        <x:f>IF(E1783=0,"해당 없음",G1783/E1783)</x:f>
        <x:v>0.23529411764705882</x:v>
      </x:c>
      <x:c r="P1783" s="15" t="n">
        <x:f>IF(E1783=0,"해당 없음",H1783/E1783)</x:f>
        <x:v>0.058823529411764705</x:v>
      </x:c>
      <x:c r="Q1783" s="15" t="n">
        <x:f>IF(E1783=0,"해당 없음",I1783/E1783)</x:f>
        <x:v>0.00980392156862745</x:v>
      </x:c>
      <x:c r="R1783" s="15" t="n">
        <x:f>IF(E1783=0,"해당 없음",J1783/E1783)</x:f>
        <x:v>0.00980392156862745</x:v>
      </x:c>
      <x:c r="S1783" s="15" t="n">
        <x:f>IF(E1783=0,"해당 없음",K1783/E1783)</x:f>
        <x:v>0.029411764705882353</x:v>
      </x:c>
      <x:c r="T1783" s="15" t="n">
        <x:f>IF(E1783=0,"해당 없음",L1783/E1783)</x:f>
        <x:v>0.2549019607843137</x:v>
      </x:c>
      <x:c r="U1783" s="15" t="n">
        <x:f>IF(E1783=0,"해당 없음",M1783/E1783)</x:f>
        <x:v>0.3431372549019608</x:v>
      </x:c>
      <x:c r="V1783" s="16" t="n">
        <x:f>E1783/5</x:f>
        <x:v>20.4</x:v>
      </x:c>
    </x:row>
    <x:row r="1784" ht="22" customHeight="1">
      <x:c r="A1784" s="2" t="n">
        <x:v>890</x:v>
      </x:c>
      <x:c r="B1784" s="2" t="str">
        <x:v>RED</x:v>
      </x:c>
      <x:c r="C1784" s="2" t="str">
        <x:v>160만</x:v>
      </x:c>
      <x:c r="D1784" s="2" t="str">
        <x:v>120만</x:v>
      </x:c>
      <x:c r="E1784" s="14" t="n">
        <x:f>SUM(F1784:M1784)</x:f>
        <x:v>103</x:v>
      </x:c>
      <x:c r="F1784" s="14" t="n">
        <x:v>5</x:v>
      </x:c>
      <x:c r="G1784" s="14" t="n">
        <x:v>17</x:v>
      </x:c>
      <x:c r="H1784" s="14" t="n">
        <x:v>3</x:v>
      </x:c>
      <x:c r="I1784" s="14" t="n">
        <x:v>2</x:v>
      </x:c>
      <x:c r="J1784" s="14" t="n">
        <x:v>1</x:v>
      </x:c>
      <x:c r="K1784" s="14" t="n">
        <x:v>14</x:v>
      </x:c>
      <x:c r="L1784" s="14" t="n">
        <x:v>33</x:v>
      </x:c>
      <x:c r="M1784" s="14" t="n">
        <x:v>28</x:v>
      </x:c>
      <x:c r="N1784" s="15" t="n">
        <x:f>IF(E1784=0,"해당 없음",F1784/E1784)</x:f>
        <x:v>0.04854368932038835</x:v>
      </x:c>
      <x:c r="O1784" s="15" t="n">
        <x:f>IF(E1784=0,"해당 없음",G1784/E1784)</x:f>
        <x:v>0.1650485436893204</x:v>
      </x:c>
      <x:c r="P1784" s="15" t="n">
        <x:f>IF(E1784=0,"해당 없음",H1784/E1784)</x:f>
        <x:v>0.02912621359223301</x:v>
      </x:c>
      <x:c r="Q1784" s="15" t="n">
        <x:f>IF(E1784=0,"해당 없음",I1784/E1784)</x:f>
        <x:v>0.019417475728155338</x:v>
      </x:c>
      <x:c r="R1784" s="15" t="n">
        <x:f>IF(E1784=0,"해당 없음",J1784/E1784)</x:f>
        <x:v>0.009708737864077669</x:v>
      </x:c>
      <x:c r="S1784" s="15" t="n">
        <x:f>IF(E1784=0,"해당 없음",K1784/E1784)</x:f>
        <x:v>0.13592233009708737</x:v>
      </x:c>
      <x:c r="T1784" s="15" t="n">
        <x:f>IF(E1784=0,"해당 없음",L1784/E1784)</x:f>
        <x:v>0.32038834951456313</x:v>
      </x:c>
      <x:c r="U1784" s="15" t="n">
        <x:f>IF(E1784=0,"해당 없음",M1784/E1784)</x:f>
        <x:v>0.27184466019417475</x:v>
      </x:c>
      <x:c r="V1784" s="16" t="n">
        <x:f>E1784/5</x:f>
        <x:v>20.6</x:v>
      </x:c>
    </x:row>
    <x:row r="1785" ht="22" customHeight="1">
      <x:c r="A1785" s="2" t="n">
        <x:v>890</x:v>
      </x:c>
      <x:c r="B1785" s="2" t="str">
        <x:v>NAVY</x:v>
      </x:c>
      <x:c r="C1785" s="2" t="str">
        <x:v>120만</x:v>
      </x:c>
      <x:c r="D1785" s="2" t="str">
        <x:v>160만</x:v>
      </x:c>
      <x:c r="E1785" s="14" t="n">
        <x:f>SUM(F1785:M1785)</x:f>
        <x:v>105</x:v>
      </x:c>
      <x:c r="F1785" s="14" t="n">
        <x:v>2</x:v>
      </x:c>
      <x:c r="G1785" s="14" t="n">
        <x:v>19</x:v>
      </x:c>
      <x:c r="H1785" s="14" t="n">
        <x:v>10</x:v>
      </x:c>
      <x:c r="I1785" s="14" t="n">
        <x:v>5</x:v>
      </x:c>
      <x:c r="J1785" s="14" t="n">
        <x:v>6</x:v>
      </x:c>
      <x:c r="K1785" s="14" t="n">
        <x:v>13</x:v>
      </x:c>
      <x:c r="L1785" s="14" t="n">
        <x:v>34</x:v>
      </x:c>
      <x:c r="M1785" s="14" t="n">
        <x:v>16</x:v>
      </x:c>
      <x:c r="N1785" s="15" t="n">
        <x:f>IF(E1785=0,"해당 없음",F1785/E1785)</x:f>
        <x:v>0.01904761904761905</x:v>
      </x:c>
      <x:c r="O1785" s="15" t="n">
        <x:f>IF(E1785=0,"해당 없음",G1785/E1785)</x:f>
        <x:v>0.18095238095238095</x:v>
      </x:c>
      <x:c r="P1785" s="15" t="n">
        <x:f>IF(E1785=0,"해당 없음",H1785/E1785)</x:f>
        <x:v>0.09523809523809523</x:v>
      </x:c>
      <x:c r="Q1785" s="15" t="n">
        <x:f>IF(E1785=0,"해당 없음",I1785/E1785)</x:f>
        <x:v>0.047619047619047616</x:v>
      </x:c>
      <x:c r="R1785" s="15" t="n">
        <x:f>IF(E1785=0,"해당 없음",J1785/E1785)</x:f>
        <x:v>0.05714285714285714</x:v>
      </x:c>
      <x:c r="S1785" s="15" t="n">
        <x:f>IF(E1785=0,"해당 없음",K1785/E1785)</x:f>
        <x:v>0.12380952380952381</x:v>
      </x:c>
      <x:c r="T1785" s="15" t="n">
        <x:f>IF(E1785=0,"해당 없음",L1785/E1785)</x:f>
        <x:v>0.3238095238095238</x:v>
      </x:c>
      <x:c r="U1785" s="15" t="n">
        <x:f>IF(E1785=0,"해당 없음",M1785/E1785)</x:f>
        <x:v>0.1523809523809524</x:v>
      </x:c>
      <x:c r="V1785" s="16" t="n">
        <x:f>E1785/5</x:f>
        <x:v>21</x:v>
      </x:c>
    </x:row>
    <x:row r="1786" ht="22" customHeight="1">
      <x:c r="A1786" s="2" t="n">
        <x:v>891</x:v>
      </x:c>
      <x:c r="B1786" s="2" t="str">
        <x:v>RED</x:v>
      </x:c>
      <x:c r="C1786" s="2" t="str">
        <x:v>120만</x:v>
      </x:c>
      <x:c r="D1786" s="2" t="str">
        <x:v>160만</x:v>
      </x:c>
      <x:c r="E1786" s="14" t="n">
        <x:f>SUM(F1786:M1786)</x:f>
        <x:v>102</x:v>
      </x:c>
      <x:c r="F1786" s="14" t="n">
        <x:v>1</x:v>
      </x:c>
      <x:c r="G1786" s="14" t="n">
        <x:v>11</x:v>
      </x:c>
      <x:c r="H1786" s="14" t="n">
        <x:v>5</x:v>
      </x:c>
      <x:c r="I1786" s="14" t="n">
        <x:v>7</x:v>
      </x:c>
      <x:c r="J1786" s="14" t="n">
        <x:v>3</x:v>
      </x:c>
      <x:c r="K1786" s="14" t="n">
        <x:v>11</x:v>
      </x:c>
      <x:c r="L1786" s="14" t="n">
        <x:v>33</x:v>
      </x:c>
      <x:c r="M1786" s="14" t="n">
        <x:v>31</x:v>
      </x:c>
      <x:c r="N1786" s="15" t="n">
        <x:f>IF(E1786=0,"해당 없음",F1786/E1786)</x:f>
        <x:v>0.00980392156862745</x:v>
      </x:c>
      <x:c r="O1786" s="15" t="n">
        <x:f>IF(E1786=0,"해당 없음",G1786/E1786)</x:f>
        <x:v>0.10784313725490197</x:v>
      </x:c>
      <x:c r="P1786" s="15" t="n">
        <x:f>IF(E1786=0,"해당 없음",H1786/E1786)</x:f>
        <x:v>0.049019607843137254</x:v>
      </x:c>
      <x:c r="Q1786" s="15" t="n">
        <x:f>IF(E1786=0,"해당 없음",I1786/E1786)</x:f>
        <x:v>0.06862745098039216</x:v>
      </x:c>
      <x:c r="R1786" s="15" t="n">
        <x:f>IF(E1786=0,"해당 없음",J1786/E1786)</x:f>
        <x:v>0.029411764705882353</x:v>
      </x:c>
      <x:c r="S1786" s="15" t="n">
        <x:f>IF(E1786=0,"해당 없음",K1786/E1786)</x:f>
        <x:v>0.10784313725490197</x:v>
      </x:c>
      <x:c r="T1786" s="15" t="n">
        <x:f>IF(E1786=0,"해당 없음",L1786/E1786)</x:f>
        <x:v>0.3235294117647059</x:v>
      </x:c>
      <x:c r="U1786" s="15" t="n">
        <x:f>IF(E1786=0,"해당 없음",M1786/E1786)</x:f>
        <x:v>0.30392156862745096</x:v>
      </x:c>
      <x:c r="V1786" s="16" t="n">
        <x:f>E1786/5</x:f>
        <x:v>20.4</x:v>
      </x:c>
    </x:row>
    <x:row r="1787" ht="22" customHeight="1">
      <x:c r="A1787" s="2" t="n">
        <x:v>891</x:v>
      </x:c>
      <x:c r="B1787" s="2" t="str">
        <x:v>NAVY</x:v>
      </x:c>
      <x:c r="C1787" s="2" t="str">
        <x:v>160만</x:v>
      </x:c>
      <x:c r="D1787" s="2" t="str">
        <x:v>120만</x:v>
      </x:c>
      <x:c r="E1787" s="14" t="n">
        <x:f>SUM(F1787:M1787)</x:f>
        <x:v>104</x:v>
      </x:c>
      <x:c r="F1787" s="14" t="n">
        <x:v>1</x:v>
      </x:c>
      <x:c r="G1787" s="14" t="n">
        <x:v>14</x:v>
      </x:c>
      <x:c r="H1787" s="14" t="n">
        <x:v>2</x:v>
      </x:c>
      <x:c r="I1787" s="14" t="n">
        <x:v>4</x:v>
      </x:c>
      <x:c r="J1787" s="14" t="n">
        <x:v>5</x:v>
      </x:c>
      <x:c r="K1787" s="14" t="n">
        <x:v>5</x:v>
      </x:c>
      <x:c r="L1787" s="14" t="n">
        <x:v>30</x:v>
      </x:c>
      <x:c r="M1787" s="14" t="n">
        <x:v>43</x:v>
      </x:c>
      <x:c r="N1787" s="15" t="n">
        <x:f>IF(E1787=0,"해당 없음",F1787/E1787)</x:f>
        <x:v>0.009615384615384616</x:v>
      </x:c>
      <x:c r="O1787" s="15" t="n">
        <x:f>IF(E1787=0,"해당 없음",G1787/E1787)</x:f>
        <x:v>0.1346153846153846</x:v>
      </x:c>
      <x:c r="P1787" s="15" t="n">
        <x:f>IF(E1787=0,"해당 없음",H1787/E1787)</x:f>
        <x:v>0.019230769230769232</x:v>
      </x:c>
      <x:c r="Q1787" s="15" t="n">
        <x:f>IF(E1787=0,"해당 없음",I1787/E1787)</x:f>
        <x:v>0.038461538461538464</x:v>
      </x:c>
      <x:c r="R1787" s="15" t="n">
        <x:f>IF(E1787=0,"해당 없음",J1787/E1787)</x:f>
        <x:v>0.04807692307692308</x:v>
      </x:c>
      <x:c r="S1787" s="15" t="n">
        <x:f>IF(E1787=0,"해당 없음",K1787/E1787)</x:f>
        <x:v>0.04807692307692308</x:v>
      </x:c>
      <x:c r="T1787" s="15" t="n">
        <x:f>IF(E1787=0,"해당 없음",L1787/E1787)</x:f>
        <x:v>0.28846153846153844</x:v>
      </x:c>
      <x:c r="U1787" s="15" t="n">
        <x:f>IF(E1787=0,"해당 없음",M1787/E1787)</x:f>
        <x:v>0.41346153846153844</x:v>
      </x:c>
      <x:c r="V1787" s="16" t="n">
        <x:f>E1787/5</x:f>
        <x:v>20.8</x:v>
      </x:c>
    </x:row>
    <x:row r="1788" ht="22" customHeight="1">
      <x:c r="A1788" s="2" t="n">
        <x:v>892</x:v>
      </x:c>
      <x:c r="B1788" s="2" t="str">
        <x:v>RED</x:v>
      </x:c>
      <x:c r="C1788" s="2" t="str">
        <x:v>160만</x:v>
      </x:c>
      <x:c r="D1788" s="2" t="str">
        <x:v>120만</x:v>
      </x:c>
      <x:c r="E1788" s="14" t="n">
        <x:f>SUM(F1788:M1788)</x:f>
        <x:v>101</x:v>
      </x:c>
      <x:c r="F1788" s="14" t="n">
        <x:v>3</x:v>
      </x:c>
      <x:c r="G1788" s="14" t="n">
        <x:v>23</x:v>
      </x:c>
      <x:c r="H1788" s="14" t="n">
        <x:v>8</x:v>
      </x:c>
      <x:c r="I1788" s="14" t="n">
        <x:v>4</x:v>
      </x:c>
      <x:c r="J1788" s="14" t="n">
        <x:v>5</x:v>
      </x:c>
      <x:c r="K1788" s="14" t="n">
        <x:v>10</x:v>
      </x:c>
      <x:c r="L1788" s="14" t="n">
        <x:v>30</x:v>
      </x:c>
      <x:c r="M1788" s="14" t="n">
        <x:v>18</x:v>
      </x:c>
      <x:c r="N1788" s="15" t="n">
        <x:f>IF(E1788=0,"해당 없음",F1788/E1788)</x:f>
        <x:v>0.0297029702970297</x:v>
      </x:c>
      <x:c r="O1788" s="15" t="n">
        <x:f>IF(E1788=0,"해당 없음",G1788/E1788)</x:f>
        <x:v>0.22772277227722773</x:v>
      </x:c>
      <x:c r="P1788" s="15" t="n">
        <x:f>IF(E1788=0,"해당 없음",H1788/E1788)</x:f>
        <x:v>0.07920792079207921</x:v>
      </x:c>
      <x:c r="Q1788" s="15" t="n">
        <x:f>IF(E1788=0,"해당 없음",I1788/E1788)</x:f>
        <x:v>0.039603960396039604</x:v>
      </x:c>
      <x:c r="R1788" s="15" t="n">
        <x:f>IF(E1788=0,"해당 없음",J1788/E1788)</x:f>
        <x:v>0.04950495049504951</x:v>
      </x:c>
      <x:c r="S1788" s="15" t="n">
        <x:f>IF(E1788=0,"해당 없음",K1788/E1788)</x:f>
        <x:v>0.09900990099009901</x:v>
      </x:c>
      <x:c r="T1788" s="15" t="n">
        <x:f>IF(E1788=0,"해당 없음",L1788/E1788)</x:f>
        <x:v>0.297029702970297</x:v>
      </x:c>
      <x:c r="U1788" s="15" t="n">
        <x:f>IF(E1788=0,"해당 없음",M1788/E1788)</x:f>
        <x:v>0.1782178217821782</x:v>
      </x:c>
      <x:c r="V1788" s="16" t="n">
        <x:f>E1788/5</x:f>
        <x:v>20.2</x:v>
      </x:c>
    </x:row>
    <x:row r="1789" ht="22" customHeight="1">
      <x:c r="A1789" s="2" t="n">
        <x:v>892</x:v>
      </x:c>
      <x:c r="B1789" s="2" t="str">
        <x:v>NAVY</x:v>
      </x:c>
      <x:c r="C1789" s="2" t="str">
        <x:v>120만</x:v>
      </x:c>
      <x:c r="D1789" s="2" t="str">
        <x:v>160만</x:v>
      </x:c>
      <x:c r="E1789" s="14" t="n">
        <x:f>SUM(F1789:M1789)</x:f>
        <x:v>103</x:v>
      </x:c>
      <x:c r="F1789" s="14" t="n">
        <x:v>1</x:v>
      </x:c>
      <x:c r="G1789" s="14" t="n">
        <x:v>13</x:v>
      </x:c>
      <x:c r="H1789" s="14" t="n">
        <x:v>5</x:v>
      </x:c>
      <x:c r="I1789" s="14" t="n">
        <x:v>4</x:v>
      </x:c>
      <x:c r="J1789" s="14" t="n">
        <x:v>4</x:v>
      </x:c>
      <x:c r="K1789" s="14" t="n">
        <x:v>8</x:v>
      </x:c>
      <x:c r="L1789" s="14" t="n">
        <x:v>43</x:v>
      </x:c>
      <x:c r="M1789" s="14" t="n">
        <x:v>25</x:v>
      </x:c>
      <x:c r="N1789" s="15" t="n">
        <x:f>IF(E1789=0,"해당 없음",F1789/E1789)</x:f>
        <x:v>0.009708737864077669</x:v>
      </x:c>
      <x:c r="O1789" s="15" t="n">
        <x:f>IF(E1789=0,"해당 없음",G1789/E1789)</x:f>
        <x:v>0.1262135922330097</x:v>
      </x:c>
      <x:c r="P1789" s="15" t="n">
        <x:f>IF(E1789=0,"해당 없음",H1789/E1789)</x:f>
        <x:v>0.04854368932038835</x:v>
      </x:c>
      <x:c r="Q1789" s="15" t="n">
        <x:f>IF(E1789=0,"해당 없음",I1789/E1789)</x:f>
        <x:v>0.038834951456310676</x:v>
      </x:c>
      <x:c r="R1789" s="15" t="n">
        <x:f>IF(E1789=0,"해당 없음",J1789/E1789)</x:f>
        <x:v>0.038834951456310676</x:v>
      </x:c>
      <x:c r="S1789" s="15" t="n">
        <x:f>IF(E1789=0,"해당 없음",K1789/E1789)</x:f>
        <x:v>0.07766990291262135</x:v>
      </x:c>
      <x:c r="T1789" s="15" t="n">
        <x:f>IF(E1789=0,"해당 없음",L1789/E1789)</x:f>
        <x:v>0.4174757281553398</x:v>
      </x:c>
      <x:c r="U1789" s="15" t="n">
        <x:f>IF(E1789=0,"해당 없음",M1789/E1789)</x:f>
        <x:v>0.24271844660194175</x:v>
      </x:c>
      <x:c r="V1789" s="16" t="n">
        <x:f>E1789/5</x:f>
        <x:v>20.6</x:v>
      </x:c>
    </x:row>
    <x:row r="1790" ht="22" customHeight="1">
      <x:c r="A1790" s="2" t="n">
        <x:v>893</x:v>
      </x:c>
      <x:c r="B1790" s="2" t="str">
        <x:v>RED</x:v>
      </x:c>
      <x:c r="C1790" s="2" t="str">
        <x:v>120만</x:v>
      </x:c>
      <x:c r="D1790" s="2" t="str">
        <x:v>160만</x:v>
      </x:c>
      <x:c r="E1790" s="14" t="n">
        <x:f>SUM(F1790:M1790)</x:f>
        <x:v>103</x:v>
      </x:c>
      <x:c r="F1790" s="14" t="n">
        <x:v>2</x:v>
      </x:c>
      <x:c r="G1790" s="14" t="n">
        <x:v>17</x:v>
      </x:c>
      <x:c r="H1790" s="14" t="n">
        <x:v>7</x:v>
      </x:c>
      <x:c r="I1790" s="14" t="n">
        <x:v>6</x:v>
      </x:c>
      <x:c r="J1790" s="14" t="n">
        <x:v>4</x:v>
      </x:c>
      <x:c r="K1790" s="14" t="n">
        <x:v>7</x:v>
      </x:c>
      <x:c r="L1790" s="14" t="n">
        <x:v>37</x:v>
      </x:c>
      <x:c r="M1790" s="14" t="n">
        <x:v>23</x:v>
      </x:c>
      <x:c r="N1790" s="15" t="n">
        <x:f>IF(E1790=0,"해당 없음",F1790/E1790)</x:f>
        <x:v>0.019417475728155338</x:v>
      </x:c>
      <x:c r="O1790" s="15" t="n">
        <x:f>IF(E1790=0,"해당 없음",G1790/E1790)</x:f>
        <x:v>0.1650485436893204</x:v>
      </x:c>
      <x:c r="P1790" s="15" t="n">
        <x:f>IF(E1790=0,"해당 없음",H1790/E1790)</x:f>
        <x:v>0.06796116504854369</x:v>
      </x:c>
      <x:c r="Q1790" s="15" t="n">
        <x:f>IF(E1790=0,"해당 없음",I1790/E1790)</x:f>
        <x:v>0.05825242718446602</x:v>
      </x:c>
      <x:c r="R1790" s="15" t="n">
        <x:f>IF(E1790=0,"해당 없음",J1790/E1790)</x:f>
        <x:v>0.038834951456310676</x:v>
      </x:c>
      <x:c r="S1790" s="15" t="n">
        <x:f>IF(E1790=0,"해당 없음",K1790/E1790)</x:f>
        <x:v>0.06796116504854369</x:v>
      </x:c>
      <x:c r="T1790" s="15" t="n">
        <x:f>IF(E1790=0,"해당 없음",L1790/E1790)</x:f>
        <x:v>0.3592233009708738</x:v>
      </x:c>
      <x:c r="U1790" s="15" t="n">
        <x:f>IF(E1790=0,"해당 없음",M1790/E1790)</x:f>
        <x:v>0.22330097087378642</x:v>
      </x:c>
      <x:c r="V1790" s="16" t="n">
        <x:f>E1790/5</x:f>
        <x:v>20.6</x:v>
      </x:c>
    </x:row>
    <x:row r="1791" ht="22" customHeight="1">
      <x:c r="A1791" s="2" t="n">
        <x:v>893</x:v>
      </x:c>
      <x:c r="B1791" s="2" t="str">
        <x:v>NAVY</x:v>
      </x:c>
      <x:c r="C1791" s="2" t="str">
        <x:v>160만</x:v>
      </x:c>
      <x:c r="D1791" s="2" t="str">
        <x:v>120만</x:v>
      </x:c>
      <x:c r="E1791" s="14" t="n">
        <x:f>SUM(F1791:M1791)</x:f>
        <x:v>104</x:v>
      </x:c>
      <x:c r="F1791" s="14" t="n">
        <x:v>1</x:v>
      </x:c>
      <x:c r="G1791" s="14" t="n">
        <x:v>16</x:v>
      </x:c>
      <x:c r="H1791" s="14" t="n">
        <x:v>4</x:v>
      </x:c>
      <x:c r="I1791" s="14" t="n">
        <x:v>7</x:v>
      </x:c>
      <x:c r="J1791" s="14" t="n">
        <x:v>7</x:v>
      </x:c>
      <x:c r="K1791" s="14" t="n">
        <x:v>6</x:v>
      </x:c>
      <x:c r="L1791" s="14" t="n">
        <x:v>37</x:v>
      </x:c>
      <x:c r="M1791" s="14" t="n">
        <x:v>26</x:v>
      </x:c>
      <x:c r="N1791" s="15" t="n">
        <x:f>IF(E1791=0,"해당 없음",F1791/E1791)</x:f>
        <x:v>0.009615384615384616</x:v>
      </x:c>
      <x:c r="O1791" s="15" t="n">
        <x:f>IF(E1791=0,"해당 없음",G1791/E1791)</x:f>
        <x:v>0.15384615384615385</x:v>
      </x:c>
      <x:c r="P1791" s="15" t="n">
        <x:f>IF(E1791=0,"해당 없음",H1791/E1791)</x:f>
        <x:v>0.038461538461538464</x:v>
      </x:c>
      <x:c r="Q1791" s="15" t="n">
        <x:f>IF(E1791=0,"해당 없음",I1791/E1791)</x:f>
        <x:v>0.0673076923076923</x:v>
      </x:c>
      <x:c r="R1791" s="15" t="n">
        <x:f>IF(E1791=0,"해당 없음",J1791/E1791)</x:f>
        <x:v>0.0673076923076923</x:v>
      </x:c>
      <x:c r="S1791" s="15" t="n">
        <x:f>IF(E1791=0,"해당 없음",K1791/E1791)</x:f>
        <x:v>0.057692307692307696</x:v>
      </x:c>
      <x:c r="T1791" s="15" t="n">
        <x:f>IF(E1791=0,"해당 없음",L1791/E1791)</x:f>
        <x:v>0.3557692307692308</x:v>
      </x:c>
      <x:c r="U1791" s="15" t="n">
        <x:f>IF(E1791=0,"해당 없음",M1791/E1791)</x:f>
        <x:v>0.25</x:v>
      </x:c>
      <x:c r="V1791" s="16" t="n">
        <x:f>E1791/5</x:f>
        <x:v>20.8</x:v>
      </x:c>
    </x:row>
    <x:row r="1792" ht="22" customHeight="1">
      <x:c r="A1792" s="2" t="n">
        <x:v>894</x:v>
      </x:c>
      <x:c r="B1792" s="2" t="str">
        <x:v>RED</x:v>
      </x:c>
      <x:c r="C1792" s="2" t="str">
        <x:v>160만</x:v>
      </x:c>
      <x:c r="D1792" s="2" t="str">
        <x:v>120만</x:v>
      </x:c>
      <x:c r="E1792" s="14" t="n">
        <x:f>SUM(F1792:M1792)</x:f>
        <x:v>101</x:v>
      </x:c>
      <x:c r="F1792" s="14" t="n">
        <x:v>6</x:v>
      </x:c>
      <x:c r="G1792" s="14" t="n">
        <x:v>21</x:v>
      </x:c>
      <x:c r="H1792" s="14" t="n">
        <x:v>6</x:v>
      </x:c>
      <x:c r="I1792" s="14" t="n">
        <x:v>4</x:v>
      </x:c>
      <x:c r="J1792" s="14" t="n">
        <x:v>2</x:v>
      </x:c>
      <x:c r="K1792" s="14" t="n">
        <x:v>5</x:v>
      </x:c>
      <x:c r="L1792" s="14" t="n">
        <x:v>28</x:v>
      </x:c>
      <x:c r="M1792" s="14" t="n">
        <x:v>29</x:v>
      </x:c>
      <x:c r="N1792" s="15" t="n">
        <x:f>IF(E1792=0,"해당 없음",F1792/E1792)</x:f>
        <x:v>0.0594059405940594</x:v>
      </x:c>
      <x:c r="O1792" s="15" t="n">
        <x:f>IF(E1792=0,"해당 없음",G1792/E1792)</x:f>
        <x:v>0.2079207920792079</x:v>
      </x:c>
      <x:c r="P1792" s="15" t="n">
        <x:f>IF(E1792=0,"해당 없음",H1792/E1792)</x:f>
        <x:v>0.0594059405940594</x:v>
      </x:c>
      <x:c r="Q1792" s="15" t="n">
        <x:f>IF(E1792=0,"해당 없음",I1792/E1792)</x:f>
        <x:v>0.039603960396039604</x:v>
      </x:c>
      <x:c r="R1792" s="15" t="n">
        <x:f>IF(E1792=0,"해당 없음",J1792/E1792)</x:f>
        <x:v>0.019801980198019802</x:v>
      </x:c>
      <x:c r="S1792" s="15" t="n">
        <x:f>IF(E1792=0,"해당 없음",K1792/E1792)</x:f>
        <x:v>0.04950495049504951</x:v>
      </x:c>
      <x:c r="T1792" s="15" t="n">
        <x:f>IF(E1792=0,"해당 없음",L1792/E1792)</x:f>
        <x:v>0.27722772277227725</x:v>
      </x:c>
      <x:c r="U1792" s="15" t="n">
        <x:f>IF(E1792=0,"해당 없음",M1792/E1792)</x:f>
        <x:v>0.2871287128712871</x:v>
      </x:c>
      <x:c r="V1792" s="16" t="n">
        <x:f>E1792/5</x:f>
        <x:v>20.2</x:v>
      </x:c>
    </x:row>
    <x:row r="1793" ht="22" customHeight="1">
      <x:c r="A1793" s="2" t="n">
        <x:v>894</x:v>
      </x:c>
      <x:c r="B1793" s="2" t="str">
        <x:v>NAVY</x:v>
      </x:c>
      <x:c r="C1793" s="2" t="str">
        <x:v>120만</x:v>
      </x:c>
      <x:c r="D1793" s="2" t="str">
        <x:v>160만</x:v>
      </x:c>
      <x:c r="E1793" s="14" t="n">
        <x:f>SUM(F1793:M1793)</x:f>
        <x:v>104</x:v>
      </x:c>
      <x:c r="F1793" s="14" t="n">
        <x:v>4</x:v>
      </x:c>
      <x:c r="G1793" s="14" t="n">
        <x:v>14</x:v>
      </x:c>
      <x:c r="H1793" s="14" t="n">
        <x:v>4</x:v>
      </x:c>
      <x:c r="I1793" s="14" t="n">
        <x:v>7</x:v>
      </x:c>
      <x:c r="J1793" s="14" t="n">
        <x:v>3</x:v>
      </x:c>
      <x:c r="K1793" s="14" t="n">
        <x:v>16</x:v>
      </x:c>
      <x:c r="L1793" s="14" t="n">
        <x:v>37</x:v>
      </x:c>
      <x:c r="M1793" s="14" t="n">
        <x:v>19</x:v>
      </x:c>
      <x:c r="N1793" s="15" t="n">
        <x:f>IF(E1793=0,"해당 없음",F1793/E1793)</x:f>
        <x:v>0.038461538461538464</x:v>
      </x:c>
      <x:c r="O1793" s="15" t="n">
        <x:f>IF(E1793=0,"해당 없음",G1793/E1793)</x:f>
        <x:v>0.1346153846153846</x:v>
      </x:c>
      <x:c r="P1793" s="15" t="n">
        <x:f>IF(E1793=0,"해당 없음",H1793/E1793)</x:f>
        <x:v>0.038461538461538464</x:v>
      </x:c>
      <x:c r="Q1793" s="15" t="n">
        <x:f>IF(E1793=0,"해당 없음",I1793/E1793)</x:f>
        <x:v>0.0673076923076923</x:v>
      </x:c>
      <x:c r="R1793" s="15" t="n">
        <x:f>IF(E1793=0,"해당 없음",J1793/E1793)</x:f>
        <x:v>0.028846153846153848</x:v>
      </x:c>
      <x:c r="S1793" s="15" t="n">
        <x:f>IF(E1793=0,"해당 없음",K1793/E1793)</x:f>
        <x:v>0.15384615384615385</x:v>
      </x:c>
      <x:c r="T1793" s="15" t="n">
        <x:f>IF(E1793=0,"해당 없음",L1793/E1793)</x:f>
        <x:v>0.3557692307692308</x:v>
      </x:c>
      <x:c r="U1793" s="15" t="n">
        <x:f>IF(E1793=0,"해당 없음",M1793/E1793)</x:f>
        <x:v>0.18269230769230768</x:v>
      </x:c>
      <x:c r="V1793" s="16" t="n">
        <x:f>E1793/5</x:f>
        <x:v>20.8</x:v>
      </x:c>
    </x:row>
    <x:row r="1794" ht="22" customHeight="1">
      <x:c r="A1794" s="2" t="n">
        <x:v>895</x:v>
      </x:c>
      <x:c r="B1794" s="2" t="str">
        <x:v>RED</x:v>
      </x:c>
      <x:c r="C1794" s="2" t="str">
        <x:v>120만</x:v>
      </x:c>
      <x:c r="D1794" s="2" t="str">
        <x:v>160만</x:v>
      </x:c>
      <x:c r="E1794" s="14" t="n">
        <x:f>SUM(F1794:M1794)</x:f>
        <x:v>105</x:v>
      </x:c>
      <x:c r="F1794" s="14" t="n">
        <x:v>1</x:v>
      </x:c>
      <x:c r="G1794" s="14" t="n">
        <x:v>13</x:v>
      </x:c>
      <x:c r="H1794" s="14" t="n">
        <x:v>9</x:v>
      </x:c>
      <x:c r="I1794" s="14" t="n">
        <x:v>7</x:v>
      </x:c>
      <x:c r="J1794" s="14" t="n">
        <x:v>4</x:v>
      </x:c>
      <x:c r="K1794" s="14" t="n">
        <x:v>8</x:v>
      </x:c>
      <x:c r="L1794" s="14" t="n">
        <x:v>43</x:v>
      </x:c>
      <x:c r="M1794" s="14" t="n">
        <x:v>20</x:v>
      </x:c>
      <x:c r="N1794" s="15" t="n">
        <x:f>IF(E1794=0,"해당 없음",F1794/E1794)</x:f>
        <x:v>0.009523809523809525</x:v>
      </x:c>
      <x:c r="O1794" s="15" t="n">
        <x:f>IF(E1794=0,"해당 없음",G1794/E1794)</x:f>
        <x:v>0.12380952380952381</x:v>
      </x:c>
      <x:c r="P1794" s="15" t="n">
        <x:f>IF(E1794=0,"해당 없음",H1794/E1794)</x:f>
        <x:v>0.08571428571428572</x:v>
      </x:c>
      <x:c r="Q1794" s="15" t="n">
        <x:f>IF(E1794=0,"해당 없음",I1794/E1794)</x:f>
        <x:v>0.06666666666666667</x:v>
      </x:c>
      <x:c r="R1794" s="15" t="n">
        <x:f>IF(E1794=0,"해당 없음",J1794/E1794)</x:f>
        <x:v>0.0380952380952381</x:v>
      </x:c>
      <x:c r="S1794" s="15" t="n">
        <x:f>IF(E1794=0,"해당 없음",K1794/E1794)</x:f>
        <x:v>0.0761904761904762</x:v>
      </x:c>
      <x:c r="T1794" s="15" t="n">
        <x:f>IF(E1794=0,"해당 없음",L1794/E1794)</x:f>
        <x:v>0.4095238095238095</x:v>
      </x:c>
      <x:c r="U1794" s="15" t="n">
        <x:f>IF(E1794=0,"해당 없음",M1794/E1794)</x:f>
        <x:v>0.19047619047619047</x:v>
      </x:c>
      <x:c r="V1794" s="16" t="n">
        <x:f>E1794/5</x:f>
        <x:v>21</x:v>
      </x:c>
    </x:row>
    <x:row r="1795" ht="22" customHeight="1">
      <x:c r="A1795" s="2" t="n">
        <x:v>895</x:v>
      </x:c>
      <x:c r="B1795" s="2" t="str">
        <x:v>NAVY</x:v>
      </x:c>
      <x:c r="C1795" s="2" t="str">
        <x:v>160만</x:v>
      </x:c>
      <x:c r="D1795" s="2" t="str">
        <x:v>120만</x:v>
      </x:c>
      <x:c r="E1795" s="14" t="n">
        <x:f>SUM(F1795:M1795)</x:f>
        <x:v>105</x:v>
      </x:c>
      <x:c r="F1795" s="14" t="n">
        <x:v>4</x:v>
      </x:c>
      <x:c r="G1795" s="14" t="n">
        <x:v>11</x:v>
      </x:c>
      <x:c r="H1795" s="14" t="n">
        <x:v>5</x:v>
      </x:c>
      <x:c r="I1795" s="14" t="n">
        <x:v>6</x:v>
      </x:c>
      <x:c r="J1795" s="14" t="n">
        <x:v>8</x:v>
      </x:c>
      <x:c r="K1795" s="14" t="n">
        <x:v>4</x:v>
      </x:c>
      <x:c r="L1795" s="14" t="n">
        <x:v>40</x:v>
      </x:c>
      <x:c r="M1795" s="14" t="n">
        <x:v>27</x:v>
      </x:c>
      <x:c r="N1795" s="15" t="n">
        <x:f>IF(E1795=0,"해당 없음",F1795/E1795)</x:f>
        <x:v>0.0380952380952381</x:v>
      </x:c>
      <x:c r="O1795" s="15" t="n">
        <x:f>IF(E1795=0,"해당 없음",G1795/E1795)</x:f>
        <x:v>0.10476190476190476</x:v>
      </x:c>
      <x:c r="P1795" s="15" t="n">
        <x:f>IF(E1795=0,"해당 없음",H1795/E1795)</x:f>
        <x:v>0.047619047619047616</x:v>
      </x:c>
      <x:c r="Q1795" s="15" t="n">
        <x:f>IF(E1795=0,"해당 없음",I1795/E1795)</x:f>
        <x:v>0.05714285714285714</x:v>
      </x:c>
      <x:c r="R1795" s="15" t="n">
        <x:f>IF(E1795=0,"해당 없음",J1795/E1795)</x:f>
        <x:v>0.0761904761904762</x:v>
      </x:c>
      <x:c r="S1795" s="15" t="n">
        <x:f>IF(E1795=0,"해당 없음",K1795/E1795)</x:f>
        <x:v>0.0380952380952381</x:v>
      </x:c>
      <x:c r="T1795" s="15" t="n">
        <x:f>IF(E1795=0,"해당 없음",L1795/E1795)</x:f>
        <x:v>0.38095238095238093</x:v>
      </x:c>
      <x:c r="U1795" s="15" t="n">
        <x:f>IF(E1795=0,"해당 없음",M1795/E1795)</x:f>
        <x:v>0.2571428571428571</x:v>
      </x:c>
      <x:c r="V1795" s="16" t="n">
        <x:f>E1795/5</x:f>
        <x:v>21</x:v>
      </x:c>
    </x:row>
    <x:row r="1796" ht="22" customHeight="1">
      <x:c r="A1796" s="2" t="n">
        <x:v>896</x:v>
      </x:c>
      <x:c r="B1796" s="2" t="str">
        <x:v>RED</x:v>
      </x:c>
      <x:c r="C1796" s="2" t="str">
        <x:v>160만</x:v>
      </x:c>
      <x:c r="D1796" s="2" t="str">
        <x:v>120만</x:v>
      </x:c>
      <x:c r="E1796" s="14" t="n">
        <x:f>SUM(F1796:M1796)</x:f>
        <x:v>102</x:v>
      </x:c>
      <x:c r="F1796" s="14" t="n">
        <x:v>4</x:v>
      </x:c>
      <x:c r="G1796" s="14" t="n">
        <x:v>17</x:v>
      </x:c>
      <x:c r="H1796" s="14" t="n">
        <x:v>7</x:v>
      </x:c>
      <x:c r="I1796" s="14" t="n">
        <x:v>8</x:v>
      </x:c>
      <x:c r="J1796" s="14" t="n">
        <x:v>1</x:v>
      </x:c>
      <x:c r="K1796" s="14" t="n">
        <x:v>8</x:v>
      </x:c>
      <x:c r="L1796" s="14" t="n">
        <x:v>31</x:v>
      </x:c>
      <x:c r="M1796" s="14" t="n">
        <x:v>26</x:v>
      </x:c>
      <x:c r="N1796" s="15" t="n">
        <x:f>IF(E1796=0,"해당 없음",F1796/E1796)</x:f>
        <x:v>0.0392156862745098</x:v>
      </x:c>
      <x:c r="O1796" s="15" t="n">
        <x:f>IF(E1796=0,"해당 없음",G1796/E1796)</x:f>
        <x:v>0.16666666666666666</x:v>
      </x:c>
      <x:c r="P1796" s="15" t="n">
        <x:f>IF(E1796=0,"해당 없음",H1796/E1796)</x:f>
        <x:v>0.06862745098039216</x:v>
      </x:c>
      <x:c r="Q1796" s="15" t="n">
        <x:f>IF(E1796=0,"해당 없음",I1796/E1796)</x:f>
        <x:v>0.0784313725490196</x:v>
      </x:c>
      <x:c r="R1796" s="15" t="n">
        <x:f>IF(E1796=0,"해당 없음",J1796/E1796)</x:f>
        <x:v>0.00980392156862745</x:v>
      </x:c>
      <x:c r="S1796" s="15" t="n">
        <x:f>IF(E1796=0,"해당 없음",K1796/E1796)</x:f>
        <x:v>0.0784313725490196</x:v>
      </x:c>
      <x:c r="T1796" s="15" t="n">
        <x:f>IF(E1796=0,"해당 없음",L1796/E1796)</x:f>
        <x:v>0.30392156862745096</x:v>
      </x:c>
      <x:c r="U1796" s="15" t="n">
        <x:f>IF(E1796=0,"해당 없음",M1796/E1796)</x:f>
        <x:v>0.2549019607843137</x:v>
      </x:c>
      <x:c r="V1796" s="16" t="n">
        <x:f>E1796/5</x:f>
        <x:v>20.4</x:v>
      </x:c>
    </x:row>
    <x:row r="1797" ht="22" customHeight="1">
      <x:c r="A1797" s="2" t="n">
        <x:v>896</x:v>
      </x:c>
      <x:c r="B1797" s="2" t="str">
        <x:v>NAVY</x:v>
      </x:c>
      <x:c r="C1797" s="2" t="str">
        <x:v>120만</x:v>
      </x:c>
      <x:c r="D1797" s="2" t="str">
        <x:v>160만</x:v>
      </x:c>
      <x:c r="E1797" s="14" t="n">
        <x:f>SUM(F1797:M1797)</x:f>
        <x:v>102</x:v>
      </x:c>
      <x:c r="F1797" s="14" t="n">
        <x:v>2</x:v>
      </x:c>
      <x:c r="G1797" s="14" t="n">
        <x:v>13</x:v>
      </x:c>
      <x:c r="H1797" s="14" t="n">
        <x:v>6</x:v>
      </x:c>
      <x:c r="I1797" s="14" t="n">
        <x:v>5</x:v>
      </x:c>
      <x:c r="J1797" s="14" t="n">
        <x:v>2</x:v>
      </x:c>
      <x:c r="K1797" s="14" t="n">
        <x:v>11</x:v>
      </x:c>
      <x:c r="L1797" s="14" t="n">
        <x:v>33</x:v>
      </x:c>
      <x:c r="M1797" s="14" t="n">
        <x:v>30</x:v>
      </x:c>
      <x:c r="N1797" s="15" t="n">
        <x:f>IF(E1797=0,"해당 없음",F1797/E1797)</x:f>
        <x:v>0.0196078431372549</x:v>
      </x:c>
      <x:c r="O1797" s="15" t="n">
        <x:f>IF(E1797=0,"해당 없음",G1797/E1797)</x:f>
        <x:v>0.12745098039215685</x:v>
      </x:c>
      <x:c r="P1797" s="15" t="n">
        <x:f>IF(E1797=0,"해당 없음",H1797/E1797)</x:f>
        <x:v>0.058823529411764705</x:v>
      </x:c>
      <x:c r="Q1797" s="15" t="n">
        <x:f>IF(E1797=0,"해당 없음",I1797/E1797)</x:f>
        <x:v>0.049019607843137254</x:v>
      </x:c>
      <x:c r="R1797" s="15" t="n">
        <x:f>IF(E1797=0,"해당 없음",J1797/E1797)</x:f>
        <x:v>0.0196078431372549</x:v>
      </x:c>
      <x:c r="S1797" s="15" t="n">
        <x:f>IF(E1797=0,"해당 없음",K1797/E1797)</x:f>
        <x:v>0.10784313725490197</x:v>
      </x:c>
      <x:c r="T1797" s="15" t="n">
        <x:f>IF(E1797=0,"해당 없음",L1797/E1797)</x:f>
        <x:v>0.3235294117647059</x:v>
      </x:c>
      <x:c r="U1797" s="15" t="n">
        <x:f>IF(E1797=0,"해당 없음",M1797/E1797)</x:f>
        <x:v>0.29411764705882354</x:v>
      </x:c>
      <x:c r="V1797" s="16" t="n">
        <x:f>E1797/5</x:f>
        <x:v>20.4</x:v>
      </x:c>
    </x:row>
    <x:row r="1798" ht="22" customHeight="1">
      <x:c r="A1798" s="2" t="n">
        <x:v>897</x:v>
      </x:c>
      <x:c r="B1798" s="2" t="str">
        <x:v>RED</x:v>
      </x:c>
      <x:c r="C1798" s="2" t="str">
        <x:v>120만</x:v>
      </x:c>
      <x:c r="D1798" s="2" t="str">
        <x:v>160만</x:v>
      </x:c>
      <x:c r="E1798" s="14" t="n">
        <x:f>SUM(F1798:M1798)</x:f>
        <x:v>101</x:v>
      </x:c>
      <x:c r="F1798" s="14" t="n">
        <x:v>1</x:v>
      </x:c>
      <x:c r="G1798" s="14" t="n">
        <x:v>20</x:v>
      </x:c>
      <x:c r="H1798" s="14" t="n">
        <x:v>6</x:v>
      </x:c>
      <x:c r="I1798" s="14" t="n">
        <x:v>9</x:v>
      </x:c>
      <x:c r="J1798" s="14" t="n">
        <x:v>1</x:v>
      </x:c>
      <x:c r="K1798" s="14" t="n">
        <x:v>9</x:v>
      </x:c>
      <x:c r="L1798" s="14" t="n">
        <x:v>37</x:v>
      </x:c>
      <x:c r="M1798" s="14" t="n">
        <x:v>18</x:v>
      </x:c>
      <x:c r="N1798" s="15" t="n">
        <x:f>IF(E1798=0,"해당 없음",F1798/E1798)</x:f>
        <x:v>0.009900990099009901</x:v>
      </x:c>
      <x:c r="O1798" s="15" t="n">
        <x:f>IF(E1798=0,"해당 없음",G1798/E1798)</x:f>
        <x:v>0.19801980198019803</x:v>
      </x:c>
      <x:c r="P1798" s="15" t="n">
        <x:f>IF(E1798=0,"해당 없음",H1798/E1798)</x:f>
        <x:v>0.0594059405940594</x:v>
      </x:c>
      <x:c r="Q1798" s="15" t="n">
        <x:f>IF(E1798=0,"해당 없음",I1798/E1798)</x:f>
        <x:v>0.0891089108910891</x:v>
      </x:c>
      <x:c r="R1798" s="15" t="n">
        <x:f>IF(E1798=0,"해당 없음",J1798/E1798)</x:f>
        <x:v>0.009900990099009901</x:v>
      </x:c>
      <x:c r="S1798" s="15" t="n">
        <x:f>IF(E1798=0,"해당 없음",K1798/E1798)</x:f>
        <x:v>0.0891089108910891</x:v>
      </x:c>
      <x:c r="T1798" s="15" t="n">
        <x:f>IF(E1798=0,"해당 없음",L1798/E1798)</x:f>
        <x:v>0.36633663366336633</x:v>
      </x:c>
      <x:c r="U1798" s="15" t="n">
        <x:f>IF(E1798=0,"해당 없음",M1798/E1798)</x:f>
        <x:v>0.1782178217821782</x:v>
      </x:c>
      <x:c r="V1798" s="16" t="n">
        <x:f>E1798/5</x:f>
        <x:v>20.2</x:v>
      </x:c>
    </x:row>
    <x:row r="1799" ht="22" customHeight="1">
      <x:c r="A1799" s="2" t="n">
        <x:v>897</x:v>
      </x:c>
      <x:c r="B1799" s="2" t="str">
        <x:v>NAVY</x:v>
      </x:c>
      <x:c r="C1799" s="2" t="str">
        <x:v>160만</x:v>
      </x:c>
      <x:c r="D1799" s="2" t="str">
        <x:v>120만</x:v>
      </x:c>
      <x:c r="E1799" s="14" t="n">
        <x:f>SUM(F1799:M1799)</x:f>
        <x:v>101</x:v>
      </x:c>
      <x:c r="F1799" s="14" t="n">
        <x:v>6</x:v>
      </x:c>
      <x:c r="G1799" s="14" t="n">
        <x:v>16</x:v>
      </x:c>
      <x:c r="H1799" s="14" t="n">
        <x:v>4</x:v>
      </x:c>
      <x:c r="I1799" s="14" t="n">
        <x:v>3</x:v>
      </x:c>
      <x:c r="J1799" s="14" t="n">
        <x:v>3</x:v>
      </x:c>
      <x:c r="K1799" s="14" t="n">
        <x:v>6</x:v>
      </x:c>
      <x:c r="L1799" s="14" t="n">
        <x:v>32</x:v>
      </x:c>
      <x:c r="M1799" s="14" t="n">
        <x:v>31</x:v>
      </x:c>
      <x:c r="N1799" s="15" t="n">
        <x:f>IF(E1799=0,"해당 없음",F1799/E1799)</x:f>
        <x:v>0.0594059405940594</x:v>
      </x:c>
      <x:c r="O1799" s="15" t="n">
        <x:f>IF(E1799=0,"해당 없음",G1799/E1799)</x:f>
        <x:v>0.15841584158415842</x:v>
      </x:c>
      <x:c r="P1799" s="15" t="n">
        <x:f>IF(E1799=0,"해당 없음",H1799/E1799)</x:f>
        <x:v>0.039603960396039604</x:v>
      </x:c>
      <x:c r="Q1799" s="15" t="n">
        <x:f>IF(E1799=0,"해당 없음",I1799/E1799)</x:f>
        <x:v>0.0297029702970297</x:v>
      </x:c>
      <x:c r="R1799" s="15" t="n">
        <x:f>IF(E1799=0,"해당 없음",J1799/E1799)</x:f>
        <x:v>0.0297029702970297</x:v>
      </x:c>
      <x:c r="S1799" s="15" t="n">
        <x:f>IF(E1799=0,"해당 없음",K1799/E1799)</x:f>
        <x:v>0.0594059405940594</x:v>
      </x:c>
      <x:c r="T1799" s="15" t="n">
        <x:f>IF(E1799=0,"해당 없음",L1799/E1799)</x:f>
        <x:v>0.31683168316831684</x:v>
      </x:c>
      <x:c r="U1799" s="15" t="n">
        <x:f>IF(E1799=0,"해당 없음",M1799/E1799)</x:f>
        <x:v>0.3069306930693069</x:v>
      </x:c>
      <x:c r="V1799" s="16" t="n">
        <x:f>E1799/5</x:f>
        <x:v>20.2</x:v>
      </x:c>
    </x:row>
    <x:row r="1800" ht="22" customHeight="1">
      <x:c r="A1800" s="2" t="n">
        <x:v>898</x:v>
      </x:c>
      <x:c r="B1800" s="2" t="str">
        <x:v>RED</x:v>
      </x:c>
      <x:c r="C1800" s="2" t="str">
        <x:v>160만</x:v>
      </x:c>
      <x:c r="D1800" s="2" t="str">
        <x:v>120만</x:v>
      </x:c>
      <x:c r="E1800" s="14" t="n">
        <x:f>SUM(F1800:M1800)</x:f>
        <x:v>101</x:v>
      </x:c>
      <x:c r="F1800" s="14" t="n">
        <x:v>3</x:v>
      </x:c>
      <x:c r="G1800" s="14" t="n">
        <x:v>24</x:v>
      </x:c>
      <x:c r="H1800" s="14" t="n">
        <x:v>4</x:v>
      </x:c>
      <x:c r="I1800" s="14" t="n">
        <x:v>6</x:v>
      </x:c>
      <x:c r="J1800" s="14" t="n">
        <x:v>2</x:v>
      </x:c>
      <x:c r="K1800" s="14" t="n">
        <x:v>3</x:v>
      </x:c>
      <x:c r="L1800" s="14" t="n">
        <x:v>31</x:v>
      </x:c>
      <x:c r="M1800" s="14" t="n">
        <x:v>28</x:v>
      </x:c>
      <x:c r="N1800" s="15" t="n">
        <x:f>IF(E1800=0,"해당 없음",F1800/E1800)</x:f>
        <x:v>0.0297029702970297</x:v>
      </x:c>
      <x:c r="O1800" s="15" t="n">
        <x:f>IF(E1800=0,"해당 없음",G1800/E1800)</x:f>
        <x:v>0.2376237623762376</x:v>
      </x:c>
      <x:c r="P1800" s="15" t="n">
        <x:f>IF(E1800=0,"해당 없음",H1800/E1800)</x:f>
        <x:v>0.039603960396039604</x:v>
      </x:c>
      <x:c r="Q1800" s="15" t="n">
        <x:f>IF(E1800=0,"해당 없음",I1800/E1800)</x:f>
        <x:v>0.0594059405940594</x:v>
      </x:c>
      <x:c r="R1800" s="15" t="n">
        <x:f>IF(E1800=0,"해당 없음",J1800/E1800)</x:f>
        <x:v>0.019801980198019802</x:v>
      </x:c>
      <x:c r="S1800" s="15" t="n">
        <x:f>IF(E1800=0,"해당 없음",K1800/E1800)</x:f>
        <x:v>0.0297029702970297</x:v>
      </x:c>
      <x:c r="T1800" s="15" t="n">
        <x:f>IF(E1800=0,"해당 없음",L1800/E1800)</x:f>
        <x:v>0.3069306930693069</x:v>
      </x:c>
      <x:c r="U1800" s="15" t="n">
        <x:f>IF(E1800=0,"해당 없음",M1800/E1800)</x:f>
        <x:v>0.27722772277227725</x:v>
      </x:c>
      <x:c r="V1800" s="16" t="n">
        <x:f>E1800/5</x:f>
        <x:v>20.2</x:v>
      </x:c>
    </x:row>
    <x:row r="1801" ht="22" customHeight="1">
      <x:c r="A1801" s="2" t="n">
        <x:v>898</x:v>
      </x:c>
      <x:c r="B1801" s="2" t="str">
        <x:v>NAVY</x:v>
      </x:c>
      <x:c r="C1801" s="2" t="str">
        <x:v>120만</x:v>
      </x:c>
      <x:c r="D1801" s="2" t="str">
        <x:v>160만</x:v>
      </x:c>
      <x:c r="E1801" s="14" t="n">
        <x:f>SUM(F1801:M1801)</x:f>
        <x:v>102</x:v>
      </x:c>
      <x:c r="F1801" s="14" t="n">
        <x:v>0</x:v>
      </x:c>
      <x:c r="G1801" s="14" t="n">
        <x:v>13</x:v>
      </x:c>
      <x:c r="H1801" s="14" t="n">
        <x:v>8</x:v>
      </x:c>
      <x:c r="I1801" s="14" t="n">
        <x:v>8</x:v>
      </x:c>
      <x:c r="J1801" s="14" t="n">
        <x:v>6</x:v>
      </x:c>
      <x:c r="K1801" s="14" t="n">
        <x:v>10</x:v>
      </x:c>
      <x:c r="L1801" s="14" t="n">
        <x:v>38</x:v>
      </x:c>
      <x:c r="M1801" s="14" t="n">
        <x:v>19</x:v>
      </x:c>
      <x:c r="N1801" s="15" t="n">
        <x:f>IF(E1801=0,"해당 없음",F1801/E1801)</x:f>
        <x:v>0</x:v>
      </x:c>
      <x:c r="O1801" s="15" t="n">
        <x:f>IF(E1801=0,"해당 없음",G1801/E1801)</x:f>
        <x:v>0.12745098039215685</x:v>
      </x:c>
      <x:c r="P1801" s="15" t="n">
        <x:f>IF(E1801=0,"해당 없음",H1801/E1801)</x:f>
        <x:v>0.0784313725490196</x:v>
      </x:c>
      <x:c r="Q1801" s="15" t="n">
        <x:f>IF(E1801=0,"해당 없음",I1801/E1801)</x:f>
        <x:v>0.0784313725490196</x:v>
      </x:c>
      <x:c r="R1801" s="15" t="n">
        <x:f>IF(E1801=0,"해당 없음",J1801/E1801)</x:f>
        <x:v>0.058823529411764705</x:v>
      </x:c>
      <x:c r="S1801" s="15" t="n">
        <x:f>IF(E1801=0,"해당 없음",K1801/E1801)</x:f>
        <x:v>0.09803921568627451</x:v>
      </x:c>
      <x:c r="T1801" s="15" t="n">
        <x:f>IF(E1801=0,"해당 없음",L1801/E1801)</x:f>
        <x:v>0.37254901960784315</x:v>
      </x:c>
      <x:c r="U1801" s="15" t="n">
        <x:f>IF(E1801=0,"해당 없음",M1801/E1801)</x:f>
        <x:v>0.18627450980392157</x:v>
      </x:c>
      <x:c r="V1801" s="16" t="n">
        <x:f>E1801/5</x:f>
        <x:v>20.4</x:v>
      </x:c>
    </x:row>
    <x:row r="1802" ht="22" customHeight="1">
      <x:c r="A1802" s="2" t="n">
        <x:v>899</x:v>
      </x:c>
      <x:c r="B1802" s="2" t="str">
        <x:v>RED</x:v>
      </x:c>
      <x:c r="C1802" s="2" t="str">
        <x:v>120만</x:v>
      </x:c>
      <x:c r="D1802" s="2" t="str">
        <x:v>160만</x:v>
      </x:c>
      <x:c r="E1802" s="14" t="n">
        <x:f>SUM(F1802:M1802)</x:f>
        <x:v>105</x:v>
      </x:c>
      <x:c r="F1802" s="14" t="n">
        <x:v>0</x:v>
      </x:c>
      <x:c r="G1802" s="14" t="n">
        <x:v>8</x:v>
      </x:c>
      <x:c r="H1802" s="14" t="n">
        <x:v>9</x:v>
      </x:c>
      <x:c r="I1802" s="14" t="n">
        <x:v>9</x:v>
      </x:c>
      <x:c r="J1802" s="14" t="n">
        <x:v>6</x:v>
      </x:c>
      <x:c r="K1802" s="14" t="n">
        <x:v>6</x:v>
      </x:c>
      <x:c r="L1802" s="14" t="n">
        <x:v>43</x:v>
      </x:c>
      <x:c r="M1802" s="14" t="n">
        <x:v>24</x:v>
      </x:c>
      <x:c r="N1802" s="15" t="n">
        <x:f>IF(E1802=0,"해당 없음",F1802/E1802)</x:f>
        <x:v>0</x:v>
      </x:c>
      <x:c r="O1802" s="15" t="n">
        <x:f>IF(E1802=0,"해당 없음",G1802/E1802)</x:f>
        <x:v>0.0761904761904762</x:v>
      </x:c>
      <x:c r="P1802" s="15" t="n">
        <x:f>IF(E1802=0,"해당 없음",H1802/E1802)</x:f>
        <x:v>0.08571428571428572</x:v>
      </x:c>
      <x:c r="Q1802" s="15" t="n">
        <x:f>IF(E1802=0,"해당 없음",I1802/E1802)</x:f>
        <x:v>0.08571428571428572</x:v>
      </x:c>
      <x:c r="R1802" s="15" t="n">
        <x:f>IF(E1802=0,"해당 없음",J1802/E1802)</x:f>
        <x:v>0.05714285714285714</x:v>
      </x:c>
      <x:c r="S1802" s="15" t="n">
        <x:f>IF(E1802=0,"해당 없음",K1802/E1802)</x:f>
        <x:v>0.05714285714285714</x:v>
      </x:c>
      <x:c r="T1802" s="15" t="n">
        <x:f>IF(E1802=0,"해당 없음",L1802/E1802)</x:f>
        <x:v>0.4095238095238095</x:v>
      </x:c>
      <x:c r="U1802" s="15" t="n">
        <x:f>IF(E1802=0,"해당 없음",M1802/E1802)</x:f>
        <x:v>0.22857142857142856</x:v>
      </x:c>
      <x:c r="V1802" s="16" t="n">
        <x:f>E1802/5</x:f>
        <x:v>21</x:v>
      </x:c>
    </x:row>
    <x:row r="1803" ht="22" customHeight="1">
      <x:c r="A1803" s="2" t="n">
        <x:v>899</x:v>
      </x:c>
      <x:c r="B1803" s="2" t="str">
        <x:v>NAVY</x:v>
      </x:c>
      <x:c r="C1803" s="2" t="str">
        <x:v>160만</x:v>
      </x:c>
      <x:c r="D1803" s="2" t="str">
        <x:v>120만</x:v>
      </x:c>
      <x:c r="E1803" s="14" t="n">
        <x:f>SUM(F1803:M1803)</x:f>
        <x:v>103</x:v>
      </x:c>
      <x:c r="F1803" s="14" t="n">
        <x:v>5</x:v>
      </x:c>
      <x:c r="G1803" s="14" t="n">
        <x:v>23</x:v>
      </x:c>
      <x:c r="H1803" s="14" t="n">
        <x:v>6</x:v>
      </x:c>
      <x:c r="I1803" s="14" t="n">
        <x:v>3</x:v>
      </x:c>
      <x:c r="J1803" s="14" t="n">
        <x:v>7</x:v>
      </x:c>
      <x:c r="K1803" s="14" t="n">
        <x:v>7</x:v>
      </x:c>
      <x:c r="L1803" s="14" t="n">
        <x:v>34</x:v>
      </x:c>
      <x:c r="M1803" s="14" t="n">
        <x:v>18</x:v>
      </x:c>
      <x:c r="N1803" s="15" t="n">
        <x:f>IF(E1803=0,"해당 없음",F1803/E1803)</x:f>
        <x:v>0.04854368932038835</x:v>
      </x:c>
      <x:c r="O1803" s="15" t="n">
        <x:f>IF(E1803=0,"해당 없음",G1803/E1803)</x:f>
        <x:v>0.22330097087378642</x:v>
      </x:c>
      <x:c r="P1803" s="15" t="n">
        <x:f>IF(E1803=0,"해당 없음",H1803/E1803)</x:f>
        <x:v>0.05825242718446602</x:v>
      </x:c>
      <x:c r="Q1803" s="15" t="n">
        <x:f>IF(E1803=0,"해당 없음",I1803/E1803)</x:f>
        <x:v>0.02912621359223301</x:v>
      </x:c>
      <x:c r="R1803" s="15" t="n">
        <x:f>IF(E1803=0,"해당 없음",J1803/E1803)</x:f>
        <x:v>0.06796116504854369</x:v>
      </x:c>
      <x:c r="S1803" s="15" t="n">
        <x:f>IF(E1803=0,"해당 없음",K1803/E1803)</x:f>
        <x:v>0.06796116504854369</x:v>
      </x:c>
      <x:c r="T1803" s="15" t="n">
        <x:f>IF(E1803=0,"해당 없음",L1803/E1803)</x:f>
        <x:v>0.3300970873786408</x:v>
      </x:c>
      <x:c r="U1803" s="15" t="n">
        <x:f>IF(E1803=0,"해당 없음",M1803/E1803)</x:f>
        <x:v>0.17475728155339806</x:v>
      </x:c>
      <x:c r="V1803" s="16" t="n">
        <x:f>E1803/5</x:f>
        <x:v>20.6</x:v>
      </x:c>
    </x:row>
    <x:row r="1804" ht="22" customHeight="1">
      <x:c r="A1804" s="2" t="n">
        <x:v>900</x:v>
      </x:c>
      <x:c r="B1804" s="2" t="str">
        <x:v>RED</x:v>
      </x:c>
      <x:c r="C1804" s="2" t="str">
        <x:v>160만</x:v>
      </x:c>
      <x:c r="D1804" s="2" t="str">
        <x:v>120만</x:v>
      </x:c>
      <x:c r="E1804" s="14" t="n">
        <x:f>SUM(F1804:M1804)</x:f>
        <x:v>102</x:v>
      </x:c>
      <x:c r="F1804" s="14" t="n">
        <x:v>7</x:v>
      </x:c>
      <x:c r="G1804" s="14" t="n">
        <x:v>22</x:v>
      </x:c>
      <x:c r="H1804" s="14" t="n">
        <x:v>4</x:v>
      </x:c>
      <x:c r="I1804" s="14" t="n">
        <x:v>4</x:v>
      </x:c>
      <x:c r="J1804" s="14" t="n">
        <x:v>2</x:v>
      </x:c>
      <x:c r="K1804" s="14" t="n">
        <x:v>12</x:v>
      </x:c>
      <x:c r="L1804" s="14" t="n">
        <x:v>30</x:v>
      </x:c>
      <x:c r="M1804" s="14" t="n">
        <x:v>21</x:v>
      </x:c>
      <x:c r="N1804" s="15" t="n">
        <x:f>IF(E1804=0,"해당 없음",F1804/E1804)</x:f>
        <x:v>0.06862745098039216</x:v>
      </x:c>
      <x:c r="O1804" s="15" t="n">
        <x:f>IF(E1804=0,"해당 없음",G1804/E1804)</x:f>
        <x:v>0.21568627450980393</x:v>
      </x:c>
      <x:c r="P1804" s="15" t="n">
        <x:f>IF(E1804=0,"해당 없음",H1804/E1804)</x:f>
        <x:v>0.0392156862745098</x:v>
      </x:c>
      <x:c r="Q1804" s="15" t="n">
        <x:f>IF(E1804=0,"해당 없음",I1804/E1804)</x:f>
        <x:v>0.0392156862745098</x:v>
      </x:c>
      <x:c r="R1804" s="15" t="n">
        <x:f>IF(E1804=0,"해당 없음",J1804/E1804)</x:f>
        <x:v>0.0196078431372549</x:v>
      </x:c>
      <x:c r="S1804" s="15" t="n">
        <x:f>IF(E1804=0,"해당 없음",K1804/E1804)</x:f>
        <x:v>0.11764705882352941</x:v>
      </x:c>
      <x:c r="T1804" s="15" t="n">
        <x:f>IF(E1804=0,"해당 없음",L1804/E1804)</x:f>
        <x:v>0.29411764705882354</x:v>
      </x:c>
      <x:c r="U1804" s="15" t="n">
        <x:f>IF(E1804=0,"해당 없음",M1804/E1804)</x:f>
        <x:v>0.20588235294117646</x:v>
      </x:c>
      <x:c r="V1804" s="16" t="n">
        <x:f>E1804/5</x:f>
        <x:v>20.4</x:v>
      </x:c>
    </x:row>
    <x:row r="1805" ht="22" customHeight="1">
      <x:c r="A1805" s="2" t="n">
        <x:v>900</x:v>
      </x:c>
      <x:c r="B1805" s="2" t="str">
        <x:v>NAVY</x:v>
      </x:c>
      <x:c r="C1805" s="2" t="str">
        <x:v>120만</x:v>
      </x:c>
      <x:c r="D1805" s="2" t="str">
        <x:v>160만</x:v>
      </x:c>
      <x:c r="E1805" s="14" t="n">
        <x:f>SUM(F1805:M1805)</x:f>
        <x:v>101</x:v>
      </x:c>
      <x:c r="F1805" s="14" t="n">
        <x:v>2</x:v>
      </x:c>
      <x:c r="G1805" s="14" t="n">
        <x:v>10</x:v>
      </x:c>
      <x:c r="H1805" s="14" t="n">
        <x:v>6</x:v>
      </x:c>
      <x:c r="I1805" s="14" t="n">
        <x:v>2</x:v>
      </x:c>
      <x:c r="J1805" s="14" t="n">
        <x:v>3</x:v>
      </x:c>
      <x:c r="K1805" s="14" t="n">
        <x:v>11</x:v>
      </x:c>
      <x:c r="L1805" s="14" t="n">
        <x:v>36</x:v>
      </x:c>
      <x:c r="M1805" s="14" t="n">
        <x:v>31</x:v>
      </x:c>
      <x:c r="N1805" s="15" t="n">
        <x:f>IF(E1805=0,"해당 없음",F1805/E1805)</x:f>
        <x:v>0.019801980198019802</x:v>
      </x:c>
      <x:c r="O1805" s="15" t="n">
        <x:f>IF(E1805=0,"해당 없음",G1805/E1805)</x:f>
        <x:v>0.09900990099009901</x:v>
      </x:c>
      <x:c r="P1805" s="15" t="n">
        <x:f>IF(E1805=0,"해당 없음",H1805/E1805)</x:f>
        <x:v>0.0594059405940594</x:v>
      </x:c>
      <x:c r="Q1805" s="15" t="n">
        <x:f>IF(E1805=0,"해당 없음",I1805/E1805)</x:f>
        <x:v>0.019801980198019802</x:v>
      </x:c>
      <x:c r="R1805" s="15" t="n">
        <x:f>IF(E1805=0,"해당 없음",J1805/E1805)</x:f>
        <x:v>0.0297029702970297</x:v>
      </x:c>
      <x:c r="S1805" s="15" t="n">
        <x:f>IF(E1805=0,"해당 없음",K1805/E1805)</x:f>
        <x:v>0.10891089108910891</x:v>
      </x:c>
      <x:c r="T1805" s="15" t="n">
        <x:f>IF(E1805=0,"해당 없음",L1805/E1805)</x:f>
        <x:v>0.3564356435643564</x:v>
      </x:c>
      <x:c r="U1805" s="15" t="n">
        <x:f>IF(E1805=0,"해당 없음",M1805/E1805)</x:f>
        <x:v>0.3069306930693069</x:v>
      </x:c>
      <x:c r="V1805" s="16" t="n">
        <x:f>E1805/5</x:f>
        <x:v>20.2</x:v>
      </x:c>
    </x:row>
    <x:row r="1806" ht="22" customHeight="1">
      <x:c r="A1806" s="2" t="n">
        <x:v>901</x:v>
      </x:c>
      <x:c r="B1806" s="2" t="str">
        <x:v>RED</x:v>
      </x:c>
      <x:c r="C1806" s="2" t="str">
        <x:v>120만</x:v>
      </x:c>
      <x:c r="D1806" s="2" t="str">
        <x:v>160만</x:v>
      </x:c>
      <x:c r="E1806" s="14" t="n">
        <x:f>SUM(F1806:M1806)</x:f>
        <x:v>105</x:v>
      </x:c>
      <x:c r="F1806" s="14" t="n">
        <x:v>2</x:v>
      </x:c>
      <x:c r="G1806" s="14" t="n">
        <x:v>18</x:v>
      </x:c>
      <x:c r="H1806" s="14" t="n">
        <x:v>9</x:v>
      </x:c>
      <x:c r="I1806" s="14" t="n">
        <x:v>7</x:v>
      </x:c>
      <x:c r="J1806" s="14" t="n">
        <x:v>5</x:v>
      </x:c>
      <x:c r="K1806" s="14" t="n">
        <x:v>6</x:v>
      </x:c>
      <x:c r="L1806" s="14" t="n">
        <x:v>39</x:v>
      </x:c>
      <x:c r="M1806" s="14" t="n">
        <x:v>19</x:v>
      </x:c>
      <x:c r="N1806" s="15" t="n">
        <x:f>IF(E1806=0,"해당 없음",F1806/E1806)</x:f>
        <x:v>0.01904761904761905</x:v>
      </x:c>
      <x:c r="O1806" s="15" t="n">
        <x:f>IF(E1806=0,"해당 없음",G1806/E1806)</x:f>
        <x:v>0.17142857142857143</x:v>
      </x:c>
      <x:c r="P1806" s="15" t="n">
        <x:f>IF(E1806=0,"해당 없음",H1806/E1806)</x:f>
        <x:v>0.08571428571428572</x:v>
      </x:c>
      <x:c r="Q1806" s="15" t="n">
        <x:f>IF(E1806=0,"해당 없음",I1806/E1806)</x:f>
        <x:v>0.06666666666666667</x:v>
      </x:c>
      <x:c r="R1806" s="15" t="n">
        <x:f>IF(E1806=0,"해당 없음",J1806/E1806)</x:f>
        <x:v>0.047619047619047616</x:v>
      </x:c>
      <x:c r="S1806" s="15" t="n">
        <x:f>IF(E1806=0,"해당 없음",K1806/E1806)</x:f>
        <x:v>0.05714285714285714</x:v>
      </x:c>
      <x:c r="T1806" s="15" t="n">
        <x:f>IF(E1806=0,"해당 없음",L1806/E1806)</x:f>
        <x:v>0.37142857142857144</x:v>
      </x:c>
      <x:c r="U1806" s="15" t="n">
        <x:f>IF(E1806=0,"해당 없음",M1806/E1806)</x:f>
        <x:v>0.18095238095238095</x:v>
      </x:c>
      <x:c r="V1806" s="16" t="n">
        <x:f>E1806/5</x:f>
        <x:v>21</x:v>
      </x:c>
    </x:row>
    <x:row r="1807" ht="22" customHeight="1">
      <x:c r="A1807" s="2" t="n">
        <x:v>901</x:v>
      </x:c>
      <x:c r="B1807" s="2" t="str">
        <x:v>NAVY</x:v>
      </x:c>
      <x:c r="C1807" s="2" t="str">
        <x:v>160만</x:v>
      </x:c>
      <x:c r="D1807" s="2" t="str">
        <x:v>120만</x:v>
      </x:c>
      <x:c r="E1807" s="14" t="n">
        <x:f>SUM(F1807:M1807)</x:f>
        <x:v>103</x:v>
      </x:c>
      <x:c r="F1807" s="14" t="n">
        <x:v>5</x:v>
      </x:c>
      <x:c r="G1807" s="14" t="n">
        <x:v>17</x:v>
      </x:c>
      <x:c r="H1807" s="14" t="n">
        <x:v>9</x:v>
      </x:c>
      <x:c r="I1807" s="14" t="n">
        <x:v>5</x:v>
      </x:c>
      <x:c r="J1807" s="14" t="n">
        <x:v>6</x:v>
      </x:c>
      <x:c r="K1807" s="14" t="n">
        <x:v>8</x:v>
      </x:c>
      <x:c r="L1807" s="14" t="n">
        <x:v>29</x:v>
      </x:c>
      <x:c r="M1807" s="14" t="n">
        <x:v>24</x:v>
      </x:c>
      <x:c r="N1807" s="15" t="n">
        <x:f>IF(E1807=0,"해당 없음",F1807/E1807)</x:f>
        <x:v>0.04854368932038835</x:v>
      </x:c>
      <x:c r="O1807" s="15" t="n">
        <x:f>IF(E1807=0,"해당 없음",G1807/E1807)</x:f>
        <x:v>0.1650485436893204</x:v>
      </x:c>
      <x:c r="P1807" s="15" t="n">
        <x:f>IF(E1807=0,"해당 없음",H1807/E1807)</x:f>
        <x:v>0.08737864077669903</x:v>
      </x:c>
      <x:c r="Q1807" s="15" t="n">
        <x:f>IF(E1807=0,"해당 없음",I1807/E1807)</x:f>
        <x:v>0.04854368932038835</x:v>
      </x:c>
      <x:c r="R1807" s="15" t="n">
        <x:f>IF(E1807=0,"해당 없음",J1807/E1807)</x:f>
        <x:v>0.05825242718446602</x:v>
      </x:c>
      <x:c r="S1807" s="15" t="n">
        <x:f>IF(E1807=0,"해당 없음",K1807/E1807)</x:f>
        <x:v>0.07766990291262135</x:v>
      </x:c>
      <x:c r="T1807" s="15" t="n">
        <x:f>IF(E1807=0,"해당 없음",L1807/E1807)</x:f>
        <x:v>0.2815533980582524</x:v>
      </x:c>
      <x:c r="U1807" s="15" t="n">
        <x:f>IF(E1807=0,"해당 없음",M1807/E1807)</x:f>
        <x:v>0.23300970873786409</x:v>
      </x:c>
      <x:c r="V1807" s="16" t="n">
        <x:f>E1807/5</x:f>
        <x:v>20.6</x:v>
      </x:c>
    </x:row>
    <x:row r="1808" ht="22" customHeight="1">
      <x:c r="A1808" s="2" t="n">
        <x:v>902</x:v>
      </x:c>
      <x:c r="B1808" s="2" t="str">
        <x:v>RED</x:v>
      </x:c>
      <x:c r="C1808" s="2" t="str">
        <x:v>160만</x:v>
      </x:c>
      <x:c r="D1808" s="2" t="str">
        <x:v>120만</x:v>
      </x:c>
      <x:c r="E1808" s="14" t="n">
        <x:f>SUM(F1808:M1808)</x:f>
        <x:v>103</x:v>
      </x:c>
      <x:c r="F1808" s="14" t="n">
        <x:v>3</x:v>
      </x:c>
      <x:c r="G1808" s="14" t="n">
        <x:v>20</x:v>
      </x:c>
      <x:c r="H1808" s="14" t="n">
        <x:v>4</x:v>
      </x:c>
      <x:c r="I1808" s="14" t="n">
        <x:v>8</x:v>
      </x:c>
      <x:c r="J1808" s="14" t="n">
        <x:v>1</x:v>
      </x:c>
      <x:c r="K1808" s="14" t="n">
        <x:v>10</x:v>
      </x:c>
      <x:c r="L1808" s="14" t="n">
        <x:v>31</x:v>
      </x:c>
      <x:c r="M1808" s="14" t="n">
        <x:v>26</x:v>
      </x:c>
      <x:c r="N1808" s="15" t="n">
        <x:f>IF(E1808=0,"해당 없음",F1808/E1808)</x:f>
        <x:v>0.02912621359223301</x:v>
      </x:c>
      <x:c r="O1808" s="15" t="n">
        <x:f>IF(E1808=0,"해당 없음",G1808/E1808)</x:f>
        <x:v>0.1941747572815534</x:v>
      </x:c>
      <x:c r="P1808" s="15" t="n">
        <x:f>IF(E1808=0,"해당 없음",H1808/E1808)</x:f>
        <x:v>0.038834951456310676</x:v>
      </x:c>
      <x:c r="Q1808" s="15" t="n">
        <x:f>IF(E1808=0,"해당 없음",I1808/E1808)</x:f>
        <x:v>0.07766990291262135</x:v>
      </x:c>
      <x:c r="R1808" s="15" t="n">
        <x:f>IF(E1808=0,"해당 없음",J1808/E1808)</x:f>
        <x:v>0.009708737864077669</x:v>
      </x:c>
      <x:c r="S1808" s="15" t="n">
        <x:f>IF(E1808=0,"해당 없음",K1808/E1808)</x:f>
        <x:v>0.0970873786407767</x:v>
      </x:c>
      <x:c r="T1808" s="15" t="n">
        <x:f>IF(E1808=0,"해당 없음",L1808/E1808)</x:f>
        <x:v>0.30097087378640774</x:v>
      </x:c>
      <x:c r="U1808" s="15" t="n">
        <x:f>IF(E1808=0,"해당 없음",M1808/E1808)</x:f>
        <x:v>0.2524271844660194</x:v>
      </x:c>
      <x:c r="V1808" s="16" t="n">
        <x:f>E1808/5</x:f>
        <x:v>20.6</x:v>
      </x:c>
    </x:row>
    <x:row r="1809" ht="22" customHeight="1">
      <x:c r="A1809" s="2" t="n">
        <x:v>902</x:v>
      </x:c>
      <x:c r="B1809" s="2" t="str">
        <x:v>NAVY</x:v>
      </x:c>
      <x:c r="C1809" s="2" t="str">
        <x:v>120만</x:v>
      </x:c>
      <x:c r="D1809" s="2" t="str">
        <x:v>160만</x:v>
      </x:c>
      <x:c r="E1809" s="14" t="n">
        <x:f>SUM(F1809:M1809)</x:f>
        <x:v>102</x:v>
      </x:c>
      <x:c r="F1809" s="14" t="n">
        <x:v>1</x:v>
      </x:c>
      <x:c r="G1809" s="14" t="n">
        <x:v>15</x:v>
      </x:c>
      <x:c r="H1809" s="14" t="n">
        <x:v>2</x:v>
      </x:c>
      <x:c r="I1809" s="14" t="n">
        <x:v>7</x:v>
      </x:c>
      <x:c r="J1809" s="14" t="n">
        <x:v>2</x:v>
      </x:c>
      <x:c r="K1809" s="14" t="n">
        <x:v>5</x:v>
      </x:c>
      <x:c r="L1809" s="14" t="n">
        <x:v>39</x:v>
      </x:c>
      <x:c r="M1809" s="14" t="n">
        <x:v>31</x:v>
      </x:c>
      <x:c r="N1809" s="15" t="n">
        <x:f>IF(E1809=0,"해당 없음",F1809/E1809)</x:f>
        <x:v>0.00980392156862745</x:v>
      </x:c>
      <x:c r="O1809" s="15" t="n">
        <x:f>IF(E1809=0,"해당 없음",G1809/E1809)</x:f>
        <x:v>0.14705882352941177</x:v>
      </x:c>
      <x:c r="P1809" s="15" t="n">
        <x:f>IF(E1809=0,"해당 없음",H1809/E1809)</x:f>
        <x:v>0.0196078431372549</x:v>
      </x:c>
      <x:c r="Q1809" s="15" t="n">
        <x:f>IF(E1809=0,"해당 없음",I1809/E1809)</x:f>
        <x:v>0.06862745098039216</x:v>
      </x:c>
      <x:c r="R1809" s="15" t="n">
        <x:f>IF(E1809=0,"해당 없음",J1809/E1809)</x:f>
        <x:v>0.0196078431372549</x:v>
      </x:c>
      <x:c r="S1809" s="15" t="n">
        <x:f>IF(E1809=0,"해당 없음",K1809/E1809)</x:f>
        <x:v>0.049019607843137254</x:v>
      </x:c>
      <x:c r="T1809" s="15" t="n">
        <x:f>IF(E1809=0,"해당 없음",L1809/E1809)</x:f>
        <x:v>0.38235294117647056</x:v>
      </x:c>
      <x:c r="U1809" s="15" t="n">
        <x:f>IF(E1809=0,"해당 없음",M1809/E1809)</x:f>
        <x:v>0.30392156862745096</x:v>
      </x:c>
      <x:c r="V1809" s="16" t="n">
        <x:f>E1809/5</x:f>
        <x:v>20.4</x:v>
      </x:c>
    </x:row>
    <x:row r="1810" ht="22" customHeight="1">
      <x:c r="A1810" s="2" t="n">
        <x:v>903</x:v>
      </x:c>
      <x:c r="B1810" s="2" t="str">
        <x:v>RED</x:v>
      </x:c>
      <x:c r="C1810" s="2" t="str">
        <x:v>120만</x:v>
      </x:c>
      <x:c r="D1810" s="2" t="str">
        <x:v>160만</x:v>
      </x:c>
      <x:c r="E1810" s="14" t="n">
        <x:f>SUM(F1810:M1810)</x:f>
        <x:v>104</x:v>
      </x:c>
      <x:c r="F1810" s="14" t="n">
        <x:v>1</x:v>
      </x:c>
      <x:c r="G1810" s="14" t="n">
        <x:v>14</x:v>
      </x:c>
      <x:c r="H1810" s="14" t="n">
        <x:v>9</x:v>
      </x:c>
      <x:c r="I1810" s="14" t="n">
        <x:v>13</x:v>
      </x:c>
      <x:c r="J1810" s="14" t="n">
        <x:v>1</x:v>
      </x:c>
      <x:c r="K1810" s="14" t="n">
        <x:v>15</x:v>
      </x:c>
      <x:c r="L1810" s="14" t="n">
        <x:v>34</x:v>
      </x:c>
      <x:c r="M1810" s="14" t="n">
        <x:v>17</x:v>
      </x:c>
      <x:c r="N1810" s="15" t="n">
        <x:f>IF(E1810=0,"해당 없음",F1810/E1810)</x:f>
        <x:v>0.009615384615384616</x:v>
      </x:c>
      <x:c r="O1810" s="15" t="n">
        <x:f>IF(E1810=0,"해당 없음",G1810/E1810)</x:f>
        <x:v>0.1346153846153846</x:v>
      </x:c>
      <x:c r="P1810" s="15" t="n">
        <x:f>IF(E1810=0,"해당 없음",H1810/E1810)</x:f>
        <x:v>0.08653846153846154</x:v>
      </x:c>
      <x:c r="Q1810" s="15" t="n">
        <x:f>IF(E1810=0,"해당 없음",I1810/E1810)</x:f>
        <x:v>0.125</x:v>
      </x:c>
      <x:c r="R1810" s="15" t="n">
        <x:f>IF(E1810=0,"해당 없음",J1810/E1810)</x:f>
        <x:v>0.009615384615384616</x:v>
      </x:c>
      <x:c r="S1810" s="15" t="n">
        <x:f>IF(E1810=0,"해당 없음",K1810/E1810)</x:f>
        <x:v>0.14423076923076922</x:v>
      </x:c>
      <x:c r="T1810" s="15" t="n">
        <x:f>IF(E1810=0,"해당 없음",L1810/E1810)</x:f>
        <x:v>0.3269230769230769</x:v>
      </x:c>
      <x:c r="U1810" s="15" t="n">
        <x:f>IF(E1810=0,"해당 없음",M1810/E1810)</x:f>
        <x:v>0.16346153846153846</x:v>
      </x:c>
      <x:c r="V1810" s="16" t="n">
        <x:f>E1810/5</x:f>
        <x:v>20.8</x:v>
      </x:c>
    </x:row>
    <x:row r="1811" ht="22" customHeight="1">
      <x:c r="A1811" s="2" t="n">
        <x:v>903</x:v>
      </x:c>
      <x:c r="B1811" s="2" t="str">
        <x:v>NAVY</x:v>
      </x:c>
      <x:c r="C1811" s="2" t="str">
        <x:v>160만</x:v>
      </x:c>
      <x:c r="D1811" s="2" t="str">
        <x:v>120만</x:v>
      </x:c>
      <x:c r="E1811" s="14" t="n">
        <x:f>SUM(F1811:M1811)</x:f>
        <x:v>103</x:v>
      </x:c>
      <x:c r="F1811" s="14" t="n">
        <x:v>5</x:v>
      </x:c>
      <x:c r="G1811" s="14" t="n">
        <x:v>19</x:v>
      </x:c>
      <x:c r="H1811" s="14" t="n">
        <x:v>3</x:v>
      </x:c>
      <x:c r="I1811" s="14" t="n">
        <x:v>6</x:v>
      </x:c>
      <x:c r="J1811" s="14" t="n">
        <x:v>3</x:v>
      </x:c>
      <x:c r="K1811" s="14" t="n">
        <x:v>0</x:v>
      </x:c>
      <x:c r="L1811" s="14" t="n">
        <x:v>35</x:v>
      </x:c>
      <x:c r="M1811" s="14" t="n">
        <x:v>32</x:v>
      </x:c>
      <x:c r="N1811" s="15" t="n">
        <x:f>IF(E1811=0,"해당 없음",F1811/E1811)</x:f>
        <x:v>0.04854368932038835</x:v>
      </x:c>
      <x:c r="O1811" s="15" t="n">
        <x:f>IF(E1811=0,"해당 없음",G1811/E1811)</x:f>
        <x:v>0.18446601941747573</x:v>
      </x:c>
      <x:c r="P1811" s="15" t="n">
        <x:f>IF(E1811=0,"해당 없음",H1811/E1811)</x:f>
        <x:v>0.02912621359223301</x:v>
      </x:c>
      <x:c r="Q1811" s="15" t="n">
        <x:f>IF(E1811=0,"해당 없음",I1811/E1811)</x:f>
        <x:v>0.05825242718446602</x:v>
      </x:c>
      <x:c r="R1811" s="15" t="n">
        <x:f>IF(E1811=0,"해당 없음",J1811/E1811)</x:f>
        <x:v>0.02912621359223301</x:v>
      </x:c>
      <x:c r="S1811" s="15" t="n">
        <x:f>IF(E1811=0,"해당 없음",K1811/E1811)</x:f>
        <x:v>0</x:v>
      </x:c>
      <x:c r="T1811" s="15" t="n">
        <x:f>IF(E1811=0,"해당 없음",L1811/E1811)</x:f>
        <x:v>0.33980582524271846</x:v>
      </x:c>
      <x:c r="U1811" s="15" t="n">
        <x:f>IF(E1811=0,"해당 없음",M1811/E1811)</x:f>
        <x:v>0.3106796116504854</x:v>
      </x:c>
      <x:c r="V1811" s="16" t="n">
        <x:f>E1811/5</x:f>
        <x:v>20.6</x:v>
      </x:c>
    </x:row>
    <x:row r="1812" ht="22" customHeight="1">
      <x:c r="A1812" s="2" t="n">
        <x:v>904</x:v>
      </x:c>
      <x:c r="B1812" s="2" t="str">
        <x:v>RED</x:v>
      </x:c>
      <x:c r="C1812" s="2" t="str">
        <x:v>160만</x:v>
      </x:c>
      <x:c r="D1812" s="2" t="str">
        <x:v>120만</x:v>
      </x:c>
      <x:c r="E1812" s="14" t="n">
        <x:f>SUM(F1812:M1812)</x:f>
        <x:v>103</x:v>
      </x:c>
      <x:c r="F1812" s="14" t="n">
        <x:v>4</x:v>
      </x:c>
      <x:c r="G1812" s="14" t="n">
        <x:v>11</x:v>
      </x:c>
      <x:c r="H1812" s="14" t="n">
        <x:v>7</x:v>
      </x:c>
      <x:c r="I1812" s="14" t="n">
        <x:v>10</x:v>
      </x:c>
      <x:c r="J1812" s="14" t="n">
        <x:v>4</x:v>
      </x:c>
      <x:c r="K1812" s="14" t="n">
        <x:v>3</x:v>
      </x:c>
      <x:c r="L1812" s="14" t="n">
        <x:v>38</x:v>
      </x:c>
      <x:c r="M1812" s="14" t="n">
        <x:v>26</x:v>
      </x:c>
      <x:c r="N1812" s="15" t="n">
        <x:f>IF(E1812=0,"해당 없음",F1812/E1812)</x:f>
        <x:v>0.038834951456310676</x:v>
      </x:c>
      <x:c r="O1812" s="15" t="n">
        <x:f>IF(E1812=0,"해당 없음",G1812/E1812)</x:f>
        <x:v>0.10679611650485436</x:v>
      </x:c>
      <x:c r="P1812" s="15" t="n">
        <x:f>IF(E1812=0,"해당 없음",H1812/E1812)</x:f>
        <x:v>0.06796116504854369</x:v>
      </x:c>
      <x:c r="Q1812" s="15" t="n">
        <x:f>IF(E1812=0,"해당 없음",I1812/E1812)</x:f>
        <x:v>0.0970873786407767</x:v>
      </x:c>
      <x:c r="R1812" s="15" t="n">
        <x:f>IF(E1812=0,"해당 없음",J1812/E1812)</x:f>
        <x:v>0.038834951456310676</x:v>
      </x:c>
      <x:c r="S1812" s="15" t="n">
        <x:f>IF(E1812=0,"해당 없음",K1812/E1812)</x:f>
        <x:v>0.02912621359223301</x:v>
      </x:c>
      <x:c r="T1812" s="15" t="n">
        <x:f>IF(E1812=0,"해당 없음",L1812/E1812)</x:f>
        <x:v>0.36893203883495146</x:v>
      </x:c>
      <x:c r="U1812" s="15" t="n">
        <x:f>IF(E1812=0,"해당 없음",M1812/E1812)</x:f>
        <x:v>0.2524271844660194</x:v>
      </x:c>
      <x:c r="V1812" s="16" t="n">
        <x:f>E1812/5</x:f>
        <x:v>20.6</x:v>
      </x:c>
    </x:row>
    <x:row r="1813" ht="22" customHeight="1">
      <x:c r="A1813" s="2" t="n">
        <x:v>904</x:v>
      </x:c>
      <x:c r="B1813" s="2" t="str">
        <x:v>NAVY</x:v>
      </x:c>
      <x:c r="C1813" s="2" t="str">
        <x:v>120만</x:v>
      </x:c>
      <x:c r="D1813" s="2" t="str">
        <x:v>160만</x:v>
      </x:c>
      <x:c r="E1813" s="14" t="n">
        <x:f>SUM(F1813:M1813)</x:f>
        <x:v>104</x:v>
      </x:c>
      <x:c r="F1813" s="14" t="n">
        <x:v>1</x:v>
      </x:c>
      <x:c r="G1813" s="14" t="n">
        <x:v>11</x:v>
      </x:c>
      <x:c r="H1813" s="14" t="n">
        <x:v>4</x:v>
      </x:c>
      <x:c r="I1813" s="14" t="n">
        <x:v>16</x:v>
      </x:c>
      <x:c r="J1813" s="14" t="n">
        <x:v>6</x:v>
      </x:c>
      <x:c r="K1813" s="14" t="n">
        <x:v>2</x:v>
      </x:c>
      <x:c r="L1813" s="14" t="n">
        <x:v>46</x:v>
      </x:c>
      <x:c r="M1813" s="14" t="n">
        <x:v>18</x:v>
      </x:c>
      <x:c r="N1813" s="15" t="n">
        <x:f>IF(E1813=0,"해당 없음",F1813/E1813)</x:f>
        <x:v>0.009615384615384616</x:v>
      </x:c>
      <x:c r="O1813" s="15" t="n">
        <x:f>IF(E1813=0,"해당 없음",G1813/E1813)</x:f>
        <x:v>0.10576923076923077</x:v>
      </x:c>
      <x:c r="P1813" s="15" t="n">
        <x:f>IF(E1813=0,"해당 없음",H1813/E1813)</x:f>
        <x:v>0.038461538461538464</x:v>
      </x:c>
      <x:c r="Q1813" s="15" t="n">
        <x:f>IF(E1813=0,"해당 없음",I1813/E1813)</x:f>
        <x:v>0.15384615384615385</x:v>
      </x:c>
      <x:c r="R1813" s="15" t="n">
        <x:f>IF(E1813=0,"해당 없음",J1813/E1813)</x:f>
        <x:v>0.057692307692307696</x:v>
      </x:c>
      <x:c r="S1813" s="15" t="n">
        <x:f>IF(E1813=0,"해당 없음",K1813/E1813)</x:f>
        <x:v>0.019230769230769232</x:v>
      </x:c>
      <x:c r="T1813" s="15" t="n">
        <x:f>IF(E1813=0,"해당 없음",L1813/E1813)</x:f>
        <x:v>0.4423076923076923</x:v>
      </x:c>
      <x:c r="U1813" s="15" t="n">
        <x:f>IF(E1813=0,"해당 없음",M1813/E1813)</x:f>
        <x:v>0.17307692307692307</x:v>
      </x:c>
      <x:c r="V1813" s="16" t="n">
        <x:f>E1813/5</x:f>
        <x:v>20.8</x:v>
      </x:c>
    </x:row>
    <x:row r="1814" ht="22" customHeight="1">
      <x:c r="A1814" s="2" t="n">
        <x:v>905</x:v>
      </x:c>
      <x:c r="B1814" s="2" t="str">
        <x:v>RED</x:v>
      </x:c>
      <x:c r="C1814" s="2" t="str">
        <x:v>120만</x:v>
      </x:c>
      <x:c r="D1814" s="2" t="str">
        <x:v>160만</x:v>
      </x:c>
      <x:c r="E1814" s="14" t="n">
        <x:f>SUM(F1814:M1814)</x:f>
        <x:v>101</x:v>
      </x:c>
      <x:c r="F1814" s="14" t="n">
        <x:v>2</x:v>
      </x:c>
      <x:c r="G1814" s="14" t="n">
        <x:v>13</x:v>
      </x:c>
      <x:c r="H1814" s="14" t="n">
        <x:v>5</x:v>
      </x:c>
      <x:c r="I1814" s="14" t="n">
        <x:v>5</x:v>
      </x:c>
      <x:c r="J1814" s="14" t="n">
        <x:v>1</x:v>
      </x:c>
      <x:c r="K1814" s="14" t="n">
        <x:v>16</x:v>
      </x:c>
      <x:c r="L1814" s="14" t="n">
        <x:v>34</x:v>
      </x:c>
      <x:c r="M1814" s="14" t="n">
        <x:v>25</x:v>
      </x:c>
      <x:c r="N1814" s="15" t="n">
        <x:f>IF(E1814=0,"해당 없음",F1814/E1814)</x:f>
        <x:v>0.019801980198019802</x:v>
      </x:c>
      <x:c r="O1814" s="15" t="n">
        <x:f>IF(E1814=0,"해당 없음",G1814/E1814)</x:f>
        <x:v>0.12871287128712872</x:v>
      </x:c>
      <x:c r="P1814" s="15" t="n">
        <x:f>IF(E1814=0,"해당 없음",H1814/E1814)</x:f>
        <x:v>0.04950495049504951</x:v>
      </x:c>
      <x:c r="Q1814" s="15" t="n">
        <x:f>IF(E1814=0,"해당 없음",I1814/E1814)</x:f>
        <x:v>0.04950495049504951</x:v>
      </x:c>
      <x:c r="R1814" s="15" t="n">
        <x:f>IF(E1814=0,"해당 없음",J1814/E1814)</x:f>
        <x:v>0.009900990099009901</x:v>
      </x:c>
      <x:c r="S1814" s="15" t="n">
        <x:f>IF(E1814=0,"해당 없음",K1814/E1814)</x:f>
        <x:v>0.15841584158415842</x:v>
      </x:c>
      <x:c r="T1814" s="15" t="n">
        <x:f>IF(E1814=0,"해당 없음",L1814/E1814)</x:f>
        <x:v>0.33663366336633666</x:v>
      </x:c>
      <x:c r="U1814" s="15" t="n">
        <x:f>IF(E1814=0,"해당 없음",M1814/E1814)</x:f>
        <x:v>0.24752475247524752</x:v>
      </x:c>
      <x:c r="V1814" s="16" t="n">
        <x:f>E1814/5</x:f>
        <x:v>20.2</x:v>
      </x:c>
    </x:row>
    <x:row r="1815" ht="22" customHeight="1">
      <x:c r="A1815" s="2" t="n">
        <x:v>905</x:v>
      </x:c>
      <x:c r="B1815" s="2" t="str">
        <x:v>NAVY</x:v>
      </x:c>
      <x:c r="C1815" s="2" t="str">
        <x:v>160만</x:v>
      </x:c>
      <x:c r="D1815" s="2" t="str">
        <x:v>120만</x:v>
      </x:c>
      <x:c r="E1815" s="14" t="n">
        <x:f>SUM(F1815:M1815)</x:f>
        <x:v>101</x:v>
      </x:c>
      <x:c r="F1815" s="14" t="n">
        <x:v>2</x:v>
      </x:c>
      <x:c r="G1815" s="14" t="n">
        <x:v>24</x:v>
      </x:c>
      <x:c r="H1815" s="14" t="n">
        <x:v>6</x:v>
      </x:c>
      <x:c r="I1815" s="14" t="n">
        <x:v>4</x:v>
      </x:c>
      <x:c r="J1815" s="14" t="n">
        <x:v>3</x:v>
      </x:c>
      <x:c r="K1815" s="14" t="n">
        <x:v>11</x:v>
      </x:c>
      <x:c r="L1815" s="14" t="n">
        <x:v>27</x:v>
      </x:c>
      <x:c r="M1815" s="14" t="n">
        <x:v>24</x:v>
      </x:c>
      <x:c r="N1815" s="15" t="n">
        <x:f>IF(E1815=0,"해당 없음",F1815/E1815)</x:f>
        <x:v>0.019801980198019802</x:v>
      </x:c>
      <x:c r="O1815" s="15" t="n">
        <x:f>IF(E1815=0,"해당 없음",G1815/E1815)</x:f>
        <x:v>0.2376237623762376</x:v>
      </x:c>
      <x:c r="P1815" s="15" t="n">
        <x:f>IF(E1815=0,"해당 없음",H1815/E1815)</x:f>
        <x:v>0.0594059405940594</x:v>
      </x:c>
      <x:c r="Q1815" s="15" t="n">
        <x:f>IF(E1815=0,"해당 없음",I1815/E1815)</x:f>
        <x:v>0.039603960396039604</x:v>
      </x:c>
      <x:c r="R1815" s="15" t="n">
        <x:f>IF(E1815=0,"해당 없음",J1815/E1815)</x:f>
        <x:v>0.0297029702970297</x:v>
      </x:c>
      <x:c r="S1815" s="15" t="n">
        <x:f>IF(E1815=0,"해당 없음",K1815/E1815)</x:f>
        <x:v>0.10891089108910891</x:v>
      </x:c>
      <x:c r="T1815" s="15" t="n">
        <x:f>IF(E1815=0,"해당 없음",L1815/E1815)</x:f>
        <x:v>0.26732673267326734</x:v>
      </x:c>
      <x:c r="U1815" s="15" t="n">
        <x:f>IF(E1815=0,"해당 없음",M1815/E1815)</x:f>
        <x:v>0.2376237623762376</x:v>
      </x:c>
      <x:c r="V1815" s="16" t="n">
        <x:f>E1815/5</x:f>
        <x:v>20.2</x:v>
      </x:c>
    </x:row>
    <x:row r="1816" ht="22" customHeight="1">
      <x:c r="A1816" s="2" t="n">
        <x:v>906</x:v>
      </x:c>
      <x:c r="B1816" s="2" t="str">
        <x:v>RED</x:v>
      </x:c>
      <x:c r="C1816" s="2" t="str">
        <x:v>160만</x:v>
      </x:c>
      <x:c r="D1816" s="2" t="str">
        <x:v>120만</x:v>
      </x:c>
      <x:c r="E1816" s="14" t="n">
        <x:f>SUM(F1816:M1816)</x:f>
        <x:v>102</x:v>
      </x:c>
      <x:c r="F1816" s="14" t="n">
        <x:v>6</x:v>
      </x:c>
      <x:c r="G1816" s="14" t="n">
        <x:v>15</x:v>
      </x:c>
      <x:c r="H1816" s="14" t="n">
        <x:v>7</x:v>
      </x:c>
      <x:c r="I1816" s="14" t="n">
        <x:v>8</x:v>
      </x:c>
      <x:c r="J1816" s="14" t="n">
        <x:v>0</x:v>
      </x:c>
      <x:c r="K1816" s="14" t="n">
        <x:v>3</x:v>
      </x:c>
      <x:c r="L1816" s="14" t="n">
        <x:v>28</x:v>
      </x:c>
      <x:c r="M1816" s="14" t="n">
        <x:v>35</x:v>
      </x:c>
      <x:c r="N1816" s="15" t="n">
        <x:f>IF(E1816=0,"해당 없음",F1816/E1816)</x:f>
        <x:v>0.058823529411764705</x:v>
      </x:c>
      <x:c r="O1816" s="15" t="n">
        <x:f>IF(E1816=0,"해당 없음",G1816/E1816)</x:f>
        <x:v>0.14705882352941177</x:v>
      </x:c>
      <x:c r="P1816" s="15" t="n">
        <x:f>IF(E1816=0,"해당 없음",H1816/E1816)</x:f>
        <x:v>0.06862745098039216</x:v>
      </x:c>
      <x:c r="Q1816" s="15" t="n">
        <x:f>IF(E1816=0,"해당 없음",I1816/E1816)</x:f>
        <x:v>0.0784313725490196</x:v>
      </x:c>
      <x:c r="R1816" s="15" t="n">
        <x:f>IF(E1816=0,"해당 없음",J1816/E1816)</x:f>
        <x:v>0</x:v>
      </x:c>
      <x:c r="S1816" s="15" t="n">
        <x:f>IF(E1816=0,"해당 없음",K1816/E1816)</x:f>
        <x:v>0.029411764705882353</x:v>
      </x:c>
      <x:c r="T1816" s="15" t="n">
        <x:f>IF(E1816=0,"해당 없음",L1816/E1816)</x:f>
        <x:v>0.27450980392156865</x:v>
      </x:c>
      <x:c r="U1816" s="15" t="n">
        <x:f>IF(E1816=0,"해당 없음",M1816/E1816)</x:f>
        <x:v>0.3431372549019608</x:v>
      </x:c>
      <x:c r="V1816" s="16" t="n">
        <x:f>E1816/5</x:f>
        <x:v>20.4</x:v>
      </x:c>
    </x:row>
    <x:row r="1817" ht="22" customHeight="1">
      <x:c r="A1817" s="2" t="n">
        <x:v>906</x:v>
      </x:c>
      <x:c r="B1817" s="2" t="str">
        <x:v>NAVY</x:v>
      </x:c>
      <x:c r="C1817" s="2" t="str">
        <x:v>120만</x:v>
      </x:c>
      <x:c r="D1817" s="2" t="str">
        <x:v>160만</x:v>
      </x:c>
      <x:c r="E1817" s="14" t="n">
        <x:f>SUM(F1817:M1817)</x:f>
        <x:v>102</x:v>
      </x:c>
      <x:c r="F1817" s="14" t="n">
        <x:v>1</x:v>
      </x:c>
      <x:c r="G1817" s="14" t="n">
        <x:v>12</x:v>
      </x:c>
      <x:c r="H1817" s="14" t="n">
        <x:v>5</x:v>
      </x:c>
      <x:c r="I1817" s="14" t="n">
        <x:v>10</x:v>
      </x:c>
      <x:c r="J1817" s="14" t="n">
        <x:v>3</x:v>
      </x:c>
      <x:c r="K1817" s="14" t="n">
        <x:v>9</x:v>
      </x:c>
      <x:c r="L1817" s="14" t="n">
        <x:v>36</x:v>
      </x:c>
      <x:c r="M1817" s="14" t="n">
        <x:v>26</x:v>
      </x:c>
      <x:c r="N1817" s="15" t="n">
        <x:f>IF(E1817=0,"해당 없음",F1817/E1817)</x:f>
        <x:v>0.00980392156862745</x:v>
      </x:c>
      <x:c r="O1817" s="15" t="n">
        <x:f>IF(E1817=0,"해당 없음",G1817/E1817)</x:f>
        <x:v>0.11764705882352941</x:v>
      </x:c>
      <x:c r="P1817" s="15" t="n">
        <x:f>IF(E1817=0,"해당 없음",H1817/E1817)</x:f>
        <x:v>0.049019607843137254</x:v>
      </x:c>
      <x:c r="Q1817" s="15" t="n">
        <x:f>IF(E1817=0,"해당 없음",I1817/E1817)</x:f>
        <x:v>0.09803921568627451</x:v>
      </x:c>
      <x:c r="R1817" s="15" t="n">
        <x:f>IF(E1817=0,"해당 없음",J1817/E1817)</x:f>
        <x:v>0.029411764705882353</x:v>
      </x:c>
      <x:c r="S1817" s="15" t="n">
        <x:f>IF(E1817=0,"해당 없음",K1817/E1817)</x:f>
        <x:v>0.08823529411764706</x:v>
      </x:c>
      <x:c r="T1817" s="15" t="n">
        <x:f>IF(E1817=0,"해당 없음",L1817/E1817)</x:f>
        <x:v>0.35294117647058826</x:v>
      </x:c>
      <x:c r="U1817" s="15" t="n">
        <x:f>IF(E1817=0,"해당 없음",M1817/E1817)</x:f>
        <x:v>0.2549019607843137</x:v>
      </x:c>
      <x:c r="V1817" s="16" t="n">
        <x:f>E1817/5</x:f>
        <x:v>20.4</x:v>
      </x:c>
    </x:row>
    <x:row r="1818" ht="22" customHeight="1">
      <x:c r="A1818" s="2" t="n">
        <x:v>907</x:v>
      </x:c>
      <x:c r="B1818" s="2" t="str">
        <x:v>RED</x:v>
      </x:c>
      <x:c r="C1818" s="2" t="str">
        <x:v>120만</x:v>
      </x:c>
      <x:c r="D1818" s="2" t="str">
        <x:v>160만</x:v>
      </x:c>
      <x:c r="E1818" s="14" t="n">
        <x:f>SUM(F1818:M1818)</x:f>
        <x:v>103</x:v>
      </x:c>
      <x:c r="F1818" s="14" t="n">
        <x:v>0</x:v>
      </x:c>
      <x:c r="G1818" s="14" t="n">
        <x:v>14</x:v>
      </x:c>
      <x:c r="H1818" s="14" t="n">
        <x:v>9</x:v>
      </x:c>
      <x:c r="I1818" s="14" t="n">
        <x:v>7</x:v>
      </x:c>
      <x:c r="J1818" s="14" t="n">
        <x:v>2</x:v>
      </x:c>
      <x:c r="K1818" s="14" t="n">
        <x:v>10</x:v>
      </x:c>
      <x:c r="L1818" s="14" t="n">
        <x:v>38</x:v>
      </x:c>
      <x:c r="M1818" s="14" t="n">
        <x:v>23</x:v>
      </x:c>
      <x:c r="N1818" s="15" t="n">
        <x:f>IF(E1818=0,"해당 없음",F1818/E1818)</x:f>
        <x:v>0</x:v>
      </x:c>
      <x:c r="O1818" s="15" t="n">
        <x:f>IF(E1818=0,"해당 없음",G1818/E1818)</x:f>
        <x:v>0.13592233009708737</x:v>
      </x:c>
      <x:c r="P1818" s="15" t="n">
        <x:f>IF(E1818=0,"해당 없음",H1818/E1818)</x:f>
        <x:v>0.08737864077669903</x:v>
      </x:c>
      <x:c r="Q1818" s="15" t="n">
        <x:f>IF(E1818=0,"해당 없음",I1818/E1818)</x:f>
        <x:v>0.06796116504854369</x:v>
      </x:c>
      <x:c r="R1818" s="15" t="n">
        <x:f>IF(E1818=0,"해당 없음",J1818/E1818)</x:f>
        <x:v>0.019417475728155338</x:v>
      </x:c>
      <x:c r="S1818" s="15" t="n">
        <x:f>IF(E1818=0,"해당 없음",K1818/E1818)</x:f>
        <x:v>0.0970873786407767</x:v>
      </x:c>
      <x:c r="T1818" s="15" t="n">
        <x:f>IF(E1818=0,"해당 없음",L1818/E1818)</x:f>
        <x:v>0.36893203883495146</x:v>
      </x:c>
      <x:c r="U1818" s="15" t="n">
        <x:f>IF(E1818=0,"해당 없음",M1818/E1818)</x:f>
        <x:v>0.22330097087378642</x:v>
      </x:c>
      <x:c r="V1818" s="16" t="n">
        <x:f>E1818/5</x:f>
        <x:v>20.6</x:v>
      </x:c>
    </x:row>
    <x:row r="1819" ht="22" customHeight="1">
      <x:c r="A1819" s="2" t="n">
        <x:v>907</x:v>
      </x:c>
      <x:c r="B1819" s="2" t="str">
        <x:v>NAVY</x:v>
      </x:c>
      <x:c r="C1819" s="2" t="str">
        <x:v>160만</x:v>
      </x:c>
      <x:c r="D1819" s="2" t="str">
        <x:v>120만</x:v>
      </x:c>
      <x:c r="E1819" s="14" t="n">
        <x:f>SUM(F1819:M1819)</x:f>
        <x:v>103</x:v>
      </x:c>
      <x:c r="F1819" s="14" t="n">
        <x:v>2</x:v>
      </x:c>
      <x:c r="G1819" s="14" t="n">
        <x:v>20</x:v>
      </x:c>
      <x:c r="H1819" s="14" t="n">
        <x:v>5</x:v>
      </x:c>
      <x:c r="I1819" s="14" t="n">
        <x:v>2</x:v>
      </x:c>
      <x:c r="J1819" s="14" t="n">
        <x:v>5</x:v>
      </x:c>
      <x:c r="K1819" s="14" t="n">
        <x:v>7</x:v>
      </x:c>
      <x:c r="L1819" s="14" t="n">
        <x:v>26</x:v>
      </x:c>
      <x:c r="M1819" s="14" t="n">
        <x:v>36</x:v>
      </x:c>
      <x:c r="N1819" s="15" t="n">
        <x:f>IF(E1819=0,"해당 없음",F1819/E1819)</x:f>
        <x:v>0.019417475728155338</x:v>
      </x:c>
      <x:c r="O1819" s="15" t="n">
        <x:f>IF(E1819=0,"해당 없음",G1819/E1819)</x:f>
        <x:v>0.1941747572815534</x:v>
      </x:c>
      <x:c r="P1819" s="15" t="n">
        <x:f>IF(E1819=0,"해당 없음",H1819/E1819)</x:f>
        <x:v>0.04854368932038835</x:v>
      </x:c>
      <x:c r="Q1819" s="15" t="n">
        <x:f>IF(E1819=0,"해당 없음",I1819/E1819)</x:f>
        <x:v>0.019417475728155338</x:v>
      </x:c>
      <x:c r="R1819" s="15" t="n">
        <x:f>IF(E1819=0,"해당 없음",J1819/E1819)</x:f>
        <x:v>0.04854368932038835</x:v>
      </x:c>
      <x:c r="S1819" s="15" t="n">
        <x:f>IF(E1819=0,"해당 없음",K1819/E1819)</x:f>
        <x:v>0.06796116504854369</x:v>
      </x:c>
      <x:c r="T1819" s="15" t="n">
        <x:f>IF(E1819=0,"해당 없음",L1819/E1819)</x:f>
        <x:v>0.2524271844660194</x:v>
      </x:c>
      <x:c r="U1819" s="15" t="n">
        <x:f>IF(E1819=0,"해당 없음",M1819/E1819)</x:f>
        <x:v>0.34951456310679613</x:v>
      </x:c>
      <x:c r="V1819" s="16" t="n">
        <x:f>E1819/5</x:f>
        <x:v>20.6</x:v>
      </x:c>
    </x:row>
    <x:row r="1820" ht="22" customHeight="1">
      <x:c r="A1820" s="2" t="n">
        <x:v>908</x:v>
      </x:c>
      <x:c r="B1820" s="2" t="str">
        <x:v>RED</x:v>
      </x:c>
      <x:c r="C1820" s="2" t="str">
        <x:v>160만</x:v>
      </x:c>
      <x:c r="D1820" s="2" t="str">
        <x:v>120만</x:v>
      </x:c>
      <x:c r="E1820" s="14" t="n">
        <x:f>SUM(F1820:M1820)</x:f>
        <x:v>105</x:v>
      </x:c>
      <x:c r="F1820" s="14" t="n">
        <x:v>4</x:v>
      </x:c>
      <x:c r="G1820" s="14" t="n">
        <x:v>11</x:v>
      </x:c>
      <x:c r="H1820" s="14" t="n">
        <x:v>3</x:v>
      </x:c>
      <x:c r="I1820" s="14" t="n">
        <x:v>9</x:v>
      </x:c>
      <x:c r="J1820" s="14" t="n">
        <x:v>1</x:v>
      </x:c>
      <x:c r="K1820" s="14" t="n">
        <x:v>7</x:v>
      </x:c>
      <x:c r="L1820" s="14" t="n">
        <x:v>38</x:v>
      </x:c>
      <x:c r="M1820" s="14" t="n">
        <x:v>32</x:v>
      </x:c>
      <x:c r="N1820" s="15" t="n">
        <x:f>IF(E1820=0,"해당 없음",F1820/E1820)</x:f>
        <x:v>0.0380952380952381</x:v>
      </x:c>
      <x:c r="O1820" s="15" t="n">
        <x:f>IF(E1820=0,"해당 없음",G1820/E1820)</x:f>
        <x:v>0.10476190476190476</x:v>
      </x:c>
      <x:c r="P1820" s="15" t="n">
        <x:f>IF(E1820=0,"해당 없음",H1820/E1820)</x:f>
        <x:v>0.02857142857142857</x:v>
      </x:c>
      <x:c r="Q1820" s="15" t="n">
        <x:f>IF(E1820=0,"해당 없음",I1820/E1820)</x:f>
        <x:v>0.08571428571428572</x:v>
      </x:c>
      <x:c r="R1820" s="15" t="n">
        <x:f>IF(E1820=0,"해당 없음",J1820/E1820)</x:f>
        <x:v>0.009523809523809525</x:v>
      </x:c>
      <x:c r="S1820" s="15" t="n">
        <x:f>IF(E1820=0,"해당 없음",K1820/E1820)</x:f>
        <x:v>0.06666666666666667</x:v>
      </x:c>
      <x:c r="T1820" s="15" t="n">
        <x:f>IF(E1820=0,"해당 없음",L1820/E1820)</x:f>
        <x:v>0.3619047619047619</x:v>
      </x:c>
      <x:c r="U1820" s="15" t="n">
        <x:f>IF(E1820=0,"해당 없음",M1820/E1820)</x:f>
        <x:v>0.3047619047619048</x:v>
      </x:c>
      <x:c r="V1820" s="16" t="n">
        <x:f>E1820/5</x:f>
        <x:v>21</x:v>
      </x:c>
    </x:row>
    <x:row r="1821" ht="22" customHeight="1">
      <x:c r="A1821" s="2" t="n">
        <x:v>908</x:v>
      </x:c>
      <x:c r="B1821" s="2" t="str">
        <x:v>NAVY</x:v>
      </x:c>
      <x:c r="C1821" s="2" t="str">
        <x:v>120만</x:v>
      </x:c>
      <x:c r="D1821" s="2" t="str">
        <x:v>160만</x:v>
      </x:c>
      <x:c r="E1821" s="14" t="n">
        <x:f>SUM(F1821:M1821)</x:f>
        <x:v>105</x:v>
      </x:c>
      <x:c r="F1821" s="14" t="n">
        <x:v>2</x:v>
      </x:c>
      <x:c r="G1821" s="14" t="n">
        <x:v>10</x:v>
      </x:c>
      <x:c r="H1821" s="14" t="n">
        <x:v>10</x:v>
      </x:c>
      <x:c r="I1821" s="14" t="n">
        <x:v>6</x:v>
      </x:c>
      <x:c r="J1821" s="14" t="n">
        <x:v>11</x:v>
      </x:c>
      <x:c r="K1821" s="14" t="n">
        <x:v>8</x:v>
      </x:c>
      <x:c r="L1821" s="14" t="n">
        <x:v>40</x:v>
      </x:c>
      <x:c r="M1821" s="14" t="n">
        <x:v>18</x:v>
      </x:c>
      <x:c r="N1821" s="15" t="n">
        <x:f>IF(E1821=0,"해당 없음",F1821/E1821)</x:f>
        <x:v>0.01904761904761905</x:v>
      </x:c>
      <x:c r="O1821" s="15" t="n">
        <x:f>IF(E1821=0,"해당 없음",G1821/E1821)</x:f>
        <x:v>0.09523809523809523</x:v>
      </x:c>
      <x:c r="P1821" s="15" t="n">
        <x:f>IF(E1821=0,"해당 없음",H1821/E1821)</x:f>
        <x:v>0.09523809523809523</x:v>
      </x:c>
      <x:c r="Q1821" s="15" t="n">
        <x:f>IF(E1821=0,"해당 없음",I1821/E1821)</x:f>
        <x:v>0.05714285714285714</x:v>
      </x:c>
      <x:c r="R1821" s="15" t="n">
        <x:f>IF(E1821=0,"해당 없음",J1821/E1821)</x:f>
        <x:v>0.10476190476190476</x:v>
      </x:c>
      <x:c r="S1821" s="15" t="n">
        <x:f>IF(E1821=0,"해당 없음",K1821/E1821)</x:f>
        <x:v>0.0761904761904762</x:v>
      </x:c>
      <x:c r="T1821" s="15" t="n">
        <x:f>IF(E1821=0,"해당 없음",L1821/E1821)</x:f>
        <x:v>0.38095238095238093</x:v>
      </x:c>
      <x:c r="U1821" s="15" t="n">
        <x:f>IF(E1821=0,"해당 없음",M1821/E1821)</x:f>
        <x:v>0.17142857142857143</x:v>
      </x:c>
      <x:c r="V1821" s="16" t="n">
        <x:f>E1821/5</x:f>
        <x:v>21</x:v>
      </x:c>
    </x:row>
    <x:row r="1822" ht="22" customHeight="1">
      <x:c r="A1822" s="2" t="n">
        <x:v>909</x:v>
      </x:c>
      <x:c r="B1822" s="2" t="str">
        <x:v>RED</x:v>
      </x:c>
      <x:c r="C1822" s="2" t="str">
        <x:v>120만</x:v>
      </x:c>
      <x:c r="D1822" s="2" t="str">
        <x:v>160만</x:v>
      </x:c>
      <x:c r="E1822" s="14" t="n">
        <x:f>SUM(F1822:M1822)</x:f>
        <x:v>103</x:v>
      </x:c>
      <x:c r="F1822" s="14" t="n">
        <x:v>3</x:v>
      </x:c>
      <x:c r="G1822" s="14" t="n">
        <x:v>14</x:v>
      </x:c>
      <x:c r="H1822" s="14" t="n">
        <x:v>6</x:v>
      </x:c>
      <x:c r="I1822" s="14" t="n">
        <x:v>12</x:v>
      </x:c>
      <x:c r="J1822" s="14" t="n">
        <x:v>3</x:v>
      </x:c>
      <x:c r="K1822" s="14" t="n">
        <x:v>10</x:v>
      </x:c>
      <x:c r="L1822" s="14" t="n">
        <x:v>38</x:v>
      </x:c>
      <x:c r="M1822" s="14" t="n">
        <x:v>17</x:v>
      </x:c>
      <x:c r="N1822" s="15" t="n">
        <x:f>IF(E1822=0,"해당 없음",F1822/E1822)</x:f>
        <x:v>0.02912621359223301</x:v>
      </x:c>
      <x:c r="O1822" s="15" t="n">
        <x:f>IF(E1822=0,"해당 없음",G1822/E1822)</x:f>
        <x:v>0.13592233009708737</x:v>
      </x:c>
      <x:c r="P1822" s="15" t="n">
        <x:f>IF(E1822=0,"해당 없음",H1822/E1822)</x:f>
        <x:v>0.05825242718446602</x:v>
      </x:c>
      <x:c r="Q1822" s="15" t="n">
        <x:f>IF(E1822=0,"해당 없음",I1822/E1822)</x:f>
        <x:v>0.11650485436893204</x:v>
      </x:c>
      <x:c r="R1822" s="15" t="n">
        <x:f>IF(E1822=0,"해당 없음",J1822/E1822)</x:f>
        <x:v>0.02912621359223301</x:v>
      </x:c>
      <x:c r="S1822" s="15" t="n">
        <x:f>IF(E1822=0,"해당 없음",K1822/E1822)</x:f>
        <x:v>0.0970873786407767</x:v>
      </x:c>
      <x:c r="T1822" s="15" t="n">
        <x:f>IF(E1822=0,"해당 없음",L1822/E1822)</x:f>
        <x:v>0.36893203883495146</x:v>
      </x:c>
      <x:c r="U1822" s="15" t="n">
        <x:f>IF(E1822=0,"해당 없음",M1822/E1822)</x:f>
        <x:v>0.1650485436893204</x:v>
      </x:c>
      <x:c r="V1822" s="16" t="n">
        <x:f>E1822/5</x:f>
        <x:v>20.6</x:v>
      </x:c>
    </x:row>
    <x:row r="1823" ht="22" customHeight="1">
      <x:c r="A1823" s="2" t="n">
        <x:v>909</x:v>
      </x:c>
      <x:c r="B1823" s="2" t="str">
        <x:v>NAVY</x:v>
      </x:c>
      <x:c r="C1823" s="2" t="str">
        <x:v>160만</x:v>
      </x:c>
      <x:c r="D1823" s="2" t="str">
        <x:v>120만</x:v>
      </x:c>
      <x:c r="E1823" s="14" t="n">
        <x:f>SUM(F1823:M1823)</x:f>
        <x:v>103</x:v>
      </x:c>
      <x:c r="F1823" s="14" t="n">
        <x:v>2</x:v>
      </x:c>
      <x:c r="G1823" s="14" t="n">
        <x:v>14</x:v>
      </x:c>
      <x:c r="H1823" s="14" t="n">
        <x:v>3</x:v>
      </x:c>
      <x:c r="I1823" s="14" t="n">
        <x:v>9</x:v>
      </x:c>
      <x:c r="J1823" s="14" t="n">
        <x:v>4</x:v>
      </x:c>
      <x:c r="K1823" s="14" t="n">
        <x:v>9</x:v>
      </x:c>
      <x:c r="L1823" s="14" t="n">
        <x:v>36</x:v>
      </x:c>
      <x:c r="M1823" s="14" t="n">
        <x:v>26</x:v>
      </x:c>
      <x:c r="N1823" s="15" t="n">
        <x:f>IF(E1823=0,"해당 없음",F1823/E1823)</x:f>
        <x:v>0.019417475728155338</x:v>
      </x:c>
      <x:c r="O1823" s="15" t="n">
        <x:f>IF(E1823=0,"해당 없음",G1823/E1823)</x:f>
        <x:v>0.13592233009708737</x:v>
      </x:c>
      <x:c r="P1823" s="15" t="n">
        <x:f>IF(E1823=0,"해당 없음",H1823/E1823)</x:f>
        <x:v>0.02912621359223301</x:v>
      </x:c>
      <x:c r="Q1823" s="15" t="n">
        <x:f>IF(E1823=0,"해당 없음",I1823/E1823)</x:f>
        <x:v>0.08737864077669903</x:v>
      </x:c>
      <x:c r="R1823" s="15" t="n">
        <x:f>IF(E1823=0,"해당 없음",J1823/E1823)</x:f>
        <x:v>0.038834951456310676</x:v>
      </x:c>
      <x:c r="S1823" s="15" t="n">
        <x:f>IF(E1823=0,"해당 없음",K1823/E1823)</x:f>
        <x:v>0.08737864077669903</x:v>
      </x:c>
      <x:c r="T1823" s="15" t="n">
        <x:f>IF(E1823=0,"해당 없음",L1823/E1823)</x:f>
        <x:v>0.34951456310679613</x:v>
      </x:c>
      <x:c r="U1823" s="15" t="n">
        <x:f>IF(E1823=0,"해당 없음",M1823/E1823)</x:f>
        <x:v>0.2524271844660194</x:v>
      </x:c>
      <x:c r="V1823" s="16" t="n">
        <x:f>E1823/5</x:f>
        <x:v>20.6</x:v>
      </x:c>
    </x:row>
    <x:row r="1824" ht="22" customHeight="1">
      <x:c r="A1824" s="2" t="n">
        <x:v>910</x:v>
      </x:c>
      <x:c r="B1824" s="2" t="str">
        <x:v>RED</x:v>
      </x:c>
      <x:c r="C1824" s="2" t="str">
        <x:v>160만</x:v>
      </x:c>
      <x:c r="D1824" s="2" t="str">
        <x:v>120만</x:v>
      </x:c>
      <x:c r="E1824" s="14" t="n">
        <x:f>SUM(F1824:M1824)</x:f>
        <x:v>104</x:v>
      </x:c>
      <x:c r="F1824" s="14" t="n">
        <x:v>3</x:v>
      </x:c>
      <x:c r="G1824" s="14" t="n">
        <x:v>19</x:v>
      </x:c>
      <x:c r="H1824" s="14" t="n">
        <x:v>6</x:v>
      </x:c>
      <x:c r="I1824" s="14" t="n">
        <x:v>3</x:v>
      </x:c>
      <x:c r="J1824" s="14" t="n">
        <x:v>1</x:v>
      </x:c>
      <x:c r="K1824" s="14" t="n">
        <x:v>10</x:v>
      </x:c>
      <x:c r="L1824" s="14" t="n">
        <x:v>31</x:v>
      </x:c>
      <x:c r="M1824" s="14" t="n">
        <x:v>31</x:v>
      </x:c>
      <x:c r="N1824" s="15" t="n">
        <x:f>IF(E1824=0,"해당 없음",F1824/E1824)</x:f>
        <x:v>0.028846153846153848</x:v>
      </x:c>
      <x:c r="O1824" s="15" t="n">
        <x:f>IF(E1824=0,"해당 없음",G1824/E1824)</x:f>
        <x:v>0.18269230769230768</x:v>
      </x:c>
      <x:c r="P1824" s="15" t="n">
        <x:f>IF(E1824=0,"해당 없음",H1824/E1824)</x:f>
        <x:v>0.057692307692307696</x:v>
      </x:c>
      <x:c r="Q1824" s="15" t="n">
        <x:f>IF(E1824=0,"해당 없음",I1824/E1824)</x:f>
        <x:v>0.028846153846153848</x:v>
      </x:c>
      <x:c r="R1824" s="15" t="n">
        <x:f>IF(E1824=0,"해당 없음",J1824/E1824)</x:f>
        <x:v>0.009615384615384616</x:v>
      </x:c>
      <x:c r="S1824" s="15" t="n">
        <x:f>IF(E1824=0,"해당 없음",K1824/E1824)</x:f>
        <x:v>0.09615384615384616</x:v>
      </x:c>
      <x:c r="T1824" s="15" t="n">
        <x:f>IF(E1824=0,"해당 없음",L1824/E1824)</x:f>
        <x:v>0.2980769230769231</x:v>
      </x:c>
      <x:c r="U1824" s="15" t="n">
        <x:f>IF(E1824=0,"해당 없음",M1824/E1824)</x:f>
        <x:v>0.2980769230769231</x:v>
      </x:c>
      <x:c r="V1824" s="16" t="n">
        <x:f>E1824/5</x:f>
        <x:v>20.8</x:v>
      </x:c>
    </x:row>
    <x:row r="1825" ht="22" customHeight="1">
      <x:c r="A1825" s="2" t="n">
        <x:v>910</x:v>
      </x:c>
      <x:c r="B1825" s="2" t="str">
        <x:v>NAVY</x:v>
      </x:c>
      <x:c r="C1825" s="2" t="str">
        <x:v>120만</x:v>
      </x:c>
      <x:c r="D1825" s="2" t="str">
        <x:v>160만</x:v>
      </x:c>
      <x:c r="E1825" s="14" t="n">
        <x:f>SUM(F1825:M1825)</x:f>
        <x:v>101</x:v>
      </x:c>
      <x:c r="F1825" s="14" t="n">
        <x:v>1</x:v>
      </x:c>
      <x:c r="G1825" s="14" t="n">
        <x:v>8</x:v>
      </x:c>
      <x:c r="H1825" s="14" t="n">
        <x:v>6</x:v>
      </x:c>
      <x:c r="I1825" s="14" t="n">
        <x:v>6</x:v>
      </x:c>
      <x:c r="J1825" s="14" t="n">
        <x:v>6</x:v>
      </x:c>
      <x:c r="K1825" s="14" t="n">
        <x:v>14</x:v>
      </x:c>
      <x:c r="L1825" s="14" t="n">
        <x:v>34</x:v>
      </x:c>
      <x:c r="M1825" s="14" t="n">
        <x:v>26</x:v>
      </x:c>
      <x:c r="N1825" s="15" t="n">
        <x:f>IF(E1825=0,"해당 없음",F1825/E1825)</x:f>
        <x:v>0.009900990099009901</x:v>
      </x:c>
      <x:c r="O1825" s="15" t="n">
        <x:f>IF(E1825=0,"해당 없음",G1825/E1825)</x:f>
        <x:v>0.07920792079207921</x:v>
      </x:c>
      <x:c r="P1825" s="15" t="n">
        <x:f>IF(E1825=0,"해당 없음",H1825/E1825)</x:f>
        <x:v>0.0594059405940594</x:v>
      </x:c>
      <x:c r="Q1825" s="15" t="n">
        <x:f>IF(E1825=0,"해당 없음",I1825/E1825)</x:f>
        <x:v>0.0594059405940594</x:v>
      </x:c>
      <x:c r="R1825" s="15" t="n">
        <x:f>IF(E1825=0,"해당 없음",J1825/E1825)</x:f>
        <x:v>0.0594059405940594</x:v>
      </x:c>
      <x:c r="S1825" s="15" t="n">
        <x:f>IF(E1825=0,"해당 없음",K1825/E1825)</x:f>
        <x:v>0.13861386138613863</x:v>
      </x:c>
      <x:c r="T1825" s="15" t="n">
        <x:f>IF(E1825=0,"해당 없음",L1825/E1825)</x:f>
        <x:v>0.33663366336633666</x:v>
      </x:c>
      <x:c r="U1825" s="15" t="n">
        <x:f>IF(E1825=0,"해당 없음",M1825/E1825)</x:f>
        <x:v>0.25742574257425743</x:v>
      </x:c>
      <x:c r="V1825" s="16" t="n">
        <x:f>E1825/5</x:f>
        <x:v>20.2</x:v>
      </x:c>
    </x:row>
    <x:row r="1826" ht="22" customHeight="1">
      <x:c r="A1826" s="2" t="n">
        <x:v>911</x:v>
      </x:c>
      <x:c r="B1826" s="2" t="str">
        <x:v>RED</x:v>
      </x:c>
      <x:c r="C1826" s="2" t="str">
        <x:v>120만</x:v>
      </x:c>
      <x:c r="D1826" s="2" t="str">
        <x:v>160만</x:v>
      </x:c>
      <x:c r="E1826" s="14" t="n">
        <x:f>SUM(F1826:M1826)</x:f>
        <x:v>105</x:v>
      </x:c>
      <x:c r="F1826" s="14" t="n">
        <x:v>0</x:v>
      </x:c>
      <x:c r="G1826" s="14" t="n">
        <x:v>13</x:v>
      </x:c>
      <x:c r="H1826" s="14" t="n">
        <x:v>5</x:v>
      </x:c>
      <x:c r="I1826" s="14" t="n">
        <x:v>7</x:v>
      </x:c>
      <x:c r="J1826" s="14" t="n">
        <x:v>2</x:v>
      </x:c>
      <x:c r="K1826" s="14" t="n">
        <x:v>9</x:v>
      </x:c>
      <x:c r="L1826" s="14" t="n">
        <x:v>41</x:v>
      </x:c>
      <x:c r="M1826" s="14" t="n">
        <x:v>28</x:v>
      </x:c>
      <x:c r="N1826" s="15" t="n">
        <x:f>IF(E1826=0,"해당 없음",F1826/E1826)</x:f>
        <x:v>0</x:v>
      </x:c>
      <x:c r="O1826" s="15" t="n">
        <x:f>IF(E1826=0,"해당 없음",G1826/E1826)</x:f>
        <x:v>0.12380952380952381</x:v>
      </x:c>
      <x:c r="P1826" s="15" t="n">
        <x:f>IF(E1826=0,"해당 없음",H1826/E1826)</x:f>
        <x:v>0.047619047619047616</x:v>
      </x:c>
      <x:c r="Q1826" s="15" t="n">
        <x:f>IF(E1826=0,"해당 없음",I1826/E1826)</x:f>
        <x:v>0.06666666666666667</x:v>
      </x:c>
      <x:c r="R1826" s="15" t="n">
        <x:f>IF(E1826=0,"해당 없음",J1826/E1826)</x:f>
        <x:v>0.01904761904761905</x:v>
      </x:c>
      <x:c r="S1826" s="15" t="n">
        <x:f>IF(E1826=0,"해당 없음",K1826/E1826)</x:f>
        <x:v>0.08571428571428572</x:v>
      </x:c>
      <x:c r="T1826" s="15" t="n">
        <x:f>IF(E1826=0,"해당 없음",L1826/E1826)</x:f>
        <x:v>0.3904761904761905</x:v>
      </x:c>
      <x:c r="U1826" s="15" t="n">
        <x:f>IF(E1826=0,"해당 없음",M1826/E1826)</x:f>
        <x:v>0.26666666666666666</x:v>
      </x:c>
      <x:c r="V1826" s="16" t="n">
        <x:f>E1826/5</x:f>
        <x:v>21</x:v>
      </x:c>
    </x:row>
    <x:row r="1827" ht="22" customHeight="1">
      <x:c r="A1827" s="2" t="n">
        <x:v>911</x:v>
      </x:c>
      <x:c r="B1827" s="2" t="str">
        <x:v>NAVY</x:v>
      </x:c>
      <x:c r="C1827" s="2" t="str">
        <x:v>160만</x:v>
      </x:c>
      <x:c r="D1827" s="2" t="str">
        <x:v>120만</x:v>
      </x:c>
      <x:c r="E1827" s="14" t="n">
        <x:f>SUM(F1827:M1827)</x:f>
        <x:v>105</x:v>
      </x:c>
      <x:c r="F1827" s="14" t="n">
        <x:v>1</x:v>
      </x:c>
      <x:c r="G1827" s="14" t="n">
        <x:v>12</x:v>
      </x:c>
      <x:c r="H1827" s="14" t="n">
        <x:v>3</x:v>
      </x:c>
      <x:c r="I1827" s="14" t="n">
        <x:v>5</x:v>
      </x:c>
      <x:c r="J1827" s="14" t="n">
        <x:v>6</x:v>
      </x:c>
      <x:c r="K1827" s="14" t="n">
        <x:v>5</x:v>
      </x:c>
      <x:c r="L1827" s="14" t="n">
        <x:v>39</x:v>
      </x:c>
      <x:c r="M1827" s="14" t="n">
        <x:v>34</x:v>
      </x:c>
      <x:c r="N1827" s="15" t="n">
        <x:f>IF(E1827=0,"해당 없음",F1827/E1827)</x:f>
        <x:v>0.009523809523809525</x:v>
      </x:c>
      <x:c r="O1827" s="15" t="n">
        <x:f>IF(E1827=0,"해당 없음",G1827/E1827)</x:f>
        <x:v>0.11428571428571428</x:v>
      </x:c>
      <x:c r="P1827" s="15" t="n">
        <x:f>IF(E1827=0,"해당 없음",H1827/E1827)</x:f>
        <x:v>0.02857142857142857</x:v>
      </x:c>
      <x:c r="Q1827" s="15" t="n">
        <x:f>IF(E1827=0,"해당 없음",I1827/E1827)</x:f>
        <x:v>0.047619047619047616</x:v>
      </x:c>
      <x:c r="R1827" s="15" t="n">
        <x:f>IF(E1827=0,"해당 없음",J1827/E1827)</x:f>
        <x:v>0.05714285714285714</x:v>
      </x:c>
      <x:c r="S1827" s="15" t="n">
        <x:f>IF(E1827=0,"해당 없음",K1827/E1827)</x:f>
        <x:v>0.047619047619047616</x:v>
      </x:c>
      <x:c r="T1827" s="15" t="n">
        <x:f>IF(E1827=0,"해당 없음",L1827/E1827)</x:f>
        <x:v>0.37142857142857144</x:v>
      </x:c>
      <x:c r="U1827" s="15" t="n">
        <x:f>IF(E1827=0,"해당 없음",M1827/E1827)</x:f>
        <x:v>0.3238095238095238</x:v>
      </x:c>
      <x:c r="V1827" s="16" t="n">
        <x:f>E1827/5</x:f>
        <x:v>21</x:v>
      </x:c>
    </x:row>
    <x:row r="1828" ht="22" customHeight="1">
      <x:c r="A1828" s="2" t="n">
        <x:v>912</x:v>
      </x:c>
      <x:c r="B1828" s="2" t="str">
        <x:v>RED</x:v>
      </x:c>
      <x:c r="C1828" s="2" t="str">
        <x:v>160만</x:v>
      </x:c>
      <x:c r="D1828" s="2" t="str">
        <x:v>120만</x:v>
      </x:c>
      <x:c r="E1828" s="14" t="n">
        <x:f>SUM(F1828:M1828)</x:f>
        <x:v>101</x:v>
      </x:c>
      <x:c r="F1828" s="14" t="n">
        <x:v>8</x:v>
      </x:c>
      <x:c r="G1828" s="14" t="n">
        <x:v>20</x:v>
      </x:c>
      <x:c r="H1828" s="14" t="n">
        <x:v>4</x:v>
      </x:c>
      <x:c r="I1828" s="14" t="n">
        <x:v>4</x:v>
      </x:c>
      <x:c r="J1828" s="14" t="n">
        <x:v>1</x:v>
      </x:c>
      <x:c r="K1828" s="14" t="n">
        <x:v>5</x:v>
      </x:c>
      <x:c r="L1828" s="14" t="n">
        <x:v>34</x:v>
      </x:c>
      <x:c r="M1828" s="14" t="n">
        <x:v>25</x:v>
      </x:c>
      <x:c r="N1828" s="15" t="n">
        <x:f>IF(E1828=0,"해당 없음",F1828/E1828)</x:f>
        <x:v>0.07920792079207921</x:v>
      </x:c>
      <x:c r="O1828" s="15" t="n">
        <x:f>IF(E1828=0,"해당 없음",G1828/E1828)</x:f>
        <x:v>0.19801980198019803</x:v>
      </x:c>
      <x:c r="P1828" s="15" t="n">
        <x:f>IF(E1828=0,"해당 없음",H1828/E1828)</x:f>
        <x:v>0.039603960396039604</x:v>
      </x:c>
      <x:c r="Q1828" s="15" t="n">
        <x:f>IF(E1828=0,"해당 없음",I1828/E1828)</x:f>
        <x:v>0.039603960396039604</x:v>
      </x:c>
      <x:c r="R1828" s="15" t="n">
        <x:f>IF(E1828=0,"해당 없음",J1828/E1828)</x:f>
        <x:v>0.009900990099009901</x:v>
      </x:c>
      <x:c r="S1828" s="15" t="n">
        <x:f>IF(E1828=0,"해당 없음",K1828/E1828)</x:f>
        <x:v>0.04950495049504951</x:v>
      </x:c>
      <x:c r="T1828" s="15" t="n">
        <x:f>IF(E1828=0,"해당 없음",L1828/E1828)</x:f>
        <x:v>0.33663366336633666</x:v>
      </x:c>
      <x:c r="U1828" s="15" t="n">
        <x:f>IF(E1828=0,"해당 없음",M1828/E1828)</x:f>
        <x:v>0.24752475247524752</x:v>
      </x:c>
      <x:c r="V1828" s="16" t="n">
        <x:f>E1828/5</x:f>
        <x:v>20.2</x:v>
      </x:c>
    </x:row>
    <x:row r="1829" ht="22" customHeight="1">
      <x:c r="A1829" s="2" t="n">
        <x:v>912</x:v>
      </x:c>
      <x:c r="B1829" s="2" t="str">
        <x:v>NAVY</x:v>
      </x:c>
      <x:c r="C1829" s="2" t="str">
        <x:v>120만</x:v>
      </x:c>
      <x:c r="D1829" s="2" t="str">
        <x:v>160만</x:v>
      </x:c>
      <x:c r="E1829" s="14" t="n">
        <x:f>SUM(F1829:M1829)</x:f>
        <x:v>101</x:v>
      </x:c>
      <x:c r="F1829" s="14" t="n">
        <x:v>0</x:v>
      </x:c>
      <x:c r="G1829" s="14" t="n">
        <x:v>14</x:v>
      </x:c>
      <x:c r="H1829" s="14" t="n">
        <x:v>6</x:v>
      </x:c>
      <x:c r="I1829" s="14" t="n">
        <x:v>12</x:v>
      </x:c>
      <x:c r="J1829" s="14" t="n">
        <x:v>4</x:v>
      </x:c>
      <x:c r="K1829" s="14" t="n">
        <x:v>10</x:v>
      </x:c>
      <x:c r="L1829" s="14" t="n">
        <x:v>42</x:v>
      </x:c>
      <x:c r="M1829" s="14" t="n">
        <x:v>13</x:v>
      </x:c>
      <x:c r="N1829" s="15" t="n">
        <x:f>IF(E1829=0,"해당 없음",F1829/E1829)</x:f>
        <x:v>0</x:v>
      </x:c>
      <x:c r="O1829" s="15" t="n">
        <x:f>IF(E1829=0,"해당 없음",G1829/E1829)</x:f>
        <x:v>0.13861386138613863</x:v>
      </x:c>
      <x:c r="P1829" s="15" t="n">
        <x:f>IF(E1829=0,"해당 없음",H1829/E1829)</x:f>
        <x:v>0.0594059405940594</x:v>
      </x:c>
      <x:c r="Q1829" s="15" t="n">
        <x:f>IF(E1829=0,"해당 없음",I1829/E1829)</x:f>
        <x:v>0.1188118811881188</x:v>
      </x:c>
      <x:c r="R1829" s="15" t="n">
        <x:f>IF(E1829=0,"해당 없음",J1829/E1829)</x:f>
        <x:v>0.039603960396039604</x:v>
      </x:c>
      <x:c r="S1829" s="15" t="n">
        <x:f>IF(E1829=0,"해당 없음",K1829/E1829)</x:f>
        <x:v>0.09900990099009901</x:v>
      </x:c>
      <x:c r="T1829" s="15" t="n">
        <x:f>IF(E1829=0,"해당 없음",L1829/E1829)</x:f>
        <x:v>0.4158415841584158</x:v>
      </x:c>
      <x:c r="U1829" s="15" t="n">
        <x:f>IF(E1829=0,"해당 없음",M1829/E1829)</x:f>
        <x:v>0.12871287128712872</x:v>
      </x:c>
      <x:c r="V1829" s="16" t="n">
        <x:f>E1829/5</x:f>
        <x:v>20.2</x:v>
      </x:c>
    </x:row>
    <x:row r="1830" ht="22" customHeight="1">
      <x:c r="A1830" s="2" t="n">
        <x:v>913</x:v>
      </x:c>
      <x:c r="B1830" s="2" t="str">
        <x:v>RED</x:v>
      </x:c>
      <x:c r="C1830" s="2" t="str">
        <x:v>120만</x:v>
      </x:c>
      <x:c r="D1830" s="2" t="str">
        <x:v>160만</x:v>
      </x:c>
      <x:c r="E1830" s="14" t="n">
        <x:f>SUM(F1830:M1830)</x:f>
        <x:v>103</x:v>
      </x:c>
      <x:c r="F1830" s="14" t="n">
        <x:v>0</x:v>
      </x:c>
      <x:c r="G1830" s="14" t="n">
        <x:v>11</x:v>
      </x:c>
      <x:c r="H1830" s="14" t="n">
        <x:v>5</x:v>
      </x:c>
      <x:c r="I1830" s="14" t="n">
        <x:v>9</x:v>
      </x:c>
      <x:c r="J1830" s="14" t="n">
        <x:v>4</x:v>
      </x:c>
      <x:c r="K1830" s="14" t="n">
        <x:v>9</x:v>
      </x:c>
      <x:c r="L1830" s="14" t="n">
        <x:v>41</x:v>
      </x:c>
      <x:c r="M1830" s="14" t="n">
        <x:v>24</x:v>
      </x:c>
      <x:c r="N1830" s="15" t="n">
        <x:f>IF(E1830=0,"해당 없음",F1830/E1830)</x:f>
        <x:v>0</x:v>
      </x:c>
      <x:c r="O1830" s="15" t="n">
        <x:f>IF(E1830=0,"해당 없음",G1830/E1830)</x:f>
        <x:v>0.10679611650485436</x:v>
      </x:c>
      <x:c r="P1830" s="15" t="n">
        <x:f>IF(E1830=0,"해당 없음",H1830/E1830)</x:f>
        <x:v>0.04854368932038835</x:v>
      </x:c>
      <x:c r="Q1830" s="15" t="n">
        <x:f>IF(E1830=0,"해당 없음",I1830/E1830)</x:f>
        <x:v>0.08737864077669903</x:v>
      </x:c>
      <x:c r="R1830" s="15" t="n">
        <x:f>IF(E1830=0,"해당 없음",J1830/E1830)</x:f>
        <x:v>0.038834951456310676</x:v>
      </x:c>
      <x:c r="S1830" s="15" t="n">
        <x:f>IF(E1830=0,"해당 없음",K1830/E1830)</x:f>
        <x:v>0.08737864077669903</x:v>
      </x:c>
      <x:c r="T1830" s="15" t="n">
        <x:f>IF(E1830=0,"해당 없음",L1830/E1830)</x:f>
        <x:v>0.39805825242718446</x:v>
      </x:c>
      <x:c r="U1830" s="15" t="n">
        <x:f>IF(E1830=0,"해당 없음",M1830/E1830)</x:f>
        <x:v>0.23300970873786409</x:v>
      </x:c>
      <x:c r="V1830" s="16" t="n">
        <x:f>E1830/5</x:f>
        <x:v>20.6</x:v>
      </x:c>
    </x:row>
    <x:row r="1831" ht="22" customHeight="1">
      <x:c r="A1831" s="2" t="n">
        <x:v>913</x:v>
      </x:c>
      <x:c r="B1831" s="2" t="str">
        <x:v>NAVY</x:v>
      </x:c>
      <x:c r="C1831" s="2" t="str">
        <x:v>160만</x:v>
      </x:c>
      <x:c r="D1831" s="2" t="str">
        <x:v>120만</x:v>
      </x:c>
      <x:c r="E1831" s="14" t="n">
        <x:f>SUM(F1831:M1831)</x:f>
        <x:v>103</x:v>
      </x:c>
      <x:c r="F1831" s="14" t="n">
        <x:v>2</x:v>
      </x:c>
      <x:c r="G1831" s="14" t="n">
        <x:v>16</x:v>
      </x:c>
      <x:c r="H1831" s="14" t="n">
        <x:v>9</x:v>
      </x:c>
      <x:c r="I1831" s="14" t="n">
        <x:v>4</x:v>
      </x:c>
      <x:c r="J1831" s="14" t="n">
        <x:v>3</x:v>
      </x:c>
      <x:c r="K1831" s="14" t="n">
        <x:v>7</x:v>
      </x:c>
      <x:c r="L1831" s="14" t="n">
        <x:v>33</x:v>
      </x:c>
      <x:c r="M1831" s="14" t="n">
        <x:v>29</x:v>
      </x:c>
      <x:c r="N1831" s="15" t="n">
        <x:f>IF(E1831=0,"해당 없음",F1831/E1831)</x:f>
        <x:v>0.019417475728155338</x:v>
      </x:c>
      <x:c r="O1831" s="15" t="n">
        <x:f>IF(E1831=0,"해당 없음",G1831/E1831)</x:f>
        <x:v>0.1553398058252427</x:v>
      </x:c>
      <x:c r="P1831" s="15" t="n">
        <x:f>IF(E1831=0,"해당 없음",H1831/E1831)</x:f>
        <x:v>0.08737864077669903</x:v>
      </x:c>
      <x:c r="Q1831" s="15" t="n">
        <x:f>IF(E1831=0,"해당 없음",I1831/E1831)</x:f>
        <x:v>0.038834951456310676</x:v>
      </x:c>
      <x:c r="R1831" s="15" t="n">
        <x:f>IF(E1831=0,"해당 없음",J1831/E1831)</x:f>
        <x:v>0.02912621359223301</x:v>
      </x:c>
      <x:c r="S1831" s="15" t="n">
        <x:f>IF(E1831=0,"해당 없음",K1831/E1831)</x:f>
        <x:v>0.06796116504854369</x:v>
      </x:c>
      <x:c r="T1831" s="15" t="n">
        <x:f>IF(E1831=0,"해당 없음",L1831/E1831)</x:f>
        <x:v>0.32038834951456313</x:v>
      </x:c>
      <x:c r="U1831" s="15" t="n">
        <x:f>IF(E1831=0,"해당 없음",M1831/E1831)</x:f>
        <x:v>0.2815533980582524</x:v>
      </x:c>
      <x:c r="V1831" s="16" t="n">
        <x:f>E1831/5</x:f>
        <x:v>20.6</x:v>
      </x:c>
    </x:row>
    <x:row r="1832" ht="22" customHeight="1">
      <x:c r="A1832" s="2" t="n">
        <x:v>914</x:v>
      </x:c>
      <x:c r="B1832" s="2" t="str">
        <x:v>RED</x:v>
      </x:c>
      <x:c r="C1832" s="2" t="str">
        <x:v>160만</x:v>
      </x:c>
      <x:c r="D1832" s="2" t="str">
        <x:v>120만</x:v>
      </x:c>
      <x:c r="E1832" s="14" t="n">
        <x:f>SUM(F1832:M1832)</x:f>
        <x:v>103</x:v>
      </x:c>
      <x:c r="F1832" s="14" t="n">
        <x:v>1</x:v>
      </x:c>
      <x:c r="G1832" s="14" t="n">
        <x:v>17</x:v>
      </x:c>
      <x:c r="H1832" s="14" t="n">
        <x:v>8</x:v>
      </x:c>
      <x:c r="I1832" s="14" t="n">
        <x:v>3</x:v>
      </x:c>
      <x:c r="J1832" s="14" t="n">
        <x:v>3</x:v>
      </x:c>
      <x:c r="K1832" s="14" t="n">
        <x:v>8</x:v>
      </x:c>
      <x:c r="L1832" s="14" t="n">
        <x:v>33</x:v>
      </x:c>
      <x:c r="M1832" s="14" t="n">
        <x:v>30</x:v>
      </x:c>
      <x:c r="N1832" s="15" t="n">
        <x:f>IF(E1832=0,"해당 없음",F1832/E1832)</x:f>
        <x:v>0.009708737864077669</x:v>
      </x:c>
      <x:c r="O1832" s="15" t="n">
        <x:f>IF(E1832=0,"해당 없음",G1832/E1832)</x:f>
        <x:v>0.1650485436893204</x:v>
      </x:c>
      <x:c r="P1832" s="15" t="n">
        <x:f>IF(E1832=0,"해당 없음",H1832/E1832)</x:f>
        <x:v>0.07766990291262135</x:v>
      </x:c>
      <x:c r="Q1832" s="15" t="n">
        <x:f>IF(E1832=0,"해당 없음",I1832/E1832)</x:f>
        <x:v>0.02912621359223301</x:v>
      </x:c>
      <x:c r="R1832" s="15" t="n">
        <x:f>IF(E1832=0,"해당 없음",J1832/E1832)</x:f>
        <x:v>0.02912621359223301</x:v>
      </x:c>
      <x:c r="S1832" s="15" t="n">
        <x:f>IF(E1832=0,"해당 없음",K1832/E1832)</x:f>
        <x:v>0.07766990291262135</x:v>
      </x:c>
      <x:c r="T1832" s="15" t="n">
        <x:f>IF(E1832=0,"해당 없음",L1832/E1832)</x:f>
        <x:v>0.32038834951456313</x:v>
      </x:c>
      <x:c r="U1832" s="15" t="n">
        <x:f>IF(E1832=0,"해당 없음",M1832/E1832)</x:f>
        <x:v>0.2912621359223301</x:v>
      </x:c>
      <x:c r="V1832" s="16" t="n">
        <x:f>E1832/5</x:f>
        <x:v>20.6</x:v>
      </x:c>
    </x:row>
    <x:row r="1833" ht="22" customHeight="1">
      <x:c r="A1833" s="2" t="n">
        <x:v>914</x:v>
      </x:c>
      <x:c r="B1833" s="2" t="str">
        <x:v>NAVY</x:v>
      </x:c>
      <x:c r="C1833" s="2" t="str">
        <x:v>120만</x:v>
      </x:c>
      <x:c r="D1833" s="2" t="str">
        <x:v>160만</x:v>
      </x:c>
      <x:c r="E1833" s="14" t="n">
        <x:f>SUM(F1833:M1833)</x:f>
        <x:v>103</x:v>
      </x:c>
      <x:c r="F1833" s="14" t="n">
        <x:v>1</x:v>
      </x:c>
      <x:c r="G1833" s="14" t="n">
        <x:v>17</x:v>
      </x:c>
      <x:c r="H1833" s="14" t="n">
        <x:v>5</x:v>
      </x:c>
      <x:c r="I1833" s="14" t="n">
        <x:v>8</x:v>
      </x:c>
      <x:c r="J1833" s="14" t="n">
        <x:v>2</x:v>
      </x:c>
      <x:c r="K1833" s="14" t="n">
        <x:v>10</x:v>
      </x:c>
      <x:c r="L1833" s="14" t="n">
        <x:v>35</x:v>
      </x:c>
      <x:c r="M1833" s="14" t="n">
        <x:v>25</x:v>
      </x:c>
      <x:c r="N1833" s="15" t="n">
        <x:f>IF(E1833=0,"해당 없음",F1833/E1833)</x:f>
        <x:v>0.009708737864077669</x:v>
      </x:c>
      <x:c r="O1833" s="15" t="n">
        <x:f>IF(E1833=0,"해당 없음",G1833/E1833)</x:f>
        <x:v>0.1650485436893204</x:v>
      </x:c>
      <x:c r="P1833" s="15" t="n">
        <x:f>IF(E1833=0,"해당 없음",H1833/E1833)</x:f>
        <x:v>0.04854368932038835</x:v>
      </x:c>
      <x:c r="Q1833" s="15" t="n">
        <x:f>IF(E1833=0,"해당 없음",I1833/E1833)</x:f>
        <x:v>0.07766990291262135</x:v>
      </x:c>
      <x:c r="R1833" s="15" t="n">
        <x:f>IF(E1833=0,"해당 없음",J1833/E1833)</x:f>
        <x:v>0.019417475728155338</x:v>
      </x:c>
      <x:c r="S1833" s="15" t="n">
        <x:f>IF(E1833=0,"해당 없음",K1833/E1833)</x:f>
        <x:v>0.0970873786407767</x:v>
      </x:c>
      <x:c r="T1833" s="15" t="n">
        <x:f>IF(E1833=0,"해당 없음",L1833/E1833)</x:f>
        <x:v>0.33980582524271846</x:v>
      </x:c>
      <x:c r="U1833" s="15" t="n">
        <x:f>IF(E1833=0,"해당 없음",M1833/E1833)</x:f>
        <x:v>0.24271844660194175</x:v>
      </x:c>
      <x:c r="V1833" s="16" t="n">
        <x:f>E1833/5</x:f>
        <x:v>20.6</x:v>
      </x:c>
    </x:row>
    <x:row r="1834" ht="22" customHeight="1">
      <x:c r="A1834" s="2" t="n">
        <x:v>915</x:v>
      </x:c>
      <x:c r="B1834" s="2" t="str">
        <x:v>RED</x:v>
      </x:c>
      <x:c r="C1834" s="2" t="str">
        <x:v>120만</x:v>
      </x:c>
      <x:c r="D1834" s="2" t="str">
        <x:v>160만</x:v>
      </x:c>
      <x:c r="E1834" s="14" t="n">
        <x:f>SUM(F1834:M1834)</x:f>
        <x:v>104</x:v>
      </x:c>
      <x:c r="F1834" s="14" t="n">
        <x:v>1</x:v>
      </x:c>
      <x:c r="G1834" s="14" t="n">
        <x:v>7</x:v>
      </x:c>
      <x:c r="H1834" s="14" t="n">
        <x:v>7</x:v>
      </x:c>
      <x:c r="I1834" s="14" t="n">
        <x:v>12</x:v>
      </x:c>
      <x:c r="J1834" s="14" t="n">
        <x:v>4</x:v>
      </x:c>
      <x:c r="K1834" s="14" t="n">
        <x:v>9</x:v>
      </x:c>
      <x:c r="L1834" s="14" t="n">
        <x:v>41</x:v>
      </x:c>
      <x:c r="M1834" s="14" t="n">
        <x:v>23</x:v>
      </x:c>
      <x:c r="N1834" s="15" t="n">
        <x:f>IF(E1834=0,"해당 없음",F1834/E1834)</x:f>
        <x:v>0.009615384615384616</x:v>
      </x:c>
      <x:c r="O1834" s="15" t="n">
        <x:f>IF(E1834=0,"해당 없음",G1834/E1834)</x:f>
        <x:v>0.0673076923076923</x:v>
      </x:c>
      <x:c r="P1834" s="15" t="n">
        <x:f>IF(E1834=0,"해당 없음",H1834/E1834)</x:f>
        <x:v>0.0673076923076923</x:v>
      </x:c>
      <x:c r="Q1834" s="15" t="n">
        <x:f>IF(E1834=0,"해당 없음",I1834/E1834)</x:f>
        <x:v>0.11538461538461539</x:v>
      </x:c>
      <x:c r="R1834" s="15" t="n">
        <x:f>IF(E1834=0,"해당 없음",J1834/E1834)</x:f>
        <x:v>0.038461538461538464</x:v>
      </x:c>
      <x:c r="S1834" s="15" t="n">
        <x:f>IF(E1834=0,"해당 없음",K1834/E1834)</x:f>
        <x:v>0.08653846153846154</x:v>
      </x:c>
      <x:c r="T1834" s="15" t="n">
        <x:f>IF(E1834=0,"해당 없음",L1834/E1834)</x:f>
        <x:v>0.3942307692307692</x:v>
      </x:c>
      <x:c r="U1834" s="15" t="n">
        <x:f>IF(E1834=0,"해당 없음",M1834/E1834)</x:f>
        <x:v>0.22115384615384615</x:v>
      </x:c>
      <x:c r="V1834" s="16" t="n">
        <x:f>E1834/5</x:f>
        <x:v>20.8</x:v>
      </x:c>
    </x:row>
    <x:row r="1835" ht="22" customHeight="1">
      <x:c r="A1835" s="2" t="n">
        <x:v>915</x:v>
      </x:c>
      <x:c r="B1835" s="2" t="str">
        <x:v>NAVY</x:v>
      </x:c>
      <x:c r="C1835" s="2" t="str">
        <x:v>160만</x:v>
      </x:c>
      <x:c r="D1835" s="2" t="str">
        <x:v>120만</x:v>
      </x:c>
      <x:c r="E1835" s="14" t="n">
        <x:f>SUM(F1835:M1835)</x:f>
        <x:v>102</x:v>
      </x:c>
      <x:c r="F1835" s="14" t="n">
        <x:v>4</x:v>
      </x:c>
      <x:c r="G1835" s="14" t="n">
        <x:v>18</x:v>
      </x:c>
      <x:c r="H1835" s="14" t="n">
        <x:v>3</x:v>
      </x:c>
      <x:c r="I1835" s="14" t="n">
        <x:v>3</x:v>
      </x:c>
      <x:c r="J1835" s="14" t="n">
        <x:v>5</x:v>
      </x:c>
      <x:c r="K1835" s="14" t="n">
        <x:v>7</x:v>
      </x:c>
      <x:c r="L1835" s="14" t="n">
        <x:v>36</x:v>
      </x:c>
      <x:c r="M1835" s="14" t="n">
        <x:v>26</x:v>
      </x:c>
      <x:c r="N1835" s="15" t="n">
        <x:f>IF(E1835=0,"해당 없음",F1835/E1835)</x:f>
        <x:v>0.0392156862745098</x:v>
      </x:c>
      <x:c r="O1835" s="15" t="n">
        <x:f>IF(E1835=0,"해당 없음",G1835/E1835)</x:f>
        <x:v>0.17647058823529413</x:v>
      </x:c>
      <x:c r="P1835" s="15" t="n">
        <x:f>IF(E1835=0,"해당 없음",H1835/E1835)</x:f>
        <x:v>0.029411764705882353</x:v>
      </x:c>
      <x:c r="Q1835" s="15" t="n">
        <x:f>IF(E1835=0,"해당 없음",I1835/E1835)</x:f>
        <x:v>0.029411764705882353</x:v>
      </x:c>
      <x:c r="R1835" s="15" t="n">
        <x:f>IF(E1835=0,"해당 없음",J1835/E1835)</x:f>
        <x:v>0.049019607843137254</x:v>
      </x:c>
      <x:c r="S1835" s="15" t="n">
        <x:f>IF(E1835=0,"해당 없음",K1835/E1835)</x:f>
        <x:v>0.06862745098039216</x:v>
      </x:c>
      <x:c r="T1835" s="15" t="n">
        <x:f>IF(E1835=0,"해당 없음",L1835/E1835)</x:f>
        <x:v>0.35294117647058826</x:v>
      </x:c>
      <x:c r="U1835" s="15" t="n">
        <x:f>IF(E1835=0,"해당 없음",M1835/E1835)</x:f>
        <x:v>0.2549019607843137</x:v>
      </x:c>
      <x:c r="V1835" s="16" t="n">
        <x:f>E1835/5</x:f>
        <x:v>20.4</x:v>
      </x:c>
    </x:row>
    <x:row r="1836" ht="22" customHeight="1">
      <x:c r="A1836" s="2" t="n">
        <x:v>916</x:v>
      </x:c>
      <x:c r="B1836" s="2" t="str">
        <x:v>RED</x:v>
      </x:c>
      <x:c r="C1836" s="2" t="str">
        <x:v>160만</x:v>
      </x:c>
      <x:c r="D1836" s="2" t="str">
        <x:v>120만</x:v>
      </x:c>
      <x:c r="E1836" s="14" t="n">
        <x:f>SUM(F1836:M1836)</x:f>
        <x:v>102</x:v>
      </x:c>
      <x:c r="F1836" s="14" t="n">
        <x:v>2</x:v>
      </x:c>
      <x:c r="G1836" s="14" t="n">
        <x:v>16</x:v>
      </x:c>
      <x:c r="H1836" s="14" t="n">
        <x:v>3</x:v>
      </x:c>
      <x:c r="I1836" s="14" t="n">
        <x:v>2</x:v>
      </x:c>
      <x:c r="J1836" s="14" t="n">
        <x:v>4</x:v>
      </x:c>
      <x:c r="K1836" s="14" t="n">
        <x:v>9</x:v>
      </x:c>
      <x:c r="L1836" s="14" t="n">
        <x:v>29</x:v>
      </x:c>
      <x:c r="M1836" s="14" t="n">
        <x:v>37</x:v>
      </x:c>
      <x:c r="N1836" s="15" t="n">
        <x:f>IF(E1836=0,"해당 없음",F1836/E1836)</x:f>
        <x:v>0.0196078431372549</x:v>
      </x:c>
      <x:c r="O1836" s="15" t="n">
        <x:f>IF(E1836=0,"해당 없음",G1836/E1836)</x:f>
        <x:v>0.1568627450980392</x:v>
      </x:c>
      <x:c r="P1836" s="15" t="n">
        <x:f>IF(E1836=0,"해당 없음",H1836/E1836)</x:f>
        <x:v>0.029411764705882353</x:v>
      </x:c>
      <x:c r="Q1836" s="15" t="n">
        <x:f>IF(E1836=0,"해당 없음",I1836/E1836)</x:f>
        <x:v>0.0196078431372549</x:v>
      </x:c>
      <x:c r="R1836" s="15" t="n">
        <x:f>IF(E1836=0,"해당 없음",J1836/E1836)</x:f>
        <x:v>0.0392156862745098</x:v>
      </x:c>
      <x:c r="S1836" s="15" t="n">
        <x:f>IF(E1836=0,"해당 없음",K1836/E1836)</x:f>
        <x:v>0.08823529411764706</x:v>
      </x:c>
      <x:c r="T1836" s="15" t="n">
        <x:f>IF(E1836=0,"해당 없음",L1836/E1836)</x:f>
        <x:v>0.28431372549019607</x:v>
      </x:c>
      <x:c r="U1836" s="15" t="n">
        <x:f>IF(E1836=0,"해당 없음",M1836/E1836)</x:f>
        <x:v>0.3627450980392157</x:v>
      </x:c>
      <x:c r="V1836" s="16" t="n">
        <x:f>E1836/5</x:f>
        <x:v>20.4</x:v>
      </x:c>
    </x:row>
    <x:row r="1837" ht="22" customHeight="1">
      <x:c r="A1837" s="2" t="n">
        <x:v>916</x:v>
      </x:c>
      <x:c r="B1837" s="2" t="str">
        <x:v>NAVY</x:v>
      </x:c>
      <x:c r="C1837" s="2" t="str">
        <x:v>120만</x:v>
      </x:c>
      <x:c r="D1837" s="2" t="str">
        <x:v>160만</x:v>
      </x:c>
      <x:c r="E1837" s="14" t="n">
        <x:f>SUM(F1837:M1837)</x:f>
        <x:v>102</x:v>
      </x:c>
      <x:c r="F1837" s="14" t="n">
        <x:v>0</x:v>
      </x:c>
      <x:c r="G1837" s="14" t="n">
        <x:v>12</x:v>
      </x:c>
      <x:c r="H1837" s="14" t="n">
        <x:v>4</x:v>
      </x:c>
      <x:c r="I1837" s="14" t="n">
        <x:v>10</x:v>
      </x:c>
      <x:c r="J1837" s="14" t="n">
        <x:v>5</x:v>
      </x:c>
      <x:c r="K1837" s="14" t="n">
        <x:v>12</x:v>
      </x:c>
      <x:c r="L1837" s="14" t="n">
        <x:v>37</x:v>
      </x:c>
      <x:c r="M1837" s="14" t="n">
        <x:v>22</x:v>
      </x:c>
      <x:c r="N1837" s="15" t="n">
        <x:f>IF(E1837=0,"해당 없음",F1837/E1837)</x:f>
        <x:v>0</x:v>
      </x:c>
      <x:c r="O1837" s="15" t="n">
        <x:f>IF(E1837=0,"해당 없음",G1837/E1837)</x:f>
        <x:v>0.11764705882352941</x:v>
      </x:c>
      <x:c r="P1837" s="15" t="n">
        <x:f>IF(E1837=0,"해당 없음",H1837/E1837)</x:f>
        <x:v>0.0392156862745098</x:v>
      </x:c>
      <x:c r="Q1837" s="15" t="n">
        <x:f>IF(E1837=0,"해당 없음",I1837/E1837)</x:f>
        <x:v>0.09803921568627451</x:v>
      </x:c>
      <x:c r="R1837" s="15" t="n">
        <x:f>IF(E1837=0,"해당 없음",J1837/E1837)</x:f>
        <x:v>0.049019607843137254</x:v>
      </x:c>
      <x:c r="S1837" s="15" t="n">
        <x:f>IF(E1837=0,"해당 없음",K1837/E1837)</x:f>
        <x:v>0.11764705882352941</x:v>
      </x:c>
      <x:c r="T1837" s="15" t="n">
        <x:f>IF(E1837=0,"해당 없음",L1837/E1837)</x:f>
        <x:v>0.3627450980392157</x:v>
      </x:c>
      <x:c r="U1837" s="15" t="n">
        <x:f>IF(E1837=0,"해당 없음",M1837/E1837)</x:f>
        <x:v>0.21568627450980393</x:v>
      </x:c>
      <x:c r="V1837" s="16" t="n">
        <x:f>E1837/5</x:f>
        <x:v>20.4</x:v>
      </x:c>
    </x:row>
    <x:row r="1838" ht="22" customHeight="1">
      <x:c r="A1838" s="2" t="n">
        <x:v>917</x:v>
      </x:c>
      <x:c r="B1838" s="2" t="str">
        <x:v>RED</x:v>
      </x:c>
      <x:c r="C1838" s="2" t="str">
        <x:v>120만</x:v>
      </x:c>
      <x:c r="D1838" s="2" t="str">
        <x:v>160만</x:v>
      </x:c>
      <x:c r="E1838" s="14" t="n">
        <x:f>SUM(F1838:M1838)</x:f>
        <x:v>102</x:v>
      </x:c>
      <x:c r="F1838" s="14" t="n">
        <x:v>0</x:v>
      </x:c>
      <x:c r="G1838" s="14" t="n">
        <x:v>10</x:v>
      </x:c>
      <x:c r="H1838" s="14" t="n">
        <x:v>2</x:v>
      </x:c>
      <x:c r="I1838" s="14" t="n">
        <x:v>7</x:v>
      </x:c>
      <x:c r="J1838" s="14" t="n">
        <x:v>2</x:v>
      </x:c>
      <x:c r="K1838" s="14" t="n">
        <x:v>15</x:v>
      </x:c>
      <x:c r="L1838" s="14" t="n">
        <x:v>32</x:v>
      </x:c>
      <x:c r="M1838" s="14" t="n">
        <x:v>34</x:v>
      </x:c>
      <x:c r="N1838" s="15" t="n">
        <x:f>IF(E1838=0,"해당 없음",F1838/E1838)</x:f>
        <x:v>0</x:v>
      </x:c>
      <x:c r="O1838" s="15" t="n">
        <x:f>IF(E1838=0,"해당 없음",G1838/E1838)</x:f>
        <x:v>0.09803921568627451</x:v>
      </x:c>
      <x:c r="P1838" s="15" t="n">
        <x:f>IF(E1838=0,"해당 없음",H1838/E1838)</x:f>
        <x:v>0.0196078431372549</x:v>
      </x:c>
      <x:c r="Q1838" s="15" t="n">
        <x:f>IF(E1838=0,"해당 없음",I1838/E1838)</x:f>
        <x:v>0.06862745098039216</x:v>
      </x:c>
      <x:c r="R1838" s="15" t="n">
        <x:f>IF(E1838=0,"해당 없음",J1838/E1838)</x:f>
        <x:v>0.0196078431372549</x:v>
      </x:c>
      <x:c r="S1838" s="15" t="n">
        <x:f>IF(E1838=0,"해당 없음",K1838/E1838)</x:f>
        <x:v>0.14705882352941177</x:v>
      </x:c>
      <x:c r="T1838" s="15" t="n">
        <x:f>IF(E1838=0,"해당 없음",L1838/E1838)</x:f>
        <x:v>0.3137254901960784</x:v>
      </x:c>
      <x:c r="U1838" s="15" t="n">
        <x:f>IF(E1838=0,"해당 없음",M1838/E1838)</x:f>
        <x:v>0.3333333333333333</x:v>
      </x:c>
      <x:c r="V1838" s="16" t="n">
        <x:f>E1838/5</x:f>
        <x:v>20.4</x:v>
      </x:c>
    </x:row>
    <x:row r="1839" ht="22" customHeight="1">
      <x:c r="A1839" s="2" t="n">
        <x:v>917</x:v>
      </x:c>
      <x:c r="B1839" s="2" t="str">
        <x:v>NAVY</x:v>
      </x:c>
      <x:c r="C1839" s="2" t="str">
        <x:v>160만</x:v>
      </x:c>
      <x:c r="D1839" s="2" t="str">
        <x:v>120만</x:v>
      </x:c>
      <x:c r="E1839" s="14" t="n">
        <x:f>SUM(F1839:M1839)</x:f>
        <x:v>102</x:v>
      </x:c>
      <x:c r="F1839" s="14" t="n">
        <x:v>7</x:v>
      </x:c>
      <x:c r="G1839" s="14" t="n">
        <x:v>12</x:v>
      </x:c>
      <x:c r="H1839" s="14" t="n">
        <x:v>4</x:v>
      </x:c>
      <x:c r="I1839" s="14" t="n">
        <x:v>6</x:v>
      </x:c>
      <x:c r="J1839" s="14" t="n">
        <x:v>4</x:v>
      </x:c>
      <x:c r="K1839" s="14" t="n">
        <x:v>7</x:v>
      </x:c>
      <x:c r="L1839" s="14" t="n">
        <x:v>24</x:v>
      </x:c>
      <x:c r="M1839" s="14" t="n">
        <x:v>38</x:v>
      </x:c>
      <x:c r="N1839" s="15" t="n">
        <x:f>IF(E1839=0,"해당 없음",F1839/E1839)</x:f>
        <x:v>0.06862745098039216</x:v>
      </x:c>
      <x:c r="O1839" s="15" t="n">
        <x:f>IF(E1839=0,"해당 없음",G1839/E1839)</x:f>
        <x:v>0.11764705882352941</x:v>
      </x:c>
      <x:c r="P1839" s="15" t="n">
        <x:f>IF(E1839=0,"해당 없음",H1839/E1839)</x:f>
        <x:v>0.0392156862745098</x:v>
      </x:c>
      <x:c r="Q1839" s="15" t="n">
        <x:f>IF(E1839=0,"해당 없음",I1839/E1839)</x:f>
        <x:v>0.058823529411764705</x:v>
      </x:c>
      <x:c r="R1839" s="15" t="n">
        <x:f>IF(E1839=0,"해당 없음",J1839/E1839)</x:f>
        <x:v>0.0392156862745098</x:v>
      </x:c>
      <x:c r="S1839" s="15" t="n">
        <x:f>IF(E1839=0,"해당 없음",K1839/E1839)</x:f>
        <x:v>0.06862745098039216</x:v>
      </x:c>
      <x:c r="T1839" s="15" t="n">
        <x:f>IF(E1839=0,"해당 없음",L1839/E1839)</x:f>
        <x:v>0.23529411764705882</x:v>
      </x:c>
      <x:c r="U1839" s="15" t="n">
        <x:f>IF(E1839=0,"해당 없음",M1839/E1839)</x:f>
        <x:v>0.37254901960784315</x:v>
      </x:c>
      <x:c r="V1839" s="16" t="n">
        <x:f>E1839/5</x:f>
        <x:v>20.4</x:v>
      </x:c>
    </x:row>
    <x:row r="1840" ht="22" customHeight="1">
      <x:c r="A1840" s="2" t="n">
        <x:v>918</x:v>
      </x:c>
      <x:c r="B1840" s="2" t="str">
        <x:v>RED</x:v>
      </x:c>
      <x:c r="C1840" s="2" t="str">
        <x:v>160만</x:v>
      </x:c>
      <x:c r="D1840" s="2" t="str">
        <x:v>120만</x:v>
      </x:c>
      <x:c r="E1840" s="14" t="n">
        <x:f>SUM(F1840:M1840)</x:f>
        <x:v>105</x:v>
      </x:c>
      <x:c r="F1840" s="14" t="n">
        <x:v>0</x:v>
      </x:c>
      <x:c r="G1840" s="14" t="n">
        <x:v>13</x:v>
      </x:c>
      <x:c r="H1840" s="14" t="n">
        <x:v>8</x:v>
      </x:c>
      <x:c r="I1840" s="14" t="n">
        <x:v>7</x:v>
      </x:c>
      <x:c r="J1840" s="14" t="n">
        <x:v>4</x:v>
      </x:c>
      <x:c r="K1840" s="14" t="n">
        <x:v>11</x:v>
      </x:c>
      <x:c r="L1840" s="14" t="n">
        <x:v>32</x:v>
      </x:c>
      <x:c r="M1840" s="14" t="n">
        <x:v>30</x:v>
      </x:c>
      <x:c r="N1840" s="15" t="n">
        <x:f>IF(E1840=0,"해당 없음",F1840/E1840)</x:f>
        <x:v>0</x:v>
      </x:c>
      <x:c r="O1840" s="15" t="n">
        <x:f>IF(E1840=0,"해당 없음",G1840/E1840)</x:f>
        <x:v>0.12380952380952381</x:v>
      </x:c>
      <x:c r="P1840" s="15" t="n">
        <x:f>IF(E1840=0,"해당 없음",H1840/E1840)</x:f>
        <x:v>0.0761904761904762</x:v>
      </x:c>
      <x:c r="Q1840" s="15" t="n">
        <x:f>IF(E1840=0,"해당 없음",I1840/E1840)</x:f>
        <x:v>0.06666666666666667</x:v>
      </x:c>
      <x:c r="R1840" s="15" t="n">
        <x:f>IF(E1840=0,"해당 없음",J1840/E1840)</x:f>
        <x:v>0.0380952380952381</x:v>
      </x:c>
      <x:c r="S1840" s="15" t="n">
        <x:f>IF(E1840=0,"해당 없음",K1840/E1840)</x:f>
        <x:v>0.10476190476190476</x:v>
      </x:c>
      <x:c r="T1840" s="15" t="n">
        <x:f>IF(E1840=0,"해당 없음",L1840/E1840)</x:f>
        <x:v>0.3047619047619048</x:v>
      </x:c>
      <x:c r="U1840" s="15" t="n">
        <x:f>IF(E1840=0,"해당 없음",M1840/E1840)</x:f>
        <x:v>0.2857142857142857</x:v>
      </x:c>
      <x:c r="V1840" s="16" t="n">
        <x:f>E1840/5</x:f>
        <x:v>21</x:v>
      </x:c>
    </x:row>
    <x:row r="1841" ht="22" customHeight="1">
      <x:c r="A1841" s="2" t="n">
        <x:v>918</x:v>
      </x:c>
      <x:c r="B1841" s="2" t="str">
        <x:v>NAVY</x:v>
      </x:c>
      <x:c r="C1841" s="2" t="str">
        <x:v>120만</x:v>
      </x:c>
      <x:c r="D1841" s="2" t="str">
        <x:v>160만</x:v>
      </x:c>
      <x:c r="E1841" s="14" t="n">
        <x:f>SUM(F1841:M1841)</x:f>
        <x:v>104</x:v>
      </x:c>
      <x:c r="F1841" s="14" t="n">
        <x:v>1</x:v>
      </x:c>
      <x:c r="G1841" s="14" t="n">
        <x:v>20</x:v>
      </x:c>
      <x:c r="H1841" s="14" t="n">
        <x:v>7</x:v>
      </x:c>
      <x:c r="I1841" s="14" t="n">
        <x:v>4</x:v>
      </x:c>
      <x:c r="J1841" s="14" t="n">
        <x:v>2</x:v>
      </x:c>
      <x:c r="K1841" s="14" t="n">
        <x:v>6</x:v>
      </x:c>
      <x:c r="L1841" s="14" t="n">
        <x:v>43</x:v>
      </x:c>
      <x:c r="M1841" s="14" t="n">
        <x:v>21</x:v>
      </x:c>
      <x:c r="N1841" s="15" t="n">
        <x:f>IF(E1841=0,"해당 없음",F1841/E1841)</x:f>
        <x:v>0.009615384615384616</x:v>
      </x:c>
      <x:c r="O1841" s="15" t="n">
        <x:f>IF(E1841=0,"해당 없음",G1841/E1841)</x:f>
        <x:v>0.19230769230769232</x:v>
      </x:c>
      <x:c r="P1841" s="15" t="n">
        <x:f>IF(E1841=0,"해당 없음",H1841/E1841)</x:f>
        <x:v>0.0673076923076923</x:v>
      </x:c>
      <x:c r="Q1841" s="15" t="n">
        <x:f>IF(E1841=0,"해당 없음",I1841/E1841)</x:f>
        <x:v>0.038461538461538464</x:v>
      </x:c>
      <x:c r="R1841" s="15" t="n">
        <x:f>IF(E1841=0,"해당 없음",J1841/E1841)</x:f>
        <x:v>0.019230769230769232</x:v>
      </x:c>
      <x:c r="S1841" s="15" t="n">
        <x:f>IF(E1841=0,"해당 없음",K1841/E1841)</x:f>
        <x:v>0.057692307692307696</x:v>
      </x:c>
      <x:c r="T1841" s="15" t="n">
        <x:f>IF(E1841=0,"해당 없음",L1841/E1841)</x:f>
        <x:v>0.41346153846153844</x:v>
      </x:c>
      <x:c r="U1841" s="15" t="n">
        <x:f>IF(E1841=0,"해당 없음",M1841/E1841)</x:f>
        <x:v>0.20192307692307693</x:v>
      </x:c>
      <x:c r="V1841" s="16" t="n">
        <x:f>E1841/5</x:f>
        <x:v>20.8</x:v>
      </x:c>
    </x:row>
    <x:row r="1842" ht="22" customHeight="1">
      <x:c r="A1842" s="2" t="n">
        <x:v>919</x:v>
      </x:c>
      <x:c r="B1842" s="2" t="str">
        <x:v>RED</x:v>
      </x:c>
      <x:c r="C1842" s="2" t="str">
        <x:v>120만</x:v>
      </x:c>
      <x:c r="D1842" s="2" t="str">
        <x:v>160만</x:v>
      </x:c>
      <x:c r="E1842" s="14" t="n">
        <x:f>SUM(F1842:M1842)</x:f>
        <x:v>103</x:v>
      </x:c>
      <x:c r="F1842" s="14" t="n">
        <x:v>1</x:v>
      </x:c>
      <x:c r="G1842" s="14" t="n">
        <x:v>10</x:v>
      </x:c>
      <x:c r="H1842" s="14" t="n">
        <x:v>6</x:v>
      </x:c>
      <x:c r="I1842" s="14" t="n">
        <x:v>8</x:v>
      </x:c>
      <x:c r="J1842" s="14" t="n">
        <x:v>3</x:v>
      </x:c>
      <x:c r="K1842" s="14" t="n">
        <x:v>14</x:v>
      </x:c>
      <x:c r="L1842" s="14" t="n">
        <x:v>39</x:v>
      </x:c>
      <x:c r="M1842" s="14" t="n">
        <x:v>22</x:v>
      </x:c>
      <x:c r="N1842" s="15" t="n">
        <x:f>IF(E1842=0,"해당 없음",F1842/E1842)</x:f>
        <x:v>0.009708737864077669</x:v>
      </x:c>
      <x:c r="O1842" s="15" t="n">
        <x:f>IF(E1842=0,"해당 없음",G1842/E1842)</x:f>
        <x:v>0.0970873786407767</x:v>
      </x:c>
      <x:c r="P1842" s="15" t="n">
        <x:f>IF(E1842=0,"해당 없음",H1842/E1842)</x:f>
        <x:v>0.05825242718446602</x:v>
      </x:c>
      <x:c r="Q1842" s="15" t="n">
        <x:f>IF(E1842=0,"해당 없음",I1842/E1842)</x:f>
        <x:v>0.07766990291262135</x:v>
      </x:c>
      <x:c r="R1842" s="15" t="n">
        <x:f>IF(E1842=0,"해당 없음",J1842/E1842)</x:f>
        <x:v>0.02912621359223301</x:v>
      </x:c>
      <x:c r="S1842" s="15" t="n">
        <x:f>IF(E1842=0,"해당 없음",K1842/E1842)</x:f>
        <x:v>0.13592233009708737</x:v>
      </x:c>
      <x:c r="T1842" s="15" t="n">
        <x:f>IF(E1842=0,"해당 없음",L1842/E1842)</x:f>
        <x:v>0.3786407766990291</x:v>
      </x:c>
      <x:c r="U1842" s="15" t="n">
        <x:f>IF(E1842=0,"해당 없음",M1842/E1842)</x:f>
        <x:v>0.21359223300970873</x:v>
      </x:c>
      <x:c r="V1842" s="16" t="n">
        <x:f>E1842/5</x:f>
        <x:v>20.6</x:v>
      </x:c>
    </x:row>
    <x:row r="1843" ht="22" customHeight="1">
      <x:c r="A1843" s="2" t="n">
        <x:v>919</x:v>
      </x:c>
      <x:c r="B1843" s="2" t="str">
        <x:v>NAVY</x:v>
      </x:c>
      <x:c r="C1843" s="2" t="str">
        <x:v>160만</x:v>
      </x:c>
      <x:c r="D1843" s="2" t="str">
        <x:v>120만</x:v>
      </x:c>
      <x:c r="E1843" s="14" t="n">
        <x:f>SUM(F1843:M1843)</x:f>
        <x:v>103</x:v>
      </x:c>
      <x:c r="F1843" s="14" t="n">
        <x:v>3</x:v>
      </x:c>
      <x:c r="G1843" s="14" t="n">
        <x:v>16</x:v>
      </x:c>
      <x:c r="H1843" s="14" t="n">
        <x:v>2</x:v>
      </x:c>
      <x:c r="I1843" s="14" t="n">
        <x:v>4</x:v>
      </x:c>
      <x:c r="J1843" s="14" t="n">
        <x:v>4</x:v>
      </x:c>
      <x:c r="K1843" s="14" t="n">
        <x:v>9</x:v>
      </x:c>
      <x:c r="L1843" s="14" t="n">
        <x:v>31</x:v>
      </x:c>
      <x:c r="M1843" s="14" t="n">
        <x:v>34</x:v>
      </x:c>
      <x:c r="N1843" s="15" t="n">
        <x:f>IF(E1843=0,"해당 없음",F1843/E1843)</x:f>
        <x:v>0.02912621359223301</x:v>
      </x:c>
      <x:c r="O1843" s="15" t="n">
        <x:f>IF(E1843=0,"해당 없음",G1843/E1843)</x:f>
        <x:v>0.1553398058252427</x:v>
      </x:c>
      <x:c r="P1843" s="15" t="n">
        <x:f>IF(E1843=0,"해당 없음",H1843/E1843)</x:f>
        <x:v>0.019417475728155338</x:v>
      </x:c>
      <x:c r="Q1843" s="15" t="n">
        <x:f>IF(E1843=0,"해당 없음",I1843/E1843)</x:f>
        <x:v>0.038834951456310676</x:v>
      </x:c>
      <x:c r="R1843" s="15" t="n">
        <x:f>IF(E1843=0,"해당 없음",J1843/E1843)</x:f>
        <x:v>0.038834951456310676</x:v>
      </x:c>
      <x:c r="S1843" s="15" t="n">
        <x:f>IF(E1843=0,"해당 없음",K1843/E1843)</x:f>
        <x:v>0.08737864077669903</x:v>
      </x:c>
      <x:c r="T1843" s="15" t="n">
        <x:f>IF(E1843=0,"해당 없음",L1843/E1843)</x:f>
        <x:v>0.30097087378640774</x:v>
      </x:c>
      <x:c r="U1843" s="15" t="n">
        <x:f>IF(E1843=0,"해당 없음",M1843/E1843)</x:f>
        <x:v>0.3300970873786408</x:v>
      </x:c>
      <x:c r="V1843" s="16" t="n">
        <x:f>E1843/5</x:f>
        <x:v>20.6</x:v>
      </x:c>
    </x:row>
    <x:row r="1844" ht="22" customHeight="1">
      <x:c r="A1844" s="2" t="n">
        <x:v>920</x:v>
      </x:c>
      <x:c r="B1844" s="2" t="str">
        <x:v>RED</x:v>
      </x:c>
      <x:c r="C1844" s="2" t="str">
        <x:v>160만</x:v>
      </x:c>
      <x:c r="D1844" s="2" t="str">
        <x:v>120만</x:v>
      </x:c>
      <x:c r="E1844" s="14" t="n">
        <x:f>SUM(F1844:M1844)</x:f>
        <x:v>104</x:v>
      </x:c>
      <x:c r="F1844" s="14" t="n">
        <x:v>4</x:v>
      </x:c>
      <x:c r="G1844" s="14" t="n">
        <x:v>19</x:v>
      </x:c>
      <x:c r="H1844" s="14" t="n">
        <x:v>7</x:v>
      </x:c>
      <x:c r="I1844" s="14" t="n">
        <x:v>4</x:v>
      </x:c>
      <x:c r="J1844" s="14" t="n">
        <x:v>0</x:v>
      </x:c>
      <x:c r="K1844" s="14" t="n">
        <x:v>13</x:v>
      </x:c>
      <x:c r="L1844" s="14" t="n">
        <x:v>32</x:v>
      </x:c>
      <x:c r="M1844" s="14" t="n">
        <x:v>25</x:v>
      </x:c>
      <x:c r="N1844" s="15" t="n">
        <x:f>IF(E1844=0,"해당 없음",F1844/E1844)</x:f>
        <x:v>0.038461538461538464</x:v>
      </x:c>
      <x:c r="O1844" s="15" t="n">
        <x:f>IF(E1844=0,"해당 없음",G1844/E1844)</x:f>
        <x:v>0.18269230769230768</x:v>
      </x:c>
      <x:c r="P1844" s="15" t="n">
        <x:f>IF(E1844=0,"해당 없음",H1844/E1844)</x:f>
        <x:v>0.0673076923076923</x:v>
      </x:c>
      <x:c r="Q1844" s="15" t="n">
        <x:f>IF(E1844=0,"해당 없음",I1844/E1844)</x:f>
        <x:v>0.038461538461538464</x:v>
      </x:c>
      <x:c r="R1844" s="15" t="n">
        <x:f>IF(E1844=0,"해당 없음",J1844/E1844)</x:f>
        <x:v>0</x:v>
      </x:c>
      <x:c r="S1844" s="15" t="n">
        <x:f>IF(E1844=0,"해당 없음",K1844/E1844)</x:f>
        <x:v>0.125</x:v>
      </x:c>
      <x:c r="T1844" s="15" t="n">
        <x:f>IF(E1844=0,"해당 없음",L1844/E1844)</x:f>
        <x:v>0.3076923076923077</x:v>
      </x:c>
      <x:c r="U1844" s="15" t="n">
        <x:f>IF(E1844=0,"해당 없음",M1844/E1844)</x:f>
        <x:v>0.2403846153846154</x:v>
      </x:c>
      <x:c r="V1844" s="16" t="n">
        <x:f>E1844/5</x:f>
        <x:v>20.8</x:v>
      </x:c>
    </x:row>
    <x:row r="1845" ht="22" customHeight="1">
      <x:c r="A1845" s="2" t="n">
        <x:v>920</x:v>
      </x:c>
      <x:c r="B1845" s="2" t="str">
        <x:v>NAVY</x:v>
      </x:c>
      <x:c r="C1845" s="2" t="str">
        <x:v>120만</x:v>
      </x:c>
      <x:c r="D1845" s="2" t="str">
        <x:v>160만</x:v>
      </x:c>
      <x:c r="E1845" s="14" t="n">
        <x:f>SUM(F1845:M1845)</x:f>
        <x:v>103</x:v>
      </x:c>
      <x:c r="F1845" s="14" t="n">
        <x:v>3</x:v>
      </x:c>
      <x:c r="G1845" s="14" t="n">
        <x:v>17</x:v>
      </x:c>
      <x:c r="H1845" s="14" t="n">
        <x:v>9</x:v>
      </x:c>
      <x:c r="I1845" s="14" t="n">
        <x:v>8</x:v>
      </x:c>
      <x:c r="J1845" s="14" t="n">
        <x:v>6</x:v>
      </x:c>
      <x:c r="K1845" s="14" t="n">
        <x:v>11</x:v>
      </x:c>
      <x:c r="L1845" s="14" t="n">
        <x:v>31</x:v>
      </x:c>
      <x:c r="M1845" s="14" t="n">
        <x:v>18</x:v>
      </x:c>
      <x:c r="N1845" s="15" t="n">
        <x:f>IF(E1845=0,"해당 없음",F1845/E1845)</x:f>
        <x:v>0.02912621359223301</x:v>
      </x:c>
      <x:c r="O1845" s="15" t="n">
        <x:f>IF(E1845=0,"해당 없음",G1845/E1845)</x:f>
        <x:v>0.1650485436893204</x:v>
      </x:c>
      <x:c r="P1845" s="15" t="n">
        <x:f>IF(E1845=0,"해당 없음",H1845/E1845)</x:f>
        <x:v>0.08737864077669903</x:v>
      </x:c>
      <x:c r="Q1845" s="15" t="n">
        <x:f>IF(E1845=0,"해당 없음",I1845/E1845)</x:f>
        <x:v>0.07766990291262135</x:v>
      </x:c>
      <x:c r="R1845" s="15" t="n">
        <x:f>IF(E1845=0,"해당 없음",J1845/E1845)</x:f>
        <x:v>0.05825242718446602</x:v>
      </x:c>
      <x:c r="S1845" s="15" t="n">
        <x:f>IF(E1845=0,"해당 없음",K1845/E1845)</x:f>
        <x:v>0.10679611650485436</x:v>
      </x:c>
      <x:c r="T1845" s="15" t="n">
        <x:f>IF(E1845=0,"해당 없음",L1845/E1845)</x:f>
        <x:v>0.30097087378640774</x:v>
      </x:c>
      <x:c r="U1845" s="15" t="n">
        <x:f>IF(E1845=0,"해당 없음",M1845/E1845)</x:f>
        <x:v>0.17475728155339806</x:v>
      </x:c>
      <x:c r="V1845" s="16" t="n">
        <x:f>E1845/5</x:f>
        <x:v>20.6</x:v>
      </x:c>
    </x:row>
    <x:row r="1846" ht="22" customHeight="1">
      <x:c r="A1846" s="2" t="n">
        <x:v>921</x:v>
      </x:c>
      <x:c r="B1846" s="2" t="str">
        <x:v>RED</x:v>
      </x:c>
      <x:c r="C1846" s="2" t="str">
        <x:v>120만</x:v>
      </x:c>
      <x:c r="D1846" s="2" t="str">
        <x:v>200만</x:v>
      </x:c>
      <x:c r="E1846" s="14" t="n">
        <x:f>SUM(F1846:M1846)</x:f>
        <x:v>104</x:v>
      </x:c>
      <x:c r="F1846" s="14" t="n">
        <x:v>1</x:v>
      </x:c>
      <x:c r="G1846" s="14" t="n">
        <x:v>11</x:v>
      </x:c>
      <x:c r="H1846" s="14" t="n">
        <x:v>5</x:v>
      </x:c>
      <x:c r="I1846" s="14" t="n">
        <x:v>5</x:v>
      </x:c>
      <x:c r="J1846" s="14" t="n">
        <x:v>3</x:v>
      </x:c>
      <x:c r="K1846" s="14" t="n">
        <x:v>14</x:v>
      </x:c>
      <x:c r="L1846" s="14" t="n">
        <x:v>38</x:v>
      </x:c>
      <x:c r="M1846" s="14" t="n">
        <x:v>27</x:v>
      </x:c>
      <x:c r="N1846" s="15" t="n">
        <x:f>IF(E1846=0,"해당 없음",F1846/E1846)</x:f>
        <x:v>0.009615384615384616</x:v>
      </x:c>
      <x:c r="O1846" s="15" t="n">
        <x:f>IF(E1846=0,"해당 없음",G1846/E1846)</x:f>
        <x:v>0.10576923076923077</x:v>
      </x:c>
      <x:c r="P1846" s="15" t="n">
        <x:f>IF(E1846=0,"해당 없음",H1846/E1846)</x:f>
        <x:v>0.04807692307692308</x:v>
      </x:c>
      <x:c r="Q1846" s="15" t="n">
        <x:f>IF(E1846=0,"해당 없음",I1846/E1846)</x:f>
        <x:v>0.04807692307692308</x:v>
      </x:c>
      <x:c r="R1846" s="15" t="n">
        <x:f>IF(E1846=0,"해당 없음",J1846/E1846)</x:f>
        <x:v>0.028846153846153848</x:v>
      </x:c>
      <x:c r="S1846" s="15" t="n">
        <x:f>IF(E1846=0,"해당 없음",K1846/E1846)</x:f>
        <x:v>0.1346153846153846</x:v>
      </x:c>
      <x:c r="T1846" s="15" t="n">
        <x:f>IF(E1846=0,"해당 없음",L1846/E1846)</x:f>
        <x:v>0.36538461538461536</x:v>
      </x:c>
      <x:c r="U1846" s="15" t="n">
        <x:f>IF(E1846=0,"해당 없음",M1846/E1846)</x:f>
        <x:v>0.25961538461538464</x:v>
      </x:c>
      <x:c r="V1846" s="16" t="n">
        <x:f>E1846/5</x:f>
        <x:v>20.8</x:v>
      </x:c>
    </x:row>
    <x:row r="1847" ht="22" customHeight="1">
      <x:c r="A1847" s="2" t="n">
        <x:v>921</x:v>
      </x:c>
      <x:c r="B1847" s="2" t="str">
        <x:v>NAVY</x:v>
      </x:c>
      <x:c r="C1847" s="2" t="str">
        <x:v>200만</x:v>
      </x:c>
      <x:c r="D1847" s="2" t="str">
        <x:v>120만</x:v>
      </x:c>
      <x:c r="E1847" s="14" t="n">
        <x:f>SUM(F1847:M1847)</x:f>
        <x:v>103</x:v>
      </x:c>
      <x:c r="F1847" s="14" t="n">
        <x:v>4</x:v>
      </x:c>
      <x:c r="G1847" s="14" t="n">
        <x:v>8</x:v>
      </x:c>
      <x:c r="H1847" s="14" t="n">
        <x:v>6</x:v>
      </x:c>
      <x:c r="I1847" s="14" t="n">
        <x:v>2</x:v>
      </x:c>
      <x:c r="J1847" s="14" t="n">
        <x:v>7</x:v>
      </x:c>
      <x:c r="K1847" s="14" t="n">
        <x:v>7</x:v>
      </x:c>
      <x:c r="L1847" s="14" t="n">
        <x:v>34</x:v>
      </x:c>
      <x:c r="M1847" s="14" t="n">
        <x:v>35</x:v>
      </x:c>
      <x:c r="N1847" s="15" t="n">
        <x:f>IF(E1847=0,"해당 없음",F1847/E1847)</x:f>
        <x:v>0.038834951456310676</x:v>
      </x:c>
      <x:c r="O1847" s="15" t="n">
        <x:f>IF(E1847=0,"해당 없음",G1847/E1847)</x:f>
        <x:v>0.07766990291262135</x:v>
      </x:c>
      <x:c r="P1847" s="15" t="n">
        <x:f>IF(E1847=0,"해당 없음",H1847/E1847)</x:f>
        <x:v>0.05825242718446602</x:v>
      </x:c>
      <x:c r="Q1847" s="15" t="n">
        <x:f>IF(E1847=0,"해당 없음",I1847/E1847)</x:f>
        <x:v>0.019417475728155338</x:v>
      </x:c>
      <x:c r="R1847" s="15" t="n">
        <x:f>IF(E1847=0,"해당 없음",J1847/E1847)</x:f>
        <x:v>0.06796116504854369</x:v>
      </x:c>
      <x:c r="S1847" s="15" t="n">
        <x:f>IF(E1847=0,"해당 없음",K1847/E1847)</x:f>
        <x:v>0.06796116504854369</x:v>
      </x:c>
      <x:c r="T1847" s="15" t="n">
        <x:f>IF(E1847=0,"해당 없음",L1847/E1847)</x:f>
        <x:v>0.3300970873786408</x:v>
      </x:c>
      <x:c r="U1847" s="15" t="n">
        <x:f>IF(E1847=0,"해당 없음",M1847/E1847)</x:f>
        <x:v>0.33980582524271846</x:v>
      </x:c>
      <x:c r="V1847" s="16" t="n">
        <x:f>E1847/5</x:f>
        <x:v>20.6</x:v>
      </x:c>
    </x:row>
    <x:row r="1848" ht="22" customHeight="1">
      <x:c r="A1848" s="2" t="n">
        <x:v>922</x:v>
      </x:c>
      <x:c r="B1848" s="2" t="str">
        <x:v>RED</x:v>
      </x:c>
      <x:c r="C1848" s="2" t="str">
        <x:v>200만</x:v>
      </x:c>
      <x:c r="D1848" s="2" t="str">
        <x:v>120만</x:v>
      </x:c>
      <x:c r="E1848" s="14" t="n">
        <x:f>SUM(F1848:M1848)</x:f>
        <x:v>104</x:v>
      </x:c>
      <x:c r="F1848" s="14" t="n">
        <x:v>3</x:v>
      </x:c>
      <x:c r="G1848" s="14" t="n">
        <x:v>22</x:v>
      </x:c>
      <x:c r="H1848" s="14" t="n">
        <x:v>6</x:v>
      </x:c>
      <x:c r="I1848" s="14" t="n">
        <x:v>2</x:v>
      </x:c>
      <x:c r="J1848" s="14" t="n">
        <x:v>1</x:v>
      </x:c>
      <x:c r="K1848" s="14" t="n">
        <x:v>6</x:v>
      </x:c>
      <x:c r="L1848" s="14" t="n">
        <x:v>29</x:v>
      </x:c>
      <x:c r="M1848" s="14" t="n">
        <x:v>35</x:v>
      </x:c>
      <x:c r="N1848" s="15" t="n">
        <x:f>IF(E1848=0,"해당 없음",F1848/E1848)</x:f>
        <x:v>0.028846153846153848</x:v>
      </x:c>
      <x:c r="O1848" s="15" t="n">
        <x:f>IF(E1848=0,"해당 없음",G1848/E1848)</x:f>
        <x:v>0.21153846153846154</x:v>
      </x:c>
      <x:c r="P1848" s="15" t="n">
        <x:f>IF(E1848=0,"해당 없음",H1848/E1848)</x:f>
        <x:v>0.057692307692307696</x:v>
      </x:c>
      <x:c r="Q1848" s="15" t="n">
        <x:f>IF(E1848=0,"해당 없음",I1848/E1848)</x:f>
        <x:v>0.019230769230769232</x:v>
      </x:c>
      <x:c r="R1848" s="15" t="n">
        <x:f>IF(E1848=0,"해당 없음",J1848/E1848)</x:f>
        <x:v>0.009615384615384616</x:v>
      </x:c>
      <x:c r="S1848" s="15" t="n">
        <x:f>IF(E1848=0,"해당 없음",K1848/E1848)</x:f>
        <x:v>0.057692307692307696</x:v>
      </x:c>
      <x:c r="T1848" s="15" t="n">
        <x:f>IF(E1848=0,"해당 없음",L1848/E1848)</x:f>
        <x:v>0.27884615384615385</x:v>
      </x:c>
      <x:c r="U1848" s="15" t="n">
        <x:f>IF(E1848=0,"해당 없음",M1848/E1848)</x:f>
        <x:v>0.33653846153846156</x:v>
      </x:c>
      <x:c r="V1848" s="16" t="n">
        <x:f>E1848/5</x:f>
        <x:v>20.8</x:v>
      </x:c>
    </x:row>
    <x:row r="1849" ht="22" customHeight="1">
      <x:c r="A1849" s="2" t="n">
        <x:v>922</x:v>
      </x:c>
      <x:c r="B1849" s="2" t="str">
        <x:v>NAVY</x:v>
      </x:c>
      <x:c r="C1849" s="2" t="str">
        <x:v>120만</x:v>
      </x:c>
      <x:c r="D1849" s="2" t="str">
        <x:v>200만</x:v>
      </x:c>
      <x:c r="E1849" s="14" t="n">
        <x:f>SUM(F1849:M1849)</x:f>
        <x:v>102</x:v>
      </x:c>
      <x:c r="F1849" s="14" t="n">
        <x:v>1</x:v>
      </x:c>
      <x:c r="G1849" s="14" t="n">
        <x:v>9</x:v>
      </x:c>
      <x:c r="H1849" s="14" t="n">
        <x:v>8</x:v>
      </x:c>
      <x:c r="I1849" s="14" t="n">
        <x:v>11</x:v>
      </x:c>
      <x:c r="J1849" s="14" t="n">
        <x:v>5</x:v>
      </x:c>
      <x:c r="K1849" s="14" t="n">
        <x:v>13</x:v>
      </x:c>
      <x:c r="L1849" s="14" t="n">
        <x:v>37</x:v>
      </x:c>
      <x:c r="M1849" s="14" t="n">
        <x:v>18</x:v>
      </x:c>
      <x:c r="N1849" s="15" t="n">
        <x:f>IF(E1849=0,"해당 없음",F1849/E1849)</x:f>
        <x:v>0.00980392156862745</x:v>
      </x:c>
      <x:c r="O1849" s="15" t="n">
        <x:f>IF(E1849=0,"해당 없음",G1849/E1849)</x:f>
        <x:v>0.08823529411764706</x:v>
      </x:c>
      <x:c r="P1849" s="15" t="n">
        <x:f>IF(E1849=0,"해당 없음",H1849/E1849)</x:f>
        <x:v>0.0784313725490196</x:v>
      </x:c>
      <x:c r="Q1849" s="15" t="n">
        <x:f>IF(E1849=0,"해당 없음",I1849/E1849)</x:f>
        <x:v>0.10784313725490197</x:v>
      </x:c>
      <x:c r="R1849" s="15" t="n">
        <x:f>IF(E1849=0,"해당 없음",J1849/E1849)</x:f>
        <x:v>0.049019607843137254</x:v>
      </x:c>
      <x:c r="S1849" s="15" t="n">
        <x:f>IF(E1849=0,"해당 없음",K1849/E1849)</x:f>
        <x:v>0.12745098039215685</x:v>
      </x:c>
      <x:c r="T1849" s="15" t="n">
        <x:f>IF(E1849=0,"해당 없음",L1849/E1849)</x:f>
        <x:v>0.3627450980392157</x:v>
      </x:c>
      <x:c r="U1849" s="15" t="n">
        <x:f>IF(E1849=0,"해당 없음",M1849/E1849)</x:f>
        <x:v>0.17647058823529413</x:v>
      </x:c>
      <x:c r="V1849" s="16" t="n">
        <x:f>E1849/5</x:f>
        <x:v>20.4</x:v>
      </x:c>
    </x:row>
    <x:row r="1850" ht="22" customHeight="1">
      <x:c r="A1850" s="2" t="n">
        <x:v>923</x:v>
      </x:c>
      <x:c r="B1850" s="2" t="str">
        <x:v>RED</x:v>
      </x:c>
      <x:c r="C1850" s="2" t="str">
        <x:v>120만</x:v>
      </x:c>
      <x:c r="D1850" s="2" t="str">
        <x:v>200만</x:v>
      </x:c>
      <x:c r="E1850" s="14" t="n">
        <x:f>SUM(F1850:M1850)</x:f>
        <x:v>103</x:v>
      </x:c>
      <x:c r="F1850" s="14" t="n">
        <x:v>0</x:v>
      </x:c>
      <x:c r="G1850" s="14" t="n">
        <x:v>8</x:v>
      </x:c>
      <x:c r="H1850" s="14" t="n">
        <x:v>8</x:v>
      </x:c>
      <x:c r="I1850" s="14" t="n">
        <x:v>8</x:v>
      </x:c>
      <x:c r="J1850" s="14" t="n">
        <x:v>3</x:v>
      </x:c>
      <x:c r="K1850" s="14" t="n">
        <x:v>9</x:v>
      </x:c>
      <x:c r="L1850" s="14" t="n">
        <x:v>39</x:v>
      </x:c>
      <x:c r="M1850" s="14" t="n">
        <x:v>28</x:v>
      </x:c>
      <x:c r="N1850" s="15" t="n">
        <x:f>IF(E1850=0,"해당 없음",F1850/E1850)</x:f>
        <x:v>0</x:v>
      </x:c>
      <x:c r="O1850" s="15" t="n">
        <x:f>IF(E1850=0,"해당 없음",G1850/E1850)</x:f>
        <x:v>0.07766990291262135</x:v>
      </x:c>
      <x:c r="P1850" s="15" t="n">
        <x:f>IF(E1850=0,"해당 없음",H1850/E1850)</x:f>
        <x:v>0.07766990291262135</x:v>
      </x:c>
      <x:c r="Q1850" s="15" t="n">
        <x:f>IF(E1850=0,"해당 없음",I1850/E1850)</x:f>
        <x:v>0.07766990291262135</x:v>
      </x:c>
      <x:c r="R1850" s="15" t="n">
        <x:f>IF(E1850=0,"해당 없음",J1850/E1850)</x:f>
        <x:v>0.02912621359223301</x:v>
      </x:c>
      <x:c r="S1850" s="15" t="n">
        <x:f>IF(E1850=0,"해당 없음",K1850/E1850)</x:f>
        <x:v>0.08737864077669903</x:v>
      </x:c>
      <x:c r="T1850" s="15" t="n">
        <x:f>IF(E1850=0,"해당 없음",L1850/E1850)</x:f>
        <x:v>0.3786407766990291</x:v>
      </x:c>
      <x:c r="U1850" s="15" t="n">
        <x:f>IF(E1850=0,"해당 없음",M1850/E1850)</x:f>
        <x:v>0.27184466019417475</x:v>
      </x:c>
      <x:c r="V1850" s="16" t="n">
        <x:f>E1850/5</x:f>
        <x:v>20.6</x:v>
      </x:c>
    </x:row>
    <x:row r="1851" ht="22" customHeight="1">
      <x:c r="A1851" s="2" t="n">
        <x:v>923</x:v>
      </x:c>
      <x:c r="B1851" s="2" t="str">
        <x:v>NAVY</x:v>
      </x:c>
      <x:c r="C1851" s="2" t="str">
        <x:v>200만</x:v>
      </x:c>
      <x:c r="D1851" s="2" t="str">
        <x:v>120만</x:v>
      </x:c>
      <x:c r="E1851" s="14" t="n">
        <x:f>SUM(F1851:M1851)</x:f>
        <x:v>105</x:v>
      </x:c>
      <x:c r="F1851" s="14" t="n">
        <x:v>4</x:v>
      </x:c>
      <x:c r="G1851" s="14" t="n">
        <x:v>14</x:v>
      </x:c>
      <x:c r="H1851" s="14" t="n">
        <x:v>5</x:v>
      </x:c>
      <x:c r="I1851" s="14" t="n">
        <x:v>3</x:v>
      </x:c>
      <x:c r="J1851" s="14" t="n">
        <x:v>7</x:v>
      </x:c>
      <x:c r="K1851" s="14" t="n">
        <x:v>3</x:v>
      </x:c>
      <x:c r="L1851" s="14" t="n">
        <x:v>38</x:v>
      </x:c>
      <x:c r="M1851" s="14" t="n">
        <x:v>31</x:v>
      </x:c>
      <x:c r="N1851" s="15" t="n">
        <x:f>IF(E1851=0,"해당 없음",F1851/E1851)</x:f>
        <x:v>0.0380952380952381</x:v>
      </x:c>
      <x:c r="O1851" s="15" t="n">
        <x:f>IF(E1851=0,"해당 없음",G1851/E1851)</x:f>
        <x:v>0.13333333333333333</x:v>
      </x:c>
      <x:c r="P1851" s="15" t="n">
        <x:f>IF(E1851=0,"해당 없음",H1851/E1851)</x:f>
        <x:v>0.047619047619047616</x:v>
      </x:c>
      <x:c r="Q1851" s="15" t="n">
        <x:f>IF(E1851=0,"해당 없음",I1851/E1851)</x:f>
        <x:v>0.02857142857142857</x:v>
      </x:c>
      <x:c r="R1851" s="15" t="n">
        <x:f>IF(E1851=0,"해당 없음",J1851/E1851)</x:f>
        <x:v>0.06666666666666667</x:v>
      </x:c>
      <x:c r="S1851" s="15" t="n">
        <x:f>IF(E1851=0,"해당 없음",K1851/E1851)</x:f>
        <x:v>0.02857142857142857</x:v>
      </x:c>
      <x:c r="T1851" s="15" t="n">
        <x:f>IF(E1851=0,"해당 없음",L1851/E1851)</x:f>
        <x:v>0.3619047619047619</x:v>
      </x:c>
      <x:c r="U1851" s="15" t="n">
        <x:f>IF(E1851=0,"해당 없음",M1851/E1851)</x:f>
        <x:v>0.29523809523809524</x:v>
      </x:c>
      <x:c r="V1851" s="16" t="n">
        <x:f>E1851/5</x:f>
        <x:v>21</x:v>
      </x:c>
    </x:row>
    <x:row r="1852" ht="22" customHeight="1">
      <x:c r="A1852" s="2" t="n">
        <x:v>924</x:v>
      </x:c>
      <x:c r="B1852" s="2" t="str">
        <x:v>RED</x:v>
      </x:c>
      <x:c r="C1852" s="2" t="str">
        <x:v>200만</x:v>
      </x:c>
      <x:c r="D1852" s="2" t="str">
        <x:v>120만</x:v>
      </x:c>
      <x:c r="E1852" s="14" t="n">
        <x:f>SUM(F1852:M1852)</x:f>
        <x:v>100</x:v>
      </x:c>
      <x:c r="F1852" s="14" t="n">
        <x:v>5</x:v>
      </x:c>
      <x:c r="G1852" s="14" t="n">
        <x:v>17</x:v>
      </x:c>
      <x:c r="H1852" s="14" t="n">
        <x:v>3</x:v>
      </x:c>
      <x:c r="I1852" s="14" t="n">
        <x:v>6</x:v>
      </x:c>
      <x:c r="J1852" s="14" t="n">
        <x:v>3</x:v>
      </x:c>
      <x:c r="K1852" s="14" t="n">
        <x:v>5</x:v>
      </x:c>
      <x:c r="L1852" s="14" t="n">
        <x:v>30</x:v>
      </x:c>
      <x:c r="M1852" s="14" t="n">
        <x:v>31</x:v>
      </x:c>
      <x:c r="N1852" s="15" t="n">
        <x:f>IF(E1852=0,"해당 없음",F1852/E1852)</x:f>
        <x:v>0.05</x:v>
      </x:c>
      <x:c r="O1852" s="15" t="n">
        <x:f>IF(E1852=0,"해당 없음",G1852/E1852)</x:f>
        <x:v>0.17</x:v>
      </x:c>
      <x:c r="P1852" s="15" t="n">
        <x:f>IF(E1852=0,"해당 없음",H1852/E1852)</x:f>
        <x:v>0.03</x:v>
      </x:c>
      <x:c r="Q1852" s="15" t="n">
        <x:f>IF(E1852=0,"해당 없음",I1852/E1852)</x:f>
        <x:v>0.06</x:v>
      </x:c>
      <x:c r="R1852" s="15" t="n">
        <x:f>IF(E1852=0,"해당 없음",J1852/E1852)</x:f>
        <x:v>0.03</x:v>
      </x:c>
      <x:c r="S1852" s="15" t="n">
        <x:f>IF(E1852=0,"해당 없음",K1852/E1852)</x:f>
        <x:v>0.05</x:v>
      </x:c>
      <x:c r="T1852" s="15" t="n">
        <x:f>IF(E1852=0,"해당 없음",L1852/E1852)</x:f>
        <x:v>0.3</x:v>
      </x:c>
      <x:c r="U1852" s="15" t="n">
        <x:f>IF(E1852=0,"해당 없음",M1852/E1852)</x:f>
        <x:v>0.31</x:v>
      </x:c>
      <x:c r="V1852" s="16" t="n">
        <x:f>E1852/5</x:f>
        <x:v>20</x:v>
      </x:c>
    </x:row>
    <x:row r="1853" ht="22" customHeight="1">
      <x:c r="A1853" s="2" t="n">
        <x:v>924</x:v>
      </x:c>
      <x:c r="B1853" s="2" t="str">
        <x:v>NAVY</x:v>
      </x:c>
      <x:c r="C1853" s="2" t="str">
        <x:v>120만</x:v>
      </x:c>
      <x:c r="D1853" s="2" t="str">
        <x:v>200만</x:v>
      </x:c>
      <x:c r="E1853" s="14" t="n">
        <x:f>SUM(F1853:M1853)</x:f>
        <x:v>101</x:v>
      </x:c>
      <x:c r="F1853" s="14" t="n">
        <x:v>5</x:v>
      </x:c>
      <x:c r="G1853" s="14" t="n">
        <x:v>12</x:v>
      </x:c>
      <x:c r="H1853" s="14" t="n">
        <x:v>7</x:v>
      </x:c>
      <x:c r="I1853" s="14" t="n">
        <x:v>11</x:v>
      </x:c>
      <x:c r="J1853" s="14" t="n">
        <x:v>1</x:v>
      </x:c>
      <x:c r="K1853" s="14" t="n">
        <x:v>7</x:v>
      </x:c>
      <x:c r="L1853" s="14" t="n">
        <x:v>34</x:v>
      </x:c>
      <x:c r="M1853" s="14" t="n">
        <x:v>24</x:v>
      </x:c>
      <x:c r="N1853" s="15" t="n">
        <x:f>IF(E1853=0,"해당 없음",F1853/E1853)</x:f>
        <x:v>0.04950495049504951</x:v>
      </x:c>
      <x:c r="O1853" s="15" t="n">
        <x:f>IF(E1853=0,"해당 없음",G1853/E1853)</x:f>
        <x:v>0.1188118811881188</x:v>
      </x:c>
      <x:c r="P1853" s="15" t="n">
        <x:f>IF(E1853=0,"해당 없음",H1853/E1853)</x:f>
        <x:v>0.06930693069306931</x:v>
      </x:c>
      <x:c r="Q1853" s="15" t="n">
        <x:f>IF(E1853=0,"해당 없음",I1853/E1853)</x:f>
        <x:v>0.10891089108910891</x:v>
      </x:c>
      <x:c r="R1853" s="15" t="n">
        <x:f>IF(E1853=0,"해당 없음",J1853/E1853)</x:f>
        <x:v>0.009900990099009901</x:v>
      </x:c>
      <x:c r="S1853" s="15" t="n">
        <x:f>IF(E1853=0,"해당 없음",K1853/E1853)</x:f>
        <x:v>0.06930693069306931</x:v>
      </x:c>
      <x:c r="T1853" s="15" t="n">
        <x:f>IF(E1853=0,"해당 없음",L1853/E1853)</x:f>
        <x:v>0.33663366336633666</x:v>
      </x:c>
      <x:c r="U1853" s="15" t="n">
        <x:f>IF(E1853=0,"해당 없음",M1853/E1853)</x:f>
        <x:v>0.2376237623762376</x:v>
      </x:c>
      <x:c r="V1853" s="16" t="n">
        <x:f>E1853/5</x:f>
        <x:v>20.2</x:v>
      </x:c>
    </x:row>
    <x:row r="1854" ht="22" customHeight="1">
      <x:c r="A1854" s="2" t="n">
        <x:v>925</x:v>
      </x:c>
      <x:c r="B1854" s="2" t="str">
        <x:v>RED</x:v>
      </x:c>
      <x:c r="C1854" s="2" t="str">
        <x:v>120만</x:v>
      </x:c>
      <x:c r="D1854" s="2" t="str">
        <x:v>200만</x:v>
      </x:c>
      <x:c r="E1854" s="14" t="n">
        <x:f>SUM(F1854:M1854)</x:f>
        <x:v>103</x:v>
      </x:c>
      <x:c r="F1854" s="14" t="n">
        <x:v>2</x:v>
      </x:c>
      <x:c r="G1854" s="14" t="n">
        <x:v>18</x:v>
      </x:c>
      <x:c r="H1854" s="14" t="n">
        <x:v>10</x:v>
      </x:c>
      <x:c r="I1854" s="14" t="n">
        <x:v>8</x:v>
      </x:c>
      <x:c r="J1854" s="14" t="n">
        <x:v>5</x:v>
      </x:c>
      <x:c r="K1854" s="14" t="n">
        <x:v>6</x:v>
      </x:c>
      <x:c r="L1854" s="14" t="n">
        <x:v>34</x:v>
      </x:c>
      <x:c r="M1854" s="14" t="n">
        <x:v>20</x:v>
      </x:c>
      <x:c r="N1854" s="15" t="n">
        <x:f>IF(E1854=0,"해당 없음",F1854/E1854)</x:f>
        <x:v>0.019417475728155338</x:v>
      </x:c>
      <x:c r="O1854" s="15" t="n">
        <x:f>IF(E1854=0,"해당 없음",G1854/E1854)</x:f>
        <x:v>0.17475728155339806</x:v>
      </x:c>
      <x:c r="P1854" s="15" t="n">
        <x:f>IF(E1854=0,"해당 없음",H1854/E1854)</x:f>
        <x:v>0.0970873786407767</x:v>
      </x:c>
      <x:c r="Q1854" s="15" t="n">
        <x:f>IF(E1854=0,"해당 없음",I1854/E1854)</x:f>
        <x:v>0.07766990291262135</x:v>
      </x:c>
      <x:c r="R1854" s="15" t="n">
        <x:f>IF(E1854=0,"해당 없음",J1854/E1854)</x:f>
        <x:v>0.04854368932038835</x:v>
      </x:c>
      <x:c r="S1854" s="15" t="n">
        <x:f>IF(E1854=0,"해당 없음",K1854/E1854)</x:f>
        <x:v>0.05825242718446602</x:v>
      </x:c>
      <x:c r="T1854" s="15" t="n">
        <x:f>IF(E1854=0,"해당 없음",L1854/E1854)</x:f>
        <x:v>0.3300970873786408</x:v>
      </x:c>
      <x:c r="U1854" s="15" t="n">
        <x:f>IF(E1854=0,"해당 없음",M1854/E1854)</x:f>
        <x:v>0.1941747572815534</x:v>
      </x:c>
      <x:c r="V1854" s="16" t="n">
        <x:f>E1854/5</x:f>
        <x:v>20.6</x:v>
      </x:c>
    </x:row>
    <x:row r="1855" ht="22" customHeight="1">
      <x:c r="A1855" s="2" t="n">
        <x:v>925</x:v>
      </x:c>
      <x:c r="B1855" s="2" t="str">
        <x:v>NAVY</x:v>
      </x:c>
      <x:c r="C1855" s="2" t="str">
        <x:v>200만</x:v>
      </x:c>
      <x:c r="D1855" s="2" t="str">
        <x:v>120만</x:v>
      </x:c>
      <x:c r="E1855" s="14" t="n">
        <x:f>SUM(F1855:M1855)</x:f>
        <x:v>102</x:v>
      </x:c>
      <x:c r="F1855" s="14" t="n">
        <x:v>2</x:v>
      </x:c>
      <x:c r="G1855" s="14" t="n">
        <x:v>18</x:v>
      </x:c>
      <x:c r="H1855" s="14" t="n">
        <x:v>5</x:v>
      </x:c>
      <x:c r="I1855" s="14" t="n">
        <x:v>5</x:v>
      </x:c>
      <x:c r="J1855" s="14" t="n">
        <x:v>2</x:v>
      </x:c>
      <x:c r="K1855" s="14" t="n">
        <x:v>4</x:v>
      </x:c>
      <x:c r="L1855" s="14" t="n">
        <x:v>38</x:v>
      </x:c>
      <x:c r="M1855" s="14" t="n">
        <x:v>28</x:v>
      </x:c>
      <x:c r="N1855" s="15" t="n">
        <x:f>IF(E1855=0,"해당 없음",F1855/E1855)</x:f>
        <x:v>0.0196078431372549</x:v>
      </x:c>
      <x:c r="O1855" s="15" t="n">
        <x:f>IF(E1855=0,"해당 없음",G1855/E1855)</x:f>
        <x:v>0.17647058823529413</x:v>
      </x:c>
      <x:c r="P1855" s="15" t="n">
        <x:f>IF(E1855=0,"해당 없음",H1855/E1855)</x:f>
        <x:v>0.049019607843137254</x:v>
      </x:c>
      <x:c r="Q1855" s="15" t="n">
        <x:f>IF(E1855=0,"해당 없음",I1855/E1855)</x:f>
        <x:v>0.049019607843137254</x:v>
      </x:c>
      <x:c r="R1855" s="15" t="n">
        <x:f>IF(E1855=0,"해당 없음",J1855/E1855)</x:f>
        <x:v>0.0196078431372549</x:v>
      </x:c>
      <x:c r="S1855" s="15" t="n">
        <x:f>IF(E1855=0,"해당 없음",K1855/E1855)</x:f>
        <x:v>0.0392156862745098</x:v>
      </x:c>
      <x:c r="T1855" s="15" t="n">
        <x:f>IF(E1855=0,"해당 없음",L1855/E1855)</x:f>
        <x:v>0.37254901960784315</x:v>
      </x:c>
      <x:c r="U1855" s="15" t="n">
        <x:f>IF(E1855=0,"해당 없음",M1855/E1855)</x:f>
        <x:v>0.27450980392156865</x:v>
      </x:c>
      <x:c r="V1855" s="16" t="n">
        <x:f>E1855/5</x:f>
        <x:v>20.4</x:v>
      </x:c>
    </x:row>
    <x:row r="1856" ht="22" customHeight="1">
      <x:c r="A1856" s="2" t="n">
        <x:v>926</x:v>
      </x:c>
      <x:c r="B1856" s="2" t="str">
        <x:v>RED</x:v>
      </x:c>
      <x:c r="C1856" s="2" t="str">
        <x:v>200만</x:v>
      </x:c>
      <x:c r="D1856" s="2" t="str">
        <x:v>120만</x:v>
      </x:c>
      <x:c r="E1856" s="14" t="n">
        <x:f>SUM(F1856:M1856)</x:f>
        <x:v>102</x:v>
      </x:c>
      <x:c r="F1856" s="14" t="n">
        <x:v>4</x:v>
      </x:c>
      <x:c r="G1856" s="14" t="n">
        <x:v>14</x:v>
      </x:c>
      <x:c r="H1856" s="14" t="n">
        <x:v>6</x:v>
      </x:c>
      <x:c r="I1856" s="14" t="n">
        <x:v>3</x:v>
      </x:c>
      <x:c r="J1856" s="14" t="n">
        <x:v>1</x:v>
      </x:c>
      <x:c r="K1856" s="14" t="n">
        <x:v>8</x:v>
      </x:c>
      <x:c r="L1856" s="14" t="n">
        <x:v>30</x:v>
      </x:c>
      <x:c r="M1856" s="14" t="n">
        <x:v>36</x:v>
      </x:c>
      <x:c r="N1856" s="15" t="n">
        <x:f>IF(E1856=0,"해당 없음",F1856/E1856)</x:f>
        <x:v>0.0392156862745098</x:v>
      </x:c>
      <x:c r="O1856" s="15" t="n">
        <x:f>IF(E1856=0,"해당 없음",G1856/E1856)</x:f>
        <x:v>0.13725490196078433</x:v>
      </x:c>
      <x:c r="P1856" s="15" t="n">
        <x:f>IF(E1856=0,"해당 없음",H1856/E1856)</x:f>
        <x:v>0.058823529411764705</x:v>
      </x:c>
      <x:c r="Q1856" s="15" t="n">
        <x:f>IF(E1856=0,"해당 없음",I1856/E1856)</x:f>
        <x:v>0.029411764705882353</x:v>
      </x:c>
      <x:c r="R1856" s="15" t="n">
        <x:f>IF(E1856=0,"해당 없음",J1856/E1856)</x:f>
        <x:v>0.00980392156862745</x:v>
      </x:c>
      <x:c r="S1856" s="15" t="n">
        <x:f>IF(E1856=0,"해당 없음",K1856/E1856)</x:f>
        <x:v>0.0784313725490196</x:v>
      </x:c>
      <x:c r="T1856" s="15" t="n">
        <x:f>IF(E1856=0,"해당 없음",L1856/E1856)</x:f>
        <x:v>0.29411764705882354</x:v>
      </x:c>
      <x:c r="U1856" s="15" t="n">
        <x:f>IF(E1856=0,"해당 없음",M1856/E1856)</x:f>
        <x:v>0.35294117647058826</x:v>
      </x:c>
      <x:c r="V1856" s="16" t="n">
        <x:f>E1856/5</x:f>
        <x:v>20.4</x:v>
      </x:c>
    </x:row>
    <x:row r="1857" ht="22" customHeight="1">
      <x:c r="A1857" s="2" t="n">
        <x:v>926</x:v>
      </x:c>
      <x:c r="B1857" s="2" t="str">
        <x:v>NAVY</x:v>
      </x:c>
      <x:c r="C1857" s="2" t="str">
        <x:v>120만</x:v>
      </x:c>
      <x:c r="D1857" s="2" t="str">
        <x:v>200만</x:v>
      </x:c>
      <x:c r="E1857" s="14" t="n">
        <x:f>SUM(F1857:M1857)</x:f>
        <x:v>102</x:v>
      </x:c>
      <x:c r="F1857" s="14" t="n">
        <x:v>2</x:v>
      </x:c>
      <x:c r="G1857" s="14" t="n">
        <x:v>9</x:v>
      </x:c>
      <x:c r="H1857" s="14" t="n">
        <x:v>7</x:v>
      </x:c>
      <x:c r="I1857" s="14" t="n">
        <x:v>7</x:v>
      </x:c>
      <x:c r="J1857" s="14" t="n">
        <x:v>4</x:v>
      </x:c>
      <x:c r="K1857" s="14" t="n">
        <x:v>16</x:v>
      </x:c>
      <x:c r="L1857" s="14" t="n">
        <x:v>33</x:v>
      </x:c>
      <x:c r="M1857" s="14" t="n">
        <x:v>24</x:v>
      </x:c>
      <x:c r="N1857" s="15" t="n">
        <x:f>IF(E1857=0,"해당 없음",F1857/E1857)</x:f>
        <x:v>0.0196078431372549</x:v>
      </x:c>
      <x:c r="O1857" s="15" t="n">
        <x:f>IF(E1857=0,"해당 없음",G1857/E1857)</x:f>
        <x:v>0.08823529411764706</x:v>
      </x:c>
      <x:c r="P1857" s="15" t="n">
        <x:f>IF(E1857=0,"해당 없음",H1857/E1857)</x:f>
        <x:v>0.06862745098039216</x:v>
      </x:c>
      <x:c r="Q1857" s="15" t="n">
        <x:f>IF(E1857=0,"해당 없음",I1857/E1857)</x:f>
        <x:v>0.06862745098039216</x:v>
      </x:c>
      <x:c r="R1857" s="15" t="n">
        <x:f>IF(E1857=0,"해당 없음",J1857/E1857)</x:f>
        <x:v>0.0392156862745098</x:v>
      </x:c>
      <x:c r="S1857" s="15" t="n">
        <x:f>IF(E1857=0,"해당 없음",K1857/E1857)</x:f>
        <x:v>0.1568627450980392</x:v>
      </x:c>
      <x:c r="T1857" s="15" t="n">
        <x:f>IF(E1857=0,"해당 없음",L1857/E1857)</x:f>
        <x:v>0.3235294117647059</x:v>
      </x:c>
      <x:c r="U1857" s="15" t="n">
        <x:f>IF(E1857=0,"해당 없음",M1857/E1857)</x:f>
        <x:v>0.23529411764705882</x:v>
      </x:c>
      <x:c r="V1857" s="16" t="n">
        <x:f>E1857/5</x:f>
        <x:v>20.4</x:v>
      </x:c>
    </x:row>
    <x:row r="1858" ht="22" customHeight="1">
      <x:c r="A1858" s="2" t="n">
        <x:v>927</x:v>
      </x:c>
      <x:c r="B1858" s="2" t="str">
        <x:v>RED</x:v>
      </x:c>
      <x:c r="C1858" s="2" t="str">
        <x:v>120만</x:v>
      </x:c>
      <x:c r="D1858" s="2" t="str">
        <x:v>200만</x:v>
      </x:c>
      <x:c r="E1858" s="14" t="n">
        <x:f>SUM(F1858:M1858)</x:f>
        <x:v>99</x:v>
      </x:c>
      <x:c r="F1858" s="14" t="n">
        <x:v>1</x:v>
      </x:c>
      <x:c r="G1858" s="14" t="n">
        <x:v>9</x:v>
      </x:c>
      <x:c r="H1858" s="14" t="n">
        <x:v>3</x:v>
      </x:c>
      <x:c r="I1858" s="14" t="n">
        <x:v>10</x:v>
      </x:c>
      <x:c r="J1858" s="14" t="n">
        <x:v>0</x:v>
      </x:c>
      <x:c r="K1858" s="14" t="n">
        <x:v>17</x:v>
      </x:c>
      <x:c r="L1858" s="14" t="n">
        <x:v>35</x:v>
      </x:c>
      <x:c r="M1858" s="14" t="n">
        <x:v>24</x:v>
      </x:c>
      <x:c r="N1858" s="15" t="n">
        <x:f>IF(E1858=0,"해당 없음",F1858/E1858)</x:f>
        <x:v>0.010101010101010102</x:v>
      </x:c>
      <x:c r="O1858" s="15" t="n">
        <x:f>IF(E1858=0,"해당 없음",G1858/E1858)</x:f>
        <x:v>0.09090909090909091</x:v>
      </x:c>
      <x:c r="P1858" s="15" t="n">
        <x:f>IF(E1858=0,"해당 없음",H1858/E1858)</x:f>
        <x:v>0.030303030303030304</x:v>
      </x:c>
      <x:c r="Q1858" s="15" t="n">
        <x:f>IF(E1858=0,"해당 없음",I1858/E1858)</x:f>
        <x:v>0.10101010101010101</x:v>
      </x:c>
      <x:c r="R1858" s="15" t="n">
        <x:f>IF(E1858=0,"해당 없음",J1858/E1858)</x:f>
        <x:v>0</x:v>
      </x:c>
      <x:c r="S1858" s="15" t="n">
        <x:f>IF(E1858=0,"해당 없음",K1858/E1858)</x:f>
        <x:v>0.1717171717171717</x:v>
      </x:c>
      <x:c r="T1858" s="15" t="n">
        <x:f>IF(E1858=0,"해당 없음",L1858/E1858)</x:f>
        <x:v>0.35353535353535354</x:v>
      </x:c>
      <x:c r="U1858" s="15" t="n">
        <x:f>IF(E1858=0,"해당 없음",M1858/E1858)</x:f>
        <x:v>0.24242424242424243</x:v>
      </x:c>
      <x:c r="V1858" s="16" t="n">
        <x:f>E1858/5</x:f>
        <x:v>19.8</x:v>
      </x:c>
    </x:row>
    <x:row r="1859" ht="22" customHeight="1">
      <x:c r="A1859" s="2" t="n">
        <x:v>927</x:v>
      </x:c>
      <x:c r="B1859" s="2" t="str">
        <x:v>NAVY</x:v>
      </x:c>
      <x:c r="C1859" s="2" t="str">
        <x:v>200만</x:v>
      </x:c>
      <x:c r="D1859" s="2" t="str">
        <x:v>120만</x:v>
      </x:c>
      <x:c r="E1859" s="14" t="n">
        <x:f>SUM(F1859:M1859)</x:f>
        <x:v>102</x:v>
      </x:c>
      <x:c r="F1859" s="14" t="n">
        <x:v>8</x:v>
      </x:c>
      <x:c r="G1859" s="14" t="n">
        <x:v>20</x:v>
      </x:c>
      <x:c r="H1859" s="14" t="n">
        <x:v>3</x:v>
      </x:c>
      <x:c r="I1859" s="14" t="n">
        <x:v>2</x:v>
      </x:c>
      <x:c r="J1859" s="14" t="n">
        <x:v>4</x:v>
      </x:c>
      <x:c r="K1859" s="14" t="n">
        <x:v>1</x:v>
      </x:c>
      <x:c r="L1859" s="14" t="n">
        <x:v>27</x:v>
      </x:c>
      <x:c r="M1859" s="14" t="n">
        <x:v>37</x:v>
      </x:c>
      <x:c r="N1859" s="15" t="n">
        <x:f>IF(E1859=0,"해당 없음",F1859/E1859)</x:f>
        <x:v>0.0784313725490196</x:v>
      </x:c>
      <x:c r="O1859" s="15" t="n">
        <x:f>IF(E1859=0,"해당 없음",G1859/E1859)</x:f>
        <x:v>0.19607843137254902</x:v>
      </x:c>
      <x:c r="P1859" s="15" t="n">
        <x:f>IF(E1859=0,"해당 없음",H1859/E1859)</x:f>
        <x:v>0.029411764705882353</x:v>
      </x:c>
      <x:c r="Q1859" s="15" t="n">
        <x:f>IF(E1859=0,"해당 없음",I1859/E1859)</x:f>
        <x:v>0.0196078431372549</x:v>
      </x:c>
      <x:c r="R1859" s="15" t="n">
        <x:f>IF(E1859=0,"해당 없음",J1859/E1859)</x:f>
        <x:v>0.0392156862745098</x:v>
      </x:c>
      <x:c r="S1859" s="15" t="n">
        <x:f>IF(E1859=0,"해당 없음",K1859/E1859)</x:f>
        <x:v>0.00980392156862745</x:v>
      </x:c>
      <x:c r="T1859" s="15" t="n">
        <x:f>IF(E1859=0,"해당 없음",L1859/E1859)</x:f>
        <x:v>0.2647058823529412</x:v>
      </x:c>
      <x:c r="U1859" s="15" t="n">
        <x:f>IF(E1859=0,"해당 없음",M1859/E1859)</x:f>
        <x:v>0.3627450980392157</x:v>
      </x:c>
      <x:c r="V1859" s="16" t="n">
        <x:f>E1859/5</x:f>
        <x:v>20.4</x:v>
      </x:c>
    </x:row>
    <x:row r="1860" ht="22" customHeight="1">
      <x:c r="A1860" s="2" t="n">
        <x:v>928</x:v>
      </x:c>
      <x:c r="B1860" s="2" t="str">
        <x:v>RED</x:v>
      </x:c>
      <x:c r="C1860" s="2" t="str">
        <x:v>200만</x:v>
      </x:c>
      <x:c r="D1860" s="2" t="str">
        <x:v>120만</x:v>
      </x:c>
      <x:c r="E1860" s="14" t="n">
        <x:f>SUM(F1860:M1860)</x:f>
        <x:v>103</x:v>
      </x:c>
      <x:c r="F1860" s="14" t="n">
        <x:v>3</x:v>
      </x:c>
      <x:c r="G1860" s="14" t="n">
        <x:v>14</x:v>
      </x:c>
      <x:c r="H1860" s="14" t="n">
        <x:v>1</x:v>
      </x:c>
      <x:c r="I1860" s="14" t="n">
        <x:v>7</x:v>
      </x:c>
      <x:c r="J1860" s="14" t="n">
        <x:v>2</x:v>
      </x:c>
      <x:c r="K1860" s="14" t="n">
        <x:v>2</x:v>
      </x:c>
      <x:c r="L1860" s="14" t="n">
        <x:v>34</x:v>
      </x:c>
      <x:c r="M1860" s="14" t="n">
        <x:v>40</x:v>
      </x:c>
      <x:c r="N1860" s="15" t="n">
        <x:f>IF(E1860=0,"해당 없음",F1860/E1860)</x:f>
        <x:v>0.02912621359223301</x:v>
      </x:c>
      <x:c r="O1860" s="15" t="n">
        <x:f>IF(E1860=0,"해당 없음",G1860/E1860)</x:f>
        <x:v>0.13592233009708737</x:v>
      </x:c>
      <x:c r="P1860" s="15" t="n">
        <x:f>IF(E1860=0,"해당 없음",H1860/E1860)</x:f>
        <x:v>0.009708737864077669</x:v>
      </x:c>
      <x:c r="Q1860" s="15" t="n">
        <x:f>IF(E1860=0,"해당 없음",I1860/E1860)</x:f>
        <x:v>0.06796116504854369</x:v>
      </x:c>
      <x:c r="R1860" s="15" t="n">
        <x:f>IF(E1860=0,"해당 없음",J1860/E1860)</x:f>
        <x:v>0.019417475728155338</x:v>
      </x:c>
      <x:c r="S1860" s="15" t="n">
        <x:f>IF(E1860=0,"해당 없음",K1860/E1860)</x:f>
        <x:v>0.019417475728155338</x:v>
      </x:c>
      <x:c r="T1860" s="15" t="n">
        <x:f>IF(E1860=0,"해당 없음",L1860/E1860)</x:f>
        <x:v>0.3300970873786408</x:v>
      </x:c>
      <x:c r="U1860" s="15" t="n">
        <x:f>IF(E1860=0,"해당 없음",M1860/E1860)</x:f>
        <x:v>0.3883495145631068</x:v>
      </x:c>
      <x:c r="V1860" s="16" t="n">
        <x:f>E1860/5</x:f>
        <x:v>20.6</x:v>
      </x:c>
    </x:row>
    <x:row r="1861" ht="22" customHeight="1">
      <x:c r="A1861" s="2" t="n">
        <x:v>928</x:v>
      </x:c>
      <x:c r="B1861" s="2" t="str">
        <x:v>NAVY</x:v>
      </x:c>
      <x:c r="C1861" s="2" t="str">
        <x:v>120만</x:v>
      </x:c>
      <x:c r="D1861" s="2" t="str">
        <x:v>200만</x:v>
      </x:c>
      <x:c r="E1861" s="14" t="n">
        <x:f>SUM(F1861:M1861)</x:f>
        <x:v>103</x:v>
      </x:c>
      <x:c r="F1861" s="14" t="n">
        <x:v>3</x:v>
      </x:c>
      <x:c r="G1861" s="14" t="n">
        <x:v>6</x:v>
      </x:c>
      <x:c r="H1861" s="14" t="n">
        <x:v>5</x:v>
      </x:c>
      <x:c r="I1861" s="14" t="n">
        <x:v>8</x:v>
      </x:c>
      <x:c r="J1861" s="14" t="n">
        <x:v>8</x:v>
      </x:c>
      <x:c r="K1861" s="14" t="n">
        <x:v>9</x:v>
      </x:c>
      <x:c r="L1861" s="14" t="n">
        <x:v>40</x:v>
      </x:c>
      <x:c r="M1861" s="14" t="n">
        <x:v>24</x:v>
      </x:c>
      <x:c r="N1861" s="15" t="n">
        <x:f>IF(E1861=0,"해당 없음",F1861/E1861)</x:f>
        <x:v>0.02912621359223301</x:v>
      </x:c>
      <x:c r="O1861" s="15" t="n">
        <x:f>IF(E1861=0,"해당 없음",G1861/E1861)</x:f>
        <x:v>0.05825242718446602</x:v>
      </x:c>
      <x:c r="P1861" s="15" t="n">
        <x:f>IF(E1861=0,"해당 없음",H1861/E1861)</x:f>
        <x:v>0.04854368932038835</x:v>
      </x:c>
      <x:c r="Q1861" s="15" t="n">
        <x:f>IF(E1861=0,"해당 없음",I1861/E1861)</x:f>
        <x:v>0.07766990291262135</x:v>
      </x:c>
      <x:c r="R1861" s="15" t="n">
        <x:f>IF(E1861=0,"해당 없음",J1861/E1861)</x:f>
        <x:v>0.07766990291262135</x:v>
      </x:c>
      <x:c r="S1861" s="15" t="n">
        <x:f>IF(E1861=0,"해당 없음",K1861/E1861)</x:f>
        <x:v>0.08737864077669903</x:v>
      </x:c>
      <x:c r="T1861" s="15" t="n">
        <x:f>IF(E1861=0,"해당 없음",L1861/E1861)</x:f>
        <x:v>0.3883495145631068</x:v>
      </x:c>
      <x:c r="U1861" s="15" t="n">
        <x:f>IF(E1861=0,"해당 없음",M1861/E1861)</x:f>
        <x:v>0.23300970873786409</x:v>
      </x:c>
      <x:c r="V1861" s="16" t="n">
        <x:f>E1861/5</x:f>
        <x:v>20.6</x:v>
      </x:c>
    </x:row>
    <x:row r="1862" ht="22" customHeight="1">
      <x:c r="A1862" s="2" t="n">
        <x:v>929</x:v>
      </x:c>
      <x:c r="B1862" s="2" t="str">
        <x:v>RED</x:v>
      </x:c>
      <x:c r="C1862" s="2" t="str">
        <x:v>120만</x:v>
      </x:c>
      <x:c r="D1862" s="2" t="str">
        <x:v>200만</x:v>
      </x:c>
      <x:c r="E1862" s="14" t="n">
        <x:f>SUM(F1862:M1862)</x:f>
        <x:v>101</x:v>
      </x:c>
      <x:c r="F1862" s="14" t="n">
        <x:v>2</x:v>
      </x:c>
      <x:c r="G1862" s="14" t="n">
        <x:v>10</x:v>
      </x:c>
      <x:c r="H1862" s="14" t="n">
        <x:v>3</x:v>
      </x:c>
      <x:c r="I1862" s="14" t="n">
        <x:v>8</x:v>
      </x:c>
      <x:c r="J1862" s="14" t="n">
        <x:v>4</x:v>
      </x:c>
      <x:c r="K1862" s="14" t="n">
        <x:v>5</x:v>
      </x:c>
      <x:c r="L1862" s="14" t="n">
        <x:v>31</x:v>
      </x:c>
      <x:c r="M1862" s="14" t="n">
        <x:v>38</x:v>
      </x:c>
      <x:c r="N1862" s="15" t="n">
        <x:f>IF(E1862=0,"해당 없음",F1862/E1862)</x:f>
        <x:v>0.019801980198019802</x:v>
      </x:c>
      <x:c r="O1862" s="15" t="n">
        <x:f>IF(E1862=0,"해당 없음",G1862/E1862)</x:f>
        <x:v>0.09900990099009901</x:v>
      </x:c>
      <x:c r="P1862" s="15" t="n">
        <x:f>IF(E1862=0,"해당 없음",H1862/E1862)</x:f>
        <x:v>0.0297029702970297</x:v>
      </x:c>
      <x:c r="Q1862" s="15" t="n">
        <x:f>IF(E1862=0,"해당 없음",I1862/E1862)</x:f>
        <x:v>0.07920792079207921</x:v>
      </x:c>
      <x:c r="R1862" s="15" t="n">
        <x:f>IF(E1862=0,"해당 없음",J1862/E1862)</x:f>
        <x:v>0.039603960396039604</x:v>
      </x:c>
      <x:c r="S1862" s="15" t="n">
        <x:f>IF(E1862=0,"해당 없음",K1862/E1862)</x:f>
        <x:v>0.04950495049504951</x:v>
      </x:c>
      <x:c r="T1862" s="15" t="n">
        <x:f>IF(E1862=0,"해당 없음",L1862/E1862)</x:f>
        <x:v>0.3069306930693069</x:v>
      </x:c>
      <x:c r="U1862" s="15" t="n">
        <x:f>IF(E1862=0,"해당 없음",M1862/E1862)</x:f>
        <x:v>0.37623762376237624</x:v>
      </x:c>
      <x:c r="V1862" s="16" t="n">
        <x:f>E1862/5</x:f>
        <x:v>20.2</x:v>
      </x:c>
    </x:row>
    <x:row r="1863" ht="22" customHeight="1">
      <x:c r="A1863" s="2" t="n">
        <x:v>929</x:v>
      </x:c>
      <x:c r="B1863" s="2" t="str">
        <x:v>NAVY</x:v>
      </x:c>
      <x:c r="C1863" s="2" t="str">
        <x:v>200만</x:v>
      </x:c>
      <x:c r="D1863" s="2" t="str">
        <x:v>120만</x:v>
      </x:c>
      <x:c r="E1863" s="14" t="n">
        <x:f>SUM(F1863:M1863)</x:f>
        <x:v>104</x:v>
      </x:c>
      <x:c r="F1863" s="14" t="n">
        <x:v>5</x:v>
      </x:c>
      <x:c r="G1863" s="14" t="n">
        <x:v>16</x:v>
      </x:c>
      <x:c r="H1863" s="14" t="n">
        <x:v>2</x:v>
      </x:c>
      <x:c r="I1863" s="14" t="n">
        <x:v>5</x:v>
      </x:c>
      <x:c r="J1863" s="14" t="n">
        <x:v>3</x:v>
      </x:c>
      <x:c r="K1863" s="14" t="n">
        <x:v>8</x:v>
      </x:c>
      <x:c r="L1863" s="14" t="n">
        <x:v>35</x:v>
      </x:c>
      <x:c r="M1863" s="14" t="n">
        <x:v>30</x:v>
      </x:c>
      <x:c r="N1863" s="15" t="n">
        <x:f>IF(E1863=0,"해당 없음",F1863/E1863)</x:f>
        <x:v>0.04807692307692308</x:v>
      </x:c>
      <x:c r="O1863" s="15" t="n">
        <x:f>IF(E1863=0,"해당 없음",G1863/E1863)</x:f>
        <x:v>0.15384615384615385</x:v>
      </x:c>
      <x:c r="P1863" s="15" t="n">
        <x:f>IF(E1863=0,"해당 없음",H1863/E1863)</x:f>
        <x:v>0.019230769230769232</x:v>
      </x:c>
      <x:c r="Q1863" s="15" t="n">
        <x:f>IF(E1863=0,"해당 없음",I1863/E1863)</x:f>
        <x:v>0.04807692307692308</x:v>
      </x:c>
      <x:c r="R1863" s="15" t="n">
        <x:f>IF(E1863=0,"해당 없음",J1863/E1863)</x:f>
        <x:v>0.028846153846153848</x:v>
      </x:c>
      <x:c r="S1863" s="15" t="n">
        <x:f>IF(E1863=0,"해당 없음",K1863/E1863)</x:f>
        <x:v>0.07692307692307693</x:v>
      </x:c>
      <x:c r="T1863" s="15" t="n">
        <x:f>IF(E1863=0,"해당 없음",L1863/E1863)</x:f>
        <x:v>0.33653846153846156</x:v>
      </x:c>
      <x:c r="U1863" s="15" t="n">
        <x:f>IF(E1863=0,"해당 없음",M1863/E1863)</x:f>
        <x:v>0.28846153846153844</x:v>
      </x:c>
      <x:c r="V1863" s="16" t="n">
        <x:f>E1863/5</x:f>
        <x:v>20.8</x:v>
      </x:c>
    </x:row>
    <x:row r="1864" ht="22" customHeight="1">
      <x:c r="A1864" s="2" t="n">
        <x:v>930</x:v>
      </x:c>
      <x:c r="B1864" s="2" t="str">
        <x:v>RED</x:v>
      </x:c>
      <x:c r="C1864" s="2" t="str">
        <x:v>200만</x:v>
      </x:c>
      <x:c r="D1864" s="2" t="str">
        <x:v>120만</x:v>
      </x:c>
      <x:c r="E1864" s="14" t="n">
        <x:f>SUM(F1864:M1864)</x:f>
        <x:v>104</x:v>
      </x:c>
      <x:c r="F1864" s="14" t="n">
        <x:v>4</x:v>
      </x:c>
      <x:c r="G1864" s="14" t="n">
        <x:v>15</x:v>
      </x:c>
      <x:c r="H1864" s="14" t="n">
        <x:v>3</x:v>
      </x:c>
      <x:c r="I1864" s="14" t="n">
        <x:v>3</x:v>
      </x:c>
      <x:c r="J1864" s="14" t="n">
        <x:v>2</x:v>
      </x:c>
      <x:c r="K1864" s="14" t="n">
        <x:v>2</x:v>
      </x:c>
      <x:c r="L1864" s="14" t="n">
        <x:v>32</x:v>
      </x:c>
      <x:c r="M1864" s="14" t="n">
        <x:v>43</x:v>
      </x:c>
      <x:c r="N1864" s="15" t="n">
        <x:f>IF(E1864=0,"해당 없음",F1864/E1864)</x:f>
        <x:v>0.038461538461538464</x:v>
      </x:c>
      <x:c r="O1864" s="15" t="n">
        <x:f>IF(E1864=0,"해당 없음",G1864/E1864)</x:f>
        <x:v>0.14423076923076922</x:v>
      </x:c>
      <x:c r="P1864" s="15" t="n">
        <x:f>IF(E1864=0,"해당 없음",H1864/E1864)</x:f>
        <x:v>0.028846153846153848</x:v>
      </x:c>
      <x:c r="Q1864" s="15" t="n">
        <x:f>IF(E1864=0,"해당 없음",I1864/E1864)</x:f>
        <x:v>0.028846153846153848</x:v>
      </x:c>
      <x:c r="R1864" s="15" t="n">
        <x:f>IF(E1864=0,"해당 없음",J1864/E1864)</x:f>
        <x:v>0.019230769230769232</x:v>
      </x:c>
      <x:c r="S1864" s="15" t="n">
        <x:f>IF(E1864=0,"해당 없음",K1864/E1864)</x:f>
        <x:v>0.019230769230769232</x:v>
      </x:c>
      <x:c r="T1864" s="15" t="n">
        <x:f>IF(E1864=0,"해당 없음",L1864/E1864)</x:f>
        <x:v>0.3076923076923077</x:v>
      </x:c>
      <x:c r="U1864" s="15" t="n">
        <x:f>IF(E1864=0,"해당 없음",M1864/E1864)</x:f>
        <x:v>0.41346153846153844</x:v>
      </x:c>
      <x:c r="V1864" s="16" t="n">
        <x:f>E1864/5</x:f>
        <x:v>20.8</x:v>
      </x:c>
    </x:row>
    <x:row r="1865" ht="22" customHeight="1">
      <x:c r="A1865" s="2" t="n">
        <x:v>930</x:v>
      </x:c>
      <x:c r="B1865" s="2" t="str">
        <x:v>NAVY</x:v>
      </x:c>
      <x:c r="C1865" s="2" t="str">
        <x:v>120만</x:v>
      </x:c>
      <x:c r="D1865" s="2" t="str">
        <x:v>200만</x:v>
      </x:c>
      <x:c r="E1865" s="14" t="n">
        <x:f>SUM(F1865:M1865)</x:f>
        <x:v>104</x:v>
      </x:c>
      <x:c r="F1865" s="14" t="n">
        <x:v>3</x:v>
      </x:c>
      <x:c r="G1865" s="14" t="n">
        <x:v>12</x:v>
      </x:c>
      <x:c r="H1865" s="14" t="n">
        <x:v>6</x:v>
      </x:c>
      <x:c r="I1865" s="14" t="n">
        <x:v>4</x:v>
      </x:c>
      <x:c r="J1865" s="14" t="n">
        <x:v>6</x:v>
      </x:c>
      <x:c r="K1865" s="14" t="n">
        <x:v>16</x:v>
      </x:c>
      <x:c r="L1865" s="14" t="n">
        <x:v>40</x:v>
      </x:c>
      <x:c r="M1865" s="14" t="n">
        <x:v>17</x:v>
      </x:c>
      <x:c r="N1865" s="15" t="n">
        <x:f>IF(E1865=0,"해당 없음",F1865/E1865)</x:f>
        <x:v>0.028846153846153848</x:v>
      </x:c>
      <x:c r="O1865" s="15" t="n">
        <x:f>IF(E1865=0,"해당 없음",G1865/E1865)</x:f>
        <x:v>0.11538461538461539</x:v>
      </x:c>
      <x:c r="P1865" s="15" t="n">
        <x:f>IF(E1865=0,"해당 없음",H1865/E1865)</x:f>
        <x:v>0.057692307692307696</x:v>
      </x:c>
      <x:c r="Q1865" s="15" t="n">
        <x:f>IF(E1865=0,"해당 없음",I1865/E1865)</x:f>
        <x:v>0.038461538461538464</x:v>
      </x:c>
      <x:c r="R1865" s="15" t="n">
        <x:f>IF(E1865=0,"해당 없음",J1865/E1865)</x:f>
        <x:v>0.057692307692307696</x:v>
      </x:c>
      <x:c r="S1865" s="15" t="n">
        <x:f>IF(E1865=0,"해당 없음",K1865/E1865)</x:f>
        <x:v>0.15384615384615385</x:v>
      </x:c>
      <x:c r="T1865" s="15" t="n">
        <x:f>IF(E1865=0,"해당 없음",L1865/E1865)</x:f>
        <x:v>0.38461538461538464</x:v>
      </x:c>
      <x:c r="U1865" s="15" t="n">
        <x:f>IF(E1865=0,"해당 없음",M1865/E1865)</x:f>
        <x:v>0.16346153846153846</x:v>
      </x:c>
      <x:c r="V1865" s="16" t="n">
        <x:f>E1865/5</x:f>
        <x:v>20.8</x:v>
      </x:c>
    </x:row>
    <x:row r="1866" ht="22" customHeight="1">
      <x:c r="A1866" s="2" t="n">
        <x:v>931</x:v>
      </x:c>
      <x:c r="B1866" s="2" t="str">
        <x:v>RED</x:v>
      </x:c>
      <x:c r="C1866" s="2" t="str">
        <x:v>120만</x:v>
      </x:c>
      <x:c r="D1866" s="2" t="str">
        <x:v>200만</x:v>
      </x:c>
      <x:c r="E1866" s="14" t="n">
        <x:f>SUM(F1866:M1866)</x:f>
        <x:v>102</x:v>
      </x:c>
      <x:c r="F1866" s="14" t="n">
        <x:v>2</x:v>
      </x:c>
      <x:c r="G1866" s="14" t="n">
        <x:v>8</x:v>
      </x:c>
      <x:c r="H1866" s="14" t="n">
        <x:v>10</x:v>
      </x:c>
      <x:c r="I1866" s="14" t="n">
        <x:v>9</x:v>
      </x:c>
      <x:c r="J1866" s="14" t="n">
        <x:v>3</x:v>
      </x:c>
      <x:c r="K1866" s="14" t="n">
        <x:v>10</x:v>
      </x:c>
      <x:c r="L1866" s="14" t="n">
        <x:v>38</x:v>
      </x:c>
      <x:c r="M1866" s="14" t="n">
        <x:v>22</x:v>
      </x:c>
      <x:c r="N1866" s="15" t="n">
        <x:f>IF(E1866=0,"해당 없음",F1866/E1866)</x:f>
        <x:v>0.0196078431372549</x:v>
      </x:c>
      <x:c r="O1866" s="15" t="n">
        <x:f>IF(E1866=0,"해당 없음",G1866/E1866)</x:f>
        <x:v>0.0784313725490196</x:v>
      </x:c>
      <x:c r="P1866" s="15" t="n">
        <x:f>IF(E1866=0,"해당 없음",H1866/E1866)</x:f>
        <x:v>0.09803921568627451</x:v>
      </x:c>
      <x:c r="Q1866" s="15" t="n">
        <x:f>IF(E1866=0,"해당 없음",I1866/E1866)</x:f>
        <x:v>0.08823529411764706</x:v>
      </x:c>
      <x:c r="R1866" s="15" t="n">
        <x:f>IF(E1866=0,"해당 없음",J1866/E1866)</x:f>
        <x:v>0.029411764705882353</x:v>
      </x:c>
      <x:c r="S1866" s="15" t="n">
        <x:f>IF(E1866=0,"해당 없음",K1866/E1866)</x:f>
        <x:v>0.09803921568627451</x:v>
      </x:c>
      <x:c r="T1866" s="15" t="n">
        <x:f>IF(E1866=0,"해당 없음",L1866/E1866)</x:f>
        <x:v>0.37254901960784315</x:v>
      </x:c>
      <x:c r="U1866" s="15" t="n">
        <x:f>IF(E1866=0,"해당 없음",M1866/E1866)</x:f>
        <x:v>0.21568627450980393</x:v>
      </x:c>
      <x:c r="V1866" s="16" t="n">
        <x:f>E1866/5</x:f>
        <x:v>20.4</x:v>
      </x:c>
    </x:row>
    <x:row r="1867" ht="22" customHeight="1">
      <x:c r="A1867" s="2" t="n">
        <x:v>931</x:v>
      </x:c>
      <x:c r="B1867" s="2" t="str">
        <x:v>NAVY</x:v>
      </x:c>
      <x:c r="C1867" s="2" t="str">
        <x:v>200만</x:v>
      </x:c>
      <x:c r="D1867" s="2" t="str">
        <x:v>120만</x:v>
      </x:c>
      <x:c r="E1867" s="14" t="n">
        <x:f>SUM(F1867:M1867)</x:f>
        <x:v>102</x:v>
      </x:c>
      <x:c r="F1867" s="14" t="n">
        <x:v>6</x:v>
      </x:c>
      <x:c r="G1867" s="14" t="n">
        <x:v>21</x:v>
      </x:c>
      <x:c r="H1867" s="14" t="n">
        <x:v>3</x:v>
      </x:c>
      <x:c r="I1867" s="14" t="n">
        <x:v>1</x:v>
      </x:c>
      <x:c r="J1867" s="14" t="n">
        <x:v>5</x:v>
      </x:c>
      <x:c r="K1867" s="14" t="n">
        <x:v>6</x:v>
      </x:c>
      <x:c r="L1867" s="14" t="n">
        <x:v>37</x:v>
      </x:c>
      <x:c r="M1867" s="14" t="n">
        <x:v>23</x:v>
      </x:c>
      <x:c r="N1867" s="15" t="n">
        <x:f>IF(E1867=0,"해당 없음",F1867/E1867)</x:f>
        <x:v>0.058823529411764705</x:v>
      </x:c>
      <x:c r="O1867" s="15" t="n">
        <x:f>IF(E1867=0,"해당 없음",G1867/E1867)</x:f>
        <x:v>0.20588235294117646</x:v>
      </x:c>
      <x:c r="P1867" s="15" t="n">
        <x:f>IF(E1867=0,"해당 없음",H1867/E1867)</x:f>
        <x:v>0.029411764705882353</x:v>
      </x:c>
      <x:c r="Q1867" s="15" t="n">
        <x:f>IF(E1867=0,"해당 없음",I1867/E1867)</x:f>
        <x:v>0.00980392156862745</x:v>
      </x:c>
      <x:c r="R1867" s="15" t="n">
        <x:f>IF(E1867=0,"해당 없음",J1867/E1867)</x:f>
        <x:v>0.049019607843137254</x:v>
      </x:c>
      <x:c r="S1867" s="15" t="n">
        <x:f>IF(E1867=0,"해당 없음",K1867/E1867)</x:f>
        <x:v>0.058823529411764705</x:v>
      </x:c>
      <x:c r="T1867" s="15" t="n">
        <x:f>IF(E1867=0,"해당 없음",L1867/E1867)</x:f>
        <x:v>0.3627450980392157</x:v>
      </x:c>
      <x:c r="U1867" s="15" t="n">
        <x:f>IF(E1867=0,"해당 없음",M1867/E1867)</x:f>
        <x:v>0.22549019607843138</x:v>
      </x:c>
      <x:c r="V1867" s="16" t="n">
        <x:f>E1867/5</x:f>
        <x:v>20.4</x:v>
      </x:c>
    </x:row>
    <x:row r="1868" ht="22" customHeight="1">
      <x:c r="A1868" s="2" t="n">
        <x:v>932</x:v>
      </x:c>
      <x:c r="B1868" s="2" t="str">
        <x:v>RED</x:v>
      </x:c>
      <x:c r="C1868" s="2" t="str">
        <x:v>200만</x:v>
      </x:c>
      <x:c r="D1868" s="2" t="str">
        <x:v>120만</x:v>
      </x:c>
      <x:c r="E1868" s="14" t="n">
        <x:f>SUM(F1868:M1868)</x:f>
        <x:v>107</x:v>
      </x:c>
      <x:c r="F1868" s="14" t="n">
        <x:v>6</x:v>
      </x:c>
      <x:c r="G1868" s="14" t="n">
        <x:v>20</x:v>
      </x:c>
      <x:c r="H1868" s="14" t="n">
        <x:v>4</x:v>
      </x:c>
      <x:c r="I1868" s="14" t="n">
        <x:v>8</x:v>
      </x:c>
      <x:c r="J1868" s="14" t="n">
        <x:v>4</x:v>
      </x:c>
      <x:c r="K1868" s="14" t="n">
        <x:v>3</x:v>
      </x:c>
      <x:c r="L1868" s="14" t="n">
        <x:v>41</x:v>
      </x:c>
      <x:c r="M1868" s="14" t="n">
        <x:v>21</x:v>
      </x:c>
      <x:c r="N1868" s="15" t="n">
        <x:f>IF(E1868=0,"해당 없음",F1868/E1868)</x:f>
        <x:v>0.056074766355140186</x:v>
      </x:c>
      <x:c r="O1868" s="15" t="n">
        <x:f>IF(E1868=0,"해당 없음",G1868/E1868)</x:f>
        <x:v>0.18691588785046728</x:v>
      </x:c>
      <x:c r="P1868" s="15" t="n">
        <x:f>IF(E1868=0,"해당 없음",H1868/E1868)</x:f>
        <x:v>0.037383177570093455</x:v>
      </x:c>
      <x:c r="Q1868" s="15" t="n">
        <x:f>IF(E1868=0,"해당 없음",I1868/E1868)</x:f>
        <x:v>0.07476635514018691</x:v>
      </x:c>
      <x:c r="R1868" s="15" t="n">
        <x:f>IF(E1868=0,"해당 없음",J1868/E1868)</x:f>
        <x:v>0.037383177570093455</x:v>
      </x:c>
      <x:c r="S1868" s="15" t="n">
        <x:f>IF(E1868=0,"해당 없음",K1868/E1868)</x:f>
        <x:v>0.028037383177570093</x:v>
      </x:c>
      <x:c r="T1868" s="15" t="n">
        <x:f>IF(E1868=0,"해당 없음",L1868/E1868)</x:f>
        <x:v>0.38317757009345793</x:v>
      </x:c>
      <x:c r="U1868" s="15" t="n">
        <x:f>IF(E1868=0,"해당 없음",M1868/E1868)</x:f>
        <x:v>0.19626168224299065</x:v>
      </x:c>
      <x:c r="V1868" s="16" t="n">
        <x:f>E1868/5</x:f>
        <x:v>21.4</x:v>
      </x:c>
    </x:row>
    <x:row r="1869" ht="22" customHeight="1">
      <x:c r="A1869" s="2" t="n">
        <x:v>932</x:v>
      </x:c>
      <x:c r="B1869" s="2" t="str">
        <x:v>NAVY</x:v>
      </x:c>
      <x:c r="C1869" s="2" t="str">
        <x:v>120만</x:v>
      </x:c>
      <x:c r="D1869" s="2" t="str">
        <x:v>200만</x:v>
      </x:c>
      <x:c r="E1869" s="14" t="n">
        <x:f>SUM(F1869:M1869)</x:f>
        <x:v>105</x:v>
      </x:c>
      <x:c r="F1869" s="14" t="n">
        <x:v>0</x:v>
      </x:c>
      <x:c r="G1869" s="14" t="n">
        <x:v>14</x:v>
      </x:c>
      <x:c r="H1869" s="14" t="n">
        <x:v>4</x:v>
      </x:c>
      <x:c r="I1869" s="14" t="n">
        <x:v>11</x:v>
      </x:c>
      <x:c r="J1869" s="14" t="n">
        <x:v>4</x:v>
      </x:c>
      <x:c r="K1869" s="14" t="n">
        <x:v>6</x:v>
      </x:c>
      <x:c r="L1869" s="14" t="n">
        <x:v>45</x:v>
      </x:c>
      <x:c r="M1869" s="14" t="n">
        <x:v>21</x:v>
      </x:c>
      <x:c r="N1869" s="15" t="n">
        <x:f>IF(E1869=0,"해당 없음",F1869/E1869)</x:f>
        <x:v>0</x:v>
      </x:c>
      <x:c r="O1869" s="15" t="n">
        <x:f>IF(E1869=0,"해당 없음",G1869/E1869)</x:f>
        <x:v>0.13333333333333333</x:v>
      </x:c>
      <x:c r="P1869" s="15" t="n">
        <x:f>IF(E1869=0,"해당 없음",H1869/E1869)</x:f>
        <x:v>0.0380952380952381</x:v>
      </x:c>
      <x:c r="Q1869" s="15" t="n">
        <x:f>IF(E1869=0,"해당 없음",I1869/E1869)</x:f>
        <x:v>0.10476190476190476</x:v>
      </x:c>
      <x:c r="R1869" s="15" t="n">
        <x:f>IF(E1869=0,"해당 없음",J1869/E1869)</x:f>
        <x:v>0.0380952380952381</x:v>
      </x:c>
      <x:c r="S1869" s="15" t="n">
        <x:f>IF(E1869=0,"해당 없음",K1869/E1869)</x:f>
        <x:v>0.05714285714285714</x:v>
      </x:c>
      <x:c r="T1869" s="15" t="n">
        <x:f>IF(E1869=0,"해당 없음",L1869/E1869)</x:f>
        <x:v>0.42857142857142855</x:v>
      </x:c>
      <x:c r="U1869" s="15" t="n">
        <x:f>IF(E1869=0,"해당 없음",M1869/E1869)</x:f>
        <x:v>0.2</x:v>
      </x:c>
      <x:c r="V1869" s="16" t="n">
        <x:f>E1869/5</x:f>
        <x:v>21</x:v>
      </x:c>
    </x:row>
    <x:row r="1870" ht="22" customHeight="1">
      <x:c r="A1870" s="2" t="n">
        <x:v>933</x:v>
      </x:c>
      <x:c r="B1870" s="2" t="str">
        <x:v>RED</x:v>
      </x:c>
      <x:c r="C1870" s="2" t="str">
        <x:v>120만</x:v>
      </x:c>
      <x:c r="D1870" s="2" t="str">
        <x:v>200만</x:v>
      </x:c>
      <x:c r="E1870" s="14" t="n">
        <x:f>SUM(F1870:M1870)</x:f>
        <x:v>104</x:v>
      </x:c>
      <x:c r="F1870" s="14" t="n">
        <x:v>1</x:v>
      </x:c>
      <x:c r="G1870" s="14" t="n">
        <x:v>13</x:v>
      </x:c>
      <x:c r="H1870" s="14" t="n">
        <x:v>3</x:v>
      </x:c>
      <x:c r="I1870" s="14" t="n">
        <x:v>11</x:v>
      </x:c>
      <x:c r="J1870" s="14" t="n">
        <x:v>3</x:v>
      </x:c>
      <x:c r="K1870" s="14" t="n">
        <x:v>7</x:v>
      </x:c>
      <x:c r="L1870" s="14" t="n">
        <x:v>43</x:v>
      </x:c>
      <x:c r="M1870" s="14" t="n">
        <x:v>23</x:v>
      </x:c>
      <x:c r="N1870" s="15" t="n">
        <x:f>IF(E1870=0,"해당 없음",F1870/E1870)</x:f>
        <x:v>0.009615384615384616</x:v>
      </x:c>
      <x:c r="O1870" s="15" t="n">
        <x:f>IF(E1870=0,"해당 없음",G1870/E1870)</x:f>
        <x:v>0.125</x:v>
      </x:c>
      <x:c r="P1870" s="15" t="n">
        <x:f>IF(E1870=0,"해당 없음",H1870/E1870)</x:f>
        <x:v>0.028846153846153848</x:v>
      </x:c>
      <x:c r="Q1870" s="15" t="n">
        <x:f>IF(E1870=0,"해당 없음",I1870/E1870)</x:f>
        <x:v>0.10576923076923077</x:v>
      </x:c>
      <x:c r="R1870" s="15" t="n">
        <x:f>IF(E1870=0,"해당 없음",J1870/E1870)</x:f>
        <x:v>0.028846153846153848</x:v>
      </x:c>
      <x:c r="S1870" s="15" t="n">
        <x:f>IF(E1870=0,"해당 없음",K1870/E1870)</x:f>
        <x:v>0.0673076923076923</x:v>
      </x:c>
      <x:c r="T1870" s="15" t="n">
        <x:f>IF(E1870=0,"해당 없음",L1870/E1870)</x:f>
        <x:v>0.41346153846153844</x:v>
      </x:c>
      <x:c r="U1870" s="15" t="n">
        <x:f>IF(E1870=0,"해당 없음",M1870/E1870)</x:f>
        <x:v>0.22115384615384615</x:v>
      </x:c>
      <x:c r="V1870" s="16" t="n">
        <x:f>E1870/5</x:f>
        <x:v>20.8</x:v>
      </x:c>
    </x:row>
    <x:row r="1871" ht="22" customHeight="1">
      <x:c r="A1871" s="2" t="n">
        <x:v>933</x:v>
      </x:c>
      <x:c r="B1871" s="2" t="str">
        <x:v>NAVY</x:v>
      </x:c>
      <x:c r="C1871" s="2" t="str">
        <x:v>200만</x:v>
      </x:c>
      <x:c r="D1871" s="2" t="str">
        <x:v>120만</x:v>
      </x:c>
      <x:c r="E1871" s="14" t="n">
        <x:f>SUM(F1871:M1871)</x:f>
        <x:v>103</x:v>
      </x:c>
      <x:c r="F1871" s="14" t="n">
        <x:v>3</x:v>
      </x:c>
      <x:c r="G1871" s="14" t="n">
        <x:v>15</x:v>
      </x:c>
      <x:c r="H1871" s="14" t="n">
        <x:v>7</x:v>
      </x:c>
      <x:c r="I1871" s="14" t="n">
        <x:v>2</x:v>
      </x:c>
      <x:c r="J1871" s="14" t="n">
        <x:v>8</x:v>
      </x:c>
      <x:c r="K1871" s="14" t="n">
        <x:v>5</x:v>
      </x:c>
      <x:c r="L1871" s="14" t="n">
        <x:v>36</x:v>
      </x:c>
      <x:c r="M1871" s="14" t="n">
        <x:v>27</x:v>
      </x:c>
      <x:c r="N1871" s="15" t="n">
        <x:f>IF(E1871=0,"해당 없음",F1871/E1871)</x:f>
        <x:v>0.02912621359223301</x:v>
      </x:c>
      <x:c r="O1871" s="15" t="n">
        <x:f>IF(E1871=0,"해당 없음",G1871/E1871)</x:f>
        <x:v>0.14563106796116504</x:v>
      </x:c>
      <x:c r="P1871" s="15" t="n">
        <x:f>IF(E1871=0,"해당 없음",H1871/E1871)</x:f>
        <x:v>0.06796116504854369</x:v>
      </x:c>
      <x:c r="Q1871" s="15" t="n">
        <x:f>IF(E1871=0,"해당 없음",I1871/E1871)</x:f>
        <x:v>0.019417475728155338</x:v>
      </x:c>
      <x:c r="R1871" s="15" t="n">
        <x:f>IF(E1871=0,"해당 없음",J1871/E1871)</x:f>
        <x:v>0.07766990291262135</x:v>
      </x:c>
      <x:c r="S1871" s="15" t="n">
        <x:f>IF(E1871=0,"해당 없음",K1871/E1871)</x:f>
        <x:v>0.04854368932038835</x:v>
      </x:c>
      <x:c r="T1871" s="15" t="n">
        <x:f>IF(E1871=0,"해당 없음",L1871/E1871)</x:f>
        <x:v>0.34951456310679613</x:v>
      </x:c>
      <x:c r="U1871" s="15" t="n">
        <x:f>IF(E1871=0,"해당 없음",M1871/E1871)</x:f>
        <x:v>0.2621359223300971</x:v>
      </x:c>
      <x:c r="V1871" s="16" t="n">
        <x:f>E1871/5</x:f>
        <x:v>20.6</x:v>
      </x:c>
    </x:row>
    <x:row r="1872" ht="22" customHeight="1">
      <x:c r="A1872" s="2" t="n">
        <x:v>934</x:v>
      </x:c>
      <x:c r="B1872" s="2" t="str">
        <x:v>RED</x:v>
      </x:c>
      <x:c r="C1872" s="2" t="str">
        <x:v>200만</x:v>
      </x:c>
      <x:c r="D1872" s="2" t="str">
        <x:v>120만</x:v>
      </x:c>
      <x:c r="E1872" s="14" t="n">
        <x:f>SUM(F1872:M1872)</x:f>
        <x:v>104</x:v>
      </x:c>
      <x:c r="F1872" s="14" t="n">
        <x:v>2</x:v>
      </x:c>
      <x:c r="G1872" s="14" t="n">
        <x:v>17</x:v>
      </x:c>
      <x:c r="H1872" s="14" t="n">
        <x:v>4</x:v>
      </x:c>
      <x:c r="I1872" s="14" t="n">
        <x:v>1</x:v>
      </x:c>
      <x:c r="J1872" s="14" t="n">
        <x:v>5</x:v>
      </x:c>
      <x:c r="K1872" s="14" t="n">
        <x:v>5</x:v>
      </x:c>
      <x:c r="L1872" s="14" t="n">
        <x:v>35</x:v>
      </x:c>
      <x:c r="M1872" s="14" t="n">
        <x:v>35</x:v>
      </x:c>
      <x:c r="N1872" s="15" t="n">
        <x:f>IF(E1872=0,"해당 없음",F1872/E1872)</x:f>
        <x:v>0.019230769230769232</x:v>
      </x:c>
      <x:c r="O1872" s="15" t="n">
        <x:f>IF(E1872=0,"해당 없음",G1872/E1872)</x:f>
        <x:v>0.16346153846153846</x:v>
      </x:c>
      <x:c r="P1872" s="15" t="n">
        <x:f>IF(E1872=0,"해당 없음",H1872/E1872)</x:f>
        <x:v>0.038461538461538464</x:v>
      </x:c>
      <x:c r="Q1872" s="15" t="n">
        <x:f>IF(E1872=0,"해당 없음",I1872/E1872)</x:f>
        <x:v>0.009615384615384616</x:v>
      </x:c>
      <x:c r="R1872" s="15" t="n">
        <x:f>IF(E1872=0,"해당 없음",J1872/E1872)</x:f>
        <x:v>0.04807692307692308</x:v>
      </x:c>
      <x:c r="S1872" s="15" t="n">
        <x:f>IF(E1872=0,"해당 없음",K1872/E1872)</x:f>
        <x:v>0.04807692307692308</x:v>
      </x:c>
      <x:c r="T1872" s="15" t="n">
        <x:f>IF(E1872=0,"해당 없음",L1872/E1872)</x:f>
        <x:v>0.33653846153846156</x:v>
      </x:c>
      <x:c r="U1872" s="15" t="n">
        <x:f>IF(E1872=0,"해당 없음",M1872/E1872)</x:f>
        <x:v>0.33653846153846156</x:v>
      </x:c>
      <x:c r="V1872" s="16" t="n">
        <x:f>E1872/5</x:f>
        <x:v>20.8</x:v>
      </x:c>
    </x:row>
    <x:row r="1873" ht="22" customHeight="1">
      <x:c r="A1873" s="2" t="n">
        <x:v>934</x:v>
      </x:c>
      <x:c r="B1873" s="2" t="str">
        <x:v>NAVY</x:v>
      </x:c>
      <x:c r="C1873" s="2" t="str">
        <x:v>120만</x:v>
      </x:c>
      <x:c r="D1873" s="2" t="str">
        <x:v>200만</x:v>
      </x:c>
      <x:c r="E1873" s="14" t="n">
        <x:f>SUM(F1873:M1873)</x:f>
        <x:v>101</x:v>
      </x:c>
      <x:c r="F1873" s="14" t="n">
        <x:v>3</x:v>
      </x:c>
      <x:c r="G1873" s="14" t="n">
        <x:v>18</x:v>
      </x:c>
      <x:c r="H1873" s="14" t="n">
        <x:v>8</x:v>
      </x:c>
      <x:c r="I1873" s="14" t="n">
        <x:v>3</x:v>
      </x:c>
      <x:c r="J1873" s="14" t="n">
        <x:v>5</x:v>
      </x:c>
      <x:c r="K1873" s="14" t="n">
        <x:v>14</x:v>
      </x:c>
      <x:c r="L1873" s="14" t="n">
        <x:v>35</x:v>
      </x:c>
      <x:c r="M1873" s="14" t="n">
        <x:v>15</x:v>
      </x:c>
      <x:c r="N1873" s="15" t="n">
        <x:f>IF(E1873=0,"해당 없음",F1873/E1873)</x:f>
        <x:v>0.0297029702970297</x:v>
      </x:c>
      <x:c r="O1873" s="15" t="n">
        <x:f>IF(E1873=0,"해당 없음",G1873/E1873)</x:f>
        <x:v>0.1782178217821782</x:v>
      </x:c>
      <x:c r="P1873" s="15" t="n">
        <x:f>IF(E1873=0,"해당 없음",H1873/E1873)</x:f>
        <x:v>0.07920792079207921</x:v>
      </x:c>
      <x:c r="Q1873" s="15" t="n">
        <x:f>IF(E1873=0,"해당 없음",I1873/E1873)</x:f>
        <x:v>0.0297029702970297</x:v>
      </x:c>
      <x:c r="R1873" s="15" t="n">
        <x:f>IF(E1873=0,"해당 없음",J1873/E1873)</x:f>
        <x:v>0.04950495049504951</x:v>
      </x:c>
      <x:c r="S1873" s="15" t="n">
        <x:f>IF(E1873=0,"해당 없음",K1873/E1873)</x:f>
        <x:v>0.13861386138613863</x:v>
      </x:c>
      <x:c r="T1873" s="15" t="n">
        <x:f>IF(E1873=0,"해당 없음",L1873/E1873)</x:f>
        <x:v>0.3465346534653465</x:v>
      </x:c>
      <x:c r="U1873" s="15" t="n">
        <x:f>IF(E1873=0,"해당 없음",M1873/E1873)</x:f>
        <x:v>0.1485148514851485</x:v>
      </x:c>
      <x:c r="V1873" s="16" t="n">
        <x:f>E1873/5</x:f>
        <x:v>20.2</x:v>
      </x:c>
    </x:row>
    <x:row r="1874" ht="22" customHeight="1">
      <x:c r="A1874" s="2" t="n">
        <x:v>935</x:v>
      </x:c>
      <x:c r="B1874" s="2" t="str">
        <x:v>RED</x:v>
      </x:c>
      <x:c r="C1874" s="2" t="str">
        <x:v>120만</x:v>
      </x:c>
      <x:c r="D1874" s="2" t="str">
        <x:v>200만</x:v>
      </x:c>
      <x:c r="E1874" s="14" t="n">
        <x:f>SUM(F1874:M1874)</x:f>
        <x:v>103</x:v>
      </x:c>
      <x:c r="F1874" s="14" t="n">
        <x:v>1</x:v>
      </x:c>
      <x:c r="G1874" s="14" t="n">
        <x:v>16</x:v>
      </x:c>
      <x:c r="H1874" s="14" t="n">
        <x:v>6</x:v>
      </x:c>
      <x:c r="I1874" s="14" t="n">
        <x:v>8</x:v>
      </x:c>
      <x:c r="J1874" s="14" t="n">
        <x:v>5</x:v>
      </x:c>
      <x:c r="K1874" s="14" t="n">
        <x:v>7</x:v>
      </x:c>
      <x:c r="L1874" s="14" t="n">
        <x:v>39</x:v>
      </x:c>
      <x:c r="M1874" s="14" t="n">
        <x:v>21</x:v>
      </x:c>
      <x:c r="N1874" s="15" t="n">
        <x:f>IF(E1874=0,"해당 없음",F1874/E1874)</x:f>
        <x:v>0.009708737864077669</x:v>
      </x:c>
      <x:c r="O1874" s="15" t="n">
        <x:f>IF(E1874=0,"해당 없음",G1874/E1874)</x:f>
        <x:v>0.1553398058252427</x:v>
      </x:c>
      <x:c r="P1874" s="15" t="n">
        <x:f>IF(E1874=0,"해당 없음",H1874/E1874)</x:f>
        <x:v>0.05825242718446602</x:v>
      </x:c>
      <x:c r="Q1874" s="15" t="n">
        <x:f>IF(E1874=0,"해당 없음",I1874/E1874)</x:f>
        <x:v>0.07766990291262135</x:v>
      </x:c>
      <x:c r="R1874" s="15" t="n">
        <x:f>IF(E1874=0,"해당 없음",J1874/E1874)</x:f>
        <x:v>0.04854368932038835</x:v>
      </x:c>
      <x:c r="S1874" s="15" t="n">
        <x:f>IF(E1874=0,"해당 없음",K1874/E1874)</x:f>
        <x:v>0.06796116504854369</x:v>
      </x:c>
      <x:c r="T1874" s="15" t="n">
        <x:f>IF(E1874=0,"해당 없음",L1874/E1874)</x:f>
        <x:v>0.3786407766990291</x:v>
      </x:c>
      <x:c r="U1874" s="15" t="n">
        <x:f>IF(E1874=0,"해당 없음",M1874/E1874)</x:f>
        <x:v>0.20388349514563106</x:v>
      </x:c>
      <x:c r="V1874" s="16" t="n">
        <x:f>E1874/5</x:f>
        <x:v>20.6</x:v>
      </x:c>
    </x:row>
    <x:row r="1875" ht="22" customHeight="1">
      <x:c r="A1875" s="2" t="n">
        <x:v>935</x:v>
      </x:c>
      <x:c r="B1875" s="2" t="str">
        <x:v>NAVY</x:v>
      </x:c>
      <x:c r="C1875" s="2" t="str">
        <x:v>200만</x:v>
      </x:c>
      <x:c r="D1875" s="2" t="str">
        <x:v>120만</x:v>
      </x:c>
      <x:c r="E1875" s="14" t="n">
        <x:f>SUM(F1875:M1875)</x:f>
        <x:v>105</x:v>
      </x:c>
      <x:c r="F1875" s="14" t="n">
        <x:v>1</x:v>
      </x:c>
      <x:c r="G1875" s="14" t="n">
        <x:v>18</x:v>
      </x:c>
      <x:c r="H1875" s="14" t="n">
        <x:v>6</x:v>
      </x:c>
      <x:c r="I1875" s="14" t="n">
        <x:v>4</x:v>
      </x:c>
      <x:c r="J1875" s="14" t="n">
        <x:v>5</x:v>
      </x:c>
      <x:c r="K1875" s="14" t="n">
        <x:v>9</x:v>
      </x:c>
      <x:c r="L1875" s="14" t="n">
        <x:v>37</x:v>
      </x:c>
      <x:c r="M1875" s="14" t="n">
        <x:v>25</x:v>
      </x:c>
      <x:c r="N1875" s="15" t="n">
        <x:f>IF(E1875=0,"해당 없음",F1875/E1875)</x:f>
        <x:v>0.009523809523809525</x:v>
      </x:c>
      <x:c r="O1875" s="15" t="n">
        <x:f>IF(E1875=0,"해당 없음",G1875/E1875)</x:f>
        <x:v>0.17142857142857143</x:v>
      </x:c>
      <x:c r="P1875" s="15" t="n">
        <x:f>IF(E1875=0,"해당 없음",H1875/E1875)</x:f>
        <x:v>0.05714285714285714</x:v>
      </x:c>
      <x:c r="Q1875" s="15" t="n">
        <x:f>IF(E1875=0,"해당 없음",I1875/E1875)</x:f>
        <x:v>0.0380952380952381</x:v>
      </x:c>
      <x:c r="R1875" s="15" t="n">
        <x:f>IF(E1875=0,"해당 없음",J1875/E1875)</x:f>
        <x:v>0.047619047619047616</x:v>
      </x:c>
      <x:c r="S1875" s="15" t="n">
        <x:f>IF(E1875=0,"해당 없음",K1875/E1875)</x:f>
        <x:v>0.08571428571428572</x:v>
      </x:c>
      <x:c r="T1875" s="15" t="n">
        <x:f>IF(E1875=0,"해당 없음",L1875/E1875)</x:f>
        <x:v>0.3523809523809524</x:v>
      </x:c>
      <x:c r="U1875" s="15" t="n">
        <x:f>IF(E1875=0,"해당 없음",M1875/E1875)</x:f>
        <x:v>0.23809523809523808</x:v>
      </x:c>
      <x:c r="V1875" s="16" t="n">
        <x:f>E1875/5</x:f>
        <x:v>21</x:v>
      </x:c>
    </x:row>
    <x:row r="1876" ht="22" customHeight="1">
      <x:c r="A1876" s="2" t="n">
        <x:v>936</x:v>
      </x:c>
      <x:c r="B1876" s="2" t="str">
        <x:v>RED</x:v>
      </x:c>
      <x:c r="C1876" s="2" t="str">
        <x:v>200만</x:v>
      </x:c>
      <x:c r="D1876" s="2" t="str">
        <x:v>120만</x:v>
      </x:c>
      <x:c r="E1876" s="14" t="n">
        <x:f>SUM(F1876:M1876)</x:f>
        <x:v>101</x:v>
      </x:c>
      <x:c r="F1876" s="14" t="n">
        <x:v>2</x:v>
      </x:c>
      <x:c r="G1876" s="14" t="n">
        <x:v>21</x:v>
      </x:c>
      <x:c r="H1876" s="14" t="n">
        <x:v>1</x:v>
      </x:c>
      <x:c r="I1876" s="14" t="n">
        <x:v>4</x:v>
      </x:c>
      <x:c r="J1876" s="14" t="n">
        <x:v>3</x:v>
      </x:c>
      <x:c r="K1876" s="14" t="n">
        <x:v>10</x:v>
      </x:c>
      <x:c r="L1876" s="14" t="n">
        <x:v>33</x:v>
      </x:c>
      <x:c r="M1876" s="14" t="n">
        <x:v>27</x:v>
      </x:c>
      <x:c r="N1876" s="15" t="n">
        <x:f>IF(E1876=0,"해당 없음",F1876/E1876)</x:f>
        <x:v>0.019801980198019802</x:v>
      </x:c>
      <x:c r="O1876" s="15" t="n">
        <x:f>IF(E1876=0,"해당 없음",G1876/E1876)</x:f>
        <x:v>0.2079207920792079</x:v>
      </x:c>
      <x:c r="P1876" s="15" t="n">
        <x:f>IF(E1876=0,"해당 없음",H1876/E1876)</x:f>
        <x:v>0.009900990099009901</x:v>
      </x:c>
      <x:c r="Q1876" s="15" t="n">
        <x:f>IF(E1876=0,"해당 없음",I1876/E1876)</x:f>
        <x:v>0.039603960396039604</x:v>
      </x:c>
      <x:c r="R1876" s="15" t="n">
        <x:f>IF(E1876=0,"해당 없음",J1876/E1876)</x:f>
        <x:v>0.0297029702970297</x:v>
      </x:c>
      <x:c r="S1876" s="15" t="n">
        <x:f>IF(E1876=0,"해당 없음",K1876/E1876)</x:f>
        <x:v>0.09900990099009901</x:v>
      </x:c>
      <x:c r="T1876" s="15" t="n">
        <x:f>IF(E1876=0,"해당 없음",L1876/E1876)</x:f>
        <x:v>0.32673267326732675</x:v>
      </x:c>
      <x:c r="U1876" s="15" t="n">
        <x:f>IF(E1876=0,"해당 없음",M1876/E1876)</x:f>
        <x:v>0.26732673267326734</x:v>
      </x:c>
      <x:c r="V1876" s="16" t="n">
        <x:f>E1876/5</x:f>
        <x:v>20.2</x:v>
      </x:c>
    </x:row>
    <x:row r="1877" ht="22" customHeight="1">
      <x:c r="A1877" s="2" t="n">
        <x:v>936</x:v>
      </x:c>
      <x:c r="B1877" s="2" t="str">
        <x:v>NAVY</x:v>
      </x:c>
      <x:c r="C1877" s="2" t="str">
        <x:v>120만</x:v>
      </x:c>
      <x:c r="D1877" s="2" t="str">
        <x:v>200만</x:v>
      </x:c>
      <x:c r="E1877" s="14" t="n">
        <x:f>SUM(F1877:M1877)</x:f>
        <x:v>103</x:v>
      </x:c>
      <x:c r="F1877" s="14" t="n">
        <x:v>4</x:v>
      </x:c>
      <x:c r="G1877" s="14" t="n">
        <x:v>11</x:v>
      </x:c>
      <x:c r="H1877" s="14" t="n">
        <x:v>10</x:v>
      </x:c>
      <x:c r="I1877" s="14" t="n">
        <x:v>3</x:v>
      </x:c>
      <x:c r="J1877" s="14" t="n">
        <x:v>2</x:v>
      </x:c>
      <x:c r="K1877" s="14" t="n">
        <x:v>16</x:v>
      </x:c>
      <x:c r="L1877" s="14" t="n">
        <x:v>41</x:v>
      </x:c>
      <x:c r="M1877" s="14" t="n">
        <x:v>16</x:v>
      </x:c>
      <x:c r="N1877" s="15" t="n">
        <x:f>IF(E1877=0,"해당 없음",F1877/E1877)</x:f>
        <x:v>0.038834951456310676</x:v>
      </x:c>
      <x:c r="O1877" s="15" t="n">
        <x:f>IF(E1877=0,"해당 없음",G1877/E1877)</x:f>
        <x:v>0.10679611650485436</x:v>
      </x:c>
      <x:c r="P1877" s="15" t="n">
        <x:f>IF(E1877=0,"해당 없음",H1877/E1877)</x:f>
        <x:v>0.0970873786407767</x:v>
      </x:c>
      <x:c r="Q1877" s="15" t="n">
        <x:f>IF(E1877=0,"해당 없음",I1877/E1877)</x:f>
        <x:v>0.02912621359223301</x:v>
      </x:c>
      <x:c r="R1877" s="15" t="n">
        <x:f>IF(E1877=0,"해당 없음",J1877/E1877)</x:f>
        <x:v>0.019417475728155338</x:v>
      </x:c>
      <x:c r="S1877" s="15" t="n">
        <x:f>IF(E1877=0,"해당 없음",K1877/E1877)</x:f>
        <x:v>0.1553398058252427</x:v>
      </x:c>
      <x:c r="T1877" s="15" t="n">
        <x:f>IF(E1877=0,"해당 없음",L1877/E1877)</x:f>
        <x:v>0.39805825242718446</x:v>
      </x:c>
      <x:c r="U1877" s="15" t="n">
        <x:f>IF(E1877=0,"해당 없음",M1877/E1877)</x:f>
        <x:v>0.1553398058252427</x:v>
      </x:c>
      <x:c r="V1877" s="16" t="n">
        <x:f>E1877/5</x:f>
        <x:v>20.6</x:v>
      </x:c>
    </x:row>
    <x:row r="1878" ht="22" customHeight="1">
      <x:c r="A1878" s="2" t="n">
        <x:v>937</x:v>
      </x:c>
      <x:c r="B1878" s="2" t="str">
        <x:v>RED</x:v>
      </x:c>
      <x:c r="C1878" s="2" t="str">
        <x:v>120만</x:v>
      </x:c>
      <x:c r="D1878" s="2" t="str">
        <x:v>200만</x:v>
      </x:c>
      <x:c r="E1878" s="14" t="n">
        <x:f>SUM(F1878:M1878)</x:f>
        <x:v>101</x:v>
      </x:c>
      <x:c r="F1878" s="14" t="n">
        <x:v>4</x:v>
      </x:c>
      <x:c r="G1878" s="14" t="n">
        <x:v>14</x:v>
      </x:c>
      <x:c r="H1878" s="14" t="n">
        <x:v>9</x:v>
      </x:c>
      <x:c r="I1878" s="14" t="n">
        <x:v>7</x:v>
      </x:c>
      <x:c r="J1878" s="14" t="n">
        <x:v>5</x:v>
      </x:c>
      <x:c r="K1878" s="14" t="n">
        <x:v>21</x:v>
      </x:c>
      <x:c r="L1878" s="14" t="n">
        <x:v>32</x:v>
      </x:c>
      <x:c r="M1878" s="14" t="n">
        <x:v>9</x:v>
      </x:c>
      <x:c r="N1878" s="15" t="n">
        <x:f>IF(E1878=0,"해당 없음",F1878/E1878)</x:f>
        <x:v>0.039603960396039604</x:v>
      </x:c>
      <x:c r="O1878" s="15" t="n">
        <x:f>IF(E1878=0,"해당 없음",G1878/E1878)</x:f>
        <x:v>0.13861386138613863</x:v>
      </x:c>
      <x:c r="P1878" s="15" t="n">
        <x:f>IF(E1878=0,"해당 없음",H1878/E1878)</x:f>
        <x:v>0.0891089108910891</x:v>
      </x:c>
      <x:c r="Q1878" s="15" t="n">
        <x:f>IF(E1878=0,"해당 없음",I1878/E1878)</x:f>
        <x:v>0.06930693069306931</x:v>
      </x:c>
      <x:c r="R1878" s="15" t="n">
        <x:f>IF(E1878=0,"해당 없음",J1878/E1878)</x:f>
        <x:v>0.04950495049504951</x:v>
      </x:c>
      <x:c r="S1878" s="15" t="n">
        <x:f>IF(E1878=0,"해당 없음",K1878/E1878)</x:f>
        <x:v>0.2079207920792079</x:v>
      </x:c>
      <x:c r="T1878" s="15" t="n">
        <x:f>IF(E1878=0,"해당 없음",L1878/E1878)</x:f>
        <x:v>0.31683168316831684</x:v>
      </x:c>
      <x:c r="U1878" s="15" t="n">
        <x:f>IF(E1878=0,"해당 없음",M1878/E1878)</x:f>
        <x:v>0.0891089108910891</x:v>
      </x:c>
      <x:c r="V1878" s="16" t="n">
        <x:f>E1878/5</x:f>
        <x:v>20.2</x:v>
      </x:c>
    </x:row>
    <x:row r="1879" ht="22" customHeight="1">
      <x:c r="A1879" s="2" t="n">
        <x:v>937</x:v>
      </x:c>
      <x:c r="B1879" s="2" t="str">
        <x:v>NAVY</x:v>
      </x:c>
      <x:c r="C1879" s="2" t="str">
        <x:v>200만</x:v>
      </x:c>
      <x:c r="D1879" s="2" t="str">
        <x:v>120만</x:v>
      </x:c>
      <x:c r="E1879" s="14" t="n">
        <x:f>SUM(F1879:M1879)</x:f>
        <x:v>102</x:v>
      </x:c>
      <x:c r="F1879" s="14" t="n">
        <x:v>3</x:v>
      </x:c>
      <x:c r="G1879" s="14" t="n">
        <x:v>20</x:v>
      </x:c>
      <x:c r="H1879" s="14" t="n">
        <x:v>3</x:v>
      </x:c>
      <x:c r="I1879" s="14" t="n">
        <x:v>0</x:v>
      </x:c>
      <x:c r="J1879" s="14" t="n">
        <x:v>3</x:v>
      </x:c>
      <x:c r="K1879" s="14" t="n">
        <x:v>1</x:v>
      </x:c>
      <x:c r="L1879" s="14" t="n">
        <x:v>30</x:v>
      </x:c>
      <x:c r="M1879" s="14" t="n">
        <x:v>42</x:v>
      </x:c>
      <x:c r="N1879" s="15" t="n">
        <x:f>IF(E1879=0,"해당 없음",F1879/E1879)</x:f>
        <x:v>0.029411764705882353</x:v>
      </x:c>
      <x:c r="O1879" s="15" t="n">
        <x:f>IF(E1879=0,"해당 없음",G1879/E1879)</x:f>
        <x:v>0.19607843137254902</x:v>
      </x:c>
      <x:c r="P1879" s="15" t="n">
        <x:f>IF(E1879=0,"해당 없음",H1879/E1879)</x:f>
        <x:v>0.029411764705882353</x:v>
      </x:c>
      <x:c r="Q1879" s="15" t="n">
        <x:f>IF(E1879=0,"해당 없음",I1879/E1879)</x:f>
        <x:v>0</x:v>
      </x:c>
      <x:c r="R1879" s="15" t="n">
        <x:f>IF(E1879=0,"해당 없음",J1879/E1879)</x:f>
        <x:v>0.029411764705882353</x:v>
      </x:c>
      <x:c r="S1879" s="15" t="n">
        <x:f>IF(E1879=0,"해당 없음",K1879/E1879)</x:f>
        <x:v>0.00980392156862745</x:v>
      </x:c>
      <x:c r="T1879" s="15" t="n">
        <x:f>IF(E1879=0,"해당 없음",L1879/E1879)</x:f>
        <x:v>0.29411764705882354</x:v>
      </x:c>
      <x:c r="U1879" s="15" t="n">
        <x:f>IF(E1879=0,"해당 없음",M1879/E1879)</x:f>
        <x:v>0.4117647058823529</x:v>
      </x:c>
      <x:c r="V1879" s="16" t="n">
        <x:f>E1879/5</x:f>
        <x:v>20.4</x:v>
      </x:c>
    </x:row>
    <x:row r="1880" ht="22" customHeight="1">
      <x:c r="A1880" s="2" t="n">
        <x:v>938</x:v>
      </x:c>
      <x:c r="B1880" s="2" t="str">
        <x:v>RED</x:v>
      </x:c>
      <x:c r="C1880" s="2" t="str">
        <x:v>200만</x:v>
      </x:c>
      <x:c r="D1880" s="2" t="str">
        <x:v>120만</x:v>
      </x:c>
      <x:c r="E1880" s="14" t="n">
        <x:f>SUM(F1880:M1880)</x:f>
        <x:v>102</x:v>
      </x:c>
      <x:c r="F1880" s="14" t="n">
        <x:v>3</x:v>
      </x:c>
      <x:c r="G1880" s="14" t="n">
        <x:v>21</x:v>
      </x:c>
      <x:c r="H1880" s="14" t="n">
        <x:v>5</x:v>
      </x:c>
      <x:c r="I1880" s="14" t="n">
        <x:v>1</x:v>
      </x:c>
      <x:c r="J1880" s="14" t="n">
        <x:v>3</x:v>
      </x:c>
      <x:c r="K1880" s="14" t="n">
        <x:v>12</x:v>
      </x:c>
      <x:c r="L1880" s="14" t="n">
        <x:v>30</x:v>
      </x:c>
      <x:c r="M1880" s="14" t="n">
        <x:v>27</x:v>
      </x:c>
      <x:c r="N1880" s="15" t="n">
        <x:f>IF(E1880=0,"해당 없음",F1880/E1880)</x:f>
        <x:v>0.029411764705882353</x:v>
      </x:c>
      <x:c r="O1880" s="15" t="n">
        <x:f>IF(E1880=0,"해당 없음",G1880/E1880)</x:f>
        <x:v>0.20588235294117646</x:v>
      </x:c>
      <x:c r="P1880" s="15" t="n">
        <x:f>IF(E1880=0,"해당 없음",H1880/E1880)</x:f>
        <x:v>0.049019607843137254</x:v>
      </x:c>
      <x:c r="Q1880" s="15" t="n">
        <x:f>IF(E1880=0,"해당 없음",I1880/E1880)</x:f>
        <x:v>0.00980392156862745</x:v>
      </x:c>
      <x:c r="R1880" s="15" t="n">
        <x:f>IF(E1880=0,"해당 없음",J1880/E1880)</x:f>
        <x:v>0.029411764705882353</x:v>
      </x:c>
      <x:c r="S1880" s="15" t="n">
        <x:f>IF(E1880=0,"해당 없음",K1880/E1880)</x:f>
        <x:v>0.11764705882352941</x:v>
      </x:c>
      <x:c r="T1880" s="15" t="n">
        <x:f>IF(E1880=0,"해당 없음",L1880/E1880)</x:f>
        <x:v>0.29411764705882354</x:v>
      </x:c>
      <x:c r="U1880" s="15" t="n">
        <x:f>IF(E1880=0,"해당 없음",M1880/E1880)</x:f>
        <x:v>0.2647058823529412</x:v>
      </x:c>
      <x:c r="V1880" s="16" t="n">
        <x:f>E1880/5</x:f>
        <x:v>20.4</x:v>
      </x:c>
    </x:row>
    <x:row r="1881" ht="22" customHeight="1">
      <x:c r="A1881" s="2" t="n">
        <x:v>938</x:v>
      </x:c>
      <x:c r="B1881" s="2" t="str">
        <x:v>NAVY</x:v>
      </x:c>
      <x:c r="C1881" s="2" t="str">
        <x:v>120만</x:v>
      </x:c>
      <x:c r="D1881" s="2" t="str">
        <x:v>200만</x:v>
      </x:c>
      <x:c r="E1881" s="14" t="n">
        <x:f>SUM(F1881:M1881)</x:f>
        <x:v>102</x:v>
      </x:c>
      <x:c r="F1881" s="14" t="n">
        <x:v>2</x:v>
      </x:c>
      <x:c r="G1881" s="14" t="n">
        <x:v>11</x:v>
      </x:c>
      <x:c r="H1881" s="14" t="n">
        <x:v>6</x:v>
      </x:c>
      <x:c r="I1881" s="14" t="n">
        <x:v>5</x:v>
      </x:c>
      <x:c r="J1881" s="14" t="n">
        <x:v>6</x:v>
      </x:c>
      <x:c r="K1881" s="14" t="n">
        <x:v>6</x:v>
      </x:c>
      <x:c r="L1881" s="14" t="n">
        <x:v>39</x:v>
      </x:c>
      <x:c r="M1881" s="14" t="n">
        <x:v>27</x:v>
      </x:c>
      <x:c r="N1881" s="15" t="n">
        <x:f>IF(E1881=0,"해당 없음",F1881/E1881)</x:f>
        <x:v>0.0196078431372549</x:v>
      </x:c>
      <x:c r="O1881" s="15" t="n">
        <x:f>IF(E1881=0,"해당 없음",G1881/E1881)</x:f>
        <x:v>0.10784313725490197</x:v>
      </x:c>
      <x:c r="P1881" s="15" t="n">
        <x:f>IF(E1881=0,"해당 없음",H1881/E1881)</x:f>
        <x:v>0.058823529411764705</x:v>
      </x:c>
      <x:c r="Q1881" s="15" t="n">
        <x:f>IF(E1881=0,"해당 없음",I1881/E1881)</x:f>
        <x:v>0.049019607843137254</x:v>
      </x:c>
      <x:c r="R1881" s="15" t="n">
        <x:f>IF(E1881=0,"해당 없음",J1881/E1881)</x:f>
        <x:v>0.058823529411764705</x:v>
      </x:c>
      <x:c r="S1881" s="15" t="n">
        <x:f>IF(E1881=0,"해당 없음",K1881/E1881)</x:f>
        <x:v>0.058823529411764705</x:v>
      </x:c>
      <x:c r="T1881" s="15" t="n">
        <x:f>IF(E1881=0,"해당 없음",L1881/E1881)</x:f>
        <x:v>0.38235294117647056</x:v>
      </x:c>
      <x:c r="U1881" s="15" t="n">
        <x:f>IF(E1881=0,"해당 없음",M1881/E1881)</x:f>
        <x:v>0.2647058823529412</x:v>
      </x:c>
      <x:c r="V1881" s="16" t="n">
        <x:f>E1881/5</x:f>
        <x:v>20.4</x:v>
      </x:c>
    </x:row>
    <x:row r="1882" ht="22" customHeight="1">
      <x:c r="A1882" s="2" t="n">
        <x:v>939</x:v>
      </x:c>
      <x:c r="B1882" s="2" t="str">
        <x:v>RED</x:v>
      </x:c>
      <x:c r="C1882" s="2" t="str">
        <x:v>120만</x:v>
      </x:c>
      <x:c r="D1882" s="2" t="str">
        <x:v>200만</x:v>
      </x:c>
      <x:c r="E1882" s="14" t="n">
        <x:f>SUM(F1882:M1882)</x:f>
        <x:v>105</x:v>
      </x:c>
      <x:c r="F1882" s="14" t="n">
        <x:v>1</x:v>
      </x:c>
      <x:c r="G1882" s="14" t="n">
        <x:v>9</x:v>
      </x:c>
      <x:c r="H1882" s="14" t="n">
        <x:v>7</x:v>
      </x:c>
      <x:c r="I1882" s="14" t="n">
        <x:v>5</x:v>
      </x:c>
      <x:c r="J1882" s="14" t="n">
        <x:v>4</x:v>
      </x:c>
      <x:c r="K1882" s="14" t="n">
        <x:v>8</x:v>
      </x:c>
      <x:c r="L1882" s="14" t="n">
        <x:v>40</x:v>
      </x:c>
      <x:c r="M1882" s="14" t="n">
        <x:v>31</x:v>
      </x:c>
      <x:c r="N1882" s="15" t="n">
        <x:f>IF(E1882=0,"해당 없음",F1882/E1882)</x:f>
        <x:v>0.009523809523809525</x:v>
      </x:c>
      <x:c r="O1882" s="15" t="n">
        <x:f>IF(E1882=0,"해당 없음",G1882/E1882)</x:f>
        <x:v>0.08571428571428572</x:v>
      </x:c>
      <x:c r="P1882" s="15" t="n">
        <x:f>IF(E1882=0,"해당 없음",H1882/E1882)</x:f>
        <x:v>0.06666666666666667</x:v>
      </x:c>
      <x:c r="Q1882" s="15" t="n">
        <x:f>IF(E1882=0,"해당 없음",I1882/E1882)</x:f>
        <x:v>0.047619047619047616</x:v>
      </x:c>
      <x:c r="R1882" s="15" t="n">
        <x:f>IF(E1882=0,"해당 없음",J1882/E1882)</x:f>
        <x:v>0.0380952380952381</x:v>
      </x:c>
      <x:c r="S1882" s="15" t="n">
        <x:f>IF(E1882=0,"해당 없음",K1882/E1882)</x:f>
        <x:v>0.0761904761904762</x:v>
      </x:c>
      <x:c r="T1882" s="15" t="n">
        <x:f>IF(E1882=0,"해당 없음",L1882/E1882)</x:f>
        <x:v>0.38095238095238093</x:v>
      </x:c>
      <x:c r="U1882" s="15" t="n">
        <x:f>IF(E1882=0,"해당 없음",M1882/E1882)</x:f>
        <x:v>0.29523809523809524</x:v>
      </x:c>
      <x:c r="V1882" s="16" t="n">
        <x:f>E1882/5</x:f>
        <x:v>21</x:v>
      </x:c>
    </x:row>
    <x:row r="1883" ht="22" customHeight="1">
      <x:c r="A1883" s="2" t="n">
        <x:v>939</x:v>
      </x:c>
      <x:c r="B1883" s="2" t="str">
        <x:v>NAVY</x:v>
      </x:c>
      <x:c r="C1883" s="2" t="str">
        <x:v>200만</x:v>
      </x:c>
      <x:c r="D1883" s="2" t="str">
        <x:v>120만</x:v>
      </x:c>
      <x:c r="E1883" s="14" t="n">
        <x:f>SUM(F1883:M1883)</x:f>
        <x:v>104</x:v>
      </x:c>
      <x:c r="F1883" s="14" t="n">
        <x:v>7</x:v>
      </x:c>
      <x:c r="G1883" s="14" t="n">
        <x:v>25</x:v>
      </x:c>
      <x:c r="H1883" s="14" t="n">
        <x:v>3</x:v>
      </x:c>
      <x:c r="I1883" s="14" t="n">
        <x:v>6</x:v>
      </x:c>
      <x:c r="J1883" s="14" t="n">
        <x:v>3</x:v>
      </x:c>
      <x:c r="K1883" s="14" t="n">
        <x:v>8</x:v>
      </x:c>
      <x:c r="L1883" s="14" t="n">
        <x:v>32</x:v>
      </x:c>
      <x:c r="M1883" s="14" t="n">
        <x:v>20</x:v>
      </x:c>
      <x:c r="N1883" s="15" t="n">
        <x:f>IF(E1883=0,"해당 없음",F1883/E1883)</x:f>
        <x:v>0.0673076923076923</x:v>
      </x:c>
      <x:c r="O1883" s="15" t="n">
        <x:f>IF(E1883=0,"해당 없음",G1883/E1883)</x:f>
        <x:v>0.2403846153846154</x:v>
      </x:c>
      <x:c r="P1883" s="15" t="n">
        <x:f>IF(E1883=0,"해당 없음",H1883/E1883)</x:f>
        <x:v>0.028846153846153848</x:v>
      </x:c>
      <x:c r="Q1883" s="15" t="n">
        <x:f>IF(E1883=0,"해당 없음",I1883/E1883)</x:f>
        <x:v>0.057692307692307696</x:v>
      </x:c>
      <x:c r="R1883" s="15" t="n">
        <x:f>IF(E1883=0,"해당 없음",J1883/E1883)</x:f>
        <x:v>0.028846153846153848</x:v>
      </x:c>
      <x:c r="S1883" s="15" t="n">
        <x:f>IF(E1883=0,"해당 없음",K1883/E1883)</x:f>
        <x:v>0.07692307692307693</x:v>
      </x:c>
      <x:c r="T1883" s="15" t="n">
        <x:f>IF(E1883=0,"해당 없음",L1883/E1883)</x:f>
        <x:v>0.3076923076923077</x:v>
      </x:c>
      <x:c r="U1883" s="15" t="n">
        <x:f>IF(E1883=0,"해당 없음",M1883/E1883)</x:f>
        <x:v>0.19230769230769232</x:v>
      </x:c>
      <x:c r="V1883" s="16" t="n">
        <x:f>E1883/5</x:f>
        <x:v>20.8</x:v>
      </x:c>
    </x:row>
    <x:row r="1884" ht="22" customHeight="1">
      <x:c r="A1884" s="2" t="n">
        <x:v>940</x:v>
      </x:c>
      <x:c r="B1884" s="2" t="str">
        <x:v>RED</x:v>
      </x:c>
      <x:c r="C1884" s="2" t="str">
        <x:v>200만</x:v>
      </x:c>
      <x:c r="D1884" s="2" t="str">
        <x:v>120만</x:v>
      </x:c>
      <x:c r="E1884" s="14" t="n">
        <x:f>SUM(F1884:M1884)</x:f>
        <x:v>107</x:v>
      </x:c>
      <x:c r="F1884" s="14" t="n">
        <x:v>3</x:v>
      </x:c>
      <x:c r="G1884" s="14" t="n">
        <x:v>4</x:v>
      </x:c>
      <x:c r="H1884" s="14" t="n">
        <x:v>7</x:v>
      </x:c>
      <x:c r="I1884" s="14" t="n">
        <x:v>4</x:v>
      </x:c>
      <x:c r="J1884" s="14" t="n">
        <x:v>7</x:v>
      </x:c>
      <x:c r="K1884" s="14" t="n">
        <x:v>2</x:v>
      </x:c>
      <x:c r="L1884" s="14" t="n">
        <x:v>41</x:v>
      </x:c>
      <x:c r="M1884" s="14" t="n">
        <x:v>39</x:v>
      </x:c>
      <x:c r="N1884" s="15" t="n">
        <x:f>IF(E1884=0,"해당 없음",F1884/E1884)</x:f>
        <x:v>0.028037383177570093</x:v>
      </x:c>
      <x:c r="O1884" s="15" t="n">
        <x:f>IF(E1884=0,"해당 없음",G1884/E1884)</x:f>
        <x:v>0.037383177570093455</x:v>
      </x:c>
      <x:c r="P1884" s="15" t="n">
        <x:f>IF(E1884=0,"해당 없음",H1884/E1884)</x:f>
        <x:v>0.06542056074766354</x:v>
      </x:c>
      <x:c r="Q1884" s="15" t="n">
        <x:f>IF(E1884=0,"해당 없음",I1884/E1884)</x:f>
        <x:v>0.037383177570093455</x:v>
      </x:c>
      <x:c r="R1884" s="15" t="n">
        <x:f>IF(E1884=0,"해당 없음",J1884/E1884)</x:f>
        <x:v>0.06542056074766354</x:v>
      </x:c>
      <x:c r="S1884" s="15" t="n">
        <x:f>IF(E1884=0,"해당 없음",K1884/E1884)</x:f>
        <x:v>0.018691588785046728</x:v>
      </x:c>
      <x:c r="T1884" s="15" t="n">
        <x:f>IF(E1884=0,"해당 없음",L1884/E1884)</x:f>
        <x:v>0.38317757009345793</x:v>
      </x:c>
      <x:c r="U1884" s="15" t="n">
        <x:f>IF(E1884=0,"해당 없음",M1884/E1884)</x:f>
        <x:v>0.3644859813084112</x:v>
      </x:c>
      <x:c r="V1884" s="16" t="n">
        <x:f>E1884/5</x:f>
        <x:v>21.4</x:v>
      </x:c>
    </x:row>
    <x:row r="1885" ht="22" customHeight="1">
      <x:c r="A1885" s="2" t="n">
        <x:v>940</x:v>
      </x:c>
      <x:c r="B1885" s="2" t="str">
        <x:v>NAVY</x:v>
      </x:c>
      <x:c r="C1885" s="2" t="str">
        <x:v>120만</x:v>
      </x:c>
      <x:c r="D1885" s="2" t="str">
        <x:v>200만</x:v>
      </x:c>
      <x:c r="E1885" s="14" t="n">
        <x:f>SUM(F1885:M1885)</x:f>
        <x:v>108</x:v>
      </x:c>
      <x:c r="F1885" s="14" t="n">
        <x:v>1</x:v>
      </x:c>
      <x:c r="G1885" s="14" t="n">
        <x:v>8</x:v>
      </x:c>
      <x:c r="H1885" s="14" t="n">
        <x:v>4</x:v>
      </x:c>
      <x:c r="I1885" s="14" t="n">
        <x:v>12</x:v>
      </x:c>
      <x:c r="J1885" s="14" t="n">
        <x:v>9</x:v>
      </x:c>
      <x:c r="K1885" s="14" t="n">
        <x:v>5</x:v>
      </x:c>
      <x:c r="L1885" s="14" t="n">
        <x:v>47</x:v>
      </x:c>
      <x:c r="M1885" s="14" t="n">
        <x:v>22</x:v>
      </x:c>
      <x:c r="N1885" s="15" t="n">
        <x:f>IF(E1885=0,"해당 없음",F1885/E1885)</x:f>
        <x:v>0.009259259259259259</x:v>
      </x:c>
      <x:c r="O1885" s="15" t="n">
        <x:f>IF(E1885=0,"해당 없음",G1885/E1885)</x:f>
        <x:v>0.07407407407407407</x:v>
      </x:c>
      <x:c r="P1885" s="15" t="n">
        <x:f>IF(E1885=0,"해당 없음",H1885/E1885)</x:f>
        <x:v>0.037037037037037035</x:v>
      </x:c>
      <x:c r="Q1885" s="15" t="n">
        <x:f>IF(E1885=0,"해당 없음",I1885/E1885)</x:f>
        <x:v>0.1111111111111111</x:v>
      </x:c>
      <x:c r="R1885" s="15" t="n">
        <x:f>IF(E1885=0,"해당 없음",J1885/E1885)</x:f>
        <x:v>0.08333333333333333</x:v>
      </x:c>
      <x:c r="S1885" s="15" t="n">
        <x:f>IF(E1885=0,"해당 없음",K1885/E1885)</x:f>
        <x:v>0.046296296296296294</x:v>
      </x:c>
      <x:c r="T1885" s="15" t="n">
        <x:f>IF(E1885=0,"해당 없음",L1885/E1885)</x:f>
        <x:v>0.4351851851851852</x:v>
      </x:c>
      <x:c r="U1885" s="15" t="n">
        <x:f>IF(E1885=0,"해당 없음",M1885/E1885)</x:f>
        <x:v>0.2037037037037037</x:v>
      </x:c>
      <x:c r="V1885" s="16" t="n">
        <x:f>E1885/5</x:f>
        <x:v>21.6</x:v>
      </x:c>
    </x:row>
    <x:row r="1886" ht="22" customHeight="1">
      <x:c r="A1886" s="2" t="n">
        <x:v>941</x:v>
      </x:c>
      <x:c r="B1886" s="2" t="str">
        <x:v>RED</x:v>
      </x:c>
      <x:c r="C1886" s="2" t="str">
        <x:v>120만</x:v>
      </x:c>
      <x:c r="D1886" s="2" t="str">
        <x:v>200만</x:v>
      </x:c>
      <x:c r="E1886" s="14" t="n">
        <x:f>SUM(F1886:M1886)</x:f>
        <x:v>105</x:v>
      </x:c>
      <x:c r="F1886" s="14" t="n">
        <x:v>1</x:v>
      </x:c>
      <x:c r="G1886" s="14" t="n">
        <x:v>6</x:v>
      </x:c>
      <x:c r="H1886" s="14" t="n">
        <x:v>6</x:v>
      </x:c>
      <x:c r="I1886" s="14" t="n">
        <x:v>8</x:v>
      </x:c>
      <x:c r="J1886" s="14" t="n">
        <x:v>2</x:v>
      </x:c>
      <x:c r="K1886" s="14" t="n">
        <x:v>6</x:v>
      </x:c>
      <x:c r="L1886" s="14" t="n">
        <x:v>40</x:v>
      </x:c>
      <x:c r="M1886" s="14" t="n">
        <x:v>36</x:v>
      </x:c>
      <x:c r="N1886" s="15" t="n">
        <x:f>IF(E1886=0,"해당 없음",F1886/E1886)</x:f>
        <x:v>0.009523809523809525</x:v>
      </x:c>
      <x:c r="O1886" s="15" t="n">
        <x:f>IF(E1886=0,"해당 없음",G1886/E1886)</x:f>
        <x:v>0.05714285714285714</x:v>
      </x:c>
      <x:c r="P1886" s="15" t="n">
        <x:f>IF(E1886=0,"해당 없음",H1886/E1886)</x:f>
        <x:v>0.05714285714285714</x:v>
      </x:c>
      <x:c r="Q1886" s="15" t="n">
        <x:f>IF(E1886=0,"해당 없음",I1886/E1886)</x:f>
        <x:v>0.0761904761904762</x:v>
      </x:c>
      <x:c r="R1886" s="15" t="n">
        <x:f>IF(E1886=0,"해당 없음",J1886/E1886)</x:f>
        <x:v>0.01904761904761905</x:v>
      </x:c>
      <x:c r="S1886" s="15" t="n">
        <x:f>IF(E1886=0,"해당 없음",K1886/E1886)</x:f>
        <x:v>0.05714285714285714</x:v>
      </x:c>
      <x:c r="T1886" s="15" t="n">
        <x:f>IF(E1886=0,"해당 없음",L1886/E1886)</x:f>
        <x:v>0.38095238095238093</x:v>
      </x:c>
      <x:c r="U1886" s="15" t="n">
        <x:f>IF(E1886=0,"해당 없음",M1886/E1886)</x:f>
        <x:v>0.34285714285714286</x:v>
      </x:c>
      <x:c r="V1886" s="16" t="n">
        <x:f>E1886/5</x:f>
        <x:v>21</x:v>
      </x:c>
    </x:row>
    <x:row r="1887" ht="22" customHeight="1">
      <x:c r="A1887" s="2" t="n">
        <x:v>941</x:v>
      </x:c>
      <x:c r="B1887" s="2" t="str">
        <x:v>NAVY</x:v>
      </x:c>
      <x:c r="C1887" s="2" t="str">
        <x:v>200만</x:v>
      </x:c>
      <x:c r="D1887" s="2" t="str">
        <x:v>120만</x:v>
      </x:c>
      <x:c r="E1887" s="14" t="n">
        <x:f>SUM(F1887:M1887)</x:f>
        <x:v>103</x:v>
      </x:c>
      <x:c r="F1887" s="14" t="n">
        <x:v>8</x:v>
      </x:c>
      <x:c r="G1887" s="14" t="n">
        <x:v>17</x:v>
      </x:c>
      <x:c r="H1887" s="14" t="n">
        <x:v>2</x:v>
      </x:c>
      <x:c r="I1887" s="14" t="n">
        <x:v>0</x:v>
      </x:c>
      <x:c r="J1887" s="14" t="n">
        <x:v>7</x:v>
      </x:c>
      <x:c r="K1887" s="14" t="n">
        <x:v>9</x:v>
      </x:c>
      <x:c r="L1887" s="14" t="n">
        <x:v>33</x:v>
      </x:c>
      <x:c r="M1887" s="14" t="n">
        <x:v>27</x:v>
      </x:c>
      <x:c r="N1887" s="15" t="n">
        <x:f>IF(E1887=0,"해당 없음",F1887/E1887)</x:f>
        <x:v>0.07766990291262135</x:v>
      </x:c>
      <x:c r="O1887" s="15" t="n">
        <x:f>IF(E1887=0,"해당 없음",G1887/E1887)</x:f>
        <x:v>0.1650485436893204</x:v>
      </x:c>
      <x:c r="P1887" s="15" t="n">
        <x:f>IF(E1887=0,"해당 없음",H1887/E1887)</x:f>
        <x:v>0.019417475728155338</x:v>
      </x:c>
      <x:c r="Q1887" s="15" t="n">
        <x:f>IF(E1887=0,"해당 없음",I1887/E1887)</x:f>
        <x:v>0</x:v>
      </x:c>
      <x:c r="R1887" s="15" t="n">
        <x:f>IF(E1887=0,"해당 없음",J1887/E1887)</x:f>
        <x:v>0.06796116504854369</x:v>
      </x:c>
      <x:c r="S1887" s="15" t="n">
        <x:f>IF(E1887=0,"해당 없음",K1887/E1887)</x:f>
        <x:v>0.08737864077669903</x:v>
      </x:c>
      <x:c r="T1887" s="15" t="n">
        <x:f>IF(E1887=0,"해당 없음",L1887/E1887)</x:f>
        <x:v>0.32038834951456313</x:v>
      </x:c>
      <x:c r="U1887" s="15" t="n">
        <x:f>IF(E1887=0,"해당 없음",M1887/E1887)</x:f>
        <x:v>0.2621359223300971</x:v>
      </x:c>
      <x:c r="V1887" s="16" t="n">
        <x:f>E1887/5</x:f>
        <x:v>20.6</x:v>
      </x:c>
    </x:row>
    <x:row r="1888" ht="22" customHeight="1">
      <x:c r="A1888" s="2" t="n">
        <x:v>942</x:v>
      </x:c>
      <x:c r="B1888" s="2" t="str">
        <x:v>RED</x:v>
      </x:c>
      <x:c r="C1888" s="2" t="str">
        <x:v>200만</x:v>
      </x:c>
      <x:c r="D1888" s="2" t="str">
        <x:v>120만</x:v>
      </x:c>
      <x:c r="E1888" s="14" t="n">
        <x:f>SUM(F1888:M1888)</x:f>
        <x:v>102</x:v>
      </x:c>
      <x:c r="F1888" s="14" t="n">
        <x:v>6</x:v>
      </x:c>
      <x:c r="G1888" s="14" t="n">
        <x:v>20</x:v>
      </x:c>
      <x:c r="H1888" s="14" t="n">
        <x:v>1</x:v>
      </x:c>
      <x:c r="I1888" s="14" t="n">
        <x:v>3</x:v>
      </x:c>
      <x:c r="J1888" s="14" t="n">
        <x:v>3</x:v>
      </x:c>
      <x:c r="K1888" s="14" t="n">
        <x:v>9</x:v>
      </x:c>
      <x:c r="L1888" s="14" t="n">
        <x:v>31</x:v>
      </x:c>
      <x:c r="M1888" s="14" t="n">
        <x:v>29</x:v>
      </x:c>
      <x:c r="N1888" s="15" t="n">
        <x:f>IF(E1888=0,"해당 없음",F1888/E1888)</x:f>
        <x:v>0.058823529411764705</x:v>
      </x:c>
      <x:c r="O1888" s="15" t="n">
        <x:f>IF(E1888=0,"해당 없음",G1888/E1888)</x:f>
        <x:v>0.19607843137254902</x:v>
      </x:c>
      <x:c r="P1888" s="15" t="n">
        <x:f>IF(E1888=0,"해당 없음",H1888/E1888)</x:f>
        <x:v>0.00980392156862745</x:v>
      </x:c>
      <x:c r="Q1888" s="15" t="n">
        <x:f>IF(E1888=0,"해당 없음",I1888/E1888)</x:f>
        <x:v>0.029411764705882353</x:v>
      </x:c>
      <x:c r="R1888" s="15" t="n">
        <x:f>IF(E1888=0,"해당 없음",J1888/E1888)</x:f>
        <x:v>0.029411764705882353</x:v>
      </x:c>
      <x:c r="S1888" s="15" t="n">
        <x:f>IF(E1888=0,"해당 없음",K1888/E1888)</x:f>
        <x:v>0.08823529411764706</x:v>
      </x:c>
      <x:c r="T1888" s="15" t="n">
        <x:f>IF(E1888=0,"해당 없음",L1888/E1888)</x:f>
        <x:v>0.30392156862745096</x:v>
      </x:c>
      <x:c r="U1888" s="15" t="n">
        <x:f>IF(E1888=0,"해당 없음",M1888/E1888)</x:f>
        <x:v>0.28431372549019607</x:v>
      </x:c>
      <x:c r="V1888" s="16" t="n">
        <x:f>E1888/5</x:f>
        <x:v>20.4</x:v>
      </x:c>
    </x:row>
    <x:row r="1889" ht="22" customHeight="1">
      <x:c r="A1889" s="2" t="n">
        <x:v>942</x:v>
      </x:c>
      <x:c r="B1889" s="2" t="str">
        <x:v>NAVY</x:v>
      </x:c>
      <x:c r="C1889" s="2" t="str">
        <x:v>120만</x:v>
      </x:c>
      <x:c r="D1889" s="2" t="str">
        <x:v>200만</x:v>
      </x:c>
      <x:c r="E1889" s="14" t="n">
        <x:f>SUM(F1889:M1889)</x:f>
        <x:v>101</x:v>
      </x:c>
      <x:c r="F1889" s="14" t="n">
        <x:v>1</x:v>
      </x:c>
      <x:c r="G1889" s="14" t="n">
        <x:v>18</x:v>
      </x:c>
      <x:c r="H1889" s="14" t="n">
        <x:v>8</x:v>
      </x:c>
      <x:c r="I1889" s="14" t="n">
        <x:v>3</x:v>
      </x:c>
      <x:c r="J1889" s="14" t="n">
        <x:v>5</x:v>
      </x:c>
      <x:c r="K1889" s="14" t="n">
        <x:v>9</x:v>
      </x:c>
      <x:c r="L1889" s="14" t="n">
        <x:v>38</x:v>
      </x:c>
      <x:c r="M1889" s="14" t="n">
        <x:v>19</x:v>
      </x:c>
      <x:c r="N1889" s="15" t="n">
        <x:f>IF(E1889=0,"해당 없음",F1889/E1889)</x:f>
        <x:v>0.009900990099009901</x:v>
      </x:c>
      <x:c r="O1889" s="15" t="n">
        <x:f>IF(E1889=0,"해당 없음",G1889/E1889)</x:f>
        <x:v>0.1782178217821782</x:v>
      </x:c>
      <x:c r="P1889" s="15" t="n">
        <x:f>IF(E1889=0,"해당 없음",H1889/E1889)</x:f>
        <x:v>0.07920792079207921</x:v>
      </x:c>
      <x:c r="Q1889" s="15" t="n">
        <x:f>IF(E1889=0,"해당 없음",I1889/E1889)</x:f>
        <x:v>0.0297029702970297</x:v>
      </x:c>
      <x:c r="R1889" s="15" t="n">
        <x:f>IF(E1889=0,"해당 없음",J1889/E1889)</x:f>
        <x:v>0.04950495049504951</x:v>
      </x:c>
      <x:c r="S1889" s="15" t="n">
        <x:f>IF(E1889=0,"해당 없음",K1889/E1889)</x:f>
        <x:v>0.0891089108910891</x:v>
      </x:c>
      <x:c r="T1889" s="15" t="n">
        <x:f>IF(E1889=0,"해당 없음",L1889/E1889)</x:f>
        <x:v>0.37623762376237624</x:v>
      </x:c>
      <x:c r="U1889" s="15" t="n">
        <x:f>IF(E1889=0,"해당 없음",M1889/E1889)</x:f>
        <x:v>0.18811881188118812</x:v>
      </x:c>
      <x:c r="V1889" s="16" t="n">
        <x:f>E1889/5</x:f>
        <x:v>20.2</x:v>
      </x:c>
    </x:row>
    <x:row r="1890" ht="22" customHeight="1">
      <x:c r="A1890" s="2" t="n">
        <x:v>943</x:v>
      </x:c>
      <x:c r="B1890" s="2" t="str">
        <x:v>RED</x:v>
      </x:c>
      <x:c r="C1890" s="2" t="str">
        <x:v>120만</x:v>
      </x:c>
      <x:c r="D1890" s="2" t="str">
        <x:v>200만</x:v>
      </x:c>
      <x:c r="E1890" s="14" t="n">
        <x:f>SUM(F1890:M1890)</x:f>
        <x:v>106</x:v>
      </x:c>
      <x:c r="F1890" s="14" t="n">
        <x:v>1</x:v>
      </x:c>
      <x:c r="G1890" s="14" t="n">
        <x:v>12</x:v>
      </x:c>
      <x:c r="H1890" s="14" t="n">
        <x:v>9</x:v>
      </x:c>
      <x:c r="I1890" s="14" t="n">
        <x:v>10</x:v>
      </x:c>
      <x:c r="J1890" s="14" t="n">
        <x:v>5</x:v>
      </x:c>
      <x:c r="K1890" s="14" t="n">
        <x:v>12</x:v>
      </x:c>
      <x:c r="L1890" s="14" t="n">
        <x:v>42</x:v>
      </x:c>
      <x:c r="M1890" s="14" t="n">
        <x:v>15</x:v>
      </x:c>
      <x:c r="N1890" s="15" t="n">
        <x:f>IF(E1890=0,"해당 없음",F1890/E1890)</x:f>
        <x:v>0.009433962264150943</x:v>
      </x:c>
      <x:c r="O1890" s="15" t="n">
        <x:f>IF(E1890=0,"해당 없음",G1890/E1890)</x:f>
        <x:v>0.11320754716981132</x:v>
      </x:c>
      <x:c r="P1890" s="15" t="n">
        <x:f>IF(E1890=0,"해당 없음",H1890/E1890)</x:f>
        <x:v>0.08490566037735849</x:v>
      </x:c>
      <x:c r="Q1890" s="15" t="n">
        <x:f>IF(E1890=0,"해당 없음",I1890/E1890)</x:f>
        <x:v>0.09433962264150944</x:v>
      </x:c>
      <x:c r="R1890" s="15" t="n">
        <x:f>IF(E1890=0,"해당 없음",J1890/E1890)</x:f>
        <x:v>0.04716981132075472</x:v>
      </x:c>
      <x:c r="S1890" s="15" t="n">
        <x:f>IF(E1890=0,"해당 없음",K1890/E1890)</x:f>
        <x:v>0.11320754716981132</x:v>
      </x:c>
      <x:c r="T1890" s="15" t="n">
        <x:f>IF(E1890=0,"해당 없음",L1890/E1890)</x:f>
        <x:v>0.39622641509433965</x:v>
      </x:c>
      <x:c r="U1890" s="15" t="n">
        <x:f>IF(E1890=0,"해당 없음",M1890/E1890)</x:f>
        <x:v>0.14150943396226415</x:v>
      </x:c>
      <x:c r="V1890" s="16" t="n">
        <x:f>E1890/5</x:f>
        <x:v>21.2</x:v>
      </x:c>
    </x:row>
    <x:row r="1891" ht="22" customHeight="1">
      <x:c r="A1891" s="2" t="n">
        <x:v>943</x:v>
      </x:c>
      <x:c r="B1891" s="2" t="str">
        <x:v>NAVY</x:v>
      </x:c>
      <x:c r="C1891" s="2" t="str">
        <x:v>200만</x:v>
      </x:c>
      <x:c r="D1891" s="2" t="str">
        <x:v>120만</x:v>
      </x:c>
      <x:c r="E1891" s="14" t="n">
        <x:f>SUM(F1891:M1891)</x:f>
        <x:v>104</x:v>
      </x:c>
      <x:c r="F1891" s="14" t="n">
        <x:v>3</x:v>
      </x:c>
      <x:c r="G1891" s="14" t="n">
        <x:v>15</x:v>
      </x:c>
      <x:c r="H1891" s="14" t="n">
        <x:v>5</x:v>
      </x:c>
      <x:c r="I1891" s="14" t="n">
        <x:v>3</x:v>
      </x:c>
      <x:c r="J1891" s="14" t="n">
        <x:v>4</x:v>
      </x:c>
      <x:c r="K1891" s="14" t="n">
        <x:v>5</x:v>
      </x:c>
      <x:c r="L1891" s="14" t="n">
        <x:v>36</x:v>
      </x:c>
      <x:c r="M1891" s="14" t="n">
        <x:v>33</x:v>
      </x:c>
      <x:c r="N1891" s="15" t="n">
        <x:f>IF(E1891=0,"해당 없음",F1891/E1891)</x:f>
        <x:v>0.028846153846153848</x:v>
      </x:c>
      <x:c r="O1891" s="15" t="n">
        <x:f>IF(E1891=0,"해당 없음",G1891/E1891)</x:f>
        <x:v>0.14423076923076922</x:v>
      </x:c>
      <x:c r="P1891" s="15" t="n">
        <x:f>IF(E1891=0,"해당 없음",H1891/E1891)</x:f>
        <x:v>0.04807692307692308</x:v>
      </x:c>
      <x:c r="Q1891" s="15" t="n">
        <x:f>IF(E1891=0,"해당 없음",I1891/E1891)</x:f>
        <x:v>0.028846153846153848</x:v>
      </x:c>
      <x:c r="R1891" s="15" t="n">
        <x:f>IF(E1891=0,"해당 없음",J1891/E1891)</x:f>
        <x:v>0.038461538461538464</x:v>
      </x:c>
      <x:c r="S1891" s="15" t="n">
        <x:f>IF(E1891=0,"해당 없음",K1891/E1891)</x:f>
        <x:v>0.04807692307692308</x:v>
      </x:c>
      <x:c r="T1891" s="15" t="n">
        <x:f>IF(E1891=0,"해당 없음",L1891/E1891)</x:f>
        <x:v>0.34615384615384615</x:v>
      </x:c>
      <x:c r="U1891" s="15" t="n">
        <x:f>IF(E1891=0,"해당 없음",M1891/E1891)</x:f>
        <x:v>0.3173076923076923</x:v>
      </x:c>
      <x:c r="V1891" s="16" t="n">
        <x:f>E1891/5</x:f>
        <x:v>20.8</x:v>
      </x:c>
    </x:row>
    <x:row r="1892" ht="22" customHeight="1">
      <x:c r="A1892" s="2" t="n">
        <x:v>944</x:v>
      </x:c>
      <x:c r="B1892" s="2" t="str">
        <x:v>RED</x:v>
      </x:c>
      <x:c r="C1892" s="2" t="str">
        <x:v>200만</x:v>
      </x:c>
      <x:c r="D1892" s="2" t="str">
        <x:v>120만</x:v>
      </x:c>
      <x:c r="E1892" s="14" t="n">
        <x:f>SUM(F1892:M1892)</x:f>
        <x:v>105</x:v>
      </x:c>
      <x:c r="F1892" s="14" t="n">
        <x:v>3</x:v>
      </x:c>
      <x:c r="G1892" s="14" t="n">
        <x:v>18</x:v>
      </x:c>
      <x:c r="H1892" s="14" t="n">
        <x:v>6</x:v>
      </x:c>
      <x:c r="I1892" s="14" t="n">
        <x:v>4</x:v>
      </x:c>
      <x:c r="J1892" s="14" t="n">
        <x:v>3</x:v>
      </x:c>
      <x:c r="K1892" s="14" t="n">
        <x:v>5</x:v>
      </x:c>
      <x:c r="L1892" s="14" t="n">
        <x:v>38</x:v>
      </x:c>
      <x:c r="M1892" s="14" t="n">
        <x:v>28</x:v>
      </x:c>
      <x:c r="N1892" s="15" t="n">
        <x:f>IF(E1892=0,"해당 없음",F1892/E1892)</x:f>
        <x:v>0.02857142857142857</x:v>
      </x:c>
      <x:c r="O1892" s="15" t="n">
        <x:f>IF(E1892=0,"해당 없음",G1892/E1892)</x:f>
        <x:v>0.17142857142857143</x:v>
      </x:c>
      <x:c r="P1892" s="15" t="n">
        <x:f>IF(E1892=0,"해당 없음",H1892/E1892)</x:f>
        <x:v>0.05714285714285714</x:v>
      </x:c>
      <x:c r="Q1892" s="15" t="n">
        <x:f>IF(E1892=0,"해당 없음",I1892/E1892)</x:f>
        <x:v>0.0380952380952381</x:v>
      </x:c>
      <x:c r="R1892" s="15" t="n">
        <x:f>IF(E1892=0,"해당 없음",J1892/E1892)</x:f>
        <x:v>0.02857142857142857</x:v>
      </x:c>
      <x:c r="S1892" s="15" t="n">
        <x:f>IF(E1892=0,"해당 없음",K1892/E1892)</x:f>
        <x:v>0.047619047619047616</x:v>
      </x:c>
      <x:c r="T1892" s="15" t="n">
        <x:f>IF(E1892=0,"해당 없음",L1892/E1892)</x:f>
        <x:v>0.3619047619047619</x:v>
      </x:c>
      <x:c r="U1892" s="15" t="n">
        <x:f>IF(E1892=0,"해당 없음",M1892/E1892)</x:f>
        <x:v>0.26666666666666666</x:v>
      </x:c>
      <x:c r="V1892" s="16" t="n">
        <x:f>E1892/5</x:f>
        <x:v>21</x:v>
      </x:c>
    </x:row>
    <x:row r="1893" ht="22" customHeight="1">
      <x:c r="A1893" s="2" t="n">
        <x:v>944</x:v>
      </x:c>
      <x:c r="B1893" s="2" t="str">
        <x:v>NAVY</x:v>
      </x:c>
      <x:c r="C1893" s="2" t="str">
        <x:v>120만</x:v>
      </x:c>
      <x:c r="D1893" s="2" t="str">
        <x:v>200만</x:v>
      </x:c>
      <x:c r="E1893" s="14" t="n">
        <x:f>SUM(F1893:M1893)</x:f>
        <x:v>105</x:v>
      </x:c>
      <x:c r="F1893" s="14" t="n">
        <x:v>3</x:v>
      </x:c>
      <x:c r="G1893" s="14" t="n">
        <x:v>11</x:v>
      </x:c>
      <x:c r="H1893" s="14" t="n">
        <x:v>8</x:v>
      </x:c>
      <x:c r="I1893" s="14" t="n">
        <x:v>11</x:v>
      </x:c>
      <x:c r="J1893" s="14" t="n">
        <x:v>2</x:v>
      </x:c>
      <x:c r="K1893" s="14" t="n">
        <x:v>8</x:v>
      </x:c>
      <x:c r="L1893" s="14" t="n">
        <x:v>41</x:v>
      </x:c>
      <x:c r="M1893" s="14" t="n">
        <x:v>21</x:v>
      </x:c>
      <x:c r="N1893" s="15" t="n">
        <x:f>IF(E1893=0,"해당 없음",F1893/E1893)</x:f>
        <x:v>0.02857142857142857</x:v>
      </x:c>
      <x:c r="O1893" s="15" t="n">
        <x:f>IF(E1893=0,"해당 없음",G1893/E1893)</x:f>
        <x:v>0.10476190476190476</x:v>
      </x:c>
      <x:c r="P1893" s="15" t="n">
        <x:f>IF(E1893=0,"해당 없음",H1893/E1893)</x:f>
        <x:v>0.0761904761904762</x:v>
      </x:c>
      <x:c r="Q1893" s="15" t="n">
        <x:f>IF(E1893=0,"해당 없음",I1893/E1893)</x:f>
        <x:v>0.10476190476190476</x:v>
      </x:c>
      <x:c r="R1893" s="15" t="n">
        <x:f>IF(E1893=0,"해당 없음",J1893/E1893)</x:f>
        <x:v>0.01904761904761905</x:v>
      </x:c>
      <x:c r="S1893" s="15" t="n">
        <x:f>IF(E1893=0,"해당 없음",K1893/E1893)</x:f>
        <x:v>0.0761904761904762</x:v>
      </x:c>
      <x:c r="T1893" s="15" t="n">
        <x:f>IF(E1893=0,"해당 없음",L1893/E1893)</x:f>
        <x:v>0.3904761904761905</x:v>
      </x:c>
      <x:c r="U1893" s="15" t="n">
        <x:f>IF(E1893=0,"해당 없음",M1893/E1893)</x:f>
        <x:v>0.2</x:v>
      </x:c>
      <x:c r="V1893" s="16" t="n">
        <x:f>E1893/5</x:f>
        <x:v>21</x:v>
      </x:c>
    </x:row>
    <x:row r="1894" ht="22" customHeight="1">
      <x:c r="A1894" s="2" t="n">
        <x:v>945</x:v>
      </x:c>
      <x:c r="B1894" s="2" t="str">
        <x:v>RED</x:v>
      </x:c>
      <x:c r="C1894" s="2" t="str">
        <x:v>120만</x:v>
      </x:c>
      <x:c r="D1894" s="2" t="str">
        <x:v>200만</x:v>
      </x:c>
      <x:c r="E1894" s="14" t="n">
        <x:f>SUM(F1894:M1894)</x:f>
        <x:v>102</x:v>
      </x:c>
      <x:c r="F1894" s="14" t="n">
        <x:v>1</x:v>
      </x:c>
      <x:c r="G1894" s="14" t="n">
        <x:v>13</x:v>
      </x:c>
      <x:c r="H1894" s="14" t="n">
        <x:v>4</x:v>
      </x:c>
      <x:c r="I1894" s="14" t="n">
        <x:v>8</x:v>
      </x:c>
      <x:c r="J1894" s="14" t="n">
        <x:v>5</x:v>
      </x:c>
      <x:c r="K1894" s="14" t="n">
        <x:v>13</x:v>
      </x:c>
      <x:c r="L1894" s="14" t="n">
        <x:v>31</x:v>
      </x:c>
      <x:c r="M1894" s="14" t="n">
        <x:v>27</x:v>
      </x:c>
      <x:c r="N1894" s="15" t="n">
        <x:f>IF(E1894=0,"해당 없음",F1894/E1894)</x:f>
        <x:v>0.00980392156862745</x:v>
      </x:c>
      <x:c r="O1894" s="15" t="n">
        <x:f>IF(E1894=0,"해당 없음",G1894/E1894)</x:f>
        <x:v>0.12745098039215685</x:v>
      </x:c>
      <x:c r="P1894" s="15" t="n">
        <x:f>IF(E1894=0,"해당 없음",H1894/E1894)</x:f>
        <x:v>0.0392156862745098</x:v>
      </x:c>
      <x:c r="Q1894" s="15" t="n">
        <x:f>IF(E1894=0,"해당 없음",I1894/E1894)</x:f>
        <x:v>0.0784313725490196</x:v>
      </x:c>
      <x:c r="R1894" s="15" t="n">
        <x:f>IF(E1894=0,"해당 없음",J1894/E1894)</x:f>
        <x:v>0.049019607843137254</x:v>
      </x:c>
      <x:c r="S1894" s="15" t="n">
        <x:f>IF(E1894=0,"해당 없음",K1894/E1894)</x:f>
        <x:v>0.12745098039215685</x:v>
      </x:c>
      <x:c r="T1894" s="15" t="n">
        <x:f>IF(E1894=0,"해당 없음",L1894/E1894)</x:f>
        <x:v>0.30392156862745096</x:v>
      </x:c>
      <x:c r="U1894" s="15" t="n">
        <x:f>IF(E1894=0,"해당 없음",M1894/E1894)</x:f>
        <x:v>0.2647058823529412</x:v>
      </x:c>
      <x:c r="V1894" s="16" t="n">
        <x:f>E1894/5</x:f>
        <x:v>20.4</x:v>
      </x:c>
    </x:row>
    <x:row r="1895" ht="22" customHeight="1">
      <x:c r="A1895" s="2" t="n">
        <x:v>945</x:v>
      </x:c>
      <x:c r="B1895" s="2" t="str">
        <x:v>NAVY</x:v>
      </x:c>
      <x:c r="C1895" s="2" t="str">
        <x:v>200만</x:v>
      </x:c>
      <x:c r="D1895" s="2" t="str">
        <x:v>120만</x:v>
      </x:c>
      <x:c r="E1895" s="14" t="n">
        <x:f>SUM(F1895:M1895)</x:f>
        <x:v>102</x:v>
      </x:c>
      <x:c r="F1895" s="14" t="n">
        <x:v>2</x:v>
      </x:c>
      <x:c r="G1895" s="14" t="n">
        <x:v>20</x:v>
      </x:c>
      <x:c r="H1895" s="14" t="n">
        <x:v>2</x:v>
      </x:c>
      <x:c r="I1895" s="14" t="n">
        <x:v>2</x:v>
      </x:c>
      <x:c r="J1895" s="14" t="n">
        <x:v>2</x:v>
      </x:c>
      <x:c r="K1895" s="14" t="n">
        <x:v>9</x:v>
      </x:c>
      <x:c r="L1895" s="14" t="n">
        <x:v>31</x:v>
      </x:c>
      <x:c r="M1895" s="14" t="n">
        <x:v>34</x:v>
      </x:c>
      <x:c r="N1895" s="15" t="n">
        <x:f>IF(E1895=0,"해당 없음",F1895/E1895)</x:f>
        <x:v>0.0196078431372549</x:v>
      </x:c>
      <x:c r="O1895" s="15" t="n">
        <x:f>IF(E1895=0,"해당 없음",G1895/E1895)</x:f>
        <x:v>0.19607843137254902</x:v>
      </x:c>
      <x:c r="P1895" s="15" t="n">
        <x:f>IF(E1895=0,"해당 없음",H1895/E1895)</x:f>
        <x:v>0.0196078431372549</x:v>
      </x:c>
      <x:c r="Q1895" s="15" t="n">
        <x:f>IF(E1895=0,"해당 없음",I1895/E1895)</x:f>
        <x:v>0.0196078431372549</x:v>
      </x:c>
      <x:c r="R1895" s="15" t="n">
        <x:f>IF(E1895=0,"해당 없음",J1895/E1895)</x:f>
        <x:v>0.0196078431372549</x:v>
      </x:c>
      <x:c r="S1895" s="15" t="n">
        <x:f>IF(E1895=0,"해당 없음",K1895/E1895)</x:f>
        <x:v>0.08823529411764706</x:v>
      </x:c>
      <x:c r="T1895" s="15" t="n">
        <x:f>IF(E1895=0,"해당 없음",L1895/E1895)</x:f>
        <x:v>0.30392156862745096</x:v>
      </x:c>
      <x:c r="U1895" s="15" t="n">
        <x:f>IF(E1895=0,"해당 없음",M1895/E1895)</x:f>
        <x:v>0.3333333333333333</x:v>
      </x:c>
      <x:c r="V1895" s="16" t="n">
        <x:f>E1895/5</x:f>
        <x:v>20.4</x:v>
      </x:c>
    </x:row>
    <x:row r="1896" ht="22" customHeight="1">
      <x:c r="A1896" s="2" t="n">
        <x:v>946</x:v>
      </x:c>
      <x:c r="B1896" s="2" t="str">
        <x:v>RED</x:v>
      </x:c>
      <x:c r="C1896" s="2" t="str">
        <x:v>200만</x:v>
      </x:c>
      <x:c r="D1896" s="2" t="str">
        <x:v>120만</x:v>
      </x:c>
      <x:c r="E1896" s="14" t="n">
        <x:f>SUM(F1896:M1896)</x:f>
        <x:v>102</x:v>
      </x:c>
      <x:c r="F1896" s="14" t="n">
        <x:v>3</x:v>
      </x:c>
      <x:c r="G1896" s="14" t="n">
        <x:v>13</x:v>
      </x:c>
      <x:c r="H1896" s="14" t="n">
        <x:v>6</x:v>
      </x:c>
      <x:c r="I1896" s="14" t="n">
        <x:v>4</x:v>
      </x:c>
      <x:c r="J1896" s="14" t="n">
        <x:v>3</x:v>
      </x:c>
      <x:c r="K1896" s="14" t="n">
        <x:v>3</x:v>
      </x:c>
      <x:c r="L1896" s="14" t="n">
        <x:v>39</x:v>
      </x:c>
      <x:c r="M1896" s="14" t="n">
        <x:v>31</x:v>
      </x:c>
      <x:c r="N1896" s="15" t="n">
        <x:f>IF(E1896=0,"해당 없음",F1896/E1896)</x:f>
        <x:v>0.029411764705882353</x:v>
      </x:c>
      <x:c r="O1896" s="15" t="n">
        <x:f>IF(E1896=0,"해당 없음",G1896/E1896)</x:f>
        <x:v>0.12745098039215685</x:v>
      </x:c>
      <x:c r="P1896" s="15" t="n">
        <x:f>IF(E1896=0,"해당 없음",H1896/E1896)</x:f>
        <x:v>0.058823529411764705</x:v>
      </x:c>
      <x:c r="Q1896" s="15" t="n">
        <x:f>IF(E1896=0,"해당 없음",I1896/E1896)</x:f>
        <x:v>0.0392156862745098</x:v>
      </x:c>
      <x:c r="R1896" s="15" t="n">
        <x:f>IF(E1896=0,"해당 없음",J1896/E1896)</x:f>
        <x:v>0.029411764705882353</x:v>
      </x:c>
      <x:c r="S1896" s="15" t="n">
        <x:f>IF(E1896=0,"해당 없음",K1896/E1896)</x:f>
        <x:v>0.029411764705882353</x:v>
      </x:c>
      <x:c r="T1896" s="15" t="n">
        <x:f>IF(E1896=0,"해당 없음",L1896/E1896)</x:f>
        <x:v>0.38235294117647056</x:v>
      </x:c>
      <x:c r="U1896" s="15" t="n">
        <x:f>IF(E1896=0,"해당 없음",M1896/E1896)</x:f>
        <x:v>0.30392156862745096</x:v>
      </x:c>
      <x:c r="V1896" s="16" t="n">
        <x:f>E1896/5</x:f>
        <x:v>20.4</x:v>
      </x:c>
    </x:row>
    <x:row r="1897" ht="22" customHeight="1">
      <x:c r="A1897" s="2" t="n">
        <x:v>946</x:v>
      </x:c>
      <x:c r="B1897" s="2" t="str">
        <x:v>NAVY</x:v>
      </x:c>
      <x:c r="C1897" s="2" t="str">
        <x:v>120만</x:v>
      </x:c>
      <x:c r="D1897" s="2" t="str">
        <x:v>200만</x:v>
      </x:c>
      <x:c r="E1897" s="14" t="n">
        <x:f>SUM(F1897:M1897)</x:f>
        <x:v>104</x:v>
      </x:c>
      <x:c r="F1897" s="14" t="n">
        <x:v>2</x:v>
      </x:c>
      <x:c r="G1897" s="14" t="n">
        <x:v>15</x:v>
      </x:c>
      <x:c r="H1897" s="14" t="n">
        <x:v>7</x:v>
      </x:c>
      <x:c r="I1897" s="14" t="n">
        <x:v>7</x:v>
      </x:c>
      <x:c r="J1897" s="14" t="n">
        <x:v>6</x:v>
      </x:c>
      <x:c r="K1897" s="14" t="n">
        <x:v>4</x:v>
      </x:c>
      <x:c r="L1897" s="14" t="n">
        <x:v>39</x:v>
      </x:c>
      <x:c r="M1897" s="14" t="n">
        <x:v>24</x:v>
      </x:c>
      <x:c r="N1897" s="15" t="n">
        <x:f>IF(E1897=0,"해당 없음",F1897/E1897)</x:f>
        <x:v>0.019230769230769232</x:v>
      </x:c>
      <x:c r="O1897" s="15" t="n">
        <x:f>IF(E1897=0,"해당 없음",G1897/E1897)</x:f>
        <x:v>0.14423076923076922</x:v>
      </x:c>
      <x:c r="P1897" s="15" t="n">
        <x:f>IF(E1897=0,"해당 없음",H1897/E1897)</x:f>
        <x:v>0.0673076923076923</x:v>
      </x:c>
      <x:c r="Q1897" s="15" t="n">
        <x:f>IF(E1897=0,"해당 없음",I1897/E1897)</x:f>
        <x:v>0.0673076923076923</x:v>
      </x:c>
      <x:c r="R1897" s="15" t="n">
        <x:f>IF(E1897=0,"해당 없음",J1897/E1897)</x:f>
        <x:v>0.057692307692307696</x:v>
      </x:c>
      <x:c r="S1897" s="15" t="n">
        <x:f>IF(E1897=0,"해당 없음",K1897/E1897)</x:f>
        <x:v>0.038461538461538464</x:v>
      </x:c>
      <x:c r="T1897" s="15" t="n">
        <x:f>IF(E1897=0,"해당 없음",L1897/E1897)</x:f>
        <x:v>0.375</x:v>
      </x:c>
      <x:c r="U1897" s="15" t="n">
        <x:f>IF(E1897=0,"해당 없음",M1897/E1897)</x:f>
        <x:v>0.23076923076923078</x:v>
      </x:c>
      <x:c r="V1897" s="16" t="n">
        <x:f>E1897/5</x:f>
        <x:v>20.8</x:v>
      </x:c>
    </x:row>
    <x:row r="1898" ht="22" customHeight="1">
      <x:c r="A1898" s="2" t="n">
        <x:v>947</x:v>
      </x:c>
      <x:c r="B1898" s="2" t="str">
        <x:v>RED</x:v>
      </x:c>
      <x:c r="C1898" s="2" t="str">
        <x:v>120만</x:v>
      </x:c>
      <x:c r="D1898" s="2" t="str">
        <x:v>200만</x:v>
      </x:c>
      <x:c r="E1898" s="14" t="n">
        <x:f>SUM(F1898:M1898)</x:f>
        <x:v>102</x:v>
      </x:c>
      <x:c r="F1898" s="14" t="n">
        <x:v>2</x:v>
      </x:c>
      <x:c r="G1898" s="14" t="n">
        <x:v>19</x:v>
      </x:c>
      <x:c r="H1898" s="14" t="n">
        <x:v>6</x:v>
      </x:c>
      <x:c r="I1898" s="14" t="n">
        <x:v>12</x:v>
      </x:c>
      <x:c r="J1898" s="14" t="n">
        <x:v>3</x:v>
      </x:c>
      <x:c r="K1898" s="14" t="n">
        <x:v>9</x:v>
      </x:c>
      <x:c r="L1898" s="14" t="n">
        <x:v>36</x:v>
      </x:c>
      <x:c r="M1898" s="14" t="n">
        <x:v>15</x:v>
      </x:c>
      <x:c r="N1898" s="15" t="n">
        <x:f>IF(E1898=0,"해당 없음",F1898/E1898)</x:f>
        <x:v>0.0196078431372549</x:v>
      </x:c>
      <x:c r="O1898" s="15" t="n">
        <x:f>IF(E1898=0,"해당 없음",G1898/E1898)</x:f>
        <x:v>0.18627450980392157</x:v>
      </x:c>
      <x:c r="P1898" s="15" t="n">
        <x:f>IF(E1898=0,"해당 없음",H1898/E1898)</x:f>
        <x:v>0.058823529411764705</x:v>
      </x:c>
      <x:c r="Q1898" s="15" t="n">
        <x:f>IF(E1898=0,"해당 없음",I1898/E1898)</x:f>
        <x:v>0.11764705882352941</x:v>
      </x:c>
      <x:c r="R1898" s="15" t="n">
        <x:f>IF(E1898=0,"해당 없음",J1898/E1898)</x:f>
        <x:v>0.029411764705882353</x:v>
      </x:c>
      <x:c r="S1898" s="15" t="n">
        <x:f>IF(E1898=0,"해당 없음",K1898/E1898)</x:f>
        <x:v>0.08823529411764706</x:v>
      </x:c>
      <x:c r="T1898" s="15" t="n">
        <x:f>IF(E1898=0,"해당 없음",L1898/E1898)</x:f>
        <x:v>0.35294117647058826</x:v>
      </x:c>
      <x:c r="U1898" s="15" t="n">
        <x:f>IF(E1898=0,"해당 없음",M1898/E1898)</x:f>
        <x:v>0.14705882352941177</x:v>
      </x:c>
      <x:c r="V1898" s="16" t="n">
        <x:f>E1898/5</x:f>
        <x:v>20.4</x:v>
      </x:c>
    </x:row>
    <x:row r="1899" ht="22" customHeight="1">
      <x:c r="A1899" s="2" t="n">
        <x:v>947</x:v>
      </x:c>
      <x:c r="B1899" s="2" t="str">
        <x:v>NAVY</x:v>
      </x:c>
      <x:c r="C1899" s="2" t="str">
        <x:v>200만</x:v>
      </x:c>
      <x:c r="D1899" s="2" t="str">
        <x:v>120만</x:v>
      </x:c>
      <x:c r="E1899" s="14" t="n">
        <x:f>SUM(F1899:M1899)</x:f>
        <x:v>102</x:v>
      </x:c>
      <x:c r="F1899" s="14" t="n">
        <x:v>7</x:v>
      </x:c>
      <x:c r="G1899" s="14" t="n">
        <x:v>22</x:v>
      </x:c>
      <x:c r="H1899" s="14" t="n">
        <x:v>3</x:v>
      </x:c>
      <x:c r="I1899" s="14" t="n">
        <x:v>1</x:v>
      </x:c>
      <x:c r="J1899" s="14" t="n">
        <x:v>5</x:v>
      </x:c>
      <x:c r="K1899" s="14" t="n">
        <x:v>7</x:v>
      </x:c>
      <x:c r="L1899" s="14" t="n">
        <x:v>30</x:v>
      </x:c>
      <x:c r="M1899" s="14" t="n">
        <x:v>27</x:v>
      </x:c>
      <x:c r="N1899" s="15" t="n">
        <x:f>IF(E1899=0,"해당 없음",F1899/E1899)</x:f>
        <x:v>0.06862745098039216</x:v>
      </x:c>
      <x:c r="O1899" s="15" t="n">
        <x:f>IF(E1899=0,"해당 없음",G1899/E1899)</x:f>
        <x:v>0.21568627450980393</x:v>
      </x:c>
      <x:c r="P1899" s="15" t="n">
        <x:f>IF(E1899=0,"해당 없음",H1899/E1899)</x:f>
        <x:v>0.029411764705882353</x:v>
      </x:c>
      <x:c r="Q1899" s="15" t="n">
        <x:f>IF(E1899=0,"해당 없음",I1899/E1899)</x:f>
        <x:v>0.00980392156862745</x:v>
      </x:c>
      <x:c r="R1899" s="15" t="n">
        <x:f>IF(E1899=0,"해당 없음",J1899/E1899)</x:f>
        <x:v>0.049019607843137254</x:v>
      </x:c>
      <x:c r="S1899" s="15" t="n">
        <x:f>IF(E1899=0,"해당 없음",K1899/E1899)</x:f>
        <x:v>0.06862745098039216</x:v>
      </x:c>
      <x:c r="T1899" s="15" t="n">
        <x:f>IF(E1899=0,"해당 없음",L1899/E1899)</x:f>
        <x:v>0.29411764705882354</x:v>
      </x:c>
      <x:c r="U1899" s="15" t="n">
        <x:f>IF(E1899=0,"해당 없음",M1899/E1899)</x:f>
        <x:v>0.2647058823529412</x:v>
      </x:c>
      <x:c r="V1899" s="16" t="n">
        <x:f>E1899/5</x:f>
        <x:v>20.4</x:v>
      </x:c>
    </x:row>
    <x:row r="1900" ht="22" customHeight="1">
      <x:c r="A1900" s="2" t="n">
        <x:v>948</x:v>
      </x:c>
      <x:c r="B1900" s="2" t="str">
        <x:v>RED</x:v>
      </x:c>
      <x:c r="C1900" s="2" t="str">
        <x:v>200만</x:v>
      </x:c>
      <x:c r="D1900" s="2" t="str">
        <x:v>120만</x:v>
      </x:c>
      <x:c r="E1900" s="14" t="n">
        <x:f>SUM(F1900:M1900)</x:f>
        <x:v>102</x:v>
      </x:c>
      <x:c r="F1900" s="14" t="n">
        <x:v>8</x:v>
      </x:c>
      <x:c r="G1900" s="14" t="n">
        <x:v>17</x:v>
      </x:c>
      <x:c r="H1900" s="14" t="n">
        <x:v>0</x:v>
      </x:c>
      <x:c r="I1900" s="14" t="n">
        <x:v>3</x:v>
      </x:c>
      <x:c r="J1900" s="14" t="n">
        <x:v>3</x:v>
      </x:c>
      <x:c r="K1900" s="14" t="n">
        <x:v>6</x:v>
      </x:c>
      <x:c r="L1900" s="14" t="n">
        <x:v>30</x:v>
      </x:c>
      <x:c r="M1900" s="14" t="n">
        <x:v>35</x:v>
      </x:c>
      <x:c r="N1900" s="15" t="n">
        <x:f>IF(E1900=0,"해당 없음",F1900/E1900)</x:f>
        <x:v>0.0784313725490196</x:v>
      </x:c>
      <x:c r="O1900" s="15" t="n">
        <x:f>IF(E1900=0,"해당 없음",G1900/E1900)</x:f>
        <x:v>0.16666666666666666</x:v>
      </x:c>
      <x:c r="P1900" s="15" t="n">
        <x:f>IF(E1900=0,"해당 없음",H1900/E1900)</x:f>
        <x:v>0</x:v>
      </x:c>
      <x:c r="Q1900" s="15" t="n">
        <x:f>IF(E1900=0,"해당 없음",I1900/E1900)</x:f>
        <x:v>0.029411764705882353</x:v>
      </x:c>
      <x:c r="R1900" s="15" t="n">
        <x:f>IF(E1900=0,"해당 없음",J1900/E1900)</x:f>
        <x:v>0.029411764705882353</x:v>
      </x:c>
      <x:c r="S1900" s="15" t="n">
        <x:f>IF(E1900=0,"해당 없음",K1900/E1900)</x:f>
        <x:v>0.058823529411764705</x:v>
      </x:c>
      <x:c r="T1900" s="15" t="n">
        <x:f>IF(E1900=0,"해당 없음",L1900/E1900)</x:f>
        <x:v>0.29411764705882354</x:v>
      </x:c>
      <x:c r="U1900" s="15" t="n">
        <x:f>IF(E1900=0,"해당 없음",M1900/E1900)</x:f>
        <x:v>0.3431372549019608</x:v>
      </x:c>
      <x:c r="V1900" s="16" t="n">
        <x:f>E1900/5</x:f>
        <x:v>20.4</x:v>
      </x:c>
    </x:row>
    <x:row r="1901" ht="22" customHeight="1">
      <x:c r="A1901" s="2" t="n">
        <x:v>948</x:v>
      </x:c>
      <x:c r="B1901" s="2" t="str">
        <x:v>NAVY</x:v>
      </x:c>
      <x:c r="C1901" s="2" t="str">
        <x:v>120만</x:v>
      </x:c>
      <x:c r="D1901" s="2" t="str">
        <x:v>200만</x:v>
      </x:c>
      <x:c r="E1901" s="14" t="n">
        <x:f>SUM(F1901:M1901)</x:f>
        <x:v>102</x:v>
      </x:c>
      <x:c r="F1901" s="14" t="n">
        <x:v>0</x:v>
      </x:c>
      <x:c r="G1901" s="14" t="n">
        <x:v>11</x:v>
      </x:c>
      <x:c r="H1901" s="14" t="n">
        <x:v>8</x:v>
      </x:c>
      <x:c r="I1901" s="14" t="n">
        <x:v>4</x:v>
      </x:c>
      <x:c r="J1901" s="14" t="n">
        <x:v>4</x:v>
      </x:c>
      <x:c r="K1901" s="14" t="n">
        <x:v>15</x:v>
      </x:c>
      <x:c r="L1901" s="14" t="n">
        <x:v>36</x:v>
      </x:c>
      <x:c r="M1901" s="14" t="n">
        <x:v>24</x:v>
      </x:c>
      <x:c r="N1901" s="15" t="n">
        <x:f>IF(E1901=0,"해당 없음",F1901/E1901)</x:f>
        <x:v>0</x:v>
      </x:c>
      <x:c r="O1901" s="15" t="n">
        <x:f>IF(E1901=0,"해당 없음",G1901/E1901)</x:f>
        <x:v>0.10784313725490197</x:v>
      </x:c>
      <x:c r="P1901" s="15" t="n">
        <x:f>IF(E1901=0,"해당 없음",H1901/E1901)</x:f>
        <x:v>0.0784313725490196</x:v>
      </x:c>
      <x:c r="Q1901" s="15" t="n">
        <x:f>IF(E1901=0,"해당 없음",I1901/E1901)</x:f>
        <x:v>0.0392156862745098</x:v>
      </x:c>
      <x:c r="R1901" s="15" t="n">
        <x:f>IF(E1901=0,"해당 없음",J1901/E1901)</x:f>
        <x:v>0.0392156862745098</x:v>
      </x:c>
      <x:c r="S1901" s="15" t="n">
        <x:f>IF(E1901=0,"해당 없음",K1901/E1901)</x:f>
        <x:v>0.14705882352941177</x:v>
      </x:c>
      <x:c r="T1901" s="15" t="n">
        <x:f>IF(E1901=0,"해당 없음",L1901/E1901)</x:f>
        <x:v>0.35294117647058826</x:v>
      </x:c>
      <x:c r="U1901" s="15" t="n">
        <x:f>IF(E1901=0,"해당 없음",M1901/E1901)</x:f>
        <x:v>0.23529411764705882</x:v>
      </x:c>
      <x:c r="V1901" s="16" t="n">
        <x:f>E1901/5</x:f>
        <x:v>20.4</x:v>
      </x:c>
    </x:row>
    <x:row r="1902" ht="22" customHeight="1">
      <x:c r="A1902" s="2" t="n">
        <x:v>949</x:v>
      </x:c>
      <x:c r="B1902" s="2" t="str">
        <x:v>RED</x:v>
      </x:c>
      <x:c r="C1902" s="2" t="str">
        <x:v>120만</x:v>
      </x:c>
      <x:c r="D1902" s="2" t="str">
        <x:v>200만</x:v>
      </x:c>
      <x:c r="E1902" s="14" t="n">
        <x:f>SUM(F1902:M1902)</x:f>
        <x:v>102</x:v>
      </x:c>
      <x:c r="F1902" s="14" t="n">
        <x:v>0</x:v>
      </x:c>
      <x:c r="G1902" s="14" t="n">
        <x:v>13</x:v>
      </x:c>
      <x:c r="H1902" s="14" t="n">
        <x:v>8</x:v>
      </x:c>
      <x:c r="I1902" s="14" t="n">
        <x:v>4</x:v>
      </x:c>
      <x:c r="J1902" s="14" t="n">
        <x:v>4</x:v>
      </x:c>
      <x:c r="K1902" s="14" t="n">
        <x:v>7</x:v>
      </x:c>
      <x:c r="L1902" s="14" t="n">
        <x:v>38</x:v>
      </x:c>
      <x:c r="M1902" s="14" t="n">
        <x:v>28</x:v>
      </x:c>
      <x:c r="N1902" s="15" t="n">
        <x:f>IF(E1902=0,"해당 없음",F1902/E1902)</x:f>
        <x:v>0</x:v>
      </x:c>
      <x:c r="O1902" s="15" t="n">
        <x:f>IF(E1902=0,"해당 없음",G1902/E1902)</x:f>
        <x:v>0.12745098039215685</x:v>
      </x:c>
      <x:c r="P1902" s="15" t="n">
        <x:f>IF(E1902=0,"해당 없음",H1902/E1902)</x:f>
        <x:v>0.0784313725490196</x:v>
      </x:c>
      <x:c r="Q1902" s="15" t="n">
        <x:f>IF(E1902=0,"해당 없음",I1902/E1902)</x:f>
        <x:v>0.0392156862745098</x:v>
      </x:c>
      <x:c r="R1902" s="15" t="n">
        <x:f>IF(E1902=0,"해당 없음",J1902/E1902)</x:f>
        <x:v>0.0392156862745098</x:v>
      </x:c>
      <x:c r="S1902" s="15" t="n">
        <x:f>IF(E1902=0,"해당 없음",K1902/E1902)</x:f>
        <x:v>0.06862745098039216</x:v>
      </x:c>
      <x:c r="T1902" s="15" t="n">
        <x:f>IF(E1902=0,"해당 없음",L1902/E1902)</x:f>
        <x:v>0.37254901960784315</x:v>
      </x:c>
      <x:c r="U1902" s="15" t="n">
        <x:f>IF(E1902=0,"해당 없음",M1902/E1902)</x:f>
        <x:v>0.27450980392156865</x:v>
      </x:c>
      <x:c r="V1902" s="16" t="n">
        <x:f>E1902/5</x:f>
        <x:v>20.4</x:v>
      </x:c>
    </x:row>
    <x:row r="1903" ht="22" customHeight="1">
      <x:c r="A1903" s="2" t="n">
        <x:v>949</x:v>
      </x:c>
      <x:c r="B1903" s="2" t="str">
        <x:v>NAVY</x:v>
      </x:c>
      <x:c r="C1903" s="2" t="str">
        <x:v>200만</x:v>
      </x:c>
      <x:c r="D1903" s="2" t="str">
        <x:v>120만</x:v>
      </x:c>
      <x:c r="E1903" s="14" t="n">
        <x:f>SUM(F1903:M1903)</x:f>
        <x:v>104</x:v>
      </x:c>
      <x:c r="F1903" s="14" t="n">
        <x:v>4</x:v>
      </x:c>
      <x:c r="G1903" s="14" t="n">
        <x:v>13</x:v>
      </x:c>
      <x:c r="H1903" s="14" t="n">
        <x:v>4</x:v>
      </x:c>
      <x:c r="I1903" s="14" t="n">
        <x:v>6</x:v>
      </x:c>
      <x:c r="J1903" s="14" t="n">
        <x:v>3</x:v>
      </x:c>
      <x:c r="K1903" s="14" t="n">
        <x:v>5</x:v>
      </x:c>
      <x:c r="L1903" s="14" t="n">
        <x:v>36</x:v>
      </x:c>
      <x:c r="M1903" s="14" t="n">
        <x:v>33</x:v>
      </x:c>
      <x:c r="N1903" s="15" t="n">
        <x:f>IF(E1903=0,"해당 없음",F1903/E1903)</x:f>
        <x:v>0.038461538461538464</x:v>
      </x:c>
      <x:c r="O1903" s="15" t="n">
        <x:f>IF(E1903=0,"해당 없음",G1903/E1903)</x:f>
        <x:v>0.125</x:v>
      </x:c>
      <x:c r="P1903" s="15" t="n">
        <x:f>IF(E1903=0,"해당 없음",H1903/E1903)</x:f>
        <x:v>0.038461538461538464</x:v>
      </x:c>
      <x:c r="Q1903" s="15" t="n">
        <x:f>IF(E1903=0,"해당 없음",I1903/E1903)</x:f>
        <x:v>0.057692307692307696</x:v>
      </x:c>
      <x:c r="R1903" s="15" t="n">
        <x:f>IF(E1903=0,"해당 없음",J1903/E1903)</x:f>
        <x:v>0.028846153846153848</x:v>
      </x:c>
      <x:c r="S1903" s="15" t="n">
        <x:f>IF(E1903=0,"해당 없음",K1903/E1903)</x:f>
        <x:v>0.04807692307692308</x:v>
      </x:c>
      <x:c r="T1903" s="15" t="n">
        <x:f>IF(E1903=0,"해당 없음",L1903/E1903)</x:f>
        <x:v>0.34615384615384615</x:v>
      </x:c>
      <x:c r="U1903" s="15" t="n">
        <x:f>IF(E1903=0,"해당 없음",M1903/E1903)</x:f>
        <x:v>0.3173076923076923</x:v>
      </x:c>
      <x:c r="V1903" s="16" t="n">
        <x:f>E1903/5</x:f>
        <x:v>20.8</x:v>
      </x:c>
    </x:row>
    <x:row r="1904" ht="22" customHeight="1">
      <x:c r="A1904" s="2" t="n">
        <x:v>950</x:v>
      </x:c>
      <x:c r="B1904" s="2" t="str">
        <x:v>RED</x:v>
      </x:c>
      <x:c r="C1904" s="2" t="str">
        <x:v>200만</x:v>
      </x:c>
      <x:c r="D1904" s="2" t="str">
        <x:v>120만</x:v>
      </x:c>
      <x:c r="E1904" s="14" t="n">
        <x:f>SUM(F1904:M1904)</x:f>
        <x:v>103</x:v>
      </x:c>
      <x:c r="F1904" s="14" t="n">
        <x:v>3</x:v>
      </x:c>
      <x:c r="G1904" s="14" t="n">
        <x:v>19</x:v>
      </x:c>
      <x:c r="H1904" s="14" t="n">
        <x:v>4</x:v>
      </x:c>
      <x:c r="I1904" s="14" t="n">
        <x:v>3</x:v>
      </x:c>
      <x:c r="J1904" s="14" t="n">
        <x:v>3</x:v>
      </x:c>
      <x:c r="K1904" s="14" t="n">
        <x:v>5</x:v>
      </x:c>
      <x:c r="L1904" s="14" t="n">
        <x:v>36</x:v>
      </x:c>
      <x:c r="M1904" s="14" t="n">
        <x:v>30</x:v>
      </x:c>
      <x:c r="N1904" s="15" t="n">
        <x:f>IF(E1904=0,"해당 없음",F1904/E1904)</x:f>
        <x:v>0.02912621359223301</x:v>
      </x:c>
      <x:c r="O1904" s="15" t="n">
        <x:f>IF(E1904=0,"해당 없음",G1904/E1904)</x:f>
        <x:v>0.18446601941747573</x:v>
      </x:c>
      <x:c r="P1904" s="15" t="n">
        <x:f>IF(E1904=0,"해당 없음",H1904/E1904)</x:f>
        <x:v>0.038834951456310676</x:v>
      </x:c>
      <x:c r="Q1904" s="15" t="n">
        <x:f>IF(E1904=0,"해당 없음",I1904/E1904)</x:f>
        <x:v>0.02912621359223301</x:v>
      </x:c>
      <x:c r="R1904" s="15" t="n">
        <x:f>IF(E1904=0,"해당 없음",J1904/E1904)</x:f>
        <x:v>0.02912621359223301</x:v>
      </x:c>
      <x:c r="S1904" s="15" t="n">
        <x:f>IF(E1904=0,"해당 없음",K1904/E1904)</x:f>
        <x:v>0.04854368932038835</x:v>
      </x:c>
      <x:c r="T1904" s="15" t="n">
        <x:f>IF(E1904=0,"해당 없음",L1904/E1904)</x:f>
        <x:v>0.34951456310679613</x:v>
      </x:c>
      <x:c r="U1904" s="15" t="n">
        <x:f>IF(E1904=0,"해당 없음",M1904/E1904)</x:f>
        <x:v>0.2912621359223301</x:v>
      </x:c>
      <x:c r="V1904" s="16" t="n">
        <x:f>E1904/5</x:f>
        <x:v>20.6</x:v>
      </x:c>
    </x:row>
    <x:row r="1905" ht="22" customHeight="1">
      <x:c r="A1905" s="2" t="n">
        <x:v>950</x:v>
      </x:c>
      <x:c r="B1905" s="2" t="str">
        <x:v>NAVY</x:v>
      </x:c>
      <x:c r="C1905" s="2" t="str">
        <x:v>120만</x:v>
      </x:c>
      <x:c r="D1905" s="2" t="str">
        <x:v>200만</x:v>
      </x:c>
      <x:c r="E1905" s="14" t="n">
        <x:f>SUM(F1905:M1905)</x:f>
        <x:v>102</x:v>
      </x:c>
      <x:c r="F1905" s="14" t="n">
        <x:v>3</x:v>
      </x:c>
      <x:c r="G1905" s="14" t="n">
        <x:v>15</x:v>
      </x:c>
      <x:c r="H1905" s="14" t="n">
        <x:v>5</x:v>
      </x:c>
      <x:c r="I1905" s="14" t="n">
        <x:v>5</x:v>
      </x:c>
      <x:c r="J1905" s="14" t="n">
        <x:v>4</x:v>
      </x:c>
      <x:c r="K1905" s="14" t="n">
        <x:v>5</x:v>
      </x:c>
      <x:c r="L1905" s="14" t="n">
        <x:v>40</x:v>
      </x:c>
      <x:c r="M1905" s="14" t="n">
        <x:v>25</x:v>
      </x:c>
      <x:c r="N1905" s="15" t="n">
        <x:f>IF(E1905=0,"해당 없음",F1905/E1905)</x:f>
        <x:v>0.029411764705882353</x:v>
      </x:c>
      <x:c r="O1905" s="15" t="n">
        <x:f>IF(E1905=0,"해당 없음",G1905/E1905)</x:f>
        <x:v>0.14705882352941177</x:v>
      </x:c>
      <x:c r="P1905" s="15" t="n">
        <x:f>IF(E1905=0,"해당 없음",H1905/E1905)</x:f>
        <x:v>0.049019607843137254</x:v>
      </x:c>
      <x:c r="Q1905" s="15" t="n">
        <x:f>IF(E1905=0,"해당 없음",I1905/E1905)</x:f>
        <x:v>0.049019607843137254</x:v>
      </x:c>
      <x:c r="R1905" s="15" t="n">
        <x:f>IF(E1905=0,"해당 없음",J1905/E1905)</x:f>
        <x:v>0.0392156862745098</x:v>
      </x:c>
      <x:c r="S1905" s="15" t="n">
        <x:f>IF(E1905=0,"해당 없음",K1905/E1905)</x:f>
        <x:v>0.049019607843137254</x:v>
      </x:c>
      <x:c r="T1905" s="15" t="n">
        <x:f>IF(E1905=0,"해당 없음",L1905/E1905)</x:f>
        <x:v>0.39215686274509803</x:v>
      </x:c>
      <x:c r="U1905" s="15" t="n">
        <x:f>IF(E1905=0,"해당 없음",M1905/E1905)</x:f>
        <x:v>0.24509803921568626</x:v>
      </x:c>
      <x:c r="V1905" s="16" t="n">
        <x:f>E1905/5</x:f>
        <x:v>20.4</x:v>
      </x:c>
    </x:row>
    <x:row r="1906" ht="22" customHeight="1">
      <x:c r="A1906" s="2" t="n">
        <x:v>951</x:v>
      </x:c>
      <x:c r="B1906" s="2" t="str">
        <x:v>RED</x:v>
      </x:c>
      <x:c r="C1906" s="2" t="str">
        <x:v>120만</x:v>
      </x:c>
      <x:c r="D1906" s="2" t="str">
        <x:v>200만</x:v>
      </x:c>
      <x:c r="E1906" s="14" t="n">
        <x:f>SUM(F1906:M1906)</x:f>
        <x:v>102</x:v>
      </x:c>
      <x:c r="F1906" s="14" t="n">
        <x:v>1</x:v>
      </x:c>
      <x:c r="G1906" s="14" t="n">
        <x:v>7</x:v>
      </x:c>
      <x:c r="H1906" s="14" t="n">
        <x:v>4</x:v>
      </x:c>
      <x:c r="I1906" s="14" t="n">
        <x:v>8</x:v>
      </x:c>
      <x:c r="J1906" s="14" t="n">
        <x:v>1</x:v>
      </x:c>
      <x:c r="K1906" s="14" t="n">
        <x:v>7</x:v>
      </x:c>
      <x:c r="L1906" s="14" t="n">
        <x:v>38</x:v>
      </x:c>
      <x:c r="M1906" s="14" t="n">
        <x:v>36</x:v>
      </x:c>
      <x:c r="N1906" s="15" t="n">
        <x:f>IF(E1906=0,"해당 없음",F1906/E1906)</x:f>
        <x:v>0.00980392156862745</x:v>
      </x:c>
      <x:c r="O1906" s="15" t="n">
        <x:f>IF(E1906=0,"해당 없음",G1906/E1906)</x:f>
        <x:v>0.06862745098039216</x:v>
      </x:c>
      <x:c r="P1906" s="15" t="n">
        <x:f>IF(E1906=0,"해당 없음",H1906/E1906)</x:f>
        <x:v>0.0392156862745098</x:v>
      </x:c>
      <x:c r="Q1906" s="15" t="n">
        <x:f>IF(E1906=0,"해당 없음",I1906/E1906)</x:f>
        <x:v>0.0784313725490196</x:v>
      </x:c>
      <x:c r="R1906" s="15" t="n">
        <x:f>IF(E1906=0,"해당 없음",J1906/E1906)</x:f>
        <x:v>0.00980392156862745</x:v>
      </x:c>
      <x:c r="S1906" s="15" t="n">
        <x:f>IF(E1906=0,"해당 없음",K1906/E1906)</x:f>
        <x:v>0.06862745098039216</x:v>
      </x:c>
      <x:c r="T1906" s="15" t="n">
        <x:f>IF(E1906=0,"해당 없음",L1906/E1906)</x:f>
        <x:v>0.37254901960784315</x:v>
      </x:c>
      <x:c r="U1906" s="15" t="n">
        <x:f>IF(E1906=0,"해당 없음",M1906/E1906)</x:f>
        <x:v>0.35294117647058826</x:v>
      </x:c>
      <x:c r="V1906" s="16" t="n">
        <x:f>E1906/5</x:f>
        <x:v>20.4</x:v>
      </x:c>
    </x:row>
    <x:row r="1907" ht="22" customHeight="1">
      <x:c r="A1907" s="2" t="n">
        <x:v>951</x:v>
      </x:c>
      <x:c r="B1907" s="2" t="str">
        <x:v>NAVY</x:v>
      </x:c>
      <x:c r="C1907" s="2" t="str">
        <x:v>200만</x:v>
      </x:c>
      <x:c r="D1907" s="2" t="str">
        <x:v>120만</x:v>
      </x:c>
      <x:c r="E1907" s="14" t="n">
        <x:f>SUM(F1907:M1907)</x:f>
        <x:v>103</x:v>
      </x:c>
      <x:c r="F1907" s="14" t="n">
        <x:v>2</x:v>
      </x:c>
      <x:c r="G1907" s="14" t="n">
        <x:v>22</x:v>
      </x:c>
      <x:c r="H1907" s="14" t="n">
        <x:v>0</x:v>
      </x:c>
      <x:c r="I1907" s="14" t="n">
        <x:v>0</x:v>
      </x:c>
      <x:c r="J1907" s="14" t="n">
        <x:v>6</x:v>
      </x:c>
      <x:c r="K1907" s="14" t="n">
        <x:v>2</x:v>
      </x:c>
      <x:c r="L1907" s="14" t="n">
        <x:v>36</x:v>
      </x:c>
      <x:c r="M1907" s="14" t="n">
        <x:v>35</x:v>
      </x:c>
      <x:c r="N1907" s="15" t="n">
        <x:f>IF(E1907=0,"해당 없음",F1907/E1907)</x:f>
        <x:v>0.019417475728155338</x:v>
      </x:c>
      <x:c r="O1907" s="15" t="n">
        <x:f>IF(E1907=0,"해당 없음",G1907/E1907)</x:f>
        <x:v>0.21359223300970873</x:v>
      </x:c>
      <x:c r="P1907" s="15" t="n">
        <x:f>IF(E1907=0,"해당 없음",H1907/E1907)</x:f>
        <x:v>0</x:v>
      </x:c>
      <x:c r="Q1907" s="15" t="n">
        <x:f>IF(E1907=0,"해당 없음",I1907/E1907)</x:f>
        <x:v>0</x:v>
      </x:c>
      <x:c r="R1907" s="15" t="n">
        <x:f>IF(E1907=0,"해당 없음",J1907/E1907)</x:f>
        <x:v>0.05825242718446602</x:v>
      </x:c>
      <x:c r="S1907" s="15" t="n">
        <x:f>IF(E1907=0,"해당 없음",K1907/E1907)</x:f>
        <x:v>0.019417475728155338</x:v>
      </x:c>
      <x:c r="T1907" s="15" t="n">
        <x:f>IF(E1907=0,"해당 없음",L1907/E1907)</x:f>
        <x:v>0.34951456310679613</x:v>
      </x:c>
      <x:c r="U1907" s="15" t="n">
        <x:f>IF(E1907=0,"해당 없음",M1907/E1907)</x:f>
        <x:v>0.33980582524271846</x:v>
      </x:c>
      <x:c r="V1907" s="16" t="n">
        <x:f>E1907/5</x:f>
        <x:v>20.6</x:v>
      </x:c>
    </x:row>
    <x:row r="1908" ht="22" customHeight="1">
      <x:c r="A1908" s="2" t="n">
        <x:v>952</x:v>
      </x:c>
      <x:c r="B1908" s="2" t="str">
        <x:v>RED</x:v>
      </x:c>
      <x:c r="C1908" s="2" t="str">
        <x:v>200만</x:v>
      </x:c>
      <x:c r="D1908" s="2" t="str">
        <x:v>120만</x:v>
      </x:c>
      <x:c r="E1908" s="14" t="n">
        <x:f>SUM(F1908:M1908)</x:f>
        <x:v>105</x:v>
      </x:c>
      <x:c r="F1908" s="14" t="n">
        <x:v>2</x:v>
      </x:c>
      <x:c r="G1908" s="14" t="n">
        <x:v>22</x:v>
      </x:c>
      <x:c r="H1908" s="14" t="n">
        <x:v>4</x:v>
      </x:c>
      <x:c r="I1908" s="14" t="n">
        <x:v>5</x:v>
      </x:c>
      <x:c r="J1908" s="14" t="n">
        <x:v>2</x:v>
      </x:c>
      <x:c r="K1908" s="14" t="n">
        <x:v>9</x:v>
      </x:c>
      <x:c r="L1908" s="14" t="n">
        <x:v>38</x:v>
      </x:c>
      <x:c r="M1908" s="14" t="n">
        <x:v>23</x:v>
      </x:c>
      <x:c r="N1908" s="15" t="n">
        <x:f>IF(E1908=0,"해당 없음",F1908/E1908)</x:f>
        <x:v>0.01904761904761905</x:v>
      </x:c>
      <x:c r="O1908" s="15" t="n">
        <x:f>IF(E1908=0,"해당 없음",G1908/E1908)</x:f>
        <x:v>0.20952380952380953</x:v>
      </x:c>
      <x:c r="P1908" s="15" t="n">
        <x:f>IF(E1908=0,"해당 없음",H1908/E1908)</x:f>
        <x:v>0.0380952380952381</x:v>
      </x:c>
      <x:c r="Q1908" s="15" t="n">
        <x:f>IF(E1908=0,"해당 없음",I1908/E1908)</x:f>
        <x:v>0.047619047619047616</x:v>
      </x:c>
      <x:c r="R1908" s="15" t="n">
        <x:f>IF(E1908=0,"해당 없음",J1908/E1908)</x:f>
        <x:v>0.01904761904761905</x:v>
      </x:c>
      <x:c r="S1908" s="15" t="n">
        <x:f>IF(E1908=0,"해당 없음",K1908/E1908)</x:f>
        <x:v>0.08571428571428572</x:v>
      </x:c>
      <x:c r="T1908" s="15" t="n">
        <x:f>IF(E1908=0,"해당 없음",L1908/E1908)</x:f>
        <x:v>0.3619047619047619</x:v>
      </x:c>
      <x:c r="U1908" s="15" t="n">
        <x:f>IF(E1908=0,"해당 없음",M1908/E1908)</x:f>
        <x:v>0.21904761904761905</x:v>
      </x:c>
      <x:c r="V1908" s="16" t="n">
        <x:f>E1908/5</x:f>
        <x:v>21</x:v>
      </x:c>
    </x:row>
    <x:row r="1909" ht="22" customHeight="1">
      <x:c r="A1909" s="2" t="n">
        <x:v>952</x:v>
      </x:c>
      <x:c r="B1909" s="2" t="str">
        <x:v>NAVY</x:v>
      </x:c>
      <x:c r="C1909" s="2" t="str">
        <x:v>120만</x:v>
      </x:c>
      <x:c r="D1909" s="2" t="str">
        <x:v>200만</x:v>
      </x:c>
      <x:c r="E1909" s="14" t="n">
        <x:f>SUM(F1909:M1909)</x:f>
        <x:v>104</x:v>
      </x:c>
      <x:c r="F1909" s="14" t="n">
        <x:v>0</x:v>
      </x:c>
      <x:c r="G1909" s="14" t="n">
        <x:v>12</x:v>
      </x:c>
      <x:c r="H1909" s="14" t="n">
        <x:v>4</x:v>
      </x:c>
      <x:c r="I1909" s="14" t="n">
        <x:v>8</x:v>
      </x:c>
      <x:c r="J1909" s="14" t="n">
        <x:v>8</x:v>
      </x:c>
      <x:c r="K1909" s="14" t="n">
        <x:v>4</x:v>
      </x:c>
      <x:c r="L1909" s="14" t="n">
        <x:v>47</x:v>
      </x:c>
      <x:c r="M1909" s="14" t="n">
        <x:v>21</x:v>
      </x:c>
      <x:c r="N1909" s="15" t="n">
        <x:f>IF(E1909=0,"해당 없음",F1909/E1909)</x:f>
        <x:v>0</x:v>
      </x:c>
      <x:c r="O1909" s="15" t="n">
        <x:f>IF(E1909=0,"해당 없음",G1909/E1909)</x:f>
        <x:v>0.11538461538461539</x:v>
      </x:c>
      <x:c r="P1909" s="15" t="n">
        <x:f>IF(E1909=0,"해당 없음",H1909/E1909)</x:f>
        <x:v>0.038461538461538464</x:v>
      </x:c>
      <x:c r="Q1909" s="15" t="n">
        <x:f>IF(E1909=0,"해당 없음",I1909/E1909)</x:f>
        <x:v>0.07692307692307693</x:v>
      </x:c>
      <x:c r="R1909" s="15" t="n">
        <x:f>IF(E1909=0,"해당 없음",J1909/E1909)</x:f>
        <x:v>0.07692307692307693</x:v>
      </x:c>
      <x:c r="S1909" s="15" t="n">
        <x:f>IF(E1909=0,"해당 없음",K1909/E1909)</x:f>
        <x:v>0.038461538461538464</x:v>
      </x:c>
      <x:c r="T1909" s="15" t="n">
        <x:f>IF(E1909=0,"해당 없음",L1909/E1909)</x:f>
        <x:v>0.4519230769230769</x:v>
      </x:c>
      <x:c r="U1909" s="15" t="n">
        <x:f>IF(E1909=0,"해당 없음",M1909/E1909)</x:f>
        <x:v>0.20192307692307693</x:v>
      </x:c>
      <x:c r="V1909" s="16" t="n">
        <x:f>E1909/5</x:f>
        <x:v>20.8</x:v>
      </x:c>
    </x:row>
    <x:row r="1910" ht="22" customHeight="1">
      <x:c r="A1910" s="2" t="n">
        <x:v>953</x:v>
      </x:c>
      <x:c r="B1910" s="2" t="str">
        <x:v>RED</x:v>
      </x:c>
      <x:c r="C1910" s="2" t="str">
        <x:v>120만</x:v>
      </x:c>
      <x:c r="D1910" s="2" t="str">
        <x:v>200만</x:v>
      </x:c>
      <x:c r="E1910" s="14" t="n">
        <x:f>SUM(F1910:M1910)</x:f>
        <x:v>103</x:v>
      </x:c>
      <x:c r="F1910" s="14" t="n">
        <x:v>1</x:v>
      </x:c>
      <x:c r="G1910" s="14" t="n">
        <x:v>11</x:v>
      </x:c>
      <x:c r="H1910" s="14" t="n">
        <x:v>4</x:v>
      </x:c>
      <x:c r="I1910" s="14" t="n">
        <x:v>14</x:v>
      </x:c>
      <x:c r="J1910" s="14" t="n">
        <x:v>2</x:v>
      </x:c>
      <x:c r="K1910" s="14" t="n">
        <x:v>11</x:v>
      </x:c>
      <x:c r="L1910" s="14" t="n">
        <x:v>36</x:v>
      </x:c>
      <x:c r="M1910" s="14" t="n">
        <x:v>24</x:v>
      </x:c>
      <x:c r="N1910" s="15" t="n">
        <x:f>IF(E1910=0,"해당 없음",F1910/E1910)</x:f>
        <x:v>0.009708737864077669</x:v>
      </x:c>
      <x:c r="O1910" s="15" t="n">
        <x:f>IF(E1910=0,"해당 없음",G1910/E1910)</x:f>
        <x:v>0.10679611650485436</x:v>
      </x:c>
      <x:c r="P1910" s="15" t="n">
        <x:f>IF(E1910=0,"해당 없음",H1910/E1910)</x:f>
        <x:v>0.038834951456310676</x:v>
      </x:c>
      <x:c r="Q1910" s="15" t="n">
        <x:f>IF(E1910=0,"해당 없음",I1910/E1910)</x:f>
        <x:v>0.13592233009708737</x:v>
      </x:c>
      <x:c r="R1910" s="15" t="n">
        <x:f>IF(E1910=0,"해당 없음",J1910/E1910)</x:f>
        <x:v>0.019417475728155338</x:v>
      </x:c>
      <x:c r="S1910" s="15" t="n">
        <x:f>IF(E1910=0,"해당 없음",K1910/E1910)</x:f>
        <x:v>0.10679611650485436</x:v>
      </x:c>
      <x:c r="T1910" s="15" t="n">
        <x:f>IF(E1910=0,"해당 없음",L1910/E1910)</x:f>
        <x:v>0.34951456310679613</x:v>
      </x:c>
      <x:c r="U1910" s="15" t="n">
        <x:f>IF(E1910=0,"해당 없음",M1910/E1910)</x:f>
        <x:v>0.23300970873786409</x:v>
      </x:c>
      <x:c r="V1910" s="16" t="n">
        <x:f>E1910/5</x:f>
        <x:v>20.6</x:v>
      </x:c>
    </x:row>
    <x:row r="1911" ht="22" customHeight="1">
      <x:c r="A1911" s="2" t="n">
        <x:v>953</x:v>
      </x:c>
      <x:c r="B1911" s="2" t="str">
        <x:v>NAVY</x:v>
      </x:c>
      <x:c r="C1911" s="2" t="str">
        <x:v>200만</x:v>
      </x:c>
      <x:c r="D1911" s="2" t="str">
        <x:v>120만</x:v>
      </x:c>
      <x:c r="E1911" s="14" t="n">
        <x:f>SUM(F1911:M1911)</x:f>
        <x:v>103</x:v>
      </x:c>
      <x:c r="F1911" s="14" t="n">
        <x:v>6</x:v>
      </x:c>
      <x:c r="G1911" s="14" t="n">
        <x:v>18</x:v>
      </x:c>
      <x:c r="H1911" s="14" t="n">
        <x:v>1</x:v>
      </x:c>
      <x:c r="I1911" s="14" t="n">
        <x:v>2</x:v>
      </x:c>
      <x:c r="J1911" s="14" t="n">
        <x:v>3</x:v>
      </x:c>
      <x:c r="K1911" s="14" t="n">
        <x:v>3</x:v>
      </x:c>
      <x:c r="L1911" s="14" t="n">
        <x:v>30</x:v>
      </x:c>
      <x:c r="M1911" s="14" t="n">
        <x:v>40</x:v>
      </x:c>
      <x:c r="N1911" s="15" t="n">
        <x:f>IF(E1911=0,"해당 없음",F1911/E1911)</x:f>
        <x:v>0.05825242718446602</x:v>
      </x:c>
      <x:c r="O1911" s="15" t="n">
        <x:f>IF(E1911=0,"해당 없음",G1911/E1911)</x:f>
        <x:v>0.17475728155339806</x:v>
      </x:c>
      <x:c r="P1911" s="15" t="n">
        <x:f>IF(E1911=0,"해당 없음",H1911/E1911)</x:f>
        <x:v>0.009708737864077669</x:v>
      </x:c>
      <x:c r="Q1911" s="15" t="n">
        <x:f>IF(E1911=0,"해당 없음",I1911/E1911)</x:f>
        <x:v>0.019417475728155338</x:v>
      </x:c>
      <x:c r="R1911" s="15" t="n">
        <x:f>IF(E1911=0,"해당 없음",J1911/E1911)</x:f>
        <x:v>0.02912621359223301</x:v>
      </x:c>
      <x:c r="S1911" s="15" t="n">
        <x:f>IF(E1911=0,"해당 없음",K1911/E1911)</x:f>
        <x:v>0.02912621359223301</x:v>
      </x:c>
      <x:c r="T1911" s="15" t="n">
        <x:f>IF(E1911=0,"해당 없음",L1911/E1911)</x:f>
        <x:v>0.2912621359223301</x:v>
      </x:c>
      <x:c r="U1911" s="15" t="n">
        <x:f>IF(E1911=0,"해당 없음",M1911/E1911)</x:f>
        <x:v>0.3883495145631068</x:v>
      </x:c>
      <x:c r="V1911" s="16" t="n">
        <x:f>E1911/5</x:f>
        <x:v>20.6</x:v>
      </x:c>
    </x:row>
    <x:row r="1912" ht="22" customHeight="1">
      <x:c r="A1912" s="2" t="n">
        <x:v>954</x:v>
      </x:c>
      <x:c r="B1912" s="2" t="str">
        <x:v>RED</x:v>
      </x:c>
      <x:c r="C1912" s="2" t="str">
        <x:v>200만</x:v>
      </x:c>
      <x:c r="D1912" s="2" t="str">
        <x:v>120만</x:v>
      </x:c>
      <x:c r="E1912" s="14" t="n">
        <x:f>SUM(F1912:M1912)</x:f>
        <x:v>102</x:v>
      </x:c>
      <x:c r="F1912" s="14" t="n">
        <x:v>4</x:v>
      </x:c>
      <x:c r="G1912" s="14" t="n">
        <x:v>12</x:v>
      </x:c>
      <x:c r="H1912" s="14" t="n">
        <x:v>3</x:v>
      </x:c>
      <x:c r="I1912" s="14" t="n">
        <x:v>2</x:v>
      </x:c>
      <x:c r="J1912" s="14" t="n">
        <x:v>2</x:v>
      </x:c>
      <x:c r="K1912" s="14" t="n">
        <x:v>2</x:v>
      </x:c>
      <x:c r="L1912" s="14" t="n">
        <x:v>36</x:v>
      </x:c>
      <x:c r="M1912" s="14" t="n">
        <x:v>41</x:v>
      </x:c>
      <x:c r="N1912" s="15" t="n">
        <x:f>IF(E1912=0,"해당 없음",F1912/E1912)</x:f>
        <x:v>0.0392156862745098</x:v>
      </x:c>
      <x:c r="O1912" s="15" t="n">
        <x:f>IF(E1912=0,"해당 없음",G1912/E1912)</x:f>
        <x:v>0.11764705882352941</x:v>
      </x:c>
      <x:c r="P1912" s="15" t="n">
        <x:f>IF(E1912=0,"해당 없음",H1912/E1912)</x:f>
        <x:v>0.029411764705882353</x:v>
      </x:c>
      <x:c r="Q1912" s="15" t="n">
        <x:f>IF(E1912=0,"해당 없음",I1912/E1912)</x:f>
        <x:v>0.0196078431372549</x:v>
      </x:c>
      <x:c r="R1912" s="15" t="n">
        <x:f>IF(E1912=0,"해당 없음",J1912/E1912)</x:f>
        <x:v>0.0196078431372549</x:v>
      </x:c>
      <x:c r="S1912" s="15" t="n">
        <x:f>IF(E1912=0,"해당 없음",K1912/E1912)</x:f>
        <x:v>0.0196078431372549</x:v>
      </x:c>
      <x:c r="T1912" s="15" t="n">
        <x:f>IF(E1912=0,"해당 없음",L1912/E1912)</x:f>
        <x:v>0.35294117647058826</x:v>
      </x:c>
      <x:c r="U1912" s="15" t="n">
        <x:f>IF(E1912=0,"해당 없음",M1912/E1912)</x:f>
        <x:v>0.4019607843137255</x:v>
      </x:c>
      <x:c r="V1912" s="16" t="n">
        <x:f>E1912/5</x:f>
        <x:v>20.4</x:v>
      </x:c>
    </x:row>
    <x:row r="1913" ht="22" customHeight="1">
      <x:c r="A1913" s="2" t="n">
        <x:v>954</x:v>
      </x:c>
      <x:c r="B1913" s="2" t="str">
        <x:v>NAVY</x:v>
      </x:c>
      <x:c r="C1913" s="2" t="str">
        <x:v>120만</x:v>
      </x:c>
      <x:c r="D1913" s="2" t="str">
        <x:v>200만</x:v>
      </x:c>
      <x:c r="E1913" s="14" t="n">
        <x:f>SUM(F1913:M1913)</x:f>
        <x:v>103</x:v>
      </x:c>
      <x:c r="F1913" s="14" t="n">
        <x:v>2</x:v>
      </x:c>
      <x:c r="G1913" s="14" t="n">
        <x:v>16</x:v>
      </x:c>
      <x:c r="H1913" s="14" t="n">
        <x:v>5</x:v>
      </x:c>
      <x:c r="I1913" s="14" t="n">
        <x:v>6</x:v>
      </x:c>
      <x:c r="J1913" s="14" t="n">
        <x:v>5</x:v>
      </x:c>
      <x:c r="K1913" s="14" t="n">
        <x:v>9</x:v>
      </x:c>
      <x:c r="L1913" s="14" t="n">
        <x:v>35</x:v>
      </x:c>
      <x:c r="M1913" s="14" t="n">
        <x:v>25</x:v>
      </x:c>
      <x:c r="N1913" s="15" t="n">
        <x:f>IF(E1913=0,"해당 없음",F1913/E1913)</x:f>
        <x:v>0.019417475728155338</x:v>
      </x:c>
      <x:c r="O1913" s="15" t="n">
        <x:f>IF(E1913=0,"해당 없음",G1913/E1913)</x:f>
        <x:v>0.1553398058252427</x:v>
      </x:c>
      <x:c r="P1913" s="15" t="n">
        <x:f>IF(E1913=0,"해당 없음",H1913/E1913)</x:f>
        <x:v>0.04854368932038835</x:v>
      </x:c>
      <x:c r="Q1913" s="15" t="n">
        <x:f>IF(E1913=0,"해당 없음",I1913/E1913)</x:f>
        <x:v>0.05825242718446602</x:v>
      </x:c>
      <x:c r="R1913" s="15" t="n">
        <x:f>IF(E1913=0,"해당 없음",J1913/E1913)</x:f>
        <x:v>0.04854368932038835</x:v>
      </x:c>
      <x:c r="S1913" s="15" t="n">
        <x:f>IF(E1913=0,"해당 없음",K1913/E1913)</x:f>
        <x:v>0.08737864077669903</x:v>
      </x:c>
      <x:c r="T1913" s="15" t="n">
        <x:f>IF(E1913=0,"해당 없음",L1913/E1913)</x:f>
        <x:v>0.33980582524271846</x:v>
      </x:c>
      <x:c r="U1913" s="15" t="n">
        <x:f>IF(E1913=0,"해당 없음",M1913/E1913)</x:f>
        <x:v>0.24271844660194175</x:v>
      </x:c>
      <x:c r="V1913" s="16" t="n">
        <x:f>E1913/5</x:f>
        <x:v>20.6</x:v>
      </x:c>
    </x:row>
    <x:row r="1914" ht="22" customHeight="1">
      <x:c r="A1914" s="2" t="n">
        <x:v>955</x:v>
      </x:c>
      <x:c r="B1914" s="2" t="str">
        <x:v>RED</x:v>
      </x:c>
      <x:c r="C1914" s="2" t="str">
        <x:v>120만</x:v>
      </x:c>
      <x:c r="D1914" s="2" t="str">
        <x:v>200만</x:v>
      </x:c>
      <x:c r="E1914" s="14" t="n">
        <x:f>SUM(F1914:M1914)</x:f>
        <x:v>101</x:v>
      </x:c>
      <x:c r="F1914" s="14" t="n">
        <x:v>2</x:v>
      </x:c>
      <x:c r="G1914" s="14" t="n">
        <x:v>19</x:v>
      </x:c>
      <x:c r="H1914" s="14" t="n">
        <x:v>7</x:v>
      </x:c>
      <x:c r="I1914" s="14" t="n">
        <x:v>8</x:v>
      </x:c>
      <x:c r="J1914" s="14" t="n">
        <x:v>1</x:v>
      </x:c>
      <x:c r="K1914" s="14" t="n">
        <x:v>9</x:v>
      </x:c>
      <x:c r="L1914" s="14" t="n">
        <x:v>38</x:v>
      </x:c>
      <x:c r="M1914" s="14" t="n">
        <x:v>17</x:v>
      </x:c>
      <x:c r="N1914" s="15" t="n">
        <x:f>IF(E1914=0,"해당 없음",F1914/E1914)</x:f>
        <x:v>0.019801980198019802</x:v>
      </x:c>
      <x:c r="O1914" s="15" t="n">
        <x:f>IF(E1914=0,"해당 없음",G1914/E1914)</x:f>
        <x:v>0.18811881188118812</x:v>
      </x:c>
      <x:c r="P1914" s="15" t="n">
        <x:f>IF(E1914=0,"해당 없음",H1914/E1914)</x:f>
        <x:v>0.06930693069306931</x:v>
      </x:c>
      <x:c r="Q1914" s="15" t="n">
        <x:f>IF(E1914=0,"해당 없음",I1914/E1914)</x:f>
        <x:v>0.07920792079207921</x:v>
      </x:c>
      <x:c r="R1914" s="15" t="n">
        <x:f>IF(E1914=0,"해당 없음",J1914/E1914)</x:f>
        <x:v>0.009900990099009901</x:v>
      </x:c>
      <x:c r="S1914" s="15" t="n">
        <x:f>IF(E1914=0,"해당 없음",K1914/E1914)</x:f>
        <x:v>0.0891089108910891</x:v>
      </x:c>
      <x:c r="T1914" s="15" t="n">
        <x:f>IF(E1914=0,"해당 없음",L1914/E1914)</x:f>
        <x:v>0.37623762376237624</x:v>
      </x:c>
      <x:c r="U1914" s="15" t="n">
        <x:f>IF(E1914=0,"해당 없음",M1914/E1914)</x:f>
        <x:v>0.16831683168316833</x:v>
      </x:c>
      <x:c r="V1914" s="16" t="n">
        <x:f>E1914/5</x:f>
        <x:v>20.2</x:v>
      </x:c>
    </x:row>
    <x:row r="1915" ht="22" customHeight="1">
      <x:c r="A1915" s="2" t="n">
        <x:v>955</x:v>
      </x:c>
      <x:c r="B1915" s="2" t="str">
        <x:v>NAVY</x:v>
      </x:c>
      <x:c r="C1915" s="2" t="str">
        <x:v>200만</x:v>
      </x:c>
      <x:c r="D1915" s="2" t="str">
        <x:v>120만</x:v>
      </x:c>
      <x:c r="E1915" s="14" t="n">
        <x:f>SUM(F1915:M1915)</x:f>
        <x:v>102</x:v>
      </x:c>
      <x:c r="F1915" s="14" t="n">
        <x:v>5</x:v>
      </x:c>
      <x:c r="G1915" s="14" t="n">
        <x:v>13</x:v>
      </x:c>
      <x:c r="H1915" s="14" t="n">
        <x:v>5</x:v>
      </x:c>
      <x:c r="I1915" s="14" t="n">
        <x:v>0</x:v>
      </x:c>
      <x:c r="J1915" s="14" t="n">
        <x:v>5</x:v>
      </x:c>
      <x:c r="K1915" s="14" t="n">
        <x:v>9</x:v>
      </x:c>
      <x:c r="L1915" s="14" t="n">
        <x:v>37</x:v>
      </x:c>
      <x:c r="M1915" s="14" t="n">
        <x:v>28</x:v>
      </x:c>
      <x:c r="N1915" s="15" t="n">
        <x:f>IF(E1915=0,"해당 없음",F1915/E1915)</x:f>
        <x:v>0.049019607843137254</x:v>
      </x:c>
      <x:c r="O1915" s="15" t="n">
        <x:f>IF(E1915=0,"해당 없음",G1915/E1915)</x:f>
        <x:v>0.12745098039215685</x:v>
      </x:c>
      <x:c r="P1915" s="15" t="n">
        <x:f>IF(E1915=0,"해당 없음",H1915/E1915)</x:f>
        <x:v>0.049019607843137254</x:v>
      </x:c>
      <x:c r="Q1915" s="15" t="n">
        <x:f>IF(E1915=0,"해당 없음",I1915/E1915)</x:f>
        <x:v>0</x:v>
      </x:c>
      <x:c r="R1915" s="15" t="n">
        <x:f>IF(E1915=0,"해당 없음",J1915/E1915)</x:f>
        <x:v>0.049019607843137254</x:v>
      </x:c>
      <x:c r="S1915" s="15" t="n">
        <x:f>IF(E1915=0,"해당 없음",K1915/E1915)</x:f>
        <x:v>0.08823529411764706</x:v>
      </x:c>
      <x:c r="T1915" s="15" t="n">
        <x:f>IF(E1915=0,"해당 없음",L1915/E1915)</x:f>
        <x:v>0.3627450980392157</x:v>
      </x:c>
      <x:c r="U1915" s="15" t="n">
        <x:f>IF(E1915=0,"해당 없음",M1915/E1915)</x:f>
        <x:v>0.27450980392156865</x:v>
      </x:c>
      <x:c r="V1915" s="16" t="n">
        <x:f>E1915/5</x:f>
        <x:v>20.4</x:v>
      </x:c>
    </x:row>
    <x:row r="1916" ht="22" customHeight="1">
      <x:c r="A1916" s="2" t="n">
        <x:v>956</x:v>
      </x:c>
      <x:c r="B1916" s="2" t="str">
        <x:v>RED</x:v>
      </x:c>
      <x:c r="C1916" s="2" t="str">
        <x:v>200만</x:v>
      </x:c>
      <x:c r="D1916" s="2" t="str">
        <x:v>120만</x:v>
      </x:c>
      <x:c r="E1916" s="14" t="n">
        <x:f>SUM(F1916:M1916)</x:f>
        <x:v>102</x:v>
      </x:c>
      <x:c r="F1916" s="14" t="n">
        <x:v>8</x:v>
      </x:c>
      <x:c r="G1916" s="14" t="n">
        <x:v>16</x:v>
      </x:c>
      <x:c r="H1916" s="14" t="n">
        <x:v>4</x:v>
      </x:c>
      <x:c r="I1916" s="14" t="n">
        <x:v>2</x:v>
      </x:c>
      <x:c r="J1916" s="14" t="n">
        <x:v>2</x:v>
      </x:c>
      <x:c r="K1916" s="14" t="n">
        <x:v>6</x:v>
      </x:c>
      <x:c r="L1916" s="14" t="n">
        <x:v>33</x:v>
      </x:c>
      <x:c r="M1916" s="14" t="n">
        <x:v>31</x:v>
      </x:c>
      <x:c r="N1916" s="15" t="n">
        <x:f>IF(E1916=0,"해당 없음",F1916/E1916)</x:f>
        <x:v>0.0784313725490196</x:v>
      </x:c>
      <x:c r="O1916" s="15" t="n">
        <x:f>IF(E1916=0,"해당 없음",G1916/E1916)</x:f>
        <x:v>0.1568627450980392</x:v>
      </x:c>
      <x:c r="P1916" s="15" t="n">
        <x:f>IF(E1916=0,"해당 없음",H1916/E1916)</x:f>
        <x:v>0.0392156862745098</x:v>
      </x:c>
      <x:c r="Q1916" s="15" t="n">
        <x:f>IF(E1916=0,"해당 없음",I1916/E1916)</x:f>
        <x:v>0.0196078431372549</x:v>
      </x:c>
      <x:c r="R1916" s="15" t="n">
        <x:f>IF(E1916=0,"해당 없음",J1916/E1916)</x:f>
        <x:v>0.0196078431372549</x:v>
      </x:c>
      <x:c r="S1916" s="15" t="n">
        <x:f>IF(E1916=0,"해당 없음",K1916/E1916)</x:f>
        <x:v>0.058823529411764705</x:v>
      </x:c>
      <x:c r="T1916" s="15" t="n">
        <x:f>IF(E1916=0,"해당 없음",L1916/E1916)</x:f>
        <x:v>0.3235294117647059</x:v>
      </x:c>
      <x:c r="U1916" s="15" t="n">
        <x:f>IF(E1916=0,"해당 없음",M1916/E1916)</x:f>
        <x:v>0.30392156862745096</x:v>
      </x:c>
      <x:c r="V1916" s="16" t="n">
        <x:f>E1916/5</x:f>
        <x:v>20.4</x:v>
      </x:c>
    </x:row>
    <x:row r="1917" ht="22" customHeight="1">
      <x:c r="A1917" s="2" t="n">
        <x:v>956</x:v>
      </x:c>
      <x:c r="B1917" s="2" t="str">
        <x:v>NAVY</x:v>
      </x:c>
      <x:c r="C1917" s="2" t="str">
        <x:v>120만</x:v>
      </x:c>
      <x:c r="D1917" s="2" t="str">
        <x:v>200만</x:v>
      </x:c>
      <x:c r="E1917" s="14" t="n">
        <x:f>SUM(F1917:M1917)</x:f>
        <x:v>101</x:v>
      </x:c>
      <x:c r="F1917" s="14" t="n">
        <x:v>1</x:v>
      </x:c>
      <x:c r="G1917" s="14" t="n">
        <x:v>14</x:v>
      </x:c>
      <x:c r="H1917" s="14" t="n">
        <x:v>4</x:v>
      </x:c>
      <x:c r="I1917" s="14" t="n">
        <x:v>9</x:v>
      </x:c>
      <x:c r="J1917" s="14" t="n">
        <x:v>6</x:v>
      </x:c>
      <x:c r="K1917" s="14" t="n">
        <x:v>14</x:v>
      </x:c>
      <x:c r="L1917" s="14" t="n">
        <x:v>42</x:v>
      </x:c>
      <x:c r="M1917" s="14" t="n">
        <x:v>11</x:v>
      </x:c>
      <x:c r="N1917" s="15" t="n">
        <x:f>IF(E1917=0,"해당 없음",F1917/E1917)</x:f>
        <x:v>0.009900990099009901</x:v>
      </x:c>
      <x:c r="O1917" s="15" t="n">
        <x:f>IF(E1917=0,"해당 없음",G1917/E1917)</x:f>
        <x:v>0.13861386138613863</x:v>
      </x:c>
      <x:c r="P1917" s="15" t="n">
        <x:f>IF(E1917=0,"해당 없음",H1917/E1917)</x:f>
        <x:v>0.039603960396039604</x:v>
      </x:c>
      <x:c r="Q1917" s="15" t="n">
        <x:f>IF(E1917=0,"해당 없음",I1917/E1917)</x:f>
        <x:v>0.0891089108910891</x:v>
      </x:c>
      <x:c r="R1917" s="15" t="n">
        <x:f>IF(E1917=0,"해당 없음",J1917/E1917)</x:f>
        <x:v>0.0594059405940594</x:v>
      </x:c>
      <x:c r="S1917" s="15" t="n">
        <x:f>IF(E1917=0,"해당 없음",K1917/E1917)</x:f>
        <x:v>0.13861386138613863</x:v>
      </x:c>
      <x:c r="T1917" s="15" t="n">
        <x:f>IF(E1917=0,"해당 없음",L1917/E1917)</x:f>
        <x:v>0.4158415841584158</x:v>
      </x:c>
      <x:c r="U1917" s="15" t="n">
        <x:f>IF(E1917=0,"해당 없음",M1917/E1917)</x:f>
        <x:v>0.10891089108910891</x:v>
      </x:c>
      <x:c r="V1917" s="16" t="n">
        <x:f>E1917/5</x:f>
        <x:v>20.2</x:v>
      </x:c>
    </x:row>
    <x:row r="1918" ht="22" customHeight="1">
      <x:c r="A1918" s="2" t="n">
        <x:v>957</x:v>
      </x:c>
      <x:c r="B1918" s="2" t="str">
        <x:v>RED</x:v>
      </x:c>
      <x:c r="C1918" s="2" t="str">
        <x:v>120만</x:v>
      </x:c>
      <x:c r="D1918" s="2" t="str">
        <x:v>200만</x:v>
      </x:c>
      <x:c r="E1918" s="14" t="n">
        <x:f>SUM(F1918:M1918)</x:f>
        <x:v>104</x:v>
      </x:c>
      <x:c r="F1918" s="14" t="n">
        <x:v>2</x:v>
      </x:c>
      <x:c r="G1918" s="14" t="n">
        <x:v>10</x:v>
      </x:c>
      <x:c r="H1918" s="14" t="n">
        <x:v>3</x:v>
      </x:c>
      <x:c r="I1918" s="14" t="n">
        <x:v>6</x:v>
      </x:c>
      <x:c r="J1918" s="14" t="n">
        <x:v>6</x:v>
      </x:c>
      <x:c r="K1918" s="14" t="n">
        <x:v>7</x:v>
      </x:c>
      <x:c r="L1918" s="14" t="n">
        <x:v>41</x:v>
      </x:c>
      <x:c r="M1918" s="14" t="n">
        <x:v>29</x:v>
      </x:c>
      <x:c r="N1918" s="15" t="n">
        <x:f>IF(E1918=0,"해당 없음",F1918/E1918)</x:f>
        <x:v>0.019230769230769232</x:v>
      </x:c>
      <x:c r="O1918" s="15" t="n">
        <x:f>IF(E1918=0,"해당 없음",G1918/E1918)</x:f>
        <x:v>0.09615384615384616</x:v>
      </x:c>
      <x:c r="P1918" s="15" t="n">
        <x:f>IF(E1918=0,"해당 없음",H1918/E1918)</x:f>
        <x:v>0.028846153846153848</x:v>
      </x:c>
      <x:c r="Q1918" s="15" t="n">
        <x:f>IF(E1918=0,"해당 없음",I1918/E1918)</x:f>
        <x:v>0.057692307692307696</x:v>
      </x:c>
      <x:c r="R1918" s="15" t="n">
        <x:f>IF(E1918=0,"해당 없음",J1918/E1918)</x:f>
        <x:v>0.057692307692307696</x:v>
      </x:c>
      <x:c r="S1918" s="15" t="n">
        <x:f>IF(E1918=0,"해당 없음",K1918/E1918)</x:f>
        <x:v>0.0673076923076923</x:v>
      </x:c>
      <x:c r="T1918" s="15" t="n">
        <x:f>IF(E1918=0,"해당 없음",L1918/E1918)</x:f>
        <x:v>0.3942307692307692</x:v>
      </x:c>
      <x:c r="U1918" s="15" t="n">
        <x:f>IF(E1918=0,"해당 없음",M1918/E1918)</x:f>
        <x:v>0.27884615384615385</x:v>
      </x:c>
      <x:c r="V1918" s="16" t="n">
        <x:f>E1918/5</x:f>
        <x:v>20.8</x:v>
      </x:c>
    </x:row>
    <x:row r="1919" ht="22" customHeight="1">
      <x:c r="A1919" s="2" t="n">
        <x:v>957</x:v>
      </x:c>
      <x:c r="B1919" s="2" t="str">
        <x:v>NAVY</x:v>
      </x:c>
      <x:c r="C1919" s="2" t="str">
        <x:v>200만</x:v>
      </x:c>
      <x:c r="D1919" s="2" t="str">
        <x:v>120만</x:v>
      </x:c>
      <x:c r="E1919" s="14" t="n">
        <x:f>SUM(F1919:M1919)</x:f>
        <x:v>103</x:v>
      </x:c>
      <x:c r="F1919" s="14" t="n">
        <x:v>4</x:v>
      </x:c>
      <x:c r="G1919" s="14" t="n">
        <x:v>14</x:v>
      </x:c>
      <x:c r="H1919" s="14" t="n">
        <x:v>5</x:v>
      </x:c>
      <x:c r="I1919" s="14" t="n">
        <x:v>5</x:v>
      </x:c>
      <x:c r="J1919" s="14" t="n">
        <x:v>4</x:v>
      </x:c>
      <x:c r="K1919" s="14" t="n">
        <x:v>3</x:v>
      </x:c>
      <x:c r="L1919" s="14" t="n">
        <x:v>35</x:v>
      </x:c>
      <x:c r="M1919" s="14" t="n">
        <x:v>33</x:v>
      </x:c>
      <x:c r="N1919" s="15" t="n">
        <x:f>IF(E1919=0,"해당 없음",F1919/E1919)</x:f>
        <x:v>0.038834951456310676</x:v>
      </x:c>
      <x:c r="O1919" s="15" t="n">
        <x:f>IF(E1919=0,"해당 없음",G1919/E1919)</x:f>
        <x:v>0.13592233009708737</x:v>
      </x:c>
      <x:c r="P1919" s="15" t="n">
        <x:f>IF(E1919=0,"해당 없음",H1919/E1919)</x:f>
        <x:v>0.04854368932038835</x:v>
      </x:c>
      <x:c r="Q1919" s="15" t="n">
        <x:f>IF(E1919=0,"해당 없음",I1919/E1919)</x:f>
        <x:v>0.04854368932038835</x:v>
      </x:c>
      <x:c r="R1919" s="15" t="n">
        <x:f>IF(E1919=0,"해당 없음",J1919/E1919)</x:f>
        <x:v>0.038834951456310676</x:v>
      </x:c>
      <x:c r="S1919" s="15" t="n">
        <x:f>IF(E1919=0,"해당 없음",K1919/E1919)</x:f>
        <x:v>0.02912621359223301</x:v>
      </x:c>
      <x:c r="T1919" s="15" t="n">
        <x:f>IF(E1919=0,"해당 없음",L1919/E1919)</x:f>
        <x:v>0.33980582524271846</x:v>
      </x:c>
      <x:c r="U1919" s="15" t="n">
        <x:f>IF(E1919=0,"해당 없음",M1919/E1919)</x:f>
        <x:v>0.32038834951456313</x:v>
      </x:c>
      <x:c r="V1919" s="16" t="n">
        <x:f>E1919/5</x:f>
        <x:v>20.6</x:v>
      </x:c>
    </x:row>
    <x:row r="1920" ht="22" customHeight="1">
      <x:c r="A1920" s="2" t="n">
        <x:v>958</x:v>
      </x:c>
      <x:c r="B1920" s="2" t="str">
        <x:v>RED</x:v>
      </x:c>
      <x:c r="C1920" s="2" t="str">
        <x:v>200만</x:v>
      </x:c>
      <x:c r="D1920" s="2" t="str">
        <x:v>120만</x:v>
      </x:c>
      <x:c r="E1920" s="14" t="n">
        <x:f>SUM(F1920:M1920)</x:f>
        <x:v>102</x:v>
      </x:c>
      <x:c r="F1920" s="14" t="n">
        <x:v>6</x:v>
      </x:c>
      <x:c r="G1920" s="14" t="n">
        <x:v>16</x:v>
      </x:c>
      <x:c r="H1920" s="14" t="n">
        <x:v>5</x:v>
      </x:c>
      <x:c r="I1920" s="14" t="n">
        <x:v>7</x:v>
      </x:c>
      <x:c r="J1920" s="14" t="n">
        <x:v>1</x:v>
      </x:c>
      <x:c r="K1920" s="14" t="n">
        <x:v>6</x:v>
      </x:c>
      <x:c r="L1920" s="14" t="n">
        <x:v>37</x:v>
      </x:c>
      <x:c r="M1920" s="14" t="n">
        <x:v>24</x:v>
      </x:c>
      <x:c r="N1920" s="15" t="n">
        <x:f>IF(E1920=0,"해당 없음",F1920/E1920)</x:f>
        <x:v>0.058823529411764705</x:v>
      </x:c>
      <x:c r="O1920" s="15" t="n">
        <x:f>IF(E1920=0,"해당 없음",G1920/E1920)</x:f>
        <x:v>0.1568627450980392</x:v>
      </x:c>
      <x:c r="P1920" s="15" t="n">
        <x:f>IF(E1920=0,"해당 없음",H1920/E1920)</x:f>
        <x:v>0.049019607843137254</x:v>
      </x:c>
      <x:c r="Q1920" s="15" t="n">
        <x:f>IF(E1920=0,"해당 없음",I1920/E1920)</x:f>
        <x:v>0.06862745098039216</x:v>
      </x:c>
      <x:c r="R1920" s="15" t="n">
        <x:f>IF(E1920=0,"해당 없음",J1920/E1920)</x:f>
        <x:v>0.00980392156862745</x:v>
      </x:c>
      <x:c r="S1920" s="15" t="n">
        <x:f>IF(E1920=0,"해당 없음",K1920/E1920)</x:f>
        <x:v>0.058823529411764705</x:v>
      </x:c>
      <x:c r="T1920" s="15" t="n">
        <x:f>IF(E1920=0,"해당 없음",L1920/E1920)</x:f>
        <x:v>0.3627450980392157</x:v>
      </x:c>
      <x:c r="U1920" s="15" t="n">
        <x:f>IF(E1920=0,"해당 없음",M1920/E1920)</x:f>
        <x:v>0.23529411764705882</x:v>
      </x:c>
      <x:c r="V1920" s="16" t="n">
        <x:f>E1920/5</x:f>
        <x:v>20.4</x:v>
      </x:c>
    </x:row>
    <x:row r="1921" ht="22" customHeight="1">
      <x:c r="A1921" s="2" t="n">
        <x:v>958</x:v>
      </x:c>
      <x:c r="B1921" s="2" t="str">
        <x:v>NAVY</x:v>
      </x:c>
      <x:c r="C1921" s="2" t="str">
        <x:v>120만</x:v>
      </x:c>
      <x:c r="D1921" s="2" t="str">
        <x:v>200만</x:v>
      </x:c>
      <x:c r="E1921" s="14" t="n">
        <x:f>SUM(F1921:M1921)</x:f>
        <x:v>103</x:v>
      </x:c>
      <x:c r="F1921" s="14" t="n">
        <x:v>0</x:v>
      </x:c>
      <x:c r="G1921" s="14" t="n">
        <x:v>17</x:v>
      </x:c>
      <x:c r="H1921" s="14" t="n">
        <x:v>5</x:v>
      </x:c>
      <x:c r="I1921" s="14" t="n">
        <x:v>6</x:v>
      </x:c>
      <x:c r="J1921" s="14" t="n">
        <x:v>4</x:v>
      </x:c>
      <x:c r="K1921" s="14" t="n">
        <x:v>7</x:v>
      </x:c>
      <x:c r="L1921" s="14" t="n">
        <x:v>36</x:v>
      </x:c>
      <x:c r="M1921" s="14" t="n">
        <x:v>28</x:v>
      </x:c>
      <x:c r="N1921" s="15" t="n">
        <x:f>IF(E1921=0,"해당 없음",F1921/E1921)</x:f>
        <x:v>0</x:v>
      </x:c>
      <x:c r="O1921" s="15" t="n">
        <x:f>IF(E1921=0,"해당 없음",G1921/E1921)</x:f>
        <x:v>0.1650485436893204</x:v>
      </x:c>
      <x:c r="P1921" s="15" t="n">
        <x:f>IF(E1921=0,"해당 없음",H1921/E1921)</x:f>
        <x:v>0.04854368932038835</x:v>
      </x:c>
      <x:c r="Q1921" s="15" t="n">
        <x:f>IF(E1921=0,"해당 없음",I1921/E1921)</x:f>
        <x:v>0.05825242718446602</x:v>
      </x:c>
      <x:c r="R1921" s="15" t="n">
        <x:f>IF(E1921=0,"해당 없음",J1921/E1921)</x:f>
        <x:v>0.038834951456310676</x:v>
      </x:c>
      <x:c r="S1921" s="15" t="n">
        <x:f>IF(E1921=0,"해당 없음",K1921/E1921)</x:f>
        <x:v>0.06796116504854369</x:v>
      </x:c>
      <x:c r="T1921" s="15" t="n">
        <x:f>IF(E1921=0,"해당 없음",L1921/E1921)</x:f>
        <x:v>0.34951456310679613</x:v>
      </x:c>
      <x:c r="U1921" s="15" t="n">
        <x:f>IF(E1921=0,"해당 없음",M1921/E1921)</x:f>
        <x:v>0.27184466019417475</x:v>
      </x:c>
      <x:c r="V1921" s="16" t="n">
        <x:f>E1921/5</x:f>
        <x:v>20.6</x:v>
      </x:c>
    </x:row>
    <x:row r="1922" ht="22" customHeight="1">
      <x:c r="A1922" s="2" t="n">
        <x:v>959</x:v>
      </x:c>
      <x:c r="B1922" s="2" t="str">
        <x:v>RED</x:v>
      </x:c>
      <x:c r="C1922" s="2" t="str">
        <x:v>120만</x:v>
      </x:c>
      <x:c r="D1922" s="2" t="str">
        <x:v>200만</x:v>
      </x:c>
      <x:c r="E1922" s="14" t="n">
        <x:f>SUM(F1922:M1922)</x:f>
        <x:v>104</x:v>
      </x:c>
      <x:c r="F1922" s="14" t="n">
        <x:v>0</x:v>
      </x:c>
      <x:c r="G1922" s="14" t="n">
        <x:v>14</x:v>
      </x:c>
      <x:c r="H1922" s="14" t="n">
        <x:v>7</x:v>
      </x:c>
      <x:c r="I1922" s="14" t="n">
        <x:v>7</x:v>
      </x:c>
      <x:c r="J1922" s="14" t="n">
        <x:v>5</x:v>
      </x:c>
      <x:c r="K1922" s="14" t="n">
        <x:v>2</x:v>
      </x:c>
      <x:c r="L1922" s="14" t="n">
        <x:v>40</x:v>
      </x:c>
      <x:c r="M1922" s="14" t="n">
        <x:v>29</x:v>
      </x:c>
      <x:c r="N1922" s="15" t="n">
        <x:f>IF(E1922=0,"해당 없음",F1922/E1922)</x:f>
        <x:v>0</x:v>
      </x:c>
      <x:c r="O1922" s="15" t="n">
        <x:f>IF(E1922=0,"해당 없음",G1922/E1922)</x:f>
        <x:v>0.1346153846153846</x:v>
      </x:c>
      <x:c r="P1922" s="15" t="n">
        <x:f>IF(E1922=0,"해당 없음",H1922/E1922)</x:f>
        <x:v>0.0673076923076923</x:v>
      </x:c>
      <x:c r="Q1922" s="15" t="n">
        <x:f>IF(E1922=0,"해당 없음",I1922/E1922)</x:f>
        <x:v>0.0673076923076923</x:v>
      </x:c>
      <x:c r="R1922" s="15" t="n">
        <x:f>IF(E1922=0,"해당 없음",J1922/E1922)</x:f>
        <x:v>0.04807692307692308</x:v>
      </x:c>
      <x:c r="S1922" s="15" t="n">
        <x:f>IF(E1922=0,"해당 없음",K1922/E1922)</x:f>
        <x:v>0.019230769230769232</x:v>
      </x:c>
      <x:c r="T1922" s="15" t="n">
        <x:f>IF(E1922=0,"해당 없음",L1922/E1922)</x:f>
        <x:v>0.38461538461538464</x:v>
      </x:c>
      <x:c r="U1922" s="15" t="n">
        <x:f>IF(E1922=0,"해당 없음",M1922/E1922)</x:f>
        <x:v>0.27884615384615385</x:v>
      </x:c>
      <x:c r="V1922" s="16" t="n">
        <x:f>E1922/5</x:f>
        <x:v>20.8</x:v>
      </x:c>
    </x:row>
    <x:row r="1923" ht="22" customHeight="1">
      <x:c r="A1923" s="2" t="n">
        <x:v>959</x:v>
      </x:c>
      <x:c r="B1923" s="2" t="str">
        <x:v>NAVY</x:v>
      </x:c>
      <x:c r="C1923" s="2" t="str">
        <x:v>200만</x:v>
      </x:c>
      <x:c r="D1923" s="2" t="str">
        <x:v>120만</x:v>
      </x:c>
      <x:c r="E1923" s="14" t="n">
        <x:f>SUM(F1923:M1923)</x:f>
        <x:v>104</x:v>
      </x:c>
      <x:c r="F1923" s="14" t="n">
        <x:v>2</x:v>
      </x:c>
      <x:c r="G1923" s="14" t="n">
        <x:v>11</x:v>
      </x:c>
      <x:c r="H1923" s="14" t="n">
        <x:v>5</x:v>
      </x:c>
      <x:c r="I1923" s="14" t="n">
        <x:v>10</x:v>
      </x:c>
      <x:c r="J1923" s="14" t="n">
        <x:v>7</x:v>
      </x:c>
      <x:c r="K1923" s="14" t="n">
        <x:v>9</x:v>
      </x:c>
      <x:c r="L1923" s="14" t="n">
        <x:v>34</x:v>
      </x:c>
      <x:c r="M1923" s="14" t="n">
        <x:v>26</x:v>
      </x:c>
      <x:c r="N1923" s="15" t="n">
        <x:f>IF(E1923=0,"해당 없음",F1923/E1923)</x:f>
        <x:v>0.019230769230769232</x:v>
      </x:c>
      <x:c r="O1923" s="15" t="n">
        <x:f>IF(E1923=0,"해당 없음",G1923/E1923)</x:f>
        <x:v>0.10576923076923077</x:v>
      </x:c>
      <x:c r="P1923" s="15" t="n">
        <x:f>IF(E1923=0,"해당 없음",H1923/E1923)</x:f>
        <x:v>0.04807692307692308</x:v>
      </x:c>
      <x:c r="Q1923" s="15" t="n">
        <x:f>IF(E1923=0,"해당 없음",I1923/E1923)</x:f>
        <x:v>0.09615384615384616</x:v>
      </x:c>
      <x:c r="R1923" s="15" t="n">
        <x:f>IF(E1923=0,"해당 없음",J1923/E1923)</x:f>
        <x:v>0.0673076923076923</x:v>
      </x:c>
      <x:c r="S1923" s="15" t="n">
        <x:f>IF(E1923=0,"해당 없음",K1923/E1923)</x:f>
        <x:v>0.08653846153846154</x:v>
      </x:c>
      <x:c r="T1923" s="15" t="n">
        <x:f>IF(E1923=0,"해당 없음",L1923/E1923)</x:f>
        <x:v>0.3269230769230769</x:v>
      </x:c>
      <x:c r="U1923" s="15" t="n">
        <x:f>IF(E1923=0,"해당 없음",M1923/E1923)</x:f>
        <x:v>0.25</x:v>
      </x:c>
      <x:c r="V1923" s="16" t="n">
        <x:f>E1923/5</x:f>
        <x:v>20.8</x:v>
      </x:c>
    </x:row>
    <x:row r="1924" ht="22" customHeight="1">
      <x:c r="A1924" s="2" t="n">
        <x:v>960</x:v>
      </x:c>
      <x:c r="B1924" s="2" t="str">
        <x:v>RED</x:v>
      </x:c>
      <x:c r="C1924" s="2" t="str">
        <x:v>200만</x:v>
      </x:c>
      <x:c r="D1924" s="2" t="str">
        <x:v>120만</x:v>
      </x:c>
      <x:c r="E1924" s="14" t="n">
        <x:f>SUM(F1924:M1924)</x:f>
        <x:v>104</x:v>
      </x:c>
      <x:c r="F1924" s="14" t="n">
        <x:v>4</x:v>
      </x:c>
      <x:c r="G1924" s="14" t="n">
        <x:v>13</x:v>
      </x:c>
      <x:c r="H1924" s="14" t="n">
        <x:v>2</x:v>
      </x:c>
      <x:c r="I1924" s="14" t="n">
        <x:v>3</x:v>
      </x:c>
      <x:c r="J1924" s="14" t="n">
        <x:v>5</x:v>
      </x:c>
      <x:c r="K1924" s="14" t="n">
        <x:v>4</x:v>
      </x:c>
      <x:c r="L1924" s="14" t="n">
        <x:v>41</x:v>
      </x:c>
      <x:c r="M1924" s="14" t="n">
        <x:v>32</x:v>
      </x:c>
      <x:c r="N1924" s="15" t="n">
        <x:f>IF(E1924=0,"해당 없음",F1924/E1924)</x:f>
        <x:v>0.038461538461538464</x:v>
      </x:c>
      <x:c r="O1924" s="15" t="n">
        <x:f>IF(E1924=0,"해당 없음",G1924/E1924)</x:f>
        <x:v>0.125</x:v>
      </x:c>
      <x:c r="P1924" s="15" t="n">
        <x:f>IF(E1924=0,"해당 없음",H1924/E1924)</x:f>
        <x:v>0.019230769230769232</x:v>
      </x:c>
      <x:c r="Q1924" s="15" t="n">
        <x:f>IF(E1924=0,"해당 없음",I1924/E1924)</x:f>
        <x:v>0.028846153846153848</x:v>
      </x:c>
      <x:c r="R1924" s="15" t="n">
        <x:f>IF(E1924=0,"해당 없음",J1924/E1924)</x:f>
        <x:v>0.04807692307692308</x:v>
      </x:c>
      <x:c r="S1924" s="15" t="n">
        <x:f>IF(E1924=0,"해당 없음",K1924/E1924)</x:f>
        <x:v>0.038461538461538464</x:v>
      </x:c>
      <x:c r="T1924" s="15" t="n">
        <x:f>IF(E1924=0,"해당 없음",L1924/E1924)</x:f>
        <x:v>0.3942307692307692</x:v>
      </x:c>
      <x:c r="U1924" s="15" t="n">
        <x:f>IF(E1924=0,"해당 없음",M1924/E1924)</x:f>
        <x:v>0.3076923076923077</x:v>
      </x:c>
      <x:c r="V1924" s="16" t="n">
        <x:f>E1924/5</x:f>
        <x:v>20.8</x:v>
      </x:c>
    </x:row>
    <x:row r="1925" ht="22" customHeight="1">
      <x:c r="A1925" s="2" t="n">
        <x:v>960</x:v>
      </x:c>
      <x:c r="B1925" s="2" t="str">
        <x:v>NAVY</x:v>
      </x:c>
      <x:c r="C1925" s="2" t="str">
        <x:v>120만</x:v>
      </x:c>
      <x:c r="D1925" s="2" t="str">
        <x:v>200만</x:v>
      </x:c>
      <x:c r="E1925" s="14" t="n">
        <x:f>SUM(F1925:M1925)</x:f>
        <x:v>104</x:v>
      </x:c>
      <x:c r="F1925" s="14" t="n">
        <x:v>1</x:v>
      </x:c>
      <x:c r="G1925" s="14" t="n">
        <x:v>13</x:v>
      </x:c>
      <x:c r="H1925" s="14" t="n">
        <x:v>2</x:v>
      </x:c>
      <x:c r="I1925" s="14" t="n">
        <x:v>11</x:v>
      </x:c>
      <x:c r="J1925" s="14" t="n">
        <x:v>7</x:v>
      </x:c>
      <x:c r="K1925" s="14" t="n">
        <x:v>4</x:v>
      </x:c>
      <x:c r="L1925" s="14" t="n">
        <x:v>41</x:v>
      </x:c>
      <x:c r="M1925" s="14" t="n">
        <x:v>25</x:v>
      </x:c>
      <x:c r="N1925" s="15" t="n">
        <x:f>IF(E1925=0,"해당 없음",F1925/E1925)</x:f>
        <x:v>0.009615384615384616</x:v>
      </x:c>
      <x:c r="O1925" s="15" t="n">
        <x:f>IF(E1925=0,"해당 없음",G1925/E1925)</x:f>
        <x:v>0.125</x:v>
      </x:c>
      <x:c r="P1925" s="15" t="n">
        <x:f>IF(E1925=0,"해당 없음",H1925/E1925)</x:f>
        <x:v>0.019230769230769232</x:v>
      </x:c>
      <x:c r="Q1925" s="15" t="n">
        <x:f>IF(E1925=0,"해당 없음",I1925/E1925)</x:f>
        <x:v>0.10576923076923077</x:v>
      </x:c>
      <x:c r="R1925" s="15" t="n">
        <x:f>IF(E1925=0,"해당 없음",J1925/E1925)</x:f>
        <x:v>0.0673076923076923</x:v>
      </x:c>
      <x:c r="S1925" s="15" t="n">
        <x:f>IF(E1925=0,"해당 없음",K1925/E1925)</x:f>
        <x:v>0.038461538461538464</x:v>
      </x:c>
      <x:c r="T1925" s="15" t="n">
        <x:f>IF(E1925=0,"해당 없음",L1925/E1925)</x:f>
        <x:v>0.3942307692307692</x:v>
      </x:c>
      <x:c r="U1925" s="15" t="n">
        <x:f>IF(E1925=0,"해당 없음",M1925/E1925)</x:f>
        <x:v>0.2403846153846154</x:v>
      </x:c>
      <x:c r="V1925" s="16" t="n">
        <x:f>E1925/5</x:f>
        <x:v>20.8</x:v>
      </x:c>
    </x:row>
    <x:row r="1926" ht="22" customHeight="1">
      <x:c r="A1926" s="2" t="n">
        <x:v>961</x:v>
      </x:c>
      <x:c r="B1926" s="2" t="str">
        <x:v>RED</x:v>
      </x:c>
      <x:c r="C1926" s="2" t="str">
        <x:v>120만</x:v>
      </x:c>
      <x:c r="D1926" s="2" t="str">
        <x:v>240만</x:v>
      </x:c>
      <x:c r="E1926" s="14" t="n">
        <x:f>SUM(F1926:M1926)</x:f>
        <x:v>103</x:v>
      </x:c>
      <x:c r="F1926" s="14" t="n">
        <x:v>2</x:v>
      </x:c>
      <x:c r="G1926" s="14" t="n">
        <x:v>5</x:v>
      </x:c>
      <x:c r="H1926" s="14" t="n">
        <x:v>3</x:v>
      </x:c>
      <x:c r="I1926" s="14" t="n">
        <x:v>11</x:v>
      </x:c>
      <x:c r="J1926" s="14" t="n">
        <x:v>1</x:v>
      </x:c>
      <x:c r="K1926" s="14" t="n">
        <x:v>19</x:v>
      </x:c>
      <x:c r="L1926" s="14" t="n">
        <x:v>37</x:v>
      </x:c>
      <x:c r="M1926" s="14" t="n">
        <x:v>25</x:v>
      </x:c>
      <x:c r="N1926" s="15" t="n">
        <x:f>IF(E1926=0,"해당 없음",F1926/E1926)</x:f>
        <x:v>0.019417475728155338</x:v>
      </x:c>
      <x:c r="O1926" s="15" t="n">
        <x:f>IF(E1926=0,"해당 없음",G1926/E1926)</x:f>
        <x:v>0.04854368932038835</x:v>
      </x:c>
      <x:c r="P1926" s="15" t="n">
        <x:f>IF(E1926=0,"해당 없음",H1926/E1926)</x:f>
        <x:v>0.02912621359223301</x:v>
      </x:c>
      <x:c r="Q1926" s="15" t="n">
        <x:f>IF(E1926=0,"해당 없음",I1926/E1926)</x:f>
        <x:v>0.10679611650485436</x:v>
      </x:c>
      <x:c r="R1926" s="15" t="n">
        <x:f>IF(E1926=0,"해당 없음",J1926/E1926)</x:f>
        <x:v>0.009708737864077669</x:v>
      </x:c>
      <x:c r="S1926" s="15" t="n">
        <x:f>IF(E1926=0,"해당 없음",K1926/E1926)</x:f>
        <x:v>0.18446601941747573</x:v>
      </x:c>
      <x:c r="T1926" s="15" t="n">
        <x:f>IF(E1926=0,"해당 없음",L1926/E1926)</x:f>
        <x:v>0.3592233009708738</x:v>
      </x:c>
      <x:c r="U1926" s="15" t="n">
        <x:f>IF(E1926=0,"해당 없음",M1926/E1926)</x:f>
        <x:v>0.24271844660194175</x:v>
      </x:c>
      <x:c r="V1926" s="16" t="n">
        <x:f>E1926/5</x:f>
        <x:v>20.6</x:v>
      </x:c>
    </x:row>
    <x:row r="1927" ht="22" customHeight="1">
      <x:c r="A1927" s="2" t="n">
        <x:v>961</x:v>
      </x:c>
      <x:c r="B1927" s="2" t="str">
        <x:v>NAVY</x:v>
      </x:c>
      <x:c r="C1927" s="2" t="str">
        <x:v>240만</x:v>
      </x:c>
      <x:c r="D1927" s="2" t="str">
        <x:v>120만</x:v>
      </x:c>
      <x:c r="E1927" s="14" t="n">
        <x:f>SUM(F1927:M1927)</x:f>
        <x:v>101</x:v>
      </x:c>
      <x:c r="F1927" s="14" t="n">
        <x:v>1</x:v>
      </x:c>
      <x:c r="G1927" s="14" t="n">
        <x:v>9</x:v>
      </x:c>
      <x:c r="H1927" s="14" t="n">
        <x:v>2</x:v>
      </x:c>
      <x:c r="I1927" s="14" t="n">
        <x:v>5</x:v>
      </x:c>
      <x:c r="J1927" s="14" t="n">
        <x:v>1</x:v>
      </x:c>
      <x:c r="K1927" s="14" t="n">
        <x:v>7</x:v>
      </x:c>
      <x:c r="L1927" s="14" t="n">
        <x:v>32</x:v>
      </x:c>
      <x:c r="M1927" s="14" t="n">
        <x:v>44</x:v>
      </x:c>
      <x:c r="N1927" s="15" t="n">
        <x:f>IF(E1927=0,"해당 없음",F1927/E1927)</x:f>
        <x:v>0.009900990099009901</x:v>
      </x:c>
      <x:c r="O1927" s="15" t="n">
        <x:f>IF(E1927=0,"해당 없음",G1927/E1927)</x:f>
        <x:v>0.0891089108910891</x:v>
      </x:c>
      <x:c r="P1927" s="15" t="n">
        <x:f>IF(E1927=0,"해당 없음",H1927/E1927)</x:f>
        <x:v>0.019801980198019802</x:v>
      </x:c>
      <x:c r="Q1927" s="15" t="n">
        <x:f>IF(E1927=0,"해당 없음",I1927/E1927)</x:f>
        <x:v>0.04950495049504951</x:v>
      </x:c>
      <x:c r="R1927" s="15" t="n">
        <x:f>IF(E1927=0,"해당 없음",J1927/E1927)</x:f>
        <x:v>0.009900990099009901</x:v>
      </x:c>
      <x:c r="S1927" s="15" t="n">
        <x:f>IF(E1927=0,"해당 없음",K1927/E1927)</x:f>
        <x:v>0.06930693069306931</x:v>
      </x:c>
      <x:c r="T1927" s="15" t="n">
        <x:f>IF(E1927=0,"해당 없음",L1927/E1927)</x:f>
        <x:v>0.31683168316831684</x:v>
      </x:c>
      <x:c r="U1927" s="15" t="n">
        <x:f>IF(E1927=0,"해당 없음",M1927/E1927)</x:f>
        <x:v>0.43564356435643564</x:v>
      </x:c>
      <x:c r="V1927" s="16" t="n">
        <x:f>E1927/5</x:f>
        <x:v>20.2</x:v>
      </x:c>
    </x:row>
    <x:row r="1928" ht="22" customHeight="1">
      <x:c r="A1928" s="2" t="n">
        <x:v>962</x:v>
      </x:c>
      <x:c r="B1928" s="2" t="str">
        <x:v>RED</x:v>
      </x:c>
      <x:c r="C1928" s="2" t="str">
        <x:v>240만</x:v>
      </x:c>
      <x:c r="D1928" s="2" t="str">
        <x:v>120만</x:v>
      </x:c>
      <x:c r="E1928" s="14" t="n">
        <x:f>SUM(F1928:M1928)</x:f>
        <x:v>103</x:v>
      </x:c>
      <x:c r="F1928" s="14" t="n">
        <x:v>0</x:v>
      </x:c>
      <x:c r="G1928" s="14" t="n">
        <x:v>11</x:v>
      </x:c>
      <x:c r="H1928" s="14" t="n">
        <x:v>2</x:v>
      </x:c>
      <x:c r="I1928" s="14" t="n">
        <x:v>1</x:v>
      </x:c>
      <x:c r="J1928" s="14" t="n">
        <x:v>0</x:v>
      </x:c>
      <x:c r="K1928" s="14" t="n">
        <x:v>4</x:v>
      </x:c>
      <x:c r="L1928" s="14" t="n">
        <x:v>29</x:v>
      </x:c>
      <x:c r="M1928" s="14" t="n">
        <x:v>56</x:v>
      </x:c>
      <x:c r="N1928" s="15" t="n">
        <x:f>IF(E1928=0,"해당 없음",F1928/E1928)</x:f>
        <x:v>0</x:v>
      </x:c>
      <x:c r="O1928" s="15" t="n">
        <x:f>IF(E1928=0,"해당 없음",G1928/E1928)</x:f>
        <x:v>0.10679611650485436</x:v>
      </x:c>
      <x:c r="P1928" s="15" t="n">
        <x:f>IF(E1928=0,"해당 없음",H1928/E1928)</x:f>
        <x:v>0.019417475728155338</x:v>
      </x:c>
      <x:c r="Q1928" s="15" t="n">
        <x:f>IF(E1928=0,"해당 없음",I1928/E1928)</x:f>
        <x:v>0.009708737864077669</x:v>
      </x:c>
      <x:c r="R1928" s="15" t="n">
        <x:f>IF(E1928=0,"해당 없음",J1928/E1928)</x:f>
        <x:v>0</x:v>
      </x:c>
      <x:c r="S1928" s="15" t="n">
        <x:f>IF(E1928=0,"해당 없음",K1928/E1928)</x:f>
        <x:v>0.038834951456310676</x:v>
      </x:c>
      <x:c r="T1928" s="15" t="n">
        <x:f>IF(E1928=0,"해당 없음",L1928/E1928)</x:f>
        <x:v>0.2815533980582524</x:v>
      </x:c>
      <x:c r="U1928" s="15" t="n">
        <x:f>IF(E1928=0,"해당 없음",M1928/E1928)</x:f>
        <x:v>0.5436893203883495</x:v>
      </x:c>
      <x:c r="V1928" s="16" t="n">
        <x:f>E1928/5</x:f>
        <x:v>20.6</x:v>
      </x:c>
    </x:row>
    <x:row r="1929" ht="22" customHeight="1">
      <x:c r="A1929" s="2" t="n">
        <x:v>962</x:v>
      </x:c>
      <x:c r="B1929" s="2" t="str">
        <x:v>NAVY</x:v>
      </x:c>
      <x:c r="C1929" s="2" t="str">
        <x:v>120만</x:v>
      </x:c>
      <x:c r="D1929" s="2" t="str">
        <x:v>240만</x:v>
      </x:c>
      <x:c r="E1929" s="14" t="n">
        <x:f>SUM(F1929:M1929)</x:f>
        <x:v>103</x:v>
      </x:c>
      <x:c r="F1929" s="14" t="n">
        <x:v>2</x:v>
      </x:c>
      <x:c r="G1929" s="14" t="n">
        <x:v>5</x:v>
      </x:c>
      <x:c r="H1929" s="14" t="n">
        <x:v>3</x:v>
      </x:c>
      <x:c r="I1929" s="14" t="n">
        <x:v>7</x:v>
      </x:c>
      <x:c r="J1929" s="14" t="n">
        <x:v>6</x:v>
      </x:c>
      <x:c r="K1929" s="14" t="n">
        <x:v>25</x:v>
      </x:c>
      <x:c r="L1929" s="14" t="n">
        <x:v>32</x:v>
      </x:c>
      <x:c r="M1929" s="14" t="n">
        <x:v>23</x:v>
      </x:c>
      <x:c r="N1929" s="15" t="n">
        <x:f>IF(E1929=0,"해당 없음",F1929/E1929)</x:f>
        <x:v>0.019417475728155338</x:v>
      </x:c>
      <x:c r="O1929" s="15" t="n">
        <x:f>IF(E1929=0,"해당 없음",G1929/E1929)</x:f>
        <x:v>0.04854368932038835</x:v>
      </x:c>
      <x:c r="P1929" s="15" t="n">
        <x:f>IF(E1929=0,"해당 없음",H1929/E1929)</x:f>
        <x:v>0.02912621359223301</x:v>
      </x:c>
      <x:c r="Q1929" s="15" t="n">
        <x:f>IF(E1929=0,"해당 없음",I1929/E1929)</x:f>
        <x:v>0.06796116504854369</x:v>
      </x:c>
      <x:c r="R1929" s="15" t="n">
        <x:f>IF(E1929=0,"해당 없음",J1929/E1929)</x:f>
        <x:v>0.05825242718446602</x:v>
      </x:c>
      <x:c r="S1929" s="15" t="n">
        <x:f>IF(E1929=0,"해당 없음",K1929/E1929)</x:f>
        <x:v>0.24271844660194175</x:v>
      </x:c>
      <x:c r="T1929" s="15" t="n">
        <x:f>IF(E1929=0,"해당 없음",L1929/E1929)</x:f>
        <x:v>0.3106796116504854</x:v>
      </x:c>
      <x:c r="U1929" s="15" t="n">
        <x:f>IF(E1929=0,"해당 없음",M1929/E1929)</x:f>
        <x:v>0.22330097087378642</x:v>
      </x:c>
      <x:c r="V1929" s="16" t="n">
        <x:f>E1929/5</x:f>
        <x:v>20.6</x:v>
      </x:c>
    </x:row>
    <x:row r="1930" ht="22" customHeight="1">
      <x:c r="A1930" s="2" t="n">
        <x:v>963</x:v>
      </x:c>
      <x:c r="B1930" s="2" t="str">
        <x:v>RED</x:v>
      </x:c>
      <x:c r="C1930" s="2" t="str">
        <x:v>120만</x:v>
      </x:c>
      <x:c r="D1930" s="2" t="str">
        <x:v>240만</x:v>
      </x:c>
      <x:c r="E1930" s="14" t="n">
        <x:f>SUM(F1930:M1930)</x:f>
        <x:v>108</x:v>
      </x:c>
      <x:c r="F1930" s="14" t="n">
        <x:v>0</x:v>
      </x:c>
      <x:c r="G1930" s="14" t="n">
        <x:v>15</x:v>
      </x:c>
      <x:c r="H1930" s="14" t="n">
        <x:v>4</x:v>
      </x:c>
      <x:c r="I1930" s="14" t="n">
        <x:v>10</x:v>
      </x:c>
      <x:c r="J1930" s="14" t="n">
        <x:v>6</x:v>
      </x:c>
      <x:c r="K1930" s="14" t="n">
        <x:v>6</x:v>
      </x:c>
      <x:c r="L1930" s="14" t="n">
        <x:v>42</x:v>
      </x:c>
      <x:c r="M1930" s="14" t="n">
        <x:v>25</x:v>
      </x:c>
      <x:c r="N1930" s="15" t="n">
        <x:f>IF(E1930=0,"해당 없음",F1930/E1930)</x:f>
        <x:v>0</x:v>
      </x:c>
      <x:c r="O1930" s="15" t="n">
        <x:f>IF(E1930=0,"해당 없음",G1930/E1930)</x:f>
        <x:v>0.1388888888888889</x:v>
      </x:c>
      <x:c r="P1930" s="15" t="n">
        <x:f>IF(E1930=0,"해당 없음",H1930/E1930)</x:f>
        <x:v>0.037037037037037035</x:v>
      </x:c>
      <x:c r="Q1930" s="15" t="n">
        <x:f>IF(E1930=0,"해당 없음",I1930/E1930)</x:f>
        <x:v>0.09259259259259259</x:v>
      </x:c>
      <x:c r="R1930" s="15" t="n">
        <x:f>IF(E1930=0,"해당 없음",J1930/E1930)</x:f>
        <x:v>0.05555555555555555</x:v>
      </x:c>
      <x:c r="S1930" s="15" t="n">
        <x:f>IF(E1930=0,"해당 없음",K1930/E1930)</x:f>
        <x:v>0.05555555555555555</x:v>
      </x:c>
      <x:c r="T1930" s="15" t="n">
        <x:f>IF(E1930=0,"해당 없음",L1930/E1930)</x:f>
        <x:v>0.3888888888888889</x:v>
      </x:c>
      <x:c r="U1930" s="15" t="n">
        <x:f>IF(E1930=0,"해당 없음",M1930/E1930)</x:f>
        <x:v>0.23148148148148148</x:v>
      </x:c>
      <x:c r="V1930" s="16" t="n">
        <x:f>E1930/5</x:f>
        <x:v>21.6</x:v>
      </x:c>
    </x:row>
    <x:row r="1931" ht="22" customHeight="1">
      <x:c r="A1931" s="2" t="n">
        <x:v>963</x:v>
      </x:c>
      <x:c r="B1931" s="2" t="str">
        <x:v>NAVY</x:v>
      </x:c>
      <x:c r="C1931" s="2" t="str">
        <x:v>240만</x:v>
      </x:c>
      <x:c r="D1931" s="2" t="str">
        <x:v>120만</x:v>
      </x:c>
      <x:c r="E1931" s="14" t="n">
        <x:f>SUM(F1931:M1931)</x:f>
        <x:v>106</x:v>
      </x:c>
      <x:c r="F1931" s="14" t="n">
        <x:v>1</x:v>
      </x:c>
      <x:c r="G1931" s="14" t="n">
        <x:v>7</x:v>
      </x:c>
      <x:c r="H1931" s="14" t="n">
        <x:v>4</x:v>
      </x:c>
      <x:c r="I1931" s="14" t="n">
        <x:v>6</x:v>
      </x:c>
      <x:c r="J1931" s="14" t="n">
        <x:v>1</x:v>
      </x:c>
      <x:c r="K1931" s="14" t="n">
        <x:v>2</x:v>
      </x:c>
      <x:c r="L1931" s="14" t="n">
        <x:v>41</x:v>
      </x:c>
      <x:c r="M1931" s="14" t="n">
        <x:v>44</x:v>
      </x:c>
      <x:c r="N1931" s="15" t="n">
        <x:f>IF(E1931=0,"해당 없음",F1931/E1931)</x:f>
        <x:v>0.009433962264150943</x:v>
      </x:c>
      <x:c r="O1931" s="15" t="n">
        <x:f>IF(E1931=0,"해당 없음",G1931/E1931)</x:f>
        <x:v>0.0660377358490566</x:v>
      </x:c>
      <x:c r="P1931" s="15" t="n">
        <x:f>IF(E1931=0,"해당 없음",H1931/E1931)</x:f>
        <x:v>0.03773584905660377</x:v>
      </x:c>
      <x:c r="Q1931" s="15" t="n">
        <x:f>IF(E1931=0,"해당 없음",I1931/E1931)</x:f>
        <x:v>0.05660377358490566</x:v>
      </x:c>
      <x:c r="R1931" s="15" t="n">
        <x:f>IF(E1931=0,"해당 없음",J1931/E1931)</x:f>
        <x:v>0.009433962264150943</x:v>
      </x:c>
      <x:c r="S1931" s="15" t="n">
        <x:f>IF(E1931=0,"해당 없음",K1931/E1931)</x:f>
        <x:v>0.018867924528301886</x:v>
      </x:c>
      <x:c r="T1931" s="15" t="n">
        <x:f>IF(E1931=0,"해당 없음",L1931/E1931)</x:f>
        <x:v>0.3867924528301887</x:v>
      </x:c>
      <x:c r="U1931" s="15" t="n">
        <x:f>IF(E1931=0,"해당 없음",M1931/E1931)</x:f>
        <x:v>0.41509433962264153</x:v>
      </x:c>
      <x:c r="V1931" s="16" t="n">
        <x:f>E1931/5</x:f>
        <x:v>21.2</x:v>
      </x:c>
    </x:row>
    <x:row r="1932" ht="22" customHeight="1">
      <x:c r="A1932" s="2" t="n">
        <x:v>964</x:v>
      </x:c>
      <x:c r="B1932" s="2" t="str">
        <x:v>RED</x:v>
      </x:c>
      <x:c r="C1932" s="2" t="str">
        <x:v>240만</x:v>
      </x:c>
      <x:c r="D1932" s="2" t="str">
        <x:v>120만</x:v>
      </x:c>
      <x:c r="E1932" s="14" t="n">
        <x:f>SUM(F1932:M1932)</x:f>
        <x:v>102</x:v>
      </x:c>
      <x:c r="F1932" s="14" t="n">
        <x:v>3</x:v>
      </x:c>
      <x:c r="G1932" s="14" t="n">
        <x:v>19</x:v>
      </x:c>
      <x:c r="H1932" s="14" t="n">
        <x:v>1</x:v>
      </x:c>
      <x:c r="I1932" s="14" t="n">
        <x:v>6</x:v>
      </x:c>
      <x:c r="J1932" s="14" t="n">
        <x:v>1</x:v>
      </x:c>
      <x:c r="K1932" s="14" t="n">
        <x:v>2</x:v>
      </x:c>
      <x:c r="L1932" s="14" t="n">
        <x:v>34</x:v>
      </x:c>
      <x:c r="M1932" s="14" t="n">
        <x:v>36</x:v>
      </x:c>
      <x:c r="N1932" s="15" t="n">
        <x:f>IF(E1932=0,"해당 없음",F1932/E1932)</x:f>
        <x:v>0.029411764705882353</x:v>
      </x:c>
      <x:c r="O1932" s="15" t="n">
        <x:f>IF(E1932=0,"해당 없음",G1932/E1932)</x:f>
        <x:v>0.18627450980392157</x:v>
      </x:c>
      <x:c r="P1932" s="15" t="n">
        <x:f>IF(E1932=0,"해당 없음",H1932/E1932)</x:f>
        <x:v>0.00980392156862745</x:v>
      </x:c>
      <x:c r="Q1932" s="15" t="n">
        <x:f>IF(E1932=0,"해당 없음",I1932/E1932)</x:f>
        <x:v>0.058823529411764705</x:v>
      </x:c>
      <x:c r="R1932" s="15" t="n">
        <x:f>IF(E1932=0,"해당 없음",J1932/E1932)</x:f>
        <x:v>0.00980392156862745</x:v>
      </x:c>
      <x:c r="S1932" s="15" t="n">
        <x:f>IF(E1932=0,"해당 없음",K1932/E1932)</x:f>
        <x:v>0.0196078431372549</x:v>
      </x:c>
      <x:c r="T1932" s="15" t="n">
        <x:f>IF(E1932=0,"해당 없음",L1932/E1932)</x:f>
        <x:v>0.3333333333333333</x:v>
      </x:c>
      <x:c r="U1932" s="15" t="n">
        <x:f>IF(E1932=0,"해당 없음",M1932/E1932)</x:f>
        <x:v>0.35294117647058826</x:v>
      </x:c>
      <x:c r="V1932" s="16" t="n">
        <x:f>E1932/5</x:f>
        <x:v>20.4</x:v>
      </x:c>
    </x:row>
    <x:row r="1933" ht="22" customHeight="1">
      <x:c r="A1933" s="2" t="n">
        <x:v>964</x:v>
      </x:c>
      <x:c r="B1933" s="2" t="str">
        <x:v>NAVY</x:v>
      </x:c>
      <x:c r="C1933" s="2" t="str">
        <x:v>120만</x:v>
      </x:c>
      <x:c r="D1933" s="2" t="str">
        <x:v>240만</x:v>
      </x:c>
      <x:c r="E1933" s="14" t="n">
        <x:f>SUM(F1933:M1933)</x:f>
        <x:v>102</x:v>
      </x:c>
      <x:c r="F1933" s="14" t="n">
        <x:v>3</x:v>
      </x:c>
      <x:c r="G1933" s="14" t="n">
        <x:v>8</x:v>
      </x:c>
      <x:c r="H1933" s="14" t="n">
        <x:v>4</x:v>
      </x:c>
      <x:c r="I1933" s="14" t="n">
        <x:v>11</x:v>
      </x:c>
      <x:c r="J1933" s="14" t="n">
        <x:v>2</x:v>
      </x:c>
      <x:c r="K1933" s="14" t="n">
        <x:v>12</x:v>
      </x:c>
      <x:c r="L1933" s="14" t="n">
        <x:v>38</x:v>
      </x:c>
      <x:c r="M1933" s="14" t="n">
        <x:v>24</x:v>
      </x:c>
      <x:c r="N1933" s="15" t="n">
        <x:f>IF(E1933=0,"해당 없음",F1933/E1933)</x:f>
        <x:v>0.029411764705882353</x:v>
      </x:c>
      <x:c r="O1933" s="15" t="n">
        <x:f>IF(E1933=0,"해당 없음",G1933/E1933)</x:f>
        <x:v>0.0784313725490196</x:v>
      </x:c>
      <x:c r="P1933" s="15" t="n">
        <x:f>IF(E1933=0,"해당 없음",H1933/E1933)</x:f>
        <x:v>0.0392156862745098</x:v>
      </x:c>
      <x:c r="Q1933" s="15" t="n">
        <x:f>IF(E1933=0,"해당 없음",I1933/E1933)</x:f>
        <x:v>0.10784313725490197</x:v>
      </x:c>
      <x:c r="R1933" s="15" t="n">
        <x:f>IF(E1933=0,"해당 없음",J1933/E1933)</x:f>
        <x:v>0.0196078431372549</x:v>
      </x:c>
      <x:c r="S1933" s="15" t="n">
        <x:f>IF(E1933=0,"해당 없음",K1933/E1933)</x:f>
        <x:v>0.11764705882352941</x:v>
      </x:c>
      <x:c r="T1933" s="15" t="n">
        <x:f>IF(E1933=0,"해당 없음",L1933/E1933)</x:f>
        <x:v>0.37254901960784315</x:v>
      </x:c>
      <x:c r="U1933" s="15" t="n">
        <x:f>IF(E1933=0,"해당 없음",M1933/E1933)</x:f>
        <x:v>0.23529411764705882</x:v>
      </x:c>
      <x:c r="V1933" s="16" t="n">
        <x:f>E1933/5</x:f>
        <x:v>20.4</x:v>
      </x:c>
    </x:row>
    <x:row r="1934" ht="22" customHeight="1">
      <x:c r="A1934" s="2" t="n">
        <x:v>965</x:v>
      </x:c>
      <x:c r="B1934" s="2" t="str">
        <x:v>RED</x:v>
      </x:c>
      <x:c r="C1934" s="2" t="str">
        <x:v>120만</x:v>
      </x:c>
      <x:c r="D1934" s="2" t="str">
        <x:v>240만</x:v>
      </x:c>
      <x:c r="E1934" s="14" t="n">
        <x:f>SUM(F1934:M1934)</x:f>
        <x:v>104</x:v>
      </x:c>
      <x:c r="F1934" s="14" t="n">
        <x:v>1</x:v>
      </x:c>
      <x:c r="G1934" s="14" t="n">
        <x:v>12</x:v>
      </x:c>
      <x:c r="H1934" s="14" t="n">
        <x:v>10</x:v>
      </x:c>
      <x:c r="I1934" s="14" t="n">
        <x:v>13</x:v>
      </x:c>
      <x:c r="J1934" s="14" t="n">
        <x:v>5</x:v>
      </x:c>
      <x:c r="K1934" s="14" t="n">
        <x:v>10</x:v>
      </x:c>
      <x:c r="L1934" s="14" t="n">
        <x:v>38</x:v>
      </x:c>
      <x:c r="M1934" s="14" t="n">
        <x:v>15</x:v>
      </x:c>
      <x:c r="N1934" s="15" t="n">
        <x:f>IF(E1934=0,"해당 없음",F1934/E1934)</x:f>
        <x:v>0.009615384615384616</x:v>
      </x:c>
      <x:c r="O1934" s="15" t="n">
        <x:f>IF(E1934=0,"해당 없음",G1934/E1934)</x:f>
        <x:v>0.11538461538461539</x:v>
      </x:c>
      <x:c r="P1934" s="15" t="n">
        <x:f>IF(E1934=0,"해당 없음",H1934/E1934)</x:f>
        <x:v>0.09615384615384616</x:v>
      </x:c>
      <x:c r="Q1934" s="15" t="n">
        <x:f>IF(E1934=0,"해당 없음",I1934/E1934)</x:f>
        <x:v>0.125</x:v>
      </x:c>
      <x:c r="R1934" s="15" t="n">
        <x:f>IF(E1934=0,"해당 없음",J1934/E1934)</x:f>
        <x:v>0.04807692307692308</x:v>
      </x:c>
      <x:c r="S1934" s="15" t="n">
        <x:f>IF(E1934=0,"해당 없음",K1934/E1934)</x:f>
        <x:v>0.09615384615384616</x:v>
      </x:c>
      <x:c r="T1934" s="15" t="n">
        <x:f>IF(E1934=0,"해당 없음",L1934/E1934)</x:f>
        <x:v>0.36538461538461536</x:v>
      </x:c>
      <x:c r="U1934" s="15" t="n">
        <x:f>IF(E1934=0,"해당 없음",M1934/E1934)</x:f>
        <x:v>0.14423076923076922</x:v>
      </x:c>
      <x:c r="V1934" s="16" t="n">
        <x:f>E1934/5</x:f>
        <x:v>20.8</x:v>
      </x:c>
    </x:row>
    <x:row r="1935" ht="22" customHeight="1">
      <x:c r="A1935" s="2" t="n">
        <x:v>965</x:v>
      </x:c>
      <x:c r="B1935" s="2" t="str">
        <x:v>NAVY</x:v>
      </x:c>
      <x:c r="C1935" s="2" t="str">
        <x:v>240만</x:v>
      </x:c>
      <x:c r="D1935" s="2" t="str">
        <x:v>120만</x:v>
      </x:c>
      <x:c r="E1935" s="14" t="n">
        <x:f>SUM(F1935:M1935)</x:f>
        <x:v>106</x:v>
      </x:c>
      <x:c r="F1935" s="14" t="n">
        <x:v>2</x:v>
      </x:c>
      <x:c r="G1935" s="14" t="n">
        <x:v>15</x:v>
      </x:c>
      <x:c r="H1935" s="14" t="n">
        <x:v>4</x:v>
      </x:c>
      <x:c r="I1935" s="14" t="n">
        <x:v>5</x:v>
      </x:c>
      <x:c r="J1935" s="14" t="n">
        <x:v>0</x:v>
      </x:c>
      <x:c r="K1935" s="14" t="n">
        <x:v>6</x:v>
      </x:c>
      <x:c r="L1935" s="14" t="n">
        <x:v>40</x:v>
      </x:c>
      <x:c r="M1935" s="14" t="n">
        <x:v>34</x:v>
      </x:c>
      <x:c r="N1935" s="15" t="n">
        <x:f>IF(E1935=0,"해당 없음",F1935/E1935)</x:f>
        <x:v>0.018867924528301886</x:v>
      </x:c>
      <x:c r="O1935" s="15" t="n">
        <x:f>IF(E1935=0,"해당 없음",G1935/E1935)</x:f>
        <x:v>0.14150943396226415</x:v>
      </x:c>
      <x:c r="P1935" s="15" t="n">
        <x:f>IF(E1935=0,"해당 없음",H1935/E1935)</x:f>
        <x:v>0.03773584905660377</x:v>
      </x:c>
      <x:c r="Q1935" s="15" t="n">
        <x:f>IF(E1935=0,"해당 없음",I1935/E1935)</x:f>
        <x:v>0.04716981132075472</x:v>
      </x:c>
      <x:c r="R1935" s="15" t="n">
        <x:f>IF(E1935=0,"해당 없음",J1935/E1935)</x:f>
        <x:v>0</x:v>
      </x:c>
      <x:c r="S1935" s="15" t="n">
        <x:f>IF(E1935=0,"해당 없음",K1935/E1935)</x:f>
        <x:v>0.05660377358490566</x:v>
      </x:c>
      <x:c r="T1935" s="15" t="n">
        <x:f>IF(E1935=0,"해당 없음",L1935/E1935)</x:f>
        <x:v>0.37735849056603776</x:v>
      </x:c>
      <x:c r="U1935" s="15" t="n">
        <x:f>IF(E1935=0,"해당 없음",M1935/E1935)</x:f>
        <x:v>0.32075471698113206</x:v>
      </x:c>
      <x:c r="V1935" s="16" t="n">
        <x:f>E1935/5</x:f>
        <x:v>21.2</x:v>
      </x:c>
    </x:row>
    <x:row r="1936" ht="22" customHeight="1">
      <x:c r="A1936" s="2" t="n">
        <x:v>966</x:v>
      </x:c>
      <x:c r="B1936" s="2" t="str">
        <x:v>RED</x:v>
      </x:c>
      <x:c r="C1936" s="2" t="str">
        <x:v>240만</x:v>
      </x:c>
      <x:c r="D1936" s="2" t="str">
        <x:v>120만</x:v>
      </x:c>
      <x:c r="E1936" s="14" t="n">
        <x:f>SUM(F1936:M1936)</x:f>
        <x:v>104</x:v>
      </x:c>
      <x:c r="F1936" s="14" t="n">
        <x:v>1</x:v>
      </x:c>
      <x:c r="G1936" s="14" t="n">
        <x:v>14</x:v>
      </x:c>
      <x:c r="H1936" s="14" t="n">
        <x:v>4</x:v>
      </x:c>
      <x:c r="I1936" s="14" t="n">
        <x:v>9</x:v>
      </x:c>
      <x:c r="J1936" s="14" t="n">
        <x:v>1</x:v>
      </x:c>
      <x:c r="K1936" s="14" t="n">
        <x:v>4</x:v>
      </x:c>
      <x:c r="L1936" s="14" t="n">
        <x:v>43</x:v>
      </x:c>
      <x:c r="M1936" s="14" t="n">
        <x:v>28</x:v>
      </x:c>
      <x:c r="N1936" s="15" t="n">
        <x:f>IF(E1936=0,"해당 없음",F1936/E1936)</x:f>
        <x:v>0.009615384615384616</x:v>
      </x:c>
      <x:c r="O1936" s="15" t="n">
        <x:f>IF(E1936=0,"해당 없음",G1936/E1936)</x:f>
        <x:v>0.1346153846153846</x:v>
      </x:c>
      <x:c r="P1936" s="15" t="n">
        <x:f>IF(E1936=0,"해당 없음",H1936/E1936)</x:f>
        <x:v>0.038461538461538464</x:v>
      </x:c>
      <x:c r="Q1936" s="15" t="n">
        <x:f>IF(E1936=0,"해당 없음",I1936/E1936)</x:f>
        <x:v>0.08653846153846154</x:v>
      </x:c>
      <x:c r="R1936" s="15" t="n">
        <x:f>IF(E1936=0,"해당 없음",J1936/E1936)</x:f>
        <x:v>0.009615384615384616</x:v>
      </x:c>
      <x:c r="S1936" s="15" t="n">
        <x:f>IF(E1936=0,"해당 없음",K1936/E1936)</x:f>
        <x:v>0.038461538461538464</x:v>
      </x:c>
      <x:c r="T1936" s="15" t="n">
        <x:f>IF(E1936=0,"해당 없음",L1936/E1936)</x:f>
        <x:v>0.41346153846153844</x:v>
      </x:c>
      <x:c r="U1936" s="15" t="n">
        <x:f>IF(E1936=0,"해당 없음",M1936/E1936)</x:f>
        <x:v>0.2692307692307692</x:v>
      </x:c>
      <x:c r="V1936" s="16" t="n">
        <x:f>E1936/5</x:f>
        <x:v>20.8</x:v>
      </x:c>
    </x:row>
    <x:row r="1937" ht="22" customHeight="1">
      <x:c r="A1937" s="2" t="n">
        <x:v>966</x:v>
      </x:c>
      <x:c r="B1937" s="2" t="str">
        <x:v>NAVY</x:v>
      </x:c>
      <x:c r="C1937" s="2" t="str">
        <x:v>120만</x:v>
      </x:c>
      <x:c r="D1937" s="2" t="str">
        <x:v>240만</x:v>
      </x:c>
      <x:c r="E1937" s="14" t="n">
        <x:f>SUM(F1937:M1937)</x:f>
        <x:v>104</x:v>
      </x:c>
      <x:c r="F1937" s="14" t="n">
        <x:v>1</x:v>
      </x:c>
      <x:c r="G1937" s="14" t="n">
        <x:v>16</x:v>
      </x:c>
      <x:c r="H1937" s="14" t="n">
        <x:v>6</x:v>
      </x:c>
      <x:c r="I1937" s="14" t="n">
        <x:v>12</x:v>
      </x:c>
      <x:c r="J1937" s="14" t="n">
        <x:v>4</x:v>
      </x:c>
      <x:c r="K1937" s="14" t="n">
        <x:v>5</x:v>
      </x:c>
      <x:c r="L1937" s="14" t="n">
        <x:v>38</x:v>
      </x:c>
      <x:c r="M1937" s="14" t="n">
        <x:v>22</x:v>
      </x:c>
      <x:c r="N1937" s="15" t="n">
        <x:f>IF(E1937=0,"해당 없음",F1937/E1937)</x:f>
        <x:v>0.009615384615384616</x:v>
      </x:c>
      <x:c r="O1937" s="15" t="n">
        <x:f>IF(E1937=0,"해당 없음",G1937/E1937)</x:f>
        <x:v>0.15384615384615385</x:v>
      </x:c>
      <x:c r="P1937" s="15" t="n">
        <x:f>IF(E1937=0,"해당 없음",H1937/E1937)</x:f>
        <x:v>0.057692307692307696</x:v>
      </x:c>
      <x:c r="Q1937" s="15" t="n">
        <x:f>IF(E1937=0,"해당 없음",I1937/E1937)</x:f>
        <x:v>0.11538461538461539</x:v>
      </x:c>
      <x:c r="R1937" s="15" t="n">
        <x:f>IF(E1937=0,"해당 없음",J1937/E1937)</x:f>
        <x:v>0.038461538461538464</x:v>
      </x:c>
      <x:c r="S1937" s="15" t="n">
        <x:f>IF(E1937=0,"해당 없음",K1937/E1937)</x:f>
        <x:v>0.04807692307692308</x:v>
      </x:c>
      <x:c r="T1937" s="15" t="n">
        <x:f>IF(E1937=0,"해당 없음",L1937/E1937)</x:f>
        <x:v>0.36538461538461536</x:v>
      </x:c>
      <x:c r="U1937" s="15" t="n">
        <x:f>IF(E1937=0,"해당 없음",M1937/E1937)</x:f>
        <x:v>0.21153846153846154</x:v>
      </x:c>
      <x:c r="V1937" s="16" t="n">
        <x:f>E1937/5</x:f>
        <x:v>20.8</x:v>
      </x:c>
    </x:row>
    <x:row r="1938" ht="22" customHeight="1">
      <x:c r="A1938" s="2" t="n">
        <x:v>967</x:v>
      </x:c>
      <x:c r="B1938" s="2" t="str">
        <x:v>RED</x:v>
      </x:c>
      <x:c r="C1938" s="2" t="str">
        <x:v>120만</x:v>
      </x:c>
      <x:c r="D1938" s="2" t="str">
        <x:v>240만</x:v>
      </x:c>
      <x:c r="E1938" s="14" t="n">
        <x:f>SUM(F1938:M1938)</x:f>
        <x:v>104</x:v>
      </x:c>
      <x:c r="F1938" s="14" t="n">
        <x:v>2</x:v>
      </x:c>
      <x:c r="G1938" s="14" t="n">
        <x:v>6</x:v>
      </x:c>
      <x:c r="H1938" s="14" t="n">
        <x:v>5</x:v>
      </x:c>
      <x:c r="I1938" s="14" t="n">
        <x:v>10</x:v>
      </x:c>
      <x:c r="J1938" s="14" t="n">
        <x:v>6</x:v>
      </x:c>
      <x:c r="K1938" s="14" t="n">
        <x:v>10</x:v>
      </x:c>
      <x:c r="L1938" s="14" t="n">
        <x:v>36</x:v>
      </x:c>
      <x:c r="M1938" s="14" t="n">
        <x:v>29</x:v>
      </x:c>
      <x:c r="N1938" s="15" t="n">
        <x:f>IF(E1938=0,"해당 없음",F1938/E1938)</x:f>
        <x:v>0.019230769230769232</x:v>
      </x:c>
      <x:c r="O1938" s="15" t="n">
        <x:f>IF(E1938=0,"해당 없음",G1938/E1938)</x:f>
        <x:v>0.057692307692307696</x:v>
      </x:c>
      <x:c r="P1938" s="15" t="n">
        <x:f>IF(E1938=0,"해당 없음",H1938/E1938)</x:f>
        <x:v>0.04807692307692308</x:v>
      </x:c>
      <x:c r="Q1938" s="15" t="n">
        <x:f>IF(E1938=0,"해당 없음",I1938/E1938)</x:f>
        <x:v>0.09615384615384616</x:v>
      </x:c>
      <x:c r="R1938" s="15" t="n">
        <x:f>IF(E1938=0,"해당 없음",J1938/E1938)</x:f>
        <x:v>0.057692307692307696</x:v>
      </x:c>
      <x:c r="S1938" s="15" t="n">
        <x:f>IF(E1938=0,"해당 없음",K1938/E1938)</x:f>
        <x:v>0.09615384615384616</x:v>
      </x:c>
      <x:c r="T1938" s="15" t="n">
        <x:f>IF(E1938=0,"해당 없음",L1938/E1938)</x:f>
        <x:v>0.34615384615384615</x:v>
      </x:c>
      <x:c r="U1938" s="15" t="n">
        <x:f>IF(E1938=0,"해당 없음",M1938/E1938)</x:f>
        <x:v>0.27884615384615385</x:v>
      </x:c>
      <x:c r="V1938" s="16" t="n">
        <x:f>E1938/5</x:f>
        <x:v>20.8</x:v>
      </x:c>
    </x:row>
    <x:row r="1939" ht="22" customHeight="1">
      <x:c r="A1939" s="2" t="n">
        <x:v>967</x:v>
      </x:c>
      <x:c r="B1939" s="2" t="str">
        <x:v>NAVY</x:v>
      </x:c>
      <x:c r="C1939" s="2" t="str">
        <x:v>240만</x:v>
      </x:c>
      <x:c r="D1939" s="2" t="str">
        <x:v>120만</x:v>
      </x:c>
      <x:c r="E1939" s="14" t="n">
        <x:f>SUM(F1939:M1939)</x:f>
        <x:v>103</x:v>
      </x:c>
      <x:c r="F1939" s="14" t="n">
        <x:v>1</x:v>
      </x:c>
      <x:c r="G1939" s="14" t="n">
        <x:v>24</x:v>
      </x:c>
      <x:c r="H1939" s="14" t="n">
        <x:v>4</x:v>
      </x:c>
      <x:c r="I1939" s="14" t="n">
        <x:v>1</x:v>
      </x:c>
      <x:c r="J1939" s="14" t="n">
        <x:v>1</x:v>
      </x:c>
      <x:c r="K1939" s="14" t="n">
        <x:v>2</x:v>
      </x:c>
      <x:c r="L1939" s="14" t="n">
        <x:v>38</x:v>
      </x:c>
      <x:c r="M1939" s="14" t="n">
        <x:v>32</x:v>
      </x:c>
      <x:c r="N1939" s="15" t="n">
        <x:f>IF(E1939=0,"해당 없음",F1939/E1939)</x:f>
        <x:v>0.009708737864077669</x:v>
      </x:c>
      <x:c r="O1939" s="15" t="n">
        <x:f>IF(E1939=0,"해당 없음",G1939/E1939)</x:f>
        <x:v>0.23300970873786409</x:v>
      </x:c>
      <x:c r="P1939" s="15" t="n">
        <x:f>IF(E1939=0,"해당 없음",H1939/E1939)</x:f>
        <x:v>0.038834951456310676</x:v>
      </x:c>
      <x:c r="Q1939" s="15" t="n">
        <x:f>IF(E1939=0,"해당 없음",I1939/E1939)</x:f>
        <x:v>0.009708737864077669</x:v>
      </x:c>
      <x:c r="R1939" s="15" t="n">
        <x:f>IF(E1939=0,"해당 없음",J1939/E1939)</x:f>
        <x:v>0.009708737864077669</x:v>
      </x:c>
      <x:c r="S1939" s="15" t="n">
        <x:f>IF(E1939=0,"해당 없음",K1939/E1939)</x:f>
        <x:v>0.019417475728155338</x:v>
      </x:c>
      <x:c r="T1939" s="15" t="n">
        <x:f>IF(E1939=0,"해당 없음",L1939/E1939)</x:f>
        <x:v>0.36893203883495146</x:v>
      </x:c>
      <x:c r="U1939" s="15" t="n">
        <x:f>IF(E1939=0,"해당 없음",M1939/E1939)</x:f>
        <x:v>0.3106796116504854</x:v>
      </x:c>
      <x:c r="V1939" s="16" t="n">
        <x:f>E1939/5</x:f>
        <x:v>20.6</x:v>
      </x:c>
    </x:row>
    <x:row r="1940" ht="22" customHeight="1">
      <x:c r="A1940" s="2" t="n">
        <x:v>968</x:v>
      </x:c>
      <x:c r="B1940" s="2" t="str">
        <x:v>RED</x:v>
      </x:c>
      <x:c r="C1940" s="2" t="str">
        <x:v>240만</x:v>
      </x:c>
      <x:c r="D1940" s="2" t="str">
        <x:v>120만</x:v>
      </x:c>
      <x:c r="E1940" s="14" t="n">
        <x:f>SUM(F1940:M1940)</x:f>
        <x:v>102</x:v>
      </x:c>
      <x:c r="F1940" s="14" t="n">
        <x:v>2</x:v>
      </x:c>
      <x:c r="G1940" s="14" t="n">
        <x:v>9</x:v>
      </x:c>
      <x:c r="H1940" s="14" t="n">
        <x:v>3</x:v>
      </x:c>
      <x:c r="I1940" s="14" t="n">
        <x:v>5</x:v>
      </x:c>
      <x:c r="J1940" s="14" t="n">
        <x:v>1</x:v>
      </x:c>
      <x:c r="K1940" s="14" t="n">
        <x:v>2</x:v>
      </x:c>
      <x:c r="L1940" s="14" t="n">
        <x:v>39</x:v>
      </x:c>
      <x:c r="M1940" s="14" t="n">
        <x:v>41</x:v>
      </x:c>
      <x:c r="N1940" s="15" t="n">
        <x:f>IF(E1940=0,"해당 없음",F1940/E1940)</x:f>
        <x:v>0.0196078431372549</x:v>
      </x:c>
      <x:c r="O1940" s="15" t="n">
        <x:f>IF(E1940=0,"해당 없음",G1940/E1940)</x:f>
        <x:v>0.08823529411764706</x:v>
      </x:c>
      <x:c r="P1940" s="15" t="n">
        <x:f>IF(E1940=0,"해당 없음",H1940/E1940)</x:f>
        <x:v>0.029411764705882353</x:v>
      </x:c>
      <x:c r="Q1940" s="15" t="n">
        <x:f>IF(E1940=0,"해당 없음",I1940/E1940)</x:f>
        <x:v>0.049019607843137254</x:v>
      </x:c>
      <x:c r="R1940" s="15" t="n">
        <x:f>IF(E1940=0,"해당 없음",J1940/E1940)</x:f>
        <x:v>0.00980392156862745</x:v>
      </x:c>
      <x:c r="S1940" s="15" t="n">
        <x:f>IF(E1940=0,"해당 없음",K1940/E1940)</x:f>
        <x:v>0.0196078431372549</x:v>
      </x:c>
      <x:c r="T1940" s="15" t="n">
        <x:f>IF(E1940=0,"해당 없음",L1940/E1940)</x:f>
        <x:v>0.38235294117647056</x:v>
      </x:c>
      <x:c r="U1940" s="15" t="n">
        <x:f>IF(E1940=0,"해당 없음",M1940/E1940)</x:f>
        <x:v>0.4019607843137255</x:v>
      </x:c>
      <x:c r="V1940" s="16" t="n">
        <x:f>E1940/5</x:f>
        <x:v>20.4</x:v>
      </x:c>
    </x:row>
    <x:row r="1941" ht="22" customHeight="1">
      <x:c r="A1941" s="2" t="n">
        <x:v>968</x:v>
      </x:c>
      <x:c r="B1941" s="2" t="str">
        <x:v>NAVY</x:v>
      </x:c>
      <x:c r="C1941" s="2" t="str">
        <x:v>120만</x:v>
      </x:c>
      <x:c r="D1941" s="2" t="str">
        <x:v>240만</x:v>
      </x:c>
      <x:c r="E1941" s="14" t="n">
        <x:f>SUM(F1941:M1941)</x:f>
        <x:v>103</x:v>
      </x:c>
      <x:c r="F1941" s="14" t="n">
        <x:v>0</x:v>
      </x:c>
      <x:c r="G1941" s="14" t="n">
        <x:v>13</x:v>
      </x:c>
      <x:c r="H1941" s="14" t="n">
        <x:v>2</x:v>
      </x:c>
      <x:c r="I1941" s="14" t="n">
        <x:v>8</x:v>
      </x:c>
      <x:c r="J1941" s="14" t="n">
        <x:v>7</x:v>
      </x:c>
      <x:c r="K1941" s="14" t="n">
        <x:v>8</x:v>
      </x:c>
      <x:c r="L1941" s="14" t="n">
        <x:v>42</x:v>
      </x:c>
      <x:c r="M1941" s="14" t="n">
        <x:v>23</x:v>
      </x:c>
      <x:c r="N1941" s="15" t="n">
        <x:f>IF(E1941=0,"해당 없음",F1941/E1941)</x:f>
        <x:v>0</x:v>
      </x:c>
      <x:c r="O1941" s="15" t="n">
        <x:f>IF(E1941=0,"해당 없음",G1941/E1941)</x:f>
        <x:v>0.1262135922330097</x:v>
      </x:c>
      <x:c r="P1941" s="15" t="n">
        <x:f>IF(E1941=0,"해당 없음",H1941/E1941)</x:f>
        <x:v>0.019417475728155338</x:v>
      </x:c>
      <x:c r="Q1941" s="15" t="n">
        <x:f>IF(E1941=0,"해당 없음",I1941/E1941)</x:f>
        <x:v>0.07766990291262135</x:v>
      </x:c>
      <x:c r="R1941" s="15" t="n">
        <x:f>IF(E1941=0,"해당 없음",J1941/E1941)</x:f>
        <x:v>0.06796116504854369</x:v>
      </x:c>
      <x:c r="S1941" s="15" t="n">
        <x:f>IF(E1941=0,"해당 없음",K1941/E1941)</x:f>
        <x:v>0.07766990291262135</x:v>
      </x:c>
      <x:c r="T1941" s="15" t="n">
        <x:f>IF(E1941=0,"해당 없음",L1941/E1941)</x:f>
        <x:v>0.4077669902912621</x:v>
      </x:c>
      <x:c r="U1941" s="15" t="n">
        <x:f>IF(E1941=0,"해당 없음",M1941/E1941)</x:f>
        <x:v>0.22330097087378642</x:v>
      </x:c>
      <x:c r="V1941" s="16" t="n">
        <x:f>E1941/5</x:f>
        <x:v>20.6</x:v>
      </x:c>
    </x:row>
    <x:row r="1942" ht="22" customHeight="1">
      <x:c r="A1942" s="2" t="n">
        <x:v>969</x:v>
      </x:c>
      <x:c r="B1942" s="2" t="str">
        <x:v>RED</x:v>
      </x:c>
      <x:c r="C1942" s="2" t="str">
        <x:v>120만</x:v>
      </x:c>
      <x:c r="D1942" s="2" t="str">
        <x:v>240만</x:v>
      </x:c>
      <x:c r="E1942" s="14" t="n">
        <x:f>SUM(F1942:M1942)</x:f>
        <x:v>102</x:v>
      </x:c>
      <x:c r="F1942" s="14" t="n">
        <x:v>1</x:v>
      </x:c>
      <x:c r="G1942" s="14" t="n">
        <x:v>11</x:v>
      </x:c>
      <x:c r="H1942" s="14" t="n">
        <x:v>5</x:v>
      </x:c>
      <x:c r="I1942" s="14" t="n">
        <x:v>11</x:v>
      </x:c>
      <x:c r="J1942" s="14" t="n">
        <x:v>2</x:v>
      </x:c>
      <x:c r="K1942" s="14" t="n">
        <x:v>11</x:v>
      </x:c>
      <x:c r="L1942" s="14" t="n">
        <x:v>37</x:v>
      </x:c>
      <x:c r="M1942" s="14" t="n">
        <x:v>24</x:v>
      </x:c>
      <x:c r="N1942" s="15" t="n">
        <x:f>IF(E1942=0,"해당 없음",F1942/E1942)</x:f>
        <x:v>0.00980392156862745</x:v>
      </x:c>
      <x:c r="O1942" s="15" t="n">
        <x:f>IF(E1942=0,"해당 없음",G1942/E1942)</x:f>
        <x:v>0.10784313725490197</x:v>
      </x:c>
      <x:c r="P1942" s="15" t="n">
        <x:f>IF(E1942=0,"해당 없음",H1942/E1942)</x:f>
        <x:v>0.049019607843137254</x:v>
      </x:c>
      <x:c r="Q1942" s="15" t="n">
        <x:f>IF(E1942=0,"해당 없음",I1942/E1942)</x:f>
        <x:v>0.10784313725490197</x:v>
      </x:c>
      <x:c r="R1942" s="15" t="n">
        <x:f>IF(E1942=0,"해당 없음",J1942/E1942)</x:f>
        <x:v>0.0196078431372549</x:v>
      </x:c>
      <x:c r="S1942" s="15" t="n">
        <x:f>IF(E1942=0,"해당 없음",K1942/E1942)</x:f>
        <x:v>0.10784313725490197</x:v>
      </x:c>
      <x:c r="T1942" s="15" t="n">
        <x:f>IF(E1942=0,"해당 없음",L1942/E1942)</x:f>
        <x:v>0.3627450980392157</x:v>
      </x:c>
      <x:c r="U1942" s="15" t="n">
        <x:f>IF(E1942=0,"해당 없음",M1942/E1942)</x:f>
        <x:v>0.23529411764705882</x:v>
      </x:c>
      <x:c r="V1942" s="16" t="n">
        <x:f>E1942/5</x:f>
        <x:v>20.4</x:v>
      </x:c>
    </x:row>
    <x:row r="1943" ht="22" customHeight="1">
      <x:c r="A1943" s="2" t="n">
        <x:v>969</x:v>
      </x:c>
      <x:c r="B1943" s="2" t="str">
        <x:v>NAVY</x:v>
      </x:c>
      <x:c r="C1943" s="2" t="str">
        <x:v>240만</x:v>
      </x:c>
      <x:c r="D1943" s="2" t="str">
        <x:v>120만</x:v>
      </x:c>
      <x:c r="E1943" s="14" t="n">
        <x:f>SUM(F1943:M1943)</x:f>
        <x:v>102</x:v>
      </x:c>
      <x:c r="F1943" s="14" t="n">
        <x:v>3</x:v>
      </x:c>
      <x:c r="G1943" s="14" t="n">
        <x:v>11</x:v>
      </x:c>
      <x:c r="H1943" s="14" t="n">
        <x:v>1</x:v>
      </x:c>
      <x:c r="I1943" s="14" t="n">
        <x:v>3</x:v>
      </x:c>
      <x:c r="J1943" s="14" t="n">
        <x:v>2</x:v>
      </x:c>
      <x:c r="K1943" s="14" t="n">
        <x:v>1</x:v>
      </x:c>
      <x:c r="L1943" s="14" t="n">
        <x:v>36</x:v>
      </x:c>
      <x:c r="M1943" s="14" t="n">
        <x:v>45</x:v>
      </x:c>
      <x:c r="N1943" s="15" t="n">
        <x:f>IF(E1943=0,"해당 없음",F1943/E1943)</x:f>
        <x:v>0.029411764705882353</x:v>
      </x:c>
      <x:c r="O1943" s="15" t="n">
        <x:f>IF(E1943=0,"해당 없음",G1943/E1943)</x:f>
        <x:v>0.10784313725490197</x:v>
      </x:c>
      <x:c r="P1943" s="15" t="n">
        <x:f>IF(E1943=0,"해당 없음",H1943/E1943)</x:f>
        <x:v>0.00980392156862745</x:v>
      </x:c>
      <x:c r="Q1943" s="15" t="n">
        <x:f>IF(E1943=0,"해당 없음",I1943/E1943)</x:f>
        <x:v>0.029411764705882353</x:v>
      </x:c>
      <x:c r="R1943" s="15" t="n">
        <x:f>IF(E1943=0,"해당 없음",J1943/E1943)</x:f>
        <x:v>0.0196078431372549</x:v>
      </x:c>
      <x:c r="S1943" s="15" t="n">
        <x:f>IF(E1943=0,"해당 없음",K1943/E1943)</x:f>
        <x:v>0.00980392156862745</x:v>
      </x:c>
      <x:c r="T1943" s="15" t="n">
        <x:f>IF(E1943=0,"해당 없음",L1943/E1943)</x:f>
        <x:v>0.35294117647058826</x:v>
      </x:c>
      <x:c r="U1943" s="15" t="n">
        <x:f>IF(E1943=0,"해당 없음",M1943/E1943)</x:f>
        <x:v>0.4411764705882353</x:v>
      </x:c>
      <x:c r="V1943" s="16" t="n">
        <x:f>E1943/5</x:f>
        <x:v>20.4</x:v>
      </x:c>
    </x:row>
    <x:row r="1944" ht="22" customHeight="1">
      <x:c r="A1944" s="2" t="n">
        <x:v>970</x:v>
      </x:c>
      <x:c r="B1944" s="2" t="str">
        <x:v>RED</x:v>
      </x:c>
      <x:c r="C1944" s="2" t="str">
        <x:v>240만</x:v>
      </x:c>
      <x:c r="D1944" s="2" t="str">
        <x:v>120만</x:v>
      </x:c>
      <x:c r="E1944" s="14" t="n">
        <x:f>SUM(F1944:M1944)</x:f>
        <x:v>100</x:v>
      </x:c>
      <x:c r="F1944" s="14" t="n">
        <x:v>2</x:v>
      </x:c>
      <x:c r="G1944" s="14" t="n">
        <x:v>4</x:v>
      </x:c>
      <x:c r="H1944" s="14" t="n">
        <x:v>3</x:v>
      </x:c>
      <x:c r="I1944" s="14" t="n">
        <x:v>4</x:v>
      </x:c>
      <x:c r="J1944" s="14" t="n">
        <x:v>1</x:v>
      </x:c>
      <x:c r="K1944" s="14" t="n">
        <x:v>2</x:v>
      </x:c>
      <x:c r="L1944" s="14" t="n">
        <x:v>34</x:v>
      </x:c>
      <x:c r="M1944" s="14" t="n">
        <x:v>50</x:v>
      </x:c>
      <x:c r="N1944" s="15" t="n">
        <x:f>IF(E1944=0,"해당 없음",F1944/E1944)</x:f>
        <x:v>0.02</x:v>
      </x:c>
      <x:c r="O1944" s="15" t="n">
        <x:f>IF(E1944=0,"해당 없음",G1944/E1944)</x:f>
        <x:v>0.04</x:v>
      </x:c>
      <x:c r="P1944" s="15" t="n">
        <x:f>IF(E1944=0,"해당 없음",H1944/E1944)</x:f>
        <x:v>0.03</x:v>
      </x:c>
      <x:c r="Q1944" s="15" t="n">
        <x:f>IF(E1944=0,"해당 없음",I1944/E1944)</x:f>
        <x:v>0.04</x:v>
      </x:c>
      <x:c r="R1944" s="15" t="n">
        <x:f>IF(E1944=0,"해당 없음",J1944/E1944)</x:f>
        <x:v>0.01</x:v>
      </x:c>
      <x:c r="S1944" s="15" t="n">
        <x:f>IF(E1944=0,"해당 없음",K1944/E1944)</x:f>
        <x:v>0.02</x:v>
      </x:c>
      <x:c r="T1944" s="15" t="n">
        <x:f>IF(E1944=0,"해당 없음",L1944/E1944)</x:f>
        <x:v>0.34</x:v>
      </x:c>
      <x:c r="U1944" s="15" t="n">
        <x:f>IF(E1944=0,"해당 없음",M1944/E1944)</x:f>
        <x:v>0.5</x:v>
      </x:c>
      <x:c r="V1944" s="16" t="n">
        <x:f>E1944/5</x:f>
        <x:v>20</x:v>
      </x:c>
    </x:row>
    <x:row r="1945" ht="22" customHeight="1">
      <x:c r="A1945" s="2" t="n">
        <x:v>970</x:v>
      </x:c>
      <x:c r="B1945" s="2" t="str">
        <x:v>NAVY</x:v>
      </x:c>
      <x:c r="C1945" s="2" t="str">
        <x:v>120만</x:v>
      </x:c>
      <x:c r="D1945" s="2" t="str">
        <x:v>240만</x:v>
      </x:c>
      <x:c r="E1945" s="14" t="n">
        <x:f>SUM(F1945:M1945)</x:f>
        <x:v>101</x:v>
      </x:c>
      <x:c r="F1945" s="14" t="n">
        <x:v>4</x:v>
      </x:c>
      <x:c r="G1945" s="14" t="n">
        <x:v>11</x:v>
      </x:c>
      <x:c r="H1945" s="14" t="n">
        <x:v>4</x:v>
      </x:c>
      <x:c r="I1945" s="14" t="n">
        <x:v>7</x:v>
      </x:c>
      <x:c r="J1945" s="14" t="n">
        <x:v>2</x:v>
      </x:c>
      <x:c r="K1945" s="14" t="n">
        <x:v>15</x:v>
      </x:c>
      <x:c r="L1945" s="14" t="n">
        <x:v>33</x:v>
      </x:c>
      <x:c r="M1945" s="14" t="n">
        <x:v>25</x:v>
      </x:c>
      <x:c r="N1945" s="15" t="n">
        <x:f>IF(E1945=0,"해당 없음",F1945/E1945)</x:f>
        <x:v>0.039603960396039604</x:v>
      </x:c>
      <x:c r="O1945" s="15" t="n">
        <x:f>IF(E1945=0,"해당 없음",G1945/E1945)</x:f>
        <x:v>0.10891089108910891</x:v>
      </x:c>
      <x:c r="P1945" s="15" t="n">
        <x:f>IF(E1945=0,"해당 없음",H1945/E1945)</x:f>
        <x:v>0.039603960396039604</x:v>
      </x:c>
      <x:c r="Q1945" s="15" t="n">
        <x:f>IF(E1945=0,"해당 없음",I1945/E1945)</x:f>
        <x:v>0.06930693069306931</x:v>
      </x:c>
      <x:c r="R1945" s="15" t="n">
        <x:f>IF(E1945=0,"해당 없음",J1945/E1945)</x:f>
        <x:v>0.019801980198019802</x:v>
      </x:c>
      <x:c r="S1945" s="15" t="n">
        <x:f>IF(E1945=0,"해당 없음",K1945/E1945)</x:f>
        <x:v>0.1485148514851485</x:v>
      </x:c>
      <x:c r="T1945" s="15" t="n">
        <x:f>IF(E1945=0,"해당 없음",L1945/E1945)</x:f>
        <x:v>0.32673267326732675</x:v>
      </x:c>
      <x:c r="U1945" s="15" t="n">
        <x:f>IF(E1945=0,"해당 없음",M1945/E1945)</x:f>
        <x:v>0.24752475247524752</x:v>
      </x:c>
      <x:c r="V1945" s="16" t="n">
        <x:f>E1945/5</x:f>
        <x:v>20.2</x:v>
      </x:c>
    </x:row>
    <x:row r="1946" ht="22" customHeight="1">
      <x:c r="A1946" s="2" t="n">
        <x:v>971</x:v>
      </x:c>
      <x:c r="B1946" s="2" t="str">
        <x:v>RED</x:v>
      </x:c>
      <x:c r="C1946" s="2" t="str">
        <x:v>120만</x:v>
      </x:c>
      <x:c r="D1946" s="2" t="str">
        <x:v>240만</x:v>
      </x:c>
      <x:c r="E1946" s="14" t="n">
        <x:f>SUM(F1946:M1946)</x:f>
        <x:v>103</x:v>
      </x:c>
      <x:c r="F1946" s="14" t="n">
        <x:v>4</x:v>
      </x:c>
      <x:c r="G1946" s="14" t="n">
        <x:v>12</x:v>
      </x:c>
      <x:c r="H1946" s="14" t="n">
        <x:v>7</x:v>
      </x:c>
      <x:c r="I1946" s="14" t="n">
        <x:v>6</x:v>
      </x:c>
      <x:c r="J1946" s="14" t="n">
        <x:v>5</x:v>
      </x:c>
      <x:c r="K1946" s="14" t="n">
        <x:v>7</x:v>
      </x:c>
      <x:c r="L1946" s="14" t="n">
        <x:v>37</x:v>
      </x:c>
      <x:c r="M1946" s="14" t="n">
        <x:v>25</x:v>
      </x:c>
      <x:c r="N1946" s="15" t="n">
        <x:f>IF(E1946=0,"해당 없음",F1946/E1946)</x:f>
        <x:v>0.038834951456310676</x:v>
      </x:c>
      <x:c r="O1946" s="15" t="n">
        <x:f>IF(E1946=0,"해당 없음",G1946/E1946)</x:f>
        <x:v>0.11650485436893204</x:v>
      </x:c>
      <x:c r="P1946" s="15" t="n">
        <x:f>IF(E1946=0,"해당 없음",H1946/E1946)</x:f>
        <x:v>0.06796116504854369</x:v>
      </x:c>
      <x:c r="Q1946" s="15" t="n">
        <x:f>IF(E1946=0,"해당 없음",I1946/E1946)</x:f>
        <x:v>0.05825242718446602</x:v>
      </x:c>
      <x:c r="R1946" s="15" t="n">
        <x:f>IF(E1946=0,"해당 없음",J1946/E1946)</x:f>
        <x:v>0.04854368932038835</x:v>
      </x:c>
      <x:c r="S1946" s="15" t="n">
        <x:f>IF(E1946=0,"해당 없음",K1946/E1946)</x:f>
        <x:v>0.06796116504854369</x:v>
      </x:c>
      <x:c r="T1946" s="15" t="n">
        <x:f>IF(E1946=0,"해당 없음",L1946/E1946)</x:f>
        <x:v>0.3592233009708738</x:v>
      </x:c>
      <x:c r="U1946" s="15" t="n">
        <x:f>IF(E1946=0,"해당 없음",M1946/E1946)</x:f>
        <x:v>0.24271844660194175</x:v>
      </x:c>
      <x:c r="V1946" s="16" t="n">
        <x:f>E1946/5</x:f>
        <x:v>20.6</x:v>
      </x:c>
    </x:row>
    <x:row r="1947" ht="22" customHeight="1">
      <x:c r="A1947" s="2" t="n">
        <x:v>971</x:v>
      </x:c>
      <x:c r="B1947" s="2" t="str">
        <x:v>NAVY</x:v>
      </x:c>
      <x:c r="C1947" s="2" t="str">
        <x:v>240만</x:v>
      </x:c>
      <x:c r="D1947" s="2" t="str">
        <x:v>120만</x:v>
      </x:c>
      <x:c r="E1947" s="14" t="n">
        <x:f>SUM(F1947:M1947)</x:f>
        <x:v>104</x:v>
      </x:c>
      <x:c r="F1947" s="14" t="n">
        <x:v>3</x:v>
      </x:c>
      <x:c r="G1947" s="14" t="n">
        <x:v>19</x:v>
      </x:c>
      <x:c r="H1947" s="14" t="n">
        <x:v>3</x:v>
      </x:c>
      <x:c r="I1947" s="14" t="n">
        <x:v>1</x:v>
      </x:c>
      <x:c r="J1947" s="14" t="n">
        <x:v>2</x:v>
      </x:c>
      <x:c r="K1947" s="14" t="n">
        <x:v>6</x:v>
      </x:c>
      <x:c r="L1947" s="14" t="n">
        <x:v>41</x:v>
      </x:c>
      <x:c r="M1947" s="14" t="n">
        <x:v>29</x:v>
      </x:c>
      <x:c r="N1947" s="15" t="n">
        <x:f>IF(E1947=0,"해당 없음",F1947/E1947)</x:f>
        <x:v>0.028846153846153848</x:v>
      </x:c>
      <x:c r="O1947" s="15" t="n">
        <x:f>IF(E1947=0,"해당 없음",G1947/E1947)</x:f>
        <x:v>0.18269230769230768</x:v>
      </x:c>
      <x:c r="P1947" s="15" t="n">
        <x:f>IF(E1947=0,"해당 없음",H1947/E1947)</x:f>
        <x:v>0.028846153846153848</x:v>
      </x:c>
      <x:c r="Q1947" s="15" t="n">
        <x:f>IF(E1947=0,"해당 없음",I1947/E1947)</x:f>
        <x:v>0.009615384615384616</x:v>
      </x:c>
      <x:c r="R1947" s="15" t="n">
        <x:f>IF(E1947=0,"해당 없음",J1947/E1947)</x:f>
        <x:v>0.019230769230769232</x:v>
      </x:c>
      <x:c r="S1947" s="15" t="n">
        <x:f>IF(E1947=0,"해당 없음",K1947/E1947)</x:f>
        <x:v>0.057692307692307696</x:v>
      </x:c>
      <x:c r="T1947" s="15" t="n">
        <x:f>IF(E1947=0,"해당 없음",L1947/E1947)</x:f>
        <x:v>0.3942307692307692</x:v>
      </x:c>
      <x:c r="U1947" s="15" t="n">
        <x:f>IF(E1947=0,"해당 없음",M1947/E1947)</x:f>
        <x:v>0.27884615384615385</x:v>
      </x:c>
      <x:c r="V1947" s="16" t="n">
        <x:f>E1947/5</x:f>
        <x:v>20.8</x:v>
      </x:c>
    </x:row>
    <x:row r="1948" ht="22" customHeight="1">
      <x:c r="A1948" s="2" t="n">
        <x:v>972</x:v>
      </x:c>
      <x:c r="B1948" s="2" t="str">
        <x:v>RED</x:v>
      </x:c>
      <x:c r="C1948" s="2" t="str">
        <x:v>240만</x:v>
      </x:c>
      <x:c r="D1948" s="2" t="str">
        <x:v>120만</x:v>
      </x:c>
      <x:c r="E1948" s="14" t="n">
        <x:f>SUM(F1948:M1948)</x:f>
        <x:v>104</x:v>
      </x:c>
      <x:c r="F1948" s="14" t="n">
        <x:v>2</x:v>
      </x:c>
      <x:c r="G1948" s="14" t="n">
        <x:v>13</x:v>
      </x:c>
      <x:c r="H1948" s="14" t="n">
        <x:v>3</x:v>
      </x:c>
      <x:c r="I1948" s="14" t="n">
        <x:v>5</x:v>
      </x:c>
      <x:c r="J1948" s="14" t="n">
        <x:v>0</x:v>
      </x:c>
      <x:c r="K1948" s="14" t="n">
        <x:v>2</x:v>
      </x:c>
      <x:c r="L1948" s="14" t="n">
        <x:v>42</x:v>
      </x:c>
      <x:c r="M1948" s="14" t="n">
        <x:v>37</x:v>
      </x:c>
      <x:c r="N1948" s="15" t="n">
        <x:f>IF(E1948=0,"해당 없음",F1948/E1948)</x:f>
        <x:v>0.019230769230769232</x:v>
      </x:c>
      <x:c r="O1948" s="15" t="n">
        <x:f>IF(E1948=0,"해당 없음",G1948/E1948)</x:f>
        <x:v>0.125</x:v>
      </x:c>
      <x:c r="P1948" s="15" t="n">
        <x:f>IF(E1948=0,"해당 없음",H1948/E1948)</x:f>
        <x:v>0.028846153846153848</x:v>
      </x:c>
      <x:c r="Q1948" s="15" t="n">
        <x:f>IF(E1948=0,"해당 없음",I1948/E1948)</x:f>
        <x:v>0.04807692307692308</x:v>
      </x:c>
      <x:c r="R1948" s="15" t="n">
        <x:f>IF(E1948=0,"해당 없음",J1948/E1948)</x:f>
        <x:v>0</x:v>
      </x:c>
      <x:c r="S1948" s="15" t="n">
        <x:f>IF(E1948=0,"해당 없음",K1948/E1948)</x:f>
        <x:v>0.019230769230769232</x:v>
      </x:c>
      <x:c r="T1948" s="15" t="n">
        <x:f>IF(E1948=0,"해당 없음",L1948/E1948)</x:f>
        <x:v>0.40384615384615385</x:v>
      </x:c>
      <x:c r="U1948" s="15" t="n">
        <x:f>IF(E1948=0,"해당 없음",M1948/E1948)</x:f>
        <x:v>0.3557692307692308</x:v>
      </x:c>
      <x:c r="V1948" s="16" t="n">
        <x:f>E1948/5</x:f>
        <x:v>20.8</x:v>
      </x:c>
    </x:row>
    <x:row r="1949" ht="22" customHeight="1">
      <x:c r="A1949" s="2" t="n">
        <x:v>972</x:v>
      </x:c>
      <x:c r="B1949" s="2" t="str">
        <x:v>NAVY</x:v>
      </x:c>
      <x:c r="C1949" s="2" t="str">
        <x:v>120만</x:v>
      </x:c>
      <x:c r="D1949" s="2" t="str">
        <x:v>240만</x:v>
      </x:c>
      <x:c r="E1949" s="14" t="n">
        <x:f>SUM(F1949:M1949)</x:f>
        <x:v>101</x:v>
      </x:c>
      <x:c r="F1949" s="14" t="n">
        <x:v>1</x:v>
      </x:c>
      <x:c r="G1949" s="14" t="n">
        <x:v>12</x:v>
      </x:c>
      <x:c r="H1949" s="14" t="n">
        <x:v>6</x:v>
      </x:c>
      <x:c r="I1949" s="14" t="n">
        <x:v>6</x:v>
      </x:c>
      <x:c r="J1949" s="14" t="n">
        <x:v>4</x:v>
      </x:c>
      <x:c r="K1949" s="14" t="n">
        <x:v>7</x:v>
      </x:c>
      <x:c r="L1949" s="14" t="n">
        <x:v>34</x:v>
      </x:c>
      <x:c r="M1949" s="14" t="n">
        <x:v>31</x:v>
      </x:c>
      <x:c r="N1949" s="15" t="n">
        <x:f>IF(E1949=0,"해당 없음",F1949/E1949)</x:f>
        <x:v>0.009900990099009901</x:v>
      </x:c>
      <x:c r="O1949" s="15" t="n">
        <x:f>IF(E1949=0,"해당 없음",G1949/E1949)</x:f>
        <x:v>0.1188118811881188</x:v>
      </x:c>
      <x:c r="P1949" s="15" t="n">
        <x:f>IF(E1949=0,"해당 없음",H1949/E1949)</x:f>
        <x:v>0.0594059405940594</x:v>
      </x:c>
      <x:c r="Q1949" s="15" t="n">
        <x:f>IF(E1949=0,"해당 없음",I1949/E1949)</x:f>
        <x:v>0.0594059405940594</x:v>
      </x:c>
      <x:c r="R1949" s="15" t="n">
        <x:f>IF(E1949=0,"해당 없음",J1949/E1949)</x:f>
        <x:v>0.039603960396039604</x:v>
      </x:c>
      <x:c r="S1949" s="15" t="n">
        <x:f>IF(E1949=0,"해당 없음",K1949/E1949)</x:f>
        <x:v>0.06930693069306931</x:v>
      </x:c>
      <x:c r="T1949" s="15" t="n">
        <x:f>IF(E1949=0,"해당 없음",L1949/E1949)</x:f>
        <x:v>0.33663366336633666</x:v>
      </x:c>
      <x:c r="U1949" s="15" t="n">
        <x:f>IF(E1949=0,"해당 없음",M1949/E1949)</x:f>
        <x:v>0.3069306930693069</x:v>
      </x:c>
      <x:c r="V1949" s="16" t="n">
        <x:f>E1949/5</x:f>
        <x:v>20.2</x:v>
      </x:c>
    </x:row>
    <x:row r="1950" ht="22" customHeight="1">
      <x:c r="A1950" s="2" t="n">
        <x:v>973</x:v>
      </x:c>
      <x:c r="B1950" s="2" t="str">
        <x:v>RED</x:v>
      </x:c>
      <x:c r="C1950" s="2" t="str">
        <x:v>120만</x:v>
      </x:c>
      <x:c r="D1950" s="2" t="str">
        <x:v>240만</x:v>
      </x:c>
      <x:c r="E1950" s="14" t="n">
        <x:f>SUM(F1950:M1950)</x:f>
        <x:v>102</x:v>
      </x:c>
      <x:c r="F1950" s="14" t="n">
        <x:v>0</x:v>
      </x:c>
      <x:c r="G1950" s="14" t="n">
        <x:v>15</x:v>
      </x:c>
      <x:c r="H1950" s="14" t="n">
        <x:v>6</x:v>
      </x:c>
      <x:c r="I1950" s="14" t="n">
        <x:v>7</x:v>
      </x:c>
      <x:c r="J1950" s="14" t="n">
        <x:v>3</x:v>
      </x:c>
      <x:c r="K1950" s="14" t="n">
        <x:v>10</x:v>
      </x:c>
      <x:c r="L1950" s="14" t="n">
        <x:v>42</x:v>
      </x:c>
      <x:c r="M1950" s="14" t="n">
        <x:v>19</x:v>
      </x:c>
      <x:c r="N1950" s="15" t="n">
        <x:f>IF(E1950=0,"해당 없음",F1950/E1950)</x:f>
        <x:v>0</x:v>
      </x:c>
      <x:c r="O1950" s="15" t="n">
        <x:f>IF(E1950=0,"해당 없음",G1950/E1950)</x:f>
        <x:v>0.14705882352941177</x:v>
      </x:c>
      <x:c r="P1950" s="15" t="n">
        <x:f>IF(E1950=0,"해당 없음",H1950/E1950)</x:f>
        <x:v>0.058823529411764705</x:v>
      </x:c>
      <x:c r="Q1950" s="15" t="n">
        <x:f>IF(E1950=0,"해당 없음",I1950/E1950)</x:f>
        <x:v>0.06862745098039216</x:v>
      </x:c>
      <x:c r="R1950" s="15" t="n">
        <x:f>IF(E1950=0,"해당 없음",J1950/E1950)</x:f>
        <x:v>0.029411764705882353</x:v>
      </x:c>
      <x:c r="S1950" s="15" t="n">
        <x:f>IF(E1950=0,"해당 없음",K1950/E1950)</x:f>
        <x:v>0.09803921568627451</x:v>
      </x:c>
      <x:c r="T1950" s="15" t="n">
        <x:f>IF(E1950=0,"해당 없음",L1950/E1950)</x:f>
        <x:v>0.4117647058823529</x:v>
      </x:c>
      <x:c r="U1950" s="15" t="n">
        <x:f>IF(E1950=0,"해당 없음",M1950/E1950)</x:f>
        <x:v>0.18627450980392157</x:v>
      </x:c>
      <x:c r="V1950" s="16" t="n">
        <x:f>E1950/5</x:f>
        <x:v>20.4</x:v>
      </x:c>
    </x:row>
    <x:row r="1951" ht="22" customHeight="1">
      <x:c r="A1951" s="2" t="n">
        <x:v>973</x:v>
      </x:c>
      <x:c r="B1951" s="2" t="str">
        <x:v>NAVY</x:v>
      </x:c>
      <x:c r="C1951" s="2" t="str">
        <x:v>240만</x:v>
      </x:c>
      <x:c r="D1951" s="2" t="str">
        <x:v>120만</x:v>
      </x:c>
      <x:c r="E1951" s="14" t="n">
        <x:f>SUM(F1951:M1951)</x:f>
        <x:v>103</x:v>
      </x:c>
      <x:c r="F1951" s="14" t="n">
        <x:v>3</x:v>
      </x:c>
      <x:c r="G1951" s="14" t="n">
        <x:v>17</x:v>
      </x:c>
      <x:c r="H1951" s="14" t="n">
        <x:v>1</x:v>
      </x:c>
      <x:c r="I1951" s="14" t="n">
        <x:v>6</x:v>
      </x:c>
      <x:c r="J1951" s="14" t="n">
        <x:v>2</x:v>
      </x:c>
      <x:c r="K1951" s="14" t="n">
        <x:v>2</x:v>
      </x:c>
      <x:c r="L1951" s="14" t="n">
        <x:v>37</x:v>
      </x:c>
      <x:c r="M1951" s="14" t="n">
        <x:v>35</x:v>
      </x:c>
      <x:c r="N1951" s="15" t="n">
        <x:f>IF(E1951=0,"해당 없음",F1951/E1951)</x:f>
        <x:v>0.02912621359223301</x:v>
      </x:c>
      <x:c r="O1951" s="15" t="n">
        <x:f>IF(E1951=0,"해당 없음",G1951/E1951)</x:f>
        <x:v>0.1650485436893204</x:v>
      </x:c>
      <x:c r="P1951" s="15" t="n">
        <x:f>IF(E1951=0,"해당 없음",H1951/E1951)</x:f>
        <x:v>0.009708737864077669</x:v>
      </x:c>
      <x:c r="Q1951" s="15" t="n">
        <x:f>IF(E1951=0,"해당 없음",I1951/E1951)</x:f>
        <x:v>0.05825242718446602</x:v>
      </x:c>
      <x:c r="R1951" s="15" t="n">
        <x:f>IF(E1951=0,"해당 없음",J1951/E1951)</x:f>
        <x:v>0.019417475728155338</x:v>
      </x:c>
      <x:c r="S1951" s="15" t="n">
        <x:f>IF(E1951=0,"해당 없음",K1951/E1951)</x:f>
        <x:v>0.019417475728155338</x:v>
      </x:c>
      <x:c r="T1951" s="15" t="n">
        <x:f>IF(E1951=0,"해당 없음",L1951/E1951)</x:f>
        <x:v>0.3592233009708738</x:v>
      </x:c>
      <x:c r="U1951" s="15" t="n">
        <x:f>IF(E1951=0,"해당 없음",M1951/E1951)</x:f>
        <x:v>0.33980582524271846</x:v>
      </x:c>
      <x:c r="V1951" s="16" t="n">
        <x:f>E1951/5</x:f>
        <x:v>20.6</x:v>
      </x:c>
    </x:row>
    <x:row r="1952" ht="22" customHeight="1">
      <x:c r="A1952" s="2" t="n">
        <x:v>974</x:v>
      </x:c>
      <x:c r="B1952" s="2" t="str">
        <x:v>RED</x:v>
      </x:c>
      <x:c r="C1952" s="2" t="str">
        <x:v>240만</x:v>
      </x:c>
      <x:c r="D1952" s="2" t="str">
        <x:v>120만</x:v>
      </x:c>
      <x:c r="E1952" s="14" t="n">
        <x:f>SUM(F1952:M1952)</x:f>
        <x:v>104</x:v>
      </x:c>
      <x:c r="F1952" s="14" t="n">
        <x:v>0</x:v>
      </x:c>
      <x:c r="G1952" s="14" t="n">
        <x:v>12</x:v>
      </x:c>
      <x:c r="H1952" s="14" t="n">
        <x:v>4</x:v>
      </x:c>
      <x:c r="I1952" s="14" t="n">
        <x:v>1</x:v>
      </x:c>
      <x:c r="J1952" s="14" t="n">
        <x:v>0</x:v>
      </x:c>
      <x:c r="K1952" s="14" t="n">
        <x:v>2</x:v>
      </x:c>
      <x:c r="L1952" s="14" t="n">
        <x:v>38</x:v>
      </x:c>
      <x:c r="M1952" s="14" t="n">
        <x:v>47</x:v>
      </x:c>
      <x:c r="N1952" s="15" t="n">
        <x:f>IF(E1952=0,"해당 없음",F1952/E1952)</x:f>
        <x:v>0</x:v>
      </x:c>
      <x:c r="O1952" s="15" t="n">
        <x:f>IF(E1952=0,"해당 없음",G1952/E1952)</x:f>
        <x:v>0.11538461538461539</x:v>
      </x:c>
      <x:c r="P1952" s="15" t="n">
        <x:f>IF(E1952=0,"해당 없음",H1952/E1952)</x:f>
        <x:v>0.038461538461538464</x:v>
      </x:c>
      <x:c r="Q1952" s="15" t="n">
        <x:f>IF(E1952=0,"해당 없음",I1952/E1952)</x:f>
        <x:v>0.009615384615384616</x:v>
      </x:c>
      <x:c r="R1952" s="15" t="n">
        <x:f>IF(E1952=0,"해당 없음",J1952/E1952)</x:f>
        <x:v>0</x:v>
      </x:c>
      <x:c r="S1952" s="15" t="n">
        <x:f>IF(E1952=0,"해당 없음",K1952/E1952)</x:f>
        <x:v>0.019230769230769232</x:v>
      </x:c>
      <x:c r="T1952" s="15" t="n">
        <x:f>IF(E1952=0,"해당 없음",L1952/E1952)</x:f>
        <x:v>0.36538461538461536</x:v>
      </x:c>
      <x:c r="U1952" s="15" t="n">
        <x:f>IF(E1952=0,"해당 없음",M1952/E1952)</x:f>
        <x:v>0.4519230769230769</x:v>
      </x:c>
      <x:c r="V1952" s="16" t="n">
        <x:f>E1952/5</x:f>
        <x:v>20.8</x:v>
      </x:c>
    </x:row>
    <x:row r="1953" ht="22" customHeight="1">
      <x:c r="A1953" s="2" t="n">
        <x:v>974</x:v>
      </x:c>
      <x:c r="B1953" s="2" t="str">
        <x:v>NAVY</x:v>
      </x:c>
      <x:c r="C1953" s="2" t="str">
        <x:v>120만</x:v>
      </x:c>
      <x:c r="D1953" s="2" t="str">
        <x:v>240만</x:v>
      </x:c>
      <x:c r="E1953" s="14" t="n">
        <x:f>SUM(F1953:M1953)</x:f>
        <x:v>106</x:v>
      </x:c>
      <x:c r="F1953" s="14" t="n">
        <x:v>0</x:v>
      </x:c>
      <x:c r="G1953" s="14" t="n">
        <x:v>10</x:v>
      </x:c>
      <x:c r="H1953" s="14" t="n">
        <x:v>8</x:v>
      </x:c>
      <x:c r="I1953" s="14" t="n">
        <x:v>15</x:v>
      </x:c>
      <x:c r="J1953" s="14" t="n">
        <x:v>9</x:v>
      </x:c>
      <x:c r="K1953" s="14" t="n">
        <x:v>9</x:v>
      </x:c>
      <x:c r="L1953" s="14" t="n">
        <x:v>41</x:v>
      </x:c>
      <x:c r="M1953" s="14" t="n">
        <x:v>14</x:v>
      </x:c>
      <x:c r="N1953" s="15" t="n">
        <x:f>IF(E1953=0,"해당 없음",F1953/E1953)</x:f>
        <x:v>0</x:v>
      </x:c>
      <x:c r="O1953" s="15" t="n">
        <x:f>IF(E1953=0,"해당 없음",G1953/E1953)</x:f>
        <x:v>0.09433962264150944</x:v>
      </x:c>
      <x:c r="P1953" s="15" t="n">
        <x:f>IF(E1953=0,"해당 없음",H1953/E1953)</x:f>
        <x:v>0.07547169811320754</x:v>
      </x:c>
      <x:c r="Q1953" s="15" t="n">
        <x:f>IF(E1953=0,"해당 없음",I1953/E1953)</x:f>
        <x:v>0.14150943396226415</x:v>
      </x:c>
      <x:c r="R1953" s="15" t="n">
        <x:f>IF(E1953=0,"해당 없음",J1953/E1953)</x:f>
        <x:v>0.08490566037735849</x:v>
      </x:c>
      <x:c r="S1953" s="15" t="n">
        <x:f>IF(E1953=0,"해당 없음",K1953/E1953)</x:f>
        <x:v>0.08490566037735849</x:v>
      </x:c>
      <x:c r="T1953" s="15" t="n">
        <x:f>IF(E1953=0,"해당 없음",L1953/E1953)</x:f>
        <x:v>0.3867924528301887</x:v>
      </x:c>
      <x:c r="U1953" s="15" t="n">
        <x:f>IF(E1953=0,"해당 없음",M1953/E1953)</x:f>
        <x:v>0.1320754716981132</x:v>
      </x:c>
      <x:c r="V1953" s="16" t="n">
        <x:f>E1953/5</x:f>
        <x:v>21.2</x:v>
      </x:c>
    </x:row>
    <x:row r="1954" ht="22" customHeight="1">
      <x:c r="A1954" s="2" t="n">
        <x:v>975</x:v>
      </x:c>
      <x:c r="B1954" s="2" t="str">
        <x:v>RED</x:v>
      </x:c>
      <x:c r="C1954" s="2" t="str">
        <x:v>120만</x:v>
      </x:c>
      <x:c r="D1954" s="2" t="str">
        <x:v>240만</x:v>
      </x:c>
      <x:c r="E1954" s="14" t="n">
        <x:f>SUM(F1954:M1954)</x:f>
        <x:v>102</x:v>
      </x:c>
      <x:c r="F1954" s="14" t="n">
        <x:v>2</x:v>
      </x:c>
      <x:c r="G1954" s="14" t="n">
        <x:v>7</x:v>
      </x:c>
      <x:c r="H1954" s="14" t="n">
        <x:v>6</x:v>
      </x:c>
      <x:c r="I1954" s="14" t="n">
        <x:v>7</x:v>
      </x:c>
      <x:c r="J1954" s="14" t="n">
        <x:v>2</x:v>
      </x:c>
      <x:c r="K1954" s="14" t="n">
        <x:v>11</x:v>
      </x:c>
      <x:c r="L1954" s="14" t="n">
        <x:v>38</x:v>
      </x:c>
      <x:c r="M1954" s="14" t="n">
        <x:v>29</x:v>
      </x:c>
      <x:c r="N1954" s="15" t="n">
        <x:f>IF(E1954=0,"해당 없음",F1954/E1954)</x:f>
        <x:v>0.0196078431372549</x:v>
      </x:c>
      <x:c r="O1954" s="15" t="n">
        <x:f>IF(E1954=0,"해당 없음",G1954/E1954)</x:f>
        <x:v>0.06862745098039216</x:v>
      </x:c>
      <x:c r="P1954" s="15" t="n">
        <x:f>IF(E1954=0,"해당 없음",H1954/E1954)</x:f>
        <x:v>0.058823529411764705</x:v>
      </x:c>
      <x:c r="Q1954" s="15" t="n">
        <x:f>IF(E1954=0,"해당 없음",I1954/E1954)</x:f>
        <x:v>0.06862745098039216</x:v>
      </x:c>
      <x:c r="R1954" s="15" t="n">
        <x:f>IF(E1954=0,"해당 없음",J1954/E1954)</x:f>
        <x:v>0.0196078431372549</x:v>
      </x:c>
      <x:c r="S1954" s="15" t="n">
        <x:f>IF(E1954=0,"해당 없음",K1954/E1954)</x:f>
        <x:v>0.10784313725490197</x:v>
      </x:c>
      <x:c r="T1954" s="15" t="n">
        <x:f>IF(E1954=0,"해당 없음",L1954/E1954)</x:f>
        <x:v>0.37254901960784315</x:v>
      </x:c>
      <x:c r="U1954" s="15" t="n">
        <x:f>IF(E1954=0,"해당 없음",M1954/E1954)</x:f>
        <x:v>0.28431372549019607</x:v>
      </x:c>
      <x:c r="V1954" s="16" t="n">
        <x:f>E1954/5</x:f>
        <x:v>20.4</x:v>
      </x:c>
    </x:row>
    <x:row r="1955" ht="22" customHeight="1">
      <x:c r="A1955" s="2" t="n">
        <x:v>975</x:v>
      </x:c>
      <x:c r="B1955" s="2" t="str">
        <x:v>NAVY</x:v>
      </x:c>
      <x:c r="C1955" s="2" t="str">
        <x:v>240만</x:v>
      </x:c>
      <x:c r="D1955" s="2" t="str">
        <x:v>120만</x:v>
      </x:c>
      <x:c r="E1955" s="14" t="n">
        <x:f>SUM(F1955:M1955)</x:f>
        <x:v>102</x:v>
      </x:c>
      <x:c r="F1955" s="14" t="n">
        <x:v>2</x:v>
      </x:c>
      <x:c r="G1955" s="14" t="n">
        <x:v>15</x:v>
      </x:c>
      <x:c r="H1955" s="14" t="n">
        <x:v>2</x:v>
      </x:c>
      <x:c r="I1955" s="14" t="n">
        <x:v>5</x:v>
      </x:c>
      <x:c r="J1955" s="14" t="n">
        <x:v>3</x:v>
      </x:c>
      <x:c r="K1955" s="14" t="n">
        <x:v>0</x:v>
      </x:c>
      <x:c r="L1955" s="14" t="n">
        <x:v>36</x:v>
      </x:c>
      <x:c r="M1955" s="14" t="n">
        <x:v>39</x:v>
      </x:c>
      <x:c r="N1955" s="15" t="n">
        <x:f>IF(E1955=0,"해당 없음",F1955/E1955)</x:f>
        <x:v>0.0196078431372549</x:v>
      </x:c>
      <x:c r="O1955" s="15" t="n">
        <x:f>IF(E1955=0,"해당 없음",G1955/E1955)</x:f>
        <x:v>0.14705882352941177</x:v>
      </x:c>
      <x:c r="P1955" s="15" t="n">
        <x:f>IF(E1955=0,"해당 없음",H1955/E1955)</x:f>
        <x:v>0.0196078431372549</x:v>
      </x:c>
      <x:c r="Q1955" s="15" t="n">
        <x:f>IF(E1955=0,"해당 없음",I1955/E1955)</x:f>
        <x:v>0.049019607843137254</x:v>
      </x:c>
      <x:c r="R1955" s="15" t="n">
        <x:f>IF(E1955=0,"해당 없음",J1955/E1955)</x:f>
        <x:v>0.029411764705882353</x:v>
      </x:c>
      <x:c r="S1955" s="15" t="n">
        <x:f>IF(E1955=0,"해당 없음",K1955/E1955)</x:f>
        <x:v>0</x:v>
      </x:c>
      <x:c r="T1955" s="15" t="n">
        <x:f>IF(E1955=0,"해당 없음",L1955/E1955)</x:f>
        <x:v>0.35294117647058826</x:v>
      </x:c>
      <x:c r="U1955" s="15" t="n">
        <x:f>IF(E1955=0,"해당 없음",M1955/E1955)</x:f>
        <x:v>0.38235294117647056</x:v>
      </x:c>
      <x:c r="V1955" s="16" t="n">
        <x:f>E1955/5</x:f>
        <x:v>20.4</x:v>
      </x:c>
    </x:row>
    <x:row r="1956" ht="22" customHeight="1">
      <x:c r="A1956" s="2" t="n">
        <x:v>976</x:v>
      </x:c>
      <x:c r="B1956" s="2" t="str">
        <x:v>RED</x:v>
      </x:c>
      <x:c r="C1956" s="2" t="str">
        <x:v>240만</x:v>
      </x:c>
      <x:c r="D1956" s="2" t="str">
        <x:v>120만</x:v>
      </x:c>
      <x:c r="E1956" s="14" t="n">
        <x:f>SUM(F1956:M1956)</x:f>
        <x:v>101</x:v>
      </x:c>
      <x:c r="F1956" s="14" t="n">
        <x:v>4</x:v>
      </x:c>
      <x:c r="G1956" s="14" t="n">
        <x:v>9</x:v>
      </x:c>
      <x:c r="H1956" s="14" t="n">
        <x:v>2</x:v>
      </x:c>
      <x:c r="I1956" s="14" t="n">
        <x:v>4</x:v>
      </x:c>
      <x:c r="J1956" s="14" t="n">
        <x:v>1</x:v>
      </x:c>
      <x:c r="K1956" s="14" t="n">
        <x:v>1</x:v>
      </x:c>
      <x:c r="L1956" s="14" t="n">
        <x:v>36</x:v>
      </x:c>
      <x:c r="M1956" s="14" t="n">
        <x:v>44</x:v>
      </x:c>
      <x:c r="N1956" s="15" t="n">
        <x:f>IF(E1956=0,"해당 없음",F1956/E1956)</x:f>
        <x:v>0.039603960396039604</x:v>
      </x:c>
      <x:c r="O1956" s="15" t="n">
        <x:f>IF(E1956=0,"해당 없음",G1956/E1956)</x:f>
        <x:v>0.0891089108910891</x:v>
      </x:c>
      <x:c r="P1956" s="15" t="n">
        <x:f>IF(E1956=0,"해당 없음",H1956/E1956)</x:f>
        <x:v>0.019801980198019802</x:v>
      </x:c>
      <x:c r="Q1956" s="15" t="n">
        <x:f>IF(E1956=0,"해당 없음",I1956/E1956)</x:f>
        <x:v>0.039603960396039604</x:v>
      </x:c>
      <x:c r="R1956" s="15" t="n">
        <x:f>IF(E1956=0,"해당 없음",J1956/E1956)</x:f>
        <x:v>0.009900990099009901</x:v>
      </x:c>
      <x:c r="S1956" s="15" t="n">
        <x:f>IF(E1956=0,"해당 없음",K1956/E1956)</x:f>
        <x:v>0.009900990099009901</x:v>
      </x:c>
      <x:c r="T1956" s="15" t="n">
        <x:f>IF(E1956=0,"해당 없음",L1956/E1956)</x:f>
        <x:v>0.3564356435643564</x:v>
      </x:c>
      <x:c r="U1956" s="15" t="n">
        <x:f>IF(E1956=0,"해당 없음",M1956/E1956)</x:f>
        <x:v>0.43564356435643564</x:v>
      </x:c>
      <x:c r="V1956" s="16" t="n">
        <x:f>E1956/5</x:f>
        <x:v>20.2</x:v>
      </x:c>
    </x:row>
    <x:row r="1957" ht="22" customHeight="1">
      <x:c r="A1957" s="2" t="n">
        <x:v>976</x:v>
      </x:c>
      <x:c r="B1957" s="2" t="str">
        <x:v>NAVY</x:v>
      </x:c>
      <x:c r="C1957" s="2" t="str">
        <x:v>120만</x:v>
      </x:c>
      <x:c r="D1957" s="2" t="str">
        <x:v>240만</x:v>
      </x:c>
      <x:c r="E1957" s="14" t="n">
        <x:f>SUM(F1957:M1957)</x:f>
        <x:v>100</x:v>
      </x:c>
      <x:c r="F1957" s="14" t="n">
        <x:v>3</x:v>
      </x:c>
      <x:c r="G1957" s="14" t="n">
        <x:v>16</x:v>
      </x:c>
      <x:c r="H1957" s="14" t="n">
        <x:v>4</x:v>
      </x:c>
      <x:c r="I1957" s="14" t="n">
        <x:v>5</x:v>
      </x:c>
      <x:c r="J1957" s="14" t="n">
        <x:v>4</x:v>
      </x:c>
      <x:c r="K1957" s="14" t="n">
        <x:v>10</x:v>
      </x:c>
      <x:c r="L1957" s="14" t="n">
        <x:v>37</x:v>
      </x:c>
      <x:c r="M1957" s="14" t="n">
        <x:v>21</x:v>
      </x:c>
      <x:c r="N1957" s="15" t="n">
        <x:f>IF(E1957=0,"해당 없음",F1957/E1957)</x:f>
        <x:v>0.03</x:v>
      </x:c>
      <x:c r="O1957" s="15" t="n">
        <x:f>IF(E1957=0,"해당 없음",G1957/E1957)</x:f>
        <x:v>0.16</x:v>
      </x:c>
      <x:c r="P1957" s="15" t="n">
        <x:f>IF(E1957=0,"해당 없음",H1957/E1957)</x:f>
        <x:v>0.04</x:v>
      </x:c>
      <x:c r="Q1957" s="15" t="n">
        <x:f>IF(E1957=0,"해당 없음",I1957/E1957)</x:f>
        <x:v>0.05</x:v>
      </x:c>
      <x:c r="R1957" s="15" t="n">
        <x:f>IF(E1957=0,"해당 없음",J1957/E1957)</x:f>
        <x:v>0.04</x:v>
      </x:c>
      <x:c r="S1957" s="15" t="n">
        <x:f>IF(E1957=0,"해당 없음",K1957/E1957)</x:f>
        <x:v>0.1</x:v>
      </x:c>
      <x:c r="T1957" s="15" t="n">
        <x:f>IF(E1957=0,"해당 없음",L1957/E1957)</x:f>
        <x:v>0.37</x:v>
      </x:c>
      <x:c r="U1957" s="15" t="n">
        <x:f>IF(E1957=0,"해당 없음",M1957/E1957)</x:f>
        <x:v>0.21</x:v>
      </x:c>
      <x:c r="V1957" s="16" t="n">
        <x:f>E1957/5</x:f>
        <x:v>20</x:v>
      </x:c>
    </x:row>
    <x:row r="1958" ht="22" customHeight="1">
      <x:c r="A1958" s="2" t="n">
        <x:v>977</x:v>
      </x:c>
      <x:c r="B1958" s="2" t="str">
        <x:v>RED</x:v>
      </x:c>
      <x:c r="C1958" s="2" t="str">
        <x:v>120만</x:v>
      </x:c>
      <x:c r="D1958" s="2" t="str">
        <x:v>240만</x:v>
      </x:c>
      <x:c r="E1958" s="14" t="n">
        <x:f>SUM(F1958:M1958)</x:f>
        <x:v>101</x:v>
      </x:c>
      <x:c r="F1958" s="14" t="n">
        <x:v>1</x:v>
      </x:c>
      <x:c r="G1958" s="14" t="n">
        <x:v>16</x:v>
      </x:c>
      <x:c r="H1958" s="14" t="n">
        <x:v>3</x:v>
      </x:c>
      <x:c r="I1958" s="14" t="n">
        <x:v>12</x:v>
      </x:c>
      <x:c r="J1958" s="14" t="n">
        <x:v>3</x:v>
      </x:c>
      <x:c r="K1958" s="14" t="n">
        <x:v>12</x:v>
      </x:c>
      <x:c r="L1958" s="14" t="n">
        <x:v>35</x:v>
      </x:c>
      <x:c r="M1958" s="14" t="n">
        <x:v>19</x:v>
      </x:c>
      <x:c r="N1958" s="15" t="n">
        <x:f>IF(E1958=0,"해당 없음",F1958/E1958)</x:f>
        <x:v>0.009900990099009901</x:v>
      </x:c>
      <x:c r="O1958" s="15" t="n">
        <x:f>IF(E1958=0,"해당 없음",G1958/E1958)</x:f>
        <x:v>0.15841584158415842</x:v>
      </x:c>
      <x:c r="P1958" s="15" t="n">
        <x:f>IF(E1958=0,"해당 없음",H1958/E1958)</x:f>
        <x:v>0.0297029702970297</x:v>
      </x:c>
      <x:c r="Q1958" s="15" t="n">
        <x:f>IF(E1958=0,"해당 없음",I1958/E1958)</x:f>
        <x:v>0.1188118811881188</x:v>
      </x:c>
      <x:c r="R1958" s="15" t="n">
        <x:f>IF(E1958=0,"해당 없음",J1958/E1958)</x:f>
        <x:v>0.0297029702970297</x:v>
      </x:c>
      <x:c r="S1958" s="15" t="n">
        <x:f>IF(E1958=0,"해당 없음",K1958/E1958)</x:f>
        <x:v>0.1188118811881188</x:v>
      </x:c>
      <x:c r="T1958" s="15" t="n">
        <x:f>IF(E1958=0,"해당 없음",L1958/E1958)</x:f>
        <x:v>0.3465346534653465</x:v>
      </x:c>
      <x:c r="U1958" s="15" t="n">
        <x:f>IF(E1958=0,"해당 없음",M1958/E1958)</x:f>
        <x:v>0.18811881188118812</x:v>
      </x:c>
      <x:c r="V1958" s="16" t="n">
        <x:f>E1958/5</x:f>
        <x:v>20.2</x:v>
      </x:c>
    </x:row>
    <x:row r="1959" ht="22" customHeight="1">
      <x:c r="A1959" s="2" t="n">
        <x:v>977</x:v>
      </x:c>
      <x:c r="B1959" s="2" t="str">
        <x:v>NAVY</x:v>
      </x:c>
      <x:c r="C1959" s="2" t="str">
        <x:v>240만</x:v>
      </x:c>
      <x:c r="D1959" s="2" t="str">
        <x:v>120만</x:v>
      </x:c>
      <x:c r="E1959" s="14" t="n">
        <x:f>SUM(F1959:M1959)</x:f>
        <x:v>101</x:v>
      </x:c>
      <x:c r="F1959" s="14" t="n">
        <x:v>0</x:v>
      </x:c>
      <x:c r="G1959" s="14" t="n">
        <x:v>17</x:v>
      </x:c>
      <x:c r="H1959" s="14" t="n">
        <x:v>0</x:v>
      </x:c>
      <x:c r="I1959" s="14" t="n">
        <x:v>1</x:v>
      </x:c>
      <x:c r="J1959" s="14" t="n">
        <x:v>0</x:v>
      </x:c>
      <x:c r="K1959" s="14" t="n">
        <x:v>6</x:v>
      </x:c>
      <x:c r="L1959" s="14" t="n">
        <x:v>32</x:v>
      </x:c>
      <x:c r="M1959" s="14" t="n">
        <x:v>45</x:v>
      </x:c>
      <x:c r="N1959" s="15" t="n">
        <x:f>IF(E1959=0,"해당 없음",F1959/E1959)</x:f>
        <x:v>0</x:v>
      </x:c>
      <x:c r="O1959" s="15" t="n">
        <x:f>IF(E1959=0,"해당 없음",G1959/E1959)</x:f>
        <x:v>0.16831683168316833</x:v>
      </x:c>
      <x:c r="P1959" s="15" t="n">
        <x:f>IF(E1959=0,"해당 없음",H1959/E1959)</x:f>
        <x:v>0</x:v>
      </x:c>
      <x:c r="Q1959" s="15" t="n">
        <x:f>IF(E1959=0,"해당 없음",I1959/E1959)</x:f>
        <x:v>0.009900990099009901</x:v>
      </x:c>
      <x:c r="R1959" s="15" t="n">
        <x:f>IF(E1959=0,"해당 없음",J1959/E1959)</x:f>
        <x:v>0</x:v>
      </x:c>
      <x:c r="S1959" s="15" t="n">
        <x:f>IF(E1959=0,"해당 없음",K1959/E1959)</x:f>
        <x:v>0.0594059405940594</x:v>
      </x:c>
      <x:c r="T1959" s="15" t="n">
        <x:f>IF(E1959=0,"해당 없음",L1959/E1959)</x:f>
        <x:v>0.31683168316831684</x:v>
      </x:c>
      <x:c r="U1959" s="15" t="n">
        <x:f>IF(E1959=0,"해당 없음",M1959/E1959)</x:f>
        <x:v>0.44554455445544555</x:v>
      </x:c>
      <x:c r="V1959" s="16" t="n">
        <x:f>E1959/5</x:f>
        <x:v>20.2</x:v>
      </x:c>
    </x:row>
    <x:row r="1960" ht="22" customHeight="1">
      <x:c r="A1960" s="2" t="n">
        <x:v>978</x:v>
      </x:c>
      <x:c r="B1960" s="2" t="str">
        <x:v>RED</x:v>
      </x:c>
      <x:c r="C1960" s="2" t="str">
        <x:v>240만</x:v>
      </x:c>
      <x:c r="D1960" s="2" t="str">
        <x:v>120만</x:v>
      </x:c>
      <x:c r="E1960" s="14" t="n">
        <x:f>SUM(F1960:M1960)</x:f>
        <x:v>101</x:v>
      </x:c>
      <x:c r="F1960" s="14" t="n">
        <x:v>1</x:v>
      </x:c>
      <x:c r="G1960" s="14" t="n">
        <x:v>14</x:v>
      </x:c>
      <x:c r="H1960" s="14" t="n">
        <x:v>1</x:v>
      </x:c>
      <x:c r="I1960" s="14" t="n">
        <x:v>2</x:v>
      </x:c>
      <x:c r="J1960" s="14" t="n">
        <x:v>0</x:v>
      </x:c>
      <x:c r="K1960" s="14" t="n">
        <x:v>5</x:v>
      </x:c>
      <x:c r="L1960" s="14" t="n">
        <x:v>35</x:v>
      </x:c>
      <x:c r="M1960" s="14" t="n">
        <x:v>43</x:v>
      </x:c>
      <x:c r="N1960" s="15" t="n">
        <x:f>IF(E1960=0,"해당 없음",F1960/E1960)</x:f>
        <x:v>0.009900990099009901</x:v>
      </x:c>
      <x:c r="O1960" s="15" t="n">
        <x:f>IF(E1960=0,"해당 없음",G1960/E1960)</x:f>
        <x:v>0.13861386138613863</x:v>
      </x:c>
      <x:c r="P1960" s="15" t="n">
        <x:f>IF(E1960=0,"해당 없음",H1960/E1960)</x:f>
        <x:v>0.009900990099009901</x:v>
      </x:c>
      <x:c r="Q1960" s="15" t="n">
        <x:f>IF(E1960=0,"해당 없음",I1960/E1960)</x:f>
        <x:v>0.019801980198019802</x:v>
      </x:c>
      <x:c r="R1960" s="15" t="n">
        <x:f>IF(E1960=0,"해당 없음",J1960/E1960)</x:f>
        <x:v>0</x:v>
      </x:c>
      <x:c r="S1960" s="15" t="n">
        <x:f>IF(E1960=0,"해당 없음",K1960/E1960)</x:f>
        <x:v>0.04950495049504951</x:v>
      </x:c>
      <x:c r="T1960" s="15" t="n">
        <x:f>IF(E1960=0,"해당 없음",L1960/E1960)</x:f>
        <x:v>0.3465346534653465</x:v>
      </x:c>
      <x:c r="U1960" s="15" t="n">
        <x:f>IF(E1960=0,"해당 없음",M1960/E1960)</x:f>
        <x:v>0.42574257425742573</x:v>
      </x:c>
      <x:c r="V1960" s="16" t="n">
        <x:f>E1960/5</x:f>
        <x:v>20.2</x:v>
      </x:c>
    </x:row>
    <x:row r="1961" ht="22" customHeight="1">
      <x:c r="A1961" s="2" t="n">
        <x:v>978</x:v>
      </x:c>
      <x:c r="B1961" s="2" t="str">
        <x:v>NAVY</x:v>
      </x:c>
      <x:c r="C1961" s="2" t="str">
        <x:v>120만</x:v>
      </x:c>
      <x:c r="D1961" s="2" t="str">
        <x:v>240만</x:v>
      </x:c>
      <x:c r="E1961" s="14" t="n">
        <x:f>SUM(F1961:M1961)</x:f>
        <x:v>104</x:v>
      </x:c>
      <x:c r="F1961" s="14" t="n">
        <x:v>1</x:v>
      </x:c>
      <x:c r="G1961" s="14" t="n">
        <x:v>12</x:v>
      </x:c>
      <x:c r="H1961" s="14" t="n">
        <x:v>5</x:v>
      </x:c>
      <x:c r="I1961" s="14" t="n">
        <x:v>5</x:v>
      </x:c>
      <x:c r="J1961" s="14" t="n">
        <x:v>3</x:v>
      </x:c>
      <x:c r="K1961" s="14" t="n">
        <x:v>20</x:v>
      </x:c>
      <x:c r="L1961" s="14" t="n">
        <x:v>37</x:v>
      </x:c>
      <x:c r="M1961" s="14" t="n">
        <x:v>21</x:v>
      </x:c>
      <x:c r="N1961" s="15" t="n">
        <x:f>IF(E1961=0,"해당 없음",F1961/E1961)</x:f>
        <x:v>0.009615384615384616</x:v>
      </x:c>
      <x:c r="O1961" s="15" t="n">
        <x:f>IF(E1961=0,"해당 없음",G1961/E1961)</x:f>
        <x:v>0.11538461538461539</x:v>
      </x:c>
      <x:c r="P1961" s="15" t="n">
        <x:f>IF(E1961=0,"해당 없음",H1961/E1961)</x:f>
        <x:v>0.04807692307692308</x:v>
      </x:c>
      <x:c r="Q1961" s="15" t="n">
        <x:f>IF(E1961=0,"해당 없음",I1961/E1961)</x:f>
        <x:v>0.04807692307692308</x:v>
      </x:c>
      <x:c r="R1961" s="15" t="n">
        <x:f>IF(E1961=0,"해당 없음",J1961/E1961)</x:f>
        <x:v>0.028846153846153848</x:v>
      </x:c>
      <x:c r="S1961" s="15" t="n">
        <x:f>IF(E1961=0,"해당 없음",K1961/E1961)</x:f>
        <x:v>0.19230769230769232</x:v>
      </x:c>
      <x:c r="T1961" s="15" t="n">
        <x:f>IF(E1961=0,"해당 없음",L1961/E1961)</x:f>
        <x:v>0.3557692307692308</x:v>
      </x:c>
      <x:c r="U1961" s="15" t="n">
        <x:f>IF(E1961=0,"해당 없음",M1961/E1961)</x:f>
        <x:v>0.20192307692307693</x:v>
      </x:c>
      <x:c r="V1961" s="16" t="n">
        <x:f>E1961/5</x:f>
        <x:v>20.8</x:v>
      </x:c>
    </x:row>
    <x:row r="1962" ht="22" customHeight="1">
      <x:c r="A1962" s="2" t="n">
        <x:v>979</x:v>
      </x:c>
      <x:c r="B1962" s="2" t="str">
        <x:v>RED</x:v>
      </x:c>
      <x:c r="C1962" s="2" t="str">
        <x:v>120만</x:v>
      </x:c>
      <x:c r="D1962" s="2" t="str">
        <x:v>240만</x:v>
      </x:c>
      <x:c r="E1962" s="14" t="n">
        <x:f>SUM(F1962:M1962)</x:f>
        <x:v>104</x:v>
      </x:c>
      <x:c r="F1962" s="14" t="n">
        <x:v>0</x:v>
      </x:c>
      <x:c r="G1962" s="14" t="n">
        <x:v>10</x:v>
      </x:c>
      <x:c r="H1962" s="14" t="n">
        <x:v>8</x:v>
      </x:c>
      <x:c r="I1962" s="14" t="n">
        <x:v>14</x:v>
      </x:c>
      <x:c r="J1962" s="14" t="n">
        <x:v>5</x:v>
      </x:c>
      <x:c r="K1962" s="14" t="n">
        <x:v>7</x:v>
      </x:c>
      <x:c r="L1962" s="14" t="n">
        <x:v>41</x:v>
      </x:c>
      <x:c r="M1962" s="14" t="n">
        <x:v>19</x:v>
      </x:c>
      <x:c r="N1962" s="15" t="n">
        <x:f>IF(E1962=0,"해당 없음",F1962/E1962)</x:f>
        <x:v>0</x:v>
      </x:c>
      <x:c r="O1962" s="15" t="n">
        <x:f>IF(E1962=0,"해당 없음",G1962/E1962)</x:f>
        <x:v>0.09615384615384616</x:v>
      </x:c>
      <x:c r="P1962" s="15" t="n">
        <x:f>IF(E1962=0,"해당 없음",H1962/E1962)</x:f>
        <x:v>0.07692307692307693</x:v>
      </x:c>
      <x:c r="Q1962" s="15" t="n">
        <x:f>IF(E1962=0,"해당 없음",I1962/E1962)</x:f>
        <x:v>0.1346153846153846</x:v>
      </x:c>
      <x:c r="R1962" s="15" t="n">
        <x:f>IF(E1962=0,"해당 없음",J1962/E1962)</x:f>
        <x:v>0.04807692307692308</x:v>
      </x:c>
      <x:c r="S1962" s="15" t="n">
        <x:f>IF(E1962=0,"해당 없음",K1962/E1962)</x:f>
        <x:v>0.0673076923076923</x:v>
      </x:c>
      <x:c r="T1962" s="15" t="n">
        <x:f>IF(E1962=0,"해당 없음",L1962/E1962)</x:f>
        <x:v>0.3942307692307692</x:v>
      </x:c>
      <x:c r="U1962" s="15" t="n">
        <x:f>IF(E1962=0,"해당 없음",M1962/E1962)</x:f>
        <x:v>0.18269230769230768</x:v>
      </x:c>
      <x:c r="V1962" s="16" t="n">
        <x:f>E1962/5</x:f>
        <x:v>20.8</x:v>
      </x:c>
    </x:row>
    <x:row r="1963" ht="22" customHeight="1">
      <x:c r="A1963" s="2" t="n">
        <x:v>979</x:v>
      </x:c>
      <x:c r="B1963" s="2" t="str">
        <x:v>NAVY</x:v>
      </x:c>
      <x:c r="C1963" s="2" t="str">
        <x:v>240만</x:v>
      </x:c>
      <x:c r="D1963" s="2" t="str">
        <x:v>120만</x:v>
      </x:c>
      <x:c r="E1963" s="14" t="n">
        <x:f>SUM(F1963:M1963)</x:f>
        <x:v>106</x:v>
      </x:c>
      <x:c r="F1963" s="14" t="n">
        <x:v>2</x:v>
      </x:c>
      <x:c r="G1963" s="14" t="n">
        <x:v>21</x:v>
      </x:c>
      <x:c r="H1963" s="14" t="n">
        <x:v>7</x:v>
      </x:c>
      <x:c r="I1963" s="14" t="n">
        <x:v>5</x:v>
      </x:c>
      <x:c r="J1963" s="14" t="n">
        <x:v>1</x:v>
      </x:c>
      <x:c r="K1963" s="14" t="n">
        <x:v>4</x:v>
      </x:c>
      <x:c r="L1963" s="14" t="n">
        <x:v>39</x:v>
      </x:c>
      <x:c r="M1963" s="14" t="n">
        <x:v>27</x:v>
      </x:c>
      <x:c r="N1963" s="15" t="n">
        <x:f>IF(E1963=0,"해당 없음",F1963/E1963)</x:f>
        <x:v>0.018867924528301886</x:v>
      </x:c>
      <x:c r="O1963" s="15" t="n">
        <x:f>IF(E1963=0,"해당 없음",G1963/E1963)</x:f>
        <x:v>0.19811320754716982</x:v>
      </x:c>
      <x:c r="P1963" s="15" t="n">
        <x:f>IF(E1963=0,"해당 없음",H1963/E1963)</x:f>
        <x:v>0.0660377358490566</x:v>
      </x:c>
      <x:c r="Q1963" s="15" t="n">
        <x:f>IF(E1963=0,"해당 없음",I1963/E1963)</x:f>
        <x:v>0.04716981132075472</x:v>
      </x:c>
      <x:c r="R1963" s="15" t="n">
        <x:f>IF(E1963=0,"해당 없음",J1963/E1963)</x:f>
        <x:v>0.009433962264150943</x:v>
      </x:c>
      <x:c r="S1963" s="15" t="n">
        <x:f>IF(E1963=0,"해당 없음",K1963/E1963)</x:f>
        <x:v>0.03773584905660377</x:v>
      </x:c>
      <x:c r="T1963" s="15" t="n">
        <x:f>IF(E1963=0,"해당 없음",L1963/E1963)</x:f>
        <x:v>0.36792452830188677</x:v>
      </x:c>
      <x:c r="U1963" s="15" t="n">
        <x:f>IF(E1963=0,"해당 없음",M1963/E1963)</x:f>
        <x:v>0.25471698113207547</x:v>
      </x:c>
      <x:c r="V1963" s="16" t="n">
        <x:f>E1963/5</x:f>
        <x:v>21.2</x:v>
      </x:c>
    </x:row>
    <x:row r="1964" ht="22" customHeight="1">
      <x:c r="A1964" s="2" t="n">
        <x:v>980</x:v>
      </x:c>
      <x:c r="B1964" s="2" t="str">
        <x:v>RED</x:v>
      </x:c>
      <x:c r="C1964" s="2" t="str">
        <x:v>240만</x:v>
      </x:c>
      <x:c r="D1964" s="2" t="str">
        <x:v>120만</x:v>
      </x:c>
      <x:c r="E1964" s="14" t="n">
        <x:f>SUM(F1964:M1964)</x:f>
        <x:v>102</x:v>
      </x:c>
      <x:c r="F1964" s="14" t="n">
        <x:v>9</x:v>
      </x:c>
      <x:c r="G1964" s="14" t="n">
        <x:v>12</x:v>
      </x:c>
      <x:c r="H1964" s="14" t="n">
        <x:v>4</x:v>
      </x:c>
      <x:c r="I1964" s="14" t="n">
        <x:v>1</x:v>
      </x:c>
      <x:c r="J1964" s="14" t="n">
        <x:v>1</x:v>
      </x:c>
      <x:c r="K1964" s="14" t="n">
        <x:v>0</x:v>
      </x:c>
      <x:c r="L1964" s="14" t="n">
        <x:v>32</x:v>
      </x:c>
      <x:c r="M1964" s="14" t="n">
        <x:v>43</x:v>
      </x:c>
      <x:c r="N1964" s="15" t="n">
        <x:f>IF(E1964=0,"해당 없음",F1964/E1964)</x:f>
        <x:v>0.08823529411764706</x:v>
      </x:c>
      <x:c r="O1964" s="15" t="n">
        <x:f>IF(E1964=0,"해당 없음",G1964/E1964)</x:f>
        <x:v>0.11764705882352941</x:v>
      </x:c>
      <x:c r="P1964" s="15" t="n">
        <x:f>IF(E1964=0,"해당 없음",H1964/E1964)</x:f>
        <x:v>0.0392156862745098</x:v>
      </x:c>
      <x:c r="Q1964" s="15" t="n">
        <x:f>IF(E1964=0,"해당 없음",I1964/E1964)</x:f>
        <x:v>0.00980392156862745</x:v>
      </x:c>
      <x:c r="R1964" s="15" t="n">
        <x:f>IF(E1964=0,"해당 없음",J1964/E1964)</x:f>
        <x:v>0.00980392156862745</x:v>
      </x:c>
      <x:c r="S1964" s="15" t="n">
        <x:f>IF(E1964=0,"해당 없음",K1964/E1964)</x:f>
        <x:v>0</x:v>
      </x:c>
      <x:c r="T1964" s="15" t="n">
        <x:f>IF(E1964=0,"해당 없음",L1964/E1964)</x:f>
        <x:v>0.3137254901960784</x:v>
      </x:c>
      <x:c r="U1964" s="15" t="n">
        <x:f>IF(E1964=0,"해당 없음",M1964/E1964)</x:f>
        <x:v>0.4215686274509804</x:v>
      </x:c>
      <x:c r="V1964" s="16" t="n">
        <x:f>E1964/5</x:f>
        <x:v>20.4</x:v>
      </x:c>
    </x:row>
    <x:row r="1965" ht="22" customHeight="1">
      <x:c r="A1965" s="2" t="n">
        <x:v>980</x:v>
      </x:c>
      <x:c r="B1965" s="2" t="str">
        <x:v>NAVY</x:v>
      </x:c>
      <x:c r="C1965" s="2" t="str">
        <x:v>120만</x:v>
      </x:c>
      <x:c r="D1965" s="2" t="str">
        <x:v>240만</x:v>
      </x:c>
      <x:c r="E1965" s="14" t="n">
        <x:f>SUM(F1965:M1965)</x:f>
        <x:v>102</x:v>
      </x:c>
      <x:c r="F1965" s="14" t="n">
        <x:v>1</x:v>
      </x:c>
      <x:c r="G1965" s="14" t="n">
        <x:v>13</x:v>
      </x:c>
      <x:c r="H1965" s="14" t="n">
        <x:v>6</x:v>
      </x:c>
      <x:c r="I1965" s="14" t="n">
        <x:v>9</x:v>
      </x:c>
      <x:c r="J1965" s="14" t="n">
        <x:v>5</x:v>
      </x:c>
      <x:c r="K1965" s="14" t="n">
        <x:v>12</x:v>
      </x:c>
      <x:c r="L1965" s="14" t="n">
        <x:v>37</x:v>
      </x:c>
      <x:c r="M1965" s="14" t="n">
        <x:v>19</x:v>
      </x:c>
      <x:c r="N1965" s="15" t="n">
        <x:f>IF(E1965=0,"해당 없음",F1965/E1965)</x:f>
        <x:v>0.00980392156862745</x:v>
      </x:c>
      <x:c r="O1965" s="15" t="n">
        <x:f>IF(E1965=0,"해당 없음",G1965/E1965)</x:f>
        <x:v>0.12745098039215685</x:v>
      </x:c>
      <x:c r="P1965" s="15" t="n">
        <x:f>IF(E1965=0,"해당 없음",H1965/E1965)</x:f>
        <x:v>0.058823529411764705</x:v>
      </x:c>
      <x:c r="Q1965" s="15" t="n">
        <x:f>IF(E1965=0,"해당 없음",I1965/E1965)</x:f>
        <x:v>0.08823529411764706</x:v>
      </x:c>
      <x:c r="R1965" s="15" t="n">
        <x:f>IF(E1965=0,"해당 없음",J1965/E1965)</x:f>
        <x:v>0.049019607843137254</x:v>
      </x:c>
      <x:c r="S1965" s="15" t="n">
        <x:f>IF(E1965=0,"해당 없음",K1965/E1965)</x:f>
        <x:v>0.11764705882352941</x:v>
      </x:c>
      <x:c r="T1965" s="15" t="n">
        <x:f>IF(E1965=0,"해당 없음",L1965/E1965)</x:f>
        <x:v>0.3627450980392157</x:v>
      </x:c>
      <x:c r="U1965" s="15" t="n">
        <x:f>IF(E1965=0,"해당 없음",M1965/E1965)</x:f>
        <x:v>0.18627450980392157</x:v>
      </x:c>
      <x:c r="V1965" s="16" t="n">
        <x:f>E1965/5</x:f>
        <x:v>20.4</x:v>
      </x:c>
    </x:row>
    <x:row r="1966" ht="22" customHeight="1">
      <x:c r="A1966" s="2" t="n">
        <x:v>981</x:v>
      </x:c>
      <x:c r="B1966" s="2" t="str">
        <x:v>RED</x:v>
      </x:c>
      <x:c r="C1966" s="2" t="str">
        <x:v>120만</x:v>
      </x:c>
      <x:c r="D1966" s="2" t="str">
        <x:v>240만</x:v>
      </x:c>
      <x:c r="E1966" s="14" t="n">
        <x:f>SUM(F1966:M1966)</x:f>
        <x:v>102</x:v>
      </x:c>
      <x:c r="F1966" s="14" t="n">
        <x:v>0</x:v>
      </x:c>
      <x:c r="G1966" s="14" t="n">
        <x:v>14</x:v>
      </x:c>
      <x:c r="H1966" s="14" t="n">
        <x:v>6</x:v>
      </x:c>
      <x:c r="I1966" s="14" t="n">
        <x:v>10</x:v>
      </x:c>
      <x:c r="J1966" s="14" t="n">
        <x:v>1</x:v>
      </x:c>
      <x:c r="K1966" s="14" t="n">
        <x:v>7</x:v>
      </x:c>
      <x:c r="L1966" s="14" t="n">
        <x:v>40</x:v>
      </x:c>
      <x:c r="M1966" s="14" t="n">
        <x:v>24</x:v>
      </x:c>
      <x:c r="N1966" s="15" t="n">
        <x:f>IF(E1966=0,"해당 없음",F1966/E1966)</x:f>
        <x:v>0</x:v>
      </x:c>
      <x:c r="O1966" s="15" t="n">
        <x:f>IF(E1966=0,"해당 없음",G1966/E1966)</x:f>
        <x:v>0.13725490196078433</x:v>
      </x:c>
      <x:c r="P1966" s="15" t="n">
        <x:f>IF(E1966=0,"해당 없음",H1966/E1966)</x:f>
        <x:v>0.058823529411764705</x:v>
      </x:c>
      <x:c r="Q1966" s="15" t="n">
        <x:f>IF(E1966=0,"해당 없음",I1966/E1966)</x:f>
        <x:v>0.09803921568627451</x:v>
      </x:c>
      <x:c r="R1966" s="15" t="n">
        <x:f>IF(E1966=0,"해당 없음",J1966/E1966)</x:f>
        <x:v>0.00980392156862745</x:v>
      </x:c>
      <x:c r="S1966" s="15" t="n">
        <x:f>IF(E1966=0,"해당 없음",K1966/E1966)</x:f>
        <x:v>0.06862745098039216</x:v>
      </x:c>
      <x:c r="T1966" s="15" t="n">
        <x:f>IF(E1966=0,"해당 없음",L1966/E1966)</x:f>
        <x:v>0.39215686274509803</x:v>
      </x:c>
      <x:c r="U1966" s="15" t="n">
        <x:f>IF(E1966=0,"해당 없음",M1966/E1966)</x:f>
        <x:v>0.23529411764705882</x:v>
      </x:c>
      <x:c r="V1966" s="16" t="n">
        <x:f>E1966/5</x:f>
        <x:v>20.4</x:v>
      </x:c>
    </x:row>
    <x:row r="1967" ht="22" customHeight="1">
      <x:c r="A1967" s="2" t="n">
        <x:v>981</x:v>
      </x:c>
      <x:c r="B1967" s="2" t="str">
        <x:v>NAVY</x:v>
      </x:c>
      <x:c r="C1967" s="2" t="str">
        <x:v>240만</x:v>
      </x:c>
      <x:c r="D1967" s="2" t="str">
        <x:v>120만</x:v>
      </x:c>
      <x:c r="E1967" s="14" t="n">
        <x:f>SUM(F1967:M1967)</x:f>
        <x:v>102</x:v>
      </x:c>
      <x:c r="F1967" s="14" t="n">
        <x:v>3</x:v>
      </x:c>
      <x:c r="G1967" s="14" t="n">
        <x:v>18</x:v>
      </x:c>
      <x:c r="H1967" s="14" t="n">
        <x:v>4</x:v>
      </x:c>
      <x:c r="I1967" s="14" t="n">
        <x:v>5</x:v>
      </x:c>
      <x:c r="J1967" s="14" t="n">
        <x:v>2</x:v>
      </x:c>
      <x:c r="K1967" s="14" t="n">
        <x:v>2</x:v>
      </x:c>
      <x:c r="L1967" s="14" t="n">
        <x:v>37</x:v>
      </x:c>
      <x:c r="M1967" s="14" t="n">
        <x:v>31</x:v>
      </x:c>
      <x:c r="N1967" s="15" t="n">
        <x:f>IF(E1967=0,"해당 없음",F1967/E1967)</x:f>
        <x:v>0.029411764705882353</x:v>
      </x:c>
      <x:c r="O1967" s="15" t="n">
        <x:f>IF(E1967=0,"해당 없음",G1967/E1967)</x:f>
        <x:v>0.17647058823529413</x:v>
      </x:c>
      <x:c r="P1967" s="15" t="n">
        <x:f>IF(E1967=0,"해당 없음",H1967/E1967)</x:f>
        <x:v>0.0392156862745098</x:v>
      </x:c>
      <x:c r="Q1967" s="15" t="n">
        <x:f>IF(E1967=0,"해당 없음",I1967/E1967)</x:f>
        <x:v>0.049019607843137254</x:v>
      </x:c>
      <x:c r="R1967" s="15" t="n">
        <x:f>IF(E1967=0,"해당 없음",J1967/E1967)</x:f>
        <x:v>0.0196078431372549</x:v>
      </x:c>
      <x:c r="S1967" s="15" t="n">
        <x:f>IF(E1967=0,"해당 없음",K1967/E1967)</x:f>
        <x:v>0.0196078431372549</x:v>
      </x:c>
      <x:c r="T1967" s="15" t="n">
        <x:f>IF(E1967=0,"해당 없음",L1967/E1967)</x:f>
        <x:v>0.3627450980392157</x:v>
      </x:c>
      <x:c r="U1967" s="15" t="n">
        <x:f>IF(E1967=0,"해당 없음",M1967/E1967)</x:f>
        <x:v>0.30392156862745096</x:v>
      </x:c>
      <x:c r="V1967" s="16" t="n">
        <x:f>E1967/5</x:f>
        <x:v>20.4</x:v>
      </x:c>
    </x:row>
    <x:row r="1968" ht="22" customHeight="1">
      <x:c r="A1968" s="2" t="n">
        <x:v>982</x:v>
      </x:c>
      <x:c r="B1968" s="2" t="str">
        <x:v>RED</x:v>
      </x:c>
      <x:c r="C1968" s="2" t="str">
        <x:v>240만</x:v>
      </x:c>
      <x:c r="D1968" s="2" t="str">
        <x:v>120만</x:v>
      </x:c>
      <x:c r="E1968" s="14" t="n">
        <x:f>SUM(F1968:M1968)</x:f>
        <x:v>101</x:v>
      </x:c>
      <x:c r="F1968" s="14" t="n">
        <x:v>3</x:v>
      </x:c>
      <x:c r="G1968" s="14" t="n">
        <x:v>12</x:v>
      </x:c>
      <x:c r="H1968" s="14" t="n">
        <x:v>2</x:v>
      </x:c>
      <x:c r="I1968" s="14" t="n">
        <x:v>4</x:v>
      </x:c>
      <x:c r="J1968" s="14" t="n">
        <x:v>1</x:v>
      </x:c>
      <x:c r="K1968" s="14" t="n">
        <x:v>2</x:v>
      </x:c>
      <x:c r="L1968" s="14" t="n">
        <x:v>40</x:v>
      </x:c>
      <x:c r="M1968" s="14" t="n">
        <x:v>37</x:v>
      </x:c>
      <x:c r="N1968" s="15" t="n">
        <x:f>IF(E1968=0,"해당 없음",F1968/E1968)</x:f>
        <x:v>0.0297029702970297</x:v>
      </x:c>
      <x:c r="O1968" s="15" t="n">
        <x:f>IF(E1968=0,"해당 없음",G1968/E1968)</x:f>
        <x:v>0.1188118811881188</x:v>
      </x:c>
      <x:c r="P1968" s="15" t="n">
        <x:f>IF(E1968=0,"해당 없음",H1968/E1968)</x:f>
        <x:v>0.019801980198019802</x:v>
      </x:c>
      <x:c r="Q1968" s="15" t="n">
        <x:f>IF(E1968=0,"해당 없음",I1968/E1968)</x:f>
        <x:v>0.039603960396039604</x:v>
      </x:c>
      <x:c r="R1968" s="15" t="n">
        <x:f>IF(E1968=0,"해당 없음",J1968/E1968)</x:f>
        <x:v>0.009900990099009901</x:v>
      </x:c>
      <x:c r="S1968" s="15" t="n">
        <x:f>IF(E1968=0,"해당 없음",K1968/E1968)</x:f>
        <x:v>0.019801980198019802</x:v>
      </x:c>
      <x:c r="T1968" s="15" t="n">
        <x:f>IF(E1968=0,"해당 없음",L1968/E1968)</x:f>
        <x:v>0.39603960396039606</x:v>
      </x:c>
      <x:c r="U1968" s="15" t="n">
        <x:f>IF(E1968=0,"해당 없음",M1968/E1968)</x:f>
        <x:v>0.36633663366336633</x:v>
      </x:c>
      <x:c r="V1968" s="16" t="n">
        <x:f>E1968/5</x:f>
        <x:v>20.2</x:v>
      </x:c>
    </x:row>
    <x:row r="1969" ht="22" customHeight="1">
      <x:c r="A1969" s="2" t="n">
        <x:v>982</x:v>
      </x:c>
      <x:c r="B1969" s="2" t="str">
        <x:v>NAVY</x:v>
      </x:c>
      <x:c r="C1969" s="2" t="str">
        <x:v>120만</x:v>
      </x:c>
      <x:c r="D1969" s="2" t="str">
        <x:v>240만</x:v>
      </x:c>
      <x:c r="E1969" s="14" t="n">
        <x:f>SUM(F1969:M1969)</x:f>
        <x:v>102</x:v>
      </x:c>
      <x:c r="F1969" s="14" t="n">
        <x:v>2</x:v>
      </x:c>
      <x:c r="G1969" s="14" t="n">
        <x:v>14</x:v>
      </x:c>
      <x:c r="H1969" s="14" t="n">
        <x:v>7</x:v>
      </x:c>
      <x:c r="I1969" s="14" t="n">
        <x:v>7</x:v>
      </x:c>
      <x:c r="J1969" s="14" t="n">
        <x:v>5</x:v>
      </x:c>
      <x:c r="K1969" s="14" t="n">
        <x:v>9</x:v>
      </x:c>
      <x:c r="L1969" s="14" t="n">
        <x:v>37</x:v>
      </x:c>
      <x:c r="M1969" s="14" t="n">
        <x:v>21</x:v>
      </x:c>
      <x:c r="N1969" s="15" t="n">
        <x:f>IF(E1969=0,"해당 없음",F1969/E1969)</x:f>
        <x:v>0.0196078431372549</x:v>
      </x:c>
      <x:c r="O1969" s="15" t="n">
        <x:f>IF(E1969=0,"해당 없음",G1969/E1969)</x:f>
        <x:v>0.13725490196078433</x:v>
      </x:c>
      <x:c r="P1969" s="15" t="n">
        <x:f>IF(E1969=0,"해당 없음",H1969/E1969)</x:f>
        <x:v>0.06862745098039216</x:v>
      </x:c>
      <x:c r="Q1969" s="15" t="n">
        <x:f>IF(E1969=0,"해당 없음",I1969/E1969)</x:f>
        <x:v>0.06862745098039216</x:v>
      </x:c>
      <x:c r="R1969" s="15" t="n">
        <x:f>IF(E1969=0,"해당 없음",J1969/E1969)</x:f>
        <x:v>0.049019607843137254</x:v>
      </x:c>
      <x:c r="S1969" s="15" t="n">
        <x:f>IF(E1969=0,"해당 없음",K1969/E1969)</x:f>
        <x:v>0.08823529411764706</x:v>
      </x:c>
      <x:c r="T1969" s="15" t="n">
        <x:f>IF(E1969=0,"해당 없음",L1969/E1969)</x:f>
        <x:v>0.3627450980392157</x:v>
      </x:c>
      <x:c r="U1969" s="15" t="n">
        <x:f>IF(E1969=0,"해당 없음",M1969/E1969)</x:f>
        <x:v>0.20588235294117646</x:v>
      </x:c>
      <x:c r="V1969" s="16" t="n">
        <x:f>E1969/5</x:f>
        <x:v>20.4</x:v>
      </x:c>
    </x:row>
    <x:row r="1970" ht="22" customHeight="1">
      <x:c r="A1970" s="2" t="n">
        <x:v>983</x:v>
      </x:c>
      <x:c r="B1970" s="2" t="str">
        <x:v>RED</x:v>
      </x:c>
      <x:c r="C1970" s="2" t="str">
        <x:v>120만</x:v>
      </x:c>
      <x:c r="D1970" s="2" t="str">
        <x:v>240만</x:v>
      </x:c>
      <x:c r="E1970" s="14" t="n">
        <x:f>SUM(F1970:M1970)</x:f>
        <x:v>104</x:v>
      </x:c>
      <x:c r="F1970" s="14" t="n">
        <x:v>2</x:v>
      </x:c>
      <x:c r="G1970" s="14" t="n">
        <x:v>12</x:v>
      </x:c>
      <x:c r="H1970" s="14" t="n">
        <x:v>6</x:v>
      </x:c>
      <x:c r="I1970" s="14" t="n">
        <x:v>10</x:v>
      </x:c>
      <x:c r="J1970" s="14" t="n">
        <x:v>5</x:v>
      </x:c>
      <x:c r="K1970" s="14" t="n">
        <x:v>6</x:v>
      </x:c>
      <x:c r="L1970" s="14" t="n">
        <x:v>42</x:v>
      </x:c>
      <x:c r="M1970" s="14" t="n">
        <x:v>21</x:v>
      </x:c>
      <x:c r="N1970" s="15" t="n">
        <x:f>IF(E1970=0,"해당 없음",F1970/E1970)</x:f>
        <x:v>0.019230769230769232</x:v>
      </x:c>
      <x:c r="O1970" s="15" t="n">
        <x:f>IF(E1970=0,"해당 없음",G1970/E1970)</x:f>
        <x:v>0.11538461538461539</x:v>
      </x:c>
      <x:c r="P1970" s="15" t="n">
        <x:f>IF(E1970=0,"해당 없음",H1970/E1970)</x:f>
        <x:v>0.057692307692307696</x:v>
      </x:c>
      <x:c r="Q1970" s="15" t="n">
        <x:f>IF(E1970=0,"해당 없음",I1970/E1970)</x:f>
        <x:v>0.09615384615384616</x:v>
      </x:c>
      <x:c r="R1970" s="15" t="n">
        <x:f>IF(E1970=0,"해당 없음",J1970/E1970)</x:f>
        <x:v>0.04807692307692308</x:v>
      </x:c>
      <x:c r="S1970" s="15" t="n">
        <x:f>IF(E1970=0,"해당 없음",K1970/E1970)</x:f>
        <x:v>0.057692307692307696</x:v>
      </x:c>
      <x:c r="T1970" s="15" t="n">
        <x:f>IF(E1970=0,"해당 없음",L1970/E1970)</x:f>
        <x:v>0.40384615384615385</x:v>
      </x:c>
      <x:c r="U1970" s="15" t="n">
        <x:f>IF(E1970=0,"해당 없음",M1970/E1970)</x:f>
        <x:v>0.20192307692307693</x:v>
      </x:c>
      <x:c r="V1970" s="16" t="n">
        <x:f>E1970/5</x:f>
        <x:v>20.8</x:v>
      </x:c>
    </x:row>
    <x:row r="1971" ht="22" customHeight="1">
      <x:c r="A1971" s="2" t="n">
        <x:v>983</x:v>
      </x:c>
      <x:c r="B1971" s="2" t="str">
        <x:v>NAVY</x:v>
      </x:c>
      <x:c r="C1971" s="2" t="str">
        <x:v>240만</x:v>
      </x:c>
      <x:c r="D1971" s="2" t="str">
        <x:v>120만</x:v>
      </x:c>
      <x:c r="E1971" s="14" t="n">
        <x:f>SUM(F1971:M1971)</x:f>
        <x:v>105</x:v>
      </x:c>
      <x:c r="F1971" s="14" t="n">
        <x:v>3</x:v>
      </x:c>
      <x:c r="G1971" s="14" t="n">
        <x:v>9</x:v>
      </x:c>
      <x:c r="H1971" s="14" t="n">
        <x:v>3</x:v>
      </x:c>
      <x:c r="I1971" s="14" t="n">
        <x:v>4</x:v>
      </x:c>
      <x:c r="J1971" s="14" t="n">
        <x:v>2</x:v>
      </x:c>
      <x:c r="K1971" s="14" t="n">
        <x:v>6</x:v>
      </x:c>
      <x:c r="L1971" s="14" t="n">
        <x:v>39</x:v>
      </x:c>
      <x:c r="M1971" s="14" t="n">
        <x:v>39</x:v>
      </x:c>
      <x:c r="N1971" s="15" t="n">
        <x:f>IF(E1971=0,"해당 없음",F1971/E1971)</x:f>
        <x:v>0.02857142857142857</x:v>
      </x:c>
      <x:c r="O1971" s="15" t="n">
        <x:f>IF(E1971=0,"해당 없음",G1971/E1971)</x:f>
        <x:v>0.08571428571428572</x:v>
      </x:c>
      <x:c r="P1971" s="15" t="n">
        <x:f>IF(E1971=0,"해당 없음",H1971/E1971)</x:f>
        <x:v>0.02857142857142857</x:v>
      </x:c>
      <x:c r="Q1971" s="15" t="n">
        <x:f>IF(E1971=0,"해당 없음",I1971/E1971)</x:f>
        <x:v>0.0380952380952381</x:v>
      </x:c>
      <x:c r="R1971" s="15" t="n">
        <x:f>IF(E1971=0,"해당 없음",J1971/E1971)</x:f>
        <x:v>0.01904761904761905</x:v>
      </x:c>
      <x:c r="S1971" s="15" t="n">
        <x:f>IF(E1971=0,"해당 없음",K1971/E1971)</x:f>
        <x:v>0.05714285714285714</x:v>
      </x:c>
      <x:c r="T1971" s="15" t="n">
        <x:f>IF(E1971=0,"해당 없음",L1971/E1971)</x:f>
        <x:v>0.37142857142857144</x:v>
      </x:c>
      <x:c r="U1971" s="15" t="n">
        <x:f>IF(E1971=0,"해당 없음",M1971/E1971)</x:f>
        <x:v>0.37142857142857144</x:v>
      </x:c>
      <x:c r="V1971" s="16" t="n">
        <x:f>E1971/5</x:f>
        <x:v>21</x:v>
      </x:c>
    </x:row>
    <x:row r="1972" ht="22" customHeight="1">
      <x:c r="A1972" s="2" t="n">
        <x:v>984</x:v>
      </x:c>
      <x:c r="B1972" s="2" t="str">
        <x:v>RED</x:v>
      </x:c>
      <x:c r="C1972" s="2" t="str">
        <x:v>240만</x:v>
      </x:c>
      <x:c r="D1972" s="2" t="str">
        <x:v>120만</x:v>
      </x:c>
      <x:c r="E1972" s="14" t="n">
        <x:f>SUM(F1972:M1972)</x:f>
        <x:v>106</x:v>
      </x:c>
      <x:c r="F1972" s="14" t="n">
        <x:v>1</x:v>
      </x:c>
      <x:c r="G1972" s="14" t="n">
        <x:v>6</x:v>
      </x:c>
      <x:c r="H1972" s="14" t="n">
        <x:v>2</x:v>
      </x:c>
      <x:c r="I1972" s="14" t="n">
        <x:v>7</x:v>
      </x:c>
      <x:c r="J1972" s="14" t="n">
        <x:v>3</x:v>
      </x:c>
      <x:c r="K1972" s="14" t="n">
        <x:v>1</x:v>
      </x:c>
      <x:c r="L1972" s="14" t="n">
        <x:v>41</x:v>
      </x:c>
      <x:c r="M1972" s="14" t="n">
        <x:v>45</x:v>
      </x:c>
      <x:c r="N1972" s="15" t="n">
        <x:f>IF(E1972=0,"해당 없음",F1972/E1972)</x:f>
        <x:v>0.009433962264150943</x:v>
      </x:c>
      <x:c r="O1972" s="15" t="n">
        <x:f>IF(E1972=0,"해당 없음",G1972/E1972)</x:f>
        <x:v>0.05660377358490566</x:v>
      </x:c>
      <x:c r="P1972" s="15" t="n">
        <x:f>IF(E1972=0,"해당 없음",H1972/E1972)</x:f>
        <x:v>0.018867924528301886</x:v>
      </x:c>
      <x:c r="Q1972" s="15" t="n">
        <x:f>IF(E1972=0,"해당 없음",I1972/E1972)</x:f>
        <x:v>0.0660377358490566</x:v>
      </x:c>
      <x:c r="R1972" s="15" t="n">
        <x:f>IF(E1972=0,"해당 없음",J1972/E1972)</x:f>
        <x:v>0.02830188679245283</x:v>
      </x:c>
      <x:c r="S1972" s="15" t="n">
        <x:f>IF(E1972=0,"해당 없음",K1972/E1972)</x:f>
        <x:v>0.009433962264150943</x:v>
      </x:c>
      <x:c r="T1972" s="15" t="n">
        <x:f>IF(E1972=0,"해당 없음",L1972/E1972)</x:f>
        <x:v>0.3867924528301887</x:v>
      </x:c>
      <x:c r="U1972" s="15" t="n">
        <x:f>IF(E1972=0,"해당 없음",M1972/E1972)</x:f>
        <x:v>0.42452830188679247</x:v>
      </x:c>
      <x:c r="V1972" s="16" t="n">
        <x:f>E1972/5</x:f>
        <x:v>21.2</x:v>
      </x:c>
    </x:row>
    <x:row r="1973" ht="22" customHeight="1">
      <x:c r="A1973" s="2" t="n">
        <x:v>984</x:v>
      </x:c>
      <x:c r="B1973" s="2" t="str">
        <x:v>NAVY</x:v>
      </x:c>
      <x:c r="C1973" s="2" t="str">
        <x:v>120만</x:v>
      </x:c>
      <x:c r="D1973" s="2" t="str">
        <x:v>240만</x:v>
      </x:c>
      <x:c r="E1973" s="14" t="n">
        <x:f>SUM(F1973:M1973)</x:f>
        <x:v>104</x:v>
      </x:c>
      <x:c r="F1973" s="14" t="n">
        <x:v>1</x:v>
      </x:c>
      <x:c r="G1973" s="14" t="n">
        <x:v>8</x:v>
      </x:c>
      <x:c r="H1973" s="14" t="n">
        <x:v>2</x:v>
      </x:c>
      <x:c r="I1973" s="14" t="n">
        <x:v>13</x:v>
      </x:c>
      <x:c r="J1973" s="14" t="n">
        <x:v>8</x:v>
      </x:c>
      <x:c r="K1973" s="14" t="n">
        <x:v>5</x:v>
      </x:c>
      <x:c r="L1973" s="14" t="n">
        <x:v>45</x:v>
      </x:c>
      <x:c r="M1973" s="14" t="n">
        <x:v>22</x:v>
      </x:c>
      <x:c r="N1973" s="15" t="n">
        <x:f>IF(E1973=0,"해당 없음",F1973/E1973)</x:f>
        <x:v>0.009615384615384616</x:v>
      </x:c>
      <x:c r="O1973" s="15" t="n">
        <x:f>IF(E1973=0,"해당 없음",G1973/E1973)</x:f>
        <x:v>0.07692307692307693</x:v>
      </x:c>
      <x:c r="P1973" s="15" t="n">
        <x:f>IF(E1973=0,"해당 없음",H1973/E1973)</x:f>
        <x:v>0.019230769230769232</x:v>
      </x:c>
      <x:c r="Q1973" s="15" t="n">
        <x:f>IF(E1973=0,"해당 없음",I1973/E1973)</x:f>
        <x:v>0.125</x:v>
      </x:c>
      <x:c r="R1973" s="15" t="n">
        <x:f>IF(E1973=0,"해당 없음",J1973/E1973)</x:f>
        <x:v>0.07692307692307693</x:v>
      </x:c>
      <x:c r="S1973" s="15" t="n">
        <x:f>IF(E1973=0,"해당 없음",K1973/E1973)</x:f>
        <x:v>0.04807692307692308</x:v>
      </x:c>
      <x:c r="T1973" s="15" t="n">
        <x:f>IF(E1973=0,"해당 없음",L1973/E1973)</x:f>
        <x:v>0.4326923076923077</x:v>
      </x:c>
      <x:c r="U1973" s="15" t="n">
        <x:f>IF(E1973=0,"해당 없음",M1973/E1973)</x:f>
        <x:v>0.21153846153846154</x:v>
      </x:c>
      <x:c r="V1973" s="16" t="n">
        <x:f>E1973/5</x:f>
        <x:v>20.8</x:v>
      </x:c>
    </x:row>
    <x:row r="1974" ht="22" customHeight="1">
      <x:c r="A1974" s="2" t="n">
        <x:v>985</x:v>
      </x:c>
      <x:c r="B1974" s="2" t="str">
        <x:v>RED</x:v>
      </x:c>
      <x:c r="C1974" s="2" t="str">
        <x:v>120만</x:v>
      </x:c>
      <x:c r="D1974" s="2" t="str">
        <x:v>240만</x:v>
      </x:c>
      <x:c r="E1974" s="14" t="n">
        <x:f>SUM(F1974:M1974)</x:f>
        <x:v>102</x:v>
      </x:c>
      <x:c r="F1974" s="14" t="n">
        <x:v>1</x:v>
      </x:c>
      <x:c r="G1974" s="14" t="n">
        <x:v>17</x:v>
      </x:c>
      <x:c r="H1974" s="14" t="n">
        <x:v>10</x:v>
      </x:c>
      <x:c r="I1974" s="14" t="n">
        <x:v>9</x:v>
      </x:c>
      <x:c r="J1974" s="14" t="n">
        <x:v>1</x:v>
      </x:c>
      <x:c r="K1974" s="14" t="n">
        <x:v>6</x:v>
      </x:c>
      <x:c r="L1974" s="14" t="n">
        <x:v>38</x:v>
      </x:c>
      <x:c r="M1974" s="14" t="n">
        <x:v>20</x:v>
      </x:c>
      <x:c r="N1974" s="15" t="n">
        <x:f>IF(E1974=0,"해당 없음",F1974/E1974)</x:f>
        <x:v>0.00980392156862745</x:v>
      </x:c>
      <x:c r="O1974" s="15" t="n">
        <x:f>IF(E1974=0,"해당 없음",G1974/E1974)</x:f>
        <x:v>0.16666666666666666</x:v>
      </x:c>
      <x:c r="P1974" s="15" t="n">
        <x:f>IF(E1974=0,"해당 없음",H1974/E1974)</x:f>
        <x:v>0.09803921568627451</x:v>
      </x:c>
      <x:c r="Q1974" s="15" t="n">
        <x:f>IF(E1974=0,"해당 없음",I1974/E1974)</x:f>
        <x:v>0.08823529411764706</x:v>
      </x:c>
      <x:c r="R1974" s="15" t="n">
        <x:f>IF(E1974=0,"해당 없음",J1974/E1974)</x:f>
        <x:v>0.00980392156862745</x:v>
      </x:c>
      <x:c r="S1974" s="15" t="n">
        <x:f>IF(E1974=0,"해당 없음",K1974/E1974)</x:f>
        <x:v>0.058823529411764705</x:v>
      </x:c>
      <x:c r="T1974" s="15" t="n">
        <x:f>IF(E1974=0,"해당 없음",L1974/E1974)</x:f>
        <x:v>0.37254901960784315</x:v>
      </x:c>
      <x:c r="U1974" s="15" t="n">
        <x:f>IF(E1974=0,"해당 없음",M1974/E1974)</x:f>
        <x:v>0.19607843137254902</x:v>
      </x:c>
      <x:c r="V1974" s="16" t="n">
        <x:f>E1974/5</x:f>
        <x:v>20.4</x:v>
      </x:c>
    </x:row>
    <x:row r="1975" ht="22" customHeight="1">
      <x:c r="A1975" s="2" t="n">
        <x:v>985</x:v>
      </x:c>
      <x:c r="B1975" s="2" t="str">
        <x:v>NAVY</x:v>
      </x:c>
      <x:c r="C1975" s="2" t="str">
        <x:v>240만</x:v>
      </x:c>
      <x:c r="D1975" s="2" t="str">
        <x:v>120만</x:v>
      </x:c>
      <x:c r="E1975" s="14" t="n">
        <x:f>SUM(F1975:M1975)</x:f>
        <x:v>102</x:v>
      </x:c>
      <x:c r="F1975" s="14" t="n">
        <x:v>1</x:v>
      </x:c>
      <x:c r="G1975" s="14" t="n">
        <x:v>19</x:v>
      </x:c>
      <x:c r="H1975" s="14" t="n">
        <x:v>1</x:v>
      </x:c>
      <x:c r="I1975" s="14" t="n">
        <x:v>3</x:v>
      </x:c>
      <x:c r="J1975" s="14" t="n">
        <x:v>3</x:v>
      </x:c>
      <x:c r="K1975" s="14" t="n">
        <x:v>7</x:v>
      </x:c>
      <x:c r="L1975" s="14" t="n">
        <x:v>36</x:v>
      </x:c>
      <x:c r="M1975" s="14" t="n">
        <x:v>32</x:v>
      </x:c>
      <x:c r="N1975" s="15" t="n">
        <x:f>IF(E1975=0,"해당 없음",F1975/E1975)</x:f>
        <x:v>0.00980392156862745</x:v>
      </x:c>
      <x:c r="O1975" s="15" t="n">
        <x:f>IF(E1975=0,"해당 없음",G1975/E1975)</x:f>
        <x:v>0.18627450980392157</x:v>
      </x:c>
      <x:c r="P1975" s="15" t="n">
        <x:f>IF(E1975=0,"해당 없음",H1975/E1975)</x:f>
        <x:v>0.00980392156862745</x:v>
      </x:c>
      <x:c r="Q1975" s="15" t="n">
        <x:f>IF(E1975=0,"해당 없음",I1975/E1975)</x:f>
        <x:v>0.029411764705882353</x:v>
      </x:c>
      <x:c r="R1975" s="15" t="n">
        <x:f>IF(E1975=0,"해당 없음",J1975/E1975)</x:f>
        <x:v>0.029411764705882353</x:v>
      </x:c>
      <x:c r="S1975" s="15" t="n">
        <x:f>IF(E1975=0,"해당 없음",K1975/E1975)</x:f>
        <x:v>0.06862745098039216</x:v>
      </x:c>
      <x:c r="T1975" s="15" t="n">
        <x:f>IF(E1975=0,"해당 없음",L1975/E1975)</x:f>
        <x:v>0.35294117647058826</x:v>
      </x:c>
      <x:c r="U1975" s="15" t="n">
        <x:f>IF(E1975=0,"해당 없음",M1975/E1975)</x:f>
        <x:v>0.3137254901960784</x:v>
      </x:c>
      <x:c r="V1975" s="16" t="n">
        <x:f>E1975/5</x:f>
        <x:v>20.4</x:v>
      </x:c>
    </x:row>
    <x:row r="1976" ht="22" customHeight="1">
      <x:c r="A1976" s="2" t="n">
        <x:v>986</x:v>
      </x:c>
      <x:c r="B1976" s="2" t="str">
        <x:v>RED</x:v>
      </x:c>
      <x:c r="C1976" s="2" t="str">
        <x:v>240만</x:v>
      </x:c>
      <x:c r="D1976" s="2" t="str">
        <x:v>120만</x:v>
      </x:c>
      <x:c r="E1976" s="14" t="n">
        <x:f>SUM(F1976:M1976)</x:f>
        <x:v>102</x:v>
      </x:c>
      <x:c r="F1976" s="14" t="n">
        <x:v>4</x:v>
      </x:c>
      <x:c r="G1976" s="14" t="n">
        <x:v>10</x:v>
      </x:c>
      <x:c r="H1976" s="14" t="n">
        <x:v>4</x:v>
      </x:c>
      <x:c r="I1976" s="14" t="n">
        <x:v>3</x:v>
      </x:c>
      <x:c r="J1976" s="14" t="n">
        <x:v>2</x:v>
      </x:c>
      <x:c r="K1976" s="14" t="n">
        <x:v>3</x:v>
      </x:c>
      <x:c r="L1976" s="14" t="n">
        <x:v>37</x:v>
      </x:c>
      <x:c r="M1976" s="14" t="n">
        <x:v>39</x:v>
      </x:c>
      <x:c r="N1976" s="15" t="n">
        <x:f>IF(E1976=0,"해당 없음",F1976/E1976)</x:f>
        <x:v>0.0392156862745098</x:v>
      </x:c>
      <x:c r="O1976" s="15" t="n">
        <x:f>IF(E1976=0,"해당 없음",G1976/E1976)</x:f>
        <x:v>0.09803921568627451</x:v>
      </x:c>
      <x:c r="P1976" s="15" t="n">
        <x:f>IF(E1976=0,"해당 없음",H1976/E1976)</x:f>
        <x:v>0.0392156862745098</x:v>
      </x:c>
      <x:c r="Q1976" s="15" t="n">
        <x:f>IF(E1976=0,"해당 없음",I1976/E1976)</x:f>
        <x:v>0.029411764705882353</x:v>
      </x:c>
      <x:c r="R1976" s="15" t="n">
        <x:f>IF(E1976=0,"해당 없음",J1976/E1976)</x:f>
        <x:v>0.0196078431372549</x:v>
      </x:c>
      <x:c r="S1976" s="15" t="n">
        <x:f>IF(E1976=0,"해당 없음",K1976/E1976)</x:f>
        <x:v>0.029411764705882353</x:v>
      </x:c>
      <x:c r="T1976" s="15" t="n">
        <x:f>IF(E1976=0,"해당 없음",L1976/E1976)</x:f>
        <x:v>0.3627450980392157</x:v>
      </x:c>
      <x:c r="U1976" s="15" t="n">
        <x:f>IF(E1976=0,"해당 없음",M1976/E1976)</x:f>
        <x:v>0.38235294117647056</x:v>
      </x:c>
      <x:c r="V1976" s="16" t="n">
        <x:f>E1976/5</x:f>
        <x:v>20.4</x:v>
      </x:c>
    </x:row>
    <x:row r="1977" ht="22" customHeight="1">
      <x:c r="A1977" s="2" t="n">
        <x:v>986</x:v>
      </x:c>
      <x:c r="B1977" s="2" t="str">
        <x:v>NAVY</x:v>
      </x:c>
      <x:c r="C1977" s="2" t="str">
        <x:v>120만</x:v>
      </x:c>
      <x:c r="D1977" s="2" t="str">
        <x:v>240만</x:v>
      </x:c>
      <x:c r="E1977" s="14" t="n">
        <x:f>SUM(F1977:M1977)</x:f>
        <x:v>103</x:v>
      </x:c>
      <x:c r="F1977" s="14" t="n">
        <x:v>1</x:v>
      </x:c>
      <x:c r="G1977" s="14" t="n">
        <x:v>11</x:v>
      </x:c>
      <x:c r="H1977" s="14" t="n">
        <x:v>2</x:v>
      </x:c>
      <x:c r="I1977" s="14" t="n">
        <x:v>9</x:v>
      </x:c>
      <x:c r="J1977" s="14" t="n">
        <x:v>6</x:v>
      </x:c>
      <x:c r="K1977" s="14" t="n">
        <x:v>14</x:v>
      </x:c>
      <x:c r="L1977" s="14" t="n">
        <x:v>40</x:v>
      </x:c>
      <x:c r="M1977" s="14" t="n">
        <x:v>20</x:v>
      </x:c>
      <x:c r="N1977" s="15" t="n">
        <x:f>IF(E1977=0,"해당 없음",F1977/E1977)</x:f>
        <x:v>0.009708737864077669</x:v>
      </x:c>
      <x:c r="O1977" s="15" t="n">
        <x:f>IF(E1977=0,"해당 없음",G1977/E1977)</x:f>
        <x:v>0.10679611650485436</x:v>
      </x:c>
      <x:c r="P1977" s="15" t="n">
        <x:f>IF(E1977=0,"해당 없음",H1977/E1977)</x:f>
        <x:v>0.019417475728155338</x:v>
      </x:c>
      <x:c r="Q1977" s="15" t="n">
        <x:f>IF(E1977=0,"해당 없음",I1977/E1977)</x:f>
        <x:v>0.08737864077669903</x:v>
      </x:c>
      <x:c r="R1977" s="15" t="n">
        <x:f>IF(E1977=0,"해당 없음",J1977/E1977)</x:f>
        <x:v>0.05825242718446602</x:v>
      </x:c>
      <x:c r="S1977" s="15" t="n">
        <x:f>IF(E1977=0,"해당 없음",K1977/E1977)</x:f>
        <x:v>0.13592233009708737</x:v>
      </x:c>
      <x:c r="T1977" s="15" t="n">
        <x:f>IF(E1977=0,"해당 없음",L1977/E1977)</x:f>
        <x:v>0.3883495145631068</x:v>
      </x:c>
      <x:c r="U1977" s="15" t="n">
        <x:f>IF(E1977=0,"해당 없음",M1977/E1977)</x:f>
        <x:v>0.1941747572815534</x:v>
      </x:c>
      <x:c r="V1977" s="16" t="n">
        <x:f>E1977/5</x:f>
        <x:v>20.6</x:v>
      </x:c>
    </x:row>
    <x:row r="1978" ht="22" customHeight="1">
      <x:c r="A1978" s="2" t="n">
        <x:v>987</x:v>
      </x:c>
      <x:c r="B1978" s="2" t="str">
        <x:v>RED</x:v>
      </x:c>
      <x:c r="C1978" s="2" t="str">
        <x:v>120만</x:v>
      </x:c>
      <x:c r="D1978" s="2" t="str">
        <x:v>240만</x:v>
      </x:c>
      <x:c r="E1978" s="14" t="n">
        <x:f>SUM(F1978:M1978)</x:f>
        <x:v>105</x:v>
      </x:c>
      <x:c r="F1978" s="14" t="n">
        <x:v>1</x:v>
      </x:c>
      <x:c r="G1978" s="14" t="n">
        <x:v>7</x:v>
      </x:c>
      <x:c r="H1978" s="14" t="n">
        <x:v>5</x:v>
      </x:c>
      <x:c r="I1978" s="14" t="n">
        <x:v>9</x:v>
      </x:c>
      <x:c r="J1978" s="14" t="n">
        <x:v>1</x:v>
      </x:c>
      <x:c r="K1978" s="14" t="n">
        <x:v>13</x:v>
      </x:c>
      <x:c r="L1978" s="14" t="n">
        <x:v>39</x:v>
      </x:c>
      <x:c r="M1978" s="14" t="n">
        <x:v>30</x:v>
      </x:c>
      <x:c r="N1978" s="15" t="n">
        <x:f>IF(E1978=0,"해당 없음",F1978/E1978)</x:f>
        <x:v>0.009523809523809525</x:v>
      </x:c>
      <x:c r="O1978" s="15" t="n">
        <x:f>IF(E1978=0,"해당 없음",G1978/E1978)</x:f>
        <x:v>0.06666666666666667</x:v>
      </x:c>
      <x:c r="P1978" s="15" t="n">
        <x:f>IF(E1978=0,"해당 없음",H1978/E1978)</x:f>
        <x:v>0.047619047619047616</x:v>
      </x:c>
      <x:c r="Q1978" s="15" t="n">
        <x:f>IF(E1978=0,"해당 없음",I1978/E1978)</x:f>
        <x:v>0.08571428571428572</x:v>
      </x:c>
      <x:c r="R1978" s="15" t="n">
        <x:f>IF(E1978=0,"해당 없음",J1978/E1978)</x:f>
        <x:v>0.009523809523809525</x:v>
      </x:c>
      <x:c r="S1978" s="15" t="n">
        <x:f>IF(E1978=0,"해당 없음",K1978/E1978)</x:f>
        <x:v>0.12380952380952381</x:v>
      </x:c>
      <x:c r="T1978" s="15" t="n">
        <x:f>IF(E1978=0,"해당 없음",L1978/E1978)</x:f>
        <x:v>0.37142857142857144</x:v>
      </x:c>
      <x:c r="U1978" s="15" t="n">
        <x:f>IF(E1978=0,"해당 없음",M1978/E1978)</x:f>
        <x:v>0.2857142857142857</x:v>
      </x:c>
      <x:c r="V1978" s="16" t="n">
        <x:f>E1978/5</x:f>
        <x:v>21</x:v>
      </x:c>
    </x:row>
    <x:row r="1979" ht="22" customHeight="1">
      <x:c r="A1979" s="2" t="n">
        <x:v>987</x:v>
      </x:c>
      <x:c r="B1979" s="2" t="str">
        <x:v>NAVY</x:v>
      </x:c>
      <x:c r="C1979" s="2" t="str">
        <x:v>240만</x:v>
      </x:c>
      <x:c r="D1979" s="2" t="str">
        <x:v>120만</x:v>
      </x:c>
      <x:c r="E1979" s="14" t="n">
        <x:f>SUM(F1979:M1979)</x:f>
        <x:v>101</x:v>
      </x:c>
      <x:c r="F1979" s="14" t="n">
        <x:v>1</x:v>
      </x:c>
      <x:c r="G1979" s="14" t="n">
        <x:v>11</x:v>
      </x:c>
      <x:c r="H1979" s="14" t="n">
        <x:v>1</x:v>
      </x:c>
      <x:c r="I1979" s="14" t="n">
        <x:v>4</x:v>
      </x:c>
      <x:c r="J1979" s="14" t="n">
        <x:v>3</x:v>
      </x:c>
      <x:c r="K1979" s="14" t="n">
        <x:v>0</x:v>
      </x:c>
      <x:c r="L1979" s="14" t="n">
        <x:v>37</x:v>
      </x:c>
      <x:c r="M1979" s="14" t="n">
        <x:v>44</x:v>
      </x:c>
      <x:c r="N1979" s="15" t="n">
        <x:f>IF(E1979=0,"해당 없음",F1979/E1979)</x:f>
        <x:v>0.009900990099009901</x:v>
      </x:c>
      <x:c r="O1979" s="15" t="n">
        <x:f>IF(E1979=0,"해당 없음",G1979/E1979)</x:f>
        <x:v>0.10891089108910891</x:v>
      </x:c>
      <x:c r="P1979" s="15" t="n">
        <x:f>IF(E1979=0,"해당 없음",H1979/E1979)</x:f>
        <x:v>0.009900990099009901</x:v>
      </x:c>
      <x:c r="Q1979" s="15" t="n">
        <x:f>IF(E1979=0,"해당 없음",I1979/E1979)</x:f>
        <x:v>0.039603960396039604</x:v>
      </x:c>
      <x:c r="R1979" s="15" t="n">
        <x:f>IF(E1979=0,"해당 없음",J1979/E1979)</x:f>
        <x:v>0.0297029702970297</x:v>
      </x:c>
      <x:c r="S1979" s="15" t="n">
        <x:f>IF(E1979=0,"해당 없음",K1979/E1979)</x:f>
        <x:v>0</x:v>
      </x:c>
      <x:c r="T1979" s="15" t="n">
        <x:f>IF(E1979=0,"해당 없음",L1979/E1979)</x:f>
        <x:v>0.36633663366336633</x:v>
      </x:c>
      <x:c r="U1979" s="15" t="n">
        <x:f>IF(E1979=0,"해당 없음",M1979/E1979)</x:f>
        <x:v>0.43564356435643564</x:v>
      </x:c>
      <x:c r="V1979" s="16" t="n">
        <x:f>E1979/5</x:f>
        <x:v>20.2</x:v>
      </x:c>
    </x:row>
    <x:row r="1980" ht="22" customHeight="1">
      <x:c r="A1980" s="2" t="n">
        <x:v>988</x:v>
      </x:c>
      <x:c r="B1980" s="2" t="str">
        <x:v>RED</x:v>
      </x:c>
      <x:c r="C1980" s="2" t="str">
        <x:v>240만</x:v>
      </x:c>
      <x:c r="D1980" s="2" t="str">
        <x:v>120만</x:v>
      </x:c>
      <x:c r="E1980" s="14" t="n">
        <x:f>SUM(F1980:M1980)</x:f>
        <x:v>100</x:v>
      </x:c>
      <x:c r="F1980" s="14" t="n">
        <x:v>2</x:v>
      </x:c>
      <x:c r="G1980" s="14" t="n">
        <x:v>10</x:v>
      </x:c>
      <x:c r="H1980" s="14" t="n">
        <x:v>2</x:v>
      </x:c>
      <x:c r="I1980" s="14" t="n">
        <x:v>4</x:v>
      </x:c>
      <x:c r="J1980" s="14" t="n">
        <x:v>0</x:v>
      </x:c>
      <x:c r="K1980" s="14" t="n">
        <x:v>5</x:v>
      </x:c>
      <x:c r="L1980" s="14" t="n">
        <x:v>33</x:v>
      </x:c>
      <x:c r="M1980" s="14" t="n">
        <x:v>44</x:v>
      </x:c>
      <x:c r="N1980" s="15" t="n">
        <x:f>IF(E1980=0,"해당 없음",F1980/E1980)</x:f>
        <x:v>0.02</x:v>
      </x:c>
      <x:c r="O1980" s="15" t="n">
        <x:f>IF(E1980=0,"해당 없음",G1980/E1980)</x:f>
        <x:v>0.1</x:v>
      </x:c>
      <x:c r="P1980" s="15" t="n">
        <x:f>IF(E1980=0,"해당 없음",H1980/E1980)</x:f>
        <x:v>0.02</x:v>
      </x:c>
      <x:c r="Q1980" s="15" t="n">
        <x:f>IF(E1980=0,"해당 없음",I1980/E1980)</x:f>
        <x:v>0.04</x:v>
      </x:c>
      <x:c r="R1980" s="15" t="n">
        <x:f>IF(E1980=0,"해당 없음",J1980/E1980)</x:f>
        <x:v>0</x:v>
      </x:c>
      <x:c r="S1980" s="15" t="n">
        <x:f>IF(E1980=0,"해당 없음",K1980/E1980)</x:f>
        <x:v>0.05</x:v>
      </x:c>
      <x:c r="T1980" s="15" t="n">
        <x:f>IF(E1980=0,"해당 없음",L1980/E1980)</x:f>
        <x:v>0.33</x:v>
      </x:c>
      <x:c r="U1980" s="15" t="n">
        <x:f>IF(E1980=0,"해당 없음",M1980/E1980)</x:f>
        <x:v>0.44</x:v>
      </x:c>
      <x:c r="V1980" s="16" t="n">
        <x:f>E1980/5</x:f>
        <x:v>20</x:v>
      </x:c>
    </x:row>
    <x:row r="1981" ht="22" customHeight="1">
      <x:c r="A1981" s="2" t="n">
        <x:v>988</x:v>
      </x:c>
      <x:c r="B1981" s="2" t="str">
        <x:v>NAVY</x:v>
      </x:c>
      <x:c r="C1981" s="2" t="str">
        <x:v>120만</x:v>
      </x:c>
      <x:c r="D1981" s="2" t="str">
        <x:v>240만</x:v>
      </x:c>
      <x:c r="E1981" s="14" t="n">
        <x:f>SUM(F1981:M1981)</x:f>
        <x:v>103</x:v>
      </x:c>
      <x:c r="F1981" s="14" t="n">
        <x:v>2</x:v>
      </x:c>
      <x:c r="G1981" s="14" t="n">
        <x:v>18</x:v>
      </x:c>
      <x:c r="H1981" s="14" t="n">
        <x:v>7</x:v>
      </x:c>
      <x:c r="I1981" s="14" t="n">
        <x:v>6</x:v>
      </x:c>
      <x:c r="J1981" s="14" t="n">
        <x:v>3</x:v>
      </x:c>
      <x:c r="K1981" s="14" t="n">
        <x:v>13</x:v>
      </x:c>
      <x:c r="L1981" s="14" t="n">
        <x:v>32</x:v>
      </x:c>
      <x:c r="M1981" s="14" t="n">
        <x:v>22</x:v>
      </x:c>
      <x:c r="N1981" s="15" t="n">
        <x:f>IF(E1981=0,"해당 없음",F1981/E1981)</x:f>
        <x:v>0.019417475728155338</x:v>
      </x:c>
      <x:c r="O1981" s="15" t="n">
        <x:f>IF(E1981=0,"해당 없음",G1981/E1981)</x:f>
        <x:v>0.17475728155339806</x:v>
      </x:c>
      <x:c r="P1981" s="15" t="n">
        <x:f>IF(E1981=0,"해당 없음",H1981/E1981)</x:f>
        <x:v>0.06796116504854369</x:v>
      </x:c>
      <x:c r="Q1981" s="15" t="n">
        <x:f>IF(E1981=0,"해당 없음",I1981/E1981)</x:f>
        <x:v>0.05825242718446602</x:v>
      </x:c>
      <x:c r="R1981" s="15" t="n">
        <x:f>IF(E1981=0,"해당 없음",J1981/E1981)</x:f>
        <x:v>0.02912621359223301</x:v>
      </x:c>
      <x:c r="S1981" s="15" t="n">
        <x:f>IF(E1981=0,"해당 없음",K1981/E1981)</x:f>
        <x:v>0.1262135922330097</x:v>
      </x:c>
      <x:c r="T1981" s="15" t="n">
        <x:f>IF(E1981=0,"해당 없음",L1981/E1981)</x:f>
        <x:v>0.3106796116504854</x:v>
      </x:c>
      <x:c r="U1981" s="15" t="n">
        <x:f>IF(E1981=0,"해당 없음",M1981/E1981)</x:f>
        <x:v>0.21359223300970873</x:v>
      </x:c>
      <x:c r="V1981" s="16" t="n">
        <x:f>E1981/5</x:f>
        <x:v>20.6</x:v>
      </x:c>
    </x:row>
    <x:row r="1982" ht="22" customHeight="1">
      <x:c r="A1982" s="2" t="n">
        <x:v>989</x:v>
      </x:c>
      <x:c r="B1982" s="2" t="str">
        <x:v>RED</x:v>
      </x:c>
      <x:c r="C1982" s="2" t="str">
        <x:v>120만</x:v>
      </x:c>
      <x:c r="D1982" s="2" t="str">
        <x:v>240만</x:v>
      </x:c>
      <x:c r="E1982" s="14" t="n">
        <x:f>SUM(F1982:M1982)</x:f>
        <x:v>105</x:v>
      </x:c>
      <x:c r="F1982" s="14" t="n">
        <x:v>1</x:v>
      </x:c>
      <x:c r="G1982" s="14" t="n">
        <x:v>16</x:v>
      </x:c>
      <x:c r="H1982" s="14" t="n">
        <x:v>3</x:v>
      </x:c>
      <x:c r="I1982" s="14" t="n">
        <x:v>4</x:v>
      </x:c>
      <x:c r="J1982" s="14" t="n">
        <x:v>7</x:v>
      </x:c>
      <x:c r="K1982" s="14" t="n">
        <x:v>16</x:v>
      </x:c>
      <x:c r="L1982" s="14" t="n">
        <x:v>35</x:v>
      </x:c>
      <x:c r="M1982" s="14" t="n">
        <x:v>23</x:v>
      </x:c>
      <x:c r="N1982" s="15" t="n">
        <x:f>IF(E1982=0,"해당 없음",F1982/E1982)</x:f>
        <x:v>0.009523809523809525</x:v>
      </x:c>
      <x:c r="O1982" s="15" t="n">
        <x:f>IF(E1982=0,"해당 없음",G1982/E1982)</x:f>
        <x:v>0.1523809523809524</x:v>
      </x:c>
      <x:c r="P1982" s="15" t="n">
        <x:f>IF(E1982=0,"해당 없음",H1982/E1982)</x:f>
        <x:v>0.02857142857142857</x:v>
      </x:c>
      <x:c r="Q1982" s="15" t="n">
        <x:f>IF(E1982=0,"해당 없음",I1982/E1982)</x:f>
        <x:v>0.0380952380952381</x:v>
      </x:c>
      <x:c r="R1982" s="15" t="n">
        <x:f>IF(E1982=0,"해당 없음",J1982/E1982)</x:f>
        <x:v>0.06666666666666667</x:v>
      </x:c>
      <x:c r="S1982" s="15" t="n">
        <x:f>IF(E1982=0,"해당 없음",K1982/E1982)</x:f>
        <x:v>0.1523809523809524</x:v>
      </x:c>
      <x:c r="T1982" s="15" t="n">
        <x:f>IF(E1982=0,"해당 없음",L1982/E1982)</x:f>
        <x:v>0.3333333333333333</x:v>
      </x:c>
      <x:c r="U1982" s="15" t="n">
        <x:f>IF(E1982=0,"해당 없음",M1982/E1982)</x:f>
        <x:v>0.21904761904761905</x:v>
      </x:c>
      <x:c r="V1982" s="16" t="n">
        <x:f>E1982/5</x:f>
        <x:v>21</x:v>
      </x:c>
    </x:row>
    <x:row r="1983" ht="22" customHeight="1">
      <x:c r="A1983" s="2" t="n">
        <x:v>989</x:v>
      </x:c>
      <x:c r="B1983" s="2" t="str">
        <x:v>NAVY</x:v>
      </x:c>
      <x:c r="C1983" s="2" t="str">
        <x:v>240만</x:v>
      </x:c>
      <x:c r="D1983" s="2" t="str">
        <x:v>120만</x:v>
      </x:c>
      <x:c r="E1983" s="14" t="n">
        <x:f>SUM(F1983:M1983)</x:f>
        <x:v>104</x:v>
      </x:c>
      <x:c r="F1983" s="14" t="n">
        <x:v>0</x:v>
      </x:c>
      <x:c r="G1983" s="14" t="n">
        <x:v>12</x:v>
      </x:c>
      <x:c r="H1983" s="14" t="n">
        <x:v>1</x:v>
      </x:c>
      <x:c r="I1983" s="14" t="n">
        <x:v>2</x:v>
      </x:c>
      <x:c r="J1983" s="14" t="n">
        <x:v>1</x:v>
      </x:c>
      <x:c r="K1983" s="14" t="n">
        <x:v>4</x:v>
      </x:c>
      <x:c r="L1983" s="14" t="n">
        <x:v>40</x:v>
      </x:c>
      <x:c r="M1983" s="14" t="n">
        <x:v>44</x:v>
      </x:c>
      <x:c r="N1983" s="15" t="n">
        <x:f>IF(E1983=0,"해당 없음",F1983/E1983)</x:f>
        <x:v>0</x:v>
      </x:c>
      <x:c r="O1983" s="15" t="n">
        <x:f>IF(E1983=0,"해당 없음",G1983/E1983)</x:f>
        <x:v>0.11538461538461539</x:v>
      </x:c>
      <x:c r="P1983" s="15" t="n">
        <x:f>IF(E1983=0,"해당 없음",H1983/E1983)</x:f>
        <x:v>0.009615384615384616</x:v>
      </x:c>
      <x:c r="Q1983" s="15" t="n">
        <x:f>IF(E1983=0,"해당 없음",I1983/E1983)</x:f>
        <x:v>0.019230769230769232</x:v>
      </x:c>
      <x:c r="R1983" s="15" t="n">
        <x:f>IF(E1983=0,"해당 없음",J1983/E1983)</x:f>
        <x:v>0.009615384615384616</x:v>
      </x:c>
      <x:c r="S1983" s="15" t="n">
        <x:f>IF(E1983=0,"해당 없음",K1983/E1983)</x:f>
        <x:v>0.038461538461538464</x:v>
      </x:c>
      <x:c r="T1983" s="15" t="n">
        <x:f>IF(E1983=0,"해당 없음",L1983/E1983)</x:f>
        <x:v>0.38461538461538464</x:v>
      </x:c>
      <x:c r="U1983" s="15" t="n">
        <x:f>IF(E1983=0,"해당 없음",M1983/E1983)</x:f>
        <x:v>0.4230769230769231</x:v>
      </x:c>
      <x:c r="V1983" s="16" t="n">
        <x:f>E1983/5</x:f>
        <x:v>20.8</x:v>
      </x:c>
    </x:row>
    <x:row r="1984" ht="22" customHeight="1">
      <x:c r="A1984" s="2" t="n">
        <x:v>990</x:v>
      </x:c>
      <x:c r="B1984" s="2" t="str">
        <x:v>RED</x:v>
      </x:c>
      <x:c r="C1984" s="2" t="str">
        <x:v>240만</x:v>
      </x:c>
      <x:c r="D1984" s="2" t="str">
        <x:v>120만</x:v>
      </x:c>
      <x:c r="E1984" s="14" t="n">
        <x:f>SUM(F1984:M1984)</x:f>
        <x:v>103</x:v>
      </x:c>
      <x:c r="F1984" s="14" t="n">
        <x:v>4</x:v>
      </x:c>
      <x:c r="G1984" s="14" t="n">
        <x:v>9</x:v>
      </x:c>
      <x:c r="H1984" s="14" t="n">
        <x:v>1</x:v>
      </x:c>
      <x:c r="I1984" s="14" t="n">
        <x:v>3</x:v>
      </x:c>
      <x:c r="J1984" s="14" t="n">
        <x:v>0</x:v>
      </x:c>
      <x:c r="K1984" s="14" t="n">
        <x:v>6</x:v>
      </x:c>
      <x:c r="L1984" s="14" t="n">
        <x:v>37</x:v>
      </x:c>
      <x:c r="M1984" s="14" t="n">
        <x:v>43</x:v>
      </x:c>
      <x:c r="N1984" s="15" t="n">
        <x:f>IF(E1984=0,"해당 없음",F1984/E1984)</x:f>
        <x:v>0.038834951456310676</x:v>
      </x:c>
      <x:c r="O1984" s="15" t="n">
        <x:f>IF(E1984=0,"해당 없음",G1984/E1984)</x:f>
        <x:v>0.08737864077669903</x:v>
      </x:c>
      <x:c r="P1984" s="15" t="n">
        <x:f>IF(E1984=0,"해당 없음",H1984/E1984)</x:f>
        <x:v>0.009708737864077669</x:v>
      </x:c>
      <x:c r="Q1984" s="15" t="n">
        <x:f>IF(E1984=0,"해당 없음",I1984/E1984)</x:f>
        <x:v>0.02912621359223301</x:v>
      </x:c>
      <x:c r="R1984" s="15" t="n">
        <x:f>IF(E1984=0,"해당 없음",J1984/E1984)</x:f>
        <x:v>0</x:v>
      </x:c>
      <x:c r="S1984" s="15" t="n">
        <x:f>IF(E1984=0,"해당 없음",K1984/E1984)</x:f>
        <x:v>0.05825242718446602</x:v>
      </x:c>
      <x:c r="T1984" s="15" t="n">
        <x:f>IF(E1984=0,"해당 없음",L1984/E1984)</x:f>
        <x:v>0.3592233009708738</x:v>
      </x:c>
      <x:c r="U1984" s="15" t="n">
        <x:f>IF(E1984=0,"해당 없음",M1984/E1984)</x:f>
        <x:v>0.4174757281553398</x:v>
      </x:c>
      <x:c r="V1984" s="16" t="n">
        <x:f>E1984/5</x:f>
        <x:v>20.6</x:v>
      </x:c>
    </x:row>
    <x:row r="1985" ht="22" customHeight="1">
      <x:c r="A1985" s="2" t="n">
        <x:v>990</x:v>
      </x:c>
      <x:c r="B1985" s="2" t="str">
        <x:v>NAVY</x:v>
      </x:c>
      <x:c r="C1985" s="2" t="str">
        <x:v>120만</x:v>
      </x:c>
      <x:c r="D1985" s="2" t="str">
        <x:v>240만</x:v>
      </x:c>
      <x:c r="E1985" s="14" t="n">
        <x:f>SUM(F1985:M1985)</x:f>
        <x:v>102</x:v>
      </x:c>
      <x:c r="F1985" s="14" t="n">
        <x:v>3</x:v>
      </x:c>
      <x:c r="G1985" s="14" t="n">
        <x:v>13</x:v>
      </x:c>
      <x:c r="H1985" s="14" t="n">
        <x:v>1</x:v>
      </x:c>
      <x:c r="I1985" s="14" t="n">
        <x:v>5</x:v>
      </x:c>
      <x:c r="J1985" s="14" t="n">
        <x:v>9</x:v>
      </x:c>
      <x:c r="K1985" s="14" t="n">
        <x:v>10</x:v>
      </x:c>
      <x:c r="L1985" s="14" t="n">
        <x:v>40</x:v>
      </x:c>
      <x:c r="M1985" s="14" t="n">
        <x:v>21</x:v>
      </x:c>
      <x:c r="N1985" s="15" t="n">
        <x:f>IF(E1985=0,"해당 없음",F1985/E1985)</x:f>
        <x:v>0.029411764705882353</x:v>
      </x:c>
      <x:c r="O1985" s="15" t="n">
        <x:f>IF(E1985=0,"해당 없음",G1985/E1985)</x:f>
        <x:v>0.12745098039215685</x:v>
      </x:c>
      <x:c r="P1985" s="15" t="n">
        <x:f>IF(E1985=0,"해당 없음",H1985/E1985)</x:f>
        <x:v>0.00980392156862745</x:v>
      </x:c>
      <x:c r="Q1985" s="15" t="n">
        <x:f>IF(E1985=0,"해당 없음",I1985/E1985)</x:f>
        <x:v>0.049019607843137254</x:v>
      </x:c>
      <x:c r="R1985" s="15" t="n">
        <x:f>IF(E1985=0,"해당 없음",J1985/E1985)</x:f>
        <x:v>0.08823529411764706</x:v>
      </x:c>
      <x:c r="S1985" s="15" t="n">
        <x:f>IF(E1985=0,"해당 없음",K1985/E1985)</x:f>
        <x:v>0.09803921568627451</x:v>
      </x:c>
      <x:c r="T1985" s="15" t="n">
        <x:f>IF(E1985=0,"해당 없음",L1985/E1985)</x:f>
        <x:v>0.39215686274509803</x:v>
      </x:c>
      <x:c r="U1985" s="15" t="n">
        <x:f>IF(E1985=0,"해당 없음",M1985/E1985)</x:f>
        <x:v>0.20588235294117646</x:v>
      </x:c>
      <x:c r="V1985" s="16" t="n">
        <x:f>E1985/5</x:f>
        <x:v>20.4</x:v>
      </x:c>
    </x:row>
    <x:row r="1986" ht="22" customHeight="1">
      <x:c r="A1986" s="2" t="n">
        <x:v>991</x:v>
      </x:c>
      <x:c r="B1986" s="2" t="str">
        <x:v>RED</x:v>
      </x:c>
      <x:c r="C1986" s="2" t="str">
        <x:v>120만</x:v>
      </x:c>
      <x:c r="D1986" s="2" t="str">
        <x:v>240만</x:v>
      </x:c>
      <x:c r="E1986" s="14" t="n">
        <x:f>SUM(F1986:M1986)</x:f>
        <x:v>103</x:v>
      </x:c>
      <x:c r="F1986" s="14" t="n">
        <x:v>2</x:v>
      </x:c>
      <x:c r="G1986" s="14" t="n">
        <x:v>12</x:v>
      </x:c>
      <x:c r="H1986" s="14" t="n">
        <x:v>4</x:v>
      </x:c>
      <x:c r="I1986" s="14" t="n">
        <x:v>12</x:v>
      </x:c>
      <x:c r="J1986" s="14" t="n">
        <x:v>1</x:v>
      </x:c>
      <x:c r="K1986" s="14" t="n">
        <x:v>7</x:v>
      </x:c>
      <x:c r="L1986" s="14" t="n">
        <x:v>42</x:v>
      </x:c>
      <x:c r="M1986" s="14" t="n">
        <x:v>23</x:v>
      </x:c>
      <x:c r="N1986" s="15" t="n">
        <x:f>IF(E1986=0,"해당 없음",F1986/E1986)</x:f>
        <x:v>0.019417475728155338</x:v>
      </x:c>
      <x:c r="O1986" s="15" t="n">
        <x:f>IF(E1986=0,"해당 없음",G1986/E1986)</x:f>
        <x:v>0.11650485436893204</x:v>
      </x:c>
      <x:c r="P1986" s="15" t="n">
        <x:f>IF(E1986=0,"해당 없음",H1986/E1986)</x:f>
        <x:v>0.038834951456310676</x:v>
      </x:c>
      <x:c r="Q1986" s="15" t="n">
        <x:f>IF(E1986=0,"해당 없음",I1986/E1986)</x:f>
        <x:v>0.11650485436893204</x:v>
      </x:c>
      <x:c r="R1986" s="15" t="n">
        <x:f>IF(E1986=0,"해당 없음",J1986/E1986)</x:f>
        <x:v>0.009708737864077669</x:v>
      </x:c>
      <x:c r="S1986" s="15" t="n">
        <x:f>IF(E1986=0,"해당 없음",K1986/E1986)</x:f>
        <x:v>0.06796116504854369</x:v>
      </x:c>
      <x:c r="T1986" s="15" t="n">
        <x:f>IF(E1986=0,"해당 없음",L1986/E1986)</x:f>
        <x:v>0.4077669902912621</x:v>
      </x:c>
      <x:c r="U1986" s="15" t="n">
        <x:f>IF(E1986=0,"해당 없음",M1986/E1986)</x:f>
        <x:v>0.22330097087378642</x:v>
      </x:c>
      <x:c r="V1986" s="16" t="n">
        <x:f>E1986/5</x:f>
        <x:v>20.6</x:v>
      </x:c>
    </x:row>
    <x:row r="1987" ht="22" customHeight="1">
      <x:c r="A1987" s="2" t="n">
        <x:v>991</x:v>
      </x:c>
      <x:c r="B1987" s="2" t="str">
        <x:v>NAVY</x:v>
      </x:c>
      <x:c r="C1987" s="2" t="str">
        <x:v>240만</x:v>
      </x:c>
      <x:c r="D1987" s="2" t="str">
        <x:v>120만</x:v>
      </x:c>
      <x:c r="E1987" s="14" t="n">
        <x:f>SUM(F1987:M1987)</x:f>
        <x:v>103</x:v>
      </x:c>
      <x:c r="F1987" s="14" t="n">
        <x:v>1</x:v>
      </x:c>
      <x:c r="G1987" s="14" t="n">
        <x:v>14</x:v>
      </x:c>
      <x:c r="H1987" s="14" t="n">
        <x:v>1</x:v>
      </x:c>
      <x:c r="I1987" s="14" t="n">
        <x:v>2</x:v>
      </x:c>
      <x:c r="J1987" s="14" t="n">
        <x:v>3</x:v>
      </x:c>
      <x:c r="K1987" s="14" t="n">
        <x:v>6</x:v>
      </x:c>
      <x:c r="L1987" s="14" t="n">
        <x:v>40</x:v>
      </x:c>
      <x:c r="M1987" s="14" t="n">
        <x:v>36</x:v>
      </x:c>
      <x:c r="N1987" s="15" t="n">
        <x:f>IF(E1987=0,"해당 없음",F1987/E1987)</x:f>
        <x:v>0.009708737864077669</x:v>
      </x:c>
      <x:c r="O1987" s="15" t="n">
        <x:f>IF(E1987=0,"해당 없음",G1987/E1987)</x:f>
        <x:v>0.13592233009708737</x:v>
      </x:c>
      <x:c r="P1987" s="15" t="n">
        <x:f>IF(E1987=0,"해당 없음",H1987/E1987)</x:f>
        <x:v>0.009708737864077669</x:v>
      </x:c>
      <x:c r="Q1987" s="15" t="n">
        <x:f>IF(E1987=0,"해당 없음",I1987/E1987)</x:f>
        <x:v>0.019417475728155338</x:v>
      </x:c>
      <x:c r="R1987" s="15" t="n">
        <x:f>IF(E1987=0,"해당 없음",J1987/E1987)</x:f>
        <x:v>0.02912621359223301</x:v>
      </x:c>
      <x:c r="S1987" s="15" t="n">
        <x:f>IF(E1987=0,"해당 없음",K1987/E1987)</x:f>
        <x:v>0.05825242718446602</x:v>
      </x:c>
      <x:c r="T1987" s="15" t="n">
        <x:f>IF(E1987=0,"해당 없음",L1987/E1987)</x:f>
        <x:v>0.3883495145631068</x:v>
      </x:c>
      <x:c r="U1987" s="15" t="n">
        <x:f>IF(E1987=0,"해당 없음",M1987/E1987)</x:f>
        <x:v>0.34951456310679613</x:v>
      </x:c>
      <x:c r="V1987" s="16" t="n">
        <x:f>E1987/5</x:f>
        <x:v>20.6</x:v>
      </x:c>
    </x:row>
    <x:row r="1988" ht="22" customHeight="1">
      <x:c r="A1988" s="2" t="n">
        <x:v>992</x:v>
      </x:c>
      <x:c r="B1988" s="2" t="str">
        <x:v>RED</x:v>
      </x:c>
      <x:c r="C1988" s="2" t="str">
        <x:v>240만</x:v>
      </x:c>
      <x:c r="D1988" s="2" t="str">
        <x:v>120만</x:v>
      </x:c>
      <x:c r="E1988" s="14" t="n">
        <x:f>SUM(F1988:M1988)</x:f>
        <x:v>103</x:v>
      </x:c>
      <x:c r="F1988" s="14" t="n">
        <x:v>2</x:v>
      </x:c>
      <x:c r="G1988" s="14" t="n">
        <x:v>13</x:v>
      </x:c>
      <x:c r="H1988" s="14" t="n">
        <x:v>4</x:v>
      </x:c>
      <x:c r="I1988" s="14" t="n">
        <x:v>8</x:v>
      </x:c>
      <x:c r="J1988" s="14" t="n">
        <x:v>0</x:v>
      </x:c>
      <x:c r="K1988" s="14" t="n">
        <x:v>3</x:v>
      </x:c>
      <x:c r="L1988" s="14" t="n">
        <x:v>38</x:v>
      </x:c>
      <x:c r="M1988" s="14" t="n">
        <x:v>35</x:v>
      </x:c>
      <x:c r="N1988" s="15" t="n">
        <x:f>IF(E1988=0,"해당 없음",F1988/E1988)</x:f>
        <x:v>0.019417475728155338</x:v>
      </x:c>
      <x:c r="O1988" s="15" t="n">
        <x:f>IF(E1988=0,"해당 없음",G1988/E1988)</x:f>
        <x:v>0.1262135922330097</x:v>
      </x:c>
      <x:c r="P1988" s="15" t="n">
        <x:f>IF(E1988=0,"해당 없음",H1988/E1988)</x:f>
        <x:v>0.038834951456310676</x:v>
      </x:c>
      <x:c r="Q1988" s="15" t="n">
        <x:f>IF(E1988=0,"해당 없음",I1988/E1988)</x:f>
        <x:v>0.07766990291262135</x:v>
      </x:c>
      <x:c r="R1988" s="15" t="n">
        <x:f>IF(E1988=0,"해당 없음",J1988/E1988)</x:f>
        <x:v>0</x:v>
      </x:c>
      <x:c r="S1988" s="15" t="n">
        <x:f>IF(E1988=0,"해당 없음",K1988/E1988)</x:f>
        <x:v>0.02912621359223301</x:v>
      </x:c>
      <x:c r="T1988" s="15" t="n">
        <x:f>IF(E1988=0,"해당 없음",L1988/E1988)</x:f>
        <x:v>0.36893203883495146</x:v>
      </x:c>
      <x:c r="U1988" s="15" t="n">
        <x:f>IF(E1988=0,"해당 없음",M1988/E1988)</x:f>
        <x:v>0.33980582524271846</x:v>
      </x:c>
      <x:c r="V1988" s="16" t="n">
        <x:f>E1988/5</x:f>
        <x:v>20.6</x:v>
      </x:c>
    </x:row>
    <x:row r="1989" ht="22" customHeight="1">
      <x:c r="A1989" s="2" t="n">
        <x:v>992</x:v>
      </x:c>
      <x:c r="B1989" s="2" t="str">
        <x:v>NAVY</x:v>
      </x:c>
      <x:c r="C1989" s="2" t="str">
        <x:v>120만</x:v>
      </x:c>
      <x:c r="D1989" s="2" t="str">
        <x:v>240만</x:v>
      </x:c>
      <x:c r="E1989" s="14" t="n">
        <x:f>SUM(F1989:M1989)</x:f>
        <x:v>102</x:v>
      </x:c>
      <x:c r="F1989" s="14" t="n">
        <x:v>1</x:v>
      </x:c>
      <x:c r="G1989" s="14" t="n">
        <x:v>14</x:v>
      </x:c>
      <x:c r="H1989" s="14" t="n">
        <x:v>14</x:v>
      </x:c>
      <x:c r="I1989" s="14" t="n">
        <x:v>7</x:v>
      </x:c>
      <x:c r="J1989" s="14" t="n">
        <x:v>9</x:v>
      </x:c>
      <x:c r="K1989" s="14" t="n">
        <x:v>6</x:v>
      </x:c>
      <x:c r="L1989" s="14" t="n">
        <x:v>37</x:v>
      </x:c>
      <x:c r="M1989" s="14" t="n">
        <x:v>14</x:v>
      </x:c>
      <x:c r="N1989" s="15" t="n">
        <x:f>IF(E1989=0,"해당 없음",F1989/E1989)</x:f>
        <x:v>0.00980392156862745</x:v>
      </x:c>
      <x:c r="O1989" s="15" t="n">
        <x:f>IF(E1989=0,"해당 없음",G1989/E1989)</x:f>
        <x:v>0.13725490196078433</x:v>
      </x:c>
      <x:c r="P1989" s="15" t="n">
        <x:f>IF(E1989=0,"해당 없음",H1989/E1989)</x:f>
        <x:v>0.13725490196078433</x:v>
      </x:c>
      <x:c r="Q1989" s="15" t="n">
        <x:f>IF(E1989=0,"해당 없음",I1989/E1989)</x:f>
        <x:v>0.06862745098039216</x:v>
      </x:c>
      <x:c r="R1989" s="15" t="n">
        <x:f>IF(E1989=0,"해당 없음",J1989/E1989)</x:f>
        <x:v>0.08823529411764706</x:v>
      </x:c>
      <x:c r="S1989" s="15" t="n">
        <x:f>IF(E1989=0,"해당 없음",K1989/E1989)</x:f>
        <x:v>0.058823529411764705</x:v>
      </x:c>
      <x:c r="T1989" s="15" t="n">
        <x:f>IF(E1989=0,"해당 없음",L1989/E1989)</x:f>
        <x:v>0.3627450980392157</x:v>
      </x:c>
      <x:c r="U1989" s="15" t="n">
        <x:f>IF(E1989=0,"해당 없음",M1989/E1989)</x:f>
        <x:v>0.13725490196078433</x:v>
      </x:c>
      <x:c r="V1989" s="16" t="n">
        <x:f>E1989/5</x:f>
        <x:v>20.4</x:v>
      </x:c>
    </x:row>
    <x:row r="1990" ht="22" customHeight="1">
      <x:c r="A1990" s="2" t="n">
        <x:v>993</x:v>
      </x:c>
      <x:c r="B1990" s="2" t="str">
        <x:v>RED</x:v>
      </x:c>
      <x:c r="C1990" s="2" t="str">
        <x:v>120만</x:v>
      </x:c>
      <x:c r="D1990" s="2" t="str">
        <x:v>240만</x:v>
      </x:c>
      <x:c r="E1990" s="14" t="n">
        <x:f>SUM(F1990:M1990)</x:f>
        <x:v>102</x:v>
      </x:c>
      <x:c r="F1990" s="14" t="n">
        <x:v>2</x:v>
      </x:c>
      <x:c r="G1990" s="14" t="n">
        <x:v>8</x:v>
      </x:c>
      <x:c r="H1990" s="14" t="n">
        <x:v>3</x:v>
      </x:c>
      <x:c r="I1990" s="14" t="n">
        <x:v>9</x:v>
      </x:c>
      <x:c r="J1990" s="14" t="n">
        <x:v>1</x:v>
      </x:c>
      <x:c r="K1990" s="14" t="n">
        <x:v>25</x:v>
      </x:c>
      <x:c r="L1990" s="14" t="n">
        <x:v>30</x:v>
      </x:c>
      <x:c r="M1990" s="14" t="n">
        <x:v>24</x:v>
      </x:c>
      <x:c r="N1990" s="15" t="n">
        <x:f>IF(E1990=0,"해당 없음",F1990/E1990)</x:f>
        <x:v>0.0196078431372549</x:v>
      </x:c>
      <x:c r="O1990" s="15" t="n">
        <x:f>IF(E1990=0,"해당 없음",G1990/E1990)</x:f>
        <x:v>0.0784313725490196</x:v>
      </x:c>
      <x:c r="P1990" s="15" t="n">
        <x:f>IF(E1990=0,"해당 없음",H1990/E1990)</x:f>
        <x:v>0.029411764705882353</x:v>
      </x:c>
      <x:c r="Q1990" s="15" t="n">
        <x:f>IF(E1990=0,"해당 없음",I1990/E1990)</x:f>
        <x:v>0.08823529411764706</x:v>
      </x:c>
      <x:c r="R1990" s="15" t="n">
        <x:f>IF(E1990=0,"해당 없음",J1990/E1990)</x:f>
        <x:v>0.00980392156862745</x:v>
      </x:c>
      <x:c r="S1990" s="15" t="n">
        <x:f>IF(E1990=0,"해당 없음",K1990/E1990)</x:f>
        <x:v>0.24509803921568626</x:v>
      </x:c>
      <x:c r="T1990" s="15" t="n">
        <x:f>IF(E1990=0,"해당 없음",L1990/E1990)</x:f>
        <x:v>0.29411764705882354</x:v>
      </x:c>
      <x:c r="U1990" s="15" t="n">
        <x:f>IF(E1990=0,"해당 없음",M1990/E1990)</x:f>
        <x:v>0.23529411764705882</x:v>
      </x:c>
      <x:c r="V1990" s="16" t="n">
        <x:f>E1990/5</x:f>
        <x:v>20.4</x:v>
      </x:c>
    </x:row>
    <x:row r="1991" ht="22" customHeight="1">
      <x:c r="A1991" s="2" t="n">
        <x:v>993</x:v>
      </x:c>
      <x:c r="B1991" s="2" t="str">
        <x:v>NAVY</x:v>
      </x:c>
      <x:c r="C1991" s="2" t="str">
        <x:v>240만</x:v>
      </x:c>
      <x:c r="D1991" s="2" t="str">
        <x:v>120만</x:v>
      </x:c>
      <x:c r="E1991" s="14" t="n">
        <x:f>SUM(F1991:M1991)</x:f>
        <x:v>101</x:v>
      </x:c>
      <x:c r="F1991" s="14" t="n">
        <x:v>0</x:v>
      </x:c>
      <x:c r="G1991" s="14" t="n">
        <x:v>6</x:v>
      </x:c>
      <x:c r="H1991" s="14" t="n">
        <x:v>1</x:v>
      </x:c>
      <x:c r="I1991" s="14" t="n">
        <x:v>1</x:v>
      </x:c>
      <x:c r="J1991" s="14" t="n">
        <x:v>1</x:v>
      </x:c>
      <x:c r="K1991" s="14" t="n">
        <x:v>2</x:v>
      </x:c>
      <x:c r="L1991" s="14" t="n">
        <x:v>26</x:v>
      </x:c>
      <x:c r="M1991" s="14" t="n">
        <x:v>64</x:v>
      </x:c>
      <x:c r="N1991" s="15" t="n">
        <x:f>IF(E1991=0,"해당 없음",F1991/E1991)</x:f>
        <x:v>0</x:v>
      </x:c>
      <x:c r="O1991" s="15" t="n">
        <x:f>IF(E1991=0,"해당 없음",G1991/E1991)</x:f>
        <x:v>0.0594059405940594</x:v>
      </x:c>
      <x:c r="P1991" s="15" t="n">
        <x:f>IF(E1991=0,"해당 없음",H1991/E1991)</x:f>
        <x:v>0.009900990099009901</x:v>
      </x:c>
      <x:c r="Q1991" s="15" t="n">
        <x:f>IF(E1991=0,"해당 없음",I1991/E1991)</x:f>
        <x:v>0.009900990099009901</x:v>
      </x:c>
      <x:c r="R1991" s="15" t="n">
        <x:f>IF(E1991=0,"해당 없음",J1991/E1991)</x:f>
        <x:v>0.009900990099009901</x:v>
      </x:c>
      <x:c r="S1991" s="15" t="n">
        <x:f>IF(E1991=0,"해당 없음",K1991/E1991)</x:f>
        <x:v>0.019801980198019802</x:v>
      </x:c>
      <x:c r="T1991" s="15" t="n">
        <x:f>IF(E1991=0,"해당 없음",L1991/E1991)</x:f>
        <x:v>0.25742574257425743</x:v>
      </x:c>
      <x:c r="U1991" s="15" t="n">
        <x:f>IF(E1991=0,"해당 없음",M1991/E1991)</x:f>
        <x:v>0.6336633663366337</x:v>
      </x:c>
      <x:c r="V1991" s="16" t="n">
        <x:f>E1991/5</x:f>
        <x:v>20.2</x:v>
      </x:c>
    </x:row>
    <x:row r="1992" ht="22" customHeight="1">
      <x:c r="A1992" s="2" t="n">
        <x:v>994</x:v>
      </x:c>
      <x:c r="B1992" s="2" t="str">
        <x:v>RED</x:v>
      </x:c>
      <x:c r="C1992" s="2" t="str">
        <x:v>240만</x:v>
      </x:c>
      <x:c r="D1992" s="2" t="str">
        <x:v>120만</x:v>
      </x:c>
      <x:c r="E1992" s="14" t="n">
        <x:f>SUM(F1992:M1992)</x:f>
        <x:v>99</x:v>
      </x:c>
      <x:c r="F1992" s="14" t="n">
        <x:v>1</x:v>
      </x:c>
      <x:c r="G1992" s="14" t="n">
        <x:v>14</x:v>
      </x:c>
      <x:c r="H1992" s="14" t="n">
        <x:v>3</x:v>
      </x:c>
      <x:c r="I1992" s="14" t="n">
        <x:v>2</x:v>
      </x:c>
      <x:c r="J1992" s="14" t="n">
        <x:v>0</x:v>
      </x:c>
      <x:c r="K1992" s="14" t="n">
        <x:v>5</x:v>
      </x:c>
      <x:c r="L1992" s="14" t="n">
        <x:v>32</x:v>
      </x:c>
      <x:c r="M1992" s="14" t="n">
        <x:v>42</x:v>
      </x:c>
      <x:c r="N1992" s="15" t="n">
        <x:f>IF(E1992=0,"해당 없음",F1992/E1992)</x:f>
        <x:v>0.010101010101010102</x:v>
      </x:c>
      <x:c r="O1992" s="15" t="n">
        <x:f>IF(E1992=0,"해당 없음",G1992/E1992)</x:f>
        <x:v>0.1414141414141414</x:v>
      </x:c>
      <x:c r="P1992" s="15" t="n">
        <x:f>IF(E1992=0,"해당 없음",H1992/E1992)</x:f>
        <x:v>0.030303030303030304</x:v>
      </x:c>
      <x:c r="Q1992" s="15" t="n">
        <x:f>IF(E1992=0,"해당 없음",I1992/E1992)</x:f>
        <x:v>0.020202020202020204</x:v>
      </x:c>
      <x:c r="R1992" s="15" t="n">
        <x:f>IF(E1992=0,"해당 없음",J1992/E1992)</x:f>
        <x:v>0</x:v>
      </x:c>
      <x:c r="S1992" s="15" t="n">
        <x:f>IF(E1992=0,"해당 없음",K1992/E1992)</x:f>
        <x:v>0.050505050505050504</x:v>
      </x:c>
      <x:c r="T1992" s="15" t="n">
        <x:f>IF(E1992=0,"해당 없음",L1992/E1992)</x:f>
        <x:v>0.32323232323232326</x:v>
      </x:c>
      <x:c r="U1992" s="15" t="n">
        <x:f>IF(E1992=0,"해당 없음",M1992/E1992)</x:f>
        <x:v>0.42424242424242425</x:v>
      </x:c>
      <x:c r="V1992" s="16" t="n">
        <x:f>E1992/5</x:f>
        <x:v>19.8</x:v>
      </x:c>
    </x:row>
    <x:row r="1993" ht="22" customHeight="1">
      <x:c r="A1993" s="2" t="n">
        <x:v>994</x:v>
      </x:c>
      <x:c r="B1993" s="2" t="str">
        <x:v>NAVY</x:v>
      </x:c>
      <x:c r="C1993" s="2" t="str">
        <x:v>120만</x:v>
      </x:c>
      <x:c r="D1993" s="2" t="str">
        <x:v>240만</x:v>
      </x:c>
      <x:c r="E1993" s="14" t="n">
        <x:f>SUM(F1993:M1993)</x:f>
        <x:v>101</x:v>
      </x:c>
      <x:c r="F1993" s="14" t="n">
        <x:v>3</x:v>
      </x:c>
      <x:c r="G1993" s="14" t="n">
        <x:v>8</x:v>
      </x:c>
      <x:c r="H1993" s="14" t="n">
        <x:v>7</x:v>
      </x:c>
      <x:c r="I1993" s="14" t="n">
        <x:v>8</x:v>
      </x:c>
      <x:c r="J1993" s="14" t="n">
        <x:v>5</x:v>
      </x:c>
      <x:c r="K1993" s="14" t="n">
        <x:v>12</x:v>
      </x:c>
      <x:c r="L1993" s="14" t="n">
        <x:v>36</x:v>
      </x:c>
      <x:c r="M1993" s="14" t="n">
        <x:v>22</x:v>
      </x:c>
      <x:c r="N1993" s="15" t="n">
        <x:f>IF(E1993=0,"해당 없음",F1993/E1993)</x:f>
        <x:v>0.0297029702970297</x:v>
      </x:c>
      <x:c r="O1993" s="15" t="n">
        <x:f>IF(E1993=0,"해당 없음",G1993/E1993)</x:f>
        <x:v>0.07920792079207921</x:v>
      </x:c>
      <x:c r="P1993" s="15" t="n">
        <x:f>IF(E1993=0,"해당 없음",H1993/E1993)</x:f>
        <x:v>0.06930693069306931</x:v>
      </x:c>
      <x:c r="Q1993" s="15" t="n">
        <x:f>IF(E1993=0,"해당 없음",I1993/E1993)</x:f>
        <x:v>0.07920792079207921</x:v>
      </x:c>
      <x:c r="R1993" s="15" t="n">
        <x:f>IF(E1993=0,"해당 없음",J1993/E1993)</x:f>
        <x:v>0.04950495049504951</x:v>
      </x:c>
      <x:c r="S1993" s="15" t="n">
        <x:f>IF(E1993=0,"해당 없음",K1993/E1993)</x:f>
        <x:v>0.1188118811881188</x:v>
      </x:c>
      <x:c r="T1993" s="15" t="n">
        <x:f>IF(E1993=0,"해당 없음",L1993/E1993)</x:f>
        <x:v>0.3564356435643564</x:v>
      </x:c>
      <x:c r="U1993" s="15" t="n">
        <x:f>IF(E1993=0,"해당 없음",M1993/E1993)</x:f>
        <x:v>0.21782178217821782</x:v>
      </x:c>
      <x:c r="V1993" s="16" t="n">
        <x:f>E1993/5</x:f>
        <x:v>20.2</x:v>
      </x:c>
    </x:row>
    <x:row r="1994" ht="22" customHeight="1">
      <x:c r="A1994" s="2" t="n">
        <x:v>995</x:v>
      </x:c>
      <x:c r="B1994" s="2" t="str">
        <x:v>RED</x:v>
      </x:c>
      <x:c r="C1994" s="2" t="str">
        <x:v>120만</x:v>
      </x:c>
      <x:c r="D1994" s="2" t="str">
        <x:v>240만</x:v>
      </x:c>
      <x:c r="E1994" s="14" t="n">
        <x:f>SUM(F1994:M1994)</x:f>
        <x:v>101</x:v>
      </x:c>
      <x:c r="F1994" s="14" t="n">
        <x:v>0</x:v>
      </x:c>
      <x:c r="G1994" s="14" t="n">
        <x:v>14</x:v>
      </x:c>
      <x:c r="H1994" s="14" t="n">
        <x:v>7</x:v>
      </x:c>
      <x:c r="I1994" s="14" t="n">
        <x:v>5</x:v>
      </x:c>
      <x:c r="J1994" s="14" t="n">
        <x:v>2</x:v>
      </x:c>
      <x:c r="K1994" s="14" t="n">
        <x:v>7</x:v>
      </x:c>
      <x:c r="L1994" s="14" t="n">
        <x:v>38</x:v>
      </x:c>
      <x:c r="M1994" s="14" t="n">
        <x:v>28</x:v>
      </x:c>
      <x:c r="N1994" s="15" t="n">
        <x:f>IF(E1994=0,"해당 없음",F1994/E1994)</x:f>
        <x:v>0</x:v>
      </x:c>
      <x:c r="O1994" s="15" t="n">
        <x:f>IF(E1994=0,"해당 없음",G1994/E1994)</x:f>
        <x:v>0.13861386138613863</x:v>
      </x:c>
      <x:c r="P1994" s="15" t="n">
        <x:f>IF(E1994=0,"해당 없음",H1994/E1994)</x:f>
        <x:v>0.06930693069306931</x:v>
      </x:c>
      <x:c r="Q1994" s="15" t="n">
        <x:f>IF(E1994=0,"해당 없음",I1994/E1994)</x:f>
        <x:v>0.04950495049504951</x:v>
      </x:c>
      <x:c r="R1994" s="15" t="n">
        <x:f>IF(E1994=0,"해당 없음",J1994/E1994)</x:f>
        <x:v>0.019801980198019802</x:v>
      </x:c>
      <x:c r="S1994" s="15" t="n">
        <x:f>IF(E1994=0,"해당 없음",K1994/E1994)</x:f>
        <x:v>0.06930693069306931</x:v>
      </x:c>
      <x:c r="T1994" s="15" t="n">
        <x:f>IF(E1994=0,"해당 없음",L1994/E1994)</x:f>
        <x:v>0.37623762376237624</x:v>
      </x:c>
      <x:c r="U1994" s="15" t="n">
        <x:f>IF(E1994=0,"해당 없음",M1994/E1994)</x:f>
        <x:v>0.27722772277227725</x:v>
      </x:c>
      <x:c r="V1994" s="16" t="n">
        <x:f>E1994/5</x:f>
        <x:v>20.2</x:v>
      </x:c>
    </x:row>
    <x:row r="1995" ht="22" customHeight="1">
      <x:c r="A1995" s="2" t="n">
        <x:v>995</x:v>
      </x:c>
      <x:c r="B1995" s="2" t="str">
        <x:v>NAVY</x:v>
      </x:c>
      <x:c r="C1995" s="2" t="str">
        <x:v>240만</x:v>
      </x:c>
      <x:c r="D1995" s="2" t="str">
        <x:v>120만</x:v>
      </x:c>
      <x:c r="E1995" s="14" t="n">
        <x:f>SUM(F1995:M1995)</x:f>
        <x:v>103</x:v>
      </x:c>
      <x:c r="F1995" s="14" t="n">
        <x:v>1</x:v>
      </x:c>
      <x:c r="G1995" s="14" t="n">
        <x:v>8</x:v>
      </x:c>
      <x:c r="H1995" s="14" t="n">
        <x:v>2</x:v>
      </x:c>
      <x:c r="I1995" s="14" t="n">
        <x:v>2</x:v>
      </x:c>
      <x:c r="J1995" s="14" t="n">
        <x:v>5</x:v>
      </x:c>
      <x:c r="K1995" s="14" t="n">
        <x:v>9</x:v>
      </x:c>
      <x:c r="L1995" s="14" t="n">
        <x:v>36</x:v>
      </x:c>
      <x:c r="M1995" s="14" t="n">
        <x:v>40</x:v>
      </x:c>
      <x:c r="N1995" s="15" t="n">
        <x:f>IF(E1995=0,"해당 없음",F1995/E1995)</x:f>
        <x:v>0.009708737864077669</x:v>
      </x:c>
      <x:c r="O1995" s="15" t="n">
        <x:f>IF(E1995=0,"해당 없음",G1995/E1995)</x:f>
        <x:v>0.07766990291262135</x:v>
      </x:c>
      <x:c r="P1995" s="15" t="n">
        <x:f>IF(E1995=0,"해당 없음",H1995/E1995)</x:f>
        <x:v>0.019417475728155338</x:v>
      </x:c>
      <x:c r="Q1995" s="15" t="n">
        <x:f>IF(E1995=0,"해당 없음",I1995/E1995)</x:f>
        <x:v>0.019417475728155338</x:v>
      </x:c>
      <x:c r="R1995" s="15" t="n">
        <x:f>IF(E1995=0,"해당 없음",J1995/E1995)</x:f>
        <x:v>0.04854368932038835</x:v>
      </x:c>
      <x:c r="S1995" s="15" t="n">
        <x:f>IF(E1995=0,"해당 없음",K1995/E1995)</x:f>
        <x:v>0.08737864077669903</x:v>
      </x:c>
      <x:c r="T1995" s="15" t="n">
        <x:f>IF(E1995=0,"해당 없음",L1995/E1995)</x:f>
        <x:v>0.34951456310679613</x:v>
      </x:c>
      <x:c r="U1995" s="15" t="n">
        <x:f>IF(E1995=0,"해당 없음",M1995/E1995)</x:f>
        <x:v>0.3883495145631068</x:v>
      </x:c>
      <x:c r="V1995" s="16" t="n">
        <x:f>E1995/5</x:f>
        <x:v>20.6</x:v>
      </x:c>
    </x:row>
    <x:row r="1996" ht="22" customHeight="1">
      <x:c r="A1996" s="2" t="n">
        <x:v>996</x:v>
      </x:c>
      <x:c r="B1996" s="2" t="str">
        <x:v>RED</x:v>
      </x:c>
      <x:c r="C1996" s="2" t="str">
        <x:v>240만</x:v>
      </x:c>
      <x:c r="D1996" s="2" t="str">
        <x:v>120만</x:v>
      </x:c>
      <x:c r="E1996" s="14" t="n">
        <x:f>SUM(F1996:M1996)</x:f>
        <x:v>104</x:v>
      </x:c>
      <x:c r="F1996" s="14" t="n">
        <x:v>1</x:v>
      </x:c>
      <x:c r="G1996" s="14" t="n">
        <x:v>19</x:v>
      </x:c>
      <x:c r="H1996" s="14" t="n">
        <x:v>4</x:v>
      </x:c>
      <x:c r="I1996" s="14" t="n">
        <x:v>3</x:v>
      </x:c>
      <x:c r="J1996" s="14" t="n">
        <x:v>0</x:v>
      </x:c>
      <x:c r="K1996" s="14" t="n">
        <x:v>9</x:v>
      </x:c>
      <x:c r="L1996" s="14" t="n">
        <x:v>40</x:v>
      </x:c>
      <x:c r="M1996" s="14" t="n">
        <x:v>28</x:v>
      </x:c>
      <x:c r="N1996" s="15" t="n">
        <x:f>IF(E1996=0,"해당 없음",F1996/E1996)</x:f>
        <x:v>0.009615384615384616</x:v>
      </x:c>
      <x:c r="O1996" s="15" t="n">
        <x:f>IF(E1996=0,"해당 없음",G1996/E1996)</x:f>
        <x:v>0.18269230769230768</x:v>
      </x:c>
      <x:c r="P1996" s="15" t="n">
        <x:f>IF(E1996=0,"해당 없음",H1996/E1996)</x:f>
        <x:v>0.038461538461538464</x:v>
      </x:c>
      <x:c r="Q1996" s="15" t="n">
        <x:f>IF(E1996=0,"해당 없음",I1996/E1996)</x:f>
        <x:v>0.028846153846153848</x:v>
      </x:c>
      <x:c r="R1996" s="15" t="n">
        <x:f>IF(E1996=0,"해당 없음",J1996/E1996)</x:f>
        <x:v>0</x:v>
      </x:c>
      <x:c r="S1996" s="15" t="n">
        <x:f>IF(E1996=0,"해당 없음",K1996/E1996)</x:f>
        <x:v>0.08653846153846154</x:v>
      </x:c>
      <x:c r="T1996" s="15" t="n">
        <x:f>IF(E1996=0,"해당 없음",L1996/E1996)</x:f>
        <x:v>0.38461538461538464</x:v>
      </x:c>
      <x:c r="U1996" s="15" t="n">
        <x:f>IF(E1996=0,"해당 없음",M1996/E1996)</x:f>
        <x:v>0.2692307692307692</x:v>
      </x:c>
      <x:c r="V1996" s="16" t="n">
        <x:f>E1996/5</x:f>
        <x:v>20.8</x:v>
      </x:c>
    </x:row>
    <x:row r="1997" ht="22" customHeight="1">
      <x:c r="A1997" s="2" t="n">
        <x:v>996</x:v>
      </x:c>
      <x:c r="B1997" s="2" t="str">
        <x:v>NAVY</x:v>
      </x:c>
      <x:c r="C1997" s="2" t="str">
        <x:v>120만</x:v>
      </x:c>
      <x:c r="D1997" s="2" t="str">
        <x:v>240만</x:v>
      </x:c>
      <x:c r="E1997" s="14" t="n">
        <x:f>SUM(F1997:M1997)</x:f>
        <x:v>102</x:v>
      </x:c>
      <x:c r="F1997" s="14" t="n">
        <x:v>4</x:v>
      </x:c>
      <x:c r="G1997" s="14" t="n">
        <x:v>7</x:v>
      </x:c>
      <x:c r="H1997" s="14" t="n">
        <x:v>6</x:v>
      </x:c>
      <x:c r="I1997" s="14" t="n">
        <x:v>10</x:v>
      </x:c>
      <x:c r="J1997" s="14" t="n">
        <x:v>2</x:v>
      </x:c>
      <x:c r="K1997" s="14" t="n">
        <x:v>7</x:v>
      </x:c>
      <x:c r="L1997" s="14" t="n">
        <x:v>40</x:v>
      </x:c>
      <x:c r="M1997" s="14" t="n">
        <x:v>26</x:v>
      </x:c>
      <x:c r="N1997" s="15" t="n">
        <x:f>IF(E1997=0,"해당 없음",F1997/E1997)</x:f>
        <x:v>0.0392156862745098</x:v>
      </x:c>
      <x:c r="O1997" s="15" t="n">
        <x:f>IF(E1997=0,"해당 없음",G1997/E1997)</x:f>
        <x:v>0.06862745098039216</x:v>
      </x:c>
      <x:c r="P1997" s="15" t="n">
        <x:f>IF(E1997=0,"해당 없음",H1997/E1997)</x:f>
        <x:v>0.058823529411764705</x:v>
      </x:c>
      <x:c r="Q1997" s="15" t="n">
        <x:f>IF(E1997=0,"해당 없음",I1997/E1997)</x:f>
        <x:v>0.09803921568627451</x:v>
      </x:c>
      <x:c r="R1997" s="15" t="n">
        <x:f>IF(E1997=0,"해당 없음",J1997/E1997)</x:f>
        <x:v>0.0196078431372549</x:v>
      </x:c>
      <x:c r="S1997" s="15" t="n">
        <x:f>IF(E1997=0,"해당 없음",K1997/E1997)</x:f>
        <x:v>0.06862745098039216</x:v>
      </x:c>
      <x:c r="T1997" s="15" t="n">
        <x:f>IF(E1997=0,"해당 없음",L1997/E1997)</x:f>
        <x:v>0.39215686274509803</x:v>
      </x:c>
      <x:c r="U1997" s="15" t="n">
        <x:f>IF(E1997=0,"해당 없음",M1997/E1997)</x:f>
        <x:v>0.2549019607843137</x:v>
      </x:c>
      <x:c r="V1997" s="16" t="n">
        <x:f>E1997/5</x:f>
        <x:v>20.4</x:v>
      </x:c>
    </x:row>
    <x:row r="1998" ht="22" customHeight="1">
      <x:c r="A1998" s="2" t="n">
        <x:v>997</x:v>
      </x:c>
      <x:c r="B1998" s="2" t="str">
        <x:v>RED</x:v>
      </x:c>
      <x:c r="C1998" s="2" t="str">
        <x:v>120만</x:v>
      </x:c>
      <x:c r="D1998" s="2" t="str">
        <x:v>240만</x:v>
      </x:c>
      <x:c r="E1998" s="14" t="n">
        <x:f>SUM(F1998:M1998)</x:f>
        <x:v>104</x:v>
      </x:c>
      <x:c r="F1998" s="14" t="n">
        <x:v>1</x:v>
      </x:c>
      <x:c r="G1998" s="14" t="n">
        <x:v>12</x:v>
      </x:c>
      <x:c r="H1998" s="14" t="n">
        <x:v>6</x:v>
      </x:c>
      <x:c r="I1998" s="14" t="n">
        <x:v>8</x:v>
      </x:c>
      <x:c r="J1998" s="14" t="n">
        <x:v>7</x:v>
      </x:c>
      <x:c r="K1998" s="14" t="n">
        <x:v>5</x:v>
      </x:c>
      <x:c r="L1998" s="14" t="n">
        <x:v>39</x:v>
      </x:c>
      <x:c r="M1998" s="14" t="n">
        <x:v>26</x:v>
      </x:c>
      <x:c r="N1998" s="15" t="n">
        <x:f>IF(E1998=0,"해당 없음",F1998/E1998)</x:f>
        <x:v>0.009615384615384616</x:v>
      </x:c>
      <x:c r="O1998" s="15" t="n">
        <x:f>IF(E1998=0,"해당 없음",G1998/E1998)</x:f>
        <x:v>0.11538461538461539</x:v>
      </x:c>
      <x:c r="P1998" s="15" t="n">
        <x:f>IF(E1998=0,"해당 없음",H1998/E1998)</x:f>
        <x:v>0.057692307692307696</x:v>
      </x:c>
      <x:c r="Q1998" s="15" t="n">
        <x:f>IF(E1998=0,"해당 없음",I1998/E1998)</x:f>
        <x:v>0.07692307692307693</x:v>
      </x:c>
      <x:c r="R1998" s="15" t="n">
        <x:f>IF(E1998=0,"해당 없음",J1998/E1998)</x:f>
        <x:v>0.0673076923076923</x:v>
      </x:c>
      <x:c r="S1998" s="15" t="n">
        <x:f>IF(E1998=0,"해당 없음",K1998/E1998)</x:f>
        <x:v>0.04807692307692308</x:v>
      </x:c>
      <x:c r="T1998" s="15" t="n">
        <x:f>IF(E1998=0,"해당 없음",L1998/E1998)</x:f>
        <x:v>0.375</x:v>
      </x:c>
      <x:c r="U1998" s="15" t="n">
        <x:f>IF(E1998=0,"해당 없음",M1998/E1998)</x:f>
        <x:v>0.25</x:v>
      </x:c>
      <x:c r="V1998" s="16" t="n">
        <x:f>E1998/5</x:f>
        <x:v>20.8</x:v>
      </x:c>
    </x:row>
    <x:row r="1999" ht="22" customHeight="1">
      <x:c r="A1999" s="2" t="n">
        <x:v>997</x:v>
      </x:c>
      <x:c r="B1999" s="2" t="str">
        <x:v>NAVY</x:v>
      </x:c>
      <x:c r="C1999" s="2" t="str">
        <x:v>240만</x:v>
      </x:c>
      <x:c r="D1999" s="2" t="str">
        <x:v>120만</x:v>
      </x:c>
      <x:c r="E1999" s="14" t="n">
        <x:f>SUM(F1999:M1999)</x:f>
        <x:v>103</x:v>
      </x:c>
      <x:c r="F1999" s="14" t="n">
        <x:v>0</x:v>
      </x:c>
      <x:c r="G1999" s="14" t="n">
        <x:v>14</x:v>
      </x:c>
      <x:c r="H1999" s="14" t="n">
        <x:v>2</x:v>
      </x:c>
      <x:c r="I1999" s="14" t="n">
        <x:v>6</x:v>
      </x:c>
      <x:c r="J1999" s="14" t="n">
        <x:v>3</x:v>
      </x:c>
      <x:c r="K1999" s="14" t="n">
        <x:v>2</x:v>
      </x:c>
      <x:c r="L1999" s="14" t="n">
        <x:v>39</x:v>
      </x:c>
      <x:c r="M1999" s="14" t="n">
        <x:v>37</x:v>
      </x:c>
      <x:c r="N1999" s="15" t="n">
        <x:f>IF(E1999=0,"해당 없음",F1999/E1999)</x:f>
        <x:v>0</x:v>
      </x:c>
      <x:c r="O1999" s="15" t="n">
        <x:f>IF(E1999=0,"해당 없음",G1999/E1999)</x:f>
        <x:v>0.13592233009708737</x:v>
      </x:c>
      <x:c r="P1999" s="15" t="n">
        <x:f>IF(E1999=0,"해당 없음",H1999/E1999)</x:f>
        <x:v>0.019417475728155338</x:v>
      </x:c>
      <x:c r="Q1999" s="15" t="n">
        <x:f>IF(E1999=0,"해당 없음",I1999/E1999)</x:f>
        <x:v>0.05825242718446602</x:v>
      </x:c>
      <x:c r="R1999" s="15" t="n">
        <x:f>IF(E1999=0,"해당 없음",J1999/E1999)</x:f>
        <x:v>0.02912621359223301</x:v>
      </x:c>
      <x:c r="S1999" s="15" t="n">
        <x:f>IF(E1999=0,"해당 없음",K1999/E1999)</x:f>
        <x:v>0.019417475728155338</x:v>
      </x:c>
      <x:c r="T1999" s="15" t="n">
        <x:f>IF(E1999=0,"해당 없음",L1999/E1999)</x:f>
        <x:v>0.3786407766990291</x:v>
      </x:c>
      <x:c r="U1999" s="15" t="n">
        <x:f>IF(E1999=0,"해당 없음",M1999/E1999)</x:f>
        <x:v>0.3592233009708738</x:v>
      </x:c>
      <x:c r="V1999" s="16" t="n">
        <x:f>E1999/5</x:f>
        <x:v>20.6</x:v>
      </x:c>
    </x:row>
    <x:row r="2000" ht="22" customHeight="1">
      <x:c r="A2000" s="2" t="n">
        <x:v>998</x:v>
      </x:c>
      <x:c r="B2000" s="2" t="str">
        <x:v>RED</x:v>
      </x:c>
      <x:c r="C2000" s="2" t="str">
        <x:v>240만</x:v>
      </x:c>
      <x:c r="D2000" s="2" t="str">
        <x:v>120만</x:v>
      </x:c>
      <x:c r="E2000" s="14" t="n">
        <x:f>SUM(F2000:M2000)</x:f>
        <x:v>102</x:v>
      </x:c>
      <x:c r="F2000" s="14" t="n">
        <x:v>1</x:v>
      </x:c>
      <x:c r="G2000" s="14" t="n">
        <x:v>18</x:v>
      </x:c>
      <x:c r="H2000" s="14" t="n">
        <x:v>2</x:v>
      </x:c>
      <x:c r="I2000" s="14" t="n">
        <x:v>2</x:v>
      </x:c>
      <x:c r="J2000" s="14" t="n">
        <x:v>2</x:v>
      </x:c>
      <x:c r="K2000" s="14" t="n">
        <x:v>3</x:v>
      </x:c>
      <x:c r="L2000" s="14" t="n">
        <x:v>40</x:v>
      </x:c>
      <x:c r="M2000" s="14" t="n">
        <x:v>34</x:v>
      </x:c>
      <x:c r="N2000" s="15" t="n">
        <x:f>IF(E2000=0,"해당 없음",F2000/E2000)</x:f>
        <x:v>0.00980392156862745</x:v>
      </x:c>
      <x:c r="O2000" s="15" t="n">
        <x:f>IF(E2000=0,"해당 없음",G2000/E2000)</x:f>
        <x:v>0.17647058823529413</x:v>
      </x:c>
      <x:c r="P2000" s="15" t="n">
        <x:f>IF(E2000=0,"해당 없음",H2000/E2000)</x:f>
        <x:v>0.0196078431372549</x:v>
      </x:c>
      <x:c r="Q2000" s="15" t="n">
        <x:f>IF(E2000=0,"해당 없음",I2000/E2000)</x:f>
        <x:v>0.0196078431372549</x:v>
      </x:c>
      <x:c r="R2000" s="15" t="n">
        <x:f>IF(E2000=0,"해당 없음",J2000/E2000)</x:f>
        <x:v>0.0196078431372549</x:v>
      </x:c>
      <x:c r="S2000" s="15" t="n">
        <x:f>IF(E2000=0,"해당 없음",K2000/E2000)</x:f>
        <x:v>0.029411764705882353</x:v>
      </x:c>
      <x:c r="T2000" s="15" t="n">
        <x:f>IF(E2000=0,"해당 없음",L2000/E2000)</x:f>
        <x:v>0.39215686274509803</x:v>
      </x:c>
      <x:c r="U2000" s="15" t="n">
        <x:f>IF(E2000=0,"해당 없음",M2000/E2000)</x:f>
        <x:v>0.3333333333333333</x:v>
      </x:c>
      <x:c r="V2000" s="16" t="n">
        <x:f>E2000/5</x:f>
        <x:v>20.4</x:v>
      </x:c>
    </x:row>
    <x:row r="2001" ht="22" customHeight="1">
      <x:c r="A2001" s="2" t="n">
        <x:v>998</x:v>
      </x:c>
      <x:c r="B2001" s="2" t="str">
        <x:v>NAVY</x:v>
      </x:c>
      <x:c r="C2001" s="2" t="str">
        <x:v>120만</x:v>
      </x:c>
      <x:c r="D2001" s="2" t="str">
        <x:v>240만</x:v>
      </x:c>
      <x:c r="E2001" s="14" t="n">
        <x:f>SUM(F2001:M2001)</x:f>
        <x:v>102</x:v>
      </x:c>
      <x:c r="F2001" s="14" t="n">
        <x:v>1</x:v>
      </x:c>
      <x:c r="G2001" s="14" t="n">
        <x:v>15</x:v>
      </x:c>
      <x:c r="H2001" s="14" t="n">
        <x:v>6</x:v>
      </x:c>
      <x:c r="I2001" s="14" t="n">
        <x:v>10</x:v>
      </x:c>
      <x:c r="J2001" s="14" t="n">
        <x:v>4</x:v>
      </x:c>
      <x:c r="K2001" s="14" t="n">
        <x:v>10</x:v>
      </x:c>
      <x:c r="L2001" s="14" t="n">
        <x:v>40</x:v>
      </x:c>
      <x:c r="M2001" s="14" t="n">
        <x:v>16</x:v>
      </x:c>
      <x:c r="N2001" s="15" t="n">
        <x:f>IF(E2001=0,"해당 없음",F2001/E2001)</x:f>
        <x:v>0.00980392156862745</x:v>
      </x:c>
      <x:c r="O2001" s="15" t="n">
        <x:f>IF(E2001=0,"해당 없음",G2001/E2001)</x:f>
        <x:v>0.14705882352941177</x:v>
      </x:c>
      <x:c r="P2001" s="15" t="n">
        <x:f>IF(E2001=0,"해당 없음",H2001/E2001)</x:f>
        <x:v>0.058823529411764705</x:v>
      </x:c>
      <x:c r="Q2001" s="15" t="n">
        <x:f>IF(E2001=0,"해당 없음",I2001/E2001)</x:f>
        <x:v>0.09803921568627451</x:v>
      </x:c>
      <x:c r="R2001" s="15" t="n">
        <x:f>IF(E2001=0,"해당 없음",J2001/E2001)</x:f>
        <x:v>0.0392156862745098</x:v>
      </x:c>
      <x:c r="S2001" s="15" t="n">
        <x:f>IF(E2001=0,"해당 없음",K2001/E2001)</x:f>
        <x:v>0.09803921568627451</x:v>
      </x:c>
      <x:c r="T2001" s="15" t="n">
        <x:f>IF(E2001=0,"해당 없음",L2001/E2001)</x:f>
        <x:v>0.39215686274509803</x:v>
      </x:c>
      <x:c r="U2001" s="15" t="n">
        <x:f>IF(E2001=0,"해당 없음",M2001/E2001)</x:f>
        <x:v>0.1568627450980392</x:v>
      </x:c>
      <x:c r="V2001" s="16" t="n">
        <x:f>E2001/5</x:f>
        <x:v>20.4</x:v>
      </x:c>
    </x:row>
    <x:row r="2002" ht="22" customHeight="1">
      <x:c r="A2002" s="2" t="n">
        <x:v>999</x:v>
      </x:c>
      <x:c r="B2002" s="2" t="str">
        <x:v>RED</x:v>
      </x:c>
      <x:c r="C2002" s="2" t="str">
        <x:v>120만</x:v>
      </x:c>
      <x:c r="D2002" s="2" t="str">
        <x:v>240만</x:v>
      </x:c>
      <x:c r="E2002" s="14" t="n">
        <x:f>SUM(F2002:M2002)</x:f>
        <x:v>102</x:v>
      </x:c>
      <x:c r="F2002" s="14" t="n">
        <x:v>3</x:v>
      </x:c>
      <x:c r="G2002" s="14" t="n">
        <x:v>11</x:v>
      </x:c>
      <x:c r="H2002" s="14" t="n">
        <x:v>5</x:v>
      </x:c>
      <x:c r="I2002" s="14" t="n">
        <x:v>13</x:v>
      </x:c>
      <x:c r="J2002" s="14" t="n">
        <x:v>3</x:v>
      </x:c>
      <x:c r="K2002" s="14" t="n">
        <x:v>15</x:v>
      </x:c>
      <x:c r="L2002" s="14" t="n">
        <x:v>39</x:v>
      </x:c>
      <x:c r="M2002" s="14" t="n">
        <x:v>13</x:v>
      </x:c>
      <x:c r="N2002" s="15" t="n">
        <x:f>IF(E2002=0,"해당 없음",F2002/E2002)</x:f>
        <x:v>0.029411764705882353</x:v>
      </x:c>
      <x:c r="O2002" s="15" t="n">
        <x:f>IF(E2002=0,"해당 없음",G2002/E2002)</x:f>
        <x:v>0.10784313725490197</x:v>
      </x:c>
      <x:c r="P2002" s="15" t="n">
        <x:f>IF(E2002=0,"해당 없음",H2002/E2002)</x:f>
        <x:v>0.049019607843137254</x:v>
      </x:c>
      <x:c r="Q2002" s="15" t="n">
        <x:f>IF(E2002=0,"해당 없음",I2002/E2002)</x:f>
        <x:v>0.12745098039215685</x:v>
      </x:c>
      <x:c r="R2002" s="15" t="n">
        <x:f>IF(E2002=0,"해당 없음",J2002/E2002)</x:f>
        <x:v>0.029411764705882353</x:v>
      </x:c>
      <x:c r="S2002" s="15" t="n">
        <x:f>IF(E2002=0,"해당 없음",K2002/E2002)</x:f>
        <x:v>0.14705882352941177</x:v>
      </x:c>
      <x:c r="T2002" s="15" t="n">
        <x:f>IF(E2002=0,"해당 없음",L2002/E2002)</x:f>
        <x:v>0.38235294117647056</x:v>
      </x:c>
      <x:c r="U2002" s="15" t="n">
        <x:f>IF(E2002=0,"해당 없음",M2002/E2002)</x:f>
        <x:v>0.12745098039215685</x:v>
      </x:c>
      <x:c r="V2002" s="16" t="n">
        <x:f>E2002/5</x:f>
        <x:v>20.4</x:v>
      </x:c>
    </x:row>
    <x:row r="2003" ht="22" customHeight="1">
      <x:c r="A2003" s="2" t="n">
        <x:v>999</x:v>
      </x:c>
      <x:c r="B2003" s="2" t="str">
        <x:v>NAVY</x:v>
      </x:c>
      <x:c r="C2003" s="2" t="str">
        <x:v>240만</x:v>
      </x:c>
      <x:c r="D2003" s="2" t="str">
        <x:v>120만</x:v>
      </x:c>
      <x:c r="E2003" s="14" t="n">
        <x:f>SUM(F2003:M2003)</x:f>
        <x:v>102</x:v>
      </x:c>
      <x:c r="F2003" s="14" t="n">
        <x:v>4</x:v>
      </x:c>
      <x:c r="G2003" s="14" t="n">
        <x:v>9</x:v>
      </x:c>
      <x:c r="H2003" s="14" t="n">
        <x:v>3</x:v>
      </x:c>
      <x:c r="I2003" s="14" t="n">
        <x:v>0</x:v>
      </x:c>
      <x:c r="J2003" s="14" t="n">
        <x:v>4</x:v>
      </x:c>
      <x:c r="K2003" s="14" t="n">
        <x:v>0</x:v>
      </x:c>
      <x:c r="L2003" s="14" t="n">
        <x:v>37</x:v>
      </x:c>
      <x:c r="M2003" s="14" t="n">
        <x:v>45</x:v>
      </x:c>
      <x:c r="N2003" s="15" t="n">
        <x:f>IF(E2003=0,"해당 없음",F2003/E2003)</x:f>
        <x:v>0.0392156862745098</x:v>
      </x:c>
      <x:c r="O2003" s="15" t="n">
        <x:f>IF(E2003=0,"해당 없음",G2003/E2003)</x:f>
        <x:v>0.08823529411764706</x:v>
      </x:c>
      <x:c r="P2003" s="15" t="n">
        <x:f>IF(E2003=0,"해당 없음",H2003/E2003)</x:f>
        <x:v>0.029411764705882353</x:v>
      </x:c>
      <x:c r="Q2003" s="15" t="n">
        <x:f>IF(E2003=0,"해당 없음",I2003/E2003)</x:f>
        <x:v>0</x:v>
      </x:c>
      <x:c r="R2003" s="15" t="n">
        <x:f>IF(E2003=0,"해당 없음",J2003/E2003)</x:f>
        <x:v>0.0392156862745098</x:v>
      </x:c>
      <x:c r="S2003" s="15" t="n">
        <x:f>IF(E2003=0,"해당 없음",K2003/E2003)</x:f>
        <x:v>0</x:v>
      </x:c>
      <x:c r="T2003" s="15" t="n">
        <x:f>IF(E2003=0,"해당 없음",L2003/E2003)</x:f>
        <x:v>0.3627450980392157</x:v>
      </x:c>
      <x:c r="U2003" s="15" t="n">
        <x:f>IF(E2003=0,"해당 없음",M2003/E2003)</x:f>
        <x:v>0.4411764705882353</x:v>
      </x:c>
      <x:c r="V2003" s="16" t="n">
        <x:f>E2003/5</x:f>
        <x:v>20.4</x:v>
      </x:c>
    </x:row>
    <x:row r="2004" ht="22" customHeight="1">
      <x:c r="A2004" s="2" t="n">
        <x:v>1000</x:v>
      </x:c>
      <x:c r="B2004" s="2" t="str">
        <x:v>RED</x:v>
      </x:c>
      <x:c r="C2004" s="2" t="str">
        <x:v>240만</x:v>
      </x:c>
      <x:c r="D2004" s="2" t="str">
        <x:v>120만</x:v>
      </x:c>
      <x:c r="E2004" s="14" t="n">
        <x:f>SUM(F2004:M2004)</x:f>
        <x:v>101</x:v>
      </x:c>
      <x:c r="F2004" s="14" t="n">
        <x:v>0</x:v>
      </x:c>
      <x:c r="G2004" s="14" t="n">
        <x:v>19</x:v>
      </x:c>
      <x:c r="H2004" s="14" t="n">
        <x:v>3</x:v>
      </x:c>
      <x:c r="I2004" s="14" t="n">
        <x:v>5</x:v>
      </x:c>
      <x:c r="J2004" s="14" t="n">
        <x:v>2</x:v>
      </x:c>
      <x:c r="K2004" s="14" t="n">
        <x:v>6</x:v>
      </x:c>
      <x:c r="L2004" s="14" t="n">
        <x:v>35</x:v>
      </x:c>
      <x:c r="M2004" s="14" t="n">
        <x:v>31</x:v>
      </x:c>
      <x:c r="N2004" s="15" t="n">
        <x:f>IF(E2004=0,"해당 없음",F2004/E2004)</x:f>
        <x:v>0</x:v>
      </x:c>
      <x:c r="O2004" s="15" t="n">
        <x:f>IF(E2004=0,"해당 없음",G2004/E2004)</x:f>
        <x:v>0.18811881188118812</x:v>
      </x:c>
      <x:c r="P2004" s="15" t="n">
        <x:f>IF(E2004=0,"해당 없음",H2004/E2004)</x:f>
        <x:v>0.0297029702970297</x:v>
      </x:c>
      <x:c r="Q2004" s="15" t="n">
        <x:f>IF(E2004=0,"해당 없음",I2004/E2004)</x:f>
        <x:v>0.04950495049504951</x:v>
      </x:c>
      <x:c r="R2004" s="15" t="n">
        <x:f>IF(E2004=0,"해당 없음",J2004/E2004)</x:f>
        <x:v>0.019801980198019802</x:v>
      </x:c>
      <x:c r="S2004" s="15" t="n">
        <x:f>IF(E2004=0,"해당 없음",K2004/E2004)</x:f>
        <x:v>0.0594059405940594</x:v>
      </x:c>
      <x:c r="T2004" s="15" t="n">
        <x:f>IF(E2004=0,"해당 없음",L2004/E2004)</x:f>
        <x:v>0.3465346534653465</x:v>
      </x:c>
      <x:c r="U2004" s="15" t="n">
        <x:f>IF(E2004=0,"해당 없음",M2004/E2004)</x:f>
        <x:v>0.3069306930693069</x:v>
      </x:c>
      <x:c r="V2004" s="16" t="n">
        <x:f>E2004/5</x:f>
        <x:v>20.2</x:v>
      </x:c>
    </x:row>
    <x:row r="2005" ht="22" customHeight="1">
      <x:c r="A2005" s="2" t="n">
        <x:v>1000</x:v>
      </x:c>
      <x:c r="B2005" s="2" t="str">
        <x:v>NAVY</x:v>
      </x:c>
      <x:c r="C2005" s="2" t="str">
        <x:v>120만</x:v>
      </x:c>
      <x:c r="D2005" s="2" t="str">
        <x:v>240만</x:v>
      </x:c>
      <x:c r="E2005" s="14" t="n">
        <x:f>SUM(F2005:M2005)</x:f>
        <x:v>102</x:v>
      </x:c>
      <x:c r="F2005" s="14" t="n">
        <x:v>2</x:v>
      </x:c>
      <x:c r="G2005" s="14" t="n">
        <x:v>21</x:v>
      </x:c>
      <x:c r="H2005" s="14" t="n">
        <x:v>4</x:v>
      </x:c>
      <x:c r="I2005" s="14" t="n">
        <x:v>7</x:v>
      </x:c>
      <x:c r="J2005" s="14" t="n">
        <x:v>6</x:v>
      </x:c>
      <x:c r="K2005" s="14" t="n">
        <x:v>6</x:v>
      </x:c>
      <x:c r="L2005" s="14" t="n">
        <x:v>37</x:v>
      </x:c>
      <x:c r="M2005" s="14" t="n">
        <x:v>19</x:v>
      </x:c>
      <x:c r="N2005" s="15" t="n">
        <x:f>IF(E2005=0,"해당 없음",F2005/E2005)</x:f>
        <x:v>0.0196078431372549</x:v>
      </x:c>
      <x:c r="O2005" s="15" t="n">
        <x:f>IF(E2005=0,"해당 없음",G2005/E2005)</x:f>
        <x:v>0.20588235294117646</x:v>
      </x:c>
      <x:c r="P2005" s="15" t="n">
        <x:f>IF(E2005=0,"해당 없음",H2005/E2005)</x:f>
        <x:v>0.0392156862745098</x:v>
      </x:c>
      <x:c r="Q2005" s="15" t="n">
        <x:f>IF(E2005=0,"해당 없음",I2005/E2005)</x:f>
        <x:v>0.06862745098039216</x:v>
      </x:c>
      <x:c r="R2005" s="15" t="n">
        <x:f>IF(E2005=0,"해당 없음",J2005/E2005)</x:f>
        <x:v>0.058823529411764705</x:v>
      </x:c>
      <x:c r="S2005" s="15" t="n">
        <x:f>IF(E2005=0,"해당 없음",K2005/E2005)</x:f>
        <x:v>0.058823529411764705</x:v>
      </x:c>
      <x:c r="T2005" s="15" t="n">
        <x:f>IF(E2005=0,"해당 없음",L2005/E2005)</x:f>
        <x:v>0.3627450980392157</x:v>
      </x:c>
      <x:c r="U2005" s="15" t="n">
        <x:f>IF(E2005=0,"해당 없음",M2005/E2005)</x:f>
        <x:v>0.18627450980392157</x:v>
      </x:c>
      <x:c r="V2005" s="16" t="n">
        <x:f>E2005/5</x:f>
        <x:v>20.4</x:v>
      </x:c>
    </x:row>
    <x:row r="2006" ht="22" customHeight="1">
      <x:c r="A2006" s="2" t="n">
        <x:v>1001</x:v>
      </x:c>
      <x:c r="B2006" s="2" t="str">
        <x:v>RED</x:v>
      </x:c>
      <x:c r="C2006" s="2" t="str">
        <x:v>160만</x:v>
      </x:c>
      <x:c r="D2006" s="2" t="str">
        <x:v>200만</x:v>
      </x:c>
      <x:c r="E2006" s="14" t="n">
        <x:f>SUM(F2006:M2006)</x:f>
        <x:v>105</x:v>
      </x:c>
      <x:c r="F2006" s="14" t="n">
        <x:v>0</x:v>
      </x:c>
      <x:c r="G2006" s="14" t="n">
        <x:v>22</x:v>
      </x:c>
      <x:c r="H2006" s="14" t="n">
        <x:v>8</x:v>
      </x:c>
      <x:c r="I2006" s="14" t="n">
        <x:v>2</x:v>
      </x:c>
      <x:c r="J2006" s="14" t="n">
        <x:v>4</x:v>
      </x:c>
      <x:c r="K2006" s="14" t="n">
        <x:v>13</x:v>
      </x:c>
      <x:c r="L2006" s="14" t="n">
        <x:v>31</x:v>
      </x:c>
      <x:c r="M2006" s="14" t="n">
        <x:v>25</x:v>
      </x:c>
      <x:c r="N2006" s="15" t="n">
        <x:f>IF(E2006=0,"해당 없음",F2006/E2006)</x:f>
        <x:v>0</x:v>
      </x:c>
      <x:c r="O2006" s="15" t="n">
        <x:f>IF(E2006=0,"해당 없음",G2006/E2006)</x:f>
        <x:v>0.20952380952380953</x:v>
      </x:c>
      <x:c r="P2006" s="15" t="n">
        <x:f>IF(E2006=0,"해당 없음",H2006/E2006)</x:f>
        <x:v>0.0761904761904762</x:v>
      </x:c>
      <x:c r="Q2006" s="15" t="n">
        <x:f>IF(E2006=0,"해당 없음",I2006/E2006)</x:f>
        <x:v>0.01904761904761905</x:v>
      </x:c>
      <x:c r="R2006" s="15" t="n">
        <x:f>IF(E2006=0,"해당 없음",J2006/E2006)</x:f>
        <x:v>0.0380952380952381</x:v>
      </x:c>
      <x:c r="S2006" s="15" t="n">
        <x:f>IF(E2006=0,"해당 없음",K2006/E2006)</x:f>
        <x:v>0.12380952380952381</x:v>
      </x:c>
      <x:c r="T2006" s="15" t="n">
        <x:f>IF(E2006=0,"해당 없음",L2006/E2006)</x:f>
        <x:v>0.29523809523809524</x:v>
      </x:c>
      <x:c r="U2006" s="15" t="n">
        <x:f>IF(E2006=0,"해당 없음",M2006/E2006)</x:f>
        <x:v>0.23809523809523808</x:v>
      </x:c>
      <x:c r="V2006" s="16" t="n">
        <x:f>E2006/5</x:f>
        <x:v>21</x:v>
      </x:c>
    </x:row>
    <x:row r="2007" ht="22" customHeight="1">
      <x:c r="A2007" s="2" t="n">
        <x:v>1001</x:v>
      </x:c>
      <x:c r="B2007" s="2" t="str">
        <x:v>NAVY</x:v>
      </x:c>
      <x:c r="C2007" s="2" t="str">
        <x:v>200만</x:v>
      </x:c>
      <x:c r="D2007" s="2" t="str">
        <x:v>160만</x:v>
      </x:c>
      <x:c r="E2007" s="14" t="n">
        <x:f>SUM(F2007:M2007)</x:f>
        <x:v>103</x:v>
      </x:c>
      <x:c r="F2007" s="14" t="n">
        <x:v>4</x:v>
      </x:c>
      <x:c r="G2007" s="14" t="n">
        <x:v>22</x:v>
      </x:c>
      <x:c r="H2007" s="14" t="n">
        <x:v>5</x:v>
      </x:c>
      <x:c r="I2007" s="14" t="n">
        <x:v>1</x:v>
      </x:c>
      <x:c r="J2007" s="14" t="n">
        <x:v>3</x:v>
      </x:c>
      <x:c r="K2007" s="14" t="n">
        <x:v>6</x:v>
      </x:c>
      <x:c r="L2007" s="14" t="n">
        <x:v>34</x:v>
      </x:c>
      <x:c r="M2007" s="14" t="n">
        <x:v>28</x:v>
      </x:c>
      <x:c r="N2007" s="15" t="n">
        <x:f>IF(E2007=0,"해당 없음",F2007/E2007)</x:f>
        <x:v>0.038834951456310676</x:v>
      </x:c>
      <x:c r="O2007" s="15" t="n">
        <x:f>IF(E2007=0,"해당 없음",G2007/E2007)</x:f>
        <x:v>0.21359223300970873</x:v>
      </x:c>
      <x:c r="P2007" s="15" t="n">
        <x:f>IF(E2007=0,"해당 없음",H2007/E2007)</x:f>
        <x:v>0.04854368932038835</x:v>
      </x:c>
      <x:c r="Q2007" s="15" t="n">
        <x:f>IF(E2007=0,"해당 없음",I2007/E2007)</x:f>
        <x:v>0.009708737864077669</x:v>
      </x:c>
      <x:c r="R2007" s="15" t="n">
        <x:f>IF(E2007=0,"해당 없음",J2007/E2007)</x:f>
        <x:v>0.02912621359223301</x:v>
      </x:c>
      <x:c r="S2007" s="15" t="n">
        <x:f>IF(E2007=0,"해당 없음",K2007/E2007)</x:f>
        <x:v>0.05825242718446602</x:v>
      </x:c>
      <x:c r="T2007" s="15" t="n">
        <x:f>IF(E2007=0,"해당 없음",L2007/E2007)</x:f>
        <x:v>0.3300970873786408</x:v>
      </x:c>
      <x:c r="U2007" s="15" t="n">
        <x:f>IF(E2007=0,"해당 없음",M2007/E2007)</x:f>
        <x:v>0.27184466019417475</x:v>
      </x:c>
      <x:c r="V2007" s="16" t="n">
        <x:f>E2007/5</x:f>
        <x:v>20.6</x:v>
      </x:c>
    </x:row>
    <x:row r="2008" ht="22" customHeight="1">
      <x:c r="A2008" s="2" t="n">
        <x:v>1002</x:v>
      </x:c>
      <x:c r="B2008" s="2" t="str">
        <x:v>RED</x:v>
      </x:c>
      <x:c r="C2008" s="2" t="str">
        <x:v>200만</x:v>
      </x:c>
      <x:c r="D2008" s="2" t="str">
        <x:v>160만</x:v>
      </x:c>
      <x:c r="E2008" s="14" t="n">
        <x:f>SUM(F2008:M2008)</x:f>
        <x:v>104</x:v>
      </x:c>
      <x:c r="F2008" s="14" t="n">
        <x:v>5</x:v>
      </x:c>
      <x:c r="G2008" s="14" t="n">
        <x:v>12</x:v>
      </x:c>
      <x:c r="H2008" s="14" t="n">
        <x:v>2</x:v>
      </x:c>
      <x:c r="I2008" s="14" t="n">
        <x:v>7</x:v>
      </x:c>
      <x:c r="J2008" s="14" t="n">
        <x:v>3</x:v>
      </x:c>
      <x:c r="K2008" s="14" t="n">
        <x:v>8</x:v>
      </x:c>
      <x:c r="L2008" s="14" t="n">
        <x:v>33</x:v>
      </x:c>
      <x:c r="M2008" s="14" t="n">
        <x:v>34</x:v>
      </x:c>
      <x:c r="N2008" s="15" t="n">
        <x:f>IF(E2008=0,"해당 없음",F2008/E2008)</x:f>
        <x:v>0.04807692307692308</x:v>
      </x:c>
      <x:c r="O2008" s="15" t="n">
        <x:f>IF(E2008=0,"해당 없음",G2008/E2008)</x:f>
        <x:v>0.11538461538461539</x:v>
      </x:c>
      <x:c r="P2008" s="15" t="n">
        <x:f>IF(E2008=0,"해당 없음",H2008/E2008)</x:f>
        <x:v>0.019230769230769232</x:v>
      </x:c>
      <x:c r="Q2008" s="15" t="n">
        <x:f>IF(E2008=0,"해당 없음",I2008/E2008)</x:f>
        <x:v>0.0673076923076923</x:v>
      </x:c>
      <x:c r="R2008" s="15" t="n">
        <x:f>IF(E2008=0,"해당 없음",J2008/E2008)</x:f>
        <x:v>0.028846153846153848</x:v>
      </x:c>
      <x:c r="S2008" s="15" t="n">
        <x:f>IF(E2008=0,"해당 없음",K2008/E2008)</x:f>
        <x:v>0.07692307692307693</x:v>
      </x:c>
      <x:c r="T2008" s="15" t="n">
        <x:f>IF(E2008=0,"해당 없음",L2008/E2008)</x:f>
        <x:v>0.3173076923076923</x:v>
      </x:c>
      <x:c r="U2008" s="15" t="n">
        <x:f>IF(E2008=0,"해당 없음",M2008/E2008)</x:f>
        <x:v>0.3269230769230769</x:v>
      </x:c>
      <x:c r="V2008" s="16" t="n">
        <x:f>E2008/5</x:f>
        <x:v>20.8</x:v>
      </x:c>
    </x:row>
    <x:row r="2009" ht="22" customHeight="1">
      <x:c r="A2009" s="2" t="n">
        <x:v>1002</x:v>
      </x:c>
      <x:c r="B2009" s="2" t="str">
        <x:v>NAVY</x:v>
      </x:c>
      <x:c r="C2009" s="2" t="str">
        <x:v>160만</x:v>
      </x:c>
      <x:c r="D2009" s="2" t="str">
        <x:v>200만</x:v>
      </x:c>
      <x:c r="E2009" s="14" t="n">
        <x:f>SUM(F2009:M2009)</x:f>
        <x:v>103</x:v>
      </x:c>
      <x:c r="F2009" s="14" t="n">
        <x:v>7</x:v>
      </x:c>
      <x:c r="G2009" s="14" t="n">
        <x:v>9</x:v>
      </x:c>
      <x:c r="H2009" s="14" t="n">
        <x:v>5</x:v>
      </x:c>
      <x:c r="I2009" s="14" t="n">
        <x:v>7</x:v>
      </x:c>
      <x:c r="J2009" s="14" t="n">
        <x:v>3</x:v>
      </x:c>
      <x:c r="K2009" s="14" t="n">
        <x:v>4</x:v>
      </x:c>
      <x:c r="L2009" s="14" t="n">
        <x:v>35</x:v>
      </x:c>
      <x:c r="M2009" s="14" t="n">
        <x:v>33</x:v>
      </x:c>
      <x:c r="N2009" s="15" t="n">
        <x:f>IF(E2009=0,"해당 없음",F2009/E2009)</x:f>
        <x:v>0.06796116504854369</x:v>
      </x:c>
      <x:c r="O2009" s="15" t="n">
        <x:f>IF(E2009=0,"해당 없음",G2009/E2009)</x:f>
        <x:v>0.08737864077669903</x:v>
      </x:c>
      <x:c r="P2009" s="15" t="n">
        <x:f>IF(E2009=0,"해당 없음",H2009/E2009)</x:f>
        <x:v>0.04854368932038835</x:v>
      </x:c>
      <x:c r="Q2009" s="15" t="n">
        <x:f>IF(E2009=0,"해당 없음",I2009/E2009)</x:f>
        <x:v>0.06796116504854369</x:v>
      </x:c>
      <x:c r="R2009" s="15" t="n">
        <x:f>IF(E2009=0,"해당 없음",J2009/E2009)</x:f>
        <x:v>0.02912621359223301</x:v>
      </x:c>
      <x:c r="S2009" s="15" t="n">
        <x:f>IF(E2009=0,"해당 없음",K2009/E2009)</x:f>
        <x:v>0.038834951456310676</x:v>
      </x:c>
      <x:c r="T2009" s="15" t="n">
        <x:f>IF(E2009=0,"해당 없음",L2009/E2009)</x:f>
        <x:v>0.33980582524271846</x:v>
      </x:c>
      <x:c r="U2009" s="15" t="n">
        <x:f>IF(E2009=0,"해당 없음",M2009/E2009)</x:f>
        <x:v>0.32038834951456313</x:v>
      </x:c>
      <x:c r="V2009" s="16" t="n">
        <x:f>E2009/5</x:f>
        <x:v>20.6</x:v>
      </x:c>
    </x:row>
    <x:row r="2010" ht="22" customHeight="1">
      <x:c r="A2010" s="2" t="n">
        <x:v>1003</x:v>
      </x:c>
      <x:c r="B2010" s="2" t="str">
        <x:v>RED</x:v>
      </x:c>
      <x:c r="C2010" s="2" t="str">
        <x:v>160만</x:v>
      </x:c>
      <x:c r="D2010" s="2" t="str">
        <x:v>200만</x:v>
      </x:c>
      <x:c r="E2010" s="14" t="n">
        <x:f>SUM(F2010:M2010)</x:f>
        <x:v>104</x:v>
      </x:c>
      <x:c r="F2010" s="14" t="n">
        <x:v>2</x:v>
      </x:c>
      <x:c r="G2010" s="14" t="n">
        <x:v>18</x:v>
      </x:c>
      <x:c r="H2010" s="14" t="n">
        <x:v>9</x:v>
      </x:c>
      <x:c r="I2010" s="14" t="n">
        <x:v>3</x:v>
      </x:c>
      <x:c r="J2010" s="14" t="n">
        <x:v>2</x:v>
      </x:c>
      <x:c r="K2010" s="14" t="n">
        <x:v>4</x:v>
      </x:c>
      <x:c r="L2010" s="14" t="n">
        <x:v>39</x:v>
      </x:c>
      <x:c r="M2010" s="14" t="n">
        <x:v>27</x:v>
      </x:c>
      <x:c r="N2010" s="15" t="n">
        <x:f>IF(E2010=0,"해당 없음",F2010/E2010)</x:f>
        <x:v>0.019230769230769232</x:v>
      </x:c>
      <x:c r="O2010" s="15" t="n">
        <x:f>IF(E2010=0,"해당 없음",G2010/E2010)</x:f>
        <x:v>0.17307692307692307</x:v>
      </x:c>
      <x:c r="P2010" s="15" t="n">
        <x:f>IF(E2010=0,"해당 없음",H2010/E2010)</x:f>
        <x:v>0.08653846153846154</x:v>
      </x:c>
      <x:c r="Q2010" s="15" t="n">
        <x:f>IF(E2010=0,"해당 없음",I2010/E2010)</x:f>
        <x:v>0.028846153846153848</x:v>
      </x:c>
      <x:c r="R2010" s="15" t="n">
        <x:f>IF(E2010=0,"해당 없음",J2010/E2010)</x:f>
        <x:v>0.019230769230769232</x:v>
      </x:c>
      <x:c r="S2010" s="15" t="n">
        <x:f>IF(E2010=0,"해당 없음",K2010/E2010)</x:f>
        <x:v>0.038461538461538464</x:v>
      </x:c>
      <x:c r="T2010" s="15" t="n">
        <x:f>IF(E2010=0,"해당 없음",L2010/E2010)</x:f>
        <x:v>0.375</x:v>
      </x:c>
      <x:c r="U2010" s="15" t="n">
        <x:f>IF(E2010=0,"해당 없음",M2010/E2010)</x:f>
        <x:v>0.25961538461538464</x:v>
      </x:c>
      <x:c r="V2010" s="16" t="n">
        <x:f>E2010/5</x:f>
        <x:v>20.8</x:v>
      </x:c>
    </x:row>
    <x:row r="2011" ht="22" customHeight="1">
      <x:c r="A2011" s="2" t="n">
        <x:v>1003</x:v>
      </x:c>
      <x:c r="B2011" s="2" t="str">
        <x:v>NAVY</x:v>
      </x:c>
      <x:c r="C2011" s="2" t="str">
        <x:v>200만</x:v>
      </x:c>
      <x:c r="D2011" s="2" t="str">
        <x:v>160만</x:v>
      </x:c>
      <x:c r="E2011" s="14" t="n">
        <x:f>SUM(F2011:M2011)</x:f>
        <x:v>105</x:v>
      </x:c>
      <x:c r="F2011" s="14" t="n">
        <x:v>4</x:v>
      </x:c>
      <x:c r="G2011" s="14" t="n">
        <x:v>15</x:v>
      </x:c>
      <x:c r="H2011" s="14" t="n">
        <x:v>3</x:v>
      </x:c>
      <x:c r="I2011" s="14" t="n">
        <x:v>1</x:v>
      </x:c>
      <x:c r="J2011" s="14" t="n">
        <x:v>7</x:v>
      </x:c>
      <x:c r="K2011" s="14" t="n">
        <x:v>7</x:v>
      </x:c>
      <x:c r="L2011" s="14" t="n">
        <x:v>41</x:v>
      </x:c>
      <x:c r="M2011" s="14" t="n">
        <x:v>27</x:v>
      </x:c>
      <x:c r="N2011" s="15" t="n">
        <x:f>IF(E2011=0,"해당 없음",F2011/E2011)</x:f>
        <x:v>0.0380952380952381</x:v>
      </x:c>
      <x:c r="O2011" s="15" t="n">
        <x:f>IF(E2011=0,"해당 없음",G2011/E2011)</x:f>
        <x:v>0.14285714285714285</x:v>
      </x:c>
      <x:c r="P2011" s="15" t="n">
        <x:f>IF(E2011=0,"해당 없음",H2011/E2011)</x:f>
        <x:v>0.02857142857142857</x:v>
      </x:c>
      <x:c r="Q2011" s="15" t="n">
        <x:f>IF(E2011=0,"해당 없음",I2011/E2011)</x:f>
        <x:v>0.009523809523809525</x:v>
      </x:c>
      <x:c r="R2011" s="15" t="n">
        <x:f>IF(E2011=0,"해당 없음",J2011/E2011)</x:f>
        <x:v>0.06666666666666667</x:v>
      </x:c>
      <x:c r="S2011" s="15" t="n">
        <x:f>IF(E2011=0,"해당 없음",K2011/E2011)</x:f>
        <x:v>0.06666666666666667</x:v>
      </x:c>
      <x:c r="T2011" s="15" t="n">
        <x:f>IF(E2011=0,"해당 없음",L2011/E2011)</x:f>
        <x:v>0.3904761904761905</x:v>
      </x:c>
      <x:c r="U2011" s="15" t="n">
        <x:f>IF(E2011=0,"해당 없음",M2011/E2011)</x:f>
        <x:v>0.2571428571428571</x:v>
      </x:c>
      <x:c r="V2011" s="16" t="n">
        <x:f>E2011/5</x:f>
        <x:v>21</x:v>
      </x:c>
    </x:row>
    <x:row r="2012" ht="22" customHeight="1">
      <x:c r="A2012" s="2" t="n">
        <x:v>1004</x:v>
      </x:c>
      <x:c r="B2012" s="2" t="str">
        <x:v>RED</x:v>
      </x:c>
      <x:c r="C2012" s="2" t="str">
        <x:v>200만</x:v>
      </x:c>
      <x:c r="D2012" s="2" t="str">
        <x:v>160만</x:v>
      </x:c>
      <x:c r="E2012" s="14" t="n">
        <x:f>SUM(F2012:M2012)</x:f>
        <x:v>102</x:v>
      </x:c>
      <x:c r="F2012" s="14" t="n">
        <x:v>3</x:v>
      </x:c>
      <x:c r="G2012" s="14" t="n">
        <x:v>9</x:v>
      </x:c>
      <x:c r="H2012" s="14" t="n">
        <x:v>0</x:v>
      </x:c>
      <x:c r="I2012" s="14" t="n">
        <x:v>4</x:v>
      </x:c>
      <x:c r="J2012" s="14" t="n">
        <x:v>2</x:v>
      </x:c>
      <x:c r="K2012" s="14" t="n">
        <x:v>8</x:v>
      </x:c>
      <x:c r="L2012" s="14" t="n">
        <x:v>39</x:v>
      </x:c>
      <x:c r="M2012" s="14" t="n">
        <x:v>37</x:v>
      </x:c>
      <x:c r="N2012" s="15" t="n">
        <x:f>IF(E2012=0,"해당 없음",F2012/E2012)</x:f>
        <x:v>0.029411764705882353</x:v>
      </x:c>
      <x:c r="O2012" s="15" t="n">
        <x:f>IF(E2012=0,"해당 없음",G2012/E2012)</x:f>
        <x:v>0.08823529411764706</x:v>
      </x:c>
      <x:c r="P2012" s="15" t="n">
        <x:f>IF(E2012=0,"해당 없음",H2012/E2012)</x:f>
        <x:v>0</x:v>
      </x:c>
      <x:c r="Q2012" s="15" t="n">
        <x:f>IF(E2012=0,"해당 없음",I2012/E2012)</x:f>
        <x:v>0.0392156862745098</x:v>
      </x:c>
      <x:c r="R2012" s="15" t="n">
        <x:f>IF(E2012=0,"해당 없음",J2012/E2012)</x:f>
        <x:v>0.0196078431372549</x:v>
      </x:c>
      <x:c r="S2012" s="15" t="n">
        <x:f>IF(E2012=0,"해당 없음",K2012/E2012)</x:f>
        <x:v>0.0784313725490196</x:v>
      </x:c>
      <x:c r="T2012" s="15" t="n">
        <x:f>IF(E2012=0,"해당 없음",L2012/E2012)</x:f>
        <x:v>0.38235294117647056</x:v>
      </x:c>
      <x:c r="U2012" s="15" t="n">
        <x:f>IF(E2012=0,"해당 없음",M2012/E2012)</x:f>
        <x:v>0.3627450980392157</x:v>
      </x:c>
      <x:c r="V2012" s="16" t="n">
        <x:f>E2012/5</x:f>
        <x:v>20.4</x:v>
      </x:c>
    </x:row>
    <x:row r="2013" ht="22" customHeight="1">
      <x:c r="A2013" s="2" t="n">
        <x:v>1004</x:v>
      </x:c>
      <x:c r="B2013" s="2" t="str">
        <x:v>NAVY</x:v>
      </x:c>
      <x:c r="C2013" s="2" t="str">
        <x:v>160만</x:v>
      </x:c>
      <x:c r="D2013" s="2" t="str">
        <x:v>200만</x:v>
      </x:c>
      <x:c r="E2013" s="14" t="n">
        <x:f>SUM(F2013:M2013)</x:f>
        <x:v>103</x:v>
      </x:c>
      <x:c r="F2013" s="14" t="n">
        <x:v>6</x:v>
      </x:c>
      <x:c r="G2013" s="14" t="n">
        <x:v>19</x:v>
      </x:c>
      <x:c r="H2013" s="14" t="n">
        <x:v>8</x:v>
      </x:c>
      <x:c r="I2013" s="14" t="n">
        <x:v>5</x:v>
      </x:c>
      <x:c r="J2013" s="14" t="n">
        <x:v>3</x:v>
      </x:c>
      <x:c r="K2013" s="14" t="n">
        <x:v>6</x:v>
      </x:c>
      <x:c r="L2013" s="14" t="n">
        <x:v>34</x:v>
      </x:c>
      <x:c r="M2013" s="14" t="n">
        <x:v>22</x:v>
      </x:c>
      <x:c r="N2013" s="15" t="n">
        <x:f>IF(E2013=0,"해당 없음",F2013/E2013)</x:f>
        <x:v>0.05825242718446602</x:v>
      </x:c>
      <x:c r="O2013" s="15" t="n">
        <x:f>IF(E2013=0,"해당 없음",G2013/E2013)</x:f>
        <x:v>0.18446601941747573</x:v>
      </x:c>
      <x:c r="P2013" s="15" t="n">
        <x:f>IF(E2013=0,"해당 없음",H2013/E2013)</x:f>
        <x:v>0.07766990291262135</x:v>
      </x:c>
      <x:c r="Q2013" s="15" t="n">
        <x:f>IF(E2013=0,"해당 없음",I2013/E2013)</x:f>
        <x:v>0.04854368932038835</x:v>
      </x:c>
      <x:c r="R2013" s="15" t="n">
        <x:f>IF(E2013=0,"해당 없음",J2013/E2013)</x:f>
        <x:v>0.02912621359223301</x:v>
      </x:c>
      <x:c r="S2013" s="15" t="n">
        <x:f>IF(E2013=0,"해당 없음",K2013/E2013)</x:f>
        <x:v>0.05825242718446602</x:v>
      </x:c>
      <x:c r="T2013" s="15" t="n">
        <x:f>IF(E2013=0,"해당 없음",L2013/E2013)</x:f>
        <x:v>0.3300970873786408</x:v>
      </x:c>
      <x:c r="U2013" s="15" t="n">
        <x:f>IF(E2013=0,"해당 없음",M2013/E2013)</x:f>
        <x:v>0.21359223300970873</x:v>
      </x:c>
      <x:c r="V2013" s="16" t="n">
        <x:f>E2013/5</x:f>
        <x:v>20.6</x:v>
      </x:c>
    </x:row>
    <x:row r="2014" ht="22" customHeight="1">
      <x:c r="A2014" s="2" t="n">
        <x:v>1005</x:v>
      </x:c>
      <x:c r="B2014" s="2" t="str">
        <x:v>RED</x:v>
      </x:c>
      <x:c r="C2014" s="2" t="str">
        <x:v>160만</x:v>
      </x:c>
      <x:c r="D2014" s="2" t="str">
        <x:v>200만</x:v>
      </x:c>
      <x:c r="E2014" s="14" t="n">
        <x:f>SUM(F2014:M2014)</x:f>
        <x:v>100</x:v>
      </x:c>
      <x:c r="F2014" s="14" t="n">
        <x:v>3</x:v>
      </x:c>
      <x:c r="G2014" s="14" t="n">
        <x:v>21</x:v>
      </x:c>
      <x:c r="H2014" s="14" t="n">
        <x:v>3</x:v>
      </x:c>
      <x:c r="I2014" s="14" t="n">
        <x:v>3</x:v>
      </x:c>
      <x:c r="J2014" s="14" t="n">
        <x:v>3</x:v>
      </x:c>
      <x:c r="K2014" s="14" t="n">
        <x:v>19</x:v>
      </x:c>
      <x:c r="L2014" s="14" t="n">
        <x:v>28</x:v>
      </x:c>
      <x:c r="M2014" s="14" t="n">
        <x:v>20</x:v>
      </x:c>
      <x:c r="N2014" s="15" t="n">
        <x:f>IF(E2014=0,"해당 없음",F2014/E2014)</x:f>
        <x:v>0.03</x:v>
      </x:c>
      <x:c r="O2014" s="15" t="n">
        <x:f>IF(E2014=0,"해당 없음",G2014/E2014)</x:f>
        <x:v>0.21</x:v>
      </x:c>
      <x:c r="P2014" s="15" t="n">
        <x:f>IF(E2014=0,"해당 없음",H2014/E2014)</x:f>
        <x:v>0.03</x:v>
      </x:c>
      <x:c r="Q2014" s="15" t="n">
        <x:f>IF(E2014=0,"해당 없음",I2014/E2014)</x:f>
        <x:v>0.03</x:v>
      </x:c>
      <x:c r="R2014" s="15" t="n">
        <x:f>IF(E2014=0,"해당 없음",J2014/E2014)</x:f>
        <x:v>0.03</x:v>
      </x:c>
      <x:c r="S2014" s="15" t="n">
        <x:f>IF(E2014=0,"해당 없음",K2014/E2014)</x:f>
        <x:v>0.19</x:v>
      </x:c>
      <x:c r="T2014" s="15" t="n">
        <x:f>IF(E2014=0,"해당 없음",L2014/E2014)</x:f>
        <x:v>0.28</x:v>
      </x:c>
      <x:c r="U2014" s="15" t="n">
        <x:f>IF(E2014=0,"해당 없음",M2014/E2014)</x:f>
        <x:v>0.2</x:v>
      </x:c>
      <x:c r="V2014" s="16" t="n">
        <x:f>E2014/5</x:f>
        <x:v>20</x:v>
      </x:c>
    </x:row>
    <x:row r="2015" ht="22" customHeight="1">
      <x:c r="A2015" s="2" t="n">
        <x:v>1005</x:v>
      </x:c>
      <x:c r="B2015" s="2" t="str">
        <x:v>NAVY</x:v>
      </x:c>
      <x:c r="C2015" s="2" t="str">
        <x:v>200만</x:v>
      </x:c>
      <x:c r="D2015" s="2" t="str">
        <x:v>160만</x:v>
      </x:c>
      <x:c r="E2015" s="14" t="n">
        <x:f>SUM(F2015:M2015)</x:f>
        <x:v>100</x:v>
      </x:c>
      <x:c r="F2015" s="14" t="n">
        <x:v>8</x:v>
      </x:c>
      <x:c r="G2015" s="14" t="n">
        <x:v>14</x:v>
      </x:c>
      <x:c r="H2015" s="14" t="n">
        <x:v>7</x:v>
      </x:c>
      <x:c r="I2015" s="14" t="n">
        <x:v>0</x:v>
      </x:c>
      <x:c r="J2015" s="14" t="n">
        <x:v>3</x:v>
      </x:c>
      <x:c r="K2015" s="14" t="n">
        <x:v>6</x:v>
      </x:c>
      <x:c r="L2015" s="14" t="n">
        <x:v>26</x:v>
      </x:c>
      <x:c r="M2015" s="14" t="n">
        <x:v>36</x:v>
      </x:c>
      <x:c r="N2015" s="15" t="n">
        <x:f>IF(E2015=0,"해당 없음",F2015/E2015)</x:f>
        <x:v>0.08</x:v>
      </x:c>
      <x:c r="O2015" s="15" t="n">
        <x:f>IF(E2015=0,"해당 없음",G2015/E2015)</x:f>
        <x:v>0.14</x:v>
      </x:c>
      <x:c r="P2015" s="15" t="n">
        <x:f>IF(E2015=0,"해당 없음",H2015/E2015)</x:f>
        <x:v>0.07</x:v>
      </x:c>
      <x:c r="Q2015" s="15" t="n">
        <x:f>IF(E2015=0,"해당 없음",I2015/E2015)</x:f>
        <x:v>0</x:v>
      </x:c>
      <x:c r="R2015" s="15" t="n">
        <x:f>IF(E2015=0,"해당 없음",J2015/E2015)</x:f>
        <x:v>0.03</x:v>
      </x:c>
      <x:c r="S2015" s="15" t="n">
        <x:f>IF(E2015=0,"해당 없음",K2015/E2015)</x:f>
        <x:v>0.06</x:v>
      </x:c>
      <x:c r="T2015" s="15" t="n">
        <x:f>IF(E2015=0,"해당 없음",L2015/E2015)</x:f>
        <x:v>0.26</x:v>
      </x:c>
      <x:c r="U2015" s="15" t="n">
        <x:f>IF(E2015=0,"해당 없음",M2015/E2015)</x:f>
        <x:v>0.36</x:v>
      </x:c>
      <x:c r="V2015" s="16" t="n">
        <x:f>E2015/5</x:f>
        <x:v>20</x:v>
      </x:c>
    </x:row>
    <x:row r="2016" ht="22" customHeight="1">
      <x:c r="A2016" s="2" t="n">
        <x:v>1006</x:v>
      </x:c>
      <x:c r="B2016" s="2" t="str">
        <x:v>RED</x:v>
      </x:c>
      <x:c r="C2016" s="2" t="str">
        <x:v>200만</x:v>
      </x:c>
      <x:c r="D2016" s="2" t="str">
        <x:v>160만</x:v>
      </x:c>
      <x:c r="E2016" s="14" t="n">
        <x:f>SUM(F2016:M2016)</x:f>
        <x:v>105</x:v>
      </x:c>
      <x:c r="F2016" s="14" t="n">
        <x:v>7</x:v>
      </x:c>
      <x:c r="G2016" s="14" t="n">
        <x:v>17</x:v>
      </x:c>
      <x:c r="H2016" s="14" t="n">
        <x:v>1</x:v>
      </x:c>
      <x:c r="I2016" s="14" t="n">
        <x:v>5</x:v>
      </x:c>
      <x:c r="J2016" s="14" t="n">
        <x:v>1</x:v>
      </x:c>
      <x:c r="K2016" s="14" t="n">
        <x:v>10</x:v>
      </x:c>
      <x:c r="L2016" s="14" t="n">
        <x:v>38</x:v>
      </x:c>
      <x:c r="M2016" s="14" t="n">
        <x:v>26</x:v>
      </x:c>
      <x:c r="N2016" s="15" t="n">
        <x:f>IF(E2016=0,"해당 없음",F2016/E2016)</x:f>
        <x:v>0.06666666666666667</x:v>
      </x:c>
      <x:c r="O2016" s="15" t="n">
        <x:f>IF(E2016=0,"해당 없음",G2016/E2016)</x:f>
        <x:v>0.1619047619047619</x:v>
      </x:c>
      <x:c r="P2016" s="15" t="n">
        <x:f>IF(E2016=0,"해당 없음",H2016/E2016)</x:f>
        <x:v>0.009523809523809525</x:v>
      </x:c>
      <x:c r="Q2016" s="15" t="n">
        <x:f>IF(E2016=0,"해당 없음",I2016/E2016)</x:f>
        <x:v>0.047619047619047616</x:v>
      </x:c>
      <x:c r="R2016" s="15" t="n">
        <x:f>IF(E2016=0,"해당 없음",J2016/E2016)</x:f>
        <x:v>0.009523809523809525</x:v>
      </x:c>
      <x:c r="S2016" s="15" t="n">
        <x:f>IF(E2016=0,"해당 없음",K2016/E2016)</x:f>
        <x:v>0.09523809523809523</x:v>
      </x:c>
      <x:c r="T2016" s="15" t="n">
        <x:f>IF(E2016=0,"해당 없음",L2016/E2016)</x:f>
        <x:v>0.3619047619047619</x:v>
      </x:c>
      <x:c r="U2016" s="15" t="n">
        <x:f>IF(E2016=0,"해당 없음",M2016/E2016)</x:f>
        <x:v>0.24761904761904763</x:v>
      </x:c>
      <x:c r="V2016" s="16" t="n">
        <x:f>E2016/5</x:f>
        <x:v>21</x:v>
      </x:c>
    </x:row>
    <x:row r="2017" ht="22" customHeight="1">
      <x:c r="A2017" s="2" t="n">
        <x:v>1006</x:v>
      </x:c>
      <x:c r="B2017" s="2" t="str">
        <x:v>NAVY</x:v>
      </x:c>
      <x:c r="C2017" s="2" t="str">
        <x:v>160만</x:v>
      </x:c>
      <x:c r="D2017" s="2" t="str">
        <x:v>200만</x:v>
      </x:c>
      <x:c r="E2017" s="14" t="n">
        <x:f>SUM(F2017:M2017)</x:f>
        <x:v>102</x:v>
      </x:c>
      <x:c r="F2017" s="14" t="n">
        <x:v>2</x:v>
      </x:c>
      <x:c r="G2017" s="14" t="n">
        <x:v>17</x:v>
      </x:c>
      <x:c r="H2017" s="14" t="n">
        <x:v>2</x:v>
      </x:c>
      <x:c r="I2017" s="14" t="n">
        <x:v>3</x:v>
      </x:c>
      <x:c r="J2017" s="14" t="n">
        <x:v>6</x:v>
      </x:c>
      <x:c r="K2017" s="14" t="n">
        <x:v>7</x:v>
      </x:c>
      <x:c r="L2017" s="14" t="n">
        <x:v>34</x:v>
      </x:c>
      <x:c r="M2017" s="14" t="n">
        <x:v>31</x:v>
      </x:c>
      <x:c r="N2017" s="15" t="n">
        <x:f>IF(E2017=0,"해당 없음",F2017/E2017)</x:f>
        <x:v>0.0196078431372549</x:v>
      </x:c>
      <x:c r="O2017" s="15" t="n">
        <x:f>IF(E2017=0,"해당 없음",G2017/E2017)</x:f>
        <x:v>0.16666666666666666</x:v>
      </x:c>
      <x:c r="P2017" s="15" t="n">
        <x:f>IF(E2017=0,"해당 없음",H2017/E2017)</x:f>
        <x:v>0.0196078431372549</x:v>
      </x:c>
      <x:c r="Q2017" s="15" t="n">
        <x:f>IF(E2017=0,"해당 없음",I2017/E2017)</x:f>
        <x:v>0.029411764705882353</x:v>
      </x:c>
      <x:c r="R2017" s="15" t="n">
        <x:f>IF(E2017=0,"해당 없음",J2017/E2017)</x:f>
        <x:v>0.058823529411764705</x:v>
      </x:c>
      <x:c r="S2017" s="15" t="n">
        <x:f>IF(E2017=0,"해당 없음",K2017/E2017)</x:f>
        <x:v>0.06862745098039216</x:v>
      </x:c>
      <x:c r="T2017" s="15" t="n">
        <x:f>IF(E2017=0,"해당 없음",L2017/E2017)</x:f>
        <x:v>0.3333333333333333</x:v>
      </x:c>
      <x:c r="U2017" s="15" t="n">
        <x:f>IF(E2017=0,"해당 없음",M2017/E2017)</x:f>
        <x:v>0.30392156862745096</x:v>
      </x:c>
      <x:c r="V2017" s="16" t="n">
        <x:f>E2017/5</x:f>
        <x:v>20.4</x:v>
      </x:c>
    </x:row>
    <x:row r="2018" ht="22" customHeight="1">
      <x:c r="A2018" s="2" t="n">
        <x:v>1007</x:v>
      </x:c>
      <x:c r="B2018" s="2" t="str">
        <x:v>RED</x:v>
      </x:c>
      <x:c r="C2018" s="2" t="str">
        <x:v>160만</x:v>
      </x:c>
      <x:c r="D2018" s="2" t="str">
        <x:v>200만</x:v>
      </x:c>
      <x:c r="E2018" s="14" t="n">
        <x:f>SUM(F2018:M2018)</x:f>
        <x:v>101</x:v>
      </x:c>
      <x:c r="F2018" s="14" t="n">
        <x:v>2</x:v>
      </x:c>
      <x:c r="G2018" s="14" t="n">
        <x:v>13</x:v>
      </x:c>
      <x:c r="H2018" s="14" t="n">
        <x:v>9</x:v>
      </x:c>
      <x:c r="I2018" s="14" t="n">
        <x:v>4</x:v>
      </x:c>
      <x:c r="J2018" s="14" t="n">
        <x:v>1</x:v>
      </x:c>
      <x:c r="K2018" s="14" t="n">
        <x:v>9</x:v>
      </x:c>
      <x:c r="L2018" s="14" t="n">
        <x:v>34</x:v>
      </x:c>
      <x:c r="M2018" s="14" t="n">
        <x:v>29</x:v>
      </x:c>
      <x:c r="N2018" s="15" t="n">
        <x:f>IF(E2018=0,"해당 없음",F2018/E2018)</x:f>
        <x:v>0.019801980198019802</x:v>
      </x:c>
      <x:c r="O2018" s="15" t="n">
        <x:f>IF(E2018=0,"해당 없음",G2018/E2018)</x:f>
        <x:v>0.12871287128712872</x:v>
      </x:c>
      <x:c r="P2018" s="15" t="n">
        <x:f>IF(E2018=0,"해당 없음",H2018/E2018)</x:f>
        <x:v>0.0891089108910891</x:v>
      </x:c>
      <x:c r="Q2018" s="15" t="n">
        <x:f>IF(E2018=0,"해당 없음",I2018/E2018)</x:f>
        <x:v>0.039603960396039604</x:v>
      </x:c>
      <x:c r="R2018" s="15" t="n">
        <x:f>IF(E2018=0,"해당 없음",J2018/E2018)</x:f>
        <x:v>0.009900990099009901</x:v>
      </x:c>
      <x:c r="S2018" s="15" t="n">
        <x:f>IF(E2018=0,"해당 없음",K2018/E2018)</x:f>
        <x:v>0.0891089108910891</x:v>
      </x:c>
      <x:c r="T2018" s="15" t="n">
        <x:f>IF(E2018=0,"해당 없음",L2018/E2018)</x:f>
        <x:v>0.33663366336633666</x:v>
      </x:c>
      <x:c r="U2018" s="15" t="n">
        <x:f>IF(E2018=0,"해당 없음",M2018/E2018)</x:f>
        <x:v>0.2871287128712871</x:v>
      </x:c>
      <x:c r="V2018" s="16" t="n">
        <x:f>E2018/5</x:f>
        <x:v>20.2</x:v>
      </x:c>
    </x:row>
    <x:row r="2019" ht="22" customHeight="1">
      <x:c r="A2019" s="2" t="n">
        <x:v>1007</x:v>
      </x:c>
      <x:c r="B2019" s="2" t="str">
        <x:v>NAVY</x:v>
      </x:c>
      <x:c r="C2019" s="2" t="str">
        <x:v>200만</x:v>
      </x:c>
      <x:c r="D2019" s="2" t="str">
        <x:v>160만</x:v>
      </x:c>
      <x:c r="E2019" s="14" t="n">
        <x:f>SUM(F2019:M2019)</x:f>
        <x:v>103</x:v>
      </x:c>
      <x:c r="F2019" s="14" t="n">
        <x:v>5</x:v>
      </x:c>
      <x:c r="G2019" s="14" t="n">
        <x:v>24</x:v>
      </x:c>
      <x:c r="H2019" s="14" t="n">
        <x:v>5</x:v>
      </x:c>
      <x:c r="I2019" s="14" t="n">
        <x:v>2</x:v>
      </x:c>
      <x:c r="J2019" s="14" t="n">
        <x:v>3</x:v>
      </x:c>
      <x:c r="K2019" s="14" t="n">
        <x:v>12</x:v>
      </x:c>
      <x:c r="L2019" s="14" t="n">
        <x:v>36</x:v>
      </x:c>
      <x:c r="M2019" s="14" t="n">
        <x:v>16</x:v>
      </x:c>
      <x:c r="N2019" s="15" t="n">
        <x:f>IF(E2019=0,"해당 없음",F2019/E2019)</x:f>
        <x:v>0.04854368932038835</x:v>
      </x:c>
      <x:c r="O2019" s="15" t="n">
        <x:f>IF(E2019=0,"해당 없음",G2019/E2019)</x:f>
        <x:v>0.23300970873786409</x:v>
      </x:c>
      <x:c r="P2019" s="15" t="n">
        <x:f>IF(E2019=0,"해당 없음",H2019/E2019)</x:f>
        <x:v>0.04854368932038835</x:v>
      </x:c>
      <x:c r="Q2019" s="15" t="n">
        <x:f>IF(E2019=0,"해당 없음",I2019/E2019)</x:f>
        <x:v>0.019417475728155338</x:v>
      </x:c>
      <x:c r="R2019" s="15" t="n">
        <x:f>IF(E2019=0,"해당 없음",J2019/E2019)</x:f>
        <x:v>0.02912621359223301</x:v>
      </x:c>
      <x:c r="S2019" s="15" t="n">
        <x:f>IF(E2019=0,"해당 없음",K2019/E2019)</x:f>
        <x:v>0.11650485436893204</x:v>
      </x:c>
      <x:c r="T2019" s="15" t="n">
        <x:f>IF(E2019=0,"해당 없음",L2019/E2019)</x:f>
        <x:v>0.34951456310679613</x:v>
      </x:c>
      <x:c r="U2019" s="15" t="n">
        <x:f>IF(E2019=0,"해당 없음",M2019/E2019)</x:f>
        <x:v>0.1553398058252427</x:v>
      </x:c>
      <x:c r="V2019" s="16" t="n">
        <x:f>E2019/5</x:f>
        <x:v>20.6</x:v>
      </x:c>
    </x:row>
    <x:row r="2020" ht="22" customHeight="1">
      <x:c r="A2020" s="2" t="n">
        <x:v>1008</x:v>
      </x:c>
      <x:c r="B2020" s="2" t="str">
        <x:v>RED</x:v>
      </x:c>
      <x:c r="C2020" s="2" t="str">
        <x:v>200만</x:v>
      </x:c>
      <x:c r="D2020" s="2" t="str">
        <x:v>160만</x:v>
      </x:c>
      <x:c r="E2020" s="14" t="n">
        <x:f>SUM(F2020:M2020)</x:f>
        <x:v>104</x:v>
      </x:c>
      <x:c r="F2020" s="14" t="n">
        <x:v>5</x:v>
      </x:c>
      <x:c r="G2020" s="14" t="n">
        <x:v>12</x:v>
      </x:c>
      <x:c r="H2020" s="14" t="n">
        <x:v>3</x:v>
      </x:c>
      <x:c r="I2020" s="14" t="n">
        <x:v>7</x:v>
      </x:c>
      <x:c r="J2020" s="14" t="n">
        <x:v>3</x:v>
      </x:c>
      <x:c r="K2020" s="14" t="n">
        <x:v>5</x:v>
      </x:c>
      <x:c r="L2020" s="14" t="n">
        <x:v>38</x:v>
      </x:c>
      <x:c r="M2020" s="14" t="n">
        <x:v>31</x:v>
      </x:c>
      <x:c r="N2020" s="15" t="n">
        <x:f>IF(E2020=0,"해당 없음",F2020/E2020)</x:f>
        <x:v>0.04807692307692308</x:v>
      </x:c>
      <x:c r="O2020" s="15" t="n">
        <x:f>IF(E2020=0,"해당 없음",G2020/E2020)</x:f>
        <x:v>0.11538461538461539</x:v>
      </x:c>
      <x:c r="P2020" s="15" t="n">
        <x:f>IF(E2020=0,"해당 없음",H2020/E2020)</x:f>
        <x:v>0.028846153846153848</x:v>
      </x:c>
      <x:c r="Q2020" s="15" t="n">
        <x:f>IF(E2020=0,"해당 없음",I2020/E2020)</x:f>
        <x:v>0.0673076923076923</x:v>
      </x:c>
      <x:c r="R2020" s="15" t="n">
        <x:f>IF(E2020=0,"해당 없음",J2020/E2020)</x:f>
        <x:v>0.028846153846153848</x:v>
      </x:c>
      <x:c r="S2020" s="15" t="n">
        <x:f>IF(E2020=0,"해당 없음",K2020/E2020)</x:f>
        <x:v>0.04807692307692308</x:v>
      </x:c>
      <x:c r="T2020" s="15" t="n">
        <x:f>IF(E2020=0,"해당 없음",L2020/E2020)</x:f>
        <x:v>0.36538461538461536</x:v>
      </x:c>
      <x:c r="U2020" s="15" t="n">
        <x:f>IF(E2020=0,"해당 없음",M2020/E2020)</x:f>
        <x:v>0.2980769230769231</x:v>
      </x:c>
      <x:c r="V2020" s="16" t="n">
        <x:f>E2020/5</x:f>
        <x:v>20.8</x:v>
      </x:c>
    </x:row>
    <x:row r="2021" ht="22" customHeight="1">
      <x:c r="A2021" s="2" t="n">
        <x:v>1008</x:v>
      </x:c>
      <x:c r="B2021" s="2" t="str">
        <x:v>NAVY</x:v>
      </x:c>
      <x:c r="C2021" s="2" t="str">
        <x:v>160만</x:v>
      </x:c>
      <x:c r="D2021" s="2" t="str">
        <x:v>200만</x:v>
      </x:c>
      <x:c r="E2021" s="14" t="n">
        <x:f>SUM(F2021:M2021)</x:f>
        <x:v>104</x:v>
      </x:c>
      <x:c r="F2021" s="14" t="n">
        <x:v>4</x:v>
      </x:c>
      <x:c r="G2021" s="14" t="n">
        <x:v>19</x:v>
      </x:c>
      <x:c r="H2021" s="14" t="n">
        <x:v>4</x:v>
      </x:c>
      <x:c r="I2021" s="14" t="n">
        <x:v>5</x:v>
      </x:c>
      <x:c r="J2021" s="14" t="n">
        <x:v>6</x:v>
      </x:c>
      <x:c r="K2021" s="14" t="n">
        <x:v>2</x:v>
      </x:c>
      <x:c r="L2021" s="14" t="n">
        <x:v>40</x:v>
      </x:c>
      <x:c r="M2021" s="14" t="n">
        <x:v>24</x:v>
      </x:c>
      <x:c r="N2021" s="15" t="n">
        <x:f>IF(E2021=0,"해당 없음",F2021/E2021)</x:f>
        <x:v>0.038461538461538464</x:v>
      </x:c>
      <x:c r="O2021" s="15" t="n">
        <x:f>IF(E2021=0,"해당 없음",G2021/E2021)</x:f>
        <x:v>0.18269230769230768</x:v>
      </x:c>
      <x:c r="P2021" s="15" t="n">
        <x:f>IF(E2021=0,"해당 없음",H2021/E2021)</x:f>
        <x:v>0.038461538461538464</x:v>
      </x:c>
      <x:c r="Q2021" s="15" t="n">
        <x:f>IF(E2021=0,"해당 없음",I2021/E2021)</x:f>
        <x:v>0.04807692307692308</x:v>
      </x:c>
      <x:c r="R2021" s="15" t="n">
        <x:f>IF(E2021=0,"해당 없음",J2021/E2021)</x:f>
        <x:v>0.057692307692307696</x:v>
      </x:c>
      <x:c r="S2021" s="15" t="n">
        <x:f>IF(E2021=0,"해당 없음",K2021/E2021)</x:f>
        <x:v>0.019230769230769232</x:v>
      </x:c>
      <x:c r="T2021" s="15" t="n">
        <x:f>IF(E2021=0,"해당 없음",L2021/E2021)</x:f>
        <x:v>0.38461538461538464</x:v>
      </x:c>
      <x:c r="U2021" s="15" t="n">
        <x:f>IF(E2021=0,"해당 없음",M2021/E2021)</x:f>
        <x:v>0.23076923076923078</x:v>
      </x:c>
      <x:c r="V2021" s="16" t="n">
        <x:f>E2021/5</x:f>
        <x:v>20.8</x:v>
      </x:c>
    </x:row>
    <x:row r="2022" ht="22" customHeight="1">
      <x:c r="A2022" s="2" t="n">
        <x:v>1009</x:v>
      </x:c>
      <x:c r="B2022" s="2" t="str">
        <x:v>RED</x:v>
      </x:c>
      <x:c r="C2022" s="2" t="str">
        <x:v>160만</x:v>
      </x:c>
      <x:c r="D2022" s="2" t="str">
        <x:v>200만</x:v>
      </x:c>
      <x:c r="E2022" s="14" t="n">
        <x:f>SUM(F2022:M2022)</x:f>
        <x:v>105</x:v>
      </x:c>
      <x:c r="F2022" s="14" t="n">
        <x:v>3</x:v>
      </x:c>
      <x:c r="G2022" s="14" t="n">
        <x:v>12</x:v>
      </x:c>
      <x:c r="H2022" s="14" t="n">
        <x:v>3</x:v>
      </x:c>
      <x:c r="I2022" s="14" t="n">
        <x:v>8</x:v>
      </x:c>
      <x:c r="J2022" s="14" t="n">
        <x:v>4</x:v>
      </x:c>
      <x:c r="K2022" s="14" t="n">
        <x:v>4</x:v>
      </x:c>
      <x:c r="L2022" s="14" t="n">
        <x:v>40</x:v>
      </x:c>
      <x:c r="M2022" s="14" t="n">
        <x:v>31</x:v>
      </x:c>
      <x:c r="N2022" s="15" t="n">
        <x:f>IF(E2022=0,"해당 없음",F2022/E2022)</x:f>
        <x:v>0.02857142857142857</x:v>
      </x:c>
      <x:c r="O2022" s="15" t="n">
        <x:f>IF(E2022=0,"해당 없음",G2022/E2022)</x:f>
        <x:v>0.11428571428571428</x:v>
      </x:c>
      <x:c r="P2022" s="15" t="n">
        <x:f>IF(E2022=0,"해당 없음",H2022/E2022)</x:f>
        <x:v>0.02857142857142857</x:v>
      </x:c>
      <x:c r="Q2022" s="15" t="n">
        <x:f>IF(E2022=0,"해당 없음",I2022/E2022)</x:f>
        <x:v>0.0761904761904762</x:v>
      </x:c>
      <x:c r="R2022" s="15" t="n">
        <x:f>IF(E2022=0,"해당 없음",J2022/E2022)</x:f>
        <x:v>0.0380952380952381</x:v>
      </x:c>
      <x:c r="S2022" s="15" t="n">
        <x:f>IF(E2022=0,"해당 없음",K2022/E2022)</x:f>
        <x:v>0.0380952380952381</x:v>
      </x:c>
      <x:c r="T2022" s="15" t="n">
        <x:f>IF(E2022=0,"해당 없음",L2022/E2022)</x:f>
        <x:v>0.38095238095238093</x:v>
      </x:c>
      <x:c r="U2022" s="15" t="n">
        <x:f>IF(E2022=0,"해당 없음",M2022/E2022)</x:f>
        <x:v>0.29523809523809524</x:v>
      </x:c>
      <x:c r="V2022" s="16" t="n">
        <x:f>E2022/5</x:f>
        <x:v>21</x:v>
      </x:c>
    </x:row>
    <x:row r="2023" ht="22" customHeight="1">
      <x:c r="A2023" s="2" t="n">
        <x:v>1009</x:v>
      </x:c>
      <x:c r="B2023" s="2" t="str">
        <x:v>NAVY</x:v>
      </x:c>
      <x:c r="C2023" s="2" t="str">
        <x:v>200만</x:v>
      </x:c>
      <x:c r="D2023" s="2" t="str">
        <x:v>160만</x:v>
      </x:c>
      <x:c r="E2023" s="14" t="n">
        <x:f>SUM(F2023:M2023)</x:f>
        <x:v>103</x:v>
      </x:c>
      <x:c r="F2023" s="14" t="n">
        <x:v>4</x:v>
      </x:c>
      <x:c r="G2023" s="14" t="n">
        <x:v>15</x:v>
      </x:c>
      <x:c r="H2023" s="14" t="n">
        <x:v>6</x:v>
      </x:c>
      <x:c r="I2023" s="14" t="n">
        <x:v>3</x:v>
      </x:c>
      <x:c r="J2023" s="14" t="n">
        <x:v>5</x:v>
      </x:c>
      <x:c r="K2023" s="14" t="n">
        <x:v>1</x:v>
      </x:c>
      <x:c r="L2023" s="14" t="n">
        <x:v>36</x:v>
      </x:c>
      <x:c r="M2023" s="14" t="n">
        <x:v>33</x:v>
      </x:c>
      <x:c r="N2023" s="15" t="n">
        <x:f>IF(E2023=0,"해당 없음",F2023/E2023)</x:f>
        <x:v>0.038834951456310676</x:v>
      </x:c>
      <x:c r="O2023" s="15" t="n">
        <x:f>IF(E2023=0,"해당 없음",G2023/E2023)</x:f>
        <x:v>0.14563106796116504</x:v>
      </x:c>
      <x:c r="P2023" s="15" t="n">
        <x:f>IF(E2023=0,"해당 없음",H2023/E2023)</x:f>
        <x:v>0.05825242718446602</x:v>
      </x:c>
      <x:c r="Q2023" s="15" t="n">
        <x:f>IF(E2023=0,"해당 없음",I2023/E2023)</x:f>
        <x:v>0.02912621359223301</x:v>
      </x:c>
      <x:c r="R2023" s="15" t="n">
        <x:f>IF(E2023=0,"해당 없음",J2023/E2023)</x:f>
        <x:v>0.04854368932038835</x:v>
      </x:c>
      <x:c r="S2023" s="15" t="n">
        <x:f>IF(E2023=0,"해당 없음",K2023/E2023)</x:f>
        <x:v>0.009708737864077669</x:v>
      </x:c>
      <x:c r="T2023" s="15" t="n">
        <x:f>IF(E2023=0,"해당 없음",L2023/E2023)</x:f>
        <x:v>0.34951456310679613</x:v>
      </x:c>
      <x:c r="U2023" s="15" t="n">
        <x:f>IF(E2023=0,"해당 없음",M2023/E2023)</x:f>
        <x:v>0.32038834951456313</x:v>
      </x:c>
      <x:c r="V2023" s="16" t="n">
        <x:f>E2023/5</x:f>
        <x:v>20.6</x:v>
      </x:c>
    </x:row>
    <x:row r="2024" ht="22" customHeight="1">
      <x:c r="A2024" s="2" t="n">
        <x:v>1010</x:v>
      </x:c>
      <x:c r="B2024" s="2" t="str">
        <x:v>RED</x:v>
      </x:c>
      <x:c r="C2024" s="2" t="str">
        <x:v>200만</x:v>
      </x:c>
      <x:c r="D2024" s="2" t="str">
        <x:v>160만</x:v>
      </x:c>
      <x:c r="E2024" s="14" t="n">
        <x:f>SUM(F2024:M2024)</x:f>
        <x:v>103</x:v>
      </x:c>
      <x:c r="F2024" s="14" t="n">
        <x:v>6</x:v>
      </x:c>
      <x:c r="G2024" s="14" t="n">
        <x:v>12</x:v>
      </x:c>
      <x:c r="H2024" s="14" t="n">
        <x:v>5</x:v>
      </x:c>
      <x:c r="I2024" s="14" t="n">
        <x:v>3</x:v>
      </x:c>
      <x:c r="J2024" s="14" t="n">
        <x:v>3</x:v>
      </x:c>
      <x:c r="K2024" s="14" t="n">
        <x:v>5</x:v>
      </x:c>
      <x:c r="L2024" s="14" t="n">
        <x:v>36</x:v>
      </x:c>
      <x:c r="M2024" s="14" t="n">
        <x:v>33</x:v>
      </x:c>
      <x:c r="N2024" s="15" t="n">
        <x:f>IF(E2024=0,"해당 없음",F2024/E2024)</x:f>
        <x:v>0.05825242718446602</x:v>
      </x:c>
      <x:c r="O2024" s="15" t="n">
        <x:f>IF(E2024=0,"해당 없음",G2024/E2024)</x:f>
        <x:v>0.11650485436893204</x:v>
      </x:c>
      <x:c r="P2024" s="15" t="n">
        <x:f>IF(E2024=0,"해당 없음",H2024/E2024)</x:f>
        <x:v>0.04854368932038835</x:v>
      </x:c>
      <x:c r="Q2024" s="15" t="n">
        <x:f>IF(E2024=0,"해당 없음",I2024/E2024)</x:f>
        <x:v>0.02912621359223301</x:v>
      </x:c>
      <x:c r="R2024" s="15" t="n">
        <x:f>IF(E2024=0,"해당 없음",J2024/E2024)</x:f>
        <x:v>0.02912621359223301</x:v>
      </x:c>
      <x:c r="S2024" s="15" t="n">
        <x:f>IF(E2024=0,"해당 없음",K2024/E2024)</x:f>
        <x:v>0.04854368932038835</x:v>
      </x:c>
      <x:c r="T2024" s="15" t="n">
        <x:f>IF(E2024=0,"해당 없음",L2024/E2024)</x:f>
        <x:v>0.34951456310679613</x:v>
      </x:c>
      <x:c r="U2024" s="15" t="n">
        <x:f>IF(E2024=0,"해당 없음",M2024/E2024)</x:f>
        <x:v>0.32038834951456313</x:v>
      </x:c>
      <x:c r="V2024" s="16" t="n">
        <x:f>E2024/5</x:f>
        <x:v>20.6</x:v>
      </x:c>
    </x:row>
    <x:row r="2025" ht="22" customHeight="1">
      <x:c r="A2025" s="2" t="n">
        <x:v>1010</x:v>
      </x:c>
      <x:c r="B2025" s="2" t="str">
        <x:v>NAVY</x:v>
      </x:c>
      <x:c r="C2025" s="2" t="str">
        <x:v>160만</x:v>
      </x:c>
      <x:c r="D2025" s="2" t="str">
        <x:v>200만</x:v>
      </x:c>
      <x:c r="E2025" s="14" t="n">
        <x:f>SUM(F2025:M2025)</x:f>
        <x:v>103</x:v>
      </x:c>
      <x:c r="F2025" s="14" t="n">
        <x:v>3</x:v>
      </x:c>
      <x:c r="G2025" s="14" t="n">
        <x:v>22</x:v>
      </x:c>
      <x:c r="H2025" s="14" t="n">
        <x:v>7</x:v>
      </x:c>
      <x:c r="I2025" s="14" t="n">
        <x:v>7</x:v>
      </x:c>
      <x:c r="J2025" s="14" t="n">
        <x:v>4</x:v>
      </x:c>
      <x:c r="K2025" s="14" t="n">
        <x:v>8</x:v>
      </x:c>
      <x:c r="L2025" s="14" t="n">
        <x:v>37</x:v>
      </x:c>
      <x:c r="M2025" s="14" t="n">
        <x:v>15</x:v>
      </x:c>
      <x:c r="N2025" s="15" t="n">
        <x:f>IF(E2025=0,"해당 없음",F2025/E2025)</x:f>
        <x:v>0.02912621359223301</x:v>
      </x:c>
      <x:c r="O2025" s="15" t="n">
        <x:f>IF(E2025=0,"해당 없음",G2025/E2025)</x:f>
        <x:v>0.21359223300970873</x:v>
      </x:c>
      <x:c r="P2025" s="15" t="n">
        <x:f>IF(E2025=0,"해당 없음",H2025/E2025)</x:f>
        <x:v>0.06796116504854369</x:v>
      </x:c>
      <x:c r="Q2025" s="15" t="n">
        <x:f>IF(E2025=0,"해당 없음",I2025/E2025)</x:f>
        <x:v>0.06796116504854369</x:v>
      </x:c>
      <x:c r="R2025" s="15" t="n">
        <x:f>IF(E2025=0,"해당 없음",J2025/E2025)</x:f>
        <x:v>0.038834951456310676</x:v>
      </x:c>
      <x:c r="S2025" s="15" t="n">
        <x:f>IF(E2025=0,"해당 없음",K2025/E2025)</x:f>
        <x:v>0.07766990291262135</x:v>
      </x:c>
      <x:c r="T2025" s="15" t="n">
        <x:f>IF(E2025=0,"해당 없음",L2025/E2025)</x:f>
        <x:v>0.3592233009708738</x:v>
      </x:c>
      <x:c r="U2025" s="15" t="n">
        <x:f>IF(E2025=0,"해당 없음",M2025/E2025)</x:f>
        <x:v>0.14563106796116504</x:v>
      </x:c>
      <x:c r="V2025" s="16" t="n">
        <x:f>E2025/5</x:f>
        <x:v>20.6</x:v>
      </x:c>
    </x:row>
    <x:row r="2026" ht="22" customHeight="1">
      <x:c r="A2026" s="2" t="n">
        <x:v>1011</x:v>
      </x:c>
      <x:c r="B2026" s="2" t="str">
        <x:v>RED</x:v>
      </x:c>
      <x:c r="C2026" s="2" t="str">
        <x:v>160만</x:v>
      </x:c>
      <x:c r="D2026" s="2" t="str">
        <x:v>200만</x:v>
      </x:c>
      <x:c r="E2026" s="14" t="n">
        <x:f>SUM(F2026:M2026)</x:f>
        <x:v>103</x:v>
      </x:c>
      <x:c r="F2026" s="14" t="n">
        <x:v>4</x:v>
      </x:c>
      <x:c r="G2026" s="14" t="n">
        <x:v>6</x:v>
      </x:c>
      <x:c r="H2026" s="14" t="n">
        <x:v>4</x:v>
      </x:c>
      <x:c r="I2026" s="14" t="n">
        <x:v>9</x:v>
      </x:c>
      <x:c r="J2026" s="14" t="n">
        <x:v>2</x:v>
      </x:c>
      <x:c r="K2026" s="14" t="n">
        <x:v>7</x:v>
      </x:c>
      <x:c r="L2026" s="14" t="n">
        <x:v>38</x:v>
      </x:c>
      <x:c r="M2026" s="14" t="n">
        <x:v>33</x:v>
      </x:c>
      <x:c r="N2026" s="15" t="n">
        <x:f>IF(E2026=0,"해당 없음",F2026/E2026)</x:f>
        <x:v>0.038834951456310676</x:v>
      </x:c>
      <x:c r="O2026" s="15" t="n">
        <x:f>IF(E2026=0,"해당 없음",G2026/E2026)</x:f>
        <x:v>0.05825242718446602</x:v>
      </x:c>
      <x:c r="P2026" s="15" t="n">
        <x:f>IF(E2026=0,"해당 없음",H2026/E2026)</x:f>
        <x:v>0.038834951456310676</x:v>
      </x:c>
      <x:c r="Q2026" s="15" t="n">
        <x:f>IF(E2026=0,"해당 없음",I2026/E2026)</x:f>
        <x:v>0.08737864077669903</x:v>
      </x:c>
      <x:c r="R2026" s="15" t="n">
        <x:f>IF(E2026=0,"해당 없음",J2026/E2026)</x:f>
        <x:v>0.019417475728155338</x:v>
      </x:c>
      <x:c r="S2026" s="15" t="n">
        <x:f>IF(E2026=0,"해당 없음",K2026/E2026)</x:f>
        <x:v>0.06796116504854369</x:v>
      </x:c>
      <x:c r="T2026" s="15" t="n">
        <x:f>IF(E2026=0,"해당 없음",L2026/E2026)</x:f>
        <x:v>0.36893203883495146</x:v>
      </x:c>
      <x:c r="U2026" s="15" t="n">
        <x:f>IF(E2026=0,"해당 없음",M2026/E2026)</x:f>
        <x:v>0.32038834951456313</x:v>
      </x:c>
      <x:c r="V2026" s="16" t="n">
        <x:f>E2026/5</x:f>
        <x:v>20.6</x:v>
      </x:c>
    </x:row>
    <x:row r="2027" ht="22" customHeight="1">
      <x:c r="A2027" s="2" t="n">
        <x:v>1011</x:v>
      </x:c>
      <x:c r="B2027" s="2" t="str">
        <x:v>NAVY</x:v>
      </x:c>
      <x:c r="C2027" s="2" t="str">
        <x:v>200만</x:v>
      </x:c>
      <x:c r="D2027" s="2" t="str">
        <x:v>160만</x:v>
      </x:c>
      <x:c r="E2027" s="14" t="n">
        <x:f>SUM(F2027:M2027)</x:f>
        <x:v>103</x:v>
      </x:c>
      <x:c r="F2027" s="14" t="n">
        <x:v>2</x:v>
      </x:c>
      <x:c r="G2027" s="14" t="n">
        <x:v>15</x:v>
      </x:c>
      <x:c r="H2027" s="14" t="n">
        <x:v>3</x:v>
      </x:c>
      <x:c r="I2027" s="14" t="n">
        <x:v>1</x:v>
      </x:c>
      <x:c r="J2027" s="14" t="n">
        <x:v>7</x:v>
      </x:c>
      <x:c r="K2027" s="14" t="n">
        <x:v>1</x:v>
      </x:c>
      <x:c r="L2027" s="14" t="n">
        <x:v>33</x:v>
      </x:c>
      <x:c r="M2027" s="14" t="n">
        <x:v>41</x:v>
      </x:c>
      <x:c r="N2027" s="15" t="n">
        <x:f>IF(E2027=0,"해당 없음",F2027/E2027)</x:f>
        <x:v>0.019417475728155338</x:v>
      </x:c>
      <x:c r="O2027" s="15" t="n">
        <x:f>IF(E2027=0,"해당 없음",G2027/E2027)</x:f>
        <x:v>0.14563106796116504</x:v>
      </x:c>
      <x:c r="P2027" s="15" t="n">
        <x:f>IF(E2027=0,"해당 없음",H2027/E2027)</x:f>
        <x:v>0.02912621359223301</x:v>
      </x:c>
      <x:c r="Q2027" s="15" t="n">
        <x:f>IF(E2027=0,"해당 없음",I2027/E2027)</x:f>
        <x:v>0.009708737864077669</x:v>
      </x:c>
      <x:c r="R2027" s="15" t="n">
        <x:f>IF(E2027=0,"해당 없음",J2027/E2027)</x:f>
        <x:v>0.06796116504854369</x:v>
      </x:c>
      <x:c r="S2027" s="15" t="n">
        <x:f>IF(E2027=0,"해당 없음",K2027/E2027)</x:f>
        <x:v>0.009708737864077669</x:v>
      </x:c>
      <x:c r="T2027" s="15" t="n">
        <x:f>IF(E2027=0,"해당 없음",L2027/E2027)</x:f>
        <x:v>0.32038834951456313</x:v>
      </x:c>
      <x:c r="U2027" s="15" t="n">
        <x:f>IF(E2027=0,"해당 없음",M2027/E2027)</x:f>
        <x:v>0.39805825242718446</x:v>
      </x:c>
      <x:c r="V2027" s="16" t="n">
        <x:f>E2027/5</x:f>
        <x:v>20.6</x:v>
      </x:c>
    </x:row>
    <x:row r="2028" ht="22" customHeight="1">
      <x:c r="A2028" s="2" t="n">
        <x:v>1012</x:v>
      </x:c>
      <x:c r="B2028" s="2" t="str">
        <x:v>RED</x:v>
      </x:c>
      <x:c r="C2028" s="2" t="str">
        <x:v>200만</x:v>
      </x:c>
      <x:c r="D2028" s="2" t="str">
        <x:v>160만</x:v>
      </x:c>
      <x:c r="E2028" s="14" t="n">
        <x:f>SUM(F2028:M2028)</x:f>
        <x:v>101</x:v>
      </x:c>
      <x:c r="F2028" s="14" t="n">
        <x:v>6</x:v>
      </x:c>
      <x:c r="G2028" s="14" t="n">
        <x:v>25</x:v>
      </x:c>
      <x:c r="H2028" s="14" t="n">
        <x:v>3</x:v>
      </x:c>
      <x:c r="I2028" s="14" t="n">
        <x:v>3</x:v>
      </x:c>
      <x:c r="J2028" s="14" t="n">
        <x:v>3</x:v>
      </x:c>
      <x:c r="K2028" s="14" t="n">
        <x:v>7</x:v>
      </x:c>
      <x:c r="L2028" s="14" t="n">
        <x:v>33</x:v>
      </x:c>
      <x:c r="M2028" s="14" t="n">
        <x:v>21</x:v>
      </x:c>
      <x:c r="N2028" s="15" t="n">
        <x:f>IF(E2028=0,"해당 없음",F2028/E2028)</x:f>
        <x:v>0.0594059405940594</x:v>
      </x:c>
      <x:c r="O2028" s="15" t="n">
        <x:f>IF(E2028=0,"해당 없음",G2028/E2028)</x:f>
        <x:v>0.24752475247524752</x:v>
      </x:c>
      <x:c r="P2028" s="15" t="n">
        <x:f>IF(E2028=0,"해당 없음",H2028/E2028)</x:f>
        <x:v>0.0297029702970297</x:v>
      </x:c>
      <x:c r="Q2028" s="15" t="n">
        <x:f>IF(E2028=0,"해당 없음",I2028/E2028)</x:f>
        <x:v>0.0297029702970297</x:v>
      </x:c>
      <x:c r="R2028" s="15" t="n">
        <x:f>IF(E2028=0,"해당 없음",J2028/E2028)</x:f>
        <x:v>0.0297029702970297</x:v>
      </x:c>
      <x:c r="S2028" s="15" t="n">
        <x:f>IF(E2028=0,"해당 없음",K2028/E2028)</x:f>
        <x:v>0.06930693069306931</x:v>
      </x:c>
      <x:c r="T2028" s="15" t="n">
        <x:f>IF(E2028=0,"해당 없음",L2028/E2028)</x:f>
        <x:v>0.32673267326732675</x:v>
      </x:c>
      <x:c r="U2028" s="15" t="n">
        <x:f>IF(E2028=0,"해당 없음",M2028/E2028)</x:f>
        <x:v>0.2079207920792079</x:v>
      </x:c>
      <x:c r="V2028" s="16" t="n">
        <x:f>E2028/5</x:f>
        <x:v>20.2</x:v>
      </x:c>
    </x:row>
    <x:row r="2029" ht="22" customHeight="1">
      <x:c r="A2029" s="2" t="n">
        <x:v>1012</x:v>
      </x:c>
      <x:c r="B2029" s="2" t="str">
        <x:v>NAVY</x:v>
      </x:c>
      <x:c r="C2029" s="2" t="str">
        <x:v>160만</x:v>
      </x:c>
      <x:c r="D2029" s="2" t="str">
        <x:v>200만</x:v>
      </x:c>
      <x:c r="E2029" s="14" t="n">
        <x:f>SUM(F2029:M2029)</x:f>
        <x:v>102</x:v>
      </x:c>
      <x:c r="F2029" s="14" t="n">
        <x:v>2</x:v>
      </x:c>
      <x:c r="G2029" s="14" t="n">
        <x:v>22</x:v>
      </x:c>
      <x:c r="H2029" s="14" t="n">
        <x:v>5</x:v>
      </x:c>
      <x:c r="I2029" s="14" t="n">
        <x:v>3</x:v>
      </x:c>
      <x:c r="J2029" s="14" t="n">
        <x:v>4</x:v>
      </x:c>
      <x:c r="K2029" s="14" t="n">
        <x:v>10</x:v>
      </x:c>
      <x:c r="L2029" s="14" t="n">
        <x:v>34</x:v>
      </x:c>
      <x:c r="M2029" s="14" t="n">
        <x:v>22</x:v>
      </x:c>
      <x:c r="N2029" s="15" t="n">
        <x:f>IF(E2029=0,"해당 없음",F2029/E2029)</x:f>
        <x:v>0.0196078431372549</x:v>
      </x:c>
      <x:c r="O2029" s="15" t="n">
        <x:f>IF(E2029=0,"해당 없음",G2029/E2029)</x:f>
        <x:v>0.21568627450980393</x:v>
      </x:c>
      <x:c r="P2029" s="15" t="n">
        <x:f>IF(E2029=0,"해당 없음",H2029/E2029)</x:f>
        <x:v>0.049019607843137254</x:v>
      </x:c>
      <x:c r="Q2029" s="15" t="n">
        <x:f>IF(E2029=0,"해당 없음",I2029/E2029)</x:f>
        <x:v>0.029411764705882353</x:v>
      </x:c>
      <x:c r="R2029" s="15" t="n">
        <x:f>IF(E2029=0,"해당 없음",J2029/E2029)</x:f>
        <x:v>0.0392156862745098</x:v>
      </x:c>
      <x:c r="S2029" s="15" t="n">
        <x:f>IF(E2029=0,"해당 없음",K2029/E2029)</x:f>
        <x:v>0.09803921568627451</x:v>
      </x:c>
      <x:c r="T2029" s="15" t="n">
        <x:f>IF(E2029=0,"해당 없음",L2029/E2029)</x:f>
        <x:v>0.3333333333333333</x:v>
      </x:c>
      <x:c r="U2029" s="15" t="n">
        <x:f>IF(E2029=0,"해당 없음",M2029/E2029)</x:f>
        <x:v>0.21568627450980393</x:v>
      </x:c>
      <x:c r="V2029" s="16" t="n">
        <x:f>E2029/5</x:f>
        <x:v>20.4</x:v>
      </x:c>
    </x:row>
    <x:row r="2030" ht="22" customHeight="1">
      <x:c r="A2030" s="2" t="n">
        <x:v>1013</x:v>
      </x:c>
      <x:c r="B2030" s="2" t="str">
        <x:v>RED</x:v>
      </x:c>
      <x:c r="C2030" s="2" t="str">
        <x:v>160만</x:v>
      </x:c>
      <x:c r="D2030" s="2" t="str">
        <x:v>200만</x:v>
      </x:c>
      <x:c r="E2030" s="14" t="n">
        <x:f>SUM(F2030:M2030)</x:f>
        <x:v>103</x:v>
      </x:c>
      <x:c r="F2030" s="14" t="n">
        <x:v>5</x:v>
      </x:c>
      <x:c r="G2030" s="14" t="n">
        <x:v>17</x:v>
      </x:c>
      <x:c r="H2030" s="14" t="n">
        <x:v>6</x:v>
      </x:c>
      <x:c r="I2030" s="14" t="n">
        <x:v>5</x:v>
      </x:c>
      <x:c r="J2030" s="14" t="n">
        <x:v>5</x:v>
      </x:c>
      <x:c r="K2030" s="14" t="n">
        <x:v>10</x:v>
      </x:c>
      <x:c r="L2030" s="14" t="n">
        <x:v>38</x:v>
      </x:c>
      <x:c r="M2030" s="14" t="n">
        <x:v>17</x:v>
      </x:c>
      <x:c r="N2030" s="15" t="n">
        <x:f>IF(E2030=0,"해당 없음",F2030/E2030)</x:f>
        <x:v>0.04854368932038835</x:v>
      </x:c>
      <x:c r="O2030" s="15" t="n">
        <x:f>IF(E2030=0,"해당 없음",G2030/E2030)</x:f>
        <x:v>0.1650485436893204</x:v>
      </x:c>
      <x:c r="P2030" s="15" t="n">
        <x:f>IF(E2030=0,"해당 없음",H2030/E2030)</x:f>
        <x:v>0.05825242718446602</x:v>
      </x:c>
      <x:c r="Q2030" s="15" t="n">
        <x:f>IF(E2030=0,"해당 없음",I2030/E2030)</x:f>
        <x:v>0.04854368932038835</x:v>
      </x:c>
      <x:c r="R2030" s="15" t="n">
        <x:f>IF(E2030=0,"해당 없음",J2030/E2030)</x:f>
        <x:v>0.04854368932038835</x:v>
      </x:c>
      <x:c r="S2030" s="15" t="n">
        <x:f>IF(E2030=0,"해당 없음",K2030/E2030)</x:f>
        <x:v>0.0970873786407767</x:v>
      </x:c>
      <x:c r="T2030" s="15" t="n">
        <x:f>IF(E2030=0,"해당 없음",L2030/E2030)</x:f>
        <x:v>0.36893203883495146</x:v>
      </x:c>
      <x:c r="U2030" s="15" t="n">
        <x:f>IF(E2030=0,"해당 없음",M2030/E2030)</x:f>
        <x:v>0.1650485436893204</x:v>
      </x:c>
      <x:c r="V2030" s="16" t="n">
        <x:f>E2030/5</x:f>
        <x:v>20.6</x:v>
      </x:c>
    </x:row>
    <x:row r="2031" ht="22" customHeight="1">
      <x:c r="A2031" s="2" t="n">
        <x:v>1013</x:v>
      </x:c>
      <x:c r="B2031" s="2" t="str">
        <x:v>NAVY</x:v>
      </x:c>
      <x:c r="C2031" s="2" t="str">
        <x:v>200만</x:v>
      </x:c>
      <x:c r="D2031" s="2" t="str">
        <x:v>160만</x:v>
      </x:c>
      <x:c r="E2031" s="14" t="n">
        <x:f>SUM(F2031:M2031)</x:f>
        <x:v>105</x:v>
      </x:c>
      <x:c r="F2031" s="14" t="n">
        <x:v>2</x:v>
      </x:c>
      <x:c r="G2031" s="14" t="n">
        <x:v>13</x:v>
      </x:c>
      <x:c r="H2031" s="14" t="n">
        <x:v>6</x:v>
      </x:c>
      <x:c r="I2031" s="14" t="n">
        <x:v>2</x:v>
      </x:c>
      <x:c r="J2031" s="14" t="n">
        <x:v>4</x:v>
      </x:c>
      <x:c r="K2031" s="14" t="n">
        <x:v>2</x:v>
      </x:c>
      <x:c r="L2031" s="14" t="n">
        <x:v>33</x:v>
      </x:c>
      <x:c r="M2031" s="14" t="n">
        <x:v>43</x:v>
      </x:c>
      <x:c r="N2031" s="15" t="n">
        <x:f>IF(E2031=0,"해당 없음",F2031/E2031)</x:f>
        <x:v>0.01904761904761905</x:v>
      </x:c>
      <x:c r="O2031" s="15" t="n">
        <x:f>IF(E2031=0,"해당 없음",G2031/E2031)</x:f>
        <x:v>0.12380952380952381</x:v>
      </x:c>
      <x:c r="P2031" s="15" t="n">
        <x:f>IF(E2031=0,"해당 없음",H2031/E2031)</x:f>
        <x:v>0.05714285714285714</x:v>
      </x:c>
      <x:c r="Q2031" s="15" t="n">
        <x:f>IF(E2031=0,"해당 없음",I2031/E2031)</x:f>
        <x:v>0.01904761904761905</x:v>
      </x:c>
      <x:c r="R2031" s="15" t="n">
        <x:f>IF(E2031=0,"해당 없음",J2031/E2031)</x:f>
        <x:v>0.0380952380952381</x:v>
      </x:c>
      <x:c r="S2031" s="15" t="n">
        <x:f>IF(E2031=0,"해당 없음",K2031/E2031)</x:f>
        <x:v>0.01904761904761905</x:v>
      </x:c>
      <x:c r="T2031" s="15" t="n">
        <x:f>IF(E2031=0,"해당 없음",L2031/E2031)</x:f>
        <x:v>0.3142857142857143</x:v>
      </x:c>
      <x:c r="U2031" s="15" t="n">
        <x:f>IF(E2031=0,"해당 없음",M2031/E2031)</x:f>
        <x:v>0.4095238095238095</x:v>
      </x:c>
      <x:c r="V2031" s="16" t="n">
        <x:f>E2031/5</x:f>
        <x:v>21</x:v>
      </x:c>
    </x:row>
    <x:row r="2032" ht="22" customHeight="1">
      <x:c r="A2032" s="2" t="n">
        <x:v>1014</x:v>
      </x:c>
      <x:c r="B2032" s="2" t="str">
        <x:v>RED</x:v>
      </x:c>
      <x:c r="C2032" s="2" t="str">
        <x:v>200만</x:v>
      </x:c>
      <x:c r="D2032" s="2" t="str">
        <x:v>160만</x:v>
      </x:c>
      <x:c r="E2032" s="14" t="n">
        <x:f>SUM(F2032:M2032)</x:f>
        <x:v>101</x:v>
      </x:c>
      <x:c r="F2032" s="14" t="n">
        <x:v>1</x:v>
      </x:c>
      <x:c r="G2032" s="14" t="n">
        <x:v>12</x:v>
      </x:c>
      <x:c r="H2032" s="14" t="n">
        <x:v>3</x:v>
      </x:c>
      <x:c r="I2032" s="14" t="n">
        <x:v>3</x:v>
      </x:c>
      <x:c r="J2032" s="14" t="n">
        <x:v>0</x:v>
      </x:c>
      <x:c r="K2032" s="14" t="n">
        <x:v>6</x:v>
      </x:c>
      <x:c r="L2032" s="14" t="n">
        <x:v>40</x:v>
      </x:c>
      <x:c r="M2032" s="14" t="n">
        <x:v>36</x:v>
      </x:c>
      <x:c r="N2032" s="15" t="n">
        <x:f>IF(E2032=0,"해당 없음",F2032/E2032)</x:f>
        <x:v>0.009900990099009901</x:v>
      </x:c>
      <x:c r="O2032" s="15" t="n">
        <x:f>IF(E2032=0,"해당 없음",G2032/E2032)</x:f>
        <x:v>0.1188118811881188</x:v>
      </x:c>
      <x:c r="P2032" s="15" t="n">
        <x:f>IF(E2032=0,"해당 없음",H2032/E2032)</x:f>
        <x:v>0.0297029702970297</x:v>
      </x:c>
      <x:c r="Q2032" s="15" t="n">
        <x:f>IF(E2032=0,"해당 없음",I2032/E2032)</x:f>
        <x:v>0.0297029702970297</x:v>
      </x:c>
      <x:c r="R2032" s="15" t="n">
        <x:f>IF(E2032=0,"해당 없음",J2032/E2032)</x:f>
        <x:v>0</x:v>
      </x:c>
      <x:c r="S2032" s="15" t="n">
        <x:f>IF(E2032=0,"해당 없음",K2032/E2032)</x:f>
        <x:v>0.0594059405940594</x:v>
      </x:c>
      <x:c r="T2032" s="15" t="n">
        <x:f>IF(E2032=0,"해당 없음",L2032/E2032)</x:f>
        <x:v>0.39603960396039606</x:v>
      </x:c>
      <x:c r="U2032" s="15" t="n">
        <x:f>IF(E2032=0,"해당 없음",M2032/E2032)</x:f>
        <x:v>0.3564356435643564</x:v>
      </x:c>
      <x:c r="V2032" s="16" t="n">
        <x:f>E2032/5</x:f>
        <x:v>20.2</x:v>
      </x:c>
    </x:row>
    <x:row r="2033" ht="22" customHeight="1">
      <x:c r="A2033" s="2" t="n">
        <x:v>1014</x:v>
      </x:c>
      <x:c r="B2033" s="2" t="str">
        <x:v>NAVY</x:v>
      </x:c>
      <x:c r="C2033" s="2" t="str">
        <x:v>160만</x:v>
      </x:c>
      <x:c r="D2033" s="2" t="str">
        <x:v>200만</x:v>
      </x:c>
      <x:c r="E2033" s="14" t="n">
        <x:f>SUM(F2033:M2033)</x:f>
        <x:v>98</x:v>
      </x:c>
      <x:c r="F2033" s="14" t="n">
        <x:v>3</x:v>
      </x:c>
      <x:c r="G2033" s="14" t="n">
        <x:v>13</x:v>
      </x:c>
      <x:c r="H2033" s="14" t="n">
        <x:v>3</x:v>
      </x:c>
      <x:c r="I2033" s="14" t="n">
        <x:v>0</x:v>
      </x:c>
      <x:c r="J2033" s="14" t="n">
        <x:v>5</x:v>
      </x:c>
      <x:c r="K2033" s="14" t="n">
        <x:v>11</x:v>
      </x:c>
      <x:c r="L2033" s="14" t="n">
        <x:v>31</x:v>
      </x:c>
      <x:c r="M2033" s="14" t="n">
        <x:v>32</x:v>
      </x:c>
      <x:c r="N2033" s="15" t="n">
        <x:f>IF(E2033=0,"해당 없음",F2033/E2033)</x:f>
        <x:v>0.030612244897959183</x:v>
      </x:c>
      <x:c r="O2033" s="15" t="n">
        <x:f>IF(E2033=0,"해당 없음",G2033/E2033)</x:f>
        <x:v>0.1326530612244898</x:v>
      </x:c>
      <x:c r="P2033" s="15" t="n">
        <x:f>IF(E2033=0,"해당 없음",H2033/E2033)</x:f>
        <x:v>0.030612244897959183</x:v>
      </x:c>
      <x:c r="Q2033" s="15" t="n">
        <x:f>IF(E2033=0,"해당 없음",I2033/E2033)</x:f>
        <x:v>0</x:v>
      </x:c>
      <x:c r="R2033" s="15" t="n">
        <x:f>IF(E2033=0,"해당 없음",J2033/E2033)</x:f>
        <x:v>0.05102040816326531</x:v>
      </x:c>
      <x:c r="S2033" s="15" t="n">
        <x:f>IF(E2033=0,"해당 없음",K2033/E2033)</x:f>
        <x:v>0.11224489795918367</x:v>
      </x:c>
      <x:c r="T2033" s="15" t="n">
        <x:f>IF(E2033=0,"해당 없음",L2033/E2033)</x:f>
        <x:v>0.3163265306122449</x:v>
      </x:c>
      <x:c r="U2033" s="15" t="n">
        <x:f>IF(E2033=0,"해당 없음",M2033/E2033)</x:f>
        <x:v>0.32653061224489793</x:v>
      </x:c>
      <x:c r="V2033" s="16" t="n">
        <x:f>E2033/5</x:f>
        <x:v>19.6</x:v>
      </x:c>
    </x:row>
    <x:row r="2034" ht="22" customHeight="1">
      <x:c r="A2034" s="2" t="n">
        <x:v>1015</x:v>
      </x:c>
      <x:c r="B2034" s="2" t="str">
        <x:v>RED</x:v>
      </x:c>
      <x:c r="C2034" s="2" t="str">
        <x:v>160만</x:v>
      </x:c>
      <x:c r="D2034" s="2" t="str">
        <x:v>200만</x:v>
      </x:c>
      <x:c r="E2034" s="14" t="n">
        <x:f>SUM(F2034:M2034)</x:f>
        <x:v>103</x:v>
      </x:c>
      <x:c r="F2034" s="14" t="n">
        <x:v>6</x:v>
      </x:c>
      <x:c r="G2034" s="14" t="n">
        <x:v>12</x:v>
      </x:c>
      <x:c r="H2034" s="14" t="n">
        <x:v>3</x:v>
      </x:c>
      <x:c r="I2034" s="14" t="n">
        <x:v>10</x:v>
      </x:c>
      <x:c r="J2034" s="14" t="n">
        <x:v>2</x:v>
      </x:c>
      <x:c r="K2034" s="14" t="n">
        <x:v>6</x:v>
      </x:c>
      <x:c r="L2034" s="14" t="n">
        <x:v>38</x:v>
      </x:c>
      <x:c r="M2034" s="14" t="n">
        <x:v>26</x:v>
      </x:c>
      <x:c r="N2034" s="15" t="n">
        <x:f>IF(E2034=0,"해당 없음",F2034/E2034)</x:f>
        <x:v>0.05825242718446602</x:v>
      </x:c>
      <x:c r="O2034" s="15" t="n">
        <x:f>IF(E2034=0,"해당 없음",G2034/E2034)</x:f>
        <x:v>0.11650485436893204</x:v>
      </x:c>
      <x:c r="P2034" s="15" t="n">
        <x:f>IF(E2034=0,"해당 없음",H2034/E2034)</x:f>
        <x:v>0.02912621359223301</x:v>
      </x:c>
      <x:c r="Q2034" s="15" t="n">
        <x:f>IF(E2034=0,"해당 없음",I2034/E2034)</x:f>
        <x:v>0.0970873786407767</x:v>
      </x:c>
      <x:c r="R2034" s="15" t="n">
        <x:f>IF(E2034=0,"해당 없음",J2034/E2034)</x:f>
        <x:v>0.019417475728155338</x:v>
      </x:c>
      <x:c r="S2034" s="15" t="n">
        <x:f>IF(E2034=0,"해당 없음",K2034/E2034)</x:f>
        <x:v>0.05825242718446602</x:v>
      </x:c>
      <x:c r="T2034" s="15" t="n">
        <x:f>IF(E2034=0,"해당 없음",L2034/E2034)</x:f>
        <x:v>0.36893203883495146</x:v>
      </x:c>
      <x:c r="U2034" s="15" t="n">
        <x:f>IF(E2034=0,"해당 없음",M2034/E2034)</x:f>
        <x:v>0.2524271844660194</x:v>
      </x:c>
      <x:c r="V2034" s="16" t="n">
        <x:f>E2034/5</x:f>
        <x:v>20.6</x:v>
      </x:c>
    </x:row>
    <x:row r="2035" ht="22" customHeight="1">
      <x:c r="A2035" s="2" t="n">
        <x:v>1015</x:v>
      </x:c>
      <x:c r="B2035" s="2" t="str">
        <x:v>NAVY</x:v>
      </x:c>
      <x:c r="C2035" s="2" t="str">
        <x:v>200만</x:v>
      </x:c>
      <x:c r="D2035" s="2" t="str">
        <x:v>160만</x:v>
      </x:c>
      <x:c r="E2035" s="14" t="n">
        <x:f>SUM(F2035:M2035)</x:f>
        <x:v>103</x:v>
      </x:c>
      <x:c r="F2035" s="14" t="n">
        <x:v>3</x:v>
      </x:c>
      <x:c r="G2035" s="14" t="n">
        <x:v>16</x:v>
      </x:c>
      <x:c r="H2035" s="14" t="n">
        <x:v>5</x:v>
      </x:c>
      <x:c r="I2035" s="14" t="n">
        <x:v>5</x:v>
      </x:c>
      <x:c r="J2035" s="14" t="n">
        <x:v>3</x:v>
      </x:c>
      <x:c r="K2035" s="14" t="n">
        <x:v>5</x:v>
      </x:c>
      <x:c r="L2035" s="14" t="n">
        <x:v>37</x:v>
      </x:c>
      <x:c r="M2035" s="14" t="n">
        <x:v>29</x:v>
      </x:c>
      <x:c r="N2035" s="15" t="n">
        <x:f>IF(E2035=0,"해당 없음",F2035/E2035)</x:f>
        <x:v>0.02912621359223301</x:v>
      </x:c>
      <x:c r="O2035" s="15" t="n">
        <x:f>IF(E2035=0,"해당 없음",G2035/E2035)</x:f>
        <x:v>0.1553398058252427</x:v>
      </x:c>
      <x:c r="P2035" s="15" t="n">
        <x:f>IF(E2035=0,"해당 없음",H2035/E2035)</x:f>
        <x:v>0.04854368932038835</x:v>
      </x:c>
      <x:c r="Q2035" s="15" t="n">
        <x:f>IF(E2035=0,"해당 없음",I2035/E2035)</x:f>
        <x:v>0.04854368932038835</x:v>
      </x:c>
      <x:c r="R2035" s="15" t="n">
        <x:f>IF(E2035=0,"해당 없음",J2035/E2035)</x:f>
        <x:v>0.02912621359223301</x:v>
      </x:c>
      <x:c r="S2035" s="15" t="n">
        <x:f>IF(E2035=0,"해당 없음",K2035/E2035)</x:f>
        <x:v>0.04854368932038835</x:v>
      </x:c>
      <x:c r="T2035" s="15" t="n">
        <x:f>IF(E2035=0,"해당 없음",L2035/E2035)</x:f>
        <x:v>0.3592233009708738</x:v>
      </x:c>
      <x:c r="U2035" s="15" t="n">
        <x:f>IF(E2035=0,"해당 없음",M2035/E2035)</x:f>
        <x:v>0.2815533980582524</x:v>
      </x:c>
      <x:c r="V2035" s="16" t="n">
        <x:f>E2035/5</x:f>
        <x:v>20.6</x:v>
      </x:c>
    </x:row>
    <x:row r="2036" ht="22" customHeight="1">
      <x:c r="A2036" s="2" t="n">
        <x:v>1016</x:v>
      </x:c>
      <x:c r="B2036" s="2" t="str">
        <x:v>RED</x:v>
      </x:c>
      <x:c r="C2036" s="2" t="str">
        <x:v>200만</x:v>
      </x:c>
      <x:c r="D2036" s="2" t="str">
        <x:v>160만</x:v>
      </x:c>
      <x:c r="E2036" s="14" t="n">
        <x:f>SUM(F2036:M2036)</x:f>
        <x:v>101</x:v>
      </x:c>
      <x:c r="F2036" s="14" t="n">
        <x:v>3</x:v>
      </x:c>
      <x:c r="G2036" s="14" t="n">
        <x:v>6</x:v>
      </x:c>
      <x:c r="H2036" s="14" t="n">
        <x:v>6</x:v>
      </x:c>
      <x:c r="I2036" s="14" t="n">
        <x:v>7</x:v>
      </x:c>
      <x:c r="J2036" s="14" t="n">
        <x:v>2</x:v>
      </x:c>
      <x:c r="K2036" s="14" t="n">
        <x:v>4</x:v>
      </x:c>
      <x:c r="L2036" s="14" t="n">
        <x:v>34</x:v>
      </x:c>
      <x:c r="M2036" s="14" t="n">
        <x:v>39</x:v>
      </x:c>
      <x:c r="N2036" s="15" t="n">
        <x:f>IF(E2036=0,"해당 없음",F2036/E2036)</x:f>
        <x:v>0.0297029702970297</x:v>
      </x:c>
      <x:c r="O2036" s="15" t="n">
        <x:f>IF(E2036=0,"해당 없음",G2036/E2036)</x:f>
        <x:v>0.0594059405940594</x:v>
      </x:c>
      <x:c r="P2036" s="15" t="n">
        <x:f>IF(E2036=0,"해당 없음",H2036/E2036)</x:f>
        <x:v>0.0594059405940594</x:v>
      </x:c>
      <x:c r="Q2036" s="15" t="n">
        <x:f>IF(E2036=0,"해당 없음",I2036/E2036)</x:f>
        <x:v>0.06930693069306931</x:v>
      </x:c>
      <x:c r="R2036" s="15" t="n">
        <x:f>IF(E2036=0,"해당 없음",J2036/E2036)</x:f>
        <x:v>0.019801980198019802</x:v>
      </x:c>
      <x:c r="S2036" s="15" t="n">
        <x:f>IF(E2036=0,"해당 없음",K2036/E2036)</x:f>
        <x:v>0.039603960396039604</x:v>
      </x:c>
      <x:c r="T2036" s="15" t="n">
        <x:f>IF(E2036=0,"해당 없음",L2036/E2036)</x:f>
        <x:v>0.33663366336633666</x:v>
      </x:c>
      <x:c r="U2036" s="15" t="n">
        <x:f>IF(E2036=0,"해당 없음",M2036/E2036)</x:f>
        <x:v>0.38613861386138615</x:v>
      </x:c>
      <x:c r="V2036" s="16" t="n">
        <x:f>E2036/5</x:f>
        <x:v>20.2</x:v>
      </x:c>
    </x:row>
    <x:row r="2037" ht="22" customHeight="1">
      <x:c r="A2037" s="2" t="n">
        <x:v>1016</x:v>
      </x:c>
      <x:c r="B2037" s="2" t="str">
        <x:v>NAVY</x:v>
      </x:c>
      <x:c r="C2037" s="2" t="str">
        <x:v>160만</x:v>
      </x:c>
      <x:c r="D2037" s="2" t="str">
        <x:v>200만</x:v>
      </x:c>
      <x:c r="E2037" s="14" t="n">
        <x:f>SUM(F2037:M2037)</x:f>
        <x:v>102</x:v>
      </x:c>
      <x:c r="F2037" s="14" t="n">
        <x:v>5</x:v>
      </x:c>
      <x:c r="G2037" s="14" t="n">
        <x:v>19</x:v>
      </x:c>
      <x:c r="H2037" s="14" t="n">
        <x:v>2</x:v>
      </x:c>
      <x:c r="I2037" s="14" t="n">
        <x:v>8</x:v>
      </x:c>
      <x:c r="J2037" s="14" t="n">
        <x:v>3</x:v>
      </x:c>
      <x:c r="K2037" s="14" t="n">
        <x:v>5</x:v>
      </x:c>
      <x:c r="L2037" s="14" t="n">
        <x:v>34</x:v>
      </x:c>
      <x:c r="M2037" s="14" t="n">
        <x:v>26</x:v>
      </x:c>
      <x:c r="N2037" s="15" t="n">
        <x:f>IF(E2037=0,"해당 없음",F2037/E2037)</x:f>
        <x:v>0.049019607843137254</x:v>
      </x:c>
      <x:c r="O2037" s="15" t="n">
        <x:f>IF(E2037=0,"해당 없음",G2037/E2037)</x:f>
        <x:v>0.18627450980392157</x:v>
      </x:c>
      <x:c r="P2037" s="15" t="n">
        <x:f>IF(E2037=0,"해당 없음",H2037/E2037)</x:f>
        <x:v>0.0196078431372549</x:v>
      </x:c>
      <x:c r="Q2037" s="15" t="n">
        <x:f>IF(E2037=0,"해당 없음",I2037/E2037)</x:f>
        <x:v>0.0784313725490196</x:v>
      </x:c>
      <x:c r="R2037" s="15" t="n">
        <x:f>IF(E2037=0,"해당 없음",J2037/E2037)</x:f>
        <x:v>0.029411764705882353</x:v>
      </x:c>
      <x:c r="S2037" s="15" t="n">
        <x:f>IF(E2037=0,"해당 없음",K2037/E2037)</x:f>
        <x:v>0.049019607843137254</x:v>
      </x:c>
      <x:c r="T2037" s="15" t="n">
        <x:f>IF(E2037=0,"해당 없음",L2037/E2037)</x:f>
        <x:v>0.3333333333333333</x:v>
      </x:c>
      <x:c r="U2037" s="15" t="n">
        <x:f>IF(E2037=0,"해당 없음",M2037/E2037)</x:f>
        <x:v>0.2549019607843137</x:v>
      </x:c>
      <x:c r="V2037" s="16" t="n">
        <x:f>E2037/5</x:f>
        <x:v>20.4</x:v>
      </x:c>
    </x:row>
    <x:row r="2038" ht="22" customHeight="1">
      <x:c r="A2038" s="2" t="n">
        <x:v>1017</x:v>
      </x:c>
      <x:c r="B2038" s="2" t="str">
        <x:v>RED</x:v>
      </x:c>
      <x:c r="C2038" s="2" t="str">
        <x:v>160만</x:v>
      </x:c>
      <x:c r="D2038" s="2" t="str">
        <x:v>200만</x:v>
      </x:c>
      <x:c r="E2038" s="14" t="n">
        <x:f>SUM(F2038:M2038)</x:f>
        <x:v>104</x:v>
      </x:c>
      <x:c r="F2038" s="14" t="n">
        <x:v>7</x:v>
      </x:c>
      <x:c r="G2038" s="14" t="n">
        <x:v>8</x:v>
      </x:c>
      <x:c r="H2038" s="14" t="n">
        <x:v>6</x:v>
      </x:c>
      <x:c r="I2038" s="14" t="n">
        <x:v>5</x:v>
      </x:c>
      <x:c r="J2038" s="14" t="n">
        <x:v>1</x:v>
      </x:c>
      <x:c r="K2038" s="14" t="n">
        <x:v>9</x:v>
      </x:c>
      <x:c r="L2038" s="14" t="n">
        <x:v>37</x:v>
      </x:c>
      <x:c r="M2038" s="14" t="n">
        <x:v>31</x:v>
      </x:c>
      <x:c r="N2038" s="15" t="n">
        <x:f>IF(E2038=0,"해당 없음",F2038/E2038)</x:f>
        <x:v>0.0673076923076923</x:v>
      </x:c>
      <x:c r="O2038" s="15" t="n">
        <x:f>IF(E2038=0,"해당 없음",G2038/E2038)</x:f>
        <x:v>0.07692307692307693</x:v>
      </x:c>
      <x:c r="P2038" s="15" t="n">
        <x:f>IF(E2038=0,"해당 없음",H2038/E2038)</x:f>
        <x:v>0.057692307692307696</x:v>
      </x:c>
      <x:c r="Q2038" s="15" t="n">
        <x:f>IF(E2038=0,"해당 없음",I2038/E2038)</x:f>
        <x:v>0.04807692307692308</x:v>
      </x:c>
      <x:c r="R2038" s="15" t="n">
        <x:f>IF(E2038=0,"해당 없음",J2038/E2038)</x:f>
        <x:v>0.009615384615384616</x:v>
      </x:c>
      <x:c r="S2038" s="15" t="n">
        <x:f>IF(E2038=0,"해당 없음",K2038/E2038)</x:f>
        <x:v>0.08653846153846154</x:v>
      </x:c>
      <x:c r="T2038" s="15" t="n">
        <x:f>IF(E2038=0,"해당 없음",L2038/E2038)</x:f>
        <x:v>0.3557692307692308</x:v>
      </x:c>
      <x:c r="U2038" s="15" t="n">
        <x:f>IF(E2038=0,"해당 없음",M2038/E2038)</x:f>
        <x:v>0.2980769230769231</x:v>
      </x:c>
      <x:c r="V2038" s="16" t="n">
        <x:f>E2038/5</x:f>
        <x:v>20.8</x:v>
      </x:c>
    </x:row>
    <x:row r="2039" ht="22" customHeight="1">
      <x:c r="A2039" s="2" t="n">
        <x:v>1017</x:v>
      </x:c>
      <x:c r="B2039" s="2" t="str">
        <x:v>NAVY</x:v>
      </x:c>
      <x:c r="C2039" s="2" t="str">
        <x:v>200만</x:v>
      </x:c>
      <x:c r="D2039" s="2" t="str">
        <x:v>160만</x:v>
      </x:c>
      <x:c r="E2039" s="14" t="n">
        <x:f>SUM(F2039:M2039)</x:f>
        <x:v>103</x:v>
      </x:c>
      <x:c r="F2039" s="14" t="n">
        <x:v>6</x:v>
      </x:c>
      <x:c r="G2039" s="14" t="n">
        <x:v>18</x:v>
      </x:c>
      <x:c r="H2039" s="14" t="n">
        <x:v>1</x:v>
      </x:c>
      <x:c r="I2039" s="14" t="n">
        <x:v>3</x:v>
      </x:c>
      <x:c r="J2039" s="14" t="n">
        <x:v>5</x:v>
      </x:c>
      <x:c r="K2039" s="14" t="n">
        <x:v>6</x:v>
      </x:c>
      <x:c r="L2039" s="14" t="n">
        <x:v>34</x:v>
      </x:c>
      <x:c r="M2039" s="14" t="n">
        <x:v>30</x:v>
      </x:c>
      <x:c r="N2039" s="15" t="n">
        <x:f>IF(E2039=0,"해당 없음",F2039/E2039)</x:f>
        <x:v>0.05825242718446602</x:v>
      </x:c>
      <x:c r="O2039" s="15" t="n">
        <x:f>IF(E2039=0,"해당 없음",G2039/E2039)</x:f>
        <x:v>0.17475728155339806</x:v>
      </x:c>
      <x:c r="P2039" s="15" t="n">
        <x:f>IF(E2039=0,"해당 없음",H2039/E2039)</x:f>
        <x:v>0.009708737864077669</x:v>
      </x:c>
      <x:c r="Q2039" s="15" t="n">
        <x:f>IF(E2039=0,"해당 없음",I2039/E2039)</x:f>
        <x:v>0.02912621359223301</x:v>
      </x:c>
      <x:c r="R2039" s="15" t="n">
        <x:f>IF(E2039=0,"해당 없음",J2039/E2039)</x:f>
        <x:v>0.04854368932038835</x:v>
      </x:c>
      <x:c r="S2039" s="15" t="n">
        <x:f>IF(E2039=0,"해당 없음",K2039/E2039)</x:f>
        <x:v>0.05825242718446602</x:v>
      </x:c>
      <x:c r="T2039" s="15" t="n">
        <x:f>IF(E2039=0,"해당 없음",L2039/E2039)</x:f>
        <x:v>0.3300970873786408</x:v>
      </x:c>
      <x:c r="U2039" s="15" t="n">
        <x:f>IF(E2039=0,"해당 없음",M2039/E2039)</x:f>
        <x:v>0.2912621359223301</x:v>
      </x:c>
      <x:c r="V2039" s="16" t="n">
        <x:f>E2039/5</x:f>
        <x:v>20.6</x:v>
      </x:c>
    </x:row>
    <x:row r="2040" ht="22" customHeight="1">
      <x:c r="A2040" s="2" t="n">
        <x:v>1018</x:v>
      </x:c>
      <x:c r="B2040" s="2" t="str">
        <x:v>RED</x:v>
      </x:c>
      <x:c r="C2040" s="2" t="str">
        <x:v>200만</x:v>
      </x:c>
      <x:c r="D2040" s="2" t="str">
        <x:v>160만</x:v>
      </x:c>
      <x:c r="E2040" s="14" t="n">
        <x:f>SUM(F2040:M2040)</x:f>
        <x:v>105</x:v>
      </x:c>
      <x:c r="F2040" s="14" t="n">
        <x:v>3</x:v>
      </x:c>
      <x:c r="G2040" s="14" t="n">
        <x:v>17</x:v>
      </x:c>
      <x:c r="H2040" s="14" t="n">
        <x:v>1</x:v>
      </x:c>
      <x:c r="I2040" s="14" t="n">
        <x:v>2</x:v>
      </x:c>
      <x:c r="J2040" s="14" t="n">
        <x:v>5</x:v>
      </x:c>
      <x:c r="K2040" s="14" t="n">
        <x:v>7</x:v>
      </x:c>
      <x:c r="L2040" s="14" t="n">
        <x:v>41</x:v>
      </x:c>
      <x:c r="M2040" s="14" t="n">
        <x:v>29</x:v>
      </x:c>
      <x:c r="N2040" s="15" t="n">
        <x:f>IF(E2040=0,"해당 없음",F2040/E2040)</x:f>
        <x:v>0.02857142857142857</x:v>
      </x:c>
      <x:c r="O2040" s="15" t="n">
        <x:f>IF(E2040=0,"해당 없음",G2040/E2040)</x:f>
        <x:v>0.1619047619047619</x:v>
      </x:c>
      <x:c r="P2040" s="15" t="n">
        <x:f>IF(E2040=0,"해당 없음",H2040/E2040)</x:f>
        <x:v>0.009523809523809525</x:v>
      </x:c>
      <x:c r="Q2040" s="15" t="n">
        <x:f>IF(E2040=0,"해당 없음",I2040/E2040)</x:f>
        <x:v>0.01904761904761905</x:v>
      </x:c>
      <x:c r="R2040" s="15" t="n">
        <x:f>IF(E2040=0,"해당 없음",J2040/E2040)</x:f>
        <x:v>0.047619047619047616</x:v>
      </x:c>
      <x:c r="S2040" s="15" t="n">
        <x:f>IF(E2040=0,"해당 없음",K2040/E2040)</x:f>
        <x:v>0.06666666666666667</x:v>
      </x:c>
      <x:c r="T2040" s="15" t="n">
        <x:f>IF(E2040=0,"해당 없음",L2040/E2040)</x:f>
        <x:v>0.3904761904761905</x:v>
      </x:c>
      <x:c r="U2040" s="15" t="n">
        <x:f>IF(E2040=0,"해당 없음",M2040/E2040)</x:f>
        <x:v>0.2761904761904762</x:v>
      </x:c>
      <x:c r="V2040" s="16" t="n">
        <x:f>E2040/5</x:f>
        <x:v>21</x:v>
      </x:c>
    </x:row>
    <x:row r="2041" ht="22" customHeight="1">
      <x:c r="A2041" s="2" t="n">
        <x:v>1018</x:v>
      </x:c>
      <x:c r="B2041" s="2" t="str">
        <x:v>NAVY</x:v>
      </x:c>
      <x:c r="C2041" s="2" t="str">
        <x:v>160만</x:v>
      </x:c>
      <x:c r="D2041" s="2" t="str">
        <x:v>200만</x:v>
      </x:c>
      <x:c r="E2041" s="14" t="n">
        <x:f>SUM(F2041:M2041)</x:f>
        <x:v>105</x:v>
      </x:c>
      <x:c r="F2041" s="14" t="n">
        <x:v>2</x:v>
      </x:c>
      <x:c r="G2041" s="14" t="n">
        <x:v>14</x:v>
      </x:c>
      <x:c r="H2041" s="14" t="n">
        <x:v>3</x:v>
      </x:c>
      <x:c r="I2041" s="14" t="n">
        <x:v>9</x:v>
      </x:c>
      <x:c r="J2041" s="14" t="n">
        <x:v>2</x:v>
      </x:c>
      <x:c r="K2041" s="14" t="n">
        <x:v>4</x:v>
      </x:c>
      <x:c r="L2041" s="14" t="n">
        <x:v>41</x:v>
      </x:c>
      <x:c r="M2041" s="14" t="n">
        <x:v>30</x:v>
      </x:c>
      <x:c r="N2041" s="15" t="n">
        <x:f>IF(E2041=0,"해당 없음",F2041/E2041)</x:f>
        <x:v>0.01904761904761905</x:v>
      </x:c>
      <x:c r="O2041" s="15" t="n">
        <x:f>IF(E2041=0,"해당 없음",G2041/E2041)</x:f>
        <x:v>0.13333333333333333</x:v>
      </x:c>
      <x:c r="P2041" s="15" t="n">
        <x:f>IF(E2041=0,"해당 없음",H2041/E2041)</x:f>
        <x:v>0.02857142857142857</x:v>
      </x:c>
      <x:c r="Q2041" s="15" t="n">
        <x:f>IF(E2041=0,"해당 없음",I2041/E2041)</x:f>
        <x:v>0.08571428571428572</x:v>
      </x:c>
      <x:c r="R2041" s="15" t="n">
        <x:f>IF(E2041=0,"해당 없음",J2041/E2041)</x:f>
        <x:v>0.01904761904761905</x:v>
      </x:c>
      <x:c r="S2041" s="15" t="n">
        <x:f>IF(E2041=0,"해당 없음",K2041/E2041)</x:f>
        <x:v>0.0380952380952381</x:v>
      </x:c>
      <x:c r="T2041" s="15" t="n">
        <x:f>IF(E2041=0,"해당 없음",L2041/E2041)</x:f>
        <x:v>0.3904761904761905</x:v>
      </x:c>
      <x:c r="U2041" s="15" t="n">
        <x:f>IF(E2041=0,"해당 없음",M2041/E2041)</x:f>
        <x:v>0.2857142857142857</x:v>
      </x:c>
      <x:c r="V2041" s="16" t="n">
        <x:f>E2041/5</x:f>
        <x:v>21</x:v>
      </x:c>
    </x:row>
    <x:row r="2042" ht="22" customHeight="1">
      <x:c r="A2042" s="2" t="n">
        <x:v>1019</x:v>
      </x:c>
      <x:c r="B2042" s="2" t="str">
        <x:v>RED</x:v>
      </x:c>
      <x:c r="C2042" s="2" t="str">
        <x:v>160만</x:v>
      </x:c>
      <x:c r="D2042" s="2" t="str">
        <x:v>200만</x:v>
      </x:c>
      <x:c r="E2042" s="14" t="n">
        <x:f>SUM(F2042:M2042)</x:f>
        <x:v>103</x:v>
      </x:c>
      <x:c r="F2042" s="14" t="n">
        <x:v>4</x:v>
      </x:c>
      <x:c r="G2042" s="14" t="n">
        <x:v>15</x:v>
      </x:c>
      <x:c r="H2042" s="14" t="n">
        <x:v>2</x:v>
      </x:c>
      <x:c r="I2042" s="14" t="n">
        <x:v>8</x:v>
      </x:c>
      <x:c r="J2042" s="14" t="n">
        <x:v>2</x:v>
      </x:c>
      <x:c r="K2042" s="14" t="n">
        <x:v>7</x:v>
      </x:c>
      <x:c r="L2042" s="14" t="n">
        <x:v>35</x:v>
      </x:c>
      <x:c r="M2042" s="14" t="n">
        <x:v>30</x:v>
      </x:c>
      <x:c r="N2042" s="15" t="n">
        <x:f>IF(E2042=0,"해당 없음",F2042/E2042)</x:f>
        <x:v>0.038834951456310676</x:v>
      </x:c>
      <x:c r="O2042" s="15" t="n">
        <x:f>IF(E2042=0,"해당 없음",G2042/E2042)</x:f>
        <x:v>0.14563106796116504</x:v>
      </x:c>
      <x:c r="P2042" s="15" t="n">
        <x:f>IF(E2042=0,"해당 없음",H2042/E2042)</x:f>
        <x:v>0.019417475728155338</x:v>
      </x:c>
      <x:c r="Q2042" s="15" t="n">
        <x:f>IF(E2042=0,"해당 없음",I2042/E2042)</x:f>
        <x:v>0.07766990291262135</x:v>
      </x:c>
      <x:c r="R2042" s="15" t="n">
        <x:f>IF(E2042=0,"해당 없음",J2042/E2042)</x:f>
        <x:v>0.019417475728155338</x:v>
      </x:c>
      <x:c r="S2042" s="15" t="n">
        <x:f>IF(E2042=0,"해당 없음",K2042/E2042)</x:f>
        <x:v>0.06796116504854369</x:v>
      </x:c>
      <x:c r="T2042" s="15" t="n">
        <x:f>IF(E2042=0,"해당 없음",L2042/E2042)</x:f>
        <x:v>0.33980582524271846</x:v>
      </x:c>
      <x:c r="U2042" s="15" t="n">
        <x:f>IF(E2042=0,"해당 없음",M2042/E2042)</x:f>
        <x:v>0.2912621359223301</x:v>
      </x:c>
      <x:c r="V2042" s="16" t="n">
        <x:f>E2042/5</x:f>
        <x:v>20.6</x:v>
      </x:c>
    </x:row>
    <x:row r="2043" ht="22" customHeight="1">
      <x:c r="A2043" s="2" t="n">
        <x:v>1019</x:v>
      </x:c>
      <x:c r="B2043" s="2" t="str">
        <x:v>NAVY</x:v>
      </x:c>
      <x:c r="C2043" s="2" t="str">
        <x:v>200만</x:v>
      </x:c>
      <x:c r="D2043" s="2" t="str">
        <x:v>160만</x:v>
      </x:c>
      <x:c r="E2043" s="14" t="n">
        <x:f>SUM(F2043:M2043)</x:f>
        <x:v>104</x:v>
      </x:c>
      <x:c r="F2043" s="14" t="n">
        <x:v>9</x:v>
      </x:c>
      <x:c r="G2043" s="14" t="n">
        <x:v>19</x:v>
      </x:c>
      <x:c r="H2043" s="14" t="n">
        <x:v>2</x:v>
      </x:c>
      <x:c r="I2043" s="14" t="n">
        <x:v>5</x:v>
      </x:c>
      <x:c r="J2043" s="14" t="n">
        <x:v>3</x:v>
      </x:c>
      <x:c r="K2043" s="14" t="n">
        <x:v>7</x:v>
      </x:c>
      <x:c r="L2043" s="14" t="n">
        <x:v>32</x:v>
      </x:c>
      <x:c r="M2043" s="14" t="n">
        <x:v>27</x:v>
      </x:c>
      <x:c r="N2043" s="15" t="n">
        <x:f>IF(E2043=0,"해당 없음",F2043/E2043)</x:f>
        <x:v>0.08653846153846154</x:v>
      </x:c>
      <x:c r="O2043" s="15" t="n">
        <x:f>IF(E2043=0,"해당 없음",G2043/E2043)</x:f>
        <x:v>0.18269230769230768</x:v>
      </x:c>
      <x:c r="P2043" s="15" t="n">
        <x:f>IF(E2043=0,"해당 없음",H2043/E2043)</x:f>
        <x:v>0.019230769230769232</x:v>
      </x:c>
      <x:c r="Q2043" s="15" t="n">
        <x:f>IF(E2043=0,"해당 없음",I2043/E2043)</x:f>
        <x:v>0.04807692307692308</x:v>
      </x:c>
      <x:c r="R2043" s="15" t="n">
        <x:f>IF(E2043=0,"해당 없음",J2043/E2043)</x:f>
        <x:v>0.028846153846153848</x:v>
      </x:c>
      <x:c r="S2043" s="15" t="n">
        <x:f>IF(E2043=0,"해당 없음",K2043/E2043)</x:f>
        <x:v>0.0673076923076923</x:v>
      </x:c>
      <x:c r="T2043" s="15" t="n">
        <x:f>IF(E2043=0,"해당 없음",L2043/E2043)</x:f>
        <x:v>0.3076923076923077</x:v>
      </x:c>
      <x:c r="U2043" s="15" t="n">
        <x:f>IF(E2043=0,"해당 없음",M2043/E2043)</x:f>
        <x:v>0.25961538461538464</x:v>
      </x:c>
      <x:c r="V2043" s="16" t="n">
        <x:f>E2043/5</x:f>
        <x:v>20.8</x:v>
      </x:c>
    </x:row>
    <x:row r="2044" ht="22" customHeight="1">
      <x:c r="A2044" s="2" t="n">
        <x:v>1020</x:v>
      </x:c>
      <x:c r="B2044" s="2" t="str">
        <x:v>RED</x:v>
      </x:c>
      <x:c r="C2044" s="2" t="str">
        <x:v>200만</x:v>
      </x:c>
      <x:c r="D2044" s="2" t="str">
        <x:v>160만</x:v>
      </x:c>
      <x:c r="E2044" s="14" t="n">
        <x:f>SUM(F2044:M2044)</x:f>
        <x:v>102</x:v>
      </x:c>
      <x:c r="F2044" s="14" t="n">
        <x:v>7</x:v>
      </x:c>
      <x:c r="G2044" s="14" t="n">
        <x:v>15</x:v>
      </x:c>
      <x:c r="H2044" s="14" t="n">
        <x:v>3</x:v>
      </x:c>
      <x:c r="I2044" s="14" t="n">
        <x:v>3</x:v>
      </x:c>
      <x:c r="J2044" s="14" t="n">
        <x:v>1</x:v>
      </x:c>
      <x:c r="K2044" s="14" t="n">
        <x:v>7</x:v>
      </x:c>
      <x:c r="L2044" s="14" t="n">
        <x:v>41</x:v>
      </x:c>
      <x:c r="M2044" s="14" t="n">
        <x:v>25</x:v>
      </x:c>
      <x:c r="N2044" s="15" t="n">
        <x:f>IF(E2044=0,"해당 없음",F2044/E2044)</x:f>
        <x:v>0.06862745098039216</x:v>
      </x:c>
      <x:c r="O2044" s="15" t="n">
        <x:f>IF(E2044=0,"해당 없음",G2044/E2044)</x:f>
        <x:v>0.14705882352941177</x:v>
      </x:c>
      <x:c r="P2044" s="15" t="n">
        <x:f>IF(E2044=0,"해당 없음",H2044/E2044)</x:f>
        <x:v>0.029411764705882353</x:v>
      </x:c>
      <x:c r="Q2044" s="15" t="n">
        <x:f>IF(E2044=0,"해당 없음",I2044/E2044)</x:f>
        <x:v>0.029411764705882353</x:v>
      </x:c>
      <x:c r="R2044" s="15" t="n">
        <x:f>IF(E2044=0,"해당 없음",J2044/E2044)</x:f>
        <x:v>0.00980392156862745</x:v>
      </x:c>
      <x:c r="S2044" s="15" t="n">
        <x:f>IF(E2044=0,"해당 없음",K2044/E2044)</x:f>
        <x:v>0.06862745098039216</x:v>
      </x:c>
      <x:c r="T2044" s="15" t="n">
        <x:f>IF(E2044=0,"해당 없음",L2044/E2044)</x:f>
        <x:v>0.4019607843137255</x:v>
      </x:c>
      <x:c r="U2044" s="15" t="n">
        <x:f>IF(E2044=0,"해당 없음",M2044/E2044)</x:f>
        <x:v>0.24509803921568626</x:v>
      </x:c>
      <x:c r="V2044" s="16" t="n">
        <x:f>E2044/5</x:f>
        <x:v>20.4</x:v>
      </x:c>
    </x:row>
    <x:row r="2045" ht="22" customHeight="1">
      <x:c r="A2045" s="2" t="n">
        <x:v>1020</x:v>
      </x:c>
      <x:c r="B2045" s="2" t="str">
        <x:v>NAVY</x:v>
      </x:c>
      <x:c r="C2045" s="2" t="str">
        <x:v>160만</x:v>
      </x:c>
      <x:c r="D2045" s="2" t="str">
        <x:v>200만</x:v>
      </x:c>
      <x:c r="E2045" s="14" t="n">
        <x:f>SUM(F2045:M2045)</x:f>
        <x:v>102</x:v>
      </x:c>
      <x:c r="F2045" s="14" t="n">
        <x:v>2</x:v>
      </x:c>
      <x:c r="G2045" s="14" t="n">
        <x:v>11</x:v>
      </x:c>
      <x:c r="H2045" s="14" t="n">
        <x:v>3</x:v>
      </x:c>
      <x:c r="I2045" s="14" t="n">
        <x:v>5</x:v>
      </x:c>
      <x:c r="J2045" s="14" t="n">
        <x:v>6</x:v>
      </x:c>
      <x:c r="K2045" s="14" t="n">
        <x:v>5</x:v>
      </x:c>
      <x:c r="L2045" s="14" t="n">
        <x:v>37</x:v>
      </x:c>
      <x:c r="M2045" s="14" t="n">
        <x:v>33</x:v>
      </x:c>
      <x:c r="N2045" s="15" t="n">
        <x:f>IF(E2045=0,"해당 없음",F2045/E2045)</x:f>
        <x:v>0.0196078431372549</x:v>
      </x:c>
      <x:c r="O2045" s="15" t="n">
        <x:f>IF(E2045=0,"해당 없음",G2045/E2045)</x:f>
        <x:v>0.10784313725490197</x:v>
      </x:c>
      <x:c r="P2045" s="15" t="n">
        <x:f>IF(E2045=0,"해당 없음",H2045/E2045)</x:f>
        <x:v>0.029411764705882353</x:v>
      </x:c>
      <x:c r="Q2045" s="15" t="n">
        <x:f>IF(E2045=0,"해당 없음",I2045/E2045)</x:f>
        <x:v>0.049019607843137254</x:v>
      </x:c>
      <x:c r="R2045" s="15" t="n">
        <x:f>IF(E2045=0,"해당 없음",J2045/E2045)</x:f>
        <x:v>0.058823529411764705</x:v>
      </x:c>
      <x:c r="S2045" s="15" t="n">
        <x:f>IF(E2045=0,"해당 없음",K2045/E2045)</x:f>
        <x:v>0.049019607843137254</x:v>
      </x:c>
      <x:c r="T2045" s="15" t="n">
        <x:f>IF(E2045=0,"해당 없음",L2045/E2045)</x:f>
        <x:v>0.3627450980392157</x:v>
      </x:c>
      <x:c r="U2045" s="15" t="n">
        <x:f>IF(E2045=0,"해당 없음",M2045/E2045)</x:f>
        <x:v>0.3235294117647059</x:v>
      </x:c>
      <x:c r="V2045" s="16" t="n">
        <x:f>E2045/5</x:f>
        <x:v>20.4</x:v>
      </x:c>
    </x:row>
    <x:row r="2046" ht="22" customHeight="1">
      <x:c r="A2046" s="2" t="n">
        <x:v>1021</x:v>
      </x:c>
      <x:c r="B2046" s="2" t="str">
        <x:v>RED</x:v>
      </x:c>
      <x:c r="C2046" s="2" t="str">
        <x:v>160만</x:v>
      </x:c>
      <x:c r="D2046" s="2" t="str">
        <x:v>200만</x:v>
      </x:c>
      <x:c r="E2046" s="14" t="n">
        <x:f>SUM(F2046:M2046)</x:f>
        <x:v>105</x:v>
      </x:c>
      <x:c r="F2046" s="14" t="n">
        <x:v>6</x:v>
      </x:c>
      <x:c r="G2046" s="14" t="n">
        <x:v>12</x:v>
      </x:c>
      <x:c r="H2046" s="14" t="n">
        <x:v>4</x:v>
      </x:c>
      <x:c r="I2046" s="14" t="n">
        <x:v>7</x:v>
      </x:c>
      <x:c r="J2046" s="14" t="n">
        <x:v>5</x:v>
      </x:c>
      <x:c r="K2046" s="14" t="n">
        <x:v>6</x:v>
      </x:c>
      <x:c r="L2046" s="14" t="n">
        <x:v>38</x:v>
      </x:c>
      <x:c r="M2046" s="14" t="n">
        <x:v>27</x:v>
      </x:c>
      <x:c r="N2046" s="15" t="n">
        <x:f>IF(E2046=0,"해당 없음",F2046/E2046)</x:f>
        <x:v>0.05714285714285714</x:v>
      </x:c>
      <x:c r="O2046" s="15" t="n">
        <x:f>IF(E2046=0,"해당 없음",G2046/E2046)</x:f>
        <x:v>0.11428571428571428</x:v>
      </x:c>
      <x:c r="P2046" s="15" t="n">
        <x:f>IF(E2046=0,"해당 없음",H2046/E2046)</x:f>
        <x:v>0.0380952380952381</x:v>
      </x:c>
      <x:c r="Q2046" s="15" t="n">
        <x:f>IF(E2046=0,"해당 없음",I2046/E2046)</x:f>
        <x:v>0.06666666666666667</x:v>
      </x:c>
      <x:c r="R2046" s="15" t="n">
        <x:f>IF(E2046=0,"해당 없음",J2046/E2046)</x:f>
        <x:v>0.047619047619047616</x:v>
      </x:c>
      <x:c r="S2046" s="15" t="n">
        <x:f>IF(E2046=0,"해당 없음",K2046/E2046)</x:f>
        <x:v>0.05714285714285714</x:v>
      </x:c>
      <x:c r="T2046" s="15" t="n">
        <x:f>IF(E2046=0,"해당 없음",L2046/E2046)</x:f>
        <x:v>0.3619047619047619</x:v>
      </x:c>
      <x:c r="U2046" s="15" t="n">
        <x:f>IF(E2046=0,"해당 없음",M2046/E2046)</x:f>
        <x:v>0.2571428571428571</x:v>
      </x:c>
      <x:c r="V2046" s="16" t="n">
        <x:f>E2046/5</x:f>
        <x:v>21</x:v>
      </x:c>
    </x:row>
    <x:row r="2047" ht="22" customHeight="1">
      <x:c r="A2047" s="2" t="n">
        <x:v>1021</x:v>
      </x:c>
      <x:c r="B2047" s="2" t="str">
        <x:v>NAVY</x:v>
      </x:c>
      <x:c r="C2047" s="2" t="str">
        <x:v>200만</x:v>
      </x:c>
      <x:c r="D2047" s="2" t="str">
        <x:v>160만</x:v>
      </x:c>
      <x:c r="E2047" s="14" t="n">
        <x:f>SUM(F2047:M2047)</x:f>
        <x:v>102</x:v>
      </x:c>
      <x:c r="F2047" s="14" t="n">
        <x:v>4</x:v>
      </x:c>
      <x:c r="G2047" s="14" t="n">
        <x:v>19</x:v>
      </x:c>
      <x:c r="H2047" s="14" t="n">
        <x:v>6</x:v>
      </x:c>
      <x:c r="I2047" s="14" t="n">
        <x:v>1</x:v>
      </x:c>
      <x:c r="J2047" s="14" t="n">
        <x:v>7</x:v>
      </x:c>
      <x:c r="K2047" s="14" t="n">
        <x:v>7</x:v>
      </x:c>
      <x:c r="L2047" s="14" t="n">
        <x:v>35</x:v>
      </x:c>
      <x:c r="M2047" s="14" t="n">
        <x:v>23</x:v>
      </x:c>
      <x:c r="N2047" s="15" t="n">
        <x:f>IF(E2047=0,"해당 없음",F2047/E2047)</x:f>
        <x:v>0.0392156862745098</x:v>
      </x:c>
      <x:c r="O2047" s="15" t="n">
        <x:f>IF(E2047=0,"해당 없음",G2047/E2047)</x:f>
        <x:v>0.18627450980392157</x:v>
      </x:c>
      <x:c r="P2047" s="15" t="n">
        <x:f>IF(E2047=0,"해당 없음",H2047/E2047)</x:f>
        <x:v>0.058823529411764705</x:v>
      </x:c>
      <x:c r="Q2047" s="15" t="n">
        <x:f>IF(E2047=0,"해당 없음",I2047/E2047)</x:f>
        <x:v>0.00980392156862745</x:v>
      </x:c>
      <x:c r="R2047" s="15" t="n">
        <x:f>IF(E2047=0,"해당 없음",J2047/E2047)</x:f>
        <x:v>0.06862745098039216</x:v>
      </x:c>
      <x:c r="S2047" s="15" t="n">
        <x:f>IF(E2047=0,"해당 없음",K2047/E2047)</x:f>
        <x:v>0.06862745098039216</x:v>
      </x:c>
      <x:c r="T2047" s="15" t="n">
        <x:f>IF(E2047=0,"해당 없음",L2047/E2047)</x:f>
        <x:v>0.3431372549019608</x:v>
      </x:c>
      <x:c r="U2047" s="15" t="n">
        <x:f>IF(E2047=0,"해당 없음",M2047/E2047)</x:f>
        <x:v>0.22549019607843138</x:v>
      </x:c>
      <x:c r="V2047" s="16" t="n">
        <x:f>E2047/5</x:f>
        <x:v>20.4</x:v>
      </x:c>
    </x:row>
    <x:row r="2048" ht="22" customHeight="1">
      <x:c r="A2048" s="2" t="n">
        <x:v>1022</x:v>
      </x:c>
      <x:c r="B2048" s="2" t="str">
        <x:v>RED</x:v>
      </x:c>
      <x:c r="C2048" s="2" t="str">
        <x:v>200만</x:v>
      </x:c>
      <x:c r="D2048" s="2" t="str">
        <x:v>160만</x:v>
      </x:c>
      <x:c r="E2048" s="14" t="n">
        <x:f>SUM(F2048:M2048)</x:f>
        <x:v>104</x:v>
      </x:c>
      <x:c r="F2048" s="14" t="n">
        <x:v>2</x:v>
      </x:c>
      <x:c r="G2048" s="14" t="n">
        <x:v>15</x:v>
      </x:c>
      <x:c r="H2048" s="14" t="n">
        <x:v>6</x:v>
      </x:c>
      <x:c r="I2048" s="14" t="n">
        <x:v>7</x:v>
      </x:c>
      <x:c r="J2048" s="14" t="n">
        <x:v>2</x:v>
      </x:c>
      <x:c r="K2048" s="14" t="n">
        <x:v>11</x:v>
      </x:c>
      <x:c r="L2048" s="14" t="n">
        <x:v>30</x:v>
      </x:c>
      <x:c r="M2048" s="14" t="n">
        <x:v>31</x:v>
      </x:c>
      <x:c r="N2048" s="15" t="n">
        <x:f>IF(E2048=0,"해당 없음",F2048/E2048)</x:f>
        <x:v>0.019230769230769232</x:v>
      </x:c>
      <x:c r="O2048" s="15" t="n">
        <x:f>IF(E2048=0,"해당 없음",G2048/E2048)</x:f>
        <x:v>0.14423076923076922</x:v>
      </x:c>
      <x:c r="P2048" s="15" t="n">
        <x:f>IF(E2048=0,"해당 없음",H2048/E2048)</x:f>
        <x:v>0.057692307692307696</x:v>
      </x:c>
      <x:c r="Q2048" s="15" t="n">
        <x:f>IF(E2048=0,"해당 없음",I2048/E2048)</x:f>
        <x:v>0.0673076923076923</x:v>
      </x:c>
      <x:c r="R2048" s="15" t="n">
        <x:f>IF(E2048=0,"해당 없음",J2048/E2048)</x:f>
        <x:v>0.019230769230769232</x:v>
      </x:c>
      <x:c r="S2048" s="15" t="n">
        <x:f>IF(E2048=0,"해당 없음",K2048/E2048)</x:f>
        <x:v>0.10576923076923077</x:v>
      </x:c>
      <x:c r="T2048" s="15" t="n">
        <x:f>IF(E2048=0,"해당 없음",L2048/E2048)</x:f>
        <x:v>0.28846153846153844</x:v>
      </x:c>
      <x:c r="U2048" s="15" t="n">
        <x:f>IF(E2048=0,"해당 없음",M2048/E2048)</x:f>
        <x:v>0.2980769230769231</x:v>
      </x:c>
      <x:c r="V2048" s="16" t="n">
        <x:f>E2048/5</x:f>
        <x:v>20.8</x:v>
      </x:c>
    </x:row>
    <x:row r="2049" ht="22" customHeight="1">
      <x:c r="A2049" s="2" t="n">
        <x:v>1022</x:v>
      </x:c>
      <x:c r="B2049" s="2" t="str">
        <x:v>NAVY</x:v>
      </x:c>
      <x:c r="C2049" s="2" t="str">
        <x:v>160만</x:v>
      </x:c>
      <x:c r="D2049" s="2" t="str">
        <x:v>200만</x:v>
      </x:c>
      <x:c r="E2049" s="14" t="n">
        <x:f>SUM(F2049:M2049)</x:f>
        <x:v>102</x:v>
      </x:c>
      <x:c r="F2049" s="14" t="n">
        <x:v>4</x:v>
      </x:c>
      <x:c r="G2049" s="14" t="n">
        <x:v>24</x:v>
      </x:c>
      <x:c r="H2049" s="14" t="n">
        <x:v>5</x:v>
      </x:c>
      <x:c r="I2049" s="14" t="n">
        <x:v>5</x:v>
      </x:c>
      <x:c r="J2049" s="14" t="n">
        <x:v>5</x:v>
      </x:c>
      <x:c r="K2049" s="14" t="n">
        <x:v>8</x:v>
      </x:c>
      <x:c r="L2049" s="14" t="n">
        <x:v>35</x:v>
      </x:c>
      <x:c r="M2049" s="14" t="n">
        <x:v>16</x:v>
      </x:c>
      <x:c r="N2049" s="15" t="n">
        <x:f>IF(E2049=0,"해당 없음",F2049/E2049)</x:f>
        <x:v>0.0392156862745098</x:v>
      </x:c>
      <x:c r="O2049" s="15" t="n">
        <x:f>IF(E2049=0,"해당 없음",G2049/E2049)</x:f>
        <x:v>0.23529411764705882</x:v>
      </x:c>
      <x:c r="P2049" s="15" t="n">
        <x:f>IF(E2049=0,"해당 없음",H2049/E2049)</x:f>
        <x:v>0.049019607843137254</x:v>
      </x:c>
      <x:c r="Q2049" s="15" t="n">
        <x:f>IF(E2049=0,"해당 없음",I2049/E2049)</x:f>
        <x:v>0.049019607843137254</x:v>
      </x:c>
      <x:c r="R2049" s="15" t="n">
        <x:f>IF(E2049=0,"해당 없음",J2049/E2049)</x:f>
        <x:v>0.049019607843137254</x:v>
      </x:c>
      <x:c r="S2049" s="15" t="n">
        <x:f>IF(E2049=0,"해당 없음",K2049/E2049)</x:f>
        <x:v>0.0784313725490196</x:v>
      </x:c>
      <x:c r="T2049" s="15" t="n">
        <x:f>IF(E2049=0,"해당 없음",L2049/E2049)</x:f>
        <x:v>0.3431372549019608</x:v>
      </x:c>
      <x:c r="U2049" s="15" t="n">
        <x:f>IF(E2049=0,"해당 없음",M2049/E2049)</x:f>
        <x:v>0.1568627450980392</x:v>
      </x:c>
      <x:c r="V2049" s="16" t="n">
        <x:f>E2049/5</x:f>
        <x:v>20.4</x:v>
      </x:c>
    </x:row>
    <x:row r="2050" ht="22" customHeight="1">
      <x:c r="A2050" s="2" t="n">
        <x:v>1023</x:v>
      </x:c>
      <x:c r="B2050" s="2" t="str">
        <x:v>RED</x:v>
      </x:c>
      <x:c r="C2050" s="2" t="str">
        <x:v>160만</x:v>
      </x:c>
      <x:c r="D2050" s="2" t="str">
        <x:v>200만</x:v>
      </x:c>
      <x:c r="E2050" s="14" t="n">
        <x:f>SUM(F2050:M2050)</x:f>
        <x:v>104</x:v>
      </x:c>
      <x:c r="F2050" s="14" t="n">
        <x:v>5</x:v>
      </x:c>
      <x:c r="G2050" s="14" t="n">
        <x:v>20</x:v>
      </x:c>
      <x:c r="H2050" s="14" t="n">
        <x:v>5</x:v>
      </x:c>
      <x:c r="I2050" s="14" t="n">
        <x:v>3</x:v>
      </x:c>
      <x:c r="J2050" s="14" t="n">
        <x:v>2</x:v>
      </x:c>
      <x:c r="K2050" s="14" t="n">
        <x:v>4</x:v>
      </x:c>
      <x:c r="L2050" s="14" t="n">
        <x:v>41</x:v>
      </x:c>
      <x:c r="M2050" s="14" t="n">
        <x:v>24</x:v>
      </x:c>
      <x:c r="N2050" s="15" t="n">
        <x:f>IF(E2050=0,"해당 없음",F2050/E2050)</x:f>
        <x:v>0.04807692307692308</x:v>
      </x:c>
      <x:c r="O2050" s="15" t="n">
        <x:f>IF(E2050=0,"해당 없음",G2050/E2050)</x:f>
        <x:v>0.19230769230769232</x:v>
      </x:c>
      <x:c r="P2050" s="15" t="n">
        <x:f>IF(E2050=0,"해당 없음",H2050/E2050)</x:f>
        <x:v>0.04807692307692308</x:v>
      </x:c>
      <x:c r="Q2050" s="15" t="n">
        <x:f>IF(E2050=0,"해당 없음",I2050/E2050)</x:f>
        <x:v>0.028846153846153848</x:v>
      </x:c>
      <x:c r="R2050" s="15" t="n">
        <x:f>IF(E2050=0,"해당 없음",J2050/E2050)</x:f>
        <x:v>0.019230769230769232</x:v>
      </x:c>
      <x:c r="S2050" s="15" t="n">
        <x:f>IF(E2050=0,"해당 없음",K2050/E2050)</x:f>
        <x:v>0.038461538461538464</x:v>
      </x:c>
      <x:c r="T2050" s="15" t="n">
        <x:f>IF(E2050=0,"해당 없음",L2050/E2050)</x:f>
        <x:v>0.3942307692307692</x:v>
      </x:c>
      <x:c r="U2050" s="15" t="n">
        <x:f>IF(E2050=0,"해당 없음",M2050/E2050)</x:f>
        <x:v>0.23076923076923078</x:v>
      </x:c>
      <x:c r="V2050" s="16" t="n">
        <x:f>E2050/5</x:f>
        <x:v>20.8</x:v>
      </x:c>
    </x:row>
    <x:row r="2051" ht="22" customHeight="1">
      <x:c r="A2051" s="2" t="n">
        <x:v>1023</x:v>
      </x:c>
      <x:c r="B2051" s="2" t="str">
        <x:v>NAVY</x:v>
      </x:c>
      <x:c r="C2051" s="2" t="str">
        <x:v>200만</x:v>
      </x:c>
      <x:c r="D2051" s="2" t="str">
        <x:v>160만</x:v>
      </x:c>
      <x:c r="E2051" s="14" t="n">
        <x:f>SUM(F2051:M2051)</x:f>
        <x:v>102</x:v>
      </x:c>
      <x:c r="F2051" s="14" t="n">
        <x:v>5</x:v>
      </x:c>
      <x:c r="G2051" s="14" t="n">
        <x:v>6</x:v>
      </x:c>
      <x:c r="H2051" s="14" t="n">
        <x:v>1</x:v>
      </x:c>
      <x:c r="I2051" s="14" t="n">
        <x:v>7</x:v>
      </x:c>
      <x:c r="J2051" s="14" t="n">
        <x:v>2</x:v>
      </x:c>
      <x:c r="K2051" s="14" t="n">
        <x:v>7</x:v>
      </x:c>
      <x:c r="L2051" s="14" t="n">
        <x:v>37</x:v>
      </x:c>
      <x:c r="M2051" s="14" t="n">
        <x:v>37</x:v>
      </x:c>
      <x:c r="N2051" s="15" t="n">
        <x:f>IF(E2051=0,"해당 없음",F2051/E2051)</x:f>
        <x:v>0.049019607843137254</x:v>
      </x:c>
      <x:c r="O2051" s="15" t="n">
        <x:f>IF(E2051=0,"해당 없음",G2051/E2051)</x:f>
        <x:v>0.058823529411764705</x:v>
      </x:c>
      <x:c r="P2051" s="15" t="n">
        <x:f>IF(E2051=0,"해당 없음",H2051/E2051)</x:f>
        <x:v>0.00980392156862745</x:v>
      </x:c>
      <x:c r="Q2051" s="15" t="n">
        <x:f>IF(E2051=0,"해당 없음",I2051/E2051)</x:f>
        <x:v>0.06862745098039216</x:v>
      </x:c>
      <x:c r="R2051" s="15" t="n">
        <x:f>IF(E2051=0,"해당 없음",J2051/E2051)</x:f>
        <x:v>0.0196078431372549</x:v>
      </x:c>
      <x:c r="S2051" s="15" t="n">
        <x:f>IF(E2051=0,"해당 없음",K2051/E2051)</x:f>
        <x:v>0.06862745098039216</x:v>
      </x:c>
      <x:c r="T2051" s="15" t="n">
        <x:f>IF(E2051=0,"해당 없음",L2051/E2051)</x:f>
        <x:v>0.3627450980392157</x:v>
      </x:c>
      <x:c r="U2051" s="15" t="n">
        <x:f>IF(E2051=0,"해당 없음",M2051/E2051)</x:f>
        <x:v>0.3627450980392157</x:v>
      </x:c>
      <x:c r="V2051" s="16" t="n">
        <x:f>E2051/5</x:f>
        <x:v>20.4</x:v>
      </x:c>
    </x:row>
    <x:row r="2052" ht="22" customHeight="1">
      <x:c r="A2052" s="2" t="n">
        <x:v>1024</x:v>
      </x:c>
      <x:c r="B2052" s="2" t="str">
        <x:v>RED</x:v>
      </x:c>
      <x:c r="C2052" s="2" t="str">
        <x:v>200만</x:v>
      </x:c>
      <x:c r="D2052" s="2" t="str">
        <x:v>160만</x:v>
      </x:c>
      <x:c r="E2052" s="14" t="n">
        <x:f>SUM(F2052:M2052)</x:f>
        <x:v>103</x:v>
      </x:c>
      <x:c r="F2052" s="14" t="n">
        <x:v>5</x:v>
      </x:c>
      <x:c r="G2052" s="14" t="n">
        <x:v>24</x:v>
      </x:c>
      <x:c r="H2052" s="14" t="n">
        <x:v>3</x:v>
      </x:c>
      <x:c r="I2052" s="14" t="n">
        <x:v>2</x:v>
      </x:c>
      <x:c r="J2052" s="14" t="n">
        <x:v>4</x:v>
      </x:c>
      <x:c r="K2052" s="14" t="n">
        <x:v>8</x:v>
      </x:c>
      <x:c r="L2052" s="14" t="n">
        <x:v>38</x:v>
      </x:c>
      <x:c r="M2052" s="14" t="n">
        <x:v>19</x:v>
      </x:c>
      <x:c r="N2052" s="15" t="n">
        <x:f>IF(E2052=0,"해당 없음",F2052/E2052)</x:f>
        <x:v>0.04854368932038835</x:v>
      </x:c>
      <x:c r="O2052" s="15" t="n">
        <x:f>IF(E2052=0,"해당 없음",G2052/E2052)</x:f>
        <x:v>0.23300970873786409</x:v>
      </x:c>
      <x:c r="P2052" s="15" t="n">
        <x:f>IF(E2052=0,"해당 없음",H2052/E2052)</x:f>
        <x:v>0.02912621359223301</x:v>
      </x:c>
      <x:c r="Q2052" s="15" t="n">
        <x:f>IF(E2052=0,"해당 없음",I2052/E2052)</x:f>
        <x:v>0.019417475728155338</x:v>
      </x:c>
      <x:c r="R2052" s="15" t="n">
        <x:f>IF(E2052=0,"해당 없음",J2052/E2052)</x:f>
        <x:v>0.038834951456310676</x:v>
      </x:c>
      <x:c r="S2052" s="15" t="n">
        <x:f>IF(E2052=0,"해당 없음",K2052/E2052)</x:f>
        <x:v>0.07766990291262135</x:v>
      </x:c>
      <x:c r="T2052" s="15" t="n">
        <x:f>IF(E2052=0,"해당 없음",L2052/E2052)</x:f>
        <x:v>0.36893203883495146</x:v>
      </x:c>
      <x:c r="U2052" s="15" t="n">
        <x:f>IF(E2052=0,"해당 없음",M2052/E2052)</x:f>
        <x:v>0.18446601941747573</x:v>
      </x:c>
      <x:c r="V2052" s="16" t="n">
        <x:f>E2052/5</x:f>
        <x:v>20.6</x:v>
      </x:c>
    </x:row>
    <x:row r="2053" ht="22" customHeight="1">
      <x:c r="A2053" s="2" t="n">
        <x:v>1024</x:v>
      </x:c>
      <x:c r="B2053" s="2" t="str">
        <x:v>NAVY</x:v>
      </x:c>
      <x:c r="C2053" s="2" t="str">
        <x:v>160만</x:v>
      </x:c>
      <x:c r="D2053" s="2" t="str">
        <x:v>200만</x:v>
      </x:c>
      <x:c r="E2053" s="14" t="n">
        <x:f>SUM(F2053:M2053)</x:f>
        <x:v>103</x:v>
      </x:c>
      <x:c r="F2053" s="14" t="n">
        <x:v>5</x:v>
      </x:c>
      <x:c r="G2053" s="14" t="n">
        <x:v>23</x:v>
      </x:c>
      <x:c r="H2053" s="14" t="n">
        <x:v>5</x:v>
      </x:c>
      <x:c r="I2053" s="14" t="n">
        <x:v>7</x:v>
      </x:c>
      <x:c r="J2053" s="14" t="n">
        <x:v>5</x:v>
      </x:c>
      <x:c r="K2053" s="14" t="n">
        <x:v>8</x:v>
      </x:c>
      <x:c r="L2053" s="14" t="n">
        <x:v>31</x:v>
      </x:c>
      <x:c r="M2053" s="14" t="n">
        <x:v>19</x:v>
      </x:c>
      <x:c r="N2053" s="15" t="n">
        <x:f>IF(E2053=0,"해당 없음",F2053/E2053)</x:f>
        <x:v>0.04854368932038835</x:v>
      </x:c>
      <x:c r="O2053" s="15" t="n">
        <x:f>IF(E2053=0,"해당 없음",G2053/E2053)</x:f>
        <x:v>0.22330097087378642</x:v>
      </x:c>
      <x:c r="P2053" s="15" t="n">
        <x:f>IF(E2053=0,"해당 없음",H2053/E2053)</x:f>
        <x:v>0.04854368932038835</x:v>
      </x:c>
      <x:c r="Q2053" s="15" t="n">
        <x:f>IF(E2053=0,"해당 없음",I2053/E2053)</x:f>
        <x:v>0.06796116504854369</x:v>
      </x:c>
      <x:c r="R2053" s="15" t="n">
        <x:f>IF(E2053=0,"해당 없음",J2053/E2053)</x:f>
        <x:v>0.04854368932038835</x:v>
      </x:c>
      <x:c r="S2053" s="15" t="n">
        <x:f>IF(E2053=0,"해당 없음",K2053/E2053)</x:f>
        <x:v>0.07766990291262135</x:v>
      </x:c>
      <x:c r="T2053" s="15" t="n">
        <x:f>IF(E2053=0,"해당 없음",L2053/E2053)</x:f>
        <x:v>0.30097087378640774</x:v>
      </x:c>
      <x:c r="U2053" s="15" t="n">
        <x:f>IF(E2053=0,"해당 없음",M2053/E2053)</x:f>
        <x:v>0.18446601941747573</x:v>
      </x:c>
      <x:c r="V2053" s="16" t="n">
        <x:f>E2053/5</x:f>
        <x:v>20.6</x:v>
      </x:c>
    </x:row>
    <x:row r="2054" ht="22" customHeight="1">
      <x:c r="A2054" s="2" t="n">
        <x:v>1025</x:v>
      </x:c>
      <x:c r="B2054" s="2" t="str">
        <x:v>RED</x:v>
      </x:c>
      <x:c r="C2054" s="2" t="str">
        <x:v>160만</x:v>
      </x:c>
      <x:c r="D2054" s="2" t="str">
        <x:v>200만</x:v>
      </x:c>
      <x:c r="E2054" s="14" t="n">
        <x:f>SUM(F2054:M2054)</x:f>
        <x:v>104</x:v>
      </x:c>
      <x:c r="F2054" s="14" t="n">
        <x:v>1</x:v>
      </x:c>
      <x:c r="G2054" s="14" t="n">
        <x:v>19</x:v>
      </x:c>
      <x:c r="H2054" s="14" t="n">
        <x:v>5</x:v>
      </x:c>
      <x:c r="I2054" s="14" t="n">
        <x:v>7</x:v>
      </x:c>
      <x:c r="J2054" s="14" t="n">
        <x:v>4</x:v>
      </x:c>
      <x:c r="K2054" s="14" t="n">
        <x:v>7</x:v>
      </x:c>
      <x:c r="L2054" s="14" t="n">
        <x:v>36</x:v>
      </x:c>
      <x:c r="M2054" s="14" t="n">
        <x:v>25</x:v>
      </x:c>
      <x:c r="N2054" s="15" t="n">
        <x:f>IF(E2054=0,"해당 없음",F2054/E2054)</x:f>
        <x:v>0.009615384615384616</x:v>
      </x:c>
      <x:c r="O2054" s="15" t="n">
        <x:f>IF(E2054=0,"해당 없음",G2054/E2054)</x:f>
        <x:v>0.18269230769230768</x:v>
      </x:c>
      <x:c r="P2054" s="15" t="n">
        <x:f>IF(E2054=0,"해당 없음",H2054/E2054)</x:f>
        <x:v>0.04807692307692308</x:v>
      </x:c>
      <x:c r="Q2054" s="15" t="n">
        <x:f>IF(E2054=0,"해당 없음",I2054/E2054)</x:f>
        <x:v>0.0673076923076923</x:v>
      </x:c>
      <x:c r="R2054" s="15" t="n">
        <x:f>IF(E2054=0,"해당 없음",J2054/E2054)</x:f>
        <x:v>0.038461538461538464</x:v>
      </x:c>
      <x:c r="S2054" s="15" t="n">
        <x:f>IF(E2054=0,"해당 없음",K2054/E2054)</x:f>
        <x:v>0.0673076923076923</x:v>
      </x:c>
      <x:c r="T2054" s="15" t="n">
        <x:f>IF(E2054=0,"해당 없음",L2054/E2054)</x:f>
        <x:v>0.34615384615384615</x:v>
      </x:c>
      <x:c r="U2054" s="15" t="n">
        <x:f>IF(E2054=0,"해당 없음",M2054/E2054)</x:f>
        <x:v>0.2403846153846154</x:v>
      </x:c>
      <x:c r="V2054" s="16" t="n">
        <x:f>E2054/5</x:f>
        <x:v>20.8</x:v>
      </x:c>
    </x:row>
    <x:row r="2055" ht="22" customHeight="1">
      <x:c r="A2055" s="2" t="n">
        <x:v>1025</x:v>
      </x:c>
      <x:c r="B2055" s="2" t="str">
        <x:v>NAVY</x:v>
      </x:c>
      <x:c r="C2055" s="2" t="str">
        <x:v>200만</x:v>
      </x:c>
      <x:c r="D2055" s="2" t="str">
        <x:v>160만</x:v>
      </x:c>
      <x:c r="E2055" s="14" t="n">
        <x:f>SUM(F2055:M2055)</x:f>
        <x:v>105</x:v>
      </x:c>
      <x:c r="F2055" s="14" t="n">
        <x:v>4</x:v>
      </x:c>
      <x:c r="G2055" s="14" t="n">
        <x:v>12</x:v>
      </x:c>
      <x:c r="H2055" s="14" t="n">
        <x:v>2</x:v>
      </x:c>
      <x:c r="I2055" s="14" t="n">
        <x:v>3</x:v>
      </x:c>
      <x:c r="J2055" s="14" t="n">
        <x:v>3</x:v>
      </x:c>
      <x:c r="K2055" s="14" t="n">
        <x:v>5</x:v>
      </x:c>
      <x:c r="L2055" s="14" t="n">
        <x:v>41</x:v>
      </x:c>
      <x:c r="M2055" s="14" t="n">
        <x:v>35</x:v>
      </x:c>
      <x:c r="N2055" s="15" t="n">
        <x:f>IF(E2055=0,"해당 없음",F2055/E2055)</x:f>
        <x:v>0.0380952380952381</x:v>
      </x:c>
      <x:c r="O2055" s="15" t="n">
        <x:f>IF(E2055=0,"해당 없음",G2055/E2055)</x:f>
        <x:v>0.11428571428571428</x:v>
      </x:c>
      <x:c r="P2055" s="15" t="n">
        <x:f>IF(E2055=0,"해당 없음",H2055/E2055)</x:f>
        <x:v>0.01904761904761905</x:v>
      </x:c>
      <x:c r="Q2055" s="15" t="n">
        <x:f>IF(E2055=0,"해당 없음",I2055/E2055)</x:f>
        <x:v>0.02857142857142857</x:v>
      </x:c>
      <x:c r="R2055" s="15" t="n">
        <x:f>IF(E2055=0,"해당 없음",J2055/E2055)</x:f>
        <x:v>0.02857142857142857</x:v>
      </x:c>
      <x:c r="S2055" s="15" t="n">
        <x:f>IF(E2055=0,"해당 없음",K2055/E2055)</x:f>
        <x:v>0.047619047619047616</x:v>
      </x:c>
      <x:c r="T2055" s="15" t="n">
        <x:f>IF(E2055=0,"해당 없음",L2055/E2055)</x:f>
        <x:v>0.3904761904761905</x:v>
      </x:c>
      <x:c r="U2055" s="15" t="n">
        <x:f>IF(E2055=0,"해당 없음",M2055/E2055)</x:f>
        <x:v>0.3333333333333333</x:v>
      </x:c>
      <x:c r="V2055" s="16" t="n">
        <x:f>E2055/5</x:f>
        <x:v>21</x:v>
      </x:c>
    </x:row>
    <x:row r="2056" ht="22" customHeight="1">
      <x:c r="A2056" s="2" t="n">
        <x:v>1026</x:v>
      </x:c>
      <x:c r="B2056" s="2" t="str">
        <x:v>RED</x:v>
      </x:c>
      <x:c r="C2056" s="2" t="str">
        <x:v>200만</x:v>
      </x:c>
      <x:c r="D2056" s="2" t="str">
        <x:v>160만</x:v>
      </x:c>
      <x:c r="E2056" s="14" t="n">
        <x:f>SUM(F2056:M2056)</x:f>
        <x:v>103</x:v>
      </x:c>
      <x:c r="F2056" s="14" t="n">
        <x:v>10</x:v>
      </x:c>
      <x:c r="G2056" s="14" t="n">
        <x:v>15</x:v>
      </x:c>
      <x:c r="H2056" s="14" t="n">
        <x:v>3</x:v>
      </x:c>
      <x:c r="I2056" s="14" t="n">
        <x:v>1</x:v>
      </x:c>
      <x:c r="J2056" s="14" t="n">
        <x:v>4</x:v>
      </x:c>
      <x:c r="K2056" s="14" t="n">
        <x:v>4</x:v>
      </x:c>
      <x:c r="L2056" s="14" t="n">
        <x:v>30</x:v>
      </x:c>
      <x:c r="M2056" s="14" t="n">
        <x:v>36</x:v>
      </x:c>
      <x:c r="N2056" s="15" t="n">
        <x:f>IF(E2056=0,"해당 없음",F2056/E2056)</x:f>
        <x:v>0.0970873786407767</x:v>
      </x:c>
      <x:c r="O2056" s="15" t="n">
        <x:f>IF(E2056=0,"해당 없음",G2056/E2056)</x:f>
        <x:v>0.14563106796116504</x:v>
      </x:c>
      <x:c r="P2056" s="15" t="n">
        <x:f>IF(E2056=0,"해당 없음",H2056/E2056)</x:f>
        <x:v>0.02912621359223301</x:v>
      </x:c>
      <x:c r="Q2056" s="15" t="n">
        <x:f>IF(E2056=0,"해당 없음",I2056/E2056)</x:f>
        <x:v>0.009708737864077669</x:v>
      </x:c>
      <x:c r="R2056" s="15" t="n">
        <x:f>IF(E2056=0,"해당 없음",J2056/E2056)</x:f>
        <x:v>0.038834951456310676</x:v>
      </x:c>
      <x:c r="S2056" s="15" t="n">
        <x:f>IF(E2056=0,"해당 없음",K2056/E2056)</x:f>
        <x:v>0.038834951456310676</x:v>
      </x:c>
      <x:c r="T2056" s="15" t="n">
        <x:f>IF(E2056=0,"해당 없음",L2056/E2056)</x:f>
        <x:v>0.2912621359223301</x:v>
      </x:c>
      <x:c r="U2056" s="15" t="n">
        <x:f>IF(E2056=0,"해당 없음",M2056/E2056)</x:f>
        <x:v>0.34951456310679613</x:v>
      </x:c>
      <x:c r="V2056" s="16" t="n">
        <x:f>E2056/5</x:f>
        <x:v>20.6</x:v>
      </x:c>
    </x:row>
    <x:row r="2057" ht="22" customHeight="1">
      <x:c r="A2057" s="2" t="n">
        <x:v>1026</x:v>
      </x:c>
      <x:c r="B2057" s="2" t="str">
        <x:v>NAVY</x:v>
      </x:c>
      <x:c r="C2057" s="2" t="str">
        <x:v>160만</x:v>
      </x:c>
      <x:c r="D2057" s="2" t="str">
        <x:v>200만</x:v>
      </x:c>
      <x:c r="E2057" s="14" t="n">
        <x:f>SUM(F2057:M2057)</x:f>
        <x:v>104</x:v>
      </x:c>
      <x:c r="F2057" s="14" t="n">
        <x:v>3</x:v>
      </x:c>
      <x:c r="G2057" s="14" t="n">
        <x:v>14</x:v>
      </x:c>
      <x:c r="H2057" s="14" t="n">
        <x:v>4</x:v>
      </x:c>
      <x:c r="I2057" s="14" t="n">
        <x:v>3</x:v>
      </x:c>
      <x:c r="J2057" s="14" t="n">
        <x:v>2</x:v>
      </x:c>
      <x:c r="K2057" s="14" t="n">
        <x:v>17</x:v>
      </x:c>
      <x:c r="L2057" s="14" t="n">
        <x:v>32</x:v>
      </x:c>
      <x:c r="M2057" s="14" t="n">
        <x:v>29</x:v>
      </x:c>
      <x:c r="N2057" s="15" t="n">
        <x:f>IF(E2057=0,"해당 없음",F2057/E2057)</x:f>
        <x:v>0.028846153846153848</x:v>
      </x:c>
      <x:c r="O2057" s="15" t="n">
        <x:f>IF(E2057=0,"해당 없음",G2057/E2057)</x:f>
        <x:v>0.1346153846153846</x:v>
      </x:c>
      <x:c r="P2057" s="15" t="n">
        <x:f>IF(E2057=0,"해당 없음",H2057/E2057)</x:f>
        <x:v>0.038461538461538464</x:v>
      </x:c>
      <x:c r="Q2057" s="15" t="n">
        <x:f>IF(E2057=0,"해당 없음",I2057/E2057)</x:f>
        <x:v>0.028846153846153848</x:v>
      </x:c>
      <x:c r="R2057" s="15" t="n">
        <x:f>IF(E2057=0,"해당 없음",J2057/E2057)</x:f>
        <x:v>0.019230769230769232</x:v>
      </x:c>
      <x:c r="S2057" s="15" t="n">
        <x:f>IF(E2057=0,"해당 없음",K2057/E2057)</x:f>
        <x:v>0.16346153846153846</x:v>
      </x:c>
      <x:c r="T2057" s="15" t="n">
        <x:f>IF(E2057=0,"해당 없음",L2057/E2057)</x:f>
        <x:v>0.3076923076923077</x:v>
      </x:c>
      <x:c r="U2057" s="15" t="n">
        <x:f>IF(E2057=0,"해당 없음",M2057/E2057)</x:f>
        <x:v>0.27884615384615385</x:v>
      </x:c>
      <x:c r="V2057" s="16" t="n">
        <x:f>E2057/5</x:f>
        <x:v>20.8</x:v>
      </x:c>
    </x:row>
    <x:row r="2058" ht="22" customHeight="1">
      <x:c r="A2058" s="2" t="n">
        <x:v>1027</x:v>
      </x:c>
      <x:c r="B2058" s="2" t="str">
        <x:v>RED</x:v>
      </x:c>
      <x:c r="C2058" s="2" t="str">
        <x:v>160만</x:v>
      </x:c>
      <x:c r="D2058" s="2" t="str">
        <x:v>200만</x:v>
      </x:c>
      <x:c r="E2058" s="14" t="n">
        <x:f>SUM(F2058:M2058)</x:f>
        <x:v>99</x:v>
      </x:c>
      <x:c r="F2058" s="14" t="n">
        <x:v>3</x:v>
      </x:c>
      <x:c r="G2058" s="14" t="n">
        <x:v>19</x:v>
      </x:c>
      <x:c r="H2058" s="14" t="n">
        <x:v>8</x:v>
      </x:c>
      <x:c r="I2058" s="14" t="n">
        <x:v>1</x:v>
      </x:c>
      <x:c r="J2058" s="14" t="n">
        <x:v>2</x:v>
      </x:c>
      <x:c r="K2058" s="14" t="n">
        <x:v>11</x:v>
      </x:c>
      <x:c r="L2058" s="14" t="n">
        <x:v>29</x:v>
      </x:c>
      <x:c r="M2058" s="14" t="n">
        <x:v>26</x:v>
      </x:c>
      <x:c r="N2058" s="15" t="n">
        <x:f>IF(E2058=0,"해당 없음",F2058/E2058)</x:f>
        <x:v>0.030303030303030304</x:v>
      </x:c>
      <x:c r="O2058" s="15" t="n">
        <x:f>IF(E2058=0,"해당 없음",G2058/E2058)</x:f>
        <x:v>0.1919191919191919</x:v>
      </x:c>
      <x:c r="P2058" s="15" t="n">
        <x:f>IF(E2058=0,"해당 없음",H2058/E2058)</x:f>
        <x:v>0.08080808080808081</x:v>
      </x:c>
      <x:c r="Q2058" s="15" t="n">
        <x:f>IF(E2058=0,"해당 없음",I2058/E2058)</x:f>
        <x:v>0.010101010101010102</x:v>
      </x:c>
      <x:c r="R2058" s="15" t="n">
        <x:f>IF(E2058=0,"해당 없음",J2058/E2058)</x:f>
        <x:v>0.020202020202020204</x:v>
      </x:c>
      <x:c r="S2058" s="15" t="n">
        <x:f>IF(E2058=0,"해당 없음",K2058/E2058)</x:f>
        <x:v>0.1111111111111111</x:v>
      </x:c>
      <x:c r="T2058" s="15" t="n">
        <x:f>IF(E2058=0,"해당 없음",L2058/E2058)</x:f>
        <x:v>0.29292929292929293</x:v>
      </x:c>
      <x:c r="U2058" s="15" t="n">
        <x:f>IF(E2058=0,"해당 없음",M2058/E2058)</x:f>
        <x:v>0.26262626262626265</x:v>
      </x:c>
      <x:c r="V2058" s="16" t="n">
        <x:f>E2058/5</x:f>
        <x:v>19.8</x:v>
      </x:c>
    </x:row>
    <x:row r="2059" ht="22" customHeight="1">
      <x:c r="A2059" s="2" t="n">
        <x:v>1027</x:v>
      </x:c>
      <x:c r="B2059" s="2" t="str">
        <x:v>NAVY</x:v>
      </x:c>
      <x:c r="C2059" s="2" t="str">
        <x:v>200만</x:v>
      </x:c>
      <x:c r="D2059" s="2" t="str">
        <x:v>160만</x:v>
      </x:c>
      <x:c r="E2059" s="14" t="n">
        <x:f>SUM(F2059:M2059)</x:f>
        <x:v>100</x:v>
      </x:c>
      <x:c r="F2059" s="14" t="n">
        <x:v>5</x:v>
      </x:c>
      <x:c r="G2059" s="14" t="n">
        <x:v>18</x:v>
      </x:c>
      <x:c r="H2059" s="14" t="n">
        <x:v>2</x:v>
      </x:c>
      <x:c r="I2059" s="14" t="n">
        <x:v>3</x:v>
      </x:c>
      <x:c r="J2059" s="14" t="n">
        <x:v>6</x:v>
      </x:c>
      <x:c r="K2059" s="14" t="n">
        <x:v>8</x:v>
      </x:c>
      <x:c r="L2059" s="14" t="n">
        <x:v>27</x:v>
      </x:c>
      <x:c r="M2059" s="14" t="n">
        <x:v>31</x:v>
      </x:c>
      <x:c r="N2059" s="15" t="n">
        <x:f>IF(E2059=0,"해당 없음",F2059/E2059)</x:f>
        <x:v>0.05</x:v>
      </x:c>
      <x:c r="O2059" s="15" t="n">
        <x:f>IF(E2059=0,"해당 없음",G2059/E2059)</x:f>
        <x:v>0.18</x:v>
      </x:c>
      <x:c r="P2059" s="15" t="n">
        <x:f>IF(E2059=0,"해당 없음",H2059/E2059)</x:f>
        <x:v>0.02</x:v>
      </x:c>
      <x:c r="Q2059" s="15" t="n">
        <x:f>IF(E2059=0,"해당 없음",I2059/E2059)</x:f>
        <x:v>0.03</x:v>
      </x:c>
      <x:c r="R2059" s="15" t="n">
        <x:f>IF(E2059=0,"해당 없음",J2059/E2059)</x:f>
        <x:v>0.06</x:v>
      </x:c>
      <x:c r="S2059" s="15" t="n">
        <x:f>IF(E2059=0,"해당 없음",K2059/E2059)</x:f>
        <x:v>0.08</x:v>
      </x:c>
      <x:c r="T2059" s="15" t="n">
        <x:f>IF(E2059=0,"해당 없음",L2059/E2059)</x:f>
        <x:v>0.27</x:v>
      </x:c>
      <x:c r="U2059" s="15" t="n">
        <x:f>IF(E2059=0,"해당 없음",M2059/E2059)</x:f>
        <x:v>0.31</x:v>
      </x:c>
      <x:c r="V2059" s="16" t="n">
        <x:f>E2059/5</x:f>
        <x:v>20</x:v>
      </x:c>
    </x:row>
    <x:row r="2060" ht="22" customHeight="1">
      <x:c r="A2060" s="2" t="n">
        <x:v>1028</x:v>
      </x:c>
      <x:c r="B2060" s="2" t="str">
        <x:v>RED</x:v>
      </x:c>
      <x:c r="C2060" s="2" t="str">
        <x:v>200만</x:v>
      </x:c>
      <x:c r="D2060" s="2" t="str">
        <x:v>160만</x:v>
      </x:c>
      <x:c r="E2060" s="14" t="n">
        <x:f>SUM(F2060:M2060)</x:f>
        <x:v>103</x:v>
      </x:c>
      <x:c r="F2060" s="14" t="n">
        <x:v>5</x:v>
      </x:c>
      <x:c r="G2060" s="14" t="n">
        <x:v>11</x:v>
      </x:c>
      <x:c r="H2060" s="14" t="n">
        <x:v>2</x:v>
      </x:c>
      <x:c r="I2060" s="14" t="n">
        <x:v>2</x:v>
      </x:c>
      <x:c r="J2060" s="14" t="n">
        <x:v>3</x:v>
      </x:c>
      <x:c r="K2060" s="14" t="n">
        <x:v>4</x:v>
      </x:c>
      <x:c r="L2060" s="14" t="n">
        <x:v>35</x:v>
      </x:c>
      <x:c r="M2060" s="14" t="n">
        <x:v>41</x:v>
      </x:c>
      <x:c r="N2060" s="15" t="n">
        <x:f>IF(E2060=0,"해당 없음",F2060/E2060)</x:f>
        <x:v>0.04854368932038835</x:v>
      </x:c>
      <x:c r="O2060" s="15" t="n">
        <x:f>IF(E2060=0,"해당 없음",G2060/E2060)</x:f>
        <x:v>0.10679611650485436</x:v>
      </x:c>
      <x:c r="P2060" s="15" t="n">
        <x:f>IF(E2060=0,"해당 없음",H2060/E2060)</x:f>
        <x:v>0.019417475728155338</x:v>
      </x:c>
      <x:c r="Q2060" s="15" t="n">
        <x:f>IF(E2060=0,"해당 없음",I2060/E2060)</x:f>
        <x:v>0.019417475728155338</x:v>
      </x:c>
      <x:c r="R2060" s="15" t="n">
        <x:f>IF(E2060=0,"해당 없음",J2060/E2060)</x:f>
        <x:v>0.02912621359223301</x:v>
      </x:c>
      <x:c r="S2060" s="15" t="n">
        <x:f>IF(E2060=0,"해당 없음",K2060/E2060)</x:f>
        <x:v>0.038834951456310676</x:v>
      </x:c>
      <x:c r="T2060" s="15" t="n">
        <x:f>IF(E2060=0,"해당 없음",L2060/E2060)</x:f>
        <x:v>0.33980582524271846</x:v>
      </x:c>
      <x:c r="U2060" s="15" t="n">
        <x:f>IF(E2060=0,"해당 없음",M2060/E2060)</x:f>
        <x:v>0.39805825242718446</x:v>
      </x:c>
      <x:c r="V2060" s="16" t="n">
        <x:f>E2060/5</x:f>
        <x:v>20.6</x:v>
      </x:c>
    </x:row>
    <x:row r="2061" ht="22" customHeight="1">
      <x:c r="A2061" s="2" t="n">
        <x:v>1028</x:v>
      </x:c>
      <x:c r="B2061" s="2" t="str">
        <x:v>NAVY</x:v>
      </x:c>
      <x:c r="C2061" s="2" t="str">
        <x:v>160만</x:v>
      </x:c>
      <x:c r="D2061" s="2" t="str">
        <x:v>200만</x:v>
      </x:c>
      <x:c r="E2061" s="14" t="n">
        <x:f>SUM(F2061:M2061)</x:f>
        <x:v>103</x:v>
      </x:c>
      <x:c r="F2061" s="14" t="n">
        <x:v>2</x:v>
      </x:c>
      <x:c r="G2061" s="14" t="n">
        <x:v>19</x:v>
      </x:c>
      <x:c r="H2061" s="14" t="n">
        <x:v>8</x:v>
      </x:c>
      <x:c r="I2061" s="14" t="n">
        <x:v>6</x:v>
      </x:c>
      <x:c r="J2061" s="14" t="n">
        <x:v>6</x:v>
      </x:c>
      <x:c r="K2061" s="14" t="n">
        <x:v>7</x:v>
      </x:c>
      <x:c r="L2061" s="14" t="n">
        <x:v>33</x:v>
      </x:c>
      <x:c r="M2061" s="14" t="n">
        <x:v>22</x:v>
      </x:c>
      <x:c r="N2061" s="15" t="n">
        <x:f>IF(E2061=0,"해당 없음",F2061/E2061)</x:f>
        <x:v>0.019417475728155338</x:v>
      </x:c>
      <x:c r="O2061" s="15" t="n">
        <x:f>IF(E2061=0,"해당 없음",G2061/E2061)</x:f>
        <x:v>0.18446601941747573</x:v>
      </x:c>
      <x:c r="P2061" s="15" t="n">
        <x:f>IF(E2061=0,"해당 없음",H2061/E2061)</x:f>
        <x:v>0.07766990291262135</x:v>
      </x:c>
      <x:c r="Q2061" s="15" t="n">
        <x:f>IF(E2061=0,"해당 없음",I2061/E2061)</x:f>
        <x:v>0.05825242718446602</x:v>
      </x:c>
      <x:c r="R2061" s="15" t="n">
        <x:f>IF(E2061=0,"해당 없음",J2061/E2061)</x:f>
        <x:v>0.05825242718446602</x:v>
      </x:c>
      <x:c r="S2061" s="15" t="n">
        <x:f>IF(E2061=0,"해당 없음",K2061/E2061)</x:f>
        <x:v>0.06796116504854369</x:v>
      </x:c>
      <x:c r="T2061" s="15" t="n">
        <x:f>IF(E2061=0,"해당 없음",L2061/E2061)</x:f>
        <x:v>0.32038834951456313</x:v>
      </x:c>
      <x:c r="U2061" s="15" t="n">
        <x:f>IF(E2061=0,"해당 없음",M2061/E2061)</x:f>
        <x:v>0.21359223300970873</x:v>
      </x:c>
      <x:c r="V2061" s="16" t="n">
        <x:f>E2061/5</x:f>
        <x:v>20.6</x:v>
      </x:c>
    </x:row>
    <x:row r="2062" ht="22" customHeight="1">
      <x:c r="A2062" s="2" t="n">
        <x:v>1029</x:v>
      </x:c>
      <x:c r="B2062" s="2" t="str">
        <x:v>RED</x:v>
      </x:c>
      <x:c r="C2062" s="2" t="str">
        <x:v>160만</x:v>
      </x:c>
      <x:c r="D2062" s="2" t="str">
        <x:v>200만</x:v>
      </x:c>
      <x:c r="E2062" s="14" t="n">
        <x:f>SUM(F2062:M2062)</x:f>
        <x:v>102</x:v>
      </x:c>
      <x:c r="F2062" s="14" t="n">
        <x:v>2</x:v>
      </x:c>
      <x:c r="G2062" s="14" t="n">
        <x:v>27</x:v>
      </x:c>
      <x:c r="H2062" s="14" t="n">
        <x:v>7</x:v>
      </x:c>
      <x:c r="I2062" s="14" t="n">
        <x:v>1</x:v>
      </x:c>
      <x:c r="J2062" s="14" t="n">
        <x:v>4</x:v>
      </x:c>
      <x:c r="K2062" s="14" t="n">
        <x:v>13</x:v>
      </x:c>
      <x:c r="L2062" s="14" t="n">
        <x:v>31</x:v>
      </x:c>
      <x:c r="M2062" s="14" t="n">
        <x:v>17</x:v>
      </x:c>
      <x:c r="N2062" s="15" t="n">
        <x:f>IF(E2062=0,"해당 없음",F2062/E2062)</x:f>
        <x:v>0.0196078431372549</x:v>
      </x:c>
      <x:c r="O2062" s="15" t="n">
        <x:f>IF(E2062=0,"해당 없음",G2062/E2062)</x:f>
        <x:v>0.2647058823529412</x:v>
      </x:c>
      <x:c r="P2062" s="15" t="n">
        <x:f>IF(E2062=0,"해당 없음",H2062/E2062)</x:f>
        <x:v>0.06862745098039216</x:v>
      </x:c>
      <x:c r="Q2062" s="15" t="n">
        <x:f>IF(E2062=0,"해당 없음",I2062/E2062)</x:f>
        <x:v>0.00980392156862745</x:v>
      </x:c>
      <x:c r="R2062" s="15" t="n">
        <x:f>IF(E2062=0,"해당 없음",J2062/E2062)</x:f>
        <x:v>0.0392156862745098</x:v>
      </x:c>
      <x:c r="S2062" s="15" t="n">
        <x:f>IF(E2062=0,"해당 없음",K2062/E2062)</x:f>
        <x:v>0.12745098039215685</x:v>
      </x:c>
      <x:c r="T2062" s="15" t="n">
        <x:f>IF(E2062=0,"해당 없음",L2062/E2062)</x:f>
        <x:v>0.30392156862745096</x:v>
      </x:c>
      <x:c r="U2062" s="15" t="n">
        <x:f>IF(E2062=0,"해당 없음",M2062/E2062)</x:f>
        <x:v>0.16666666666666666</x:v>
      </x:c>
      <x:c r="V2062" s="16" t="n">
        <x:f>E2062/5</x:f>
        <x:v>20.4</x:v>
      </x:c>
    </x:row>
    <x:row r="2063" ht="22" customHeight="1">
      <x:c r="A2063" s="2" t="n">
        <x:v>1029</x:v>
      </x:c>
      <x:c r="B2063" s="2" t="str">
        <x:v>NAVY</x:v>
      </x:c>
      <x:c r="C2063" s="2" t="str">
        <x:v>200만</x:v>
      </x:c>
      <x:c r="D2063" s="2" t="str">
        <x:v>160만</x:v>
      </x:c>
      <x:c r="E2063" s="14" t="n">
        <x:f>SUM(F2063:M2063)</x:f>
        <x:v>102</x:v>
      </x:c>
      <x:c r="F2063" s="14" t="n">
        <x:v>5</x:v>
      </x:c>
      <x:c r="G2063" s="14" t="n">
        <x:v>18</x:v>
      </x:c>
      <x:c r="H2063" s="14" t="n">
        <x:v>4</x:v>
      </x:c>
      <x:c r="I2063" s="14" t="n">
        <x:v>2</x:v>
      </x:c>
      <x:c r="J2063" s="14" t="n">
        <x:v>4</x:v>
      </x:c>
      <x:c r="K2063" s="14" t="n">
        <x:v>7</x:v>
      </x:c>
      <x:c r="L2063" s="14" t="n">
        <x:v>29</x:v>
      </x:c>
      <x:c r="M2063" s="14" t="n">
        <x:v>33</x:v>
      </x:c>
      <x:c r="N2063" s="15" t="n">
        <x:f>IF(E2063=0,"해당 없음",F2063/E2063)</x:f>
        <x:v>0.049019607843137254</x:v>
      </x:c>
      <x:c r="O2063" s="15" t="n">
        <x:f>IF(E2063=0,"해당 없음",G2063/E2063)</x:f>
        <x:v>0.17647058823529413</x:v>
      </x:c>
      <x:c r="P2063" s="15" t="n">
        <x:f>IF(E2063=0,"해당 없음",H2063/E2063)</x:f>
        <x:v>0.0392156862745098</x:v>
      </x:c>
      <x:c r="Q2063" s="15" t="n">
        <x:f>IF(E2063=0,"해당 없음",I2063/E2063)</x:f>
        <x:v>0.0196078431372549</x:v>
      </x:c>
      <x:c r="R2063" s="15" t="n">
        <x:f>IF(E2063=0,"해당 없음",J2063/E2063)</x:f>
        <x:v>0.0392156862745098</x:v>
      </x:c>
      <x:c r="S2063" s="15" t="n">
        <x:f>IF(E2063=0,"해당 없음",K2063/E2063)</x:f>
        <x:v>0.06862745098039216</x:v>
      </x:c>
      <x:c r="T2063" s="15" t="n">
        <x:f>IF(E2063=0,"해당 없음",L2063/E2063)</x:f>
        <x:v>0.28431372549019607</x:v>
      </x:c>
      <x:c r="U2063" s="15" t="n">
        <x:f>IF(E2063=0,"해당 없음",M2063/E2063)</x:f>
        <x:v>0.3235294117647059</x:v>
      </x:c>
      <x:c r="V2063" s="16" t="n">
        <x:f>E2063/5</x:f>
        <x:v>20.4</x:v>
      </x:c>
    </x:row>
    <x:row r="2064" ht="22" customHeight="1">
      <x:c r="A2064" s="2" t="n">
        <x:v>1030</x:v>
      </x:c>
      <x:c r="B2064" s="2" t="str">
        <x:v>RED</x:v>
      </x:c>
      <x:c r="C2064" s="2" t="str">
        <x:v>200만</x:v>
      </x:c>
      <x:c r="D2064" s="2" t="str">
        <x:v>160만</x:v>
      </x:c>
      <x:c r="E2064" s="14" t="n">
        <x:f>SUM(F2064:M2064)</x:f>
        <x:v>103</x:v>
      </x:c>
      <x:c r="F2064" s="14" t="n">
        <x:v>4</x:v>
      </x:c>
      <x:c r="G2064" s="14" t="n">
        <x:v>20</x:v>
      </x:c>
      <x:c r="H2064" s="14" t="n">
        <x:v>3</x:v>
      </x:c>
      <x:c r="I2064" s="14" t="n">
        <x:v>6</x:v>
      </x:c>
      <x:c r="J2064" s="14" t="n">
        <x:v>1</x:v>
      </x:c>
      <x:c r="K2064" s="14" t="n">
        <x:v>12</x:v>
      </x:c>
      <x:c r="L2064" s="14" t="n">
        <x:v>34</x:v>
      </x:c>
      <x:c r="M2064" s="14" t="n">
        <x:v>23</x:v>
      </x:c>
      <x:c r="N2064" s="15" t="n">
        <x:f>IF(E2064=0,"해당 없음",F2064/E2064)</x:f>
        <x:v>0.038834951456310676</x:v>
      </x:c>
      <x:c r="O2064" s="15" t="n">
        <x:f>IF(E2064=0,"해당 없음",G2064/E2064)</x:f>
        <x:v>0.1941747572815534</x:v>
      </x:c>
      <x:c r="P2064" s="15" t="n">
        <x:f>IF(E2064=0,"해당 없음",H2064/E2064)</x:f>
        <x:v>0.02912621359223301</x:v>
      </x:c>
      <x:c r="Q2064" s="15" t="n">
        <x:f>IF(E2064=0,"해당 없음",I2064/E2064)</x:f>
        <x:v>0.05825242718446602</x:v>
      </x:c>
      <x:c r="R2064" s="15" t="n">
        <x:f>IF(E2064=0,"해당 없음",J2064/E2064)</x:f>
        <x:v>0.009708737864077669</x:v>
      </x:c>
      <x:c r="S2064" s="15" t="n">
        <x:f>IF(E2064=0,"해당 없음",K2064/E2064)</x:f>
        <x:v>0.11650485436893204</x:v>
      </x:c>
      <x:c r="T2064" s="15" t="n">
        <x:f>IF(E2064=0,"해당 없음",L2064/E2064)</x:f>
        <x:v>0.3300970873786408</x:v>
      </x:c>
      <x:c r="U2064" s="15" t="n">
        <x:f>IF(E2064=0,"해당 없음",M2064/E2064)</x:f>
        <x:v>0.22330097087378642</x:v>
      </x:c>
      <x:c r="V2064" s="16" t="n">
        <x:f>E2064/5</x:f>
        <x:v>20.6</x:v>
      </x:c>
    </x:row>
    <x:row r="2065" ht="22" customHeight="1">
      <x:c r="A2065" s="2" t="n">
        <x:v>1030</x:v>
      </x:c>
      <x:c r="B2065" s="2" t="str">
        <x:v>NAVY</x:v>
      </x:c>
      <x:c r="C2065" s="2" t="str">
        <x:v>160만</x:v>
      </x:c>
      <x:c r="D2065" s="2" t="str">
        <x:v>200만</x:v>
      </x:c>
      <x:c r="E2065" s="14" t="n">
        <x:f>SUM(F2065:M2065)</x:f>
        <x:v>104</x:v>
      </x:c>
      <x:c r="F2065" s="14" t="n">
        <x:v>3</x:v>
      </x:c>
      <x:c r="G2065" s="14" t="n">
        <x:v>14</x:v>
      </x:c>
      <x:c r="H2065" s="14" t="n">
        <x:v>3</x:v>
      </x:c>
      <x:c r="I2065" s="14" t="n">
        <x:v>1</x:v>
      </x:c>
      <x:c r="J2065" s="14" t="n">
        <x:v>4</x:v>
      </x:c>
      <x:c r="K2065" s="14" t="n">
        <x:v>12</x:v>
      </x:c>
      <x:c r="L2065" s="14" t="n">
        <x:v>29</x:v>
      </x:c>
      <x:c r="M2065" s="14" t="n">
        <x:v>38</x:v>
      </x:c>
      <x:c r="N2065" s="15" t="n">
        <x:f>IF(E2065=0,"해당 없음",F2065/E2065)</x:f>
        <x:v>0.028846153846153848</x:v>
      </x:c>
      <x:c r="O2065" s="15" t="n">
        <x:f>IF(E2065=0,"해당 없음",G2065/E2065)</x:f>
        <x:v>0.1346153846153846</x:v>
      </x:c>
      <x:c r="P2065" s="15" t="n">
        <x:f>IF(E2065=0,"해당 없음",H2065/E2065)</x:f>
        <x:v>0.028846153846153848</x:v>
      </x:c>
      <x:c r="Q2065" s="15" t="n">
        <x:f>IF(E2065=0,"해당 없음",I2065/E2065)</x:f>
        <x:v>0.009615384615384616</x:v>
      </x:c>
      <x:c r="R2065" s="15" t="n">
        <x:f>IF(E2065=0,"해당 없음",J2065/E2065)</x:f>
        <x:v>0.038461538461538464</x:v>
      </x:c>
      <x:c r="S2065" s="15" t="n">
        <x:f>IF(E2065=0,"해당 없음",K2065/E2065)</x:f>
        <x:v>0.11538461538461539</x:v>
      </x:c>
      <x:c r="T2065" s="15" t="n">
        <x:f>IF(E2065=0,"해당 없음",L2065/E2065)</x:f>
        <x:v>0.27884615384615385</x:v>
      </x:c>
      <x:c r="U2065" s="15" t="n">
        <x:f>IF(E2065=0,"해당 없음",M2065/E2065)</x:f>
        <x:v>0.36538461538461536</x:v>
      </x:c>
      <x:c r="V2065" s="16" t="n">
        <x:f>E2065/5</x:f>
        <x:v>20.8</x:v>
      </x:c>
    </x:row>
    <x:row r="2066" ht="22" customHeight="1">
      <x:c r="A2066" s="2" t="n">
        <x:v>1031</x:v>
      </x:c>
      <x:c r="B2066" s="2" t="str">
        <x:v>RED</x:v>
      </x:c>
      <x:c r="C2066" s="2" t="str">
        <x:v>160만</x:v>
      </x:c>
      <x:c r="D2066" s="2" t="str">
        <x:v>200만</x:v>
      </x:c>
      <x:c r="E2066" s="14" t="n">
        <x:f>SUM(F2066:M2066)</x:f>
        <x:v>101</x:v>
      </x:c>
      <x:c r="F2066" s="14" t="n">
        <x:v>3</x:v>
      </x:c>
      <x:c r="G2066" s="14" t="n">
        <x:v>15</x:v>
      </x:c>
      <x:c r="H2066" s="14" t="n">
        <x:v>6</x:v>
      </x:c>
      <x:c r="I2066" s="14" t="n">
        <x:v>4</x:v>
      </x:c>
      <x:c r="J2066" s="14" t="n">
        <x:v>3</x:v>
      </x:c>
      <x:c r="K2066" s="14" t="n">
        <x:v>7</x:v>
      </x:c>
      <x:c r="L2066" s="14" t="n">
        <x:v>36</x:v>
      </x:c>
      <x:c r="M2066" s="14" t="n">
        <x:v>27</x:v>
      </x:c>
      <x:c r="N2066" s="15" t="n">
        <x:f>IF(E2066=0,"해당 없음",F2066/E2066)</x:f>
        <x:v>0.0297029702970297</x:v>
      </x:c>
      <x:c r="O2066" s="15" t="n">
        <x:f>IF(E2066=0,"해당 없음",G2066/E2066)</x:f>
        <x:v>0.1485148514851485</x:v>
      </x:c>
      <x:c r="P2066" s="15" t="n">
        <x:f>IF(E2066=0,"해당 없음",H2066/E2066)</x:f>
        <x:v>0.0594059405940594</x:v>
      </x:c>
      <x:c r="Q2066" s="15" t="n">
        <x:f>IF(E2066=0,"해당 없음",I2066/E2066)</x:f>
        <x:v>0.039603960396039604</x:v>
      </x:c>
      <x:c r="R2066" s="15" t="n">
        <x:f>IF(E2066=0,"해당 없음",J2066/E2066)</x:f>
        <x:v>0.0297029702970297</x:v>
      </x:c>
      <x:c r="S2066" s="15" t="n">
        <x:f>IF(E2066=0,"해당 없음",K2066/E2066)</x:f>
        <x:v>0.06930693069306931</x:v>
      </x:c>
      <x:c r="T2066" s="15" t="n">
        <x:f>IF(E2066=0,"해당 없음",L2066/E2066)</x:f>
        <x:v>0.3564356435643564</x:v>
      </x:c>
      <x:c r="U2066" s="15" t="n">
        <x:f>IF(E2066=0,"해당 없음",M2066/E2066)</x:f>
        <x:v>0.26732673267326734</x:v>
      </x:c>
      <x:c r="V2066" s="16" t="n">
        <x:f>E2066/5</x:f>
        <x:v>20.2</x:v>
      </x:c>
    </x:row>
    <x:row r="2067" ht="22" customHeight="1">
      <x:c r="A2067" s="2" t="n">
        <x:v>1031</x:v>
      </x:c>
      <x:c r="B2067" s="2" t="str">
        <x:v>NAVY</x:v>
      </x:c>
      <x:c r="C2067" s="2" t="str">
        <x:v>200만</x:v>
      </x:c>
      <x:c r="D2067" s="2" t="str">
        <x:v>160만</x:v>
      </x:c>
      <x:c r="E2067" s="14" t="n">
        <x:f>SUM(F2067:M2067)</x:f>
        <x:v>101</x:v>
      </x:c>
      <x:c r="F2067" s="14" t="n">
        <x:v>3</x:v>
      </x:c>
      <x:c r="G2067" s="14" t="n">
        <x:v>16</x:v>
      </x:c>
      <x:c r="H2067" s="14" t="n">
        <x:v>4</x:v>
      </x:c>
      <x:c r="I2067" s="14" t="n">
        <x:v>4</x:v>
      </x:c>
      <x:c r="J2067" s="14" t="n">
        <x:v>2</x:v>
      </x:c>
      <x:c r="K2067" s="14" t="n">
        <x:v>9</x:v>
      </x:c>
      <x:c r="L2067" s="14" t="n">
        <x:v>33</x:v>
      </x:c>
      <x:c r="M2067" s="14" t="n">
        <x:v>30</x:v>
      </x:c>
      <x:c r="N2067" s="15" t="n">
        <x:f>IF(E2067=0,"해당 없음",F2067/E2067)</x:f>
        <x:v>0.0297029702970297</x:v>
      </x:c>
      <x:c r="O2067" s="15" t="n">
        <x:f>IF(E2067=0,"해당 없음",G2067/E2067)</x:f>
        <x:v>0.15841584158415842</x:v>
      </x:c>
      <x:c r="P2067" s="15" t="n">
        <x:f>IF(E2067=0,"해당 없음",H2067/E2067)</x:f>
        <x:v>0.039603960396039604</x:v>
      </x:c>
      <x:c r="Q2067" s="15" t="n">
        <x:f>IF(E2067=0,"해당 없음",I2067/E2067)</x:f>
        <x:v>0.039603960396039604</x:v>
      </x:c>
      <x:c r="R2067" s="15" t="n">
        <x:f>IF(E2067=0,"해당 없음",J2067/E2067)</x:f>
        <x:v>0.019801980198019802</x:v>
      </x:c>
      <x:c r="S2067" s="15" t="n">
        <x:f>IF(E2067=0,"해당 없음",K2067/E2067)</x:f>
        <x:v>0.0891089108910891</x:v>
      </x:c>
      <x:c r="T2067" s="15" t="n">
        <x:f>IF(E2067=0,"해당 없음",L2067/E2067)</x:f>
        <x:v>0.32673267326732675</x:v>
      </x:c>
      <x:c r="U2067" s="15" t="n">
        <x:f>IF(E2067=0,"해당 없음",M2067/E2067)</x:f>
        <x:v>0.297029702970297</x:v>
      </x:c>
      <x:c r="V2067" s="16" t="n">
        <x:f>E2067/5</x:f>
        <x:v>20.2</x:v>
      </x:c>
    </x:row>
    <x:row r="2068" ht="22" customHeight="1">
      <x:c r="A2068" s="2" t="n">
        <x:v>1032</x:v>
      </x:c>
      <x:c r="B2068" s="2" t="str">
        <x:v>RED</x:v>
      </x:c>
      <x:c r="C2068" s="2" t="str">
        <x:v>200만</x:v>
      </x:c>
      <x:c r="D2068" s="2" t="str">
        <x:v>160만</x:v>
      </x:c>
      <x:c r="E2068" s="14" t="n">
        <x:f>SUM(F2068:M2068)</x:f>
        <x:v>102</x:v>
      </x:c>
      <x:c r="F2068" s="14" t="n">
        <x:v>3</x:v>
      </x:c>
      <x:c r="G2068" s="14" t="n">
        <x:v>18</x:v>
      </x:c>
      <x:c r="H2068" s="14" t="n">
        <x:v>1</x:v>
      </x:c>
      <x:c r="I2068" s="14" t="n">
        <x:v>4</x:v>
      </x:c>
      <x:c r="J2068" s="14" t="n">
        <x:v>2</x:v>
      </x:c>
      <x:c r="K2068" s="14" t="n">
        <x:v>19</x:v>
      </x:c>
      <x:c r="L2068" s="14" t="n">
        <x:v>32</x:v>
      </x:c>
      <x:c r="M2068" s="14" t="n">
        <x:v>23</x:v>
      </x:c>
      <x:c r="N2068" s="15" t="n">
        <x:f>IF(E2068=0,"해당 없음",F2068/E2068)</x:f>
        <x:v>0.029411764705882353</x:v>
      </x:c>
      <x:c r="O2068" s="15" t="n">
        <x:f>IF(E2068=0,"해당 없음",G2068/E2068)</x:f>
        <x:v>0.17647058823529413</x:v>
      </x:c>
      <x:c r="P2068" s="15" t="n">
        <x:f>IF(E2068=0,"해당 없음",H2068/E2068)</x:f>
        <x:v>0.00980392156862745</x:v>
      </x:c>
      <x:c r="Q2068" s="15" t="n">
        <x:f>IF(E2068=0,"해당 없음",I2068/E2068)</x:f>
        <x:v>0.0392156862745098</x:v>
      </x:c>
      <x:c r="R2068" s="15" t="n">
        <x:f>IF(E2068=0,"해당 없음",J2068/E2068)</x:f>
        <x:v>0.0196078431372549</x:v>
      </x:c>
      <x:c r="S2068" s="15" t="n">
        <x:f>IF(E2068=0,"해당 없음",K2068/E2068)</x:f>
        <x:v>0.18627450980392157</x:v>
      </x:c>
      <x:c r="T2068" s="15" t="n">
        <x:f>IF(E2068=0,"해당 없음",L2068/E2068)</x:f>
        <x:v>0.3137254901960784</x:v>
      </x:c>
      <x:c r="U2068" s="15" t="n">
        <x:f>IF(E2068=0,"해당 없음",M2068/E2068)</x:f>
        <x:v>0.22549019607843138</x:v>
      </x:c>
      <x:c r="V2068" s="16" t="n">
        <x:f>E2068/5</x:f>
        <x:v>20.4</x:v>
      </x:c>
    </x:row>
    <x:row r="2069" ht="22" customHeight="1">
      <x:c r="A2069" s="2" t="n">
        <x:v>1032</x:v>
      </x:c>
      <x:c r="B2069" s="2" t="str">
        <x:v>NAVY</x:v>
      </x:c>
      <x:c r="C2069" s="2" t="str">
        <x:v>160만</x:v>
      </x:c>
      <x:c r="D2069" s="2" t="str">
        <x:v>200만</x:v>
      </x:c>
      <x:c r="E2069" s="14" t="n">
        <x:f>SUM(F2069:M2069)</x:f>
        <x:v>102</x:v>
      </x:c>
      <x:c r="F2069" s="14" t="n">
        <x:v>3</x:v>
      </x:c>
      <x:c r="G2069" s="14" t="n">
        <x:v>18</x:v>
      </x:c>
      <x:c r="H2069" s="14" t="n">
        <x:v>6</x:v>
      </x:c>
      <x:c r="I2069" s="14" t="n">
        <x:v>3</x:v>
      </x:c>
      <x:c r="J2069" s="14" t="n">
        <x:v>1</x:v>
      </x:c>
      <x:c r="K2069" s="14" t="n">
        <x:v>1</x:v>
      </x:c>
      <x:c r="L2069" s="14" t="n">
        <x:v>26</x:v>
      </x:c>
      <x:c r="M2069" s="14" t="n">
        <x:v>44</x:v>
      </x:c>
      <x:c r="N2069" s="15" t="n">
        <x:f>IF(E2069=0,"해당 없음",F2069/E2069)</x:f>
        <x:v>0.029411764705882353</x:v>
      </x:c>
      <x:c r="O2069" s="15" t="n">
        <x:f>IF(E2069=0,"해당 없음",G2069/E2069)</x:f>
        <x:v>0.17647058823529413</x:v>
      </x:c>
      <x:c r="P2069" s="15" t="n">
        <x:f>IF(E2069=0,"해당 없음",H2069/E2069)</x:f>
        <x:v>0.058823529411764705</x:v>
      </x:c>
      <x:c r="Q2069" s="15" t="n">
        <x:f>IF(E2069=0,"해당 없음",I2069/E2069)</x:f>
        <x:v>0.029411764705882353</x:v>
      </x:c>
      <x:c r="R2069" s="15" t="n">
        <x:f>IF(E2069=0,"해당 없음",J2069/E2069)</x:f>
        <x:v>0.00980392156862745</x:v>
      </x:c>
      <x:c r="S2069" s="15" t="n">
        <x:f>IF(E2069=0,"해당 없음",K2069/E2069)</x:f>
        <x:v>0.00980392156862745</x:v>
      </x:c>
      <x:c r="T2069" s="15" t="n">
        <x:f>IF(E2069=0,"해당 없음",L2069/E2069)</x:f>
        <x:v>0.2549019607843137</x:v>
      </x:c>
      <x:c r="U2069" s="15" t="n">
        <x:f>IF(E2069=0,"해당 없음",M2069/E2069)</x:f>
        <x:v>0.43137254901960786</x:v>
      </x:c>
      <x:c r="V2069" s="16" t="n">
        <x:f>E2069/5</x:f>
        <x:v>20.4</x:v>
      </x:c>
    </x:row>
    <x:row r="2070" ht="22" customHeight="1">
      <x:c r="A2070" s="2" t="n">
        <x:v>1033</x:v>
      </x:c>
      <x:c r="B2070" s="2" t="str">
        <x:v>RED</x:v>
      </x:c>
      <x:c r="C2070" s="2" t="str">
        <x:v>160만</x:v>
      </x:c>
      <x:c r="D2070" s="2" t="str">
        <x:v>200만</x:v>
      </x:c>
      <x:c r="E2070" s="14" t="n">
        <x:f>SUM(F2070:M2070)</x:f>
        <x:v>102</x:v>
      </x:c>
      <x:c r="F2070" s="14" t="n">
        <x:v>4</x:v>
      </x:c>
      <x:c r="G2070" s="14" t="n">
        <x:v>12</x:v>
      </x:c>
      <x:c r="H2070" s="14" t="n">
        <x:v>8</x:v>
      </x:c>
      <x:c r="I2070" s="14" t="n">
        <x:v>9</x:v>
      </x:c>
      <x:c r="J2070" s="14" t="n">
        <x:v>4</x:v>
      </x:c>
      <x:c r="K2070" s="14" t="n">
        <x:v>3</x:v>
      </x:c>
      <x:c r="L2070" s="14" t="n">
        <x:v>33</x:v>
      </x:c>
      <x:c r="M2070" s="14" t="n">
        <x:v>29</x:v>
      </x:c>
      <x:c r="N2070" s="15" t="n">
        <x:f>IF(E2070=0,"해당 없음",F2070/E2070)</x:f>
        <x:v>0.0392156862745098</x:v>
      </x:c>
      <x:c r="O2070" s="15" t="n">
        <x:f>IF(E2070=0,"해당 없음",G2070/E2070)</x:f>
        <x:v>0.11764705882352941</x:v>
      </x:c>
      <x:c r="P2070" s="15" t="n">
        <x:f>IF(E2070=0,"해당 없음",H2070/E2070)</x:f>
        <x:v>0.0784313725490196</x:v>
      </x:c>
      <x:c r="Q2070" s="15" t="n">
        <x:f>IF(E2070=0,"해당 없음",I2070/E2070)</x:f>
        <x:v>0.08823529411764706</x:v>
      </x:c>
      <x:c r="R2070" s="15" t="n">
        <x:f>IF(E2070=0,"해당 없음",J2070/E2070)</x:f>
        <x:v>0.0392156862745098</x:v>
      </x:c>
      <x:c r="S2070" s="15" t="n">
        <x:f>IF(E2070=0,"해당 없음",K2070/E2070)</x:f>
        <x:v>0.029411764705882353</x:v>
      </x:c>
      <x:c r="T2070" s="15" t="n">
        <x:f>IF(E2070=0,"해당 없음",L2070/E2070)</x:f>
        <x:v>0.3235294117647059</x:v>
      </x:c>
      <x:c r="U2070" s="15" t="n">
        <x:f>IF(E2070=0,"해당 없음",M2070/E2070)</x:f>
        <x:v>0.28431372549019607</x:v>
      </x:c>
      <x:c r="V2070" s="16" t="n">
        <x:f>E2070/5</x:f>
        <x:v>20.4</x:v>
      </x:c>
    </x:row>
    <x:row r="2071" ht="22" customHeight="1">
      <x:c r="A2071" s="2" t="n">
        <x:v>1033</x:v>
      </x:c>
      <x:c r="B2071" s="2" t="str">
        <x:v>NAVY</x:v>
      </x:c>
      <x:c r="C2071" s="2" t="str">
        <x:v>200만</x:v>
      </x:c>
      <x:c r="D2071" s="2" t="str">
        <x:v>160만</x:v>
      </x:c>
      <x:c r="E2071" s="14" t="n">
        <x:f>SUM(F2071:M2071)</x:f>
        <x:v>102</x:v>
      </x:c>
      <x:c r="F2071" s="14" t="n">
        <x:v>3</x:v>
      </x:c>
      <x:c r="G2071" s="14" t="n">
        <x:v>9</x:v>
      </x:c>
      <x:c r="H2071" s="14" t="n">
        <x:v>3</x:v>
      </x:c>
      <x:c r="I2071" s="14" t="n">
        <x:v>3</x:v>
      </x:c>
      <x:c r="J2071" s="14" t="n">
        <x:v>2</x:v>
      </x:c>
      <x:c r="K2071" s="14" t="n">
        <x:v>8</x:v>
      </x:c>
      <x:c r="L2071" s="14" t="n">
        <x:v>37</x:v>
      </x:c>
      <x:c r="M2071" s="14" t="n">
        <x:v>37</x:v>
      </x:c>
      <x:c r="N2071" s="15" t="n">
        <x:f>IF(E2071=0,"해당 없음",F2071/E2071)</x:f>
        <x:v>0.029411764705882353</x:v>
      </x:c>
      <x:c r="O2071" s="15" t="n">
        <x:f>IF(E2071=0,"해당 없음",G2071/E2071)</x:f>
        <x:v>0.08823529411764706</x:v>
      </x:c>
      <x:c r="P2071" s="15" t="n">
        <x:f>IF(E2071=0,"해당 없음",H2071/E2071)</x:f>
        <x:v>0.029411764705882353</x:v>
      </x:c>
      <x:c r="Q2071" s="15" t="n">
        <x:f>IF(E2071=0,"해당 없음",I2071/E2071)</x:f>
        <x:v>0.029411764705882353</x:v>
      </x:c>
      <x:c r="R2071" s="15" t="n">
        <x:f>IF(E2071=0,"해당 없음",J2071/E2071)</x:f>
        <x:v>0.0196078431372549</x:v>
      </x:c>
      <x:c r="S2071" s="15" t="n">
        <x:f>IF(E2071=0,"해당 없음",K2071/E2071)</x:f>
        <x:v>0.0784313725490196</x:v>
      </x:c>
      <x:c r="T2071" s="15" t="n">
        <x:f>IF(E2071=0,"해당 없음",L2071/E2071)</x:f>
        <x:v>0.3627450980392157</x:v>
      </x:c>
      <x:c r="U2071" s="15" t="n">
        <x:f>IF(E2071=0,"해당 없음",M2071/E2071)</x:f>
        <x:v>0.3627450980392157</x:v>
      </x:c>
      <x:c r="V2071" s="16" t="n">
        <x:f>E2071/5</x:f>
        <x:v>20.4</x:v>
      </x:c>
    </x:row>
    <x:row r="2072" ht="22" customHeight="1">
      <x:c r="A2072" s="2" t="n">
        <x:v>1034</x:v>
      </x:c>
      <x:c r="B2072" s="2" t="str">
        <x:v>RED</x:v>
      </x:c>
      <x:c r="C2072" s="2" t="str">
        <x:v>200만</x:v>
      </x:c>
      <x:c r="D2072" s="2" t="str">
        <x:v>160만</x:v>
      </x:c>
      <x:c r="E2072" s="14" t="n">
        <x:f>SUM(F2072:M2072)</x:f>
        <x:v>104</x:v>
      </x:c>
      <x:c r="F2072" s="14" t="n">
        <x:v>4</x:v>
      </x:c>
      <x:c r="G2072" s="14" t="n">
        <x:v>12</x:v>
      </x:c>
      <x:c r="H2072" s="14" t="n">
        <x:v>7</x:v>
      </x:c>
      <x:c r="I2072" s="14" t="n">
        <x:v>4</x:v>
      </x:c>
      <x:c r="J2072" s="14" t="n">
        <x:v>3</x:v>
      </x:c>
      <x:c r="K2072" s="14" t="n">
        <x:v>3</x:v>
      </x:c>
      <x:c r="L2072" s="14" t="n">
        <x:v>34</x:v>
      </x:c>
      <x:c r="M2072" s="14" t="n">
        <x:v>37</x:v>
      </x:c>
      <x:c r="N2072" s="15" t="n">
        <x:f>IF(E2072=0,"해당 없음",F2072/E2072)</x:f>
        <x:v>0.038461538461538464</x:v>
      </x:c>
      <x:c r="O2072" s="15" t="n">
        <x:f>IF(E2072=0,"해당 없음",G2072/E2072)</x:f>
        <x:v>0.11538461538461539</x:v>
      </x:c>
      <x:c r="P2072" s="15" t="n">
        <x:f>IF(E2072=0,"해당 없음",H2072/E2072)</x:f>
        <x:v>0.0673076923076923</x:v>
      </x:c>
      <x:c r="Q2072" s="15" t="n">
        <x:f>IF(E2072=0,"해당 없음",I2072/E2072)</x:f>
        <x:v>0.038461538461538464</x:v>
      </x:c>
      <x:c r="R2072" s="15" t="n">
        <x:f>IF(E2072=0,"해당 없음",J2072/E2072)</x:f>
        <x:v>0.028846153846153848</x:v>
      </x:c>
      <x:c r="S2072" s="15" t="n">
        <x:f>IF(E2072=0,"해당 없음",K2072/E2072)</x:f>
        <x:v>0.028846153846153848</x:v>
      </x:c>
      <x:c r="T2072" s="15" t="n">
        <x:f>IF(E2072=0,"해당 없음",L2072/E2072)</x:f>
        <x:v>0.3269230769230769</x:v>
      </x:c>
      <x:c r="U2072" s="15" t="n">
        <x:f>IF(E2072=0,"해당 없음",M2072/E2072)</x:f>
        <x:v>0.3557692307692308</x:v>
      </x:c>
      <x:c r="V2072" s="16" t="n">
        <x:f>E2072/5</x:f>
        <x:v>20.8</x:v>
      </x:c>
    </x:row>
    <x:row r="2073" ht="22" customHeight="1">
      <x:c r="A2073" s="2" t="n">
        <x:v>1034</x:v>
      </x:c>
      <x:c r="B2073" s="2" t="str">
        <x:v>NAVY</x:v>
      </x:c>
      <x:c r="C2073" s="2" t="str">
        <x:v>160만</x:v>
      </x:c>
      <x:c r="D2073" s="2" t="str">
        <x:v>200만</x:v>
      </x:c>
      <x:c r="E2073" s="14" t="n">
        <x:f>SUM(F2073:M2073)</x:f>
        <x:v>103</x:v>
      </x:c>
      <x:c r="F2073" s="14" t="n">
        <x:v>4</x:v>
      </x:c>
      <x:c r="G2073" s="14" t="n">
        <x:v>17</x:v>
      </x:c>
      <x:c r="H2073" s="14" t="n">
        <x:v>4</x:v>
      </x:c>
      <x:c r="I2073" s="14" t="n">
        <x:v>6</x:v>
      </x:c>
      <x:c r="J2073" s="14" t="n">
        <x:v>8</x:v>
      </x:c>
      <x:c r="K2073" s="14" t="n">
        <x:v>13</x:v>
      </x:c>
      <x:c r="L2073" s="14" t="n">
        <x:v>27</x:v>
      </x:c>
      <x:c r="M2073" s="14" t="n">
        <x:v>24</x:v>
      </x:c>
      <x:c r="N2073" s="15" t="n">
        <x:f>IF(E2073=0,"해당 없음",F2073/E2073)</x:f>
        <x:v>0.038834951456310676</x:v>
      </x:c>
      <x:c r="O2073" s="15" t="n">
        <x:f>IF(E2073=0,"해당 없음",G2073/E2073)</x:f>
        <x:v>0.1650485436893204</x:v>
      </x:c>
      <x:c r="P2073" s="15" t="n">
        <x:f>IF(E2073=0,"해당 없음",H2073/E2073)</x:f>
        <x:v>0.038834951456310676</x:v>
      </x:c>
      <x:c r="Q2073" s="15" t="n">
        <x:f>IF(E2073=0,"해당 없음",I2073/E2073)</x:f>
        <x:v>0.05825242718446602</x:v>
      </x:c>
      <x:c r="R2073" s="15" t="n">
        <x:f>IF(E2073=0,"해당 없음",J2073/E2073)</x:f>
        <x:v>0.07766990291262135</x:v>
      </x:c>
      <x:c r="S2073" s="15" t="n">
        <x:f>IF(E2073=0,"해당 없음",K2073/E2073)</x:f>
        <x:v>0.1262135922330097</x:v>
      </x:c>
      <x:c r="T2073" s="15" t="n">
        <x:f>IF(E2073=0,"해당 없음",L2073/E2073)</x:f>
        <x:v>0.2621359223300971</x:v>
      </x:c>
      <x:c r="U2073" s="15" t="n">
        <x:f>IF(E2073=0,"해당 없음",M2073/E2073)</x:f>
        <x:v>0.23300970873786409</x:v>
      </x:c>
      <x:c r="V2073" s="16" t="n">
        <x:f>E2073/5</x:f>
        <x:v>20.6</x:v>
      </x:c>
    </x:row>
    <x:row r="2074" ht="22" customHeight="1">
      <x:c r="A2074" s="2" t="n">
        <x:v>1035</x:v>
      </x:c>
      <x:c r="B2074" s="2" t="str">
        <x:v>RED</x:v>
      </x:c>
      <x:c r="C2074" s="2" t="str">
        <x:v>160만</x:v>
      </x:c>
      <x:c r="D2074" s="2" t="str">
        <x:v>200만</x:v>
      </x:c>
      <x:c r="E2074" s="14" t="n">
        <x:f>SUM(F2074:M2074)</x:f>
        <x:v>104</x:v>
      </x:c>
      <x:c r="F2074" s="14" t="n">
        <x:v>5</x:v>
      </x:c>
      <x:c r="G2074" s="14" t="n">
        <x:v>15</x:v>
      </x:c>
      <x:c r="H2074" s="14" t="n">
        <x:v>4</x:v>
      </x:c>
      <x:c r="I2074" s="14" t="n">
        <x:v>6</x:v>
      </x:c>
      <x:c r="J2074" s="14" t="n">
        <x:v>6</x:v>
      </x:c>
      <x:c r="K2074" s="14" t="n">
        <x:v>8</x:v>
      </x:c>
      <x:c r="L2074" s="14" t="n">
        <x:v>35</x:v>
      </x:c>
      <x:c r="M2074" s="14" t="n">
        <x:v>25</x:v>
      </x:c>
      <x:c r="N2074" s="15" t="n">
        <x:f>IF(E2074=0,"해당 없음",F2074/E2074)</x:f>
        <x:v>0.04807692307692308</x:v>
      </x:c>
      <x:c r="O2074" s="15" t="n">
        <x:f>IF(E2074=0,"해당 없음",G2074/E2074)</x:f>
        <x:v>0.14423076923076922</x:v>
      </x:c>
      <x:c r="P2074" s="15" t="n">
        <x:f>IF(E2074=0,"해당 없음",H2074/E2074)</x:f>
        <x:v>0.038461538461538464</x:v>
      </x:c>
      <x:c r="Q2074" s="15" t="n">
        <x:f>IF(E2074=0,"해당 없음",I2074/E2074)</x:f>
        <x:v>0.057692307692307696</x:v>
      </x:c>
      <x:c r="R2074" s="15" t="n">
        <x:f>IF(E2074=0,"해당 없음",J2074/E2074)</x:f>
        <x:v>0.057692307692307696</x:v>
      </x:c>
      <x:c r="S2074" s="15" t="n">
        <x:f>IF(E2074=0,"해당 없음",K2074/E2074)</x:f>
        <x:v>0.07692307692307693</x:v>
      </x:c>
      <x:c r="T2074" s="15" t="n">
        <x:f>IF(E2074=0,"해당 없음",L2074/E2074)</x:f>
        <x:v>0.33653846153846156</x:v>
      </x:c>
      <x:c r="U2074" s="15" t="n">
        <x:f>IF(E2074=0,"해당 없음",M2074/E2074)</x:f>
        <x:v>0.2403846153846154</x:v>
      </x:c>
      <x:c r="V2074" s="16" t="n">
        <x:f>E2074/5</x:f>
        <x:v>20.8</x:v>
      </x:c>
    </x:row>
    <x:row r="2075" ht="22" customHeight="1">
      <x:c r="A2075" s="2" t="n">
        <x:v>1035</x:v>
      </x:c>
      <x:c r="B2075" s="2" t="str">
        <x:v>NAVY</x:v>
      </x:c>
      <x:c r="C2075" s="2" t="str">
        <x:v>200만</x:v>
      </x:c>
      <x:c r="D2075" s="2" t="str">
        <x:v>160만</x:v>
      </x:c>
      <x:c r="E2075" s="14" t="n">
        <x:f>SUM(F2075:M2075)</x:f>
        <x:v>104</x:v>
      </x:c>
      <x:c r="F2075" s="14" t="n">
        <x:v>4</x:v>
      </x:c>
      <x:c r="G2075" s="14" t="n">
        <x:v>22</x:v>
      </x:c>
      <x:c r="H2075" s="14" t="n">
        <x:v>4</x:v>
      </x:c>
      <x:c r="I2075" s="14" t="n">
        <x:v>4</x:v>
      </x:c>
      <x:c r="J2075" s="14" t="n">
        <x:v>4</x:v>
      </x:c>
      <x:c r="K2075" s="14" t="n">
        <x:v>4</x:v>
      </x:c>
      <x:c r="L2075" s="14" t="n">
        <x:v>34</x:v>
      </x:c>
      <x:c r="M2075" s="14" t="n">
        <x:v>28</x:v>
      </x:c>
      <x:c r="N2075" s="15" t="n">
        <x:f>IF(E2075=0,"해당 없음",F2075/E2075)</x:f>
        <x:v>0.038461538461538464</x:v>
      </x:c>
      <x:c r="O2075" s="15" t="n">
        <x:f>IF(E2075=0,"해당 없음",G2075/E2075)</x:f>
        <x:v>0.21153846153846154</x:v>
      </x:c>
      <x:c r="P2075" s="15" t="n">
        <x:f>IF(E2075=0,"해당 없음",H2075/E2075)</x:f>
        <x:v>0.038461538461538464</x:v>
      </x:c>
      <x:c r="Q2075" s="15" t="n">
        <x:f>IF(E2075=0,"해당 없음",I2075/E2075)</x:f>
        <x:v>0.038461538461538464</x:v>
      </x:c>
      <x:c r="R2075" s="15" t="n">
        <x:f>IF(E2075=0,"해당 없음",J2075/E2075)</x:f>
        <x:v>0.038461538461538464</x:v>
      </x:c>
      <x:c r="S2075" s="15" t="n">
        <x:f>IF(E2075=0,"해당 없음",K2075/E2075)</x:f>
        <x:v>0.038461538461538464</x:v>
      </x:c>
      <x:c r="T2075" s="15" t="n">
        <x:f>IF(E2075=0,"해당 없음",L2075/E2075)</x:f>
        <x:v>0.3269230769230769</x:v>
      </x:c>
      <x:c r="U2075" s="15" t="n">
        <x:f>IF(E2075=0,"해당 없음",M2075/E2075)</x:f>
        <x:v>0.2692307692307692</x:v>
      </x:c>
      <x:c r="V2075" s="16" t="n">
        <x:f>E2075/5</x:f>
        <x:v>20.8</x:v>
      </x:c>
    </x:row>
    <x:row r="2076" ht="22" customHeight="1">
      <x:c r="A2076" s="2" t="n">
        <x:v>1036</x:v>
      </x:c>
      <x:c r="B2076" s="2" t="str">
        <x:v>RED</x:v>
      </x:c>
      <x:c r="C2076" s="2" t="str">
        <x:v>200만</x:v>
      </x:c>
      <x:c r="D2076" s="2" t="str">
        <x:v>160만</x:v>
      </x:c>
      <x:c r="E2076" s="14" t="n">
        <x:f>SUM(F2076:M2076)</x:f>
        <x:v>101</x:v>
      </x:c>
      <x:c r="F2076" s="14" t="n">
        <x:v>5</x:v>
      </x:c>
      <x:c r="G2076" s="14" t="n">
        <x:v>17</x:v>
      </x:c>
      <x:c r="H2076" s="14" t="n">
        <x:v>4</x:v>
      </x:c>
      <x:c r="I2076" s="14" t="n">
        <x:v>7</x:v>
      </x:c>
      <x:c r="J2076" s="14" t="n">
        <x:v>0</x:v>
      </x:c>
      <x:c r="K2076" s="14" t="n">
        <x:v>6</x:v>
      </x:c>
      <x:c r="L2076" s="14" t="n">
        <x:v>33</x:v>
      </x:c>
      <x:c r="M2076" s="14" t="n">
        <x:v>29</x:v>
      </x:c>
      <x:c r="N2076" s="15" t="n">
        <x:f>IF(E2076=0,"해당 없음",F2076/E2076)</x:f>
        <x:v>0.04950495049504951</x:v>
      </x:c>
      <x:c r="O2076" s="15" t="n">
        <x:f>IF(E2076=0,"해당 없음",G2076/E2076)</x:f>
        <x:v>0.16831683168316833</x:v>
      </x:c>
      <x:c r="P2076" s="15" t="n">
        <x:f>IF(E2076=0,"해당 없음",H2076/E2076)</x:f>
        <x:v>0.039603960396039604</x:v>
      </x:c>
      <x:c r="Q2076" s="15" t="n">
        <x:f>IF(E2076=0,"해당 없음",I2076/E2076)</x:f>
        <x:v>0.06930693069306931</x:v>
      </x:c>
      <x:c r="R2076" s="15" t="n">
        <x:f>IF(E2076=0,"해당 없음",J2076/E2076)</x:f>
        <x:v>0</x:v>
      </x:c>
      <x:c r="S2076" s="15" t="n">
        <x:f>IF(E2076=0,"해당 없음",K2076/E2076)</x:f>
        <x:v>0.0594059405940594</x:v>
      </x:c>
      <x:c r="T2076" s="15" t="n">
        <x:f>IF(E2076=0,"해당 없음",L2076/E2076)</x:f>
        <x:v>0.32673267326732675</x:v>
      </x:c>
      <x:c r="U2076" s="15" t="n">
        <x:f>IF(E2076=0,"해당 없음",M2076/E2076)</x:f>
        <x:v>0.2871287128712871</x:v>
      </x:c>
      <x:c r="V2076" s="16" t="n">
        <x:f>E2076/5</x:f>
        <x:v>20.2</x:v>
      </x:c>
    </x:row>
    <x:row r="2077" ht="22" customHeight="1">
      <x:c r="A2077" s="2" t="n">
        <x:v>1036</x:v>
      </x:c>
      <x:c r="B2077" s="2" t="str">
        <x:v>NAVY</x:v>
      </x:c>
      <x:c r="C2077" s="2" t="str">
        <x:v>160만</x:v>
      </x:c>
      <x:c r="D2077" s="2" t="str">
        <x:v>200만</x:v>
      </x:c>
      <x:c r="E2077" s="14" t="n">
        <x:f>SUM(F2077:M2077)</x:f>
        <x:v>102</x:v>
      </x:c>
      <x:c r="F2077" s="14" t="n">
        <x:v>1</x:v>
      </x:c>
      <x:c r="G2077" s="14" t="n">
        <x:v>20</x:v>
      </x:c>
      <x:c r="H2077" s="14" t="n">
        <x:v>4</x:v>
      </x:c>
      <x:c r="I2077" s="14" t="n">
        <x:v>7</x:v>
      </x:c>
      <x:c r="J2077" s="14" t="n">
        <x:v>5</x:v>
      </x:c>
      <x:c r="K2077" s="14" t="n">
        <x:v>10</x:v>
      </x:c>
      <x:c r="L2077" s="14" t="n">
        <x:v>34</x:v>
      </x:c>
      <x:c r="M2077" s="14" t="n">
        <x:v>21</x:v>
      </x:c>
      <x:c r="N2077" s="15" t="n">
        <x:f>IF(E2077=0,"해당 없음",F2077/E2077)</x:f>
        <x:v>0.00980392156862745</x:v>
      </x:c>
      <x:c r="O2077" s="15" t="n">
        <x:f>IF(E2077=0,"해당 없음",G2077/E2077)</x:f>
        <x:v>0.19607843137254902</x:v>
      </x:c>
      <x:c r="P2077" s="15" t="n">
        <x:f>IF(E2077=0,"해당 없음",H2077/E2077)</x:f>
        <x:v>0.0392156862745098</x:v>
      </x:c>
      <x:c r="Q2077" s="15" t="n">
        <x:f>IF(E2077=0,"해당 없음",I2077/E2077)</x:f>
        <x:v>0.06862745098039216</x:v>
      </x:c>
      <x:c r="R2077" s="15" t="n">
        <x:f>IF(E2077=0,"해당 없음",J2077/E2077)</x:f>
        <x:v>0.049019607843137254</x:v>
      </x:c>
      <x:c r="S2077" s="15" t="n">
        <x:f>IF(E2077=0,"해당 없음",K2077/E2077)</x:f>
        <x:v>0.09803921568627451</x:v>
      </x:c>
      <x:c r="T2077" s="15" t="n">
        <x:f>IF(E2077=0,"해당 없음",L2077/E2077)</x:f>
        <x:v>0.3333333333333333</x:v>
      </x:c>
      <x:c r="U2077" s="15" t="n">
        <x:f>IF(E2077=0,"해당 없음",M2077/E2077)</x:f>
        <x:v>0.20588235294117646</x:v>
      </x:c>
      <x:c r="V2077" s="16" t="n">
        <x:f>E2077/5</x:f>
        <x:v>20.4</x:v>
      </x:c>
    </x:row>
    <x:row r="2078" ht="22" customHeight="1">
      <x:c r="A2078" s="2" t="n">
        <x:v>1037</x:v>
      </x:c>
      <x:c r="B2078" s="2" t="str">
        <x:v>RED</x:v>
      </x:c>
      <x:c r="C2078" s="2" t="str">
        <x:v>160만</x:v>
      </x:c>
      <x:c r="D2078" s="2" t="str">
        <x:v>200만</x:v>
      </x:c>
      <x:c r="E2078" s="14" t="n">
        <x:f>SUM(F2078:M2078)</x:f>
        <x:v>101</x:v>
      </x:c>
      <x:c r="F2078" s="14" t="n">
        <x:v>7</x:v>
      </x:c>
      <x:c r="G2078" s="14" t="n">
        <x:v>13</x:v>
      </x:c>
      <x:c r="H2078" s="14" t="n">
        <x:v>4</x:v>
      </x:c>
      <x:c r="I2078" s="14" t="n">
        <x:v>4</x:v>
      </x:c>
      <x:c r="J2078" s="14" t="n">
        <x:v>2</x:v>
      </x:c>
      <x:c r="K2078" s="14" t="n">
        <x:v>6</x:v>
      </x:c>
      <x:c r="L2078" s="14" t="n">
        <x:v>36</x:v>
      </x:c>
      <x:c r="M2078" s="14" t="n">
        <x:v>29</x:v>
      </x:c>
      <x:c r="N2078" s="15" t="n">
        <x:f>IF(E2078=0,"해당 없음",F2078/E2078)</x:f>
        <x:v>0.06930693069306931</x:v>
      </x:c>
      <x:c r="O2078" s="15" t="n">
        <x:f>IF(E2078=0,"해당 없음",G2078/E2078)</x:f>
        <x:v>0.12871287128712872</x:v>
      </x:c>
      <x:c r="P2078" s="15" t="n">
        <x:f>IF(E2078=0,"해당 없음",H2078/E2078)</x:f>
        <x:v>0.039603960396039604</x:v>
      </x:c>
      <x:c r="Q2078" s="15" t="n">
        <x:f>IF(E2078=0,"해당 없음",I2078/E2078)</x:f>
        <x:v>0.039603960396039604</x:v>
      </x:c>
      <x:c r="R2078" s="15" t="n">
        <x:f>IF(E2078=0,"해당 없음",J2078/E2078)</x:f>
        <x:v>0.019801980198019802</x:v>
      </x:c>
      <x:c r="S2078" s="15" t="n">
        <x:f>IF(E2078=0,"해당 없음",K2078/E2078)</x:f>
        <x:v>0.0594059405940594</x:v>
      </x:c>
      <x:c r="T2078" s="15" t="n">
        <x:f>IF(E2078=0,"해당 없음",L2078/E2078)</x:f>
        <x:v>0.3564356435643564</x:v>
      </x:c>
      <x:c r="U2078" s="15" t="n">
        <x:f>IF(E2078=0,"해당 없음",M2078/E2078)</x:f>
        <x:v>0.2871287128712871</x:v>
      </x:c>
      <x:c r="V2078" s="16" t="n">
        <x:f>E2078/5</x:f>
        <x:v>20.2</x:v>
      </x:c>
    </x:row>
    <x:row r="2079" ht="22" customHeight="1">
      <x:c r="A2079" s="2" t="n">
        <x:v>1037</x:v>
      </x:c>
      <x:c r="B2079" s="2" t="str">
        <x:v>NAVY</x:v>
      </x:c>
      <x:c r="C2079" s="2" t="str">
        <x:v>200만</x:v>
      </x:c>
      <x:c r="D2079" s="2" t="str">
        <x:v>160만</x:v>
      </x:c>
      <x:c r="E2079" s="14" t="n">
        <x:f>SUM(F2079:M2079)</x:f>
        <x:v>102</x:v>
      </x:c>
      <x:c r="F2079" s="14" t="n">
        <x:v>10</x:v>
      </x:c>
      <x:c r="G2079" s="14" t="n">
        <x:v>23</x:v>
      </x:c>
      <x:c r="H2079" s="14" t="n">
        <x:v>3</x:v>
      </x:c>
      <x:c r="I2079" s="14" t="n">
        <x:v>2</x:v>
      </x:c>
      <x:c r="J2079" s="14" t="n">
        <x:v>3</x:v>
      </x:c>
      <x:c r="K2079" s="14" t="n">
        <x:v>8</x:v>
      </x:c>
      <x:c r="L2079" s="14" t="n">
        <x:v>31</x:v>
      </x:c>
      <x:c r="M2079" s="14" t="n">
        <x:v>22</x:v>
      </x:c>
      <x:c r="N2079" s="15" t="n">
        <x:f>IF(E2079=0,"해당 없음",F2079/E2079)</x:f>
        <x:v>0.09803921568627451</x:v>
      </x:c>
      <x:c r="O2079" s="15" t="n">
        <x:f>IF(E2079=0,"해당 없음",G2079/E2079)</x:f>
        <x:v>0.22549019607843138</x:v>
      </x:c>
      <x:c r="P2079" s="15" t="n">
        <x:f>IF(E2079=0,"해당 없음",H2079/E2079)</x:f>
        <x:v>0.029411764705882353</x:v>
      </x:c>
      <x:c r="Q2079" s="15" t="n">
        <x:f>IF(E2079=0,"해당 없음",I2079/E2079)</x:f>
        <x:v>0.0196078431372549</x:v>
      </x:c>
      <x:c r="R2079" s="15" t="n">
        <x:f>IF(E2079=0,"해당 없음",J2079/E2079)</x:f>
        <x:v>0.029411764705882353</x:v>
      </x:c>
      <x:c r="S2079" s="15" t="n">
        <x:f>IF(E2079=0,"해당 없음",K2079/E2079)</x:f>
        <x:v>0.0784313725490196</x:v>
      </x:c>
      <x:c r="T2079" s="15" t="n">
        <x:f>IF(E2079=0,"해당 없음",L2079/E2079)</x:f>
        <x:v>0.30392156862745096</x:v>
      </x:c>
      <x:c r="U2079" s="15" t="n">
        <x:f>IF(E2079=0,"해당 없음",M2079/E2079)</x:f>
        <x:v>0.21568627450980393</x:v>
      </x:c>
      <x:c r="V2079" s="16" t="n">
        <x:f>E2079/5</x:f>
        <x:v>20.4</x:v>
      </x:c>
    </x:row>
    <x:row r="2080" ht="22" customHeight="1">
      <x:c r="A2080" s="2" t="n">
        <x:v>1038</x:v>
      </x:c>
      <x:c r="B2080" s="2" t="str">
        <x:v>RED</x:v>
      </x:c>
      <x:c r="C2080" s="2" t="str">
        <x:v>200만</x:v>
      </x:c>
      <x:c r="D2080" s="2" t="str">
        <x:v>160만</x:v>
      </x:c>
      <x:c r="E2080" s="14" t="n">
        <x:f>SUM(F2080:M2080)</x:f>
        <x:v>104</x:v>
      </x:c>
      <x:c r="F2080" s="14" t="n">
        <x:v>3</x:v>
      </x:c>
      <x:c r="G2080" s="14" t="n">
        <x:v>16</x:v>
      </x:c>
      <x:c r="H2080" s="14" t="n">
        <x:v>6</x:v>
      </x:c>
      <x:c r="I2080" s="14" t="n">
        <x:v>2</x:v>
      </x:c>
      <x:c r="J2080" s="14" t="n">
        <x:v>7</x:v>
      </x:c>
      <x:c r="K2080" s="14" t="n">
        <x:v>11</x:v>
      </x:c>
      <x:c r="L2080" s="14" t="n">
        <x:v>41</x:v>
      </x:c>
      <x:c r="M2080" s="14" t="n">
        <x:v>18</x:v>
      </x:c>
      <x:c r="N2080" s="15" t="n">
        <x:f>IF(E2080=0,"해당 없음",F2080/E2080)</x:f>
        <x:v>0.028846153846153848</x:v>
      </x:c>
      <x:c r="O2080" s="15" t="n">
        <x:f>IF(E2080=0,"해당 없음",G2080/E2080)</x:f>
        <x:v>0.15384615384615385</x:v>
      </x:c>
      <x:c r="P2080" s="15" t="n">
        <x:f>IF(E2080=0,"해당 없음",H2080/E2080)</x:f>
        <x:v>0.057692307692307696</x:v>
      </x:c>
      <x:c r="Q2080" s="15" t="n">
        <x:f>IF(E2080=0,"해당 없음",I2080/E2080)</x:f>
        <x:v>0.019230769230769232</x:v>
      </x:c>
      <x:c r="R2080" s="15" t="n">
        <x:f>IF(E2080=0,"해당 없음",J2080/E2080)</x:f>
        <x:v>0.0673076923076923</x:v>
      </x:c>
      <x:c r="S2080" s="15" t="n">
        <x:f>IF(E2080=0,"해당 없음",K2080/E2080)</x:f>
        <x:v>0.10576923076923077</x:v>
      </x:c>
      <x:c r="T2080" s="15" t="n">
        <x:f>IF(E2080=0,"해당 없음",L2080/E2080)</x:f>
        <x:v>0.3942307692307692</x:v>
      </x:c>
      <x:c r="U2080" s="15" t="n">
        <x:f>IF(E2080=0,"해당 없음",M2080/E2080)</x:f>
        <x:v>0.17307692307692307</x:v>
      </x:c>
      <x:c r="V2080" s="16" t="n">
        <x:f>E2080/5</x:f>
        <x:v>20.8</x:v>
      </x:c>
    </x:row>
    <x:row r="2081" ht="22" customHeight="1">
      <x:c r="A2081" s="2" t="n">
        <x:v>1038</x:v>
      </x:c>
      <x:c r="B2081" s="2" t="str">
        <x:v>NAVY</x:v>
      </x:c>
      <x:c r="C2081" s="2" t="str">
        <x:v>160만</x:v>
      </x:c>
      <x:c r="D2081" s="2" t="str">
        <x:v>200만</x:v>
      </x:c>
      <x:c r="E2081" s="14" t="n">
        <x:f>SUM(F2081:M2081)</x:f>
        <x:v>104</x:v>
      </x:c>
      <x:c r="F2081" s="14" t="n">
        <x:v>5</x:v>
      </x:c>
      <x:c r="G2081" s="14" t="n">
        <x:v>21</x:v>
      </x:c>
      <x:c r="H2081" s="14" t="n">
        <x:v>6</x:v>
      </x:c>
      <x:c r="I2081" s="14" t="n">
        <x:v>5</x:v>
      </x:c>
      <x:c r="J2081" s="14" t="n">
        <x:v>4</x:v>
      </x:c>
      <x:c r="K2081" s="14" t="n">
        <x:v>3</x:v>
      </x:c>
      <x:c r="L2081" s="14" t="n">
        <x:v>34</x:v>
      </x:c>
      <x:c r="M2081" s="14" t="n">
        <x:v>26</x:v>
      </x:c>
      <x:c r="N2081" s="15" t="n">
        <x:f>IF(E2081=0,"해당 없음",F2081/E2081)</x:f>
        <x:v>0.04807692307692308</x:v>
      </x:c>
      <x:c r="O2081" s="15" t="n">
        <x:f>IF(E2081=0,"해당 없음",G2081/E2081)</x:f>
        <x:v>0.20192307692307693</x:v>
      </x:c>
      <x:c r="P2081" s="15" t="n">
        <x:f>IF(E2081=0,"해당 없음",H2081/E2081)</x:f>
        <x:v>0.057692307692307696</x:v>
      </x:c>
      <x:c r="Q2081" s="15" t="n">
        <x:f>IF(E2081=0,"해당 없음",I2081/E2081)</x:f>
        <x:v>0.04807692307692308</x:v>
      </x:c>
      <x:c r="R2081" s="15" t="n">
        <x:f>IF(E2081=0,"해당 없음",J2081/E2081)</x:f>
        <x:v>0.038461538461538464</x:v>
      </x:c>
      <x:c r="S2081" s="15" t="n">
        <x:f>IF(E2081=0,"해당 없음",K2081/E2081)</x:f>
        <x:v>0.028846153846153848</x:v>
      </x:c>
      <x:c r="T2081" s="15" t="n">
        <x:f>IF(E2081=0,"해당 없음",L2081/E2081)</x:f>
        <x:v>0.3269230769230769</x:v>
      </x:c>
      <x:c r="U2081" s="15" t="n">
        <x:f>IF(E2081=0,"해당 없음",M2081/E2081)</x:f>
        <x:v>0.25</x:v>
      </x:c>
      <x:c r="V2081" s="16" t="n">
        <x:f>E2081/5</x:f>
        <x:v>20.8</x:v>
      </x:c>
    </x:row>
    <x:row r="2082" ht="22" customHeight="1">
      <x:c r="A2082" s="2" t="n">
        <x:v>1039</x:v>
      </x:c>
      <x:c r="B2082" s="2" t="str">
        <x:v>RED</x:v>
      </x:c>
      <x:c r="C2082" s="2" t="str">
        <x:v>160만</x:v>
      </x:c>
      <x:c r="D2082" s="2" t="str">
        <x:v>200만</x:v>
      </x:c>
      <x:c r="E2082" s="14" t="n">
        <x:f>SUM(F2082:M2082)</x:f>
        <x:v>103</x:v>
      </x:c>
      <x:c r="F2082" s="14" t="n">
        <x:v>3</x:v>
      </x:c>
      <x:c r="G2082" s="14" t="n">
        <x:v>17</x:v>
      </x:c>
      <x:c r="H2082" s="14" t="n">
        <x:v>7</x:v>
      </x:c>
      <x:c r="I2082" s="14" t="n">
        <x:v>2</x:v>
      </x:c>
      <x:c r="J2082" s="14" t="n">
        <x:v>3</x:v>
      </x:c>
      <x:c r="K2082" s="14" t="n">
        <x:v>11</x:v>
      </x:c>
      <x:c r="L2082" s="14" t="n">
        <x:v>37</x:v>
      </x:c>
      <x:c r="M2082" s="14" t="n">
        <x:v>23</x:v>
      </x:c>
      <x:c r="N2082" s="15" t="n">
        <x:f>IF(E2082=0,"해당 없음",F2082/E2082)</x:f>
        <x:v>0.02912621359223301</x:v>
      </x:c>
      <x:c r="O2082" s="15" t="n">
        <x:f>IF(E2082=0,"해당 없음",G2082/E2082)</x:f>
        <x:v>0.1650485436893204</x:v>
      </x:c>
      <x:c r="P2082" s="15" t="n">
        <x:f>IF(E2082=0,"해당 없음",H2082/E2082)</x:f>
        <x:v>0.06796116504854369</x:v>
      </x:c>
      <x:c r="Q2082" s="15" t="n">
        <x:f>IF(E2082=0,"해당 없음",I2082/E2082)</x:f>
        <x:v>0.019417475728155338</x:v>
      </x:c>
      <x:c r="R2082" s="15" t="n">
        <x:f>IF(E2082=0,"해당 없음",J2082/E2082)</x:f>
        <x:v>0.02912621359223301</x:v>
      </x:c>
      <x:c r="S2082" s="15" t="n">
        <x:f>IF(E2082=0,"해당 없음",K2082/E2082)</x:f>
        <x:v>0.10679611650485436</x:v>
      </x:c>
      <x:c r="T2082" s="15" t="n">
        <x:f>IF(E2082=0,"해당 없음",L2082/E2082)</x:f>
        <x:v>0.3592233009708738</x:v>
      </x:c>
      <x:c r="U2082" s="15" t="n">
        <x:f>IF(E2082=0,"해당 없음",M2082/E2082)</x:f>
        <x:v>0.22330097087378642</x:v>
      </x:c>
      <x:c r="V2082" s="16" t="n">
        <x:f>E2082/5</x:f>
        <x:v>20.6</x:v>
      </x:c>
    </x:row>
    <x:row r="2083" ht="22" customHeight="1">
      <x:c r="A2083" s="2" t="n">
        <x:v>1039</x:v>
      </x:c>
      <x:c r="B2083" s="2" t="str">
        <x:v>NAVY</x:v>
      </x:c>
      <x:c r="C2083" s="2" t="str">
        <x:v>200만</x:v>
      </x:c>
      <x:c r="D2083" s="2" t="str">
        <x:v>160만</x:v>
      </x:c>
      <x:c r="E2083" s="14" t="n">
        <x:f>SUM(F2083:M2083)</x:f>
        <x:v>103</x:v>
      </x:c>
      <x:c r="F2083" s="14" t="n">
        <x:v>7</x:v>
      </x:c>
      <x:c r="G2083" s="14" t="n">
        <x:v>13</x:v>
      </x:c>
      <x:c r="H2083" s="14" t="n">
        <x:v>6</x:v>
      </x:c>
      <x:c r="I2083" s="14" t="n">
        <x:v>2</x:v>
      </x:c>
      <x:c r="J2083" s="14" t="n">
        <x:v>4</x:v>
      </x:c>
      <x:c r="K2083" s="14" t="n">
        <x:v>7</x:v>
      </x:c>
      <x:c r="L2083" s="14" t="n">
        <x:v>32</x:v>
      </x:c>
      <x:c r="M2083" s="14" t="n">
        <x:v>32</x:v>
      </x:c>
      <x:c r="N2083" s="15" t="n">
        <x:f>IF(E2083=0,"해당 없음",F2083/E2083)</x:f>
        <x:v>0.06796116504854369</x:v>
      </x:c>
      <x:c r="O2083" s="15" t="n">
        <x:f>IF(E2083=0,"해당 없음",G2083/E2083)</x:f>
        <x:v>0.1262135922330097</x:v>
      </x:c>
      <x:c r="P2083" s="15" t="n">
        <x:f>IF(E2083=0,"해당 없음",H2083/E2083)</x:f>
        <x:v>0.05825242718446602</x:v>
      </x:c>
      <x:c r="Q2083" s="15" t="n">
        <x:f>IF(E2083=0,"해당 없음",I2083/E2083)</x:f>
        <x:v>0.019417475728155338</x:v>
      </x:c>
      <x:c r="R2083" s="15" t="n">
        <x:f>IF(E2083=0,"해당 없음",J2083/E2083)</x:f>
        <x:v>0.038834951456310676</x:v>
      </x:c>
      <x:c r="S2083" s="15" t="n">
        <x:f>IF(E2083=0,"해당 없음",K2083/E2083)</x:f>
        <x:v>0.06796116504854369</x:v>
      </x:c>
      <x:c r="T2083" s="15" t="n">
        <x:f>IF(E2083=0,"해당 없음",L2083/E2083)</x:f>
        <x:v>0.3106796116504854</x:v>
      </x:c>
      <x:c r="U2083" s="15" t="n">
        <x:f>IF(E2083=0,"해당 없음",M2083/E2083)</x:f>
        <x:v>0.3106796116504854</x:v>
      </x:c>
      <x:c r="V2083" s="16" t="n">
        <x:f>E2083/5</x:f>
        <x:v>20.6</x:v>
      </x:c>
    </x:row>
    <x:row r="2084" ht="22" customHeight="1">
      <x:c r="A2084" s="2" t="n">
        <x:v>1040</x:v>
      </x:c>
      <x:c r="B2084" s="2" t="str">
        <x:v>RED</x:v>
      </x:c>
      <x:c r="C2084" s="2" t="str">
        <x:v>200만</x:v>
      </x:c>
      <x:c r="D2084" s="2" t="str">
        <x:v>160만</x:v>
      </x:c>
      <x:c r="E2084" s="14" t="n">
        <x:f>SUM(F2084:M2084)</x:f>
        <x:v>104</x:v>
      </x:c>
      <x:c r="F2084" s="14" t="n">
        <x:v>4</x:v>
      </x:c>
      <x:c r="G2084" s="14" t="n">
        <x:v>22</x:v>
      </x:c>
      <x:c r="H2084" s="14" t="n">
        <x:v>5</x:v>
      </x:c>
      <x:c r="I2084" s="14" t="n">
        <x:v>2</x:v>
      </x:c>
      <x:c r="J2084" s="14" t="n">
        <x:v>3</x:v>
      </x:c>
      <x:c r="K2084" s="14" t="n">
        <x:v>6</x:v>
      </x:c>
      <x:c r="L2084" s="14" t="n">
        <x:v>40</x:v>
      </x:c>
      <x:c r="M2084" s="14" t="n">
        <x:v>22</x:v>
      </x:c>
      <x:c r="N2084" s="15" t="n">
        <x:f>IF(E2084=0,"해당 없음",F2084/E2084)</x:f>
        <x:v>0.038461538461538464</x:v>
      </x:c>
      <x:c r="O2084" s="15" t="n">
        <x:f>IF(E2084=0,"해당 없음",G2084/E2084)</x:f>
        <x:v>0.21153846153846154</x:v>
      </x:c>
      <x:c r="P2084" s="15" t="n">
        <x:f>IF(E2084=0,"해당 없음",H2084/E2084)</x:f>
        <x:v>0.04807692307692308</x:v>
      </x:c>
      <x:c r="Q2084" s="15" t="n">
        <x:f>IF(E2084=0,"해당 없음",I2084/E2084)</x:f>
        <x:v>0.019230769230769232</x:v>
      </x:c>
      <x:c r="R2084" s="15" t="n">
        <x:f>IF(E2084=0,"해당 없음",J2084/E2084)</x:f>
        <x:v>0.028846153846153848</x:v>
      </x:c>
      <x:c r="S2084" s="15" t="n">
        <x:f>IF(E2084=0,"해당 없음",K2084/E2084)</x:f>
        <x:v>0.057692307692307696</x:v>
      </x:c>
      <x:c r="T2084" s="15" t="n">
        <x:f>IF(E2084=0,"해당 없음",L2084/E2084)</x:f>
        <x:v>0.38461538461538464</x:v>
      </x:c>
      <x:c r="U2084" s="15" t="n">
        <x:f>IF(E2084=0,"해당 없음",M2084/E2084)</x:f>
        <x:v>0.21153846153846154</x:v>
      </x:c>
      <x:c r="V2084" s="16" t="n">
        <x:f>E2084/5</x:f>
        <x:v>20.8</x:v>
      </x:c>
    </x:row>
    <x:row r="2085" ht="22" customHeight="1">
      <x:c r="A2085" s="2" t="n">
        <x:v>1040</x:v>
      </x:c>
      <x:c r="B2085" s="2" t="str">
        <x:v>NAVY</x:v>
      </x:c>
      <x:c r="C2085" s="2" t="str">
        <x:v>160만</x:v>
      </x:c>
      <x:c r="D2085" s="2" t="str">
        <x:v>200만</x:v>
      </x:c>
      <x:c r="E2085" s="14" t="n">
        <x:f>SUM(F2085:M2085)</x:f>
        <x:v>104</x:v>
      </x:c>
      <x:c r="F2085" s="14" t="n">
        <x:v>2</x:v>
      </x:c>
      <x:c r="G2085" s="14" t="n">
        <x:v>18</x:v>
      </x:c>
      <x:c r="H2085" s="14" t="n">
        <x:v>1</x:v>
      </x:c>
      <x:c r="I2085" s="14" t="n">
        <x:v>5</x:v>
      </x:c>
      <x:c r="J2085" s="14" t="n">
        <x:v>4</x:v>
      </x:c>
      <x:c r="K2085" s="14" t="n">
        <x:v>4</x:v>
      </x:c>
      <x:c r="L2085" s="14" t="n">
        <x:v>35</x:v>
      </x:c>
      <x:c r="M2085" s="14" t="n">
        <x:v>35</x:v>
      </x:c>
      <x:c r="N2085" s="15" t="n">
        <x:f>IF(E2085=0,"해당 없음",F2085/E2085)</x:f>
        <x:v>0.019230769230769232</x:v>
      </x:c>
      <x:c r="O2085" s="15" t="n">
        <x:f>IF(E2085=0,"해당 없음",G2085/E2085)</x:f>
        <x:v>0.17307692307692307</x:v>
      </x:c>
      <x:c r="P2085" s="15" t="n">
        <x:f>IF(E2085=0,"해당 없음",H2085/E2085)</x:f>
        <x:v>0.009615384615384616</x:v>
      </x:c>
      <x:c r="Q2085" s="15" t="n">
        <x:f>IF(E2085=0,"해당 없음",I2085/E2085)</x:f>
        <x:v>0.04807692307692308</x:v>
      </x:c>
      <x:c r="R2085" s="15" t="n">
        <x:f>IF(E2085=0,"해당 없음",J2085/E2085)</x:f>
        <x:v>0.038461538461538464</x:v>
      </x:c>
      <x:c r="S2085" s="15" t="n">
        <x:f>IF(E2085=0,"해당 없음",K2085/E2085)</x:f>
        <x:v>0.038461538461538464</x:v>
      </x:c>
      <x:c r="T2085" s="15" t="n">
        <x:f>IF(E2085=0,"해당 없음",L2085/E2085)</x:f>
        <x:v>0.33653846153846156</x:v>
      </x:c>
      <x:c r="U2085" s="15" t="n">
        <x:f>IF(E2085=0,"해당 없음",M2085/E2085)</x:f>
        <x:v>0.33653846153846156</x:v>
      </x:c>
      <x:c r="V2085" s="16" t="n">
        <x:f>E2085/5</x:f>
        <x:v>20.8</x:v>
      </x:c>
    </x:row>
    <x:row r="2086" ht="22" customHeight="1">
      <x:c r="A2086" s="2" t="n">
        <x:v>1041</x:v>
      </x:c>
      <x:c r="B2086" s="2" t="str">
        <x:v>RED</x:v>
      </x:c>
      <x:c r="C2086" s="2" t="str">
        <x:v>160만</x:v>
      </x:c>
      <x:c r="D2086" s="2" t="str">
        <x:v>240만</x:v>
      </x:c>
      <x:c r="E2086" s="14" t="n">
        <x:f>SUM(F2086:M2086)</x:f>
        <x:v>104</x:v>
      </x:c>
      <x:c r="F2086" s="14" t="n">
        <x:v>2</x:v>
      </x:c>
      <x:c r="G2086" s="14" t="n">
        <x:v>11</x:v>
      </x:c>
      <x:c r="H2086" s="14" t="n">
        <x:v>5</x:v>
      </x:c>
      <x:c r="I2086" s="14" t="n">
        <x:v>7</x:v>
      </x:c>
      <x:c r="J2086" s="14" t="n">
        <x:v>2</x:v>
      </x:c>
      <x:c r="K2086" s="14" t="n">
        <x:v>11</x:v>
      </x:c>
      <x:c r="L2086" s="14" t="n">
        <x:v>35</x:v>
      </x:c>
      <x:c r="M2086" s="14" t="n">
        <x:v>31</x:v>
      </x:c>
      <x:c r="N2086" s="15" t="n">
        <x:f>IF(E2086=0,"해당 없음",F2086/E2086)</x:f>
        <x:v>0.019230769230769232</x:v>
      </x:c>
      <x:c r="O2086" s="15" t="n">
        <x:f>IF(E2086=0,"해당 없음",G2086/E2086)</x:f>
        <x:v>0.10576923076923077</x:v>
      </x:c>
      <x:c r="P2086" s="15" t="n">
        <x:f>IF(E2086=0,"해당 없음",H2086/E2086)</x:f>
        <x:v>0.04807692307692308</x:v>
      </x:c>
      <x:c r="Q2086" s="15" t="n">
        <x:f>IF(E2086=0,"해당 없음",I2086/E2086)</x:f>
        <x:v>0.0673076923076923</x:v>
      </x:c>
      <x:c r="R2086" s="15" t="n">
        <x:f>IF(E2086=0,"해당 없음",J2086/E2086)</x:f>
        <x:v>0.019230769230769232</x:v>
      </x:c>
      <x:c r="S2086" s="15" t="n">
        <x:f>IF(E2086=0,"해당 없음",K2086/E2086)</x:f>
        <x:v>0.10576923076923077</x:v>
      </x:c>
      <x:c r="T2086" s="15" t="n">
        <x:f>IF(E2086=0,"해당 없음",L2086/E2086)</x:f>
        <x:v>0.33653846153846156</x:v>
      </x:c>
      <x:c r="U2086" s="15" t="n">
        <x:f>IF(E2086=0,"해당 없음",M2086/E2086)</x:f>
        <x:v>0.2980769230769231</x:v>
      </x:c>
      <x:c r="V2086" s="16" t="n">
        <x:f>E2086/5</x:f>
        <x:v>20.8</x:v>
      </x:c>
    </x:row>
    <x:row r="2087" ht="22" customHeight="1">
      <x:c r="A2087" s="2" t="n">
        <x:v>1041</x:v>
      </x:c>
      <x:c r="B2087" s="2" t="str">
        <x:v>NAVY</x:v>
      </x:c>
      <x:c r="C2087" s="2" t="str">
        <x:v>240만</x:v>
      </x:c>
      <x:c r="D2087" s="2" t="str">
        <x:v>160만</x:v>
      </x:c>
      <x:c r="E2087" s="14" t="n">
        <x:f>SUM(F2087:M2087)</x:f>
        <x:v>103</x:v>
      </x:c>
      <x:c r="F2087" s="14" t="n">
        <x:v>2</x:v>
      </x:c>
      <x:c r="G2087" s="14" t="n">
        <x:v>9</x:v>
      </x:c>
      <x:c r="H2087" s="14" t="n">
        <x:v>2</x:v>
      </x:c>
      <x:c r="I2087" s="14" t="n">
        <x:v>0</x:v>
      </x:c>
      <x:c r="J2087" s="14" t="n">
        <x:v>3</x:v>
      </x:c>
      <x:c r="K2087" s="14" t="n">
        <x:v>4</x:v>
      </x:c>
      <x:c r="L2087" s="14" t="n">
        <x:v>38</x:v>
      </x:c>
      <x:c r="M2087" s="14" t="n">
        <x:v>45</x:v>
      </x:c>
      <x:c r="N2087" s="15" t="n">
        <x:f>IF(E2087=0,"해당 없음",F2087/E2087)</x:f>
        <x:v>0.019417475728155338</x:v>
      </x:c>
      <x:c r="O2087" s="15" t="n">
        <x:f>IF(E2087=0,"해당 없음",G2087/E2087)</x:f>
        <x:v>0.08737864077669903</x:v>
      </x:c>
      <x:c r="P2087" s="15" t="n">
        <x:f>IF(E2087=0,"해당 없음",H2087/E2087)</x:f>
        <x:v>0.019417475728155338</x:v>
      </x:c>
      <x:c r="Q2087" s="15" t="n">
        <x:f>IF(E2087=0,"해당 없음",I2087/E2087)</x:f>
        <x:v>0</x:v>
      </x:c>
      <x:c r="R2087" s="15" t="n">
        <x:f>IF(E2087=0,"해당 없음",J2087/E2087)</x:f>
        <x:v>0.02912621359223301</x:v>
      </x:c>
      <x:c r="S2087" s="15" t="n">
        <x:f>IF(E2087=0,"해당 없음",K2087/E2087)</x:f>
        <x:v>0.038834951456310676</x:v>
      </x:c>
      <x:c r="T2087" s="15" t="n">
        <x:f>IF(E2087=0,"해당 없음",L2087/E2087)</x:f>
        <x:v>0.36893203883495146</x:v>
      </x:c>
      <x:c r="U2087" s="15" t="n">
        <x:f>IF(E2087=0,"해당 없음",M2087/E2087)</x:f>
        <x:v>0.4368932038834951</x:v>
      </x:c>
      <x:c r="V2087" s="16" t="n">
        <x:f>E2087/5</x:f>
        <x:v>20.6</x:v>
      </x:c>
    </x:row>
    <x:row r="2088" ht="22" customHeight="1">
      <x:c r="A2088" s="2" t="n">
        <x:v>1042</x:v>
      </x:c>
      <x:c r="B2088" s="2" t="str">
        <x:v>RED</x:v>
      </x:c>
      <x:c r="C2088" s="2" t="str">
        <x:v>240만</x:v>
      </x:c>
      <x:c r="D2088" s="2" t="str">
        <x:v>160만</x:v>
      </x:c>
      <x:c r="E2088" s="14" t="n">
        <x:f>SUM(F2088:M2088)</x:f>
        <x:v>106</x:v>
      </x:c>
      <x:c r="F2088" s="14" t="n">
        <x:v>0</x:v>
      </x:c>
      <x:c r="G2088" s="14" t="n">
        <x:v>14</x:v>
      </x:c>
      <x:c r="H2088" s="14" t="n">
        <x:v>5</x:v>
      </x:c>
      <x:c r="I2088" s="14" t="n">
        <x:v>8</x:v>
      </x:c>
      <x:c r="J2088" s="14" t="n">
        <x:v>2</x:v>
      </x:c>
      <x:c r="K2088" s="14" t="n">
        <x:v>7</x:v>
      </x:c>
      <x:c r="L2088" s="14" t="n">
        <x:v>42</x:v>
      </x:c>
      <x:c r="M2088" s="14" t="n">
        <x:v>28</x:v>
      </x:c>
      <x:c r="N2088" s="15" t="n">
        <x:f>IF(E2088=0,"해당 없음",F2088/E2088)</x:f>
        <x:v>0</x:v>
      </x:c>
      <x:c r="O2088" s="15" t="n">
        <x:f>IF(E2088=0,"해당 없음",G2088/E2088)</x:f>
        <x:v>0.1320754716981132</x:v>
      </x:c>
      <x:c r="P2088" s="15" t="n">
        <x:f>IF(E2088=0,"해당 없음",H2088/E2088)</x:f>
        <x:v>0.04716981132075472</x:v>
      </x:c>
      <x:c r="Q2088" s="15" t="n">
        <x:f>IF(E2088=0,"해당 없음",I2088/E2088)</x:f>
        <x:v>0.07547169811320754</x:v>
      </x:c>
      <x:c r="R2088" s="15" t="n">
        <x:f>IF(E2088=0,"해당 없음",J2088/E2088)</x:f>
        <x:v>0.018867924528301886</x:v>
      </x:c>
      <x:c r="S2088" s="15" t="n">
        <x:f>IF(E2088=0,"해당 없음",K2088/E2088)</x:f>
        <x:v>0.0660377358490566</x:v>
      </x:c>
      <x:c r="T2088" s="15" t="n">
        <x:f>IF(E2088=0,"해당 없음",L2088/E2088)</x:f>
        <x:v>0.39622641509433965</x:v>
      </x:c>
      <x:c r="U2088" s="15" t="n">
        <x:f>IF(E2088=0,"해당 없음",M2088/E2088)</x:f>
        <x:v>0.2641509433962264</x:v>
      </x:c>
      <x:c r="V2088" s="16" t="n">
        <x:f>E2088/5</x:f>
        <x:v>21.2</x:v>
      </x:c>
    </x:row>
    <x:row r="2089" ht="22" customHeight="1">
      <x:c r="A2089" s="2" t="n">
        <x:v>1042</x:v>
      </x:c>
      <x:c r="B2089" s="2" t="str">
        <x:v>NAVY</x:v>
      </x:c>
      <x:c r="C2089" s="2" t="str">
        <x:v>160만</x:v>
      </x:c>
      <x:c r="D2089" s="2" t="str">
        <x:v>240만</x:v>
      </x:c>
      <x:c r="E2089" s="14" t="n">
        <x:f>SUM(F2089:M2089)</x:f>
        <x:v>106</x:v>
      </x:c>
      <x:c r="F2089" s="14" t="n">
        <x:v>3</x:v>
      </x:c>
      <x:c r="G2089" s="14" t="n">
        <x:v>21</x:v>
      </x:c>
      <x:c r="H2089" s="14" t="n">
        <x:v>3</x:v>
      </x:c>
      <x:c r="I2089" s="14" t="n">
        <x:v>5</x:v>
      </x:c>
      <x:c r="J2089" s="14" t="n">
        <x:v>6</x:v>
      </x:c>
      <x:c r="K2089" s="14" t="n">
        <x:v>3</x:v>
      </x:c>
      <x:c r="L2089" s="14" t="n">
        <x:v>40</x:v>
      </x:c>
      <x:c r="M2089" s="14" t="n">
        <x:v>25</x:v>
      </x:c>
      <x:c r="N2089" s="15" t="n">
        <x:f>IF(E2089=0,"해당 없음",F2089/E2089)</x:f>
        <x:v>0.02830188679245283</x:v>
      </x:c>
      <x:c r="O2089" s="15" t="n">
        <x:f>IF(E2089=0,"해당 없음",G2089/E2089)</x:f>
        <x:v>0.19811320754716982</x:v>
      </x:c>
      <x:c r="P2089" s="15" t="n">
        <x:f>IF(E2089=0,"해당 없음",H2089/E2089)</x:f>
        <x:v>0.02830188679245283</x:v>
      </x:c>
      <x:c r="Q2089" s="15" t="n">
        <x:f>IF(E2089=0,"해당 없음",I2089/E2089)</x:f>
        <x:v>0.04716981132075472</x:v>
      </x:c>
      <x:c r="R2089" s="15" t="n">
        <x:f>IF(E2089=0,"해당 없음",J2089/E2089)</x:f>
        <x:v>0.05660377358490566</x:v>
      </x:c>
      <x:c r="S2089" s="15" t="n">
        <x:f>IF(E2089=0,"해당 없음",K2089/E2089)</x:f>
        <x:v>0.02830188679245283</x:v>
      </x:c>
      <x:c r="T2089" s="15" t="n">
        <x:f>IF(E2089=0,"해당 없음",L2089/E2089)</x:f>
        <x:v>0.37735849056603776</x:v>
      </x:c>
      <x:c r="U2089" s="15" t="n">
        <x:f>IF(E2089=0,"해당 없음",M2089/E2089)</x:f>
        <x:v>0.2358490566037736</x:v>
      </x:c>
      <x:c r="V2089" s="16" t="n">
        <x:f>E2089/5</x:f>
        <x:v>21.2</x:v>
      </x:c>
    </x:row>
    <x:row r="2090" ht="22" customHeight="1">
      <x:c r="A2090" s="2" t="n">
        <x:v>1043</x:v>
      </x:c>
      <x:c r="B2090" s="2" t="str">
        <x:v>RED</x:v>
      </x:c>
      <x:c r="C2090" s="2" t="str">
        <x:v>160만</x:v>
      </x:c>
      <x:c r="D2090" s="2" t="str">
        <x:v>240만</x:v>
      </x:c>
      <x:c r="E2090" s="14" t="n">
        <x:f>SUM(F2090:M2090)</x:f>
        <x:v>102</x:v>
      </x:c>
      <x:c r="F2090" s="14" t="n">
        <x:v>4</x:v>
      </x:c>
      <x:c r="G2090" s="14" t="n">
        <x:v>19</x:v>
      </x:c>
      <x:c r="H2090" s="14" t="n">
        <x:v>10</x:v>
      </x:c>
      <x:c r="I2090" s="14" t="n">
        <x:v>3</x:v>
      </x:c>
      <x:c r="J2090" s="14" t="n">
        <x:v>2</x:v>
      </x:c>
      <x:c r="K2090" s="14" t="n">
        <x:v>9</x:v>
      </x:c>
      <x:c r="L2090" s="14" t="n">
        <x:v>30</x:v>
      </x:c>
      <x:c r="M2090" s="14" t="n">
        <x:v>25</x:v>
      </x:c>
      <x:c r="N2090" s="15" t="n">
        <x:f>IF(E2090=0,"해당 없음",F2090/E2090)</x:f>
        <x:v>0.0392156862745098</x:v>
      </x:c>
      <x:c r="O2090" s="15" t="n">
        <x:f>IF(E2090=0,"해당 없음",G2090/E2090)</x:f>
        <x:v>0.18627450980392157</x:v>
      </x:c>
      <x:c r="P2090" s="15" t="n">
        <x:f>IF(E2090=0,"해당 없음",H2090/E2090)</x:f>
        <x:v>0.09803921568627451</x:v>
      </x:c>
      <x:c r="Q2090" s="15" t="n">
        <x:f>IF(E2090=0,"해당 없음",I2090/E2090)</x:f>
        <x:v>0.029411764705882353</x:v>
      </x:c>
      <x:c r="R2090" s="15" t="n">
        <x:f>IF(E2090=0,"해당 없음",J2090/E2090)</x:f>
        <x:v>0.0196078431372549</x:v>
      </x:c>
      <x:c r="S2090" s="15" t="n">
        <x:f>IF(E2090=0,"해당 없음",K2090/E2090)</x:f>
        <x:v>0.08823529411764706</x:v>
      </x:c>
      <x:c r="T2090" s="15" t="n">
        <x:f>IF(E2090=0,"해당 없음",L2090/E2090)</x:f>
        <x:v>0.29411764705882354</x:v>
      </x:c>
      <x:c r="U2090" s="15" t="n">
        <x:f>IF(E2090=0,"해당 없음",M2090/E2090)</x:f>
        <x:v>0.24509803921568626</x:v>
      </x:c>
      <x:c r="V2090" s="16" t="n">
        <x:f>E2090/5</x:f>
        <x:v>20.4</x:v>
      </x:c>
    </x:row>
    <x:row r="2091" ht="22" customHeight="1">
      <x:c r="A2091" s="2" t="n">
        <x:v>1043</x:v>
      </x:c>
      <x:c r="B2091" s="2" t="str">
        <x:v>NAVY</x:v>
      </x:c>
      <x:c r="C2091" s="2" t="str">
        <x:v>240만</x:v>
      </x:c>
      <x:c r="D2091" s="2" t="str">
        <x:v>160만</x:v>
      </x:c>
      <x:c r="E2091" s="14" t="n">
        <x:f>SUM(F2091:M2091)</x:f>
        <x:v>102</x:v>
      </x:c>
      <x:c r="F2091" s="14" t="n">
        <x:v>3</x:v>
      </x:c>
      <x:c r="G2091" s="14" t="n">
        <x:v>11</x:v>
      </x:c>
      <x:c r="H2091" s="14" t="n">
        <x:v>2</x:v>
      </x:c>
      <x:c r="I2091" s="14" t="n">
        <x:v>8</x:v>
      </x:c>
      <x:c r="J2091" s="14" t="n">
        <x:v>0</x:v>
      </x:c>
      <x:c r="K2091" s="14" t="n">
        <x:v>3</x:v>
      </x:c>
      <x:c r="L2091" s="14" t="n">
        <x:v>36</x:v>
      </x:c>
      <x:c r="M2091" s="14" t="n">
        <x:v>39</x:v>
      </x:c>
      <x:c r="N2091" s="15" t="n">
        <x:f>IF(E2091=0,"해당 없음",F2091/E2091)</x:f>
        <x:v>0.029411764705882353</x:v>
      </x:c>
      <x:c r="O2091" s="15" t="n">
        <x:f>IF(E2091=0,"해당 없음",G2091/E2091)</x:f>
        <x:v>0.10784313725490197</x:v>
      </x:c>
      <x:c r="P2091" s="15" t="n">
        <x:f>IF(E2091=0,"해당 없음",H2091/E2091)</x:f>
        <x:v>0.0196078431372549</x:v>
      </x:c>
      <x:c r="Q2091" s="15" t="n">
        <x:f>IF(E2091=0,"해당 없음",I2091/E2091)</x:f>
        <x:v>0.0784313725490196</x:v>
      </x:c>
      <x:c r="R2091" s="15" t="n">
        <x:f>IF(E2091=0,"해당 없음",J2091/E2091)</x:f>
        <x:v>0</x:v>
      </x:c>
      <x:c r="S2091" s="15" t="n">
        <x:f>IF(E2091=0,"해당 없음",K2091/E2091)</x:f>
        <x:v>0.029411764705882353</x:v>
      </x:c>
      <x:c r="T2091" s="15" t="n">
        <x:f>IF(E2091=0,"해당 없음",L2091/E2091)</x:f>
        <x:v>0.35294117647058826</x:v>
      </x:c>
      <x:c r="U2091" s="15" t="n">
        <x:f>IF(E2091=0,"해당 없음",M2091/E2091)</x:f>
        <x:v>0.38235294117647056</x:v>
      </x:c>
      <x:c r="V2091" s="16" t="n">
        <x:f>E2091/5</x:f>
        <x:v>20.4</x:v>
      </x:c>
    </x:row>
    <x:row r="2092" ht="22" customHeight="1">
      <x:c r="A2092" s="2" t="n">
        <x:v>1044</x:v>
      </x:c>
      <x:c r="B2092" s="2" t="str">
        <x:v>RED</x:v>
      </x:c>
      <x:c r="C2092" s="2" t="str">
        <x:v>240만</x:v>
      </x:c>
      <x:c r="D2092" s="2" t="str">
        <x:v>160만</x:v>
      </x:c>
      <x:c r="E2092" s="14" t="n">
        <x:f>SUM(F2092:M2092)</x:f>
        <x:v>102</x:v>
      </x:c>
      <x:c r="F2092" s="14" t="n">
        <x:v>4</x:v>
      </x:c>
      <x:c r="G2092" s="14" t="n">
        <x:v>11</x:v>
      </x:c>
      <x:c r="H2092" s="14" t="n">
        <x:v>3</x:v>
      </x:c>
      <x:c r="I2092" s="14" t="n">
        <x:v>5</x:v>
      </x:c>
      <x:c r="J2092" s="14" t="n">
        <x:v>1</x:v>
      </x:c>
      <x:c r="K2092" s="14" t="n">
        <x:v>8</x:v>
      </x:c>
      <x:c r="L2092" s="14" t="n">
        <x:v>38</x:v>
      </x:c>
      <x:c r="M2092" s="14" t="n">
        <x:v>32</x:v>
      </x:c>
      <x:c r="N2092" s="15" t="n">
        <x:f>IF(E2092=0,"해당 없음",F2092/E2092)</x:f>
        <x:v>0.0392156862745098</x:v>
      </x:c>
      <x:c r="O2092" s="15" t="n">
        <x:f>IF(E2092=0,"해당 없음",G2092/E2092)</x:f>
        <x:v>0.10784313725490197</x:v>
      </x:c>
      <x:c r="P2092" s="15" t="n">
        <x:f>IF(E2092=0,"해당 없음",H2092/E2092)</x:f>
        <x:v>0.029411764705882353</x:v>
      </x:c>
      <x:c r="Q2092" s="15" t="n">
        <x:f>IF(E2092=0,"해당 없음",I2092/E2092)</x:f>
        <x:v>0.049019607843137254</x:v>
      </x:c>
      <x:c r="R2092" s="15" t="n">
        <x:f>IF(E2092=0,"해당 없음",J2092/E2092)</x:f>
        <x:v>0.00980392156862745</x:v>
      </x:c>
      <x:c r="S2092" s="15" t="n">
        <x:f>IF(E2092=0,"해당 없음",K2092/E2092)</x:f>
        <x:v>0.0784313725490196</x:v>
      </x:c>
      <x:c r="T2092" s="15" t="n">
        <x:f>IF(E2092=0,"해당 없음",L2092/E2092)</x:f>
        <x:v>0.37254901960784315</x:v>
      </x:c>
      <x:c r="U2092" s="15" t="n">
        <x:f>IF(E2092=0,"해당 없음",M2092/E2092)</x:f>
        <x:v>0.3137254901960784</x:v>
      </x:c>
      <x:c r="V2092" s="16" t="n">
        <x:f>E2092/5</x:f>
        <x:v>20.4</x:v>
      </x:c>
    </x:row>
    <x:row r="2093" ht="22" customHeight="1">
      <x:c r="A2093" s="2" t="n">
        <x:v>1044</x:v>
      </x:c>
      <x:c r="B2093" s="2" t="str">
        <x:v>NAVY</x:v>
      </x:c>
      <x:c r="C2093" s="2" t="str">
        <x:v>160만</x:v>
      </x:c>
      <x:c r="D2093" s="2" t="str">
        <x:v>240만</x:v>
      </x:c>
      <x:c r="E2093" s="14" t="n">
        <x:f>SUM(F2093:M2093)</x:f>
        <x:v>103</x:v>
      </x:c>
      <x:c r="F2093" s="14" t="n">
        <x:v>5</x:v>
      </x:c>
      <x:c r="G2093" s="14" t="n">
        <x:v>19</x:v>
      </x:c>
      <x:c r="H2093" s="14" t="n">
        <x:v>3</x:v>
      </x:c>
      <x:c r="I2093" s="14" t="n">
        <x:v>6</x:v>
      </x:c>
      <x:c r="J2093" s="14" t="n">
        <x:v>3</x:v>
      </x:c>
      <x:c r="K2093" s="14" t="n">
        <x:v>4</x:v>
      </x:c>
      <x:c r="L2093" s="14" t="n">
        <x:v>36</x:v>
      </x:c>
      <x:c r="M2093" s="14" t="n">
        <x:v>27</x:v>
      </x:c>
      <x:c r="N2093" s="15" t="n">
        <x:f>IF(E2093=0,"해당 없음",F2093/E2093)</x:f>
        <x:v>0.04854368932038835</x:v>
      </x:c>
      <x:c r="O2093" s="15" t="n">
        <x:f>IF(E2093=0,"해당 없음",G2093/E2093)</x:f>
        <x:v>0.18446601941747573</x:v>
      </x:c>
      <x:c r="P2093" s="15" t="n">
        <x:f>IF(E2093=0,"해당 없음",H2093/E2093)</x:f>
        <x:v>0.02912621359223301</x:v>
      </x:c>
      <x:c r="Q2093" s="15" t="n">
        <x:f>IF(E2093=0,"해당 없음",I2093/E2093)</x:f>
        <x:v>0.05825242718446602</x:v>
      </x:c>
      <x:c r="R2093" s="15" t="n">
        <x:f>IF(E2093=0,"해당 없음",J2093/E2093)</x:f>
        <x:v>0.02912621359223301</x:v>
      </x:c>
      <x:c r="S2093" s="15" t="n">
        <x:f>IF(E2093=0,"해당 없음",K2093/E2093)</x:f>
        <x:v>0.038834951456310676</x:v>
      </x:c>
      <x:c r="T2093" s="15" t="n">
        <x:f>IF(E2093=0,"해당 없음",L2093/E2093)</x:f>
        <x:v>0.34951456310679613</x:v>
      </x:c>
      <x:c r="U2093" s="15" t="n">
        <x:f>IF(E2093=0,"해당 없음",M2093/E2093)</x:f>
        <x:v>0.2621359223300971</x:v>
      </x:c>
      <x:c r="V2093" s="16" t="n">
        <x:f>E2093/5</x:f>
        <x:v>20.6</x:v>
      </x:c>
    </x:row>
    <x:row r="2094" ht="22" customHeight="1">
      <x:c r="A2094" s="2" t="n">
        <x:v>1045</x:v>
      </x:c>
      <x:c r="B2094" s="2" t="str">
        <x:v>RED</x:v>
      </x:c>
      <x:c r="C2094" s="2" t="str">
        <x:v>160만</x:v>
      </x:c>
      <x:c r="D2094" s="2" t="str">
        <x:v>240만</x:v>
      </x:c>
      <x:c r="E2094" s="14" t="n">
        <x:f>SUM(F2094:M2094)</x:f>
        <x:v>101</x:v>
      </x:c>
      <x:c r="F2094" s="14" t="n">
        <x:v>2</x:v>
      </x:c>
      <x:c r="G2094" s="14" t="n">
        <x:v>15</x:v>
      </x:c>
      <x:c r="H2094" s="14" t="n">
        <x:v>7</x:v>
      </x:c>
      <x:c r="I2094" s="14" t="n">
        <x:v>3</x:v>
      </x:c>
      <x:c r="J2094" s="14" t="n">
        <x:v>1</x:v>
      </x:c>
      <x:c r="K2094" s="14" t="n">
        <x:v>6</x:v>
      </x:c>
      <x:c r="L2094" s="14" t="n">
        <x:v>29</x:v>
      </x:c>
      <x:c r="M2094" s="14" t="n">
        <x:v>38</x:v>
      </x:c>
      <x:c r="N2094" s="15" t="n">
        <x:f>IF(E2094=0,"해당 없음",F2094/E2094)</x:f>
        <x:v>0.019801980198019802</x:v>
      </x:c>
      <x:c r="O2094" s="15" t="n">
        <x:f>IF(E2094=0,"해당 없음",G2094/E2094)</x:f>
        <x:v>0.1485148514851485</x:v>
      </x:c>
      <x:c r="P2094" s="15" t="n">
        <x:f>IF(E2094=0,"해당 없음",H2094/E2094)</x:f>
        <x:v>0.06930693069306931</x:v>
      </x:c>
      <x:c r="Q2094" s="15" t="n">
        <x:f>IF(E2094=0,"해당 없음",I2094/E2094)</x:f>
        <x:v>0.0297029702970297</x:v>
      </x:c>
      <x:c r="R2094" s="15" t="n">
        <x:f>IF(E2094=0,"해당 없음",J2094/E2094)</x:f>
        <x:v>0.009900990099009901</x:v>
      </x:c>
      <x:c r="S2094" s="15" t="n">
        <x:f>IF(E2094=0,"해당 없음",K2094/E2094)</x:f>
        <x:v>0.0594059405940594</x:v>
      </x:c>
      <x:c r="T2094" s="15" t="n">
        <x:f>IF(E2094=0,"해당 없음",L2094/E2094)</x:f>
        <x:v>0.2871287128712871</x:v>
      </x:c>
      <x:c r="U2094" s="15" t="n">
        <x:f>IF(E2094=0,"해당 없음",M2094/E2094)</x:f>
        <x:v>0.37623762376237624</x:v>
      </x:c>
      <x:c r="V2094" s="16" t="n">
        <x:f>E2094/5</x:f>
        <x:v>20.2</x:v>
      </x:c>
    </x:row>
    <x:row r="2095" ht="22" customHeight="1">
      <x:c r="A2095" s="2" t="n">
        <x:v>1045</x:v>
      </x:c>
      <x:c r="B2095" s="2" t="str">
        <x:v>NAVY</x:v>
      </x:c>
      <x:c r="C2095" s="2" t="str">
        <x:v>240만</x:v>
      </x:c>
      <x:c r="D2095" s="2" t="str">
        <x:v>160만</x:v>
      </x:c>
      <x:c r="E2095" s="14" t="n">
        <x:f>SUM(F2095:M2095)</x:f>
        <x:v>102</x:v>
      </x:c>
      <x:c r="F2095" s="14" t="n">
        <x:v>0</x:v>
      </x:c>
      <x:c r="G2095" s="14" t="n">
        <x:v>15</x:v>
      </x:c>
      <x:c r="H2095" s="14" t="n">
        <x:v>2</x:v>
      </x:c>
      <x:c r="I2095" s="14" t="n">
        <x:v>5</x:v>
      </x:c>
      <x:c r="J2095" s="14" t="n">
        <x:v>1</x:v>
      </x:c>
      <x:c r="K2095" s="14" t="n">
        <x:v>3</x:v>
      </x:c>
      <x:c r="L2095" s="14" t="n">
        <x:v>40</x:v>
      </x:c>
      <x:c r="M2095" s="14" t="n">
        <x:v>36</x:v>
      </x:c>
      <x:c r="N2095" s="15" t="n">
        <x:f>IF(E2095=0,"해당 없음",F2095/E2095)</x:f>
        <x:v>0</x:v>
      </x:c>
      <x:c r="O2095" s="15" t="n">
        <x:f>IF(E2095=0,"해당 없음",G2095/E2095)</x:f>
        <x:v>0.14705882352941177</x:v>
      </x:c>
      <x:c r="P2095" s="15" t="n">
        <x:f>IF(E2095=0,"해당 없음",H2095/E2095)</x:f>
        <x:v>0.0196078431372549</x:v>
      </x:c>
      <x:c r="Q2095" s="15" t="n">
        <x:f>IF(E2095=0,"해당 없음",I2095/E2095)</x:f>
        <x:v>0.049019607843137254</x:v>
      </x:c>
      <x:c r="R2095" s="15" t="n">
        <x:f>IF(E2095=0,"해당 없음",J2095/E2095)</x:f>
        <x:v>0.00980392156862745</x:v>
      </x:c>
      <x:c r="S2095" s="15" t="n">
        <x:f>IF(E2095=0,"해당 없음",K2095/E2095)</x:f>
        <x:v>0.029411764705882353</x:v>
      </x:c>
      <x:c r="T2095" s="15" t="n">
        <x:f>IF(E2095=0,"해당 없음",L2095/E2095)</x:f>
        <x:v>0.39215686274509803</x:v>
      </x:c>
      <x:c r="U2095" s="15" t="n">
        <x:f>IF(E2095=0,"해당 없음",M2095/E2095)</x:f>
        <x:v>0.35294117647058826</x:v>
      </x:c>
      <x:c r="V2095" s="16" t="n">
        <x:f>E2095/5</x:f>
        <x:v>20.4</x:v>
      </x:c>
    </x:row>
    <x:row r="2096" ht="22" customHeight="1">
      <x:c r="A2096" s="2" t="n">
        <x:v>1046</x:v>
      </x:c>
      <x:c r="B2096" s="2" t="str">
        <x:v>RED</x:v>
      </x:c>
      <x:c r="C2096" s="2" t="str">
        <x:v>240만</x:v>
      </x:c>
      <x:c r="D2096" s="2" t="str">
        <x:v>160만</x:v>
      </x:c>
      <x:c r="E2096" s="14" t="n">
        <x:f>SUM(F2096:M2096)</x:f>
        <x:v>104</x:v>
      </x:c>
      <x:c r="F2096" s="14" t="n">
        <x:v>4</x:v>
      </x:c>
      <x:c r="G2096" s="14" t="n">
        <x:v>14</x:v>
      </x:c>
      <x:c r="H2096" s="14" t="n">
        <x:v>3</x:v>
      </x:c>
      <x:c r="I2096" s="14" t="n">
        <x:v>7</x:v>
      </x:c>
      <x:c r="J2096" s="14" t="n">
        <x:v>1</x:v>
      </x:c>
      <x:c r="K2096" s="14" t="n">
        <x:v>5</x:v>
      </x:c>
      <x:c r="L2096" s="14" t="n">
        <x:v>42</x:v>
      </x:c>
      <x:c r="M2096" s="14" t="n">
        <x:v>28</x:v>
      </x:c>
      <x:c r="N2096" s="15" t="n">
        <x:f>IF(E2096=0,"해당 없음",F2096/E2096)</x:f>
        <x:v>0.038461538461538464</x:v>
      </x:c>
      <x:c r="O2096" s="15" t="n">
        <x:f>IF(E2096=0,"해당 없음",G2096/E2096)</x:f>
        <x:v>0.1346153846153846</x:v>
      </x:c>
      <x:c r="P2096" s="15" t="n">
        <x:f>IF(E2096=0,"해당 없음",H2096/E2096)</x:f>
        <x:v>0.028846153846153848</x:v>
      </x:c>
      <x:c r="Q2096" s="15" t="n">
        <x:f>IF(E2096=0,"해당 없음",I2096/E2096)</x:f>
        <x:v>0.0673076923076923</x:v>
      </x:c>
      <x:c r="R2096" s="15" t="n">
        <x:f>IF(E2096=0,"해당 없음",J2096/E2096)</x:f>
        <x:v>0.009615384615384616</x:v>
      </x:c>
      <x:c r="S2096" s="15" t="n">
        <x:f>IF(E2096=0,"해당 없음",K2096/E2096)</x:f>
        <x:v>0.04807692307692308</x:v>
      </x:c>
      <x:c r="T2096" s="15" t="n">
        <x:f>IF(E2096=0,"해당 없음",L2096/E2096)</x:f>
        <x:v>0.40384615384615385</x:v>
      </x:c>
      <x:c r="U2096" s="15" t="n">
        <x:f>IF(E2096=0,"해당 없음",M2096/E2096)</x:f>
        <x:v>0.2692307692307692</x:v>
      </x:c>
      <x:c r="V2096" s="16" t="n">
        <x:f>E2096/5</x:f>
        <x:v>20.8</x:v>
      </x:c>
    </x:row>
    <x:row r="2097" ht="22" customHeight="1">
      <x:c r="A2097" s="2" t="n">
        <x:v>1046</x:v>
      </x:c>
      <x:c r="B2097" s="2" t="str">
        <x:v>NAVY</x:v>
      </x:c>
      <x:c r="C2097" s="2" t="str">
        <x:v>160만</x:v>
      </x:c>
      <x:c r="D2097" s="2" t="str">
        <x:v>240만</x:v>
      </x:c>
      <x:c r="E2097" s="14" t="n">
        <x:f>SUM(F2097:M2097)</x:f>
        <x:v>101</x:v>
      </x:c>
      <x:c r="F2097" s="14" t="n">
        <x:v>11</x:v>
      </x:c>
      <x:c r="G2097" s="14" t="n">
        <x:v>11</x:v>
      </x:c>
      <x:c r="H2097" s="14" t="n">
        <x:v>9</x:v>
      </x:c>
      <x:c r="I2097" s="14" t="n">
        <x:v>4</x:v>
      </x:c>
      <x:c r="J2097" s="14" t="n">
        <x:v>4</x:v>
      </x:c>
      <x:c r="K2097" s="14" t="n">
        <x:v>5</x:v>
      </x:c>
      <x:c r="L2097" s="14" t="n">
        <x:v>34</x:v>
      </x:c>
      <x:c r="M2097" s="14" t="n">
        <x:v>23</x:v>
      </x:c>
      <x:c r="N2097" s="15" t="n">
        <x:f>IF(E2097=0,"해당 없음",F2097/E2097)</x:f>
        <x:v>0.10891089108910891</x:v>
      </x:c>
      <x:c r="O2097" s="15" t="n">
        <x:f>IF(E2097=0,"해당 없음",G2097/E2097)</x:f>
        <x:v>0.10891089108910891</x:v>
      </x:c>
      <x:c r="P2097" s="15" t="n">
        <x:f>IF(E2097=0,"해당 없음",H2097/E2097)</x:f>
        <x:v>0.0891089108910891</x:v>
      </x:c>
      <x:c r="Q2097" s="15" t="n">
        <x:f>IF(E2097=0,"해당 없음",I2097/E2097)</x:f>
        <x:v>0.039603960396039604</x:v>
      </x:c>
      <x:c r="R2097" s="15" t="n">
        <x:f>IF(E2097=0,"해당 없음",J2097/E2097)</x:f>
        <x:v>0.039603960396039604</x:v>
      </x:c>
      <x:c r="S2097" s="15" t="n">
        <x:f>IF(E2097=0,"해당 없음",K2097/E2097)</x:f>
        <x:v>0.04950495049504951</x:v>
      </x:c>
      <x:c r="T2097" s="15" t="n">
        <x:f>IF(E2097=0,"해당 없음",L2097/E2097)</x:f>
        <x:v>0.33663366336633666</x:v>
      </x:c>
      <x:c r="U2097" s="15" t="n">
        <x:f>IF(E2097=0,"해당 없음",M2097/E2097)</x:f>
        <x:v>0.22772277227722773</x:v>
      </x:c>
      <x:c r="V2097" s="16" t="n">
        <x:f>E2097/5</x:f>
        <x:v>20.2</x:v>
      </x:c>
    </x:row>
    <x:row r="2098" ht="22" customHeight="1">
      <x:c r="A2098" s="2" t="n">
        <x:v>1047</x:v>
      </x:c>
      <x:c r="B2098" s="2" t="str">
        <x:v>RED</x:v>
      </x:c>
      <x:c r="C2098" s="2" t="str">
        <x:v>160만</x:v>
      </x:c>
      <x:c r="D2098" s="2" t="str">
        <x:v>240만</x:v>
      </x:c>
      <x:c r="E2098" s="14" t="n">
        <x:f>SUM(F2098:M2098)</x:f>
        <x:v>102</x:v>
      </x:c>
      <x:c r="F2098" s="14" t="n">
        <x:v>3</x:v>
      </x:c>
      <x:c r="G2098" s="14" t="n">
        <x:v>11</x:v>
      </x:c>
      <x:c r="H2098" s="14" t="n">
        <x:v>8</x:v>
      </x:c>
      <x:c r="I2098" s="14" t="n">
        <x:v>8</x:v>
      </x:c>
      <x:c r="J2098" s="14" t="n">
        <x:v>3</x:v>
      </x:c>
      <x:c r="K2098" s="14" t="n">
        <x:v>6</x:v>
      </x:c>
      <x:c r="L2098" s="14" t="n">
        <x:v>40</x:v>
      </x:c>
      <x:c r="M2098" s="14" t="n">
        <x:v>23</x:v>
      </x:c>
      <x:c r="N2098" s="15" t="n">
        <x:f>IF(E2098=0,"해당 없음",F2098/E2098)</x:f>
        <x:v>0.029411764705882353</x:v>
      </x:c>
      <x:c r="O2098" s="15" t="n">
        <x:f>IF(E2098=0,"해당 없음",G2098/E2098)</x:f>
        <x:v>0.10784313725490197</x:v>
      </x:c>
      <x:c r="P2098" s="15" t="n">
        <x:f>IF(E2098=0,"해당 없음",H2098/E2098)</x:f>
        <x:v>0.0784313725490196</x:v>
      </x:c>
      <x:c r="Q2098" s="15" t="n">
        <x:f>IF(E2098=0,"해당 없음",I2098/E2098)</x:f>
        <x:v>0.0784313725490196</x:v>
      </x:c>
      <x:c r="R2098" s="15" t="n">
        <x:f>IF(E2098=0,"해당 없음",J2098/E2098)</x:f>
        <x:v>0.029411764705882353</x:v>
      </x:c>
      <x:c r="S2098" s="15" t="n">
        <x:f>IF(E2098=0,"해당 없음",K2098/E2098)</x:f>
        <x:v>0.058823529411764705</x:v>
      </x:c>
      <x:c r="T2098" s="15" t="n">
        <x:f>IF(E2098=0,"해당 없음",L2098/E2098)</x:f>
        <x:v>0.39215686274509803</x:v>
      </x:c>
      <x:c r="U2098" s="15" t="n">
        <x:f>IF(E2098=0,"해당 없음",M2098/E2098)</x:f>
        <x:v>0.22549019607843138</x:v>
      </x:c>
      <x:c r="V2098" s="16" t="n">
        <x:f>E2098/5</x:f>
        <x:v>20.4</x:v>
      </x:c>
    </x:row>
    <x:row r="2099" ht="22" customHeight="1">
      <x:c r="A2099" s="2" t="n">
        <x:v>1047</x:v>
      </x:c>
      <x:c r="B2099" s="2" t="str">
        <x:v>NAVY</x:v>
      </x:c>
      <x:c r="C2099" s="2" t="str">
        <x:v>240만</x:v>
      </x:c>
      <x:c r="D2099" s="2" t="str">
        <x:v>160만</x:v>
      </x:c>
      <x:c r="E2099" s="14" t="n">
        <x:f>SUM(F2099:M2099)</x:f>
        <x:v>103</x:v>
      </x:c>
      <x:c r="F2099" s="14" t="n">
        <x:v>4</x:v>
      </x:c>
      <x:c r="G2099" s="14" t="n">
        <x:v>14</x:v>
      </x:c>
      <x:c r="H2099" s="14" t="n">
        <x:v>3</x:v>
      </x:c>
      <x:c r="I2099" s="14" t="n">
        <x:v>3</x:v>
      </x:c>
      <x:c r="J2099" s="14" t="n">
        <x:v>2</x:v>
      </x:c>
      <x:c r="K2099" s="14" t="n">
        <x:v>3</x:v>
      </x:c>
      <x:c r="L2099" s="14" t="n">
        <x:v>33</x:v>
      </x:c>
      <x:c r="M2099" s="14" t="n">
        <x:v>41</x:v>
      </x:c>
      <x:c r="N2099" s="15" t="n">
        <x:f>IF(E2099=0,"해당 없음",F2099/E2099)</x:f>
        <x:v>0.038834951456310676</x:v>
      </x:c>
      <x:c r="O2099" s="15" t="n">
        <x:f>IF(E2099=0,"해당 없음",G2099/E2099)</x:f>
        <x:v>0.13592233009708737</x:v>
      </x:c>
      <x:c r="P2099" s="15" t="n">
        <x:f>IF(E2099=0,"해당 없음",H2099/E2099)</x:f>
        <x:v>0.02912621359223301</x:v>
      </x:c>
      <x:c r="Q2099" s="15" t="n">
        <x:f>IF(E2099=0,"해당 없음",I2099/E2099)</x:f>
        <x:v>0.02912621359223301</x:v>
      </x:c>
      <x:c r="R2099" s="15" t="n">
        <x:f>IF(E2099=0,"해당 없음",J2099/E2099)</x:f>
        <x:v>0.019417475728155338</x:v>
      </x:c>
      <x:c r="S2099" s="15" t="n">
        <x:f>IF(E2099=0,"해당 없음",K2099/E2099)</x:f>
        <x:v>0.02912621359223301</x:v>
      </x:c>
      <x:c r="T2099" s="15" t="n">
        <x:f>IF(E2099=0,"해당 없음",L2099/E2099)</x:f>
        <x:v>0.32038834951456313</x:v>
      </x:c>
      <x:c r="U2099" s="15" t="n">
        <x:f>IF(E2099=0,"해당 없음",M2099/E2099)</x:f>
        <x:v>0.39805825242718446</x:v>
      </x:c>
      <x:c r="V2099" s="16" t="n">
        <x:f>E2099/5</x:f>
        <x:v>20.6</x:v>
      </x:c>
    </x:row>
    <x:row r="2100" ht="22" customHeight="1">
      <x:c r="A2100" s="2" t="n">
        <x:v>1048</x:v>
      </x:c>
      <x:c r="B2100" s="2" t="str">
        <x:v>RED</x:v>
      </x:c>
      <x:c r="C2100" s="2" t="str">
        <x:v>240만</x:v>
      </x:c>
      <x:c r="D2100" s="2" t="str">
        <x:v>160만</x:v>
      </x:c>
      <x:c r="E2100" s="14" t="n">
        <x:f>SUM(F2100:M2100)</x:f>
        <x:v>102</x:v>
      </x:c>
      <x:c r="F2100" s="14" t="n">
        <x:v>4</x:v>
      </x:c>
      <x:c r="G2100" s="14" t="n">
        <x:v>14</x:v>
      </x:c>
      <x:c r="H2100" s="14" t="n">
        <x:v>5</x:v>
      </x:c>
      <x:c r="I2100" s="14" t="n">
        <x:v>5</x:v>
      </x:c>
      <x:c r="J2100" s="14" t="n">
        <x:v>2</x:v>
      </x:c>
      <x:c r="K2100" s="14" t="n">
        <x:v>6</x:v>
      </x:c>
      <x:c r="L2100" s="14" t="n">
        <x:v>38</x:v>
      </x:c>
      <x:c r="M2100" s="14" t="n">
        <x:v>28</x:v>
      </x:c>
      <x:c r="N2100" s="15" t="n">
        <x:f>IF(E2100=0,"해당 없음",F2100/E2100)</x:f>
        <x:v>0.0392156862745098</x:v>
      </x:c>
      <x:c r="O2100" s="15" t="n">
        <x:f>IF(E2100=0,"해당 없음",G2100/E2100)</x:f>
        <x:v>0.13725490196078433</x:v>
      </x:c>
      <x:c r="P2100" s="15" t="n">
        <x:f>IF(E2100=0,"해당 없음",H2100/E2100)</x:f>
        <x:v>0.049019607843137254</x:v>
      </x:c>
      <x:c r="Q2100" s="15" t="n">
        <x:f>IF(E2100=0,"해당 없음",I2100/E2100)</x:f>
        <x:v>0.049019607843137254</x:v>
      </x:c>
      <x:c r="R2100" s="15" t="n">
        <x:f>IF(E2100=0,"해당 없음",J2100/E2100)</x:f>
        <x:v>0.0196078431372549</x:v>
      </x:c>
      <x:c r="S2100" s="15" t="n">
        <x:f>IF(E2100=0,"해당 없음",K2100/E2100)</x:f>
        <x:v>0.058823529411764705</x:v>
      </x:c>
      <x:c r="T2100" s="15" t="n">
        <x:f>IF(E2100=0,"해당 없음",L2100/E2100)</x:f>
        <x:v>0.37254901960784315</x:v>
      </x:c>
      <x:c r="U2100" s="15" t="n">
        <x:f>IF(E2100=0,"해당 없음",M2100/E2100)</x:f>
        <x:v>0.27450980392156865</x:v>
      </x:c>
      <x:c r="V2100" s="16" t="n">
        <x:f>E2100/5</x:f>
        <x:v>20.4</x:v>
      </x:c>
    </x:row>
    <x:row r="2101" ht="22" customHeight="1">
      <x:c r="A2101" s="2" t="n">
        <x:v>1048</x:v>
      </x:c>
      <x:c r="B2101" s="2" t="str">
        <x:v>NAVY</x:v>
      </x:c>
      <x:c r="C2101" s="2" t="str">
        <x:v>160만</x:v>
      </x:c>
      <x:c r="D2101" s="2" t="str">
        <x:v>240만</x:v>
      </x:c>
      <x:c r="E2101" s="14" t="n">
        <x:f>SUM(F2101:M2101)</x:f>
        <x:v>103</x:v>
      </x:c>
      <x:c r="F2101" s="14" t="n">
        <x:v>3</x:v>
      </x:c>
      <x:c r="G2101" s="14" t="n">
        <x:v>11</x:v>
      </x:c>
      <x:c r="H2101" s="14" t="n">
        <x:v>3</x:v>
      </x:c>
      <x:c r="I2101" s="14" t="n">
        <x:v>4</x:v>
      </x:c>
      <x:c r="J2101" s="14" t="n">
        <x:v>8</x:v>
      </x:c>
      <x:c r="K2101" s="14" t="n">
        <x:v>4</x:v>
      </x:c>
      <x:c r="L2101" s="14" t="n">
        <x:v>32</x:v>
      </x:c>
      <x:c r="M2101" s="14" t="n">
        <x:v>38</x:v>
      </x:c>
      <x:c r="N2101" s="15" t="n">
        <x:f>IF(E2101=0,"해당 없음",F2101/E2101)</x:f>
        <x:v>0.02912621359223301</x:v>
      </x:c>
      <x:c r="O2101" s="15" t="n">
        <x:f>IF(E2101=0,"해당 없음",G2101/E2101)</x:f>
        <x:v>0.10679611650485436</x:v>
      </x:c>
      <x:c r="P2101" s="15" t="n">
        <x:f>IF(E2101=0,"해당 없음",H2101/E2101)</x:f>
        <x:v>0.02912621359223301</x:v>
      </x:c>
      <x:c r="Q2101" s="15" t="n">
        <x:f>IF(E2101=0,"해당 없음",I2101/E2101)</x:f>
        <x:v>0.038834951456310676</x:v>
      </x:c>
      <x:c r="R2101" s="15" t="n">
        <x:f>IF(E2101=0,"해당 없음",J2101/E2101)</x:f>
        <x:v>0.07766990291262135</x:v>
      </x:c>
      <x:c r="S2101" s="15" t="n">
        <x:f>IF(E2101=0,"해당 없음",K2101/E2101)</x:f>
        <x:v>0.038834951456310676</x:v>
      </x:c>
      <x:c r="T2101" s="15" t="n">
        <x:f>IF(E2101=0,"해당 없음",L2101/E2101)</x:f>
        <x:v>0.3106796116504854</x:v>
      </x:c>
      <x:c r="U2101" s="15" t="n">
        <x:f>IF(E2101=0,"해당 없음",M2101/E2101)</x:f>
        <x:v>0.36893203883495146</x:v>
      </x:c>
      <x:c r="V2101" s="16" t="n">
        <x:f>E2101/5</x:f>
        <x:v>20.6</x:v>
      </x:c>
    </x:row>
    <x:row r="2102" ht="22" customHeight="1">
      <x:c r="A2102" s="2" t="n">
        <x:v>1049</x:v>
      </x:c>
      <x:c r="B2102" s="2" t="str">
        <x:v>RED</x:v>
      </x:c>
      <x:c r="C2102" s="2" t="str">
        <x:v>160만</x:v>
      </x:c>
      <x:c r="D2102" s="2" t="str">
        <x:v>240만</x:v>
      </x:c>
      <x:c r="E2102" s="14" t="n">
        <x:f>SUM(F2102:M2102)</x:f>
        <x:v>105</x:v>
      </x:c>
      <x:c r="F2102" s="14" t="n">
        <x:v>2</x:v>
      </x:c>
      <x:c r="G2102" s="14" t="n">
        <x:v>8</x:v>
      </x:c>
      <x:c r="H2102" s="14" t="n">
        <x:v>6</x:v>
      </x:c>
      <x:c r="I2102" s="14" t="n">
        <x:v>6</x:v>
      </x:c>
      <x:c r="J2102" s="14" t="n">
        <x:v>4</x:v>
      </x:c>
      <x:c r="K2102" s="14" t="n">
        <x:v>7</x:v>
      </x:c>
      <x:c r="L2102" s="14" t="n">
        <x:v>41</x:v>
      </x:c>
      <x:c r="M2102" s="14" t="n">
        <x:v>31</x:v>
      </x:c>
      <x:c r="N2102" s="15" t="n">
        <x:f>IF(E2102=0,"해당 없음",F2102/E2102)</x:f>
        <x:v>0.01904761904761905</x:v>
      </x:c>
      <x:c r="O2102" s="15" t="n">
        <x:f>IF(E2102=0,"해당 없음",G2102/E2102)</x:f>
        <x:v>0.0761904761904762</x:v>
      </x:c>
      <x:c r="P2102" s="15" t="n">
        <x:f>IF(E2102=0,"해당 없음",H2102/E2102)</x:f>
        <x:v>0.05714285714285714</x:v>
      </x:c>
      <x:c r="Q2102" s="15" t="n">
        <x:f>IF(E2102=0,"해당 없음",I2102/E2102)</x:f>
        <x:v>0.05714285714285714</x:v>
      </x:c>
      <x:c r="R2102" s="15" t="n">
        <x:f>IF(E2102=0,"해당 없음",J2102/E2102)</x:f>
        <x:v>0.0380952380952381</x:v>
      </x:c>
      <x:c r="S2102" s="15" t="n">
        <x:f>IF(E2102=0,"해당 없음",K2102/E2102)</x:f>
        <x:v>0.06666666666666667</x:v>
      </x:c>
      <x:c r="T2102" s="15" t="n">
        <x:f>IF(E2102=0,"해당 없음",L2102/E2102)</x:f>
        <x:v>0.3904761904761905</x:v>
      </x:c>
      <x:c r="U2102" s="15" t="n">
        <x:f>IF(E2102=0,"해당 없음",M2102/E2102)</x:f>
        <x:v>0.29523809523809524</x:v>
      </x:c>
      <x:c r="V2102" s="16" t="n">
        <x:f>E2102/5</x:f>
        <x:v>21</x:v>
      </x:c>
    </x:row>
    <x:row r="2103" ht="22" customHeight="1">
      <x:c r="A2103" s="2" t="n">
        <x:v>1049</x:v>
      </x:c>
      <x:c r="B2103" s="2" t="str">
        <x:v>NAVY</x:v>
      </x:c>
      <x:c r="C2103" s="2" t="str">
        <x:v>240만</x:v>
      </x:c>
      <x:c r="D2103" s="2" t="str">
        <x:v>160만</x:v>
      </x:c>
      <x:c r="E2103" s="14" t="n">
        <x:f>SUM(F2103:M2103)</x:f>
        <x:v>104</x:v>
      </x:c>
      <x:c r="F2103" s="14" t="n">
        <x:v>3</x:v>
      </x:c>
      <x:c r="G2103" s="14" t="n">
        <x:v>15</x:v>
      </x:c>
      <x:c r="H2103" s="14" t="n">
        <x:v>4</x:v>
      </x:c>
      <x:c r="I2103" s="14" t="n">
        <x:v>3</x:v>
      </x:c>
      <x:c r="J2103" s="14" t="n">
        <x:v>4</x:v>
      </x:c>
      <x:c r="K2103" s="14" t="n">
        <x:v>2</x:v>
      </x:c>
      <x:c r="L2103" s="14" t="n">
        <x:v>36</x:v>
      </x:c>
      <x:c r="M2103" s="14" t="n">
        <x:v>37</x:v>
      </x:c>
      <x:c r="N2103" s="15" t="n">
        <x:f>IF(E2103=0,"해당 없음",F2103/E2103)</x:f>
        <x:v>0.028846153846153848</x:v>
      </x:c>
      <x:c r="O2103" s="15" t="n">
        <x:f>IF(E2103=0,"해당 없음",G2103/E2103)</x:f>
        <x:v>0.14423076923076922</x:v>
      </x:c>
      <x:c r="P2103" s="15" t="n">
        <x:f>IF(E2103=0,"해당 없음",H2103/E2103)</x:f>
        <x:v>0.038461538461538464</x:v>
      </x:c>
      <x:c r="Q2103" s="15" t="n">
        <x:f>IF(E2103=0,"해당 없음",I2103/E2103)</x:f>
        <x:v>0.028846153846153848</x:v>
      </x:c>
      <x:c r="R2103" s="15" t="n">
        <x:f>IF(E2103=0,"해당 없음",J2103/E2103)</x:f>
        <x:v>0.038461538461538464</x:v>
      </x:c>
      <x:c r="S2103" s="15" t="n">
        <x:f>IF(E2103=0,"해당 없음",K2103/E2103)</x:f>
        <x:v>0.019230769230769232</x:v>
      </x:c>
      <x:c r="T2103" s="15" t="n">
        <x:f>IF(E2103=0,"해당 없음",L2103/E2103)</x:f>
        <x:v>0.34615384615384615</x:v>
      </x:c>
      <x:c r="U2103" s="15" t="n">
        <x:f>IF(E2103=0,"해당 없음",M2103/E2103)</x:f>
        <x:v>0.3557692307692308</x:v>
      </x:c>
      <x:c r="V2103" s="16" t="n">
        <x:f>E2103/5</x:f>
        <x:v>20.8</x:v>
      </x:c>
    </x:row>
    <x:row r="2104" ht="22" customHeight="1">
      <x:c r="A2104" s="2" t="n">
        <x:v>1050</x:v>
      </x:c>
      <x:c r="B2104" s="2" t="str">
        <x:v>RED</x:v>
      </x:c>
      <x:c r="C2104" s="2" t="str">
        <x:v>240만</x:v>
      </x:c>
      <x:c r="D2104" s="2" t="str">
        <x:v>160만</x:v>
      </x:c>
      <x:c r="E2104" s="14" t="n">
        <x:f>SUM(F2104:M2104)</x:f>
        <x:v>104</x:v>
      </x:c>
      <x:c r="F2104" s="14" t="n">
        <x:v>2</x:v>
      </x:c>
      <x:c r="G2104" s="14" t="n">
        <x:v>7</x:v>
      </x:c>
      <x:c r="H2104" s="14" t="n">
        <x:v>4</x:v>
      </x:c>
      <x:c r="I2104" s="14" t="n">
        <x:v>6</x:v>
      </x:c>
      <x:c r="J2104" s="14" t="n">
        <x:v>1</x:v>
      </x:c>
      <x:c r="K2104" s="14" t="n">
        <x:v>4</x:v>
      </x:c>
      <x:c r="L2104" s="14" t="n">
        <x:v>43</x:v>
      </x:c>
      <x:c r="M2104" s="14" t="n">
        <x:v>37</x:v>
      </x:c>
      <x:c r="N2104" s="15" t="n">
        <x:f>IF(E2104=0,"해당 없음",F2104/E2104)</x:f>
        <x:v>0.019230769230769232</x:v>
      </x:c>
      <x:c r="O2104" s="15" t="n">
        <x:f>IF(E2104=0,"해당 없음",G2104/E2104)</x:f>
        <x:v>0.0673076923076923</x:v>
      </x:c>
      <x:c r="P2104" s="15" t="n">
        <x:f>IF(E2104=0,"해당 없음",H2104/E2104)</x:f>
        <x:v>0.038461538461538464</x:v>
      </x:c>
      <x:c r="Q2104" s="15" t="n">
        <x:f>IF(E2104=0,"해당 없음",I2104/E2104)</x:f>
        <x:v>0.057692307692307696</x:v>
      </x:c>
      <x:c r="R2104" s="15" t="n">
        <x:f>IF(E2104=0,"해당 없음",J2104/E2104)</x:f>
        <x:v>0.009615384615384616</x:v>
      </x:c>
      <x:c r="S2104" s="15" t="n">
        <x:f>IF(E2104=0,"해당 없음",K2104/E2104)</x:f>
        <x:v>0.038461538461538464</x:v>
      </x:c>
      <x:c r="T2104" s="15" t="n">
        <x:f>IF(E2104=0,"해당 없음",L2104/E2104)</x:f>
        <x:v>0.41346153846153844</x:v>
      </x:c>
      <x:c r="U2104" s="15" t="n">
        <x:f>IF(E2104=0,"해당 없음",M2104/E2104)</x:f>
        <x:v>0.3557692307692308</x:v>
      </x:c>
      <x:c r="V2104" s="16" t="n">
        <x:f>E2104/5</x:f>
        <x:v>20.8</x:v>
      </x:c>
    </x:row>
    <x:row r="2105" ht="22" customHeight="1">
      <x:c r="A2105" s="2" t="n">
        <x:v>1050</x:v>
      </x:c>
      <x:c r="B2105" s="2" t="str">
        <x:v>NAVY</x:v>
      </x:c>
      <x:c r="C2105" s="2" t="str">
        <x:v>160만</x:v>
      </x:c>
      <x:c r="D2105" s="2" t="str">
        <x:v>240만</x:v>
      </x:c>
      <x:c r="E2105" s="14" t="n">
        <x:f>SUM(F2105:M2105)</x:f>
        <x:v>103</x:v>
      </x:c>
      <x:c r="F2105" s="14" t="n">
        <x:v>3</x:v>
      </x:c>
      <x:c r="G2105" s="14" t="n">
        <x:v>9</x:v>
      </x:c>
      <x:c r="H2105" s="14" t="n">
        <x:v>6</x:v>
      </x:c>
      <x:c r="I2105" s="14" t="n">
        <x:v>0</x:v>
      </x:c>
      <x:c r="J2105" s="14" t="n">
        <x:v>7</x:v>
      </x:c>
      <x:c r="K2105" s="14" t="n">
        <x:v>4</x:v>
      </x:c>
      <x:c r="L2105" s="14" t="n">
        <x:v>33</x:v>
      </x:c>
      <x:c r="M2105" s="14" t="n">
        <x:v>41</x:v>
      </x:c>
      <x:c r="N2105" s="15" t="n">
        <x:f>IF(E2105=0,"해당 없음",F2105/E2105)</x:f>
        <x:v>0.02912621359223301</x:v>
      </x:c>
      <x:c r="O2105" s="15" t="n">
        <x:f>IF(E2105=0,"해당 없음",G2105/E2105)</x:f>
        <x:v>0.08737864077669903</x:v>
      </x:c>
      <x:c r="P2105" s="15" t="n">
        <x:f>IF(E2105=0,"해당 없음",H2105/E2105)</x:f>
        <x:v>0.05825242718446602</x:v>
      </x:c>
      <x:c r="Q2105" s="15" t="n">
        <x:f>IF(E2105=0,"해당 없음",I2105/E2105)</x:f>
        <x:v>0</x:v>
      </x:c>
      <x:c r="R2105" s="15" t="n">
        <x:f>IF(E2105=0,"해당 없음",J2105/E2105)</x:f>
        <x:v>0.06796116504854369</x:v>
      </x:c>
      <x:c r="S2105" s="15" t="n">
        <x:f>IF(E2105=0,"해당 없음",K2105/E2105)</x:f>
        <x:v>0.038834951456310676</x:v>
      </x:c>
      <x:c r="T2105" s="15" t="n">
        <x:f>IF(E2105=0,"해당 없음",L2105/E2105)</x:f>
        <x:v>0.32038834951456313</x:v>
      </x:c>
      <x:c r="U2105" s="15" t="n">
        <x:f>IF(E2105=0,"해당 없음",M2105/E2105)</x:f>
        <x:v>0.39805825242718446</x:v>
      </x:c>
      <x:c r="V2105" s="16" t="n">
        <x:f>E2105/5</x:f>
        <x:v>20.6</x:v>
      </x:c>
    </x:row>
    <x:row r="2106" ht="22" customHeight="1">
      <x:c r="A2106" s="2" t="n">
        <x:v>1051</x:v>
      </x:c>
      <x:c r="B2106" s="2" t="str">
        <x:v>RED</x:v>
      </x:c>
      <x:c r="C2106" s="2" t="str">
        <x:v>160만</x:v>
      </x:c>
      <x:c r="D2106" s="2" t="str">
        <x:v>240만</x:v>
      </x:c>
      <x:c r="E2106" s="14" t="n">
        <x:f>SUM(F2106:M2106)</x:f>
        <x:v>106</x:v>
      </x:c>
      <x:c r="F2106" s="14" t="n">
        <x:v>1</x:v>
      </x:c>
      <x:c r="G2106" s="14" t="n">
        <x:v>8</x:v>
      </x:c>
      <x:c r="H2106" s="14" t="n">
        <x:v>6</x:v>
      </x:c>
      <x:c r="I2106" s="14" t="n">
        <x:v>6</x:v>
      </x:c>
      <x:c r="J2106" s="14" t="n">
        <x:v>4</x:v>
      </x:c>
      <x:c r="K2106" s="14" t="n">
        <x:v>4</x:v>
      </x:c>
      <x:c r="L2106" s="14" t="n">
        <x:v>46</x:v>
      </x:c>
      <x:c r="M2106" s="14" t="n">
        <x:v>31</x:v>
      </x:c>
      <x:c r="N2106" s="15" t="n">
        <x:f>IF(E2106=0,"해당 없음",F2106/E2106)</x:f>
        <x:v>0.009433962264150943</x:v>
      </x:c>
      <x:c r="O2106" s="15" t="n">
        <x:f>IF(E2106=0,"해당 없음",G2106/E2106)</x:f>
        <x:v>0.07547169811320754</x:v>
      </x:c>
      <x:c r="P2106" s="15" t="n">
        <x:f>IF(E2106=0,"해당 없음",H2106/E2106)</x:f>
        <x:v>0.05660377358490566</x:v>
      </x:c>
      <x:c r="Q2106" s="15" t="n">
        <x:f>IF(E2106=0,"해당 없음",I2106/E2106)</x:f>
        <x:v>0.05660377358490566</x:v>
      </x:c>
      <x:c r="R2106" s="15" t="n">
        <x:f>IF(E2106=0,"해당 없음",J2106/E2106)</x:f>
        <x:v>0.03773584905660377</x:v>
      </x:c>
      <x:c r="S2106" s="15" t="n">
        <x:f>IF(E2106=0,"해당 없음",K2106/E2106)</x:f>
        <x:v>0.03773584905660377</x:v>
      </x:c>
      <x:c r="T2106" s="15" t="n">
        <x:f>IF(E2106=0,"해당 없음",L2106/E2106)</x:f>
        <x:v>0.4339622641509434</x:v>
      </x:c>
      <x:c r="U2106" s="15" t="n">
        <x:f>IF(E2106=0,"해당 없음",M2106/E2106)</x:f>
        <x:v>0.29245283018867924</x:v>
      </x:c>
      <x:c r="V2106" s="16" t="n">
        <x:f>E2106/5</x:f>
        <x:v>21.2</x:v>
      </x:c>
    </x:row>
    <x:row r="2107" ht="22" customHeight="1">
      <x:c r="A2107" s="2" t="n">
        <x:v>1051</x:v>
      </x:c>
      <x:c r="B2107" s="2" t="str">
        <x:v>NAVY</x:v>
      </x:c>
      <x:c r="C2107" s="2" t="str">
        <x:v>240만</x:v>
      </x:c>
      <x:c r="D2107" s="2" t="str">
        <x:v>160만</x:v>
      </x:c>
      <x:c r="E2107" s="14" t="n">
        <x:f>SUM(F2107:M2107)</x:f>
        <x:v>106</x:v>
      </x:c>
      <x:c r="F2107" s="14" t="n">
        <x:v>2</x:v>
      </x:c>
      <x:c r="G2107" s="14" t="n">
        <x:v>11</x:v>
      </x:c>
      <x:c r="H2107" s="14" t="n">
        <x:v>4</x:v>
      </x:c>
      <x:c r="I2107" s="14" t="n">
        <x:v>4</x:v>
      </x:c>
      <x:c r="J2107" s="14" t="n">
        <x:v>4</x:v>
      </x:c>
      <x:c r="K2107" s="14" t="n">
        <x:v>2</x:v>
      </x:c>
      <x:c r="L2107" s="14" t="n">
        <x:v>41</x:v>
      </x:c>
      <x:c r="M2107" s="14" t="n">
        <x:v>38</x:v>
      </x:c>
      <x:c r="N2107" s="15" t="n">
        <x:f>IF(E2107=0,"해당 없음",F2107/E2107)</x:f>
        <x:v>0.018867924528301886</x:v>
      </x:c>
      <x:c r="O2107" s="15" t="n">
        <x:f>IF(E2107=0,"해당 없음",G2107/E2107)</x:f>
        <x:v>0.10377358490566038</x:v>
      </x:c>
      <x:c r="P2107" s="15" t="n">
        <x:f>IF(E2107=0,"해당 없음",H2107/E2107)</x:f>
        <x:v>0.03773584905660377</x:v>
      </x:c>
      <x:c r="Q2107" s="15" t="n">
        <x:f>IF(E2107=0,"해당 없음",I2107/E2107)</x:f>
        <x:v>0.03773584905660377</x:v>
      </x:c>
      <x:c r="R2107" s="15" t="n">
        <x:f>IF(E2107=0,"해당 없음",J2107/E2107)</x:f>
        <x:v>0.03773584905660377</x:v>
      </x:c>
      <x:c r="S2107" s="15" t="n">
        <x:f>IF(E2107=0,"해당 없음",K2107/E2107)</x:f>
        <x:v>0.018867924528301886</x:v>
      </x:c>
      <x:c r="T2107" s="15" t="n">
        <x:f>IF(E2107=0,"해당 없음",L2107/E2107)</x:f>
        <x:v>0.3867924528301887</x:v>
      </x:c>
      <x:c r="U2107" s="15" t="n">
        <x:f>IF(E2107=0,"해당 없음",M2107/E2107)</x:f>
        <x:v>0.3584905660377358</x:v>
      </x:c>
      <x:c r="V2107" s="16" t="n">
        <x:f>E2107/5</x:f>
        <x:v>21.2</x:v>
      </x:c>
    </x:row>
    <x:row r="2108" ht="22" customHeight="1">
      <x:c r="A2108" s="2" t="n">
        <x:v>1052</x:v>
      </x:c>
      <x:c r="B2108" s="2" t="str">
        <x:v>RED</x:v>
      </x:c>
      <x:c r="C2108" s="2" t="str">
        <x:v>240만</x:v>
      </x:c>
      <x:c r="D2108" s="2" t="str">
        <x:v>160만</x:v>
      </x:c>
      <x:c r="E2108" s="14" t="n">
        <x:f>SUM(F2108:M2108)</x:f>
        <x:v>103</x:v>
      </x:c>
      <x:c r="F2108" s="14" t="n">
        <x:v>1</x:v>
      </x:c>
      <x:c r="G2108" s="14" t="n">
        <x:v>11</x:v>
      </x:c>
      <x:c r="H2108" s="14" t="n">
        <x:v>2</x:v>
      </x:c>
      <x:c r="I2108" s="14" t="n">
        <x:v>12</x:v>
      </x:c>
      <x:c r="J2108" s="14" t="n">
        <x:v>0</x:v>
      </x:c>
      <x:c r="K2108" s="14" t="n">
        <x:v>5</x:v>
      </x:c>
      <x:c r="L2108" s="14" t="n">
        <x:v>41</x:v>
      </x:c>
      <x:c r="M2108" s="14" t="n">
        <x:v>31</x:v>
      </x:c>
      <x:c r="N2108" s="15" t="n">
        <x:f>IF(E2108=0,"해당 없음",F2108/E2108)</x:f>
        <x:v>0.009708737864077669</x:v>
      </x:c>
      <x:c r="O2108" s="15" t="n">
        <x:f>IF(E2108=0,"해당 없음",G2108/E2108)</x:f>
        <x:v>0.10679611650485436</x:v>
      </x:c>
      <x:c r="P2108" s="15" t="n">
        <x:f>IF(E2108=0,"해당 없음",H2108/E2108)</x:f>
        <x:v>0.019417475728155338</x:v>
      </x:c>
      <x:c r="Q2108" s="15" t="n">
        <x:f>IF(E2108=0,"해당 없음",I2108/E2108)</x:f>
        <x:v>0.11650485436893204</x:v>
      </x:c>
      <x:c r="R2108" s="15" t="n">
        <x:f>IF(E2108=0,"해당 없음",J2108/E2108)</x:f>
        <x:v>0</x:v>
      </x:c>
      <x:c r="S2108" s="15" t="n">
        <x:f>IF(E2108=0,"해당 없음",K2108/E2108)</x:f>
        <x:v>0.04854368932038835</x:v>
      </x:c>
      <x:c r="T2108" s="15" t="n">
        <x:f>IF(E2108=0,"해당 없음",L2108/E2108)</x:f>
        <x:v>0.39805825242718446</x:v>
      </x:c>
      <x:c r="U2108" s="15" t="n">
        <x:f>IF(E2108=0,"해당 없음",M2108/E2108)</x:f>
        <x:v>0.30097087378640774</x:v>
      </x:c>
      <x:c r="V2108" s="16" t="n">
        <x:f>E2108/5</x:f>
        <x:v>20.6</x:v>
      </x:c>
    </x:row>
    <x:row r="2109" ht="22" customHeight="1">
      <x:c r="A2109" s="2" t="n">
        <x:v>1052</x:v>
      </x:c>
      <x:c r="B2109" s="2" t="str">
        <x:v>NAVY</x:v>
      </x:c>
      <x:c r="C2109" s="2" t="str">
        <x:v>160만</x:v>
      </x:c>
      <x:c r="D2109" s="2" t="str">
        <x:v>240만</x:v>
      </x:c>
      <x:c r="E2109" s="14" t="n">
        <x:f>SUM(F2109:M2109)</x:f>
        <x:v>102</x:v>
      </x:c>
      <x:c r="F2109" s="14" t="n">
        <x:v>2</x:v>
      </x:c>
      <x:c r="G2109" s="14" t="n">
        <x:v>23</x:v>
      </x:c>
      <x:c r="H2109" s="14" t="n">
        <x:v>1</x:v>
      </x:c>
      <x:c r="I2109" s="14" t="n">
        <x:v>4</x:v>
      </x:c>
      <x:c r="J2109" s="14" t="n">
        <x:v>8</x:v>
      </x:c>
      <x:c r="K2109" s="14" t="n">
        <x:v>8</x:v>
      </x:c>
      <x:c r="L2109" s="14" t="n">
        <x:v>33</x:v>
      </x:c>
      <x:c r="M2109" s="14" t="n">
        <x:v>23</x:v>
      </x:c>
      <x:c r="N2109" s="15" t="n">
        <x:f>IF(E2109=0,"해당 없음",F2109/E2109)</x:f>
        <x:v>0.0196078431372549</x:v>
      </x:c>
      <x:c r="O2109" s="15" t="n">
        <x:f>IF(E2109=0,"해당 없음",G2109/E2109)</x:f>
        <x:v>0.22549019607843138</x:v>
      </x:c>
      <x:c r="P2109" s="15" t="n">
        <x:f>IF(E2109=0,"해당 없음",H2109/E2109)</x:f>
        <x:v>0.00980392156862745</x:v>
      </x:c>
      <x:c r="Q2109" s="15" t="n">
        <x:f>IF(E2109=0,"해당 없음",I2109/E2109)</x:f>
        <x:v>0.0392156862745098</x:v>
      </x:c>
      <x:c r="R2109" s="15" t="n">
        <x:f>IF(E2109=0,"해당 없음",J2109/E2109)</x:f>
        <x:v>0.0784313725490196</x:v>
      </x:c>
      <x:c r="S2109" s="15" t="n">
        <x:f>IF(E2109=0,"해당 없음",K2109/E2109)</x:f>
        <x:v>0.0784313725490196</x:v>
      </x:c>
      <x:c r="T2109" s="15" t="n">
        <x:f>IF(E2109=0,"해당 없음",L2109/E2109)</x:f>
        <x:v>0.3235294117647059</x:v>
      </x:c>
      <x:c r="U2109" s="15" t="n">
        <x:f>IF(E2109=0,"해당 없음",M2109/E2109)</x:f>
        <x:v>0.22549019607843138</x:v>
      </x:c>
      <x:c r="V2109" s="16" t="n">
        <x:f>E2109/5</x:f>
        <x:v>20.4</x:v>
      </x:c>
    </x:row>
    <x:row r="2110" ht="22" customHeight="1">
      <x:c r="A2110" s="2" t="n">
        <x:v>1053</x:v>
      </x:c>
      <x:c r="B2110" s="2" t="str">
        <x:v>RED</x:v>
      </x:c>
      <x:c r="C2110" s="2" t="str">
        <x:v>160만</x:v>
      </x:c>
      <x:c r="D2110" s="2" t="str">
        <x:v>240만</x:v>
      </x:c>
      <x:c r="E2110" s="14" t="n">
        <x:f>SUM(F2110:M2110)</x:f>
        <x:v>104</x:v>
      </x:c>
      <x:c r="F2110" s="14" t="n">
        <x:v>4</x:v>
      </x:c>
      <x:c r="G2110" s="14" t="n">
        <x:v>14</x:v>
      </x:c>
      <x:c r="H2110" s="14" t="n">
        <x:v>5</x:v>
      </x:c>
      <x:c r="I2110" s="14" t="n">
        <x:v>7</x:v>
      </x:c>
      <x:c r="J2110" s="14" t="n">
        <x:v>6</x:v>
      </x:c>
      <x:c r="K2110" s="14" t="n">
        <x:v>6</x:v>
      </x:c>
      <x:c r="L2110" s="14" t="n">
        <x:v>33</x:v>
      </x:c>
      <x:c r="M2110" s="14" t="n">
        <x:v>29</x:v>
      </x:c>
      <x:c r="N2110" s="15" t="n">
        <x:f>IF(E2110=0,"해당 없음",F2110/E2110)</x:f>
        <x:v>0.038461538461538464</x:v>
      </x:c>
      <x:c r="O2110" s="15" t="n">
        <x:f>IF(E2110=0,"해당 없음",G2110/E2110)</x:f>
        <x:v>0.1346153846153846</x:v>
      </x:c>
      <x:c r="P2110" s="15" t="n">
        <x:f>IF(E2110=0,"해당 없음",H2110/E2110)</x:f>
        <x:v>0.04807692307692308</x:v>
      </x:c>
      <x:c r="Q2110" s="15" t="n">
        <x:f>IF(E2110=0,"해당 없음",I2110/E2110)</x:f>
        <x:v>0.0673076923076923</x:v>
      </x:c>
      <x:c r="R2110" s="15" t="n">
        <x:f>IF(E2110=0,"해당 없음",J2110/E2110)</x:f>
        <x:v>0.057692307692307696</x:v>
      </x:c>
      <x:c r="S2110" s="15" t="n">
        <x:f>IF(E2110=0,"해당 없음",K2110/E2110)</x:f>
        <x:v>0.057692307692307696</x:v>
      </x:c>
      <x:c r="T2110" s="15" t="n">
        <x:f>IF(E2110=0,"해당 없음",L2110/E2110)</x:f>
        <x:v>0.3173076923076923</x:v>
      </x:c>
      <x:c r="U2110" s="15" t="n">
        <x:f>IF(E2110=0,"해당 없음",M2110/E2110)</x:f>
        <x:v>0.27884615384615385</x:v>
      </x:c>
      <x:c r="V2110" s="16" t="n">
        <x:f>E2110/5</x:f>
        <x:v>20.8</x:v>
      </x:c>
    </x:row>
    <x:row r="2111" ht="22" customHeight="1">
      <x:c r="A2111" s="2" t="n">
        <x:v>1053</x:v>
      </x:c>
      <x:c r="B2111" s="2" t="str">
        <x:v>NAVY</x:v>
      </x:c>
      <x:c r="C2111" s="2" t="str">
        <x:v>240만</x:v>
      </x:c>
      <x:c r="D2111" s="2" t="str">
        <x:v>160만</x:v>
      </x:c>
      <x:c r="E2111" s="14" t="n">
        <x:f>SUM(F2111:M2111)</x:f>
        <x:v>105</x:v>
      </x:c>
      <x:c r="F2111" s="14" t="n">
        <x:v>0</x:v>
      </x:c>
      <x:c r="G2111" s="14" t="n">
        <x:v>10</x:v>
      </x:c>
      <x:c r="H2111" s="14" t="n">
        <x:v>2</x:v>
      </x:c>
      <x:c r="I2111" s="14" t="n">
        <x:v>7</x:v>
      </x:c>
      <x:c r="J2111" s="14" t="n">
        <x:v>4</x:v>
      </x:c>
      <x:c r="K2111" s="14" t="n">
        <x:v>2</x:v>
      </x:c>
      <x:c r="L2111" s="14" t="n">
        <x:v>40</x:v>
      </x:c>
      <x:c r="M2111" s="14" t="n">
        <x:v>40</x:v>
      </x:c>
      <x:c r="N2111" s="15" t="n">
        <x:f>IF(E2111=0,"해당 없음",F2111/E2111)</x:f>
        <x:v>0</x:v>
      </x:c>
      <x:c r="O2111" s="15" t="n">
        <x:f>IF(E2111=0,"해당 없음",G2111/E2111)</x:f>
        <x:v>0.09523809523809523</x:v>
      </x:c>
      <x:c r="P2111" s="15" t="n">
        <x:f>IF(E2111=0,"해당 없음",H2111/E2111)</x:f>
        <x:v>0.01904761904761905</x:v>
      </x:c>
      <x:c r="Q2111" s="15" t="n">
        <x:f>IF(E2111=0,"해당 없음",I2111/E2111)</x:f>
        <x:v>0.06666666666666667</x:v>
      </x:c>
      <x:c r="R2111" s="15" t="n">
        <x:f>IF(E2111=0,"해당 없음",J2111/E2111)</x:f>
        <x:v>0.0380952380952381</x:v>
      </x:c>
      <x:c r="S2111" s="15" t="n">
        <x:f>IF(E2111=0,"해당 없음",K2111/E2111)</x:f>
        <x:v>0.01904761904761905</x:v>
      </x:c>
      <x:c r="T2111" s="15" t="n">
        <x:f>IF(E2111=0,"해당 없음",L2111/E2111)</x:f>
        <x:v>0.38095238095238093</x:v>
      </x:c>
      <x:c r="U2111" s="15" t="n">
        <x:f>IF(E2111=0,"해당 없음",M2111/E2111)</x:f>
        <x:v>0.38095238095238093</x:v>
      </x:c>
      <x:c r="V2111" s="16" t="n">
        <x:f>E2111/5</x:f>
        <x:v>21</x:v>
      </x:c>
    </x:row>
    <x:row r="2112" ht="22" customHeight="1">
      <x:c r="A2112" s="2" t="n">
        <x:v>1054</x:v>
      </x:c>
      <x:c r="B2112" s="2" t="str">
        <x:v>RED</x:v>
      </x:c>
      <x:c r="C2112" s="2" t="str">
        <x:v>240만</x:v>
      </x:c>
      <x:c r="D2112" s="2" t="str">
        <x:v>160만</x:v>
      </x:c>
      <x:c r="E2112" s="14" t="n">
        <x:f>SUM(F2112:M2112)</x:f>
        <x:v>105</x:v>
      </x:c>
      <x:c r="F2112" s="14" t="n">
        <x:v>0</x:v>
      </x:c>
      <x:c r="G2112" s="14" t="n">
        <x:v>5</x:v>
      </x:c>
      <x:c r="H2112" s="14" t="n">
        <x:v>3</x:v>
      </x:c>
      <x:c r="I2112" s="14" t="n">
        <x:v>7</x:v>
      </x:c>
      <x:c r="J2112" s="14" t="n">
        <x:v>1</x:v>
      </x:c>
      <x:c r="K2112" s="14" t="n">
        <x:v>3</x:v>
      </x:c>
      <x:c r="L2112" s="14" t="n">
        <x:v>44</x:v>
      </x:c>
      <x:c r="M2112" s="14" t="n">
        <x:v>42</x:v>
      </x:c>
      <x:c r="N2112" s="15" t="n">
        <x:f>IF(E2112=0,"해당 없음",F2112/E2112)</x:f>
        <x:v>0</x:v>
      </x:c>
      <x:c r="O2112" s="15" t="n">
        <x:f>IF(E2112=0,"해당 없음",G2112/E2112)</x:f>
        <x:v>0.047619047619047616</x:v>
      </x:c>
      <x:c r="P2112" s="15" t="n">
        <x:f>IF(E2112=0,"해당 없음",H2112/E2112)</x:f>
        <x:v>0.02857142857142857</x:v>
      </x:c>
      <x:c r="Q2112" s="15" t="n">
        <x:f>IF(E2112=0,"해당 없음",I2112/E2112)</x:f>
        <x:v>0.06666666666666667</x:v>
      </x:c>
      <x:c r="R2112" s="15" t="n">
        <x:f>IF(E2112=0,"해당 없음",J2112/E2112)</x:f>
        <x:v>0.009523809523809525</x:v>
      </x:c>
      <x:c r="S2112" s="15" t="n">
        <x:f>IF(E2112=0,"해당 없음",K2112/E2112)</x:f>
        <x:v>0.02857142857142857</x:v>
      </x:c>
      <x:c r="T2112" s="15" t="n">
        <x:f>IF(E2112=0,"해당 없음",L2112/E2112)</x:f>
        <x:v>0.41904761904761906</x:v>
      </x:c>
      <x:c r="U2112" s="15" t="n">
        <x:f>IF(E2112=0,"해당 없음",M2112/E2112)</x:f>
        <x:v>0.4</x:v>
      </x:c>
      <x:c r="V2112" s="16" t="n">
        <x:f>E2112/5</x:f>
        <x:v>21</x:v>
      </x:c>
    </x:row>
    <x:row r="2113" ht="22" customHeight="1">
      <x:c r="A2113" s="2" t="n">
        <x:v>1054</x:v>
      </x:c>
      <x:c r="B2113" s="2" t="str">
        <x:v>NAVY</x:v>
      </x:c>
      <x:c r="C2113" s="2" t="str">
        <x:v>160만</x:v>
      </x:c>
      <x:c r="D2113" s="2" t="str">
        <x:v>240만</x:v>
      </x:c>
      <x:c r="E2113" s="14" t="n">
        <x:f>SUM(F2113:M2113)</x:f>
        <x:v>105</x:v>
      </x:c>
      <x:c r="F2113" s="14" t="n">
        <x:v>6</x:v>
      </x:c>
      <x:c r="G2113" s="14" t="n">
        <x:v>18</x:v>
      </x:c>
      <x:c r="H2113" s="14" t="n">
        <x:v>5</x:v>
      </x:c>
      <x:c r="I2113" s="14" t="n">
        <x:v>6</x:v>
      </x:c>
      <x:c r="J2113" s="14" t="n">
        <x:v>8</x:v>
      </x:c>
      <x:c r="K2113" s="14" t="n">
        <x:v>7</x:v>
      </x:c>
      <x:c r="L2113" s="14" t="n">
        <x:v>33</x:v>
      </x:c>
      <x:c r="M2113" s="14" t="n">
        <x:v>22</x:v>
      </x:c>
      <x:c r="N2113" s="15" t="n">
        <x:f>IF(E2113=0,"해당 없음",F2113/E2113)</x:f>
        <x:v>0.05714285714285714</x:v>
      </x:c>
      <x:c r="O2113" s="15" t="n">
        <x:f>IF(E2113=0,"해당 없음",G2113/E2113)</x:f>
        <x:v>0.17142857142857143</x:v>
      </x:c>
      <x:c r="P2113" s="15" t="n">
        <x:f>IF(E2113=0,"해당 없음",H2113/E2113)</x:f>
        <x:v>0.047619047619047616</x:v>
      </x:c>
      <x:c r="Q2113" s="15" t="n">
        <x:f>IF(E2113=0,"해당 없음",I2113/E2113)</x:f>
        <x:v>0.05714285714285714</x:v>
      </x:c>
      <x:c r="R2113" s="15" t="n">
        <x:f>IF(E2113=0,"해당 없음",J2113/E2113)</x:f>
        <x:v>0.0761904761904762</x:v>
      </x:c>
      <x:c r="S2113" s="15" t="n">
        <x:f>IF(E2113=0,"해당 없음",K2113/E2113)</x:f>
        <x:v>0.06666666666666667</x:v>
      </x:c>
      <x:c r="T2113" s="15" t="n">
        <x:f>IF(E2113=0,"해당 없음",L2113/E2113)</x:f>
        <x:v>0.3142857142857143</x:v>
      </x:c>
      <x:c r="U2113" s="15" t="n">
        <x:f>IF(E2113=0,"해당 없음",M2113/E2113)</x:f>
        <x:v>0.20952380952380953</x:v>
      </x:c>
      <x:c r="V2113" s="16" t="n">
        <x:f>E2113/5</x:f>
        <x:v>21</x:v>
      </x:c>
    </x:row>
    <x:row r="2114" ht="22" customHeight="1">
      <x:c r="A2114" s="2" t="n">
        <x:v>1055</x:v>
      </x:c>
      <x:c r="B2114" s="2" t="str">
        <x:v>RED</x:v>
      </x:c>
      <x:c r="C2114" s="2" t="str">
        <x:v>160만</x:v>
      </x:c>
      <x:c r="D2114" s="2" t="str">
        <x:v>240만</x:v>
      </x:c>
      <x:c r="E2114" s="14" t="n">
        <x:f>SUM(F2114:M2114)</x:f>
        <x:v>100</x:v>
      </x:c>
      <x:c r="F2114" s="14" t="n">
        <x:v>3</x:v>
      </x:c>
      <x:c r="G2114" s="14" t="n">
        <x:v>12</x:v>
      </x:c>
      <x:c r="H2114" s="14" t="n">
        <x:v>5</x:v>
      </x:c>
      <x:c r="I2114" s="14" t="n">
        <x:v>6</x:v>
      </x:c>
      <x:c r="J2114" s="14" t="n">
        <x:v>2</x:v>
      </x:c>
      <x:c r="K2114" s="14" t="n">
        <x:v>5</x:v>
      </x:c>
      <x:c r="L2114" s="14" t="n">
        <x:v>38</x:v>
      </x:c>
      <x:c r="M2114" s="14" t="n">
        <x:v>29</x:v>
      </x:c>
      <x:c r="N2114" s="15" t="n">
        <x:f>IF(E2114=0,"해당 없음",F2114/E2114)</x:f>
        <x:v>0.03</x:v>
      </x:c>
      <x:c r="O2114" s="15" t="n">
        <x:f>IF(E2114=0,"해당 없음",G2114/E2114)</x:f>
        <x:v>0.12</x:v>
      </x:c>
      <x:c r="P2114" s="15" t="n">
        <x:f>IF(E2114=0,"해당 없음",H2114/E2114)</x:f>
        <x:v>0.05</x:v>
      </x:c>
      <x:c r="Q2114" s="15" t="n">
        <x:f>IF(E2114=0,"해당 없음",I2114/E2114)</x:f>
        <x:v>0.06</x:v>
      </x:c>
      <x:c r="R2114" s="15" t="n">
        <x:f>IF(E2114=0,"해당 없음",J2114/E2114)</x:f>
        <x:v>0.02</x:v>
      </x:c>
      <x:c r="S2114" s="15" t="n">
        <x:f>IF(E2114=0,"해당 없음",K2114/E2114)</x:f>
        <x:v>0.05</x:v>
      </x:c>
      <x:c r="T2114" s="15" t="n">
        <x:f>IF(E2114=0,"해당 없음",L2114/E2114)</x:f>
        <x:v>0.38</x:v>
      </x:c>
      <x:c r="U2114" s="15" t="n">
        <x:f>IF(E2114=0,"해당 없음",M2114/E2114)</x:f>
        <x:v>0.29</x:v>
      </x:c>
      <x:c r="V2114" s="16" t="n">
        <x:f>E2114/5</x:f>
        <x:v>20</x:v>
      </x:c>
    </x:row>
    <x:row r="2115" ht="22" customHeight="1">
      <x:c r="A2115" s="2" t="n">
        <x:v>1055</x:v>
      </x:c>
      <x:c r="B2115" s="2" t="str">
        <x:v>NAVY</x:v>
      </x:c>
      <x:c r="C2115" s="2" t="str">
        <x:v>240만</x:v>
      </x:c>
      <x:c r="D2115" s="2" t="str">
        <x:v>160만</x:v>
      </x:c>
      <x:c r="E2115" s="14" t="n">
        <x:f>SUM(F2115:M2115)</x:f>
        <x:v>101</x:v>
      </x:c>
      <x:c r="F2115" s="14" t="n">
        <x:v>5</x:v>
      </x:c>
      <x:c r="G2115" s="14" t="n">
        <x:v>17</x:v>
      </x:c>
      <x:c r="H2115" s="14" t="n">
        <x:v>3</x:v>
      </x:c>
      <x:c r="I2115" s="14" t="n">
        <x:v>3</x:v>
      </x:c>
      <x:c r="J2115" s="14" t="n">
        <x:v>2</x:v>
      </x:c>
      <x:c r="K2115" s="14" t="n">
        <x:v>6</x:v>
      </x:c>
      <x:c r="L2115" s="14" t="n">
        <x:v>39</x:v>
      </x:c>
      <x:c r="M2115" s="14" t="n">
        <x:v>26</x:v>
      </x:c>
      <x:c r="N2115" s="15" t="n">
        <x:f>IF(E2115=0,"해당 없음",F2115/E2115)</x:f>
        <x:v>0.04950495049504951</x:v>
      </x:c>
      <x:c r="O2115" s="15" t="n">
        <x:f>IF(E2115=0,"해당 없음",G2115/E2115)</x:f>
        <x:v>0.16831683168316833</x:v>
      </x:c>
      <x:c r="P2115" s="15" t="n">
        <x:f>IF(E2115=0,"해당 없음",H2115/E2115)</x:f>
        <x:v>0.0297029702970297</x:v>
      </x:c>
      <x:c r="Q2115" s="15" t="n">
        <x:f>IF(E2115=0,"해당 없음",I2115/E2115)</x:f>
        <x:v>0.0297029702970297</x:v>
      </x:c>
      <x:c r="R2115" s="15" t="n">
        <x:f>IF(E2115=0,"해당 없음",J2115/E2115)</x:f>
        <x:v>0.019801980198019802</x:v>
      </x:c>
      <x:c r="S2115" s="15" t="n">
        <x:f>IF(E2115=0,"해당 없음",K2115/E2115)</x:f>
        <x:v>0.0594059405940594</x:v>
      </x:c>
      <x:c r="T2115" s="15" t="n">
        <x:f>IF(E2115=0,"해당 없음",L2115/E2115)</x:f>
        <x:v>0.38613861386138615</x:v>
      </x:c>
      <x:c r="U2115" s="15" t="n">
        <x:f>IF(E2115=0,"해당 없음",M2115/E2115)</x:f>
        <x:v>0.25742574257425743</x:v>
      </x:c>
      <x:c r="V2115" s="16" t="n">
        <x:f>E2115/5</x:f>
        <x:v>20.2</x:v>
      </x:c>
    </x:row>
    <x:row r="2116" ht="22" customHeight="1">
      <x:c r="A2116" s="2" t="n">
        <x:v>1056</x:v>
      </x:c>
      <x:c r="B2116" s="2" t="str">
        <x:v>RED</x:v>
      </x:c>
      <x:c r="C2116" s="2" t="str">
        <x:v>240만</x:v>
      </x:c>
      <x:c r="D2116" s="2" t="str">
        <x:v>160만</x:v>
      </x:c>
      <x:c r="E2116" s="14" t="n">
        <x:f>SUM(F2116:M2116)</x:f>
        <x:v>102</x:v>
      </x:c>
      <x:c r="F2116" s="14" t="n">
        <x:v>3</x:v>
      </x:c>
      <x:c r="G2116" s="14" t="n">
        <x:v>12</x:v>
      </x:c>
      <x:c r="H2116" s="14" t="n">
        <x:v>4</x:v>
      </x:c>
      <x:c r="I2116" s="14" t="n">
        <x:v>2</x:v>
      </x:c>
      <x:c r="J2116" s="14" t="n">
        <x:v>2</x:v>
      </x:c>
      <x:c r="K2116" s="14" t="n">
        <x:v>8</x:v>
      </x:c>
      <x:c r="L2116" s="14" t="n">
        <x:v>38</x:v>
      </x:c>
      <x:c r="M2116" s="14" t="n">
        <x:v>33</x:v>
      </x:c>
      <x:c r="N2116" s="15" t="n">
        <x:f>IF(E2116=0,"해당 없음",F2116/E2116)</x:f>
        <x:v>0.029411764705882353</x:v>
      </x:c>
      <x:c r="O2116" s="15" t="n">
        <x:f>IF(E2116=0,"해당 없음",G2116/E2116)</x:f>
        <x:v>0.11764705882352941</x:v>
      </x:c>
      <x:c r="P2116" s="15" t="n">
        <x:f>IF(E2116=0,"해당 없음",H2116/E2116)</x:f>
        <x:v>0.0392156862745098</x:v>
      </x:c>
      <x:c r="Q2116" s="15" t="n">
        <x:f>IF(E2116=0,"해당 없음",I2116/E2116)</x:f>
        <x:v>0.0196078431372549</x:v>
      </x:c>
      <x:c r="R2116" s="15" t="n">
        <x:f>IF(E2116=0,"해당 없음",J2116/E2116)</x:f>
        <x:v>0.0196078431372549</x:v>
      </x:c>
      <x:c r="S2116" s="15" t="n">
        <x:f>IF(E2116=0,"해당 없음",K2116/E2116)</x:f>
        <x:v>0.0784313725490196</x:v>
      </x:c>
      <x:c r="T2116" s="15" t="n">
        <x:f>IF(E2116=0,"해당 없음",L2116/E2116)</x:f>
        <x:v>0.37254901960784315</x:v>
      </x:c>
      <x:c r="U2116" s="15" t="n">
        <x:f>IF(E2116=0,"해당 없음",M2116/E2116)</x:f>
        <x:v>0.3235294117647059</x:v>
      </x:c>
      <x:c r="V2116" s="16" t="n">
        <x:f>E2116/5</x:f>
        <x:v>20.4</x:v>
      </x:c>
    </x:row>
    <x:row r="2117" ht="22" customHeight="1">
      <x:c r="A2117" s="2" t="n">
        <x:v>1056</x:v>
      </x:c>
      <x:c r="B2117" s="2" t="str">
        <x:v>NAVY</x:v>
      </x:c>
      <x:c r="C2117" s="2" t="str">
        <x:v>160만</x:v>
      </x:c>
      <x:c r="D2117" s="2" t="str">
        <x:v>240만</x:v>
      </x:c>
      <x:c r="E2117" s="14" t="n">
        <x:f>SUM(F2117:M2117)</x:f>
        <x:v>100</x:v>
      </x:c>
      <x:c r="F2117" s="14" t="n">
        <x:v>1</x:v>
      </x:c>
      <x:c r="G2117" s="14" t="n">
        <x:v>22</x:v>
      </x:c>
      <x:c r="H2117" s="14" t="n">
        <x:v>4</x:v>
      </x:c>
      <x:c r="I2117" s="14" t="n">
        <x:v>7</x:v>
      </x:c>
      <x:c r="J2117" s="14" t="n">
        <x:v>4</x:v>
      </x:c>
      <x:c r="K2117" s="14" t="n">
        <x:v>7</x:v>
      </x:c>
      <x:c r="L2117" s="14" t="n">
        <x:v>33</x:v>
      </x:c>
      <x:c r="M2117" s="14" t="n">
        <x:v>22</x:v>
      </x:c>
      <x:c r="N2117" s="15" t="n">
        <x:f>IF(E2117=0,"해당 없음",F2117/E2117)</x:f>
        <x:v>0.01</x:v>
      </x:c>
      <x:c r="O2117" s="15" t="n">
        <x:f>IF(E2117=0,"해당 없음",G2117/E2117)</x:f>
        <x:v>0.22</x:v>
      </x:c>
      <x:c r="P2117" s="15" t="n">
        <x:f>IF(E2117=0,"해당 없음",H2117/E2117)</x:f>
        <x:v>0.04</x:v>
      </x:c>
      <x:c r="Q2117" s="15" t="n">
        <x:f>IF(E2117=0,"해당 없음",I2117/E2117)</x:f>
        <x:v>0.07</x:v>
      </x:c>
      <x:c r="R2117" s="15" t="n">
        <x:f>IF(E2117=0,"해당 없음",J2117/E2117)</x:f>
        <x:v>0.04</x:v>
      </x:c>
      <x:c r="S2117" s="15" t="n">
        <x:f>IF(E2117=0,"해당 없음",K2117/E2117)</x:f>
        <x:v>0.07</x:v>
      </x:c>
      <x:c r="T2117" s="15" t="n">
        <x:f>IF(E2117=0,"해당 없음",L2117/E2117)</x:f>
        <x:v>0.33</x:v>
      </x:c>
      <x:c r="U2117" s="15" t="n">
        <x:f>IF(E2117=0,"해당 없음",M2117/E2117)</x:f>
        <x:v>0.22</x:v>
      </x:c>
      <x:c r="V2117" s="16" t="n">
        <x:f>E2117/5</x:f>
        <x:v>20</x:v>
      </x:c>
    </x:row>
    <x:row r="2118" ht="22" customHeight="1">
      <x:c r="A2118" s="2" t="n">
        <x:v>1057</x:v>
      </x:c>
      <x:c r="B2118" s="2" t="str">
        <x:v>RED</x:v>
      </x:c>
      <x:c r="C2118" s="2" t="str">
        <x:v>160만</x:v>
      </x:c>
      <x:c r="D2118" s="2" t="str">
        <x:v>240만</x:v>
      </x:c>
      <x:c r="E2118" s="14" t="n">
        <x:f>SUM(F2118:M2118)</x:f>
        <x:v>101</x:v>
      </x:c>
      <x:c r="F2118" s="14" t="n">
        <x:v>6</x:v>
      </x:c>
      <x:c r="G2118" s="14" t="n">
        <x:v>18</x:v>
      </x:c>
      <x:c r="H2118" s="14" t="n">
        <x:v>6</x:v>
      </x:c>
      <x:c r="I2118" s="14" t="n">
        <x:v>5</x:v>
      </x:c>
      <x:c r="J2118" s="14" t="n">
        <x:v>3</x:v>
      </x:c>
      <x:c r="K2118" s="14" t="n">
        <x:v>8</x:v>
      </x:c>
      <x:c r="L2118" s="14" t="n">
        <x:v>28</x:v>
      </x:c>
      <x:c r="M2118" s="14" t="n">
        <x:v>27</x:v>
      </x:c>
      <x:c r="N2118" s="15" t="n">
        <x:f>IF(E2118=0,"해당 없음",F2118/E2118)</x:f>
        <x:v>0.0594059405940594</x:v>
      </x:c>
      <x:c r="O2118" s="15" t="n">
        <x:f>IF(E2118=0,"해당 없음",G2118/E2118)</x:f>
        <x:v>0.1782178217821782</x:v>
      </x:c>
      <x:c r="P2118" s="15" t="n">
        <x:f>IF(E2118=0,"해당 없음",H2118/E2118)</x:f>
        <x:v>0.0594059405940594</x:v>
      </x:c>
      <x:c r="Q2118" s="15" t="n">
        <x:f>IF(E2118=0,"해당 없음",I2118/E2118)</x:f>
        <x:v>0.04950495049504951</x:v>
      </x:c>
      <x:c r="R2118" s="15" t="n">
        <x:f>IF(E2118=0,"해당 없음",J2118/E2118)</x:f>
        <x:v>0.0297029702970297</x:v>
      </x:c>
      <x:c r="S2118" s="15" t="n">
        <x:f>IF(E2118=0,"해당 없음",K2118/E2118)</x:f>
        <x:v>0.07920792079207921</x:v>
      </x:c>
      <x:c r="T2118" s="15" t="n">
        <x:f>IF(E2118=0,"해당 없음",L2118/E2118)</x:f>
        <x:v>0.27722772277227725</x:v>
      </x:c>
      <x:c r="U2118" s="15" t="n">
        <x:f>IF(E2118=0,"해당 없음",M2118/E2118)</x:f>
        <x:v>0.26732673267326734</x:v>
      </x:c>
      <x:c r="V2118" s="16" t="n">
        <x:f>E2118/5</x:f>
        <x:v>20.2</x:v>
      </x:c>
    </x:row>
    <x:row r="2119" ht="22" customHeight="1">
      <x:c r="A2119" s="2" t="n">
        <x:v>1057</x:v>
      </x:c>
      <x:c r="B2119" s="2" t="str">
        <x:v>NAVY</x:v>
      </x:c>
      <x:c r="C2119" s="2" t="str">
        <x:v>240만</x:v>
      </x:c>
      <x:c r="D2119" s="2" t="str">
        <x:v>160만</x:v>
      </x:c>
      <x:c r="E2119" s="14" t="n">
        <x:f>SUM(F2119:M2119)</x:f>
        <x:v>103</x:v>
      </x:c>
      <x:c r="F2119" s="14" t="n">
        <x:v>1</x:v>
      </x:c>
      <x:c r="G2119" s="14" t="n">
        <x:v>9</x:v>
      </x:c>
      <x:c r="H2119" s="14" t="n">
        <x:v>3</x:v>
      </x:c>
      <x:c r="I2119" s="14" t="n">
        <x:v>8</x:v>
      </x:c>
      <x:c r="J2119" s="14" t="n">
        <x:v>0</x:v>
      </x:c>
      <x:c r="K2119" s="14" t="n">
        <x:v>4</x:v>
      </x:c>
      <x:c r="L2119" s="14" t="n">
        <x:v>39</x:v>
      </x:c>
      <x:c r="M2119" s="14" t="n">
        <x:v>39</x:v>
      </x:c>
      <x:c r="N2119" s="15" t="n">
        <x:f>IF(E2119=0,"해당 없음",F2119/E2119)</x:f>
        <x:v>0.009708737864077669</x:v>
      </x:c>
      <x:c r="O2119" s="15" t="n">
        <x:f>IF(E2119=0,"해당 없음",G2119/E2119)</x:f>
        <x:v>0.08737864077669903</x:v>
      </x:c>
      <x:c r="P2119" s="15" t="n">
        <x:f>IF(E2119=0,"해당 없음",H2119/E2119)</x:f>
        <x:v>0.02912621359223301</x:v>
      </x:c>
      <x:c r="Q2119" s="15" t="n">
        <x:f>IF(E2119=0,"해당 없음",I2119/E2119)</x:f>
        <x:v>0.07766990291262135</x:v>
      </x:c>
      <x:c r="R2119" s="15" t="n">
        <x:f>IF(E2119=0,"해당 없음",J2119/E2119)</x:f>
        <x:v>0</x:v>
      </x:c>
      <x:c r="S2119" s="15" t="n">
        <x:f>IF(E2119=0,"해당 없음",K2119/E2119)</x:f>
        <x:v>0.038834951456310676</x:v>
      </x:c>
      <x:c r="T2119" s="15" t="n">
        <x:f>IF(E2119=0,"해당 없음",L2119/E2119)</x:f>
        <x:v>0.3786407766990291</x:v>
      </x:c>
      <x:c r="U2119" s="15" t="n">
        <x:f>IF(E2119=0,"해당 없음",M2119/E2119)</x:f>
        <x:v>0.3786407766990291</x:v>
      </x:c>
      <x:c r="V2119" s="16" t="n">
        <x:f>E2119/5</x:f>
        <x:v>20.6</x:v>
      </x:c>
    </x:row>
    <x:row r="2120" ht="22" customHeight="1">
      <x:c r="A2120" s="2" t="n">
        <x:v>1058</x:v>
      </x:c>
      <x:c r="B2120" s="2" t="str">
        <x:v>RED</x:v>
      </x:c>
      <x:c r="C2120" s="2" t="str">
        <x:v>240만</x:v>
      </x:c>
      <x:c r="D2120" s="2" t="str">
        <x:v>160만</x:v>
      </x:c>
      <x:c r="E2120" s="14" t="n">
        <x:f>SUM(F2120:M2120)</x:f>
        <x:v>104</x:v>
      </x:c>
      <x:c r="F2120" s="14" t="n">
        <x:v>1</x:v>
      </x:c>
      <x:c r="G2120" s="14" t="n">
        <x:v>11</x:v>
      </x:c>
      <x:c r="H2120" s="14" t="n">
        <x:v>4</x:v>
      </x:c>
      <x:c r="I2120" s="14" t="n">
        <x:v>8</x:v>
      </x:c>
      <x:c r="J2120" s="14" t="n">
        <x:v>0</x:v>
      </x:c>
      <x:c r="K2120" s="14" t="n">
        <x:v>2</x:v>
      </x:c>
      <x:c r="L2120" s="14" t="n">
        <x:v>40</x:v>
      </x:c>
      <x:c r="M2120" s="14" t="n">
        <x:v>38</x:v>
      </x:c>
      <x:c r="N2120" s="15" t="n">
        <x:f>IF(E2120=0,"해당 없음",F2120/E2120)</x:f>
        <x:v>0.009615384615384616</x:v>
      </x:c>
      <x:c r="O2120" s="15" t="n">
        <x:f>IF(E2120=0,"해당 없음",G2120/E2120)</x:f>
        <x:v>0.10576923076923077</x:v>
      </x:c>
      <x:c r="P2120" s="15" t="n">
        <x:f>IF(E2120=0,"해당 없음",H2120/E2120)</x:f>
        <x:v>0.038461538461538464</x:v>
      </x:c>
      <x:c r="Q2120" s="15" t="n">
        <x:f>IF(E2120=0,"해당 없음",I2120/E2120)</x:f>
        <x:v>0.07692307692307693</x:v>
      </x:c>
      <x:c r="R2120" s="15" t="n">
        <x:f>IF(E2120=0,"해당 없음",J2120/E2120)</x:f>
        <x:v>0</x:v>
      </x:c>
      <x:c r="S2120" s="15" t="n">
        <x:f>IF(E2120=0,"해당 없음",K2120/E2120)</x:f>
        <x:v>0.019230769230769232</x:v>
      </x:c>
      <x:c r="T2120" s="15" t="n">
        <x:f>IF(E2120=0,"해당 없음",L2120/E2120)</x:f>
        <x:v>0.38461538461538464</x:v>
      </x:c>
      <x:c r="U2120" s="15" t="n">
        <x:f>IF(E2120=0,"해당 없음",M2120/E2120)</x:f>
        <x:v>0.36538461538461536</x:v>
      </x:c>
      <x:c r="V2120" s="16" t="n">
        <x:f>E2120/5</x:f>
        <x:v>20.8</x:v>
      </x:c>
    </x:row>
    <x:row r="2121" ht="22" customHeight="1">
      <x:c r="A2121" s="2" t="n">
        <x:v>1058</x:v>
      </x:c>
      <x:c r="B2121" s="2" t="str">
        <x:v>NAVY</x:v>
      </x:c>
      <x:c r="C2121" s="2" t="str">
        <x:v>160만</x:v>
      </x:c>
      <x:c r="D2121" s="2" t="str">
        <x:v>240만</x:v>
      </x:c>
      <x:c r="E2121" s="14" t="n">
        <x:f>SUM(F2121:M2121)</x:f>
        <x:v>102</x:v>
      </x:c>
      <x:c r="F2121" s="14" t="n">
        <x:v>2</x:v>
      </x:c>
      <x:c r="G2121" s="14" t="n">
        <x:v>14</x:v>
      </x:c>
      <x:c r="H2121" s="14" t="n">
        <x:v>2</x:v>
      </x:c>
      <x:c r="I2121" s="14" t="n">
        <x:v>3</x:v>
      </x:c>
      <x:c r="J2121" s="14" t="n">
        <x:v>3</x:v>
      </x:c>
      <x:c r="K2121" s="14" t="n">
        <x:v>16</x:v>
      </x:c>
      <x:c r="L2121" s="14" t="n">
        <x:v>33</x:v>
      </x:c>
      <x:c r="M2121" s="14" t="n">
        <x:v>29</x:v>
      </x:c>
      <x:c r="N2121" s="15" t="n">
        <x:f>IF(E2121=0,"해당 없음",F2121/E2121)</x:f>
        <x:v>0.0196078431372549</x:v>
      </x:c>
      <x:c r="O2121" s="15" t="n">
        <x:f>IF(E2121=0,"해당 없음",G2121/E2121)</x:f>
        <x:v>0.13725490196078433</x:v>
      </x:c>
      <x:c r="P2121" s="15" t="n">
        <x:f>IF(E2121=0,"해당 없음",H2121/E2121)</x:f>
        <x:v>0.0196078431372549</x:v>
      </x:c>
      <x:c r="Q2121" s="15" t="n">
        <x:f>IF(E2121=0,"해당 없음",I2121/E2121)</x:f>
        <x:v>0.029411764705882353</x:v>
      </x:c>
      <x:c r="R2121" s="15" t="n">
        <x:f>IF(E2121=0,"해당 없음",J2121/E2121)</x:f>
        <x:v>0.029411764705882353</x:v>
      </x:c>
      <x:c r="S2121" s="15" t="n">
        <x:f>IF(E2121=0,"해당 없음",K2121/E2121)</x:f>
        <x:v>0.1568627450980392</x:v>
      </x:c>
      <x:c r="T2121" s="15" t="n">
        <x:f>IF(E2121=0,"해당 없음",L2121/E2121)</x:f>
        <x:v>0.3235294117647059</x:v>
      </x:c>
      <x:c r="U2121" s="15" t="n">
        <x:f>IF(E2121=0,"해당 없음",M2121/E2121)</x:f>
        <x:v>0.28431372549019607</x:v>
      </x:c>
      <x:c r="V2121" s="16" t="n">
        <x:f>E2121/5</x:f>
        <x:v>20.4</x:v>
      </x:c>
    </x:row>
    <x:row r="2122" ht="22" customHeight="1">
      <x:c r="A2122" s="2" t="n">
        <x:v>1059</x:v>
      </x:c>
      <x:c r="B2122" s="2" t="str">
        <x:v>RED</x:v>
      </x:c>
      <x:c r="C2122" s="2" t="str">
        <x:v>160만</x:v>
      </x:c>
      <x:c r="D2122" s="2" t="str">
        <x:v>240만</x:v>
      </x:c>
      <x:c r="E2122" s="14" t="n">
        <x:f>SUM(F2122:M2122)</x:f>
        <x:v>101</x:v>
      </x:c>
      <x:c r="F2122" s="14" t="n">
        <x:v>5</x:v>
      </x:c>
      <x:c r="G2122" s="14" t="n">
        <x:v>12</x:v>
      </x:c>
      <x:c r="H2122" s="14" t="n">
        <x:v>2</x:v>
      </x:c>
      <x:c r="I2122" s="14" t="n">
        <x:v>3</x:v>
      </x:c>
      <x:c r="J2122" s="14" t="n">
        <x:v>1</x:v>
      </x:c>
      <x:c r="K2122" s="14" t="n">
        <x:v>6</x:v>
      </x:c>
      <x:c r="L2122" s="14" t="n">
        <x:v>30</x:v>
      </x:c>
      <x:c r="M2122" s="14" t="n">
        <x:v>42</x:v>
      </x:c>
      <x:c r="N2122" s="15" t="n">
        <x:f>IF(E2122=0,"해당 없음",F2122/E2122)</x:f>
        <x:v>0.04950495049504951</x:v>
      </x:c>
      <x:c r="O2122" s="15" t="n">
        <x:f>IF(E2122=0,"해당 없음",G2122/E2122)</x:f>
        <x:v>0.1188118811881188</x:v>
      </x:c>
      <x:c r="P2122" s="15" t="n">
        <x:f>IF(E2122=0,"해당 없음",H2122/E2122)</x:f>
        <x:v>0.019801980198019802</x:v>
      </x:c>
      <x:c r="Q2122" s="15" t="n">
        <x:f>IF(E2122=0,"해당 없음",I2122/E2122)</x:f>
        <x:v>0.0297029702970297</x:v>
      </x:c>
      <x:c r="R2122" s="15" t="n">
        <x:f>IF(E2122=0,"해당 없음",J2122/E2122)</x:f>
        <x:v>0.009900990099009901</x:v>
      </x:c>
      <x:c r="S2122" s="15" t="n">
        <x:f>IF(E2122=0,"해당 없음",K2122/E2122)</x:f>
        <x:v>0.0594059405940594</x:v>
      </x:c>
      <x:c r="T2122" s="15" t="n">
        <x:f>IF(E2122=0,"해당 없음",L2122/E2122)</x:f>
        <x:v>0.297029702970297</x:v>
      </x:c>
      <x:c r="U2122" s="15" t="n">
        <x:f>IF(E2122=0,"해당 없음",M2122/E2122)</x:f>
        <x:v>0.4158415841584158</x:v>
      </x:c>
      <x:c r="V2122" s="16" t="n">
        <x:f>E2122/5</x:f>
        <x:v>20.2</x:v>
      </x:c>
    </x:row>
    <x:row r="2123" ht="22" customHeight="1">
      <x:c r="A2123" s="2" t="n">
        <x:v>1059</x:v>
      </x:c>
      <x:c r="B2123" s="2" t="str">
        <x:v>NAVY</x:v>
      </x:c>
      <x:c r="C2123" s="2" t="str">
        <x:v>240만</x:v>
      </x:c>
      <x:c r="D2123" s="2" t="str">
        <x:v>160만</x:v>
      </x:c>
      <x:c r="E2123" s="14" t="n">
        <x:f>SUM(F2123:M2123)</x:f>
        <x:v>101</x:v>
      </x:c>
      <x:c r="F2123" s="14" t="n">
        <x:v>4</x:v>
      </x:c>
      <x:c r="G2123" s="14" t="n">
        <x:v>16</x:v>
      </x:c>
      <x:c r="H2123" s="14" t="n">
        <x:v>5</x:v>
      </x:c>
      <x:c r="I2123" s="14" t="n">
        <x:v>1</x:v>
      </x:c>
      <x:c r="J2123" s="14" t="n">
        <x:v>1</x:v>
      </x:c>
      <x:c r="K2123" s="14" t="n">
        <x:v>6</x:v>
      </x:c>
      <x:c r="L2123" s="14" t="n">
        <x:v>36</x:v>
      </x:c>
      <x:c r="M2123" s="14" t="n">
        <x:v>32</x:v>
      </x:c>
      <x:c r="N2123" s="15" t="n">
        <x:f>IF(E2123=0,"해당 없음",F2123/E2123)</x:f>
        <x:v>0.039603960396039604</x:v>
      </x:c>
      <x:c r="O2123" s="15" t="n">
        <x:f>IF(E2123=0,"해당 없음",G2123/E2123)</x:f>
        <x:v>0.15841584158415842</x:v>
      </x:c>
      <x:c r="P2123" s="15" t="n">
        <x:f>IF(E2123=0,"해당 없음",H2123/E2123)</x:f>
        <x:v>0.04950495049504951</x:v>
      </x:c>
      <x:c r="Q2123" s="15" t="n">
        <x:f>IF(E2123=0,"해당 없음",I2123/E2123)</x:f>
        <x:v>0.009900990099009901</x:v>
      </x:c>
      <x:c r="R2123" s="15" t="n">
        <x:f>IF(E2123=0,"해당 없음",J2123/E2123)</x:f>
        <x:v>0.009900990099009901</x:v>
      </x:c>
      <x:c r="S2123" s="15" t="n">
        <x:f>IF(E2123=0,"해당 없음",K2123/E2123)</x:f>
        <x:v>0.0594059405940594</x:v>
      </x:c>
      <x:c r="T2123" s="15" t="n">
        <x:f>IF(E2123=0,"해당 없음",L2123/E2123)</x:f>
        <x:v>0.3564356435643564</x:v>
      </x:c>
      <x:c r="U2123" s="15" t="n">
        <x:f>IF(E2123=0,"해당 없음",M2123/E2123)</x:f>
        <x:v>0.31683168316831684</x:v>
      </x:c>
      <x:c r="V2123" s="16" t="n">
        <x:f>E2123/5</x:f>
        <x:v>20.2</x:v>
      </x:c>
    </x:row>
    <x:row r="2124" ht="22" customHeight="1">
      <x:c r="A2124" s="2" t="n">
        <x:v>1060</x:v>
      </x:c>
      <x:c r="B2124" s="2" t="str">
        <x:v>RED</x:v>
      </x:c>
      <x:c r="C2124" s="2" t="str">
        <x:v>240만</x:v>
      </x:c>
      <x:c r="D2124" s="2" t="str">
        <x:v>160만</x:v>
      </x:c>
      <x:c r="E2124" s="14" t="n">
        <x:f>SUM(F2124:M2124)</x:f>
        <x:v>102</x:v>
      </x:c>
      <x:c r="F2124" s="14" t="n">
        <x:v>4</x:v>
      </x:c>
      <x:c r="G2124" s="14" t="n">
        <x:v>15</x:v>
      </x:c>
      <x:c r="H2124" s="14" t="n">
        <x:v>6</x:v>
      </x:c>
      <x:c r="I2124" s="14" t="n">
        <x:v>4</x:v>
      </x:c>
      <x:c r="J2124" s="14" t="n">
        <x:v>1</x:v>
      </x:c>
      <x:c r="K2124" s="14" t="n">
        <x:v>4</x:v>
      </x:c>
      <x:c r="L2124" s="14" t="n">
        <x:v>36</x:v>
      </x:c>
      <x:c r="M2124" s="14" t="n">
        <x:v>32</x:v>
      </x:c>
      <x:c r="N2124" s="15" t="n">
        <x:f>IF(E2124=0,"해당 없음",F2124/E2124)</x:f>
        <x:v>0.0392156862745098</x:v>
      </x:c>
      <x:c r="O2124" s="15" t="n">
        <x:f>IF(E2124=0,"해당 없음",G2124/E2124)</x:f>
        <x:v>0.14705882352941177</x:v>
      </x:c>
      <x:c r="P2124" s="15" t="n">
        <x:f>IF(E2124=0,"해당 없음",H2124/E2124)</x:f>
        <x:v>0.058823529411764705</x:v>
      </x:c>
      <x:c r="Q2124" s="15" t="n">
        <x:f>IF(E2124=0,"해당 없음",I2124/E2124)</x:f>
        <x:v>0.0392156862745098</x:v>
      </x:c>
      <x:c r="R2124" s="15" t="n">
        <x:f>IF(E2124=0,"해당 없음",J2124/E2124)</x:f>
        <x:v>0.00980392156862745</x:v>
      </x:c>
      <x:c r="S2124" s="15" t="n">
        <x:f>IF(E2124=0,"해당 없음",K2124/E2124)</x:f>
        <x:v>0.0392156862745098</x:v>
      </x:c>
      <x:c r="T2124" s="15" t="n">
        <x:f>IF(E2124=0,"해당 없음",L2124/E2124)</x:f>
        <x:v>0.35294117647058826</x:v>
      </x:c>
      <x:c r="U2124" s="15" t="n">
        <x:f>IF(E2124=0,"해당 없음",M2124/E2124)</x:f>
        <x:v>0.3137254901960784</x:v>
      </x:c>
      <x:c r="V2124" s="16" t="n">
        <x:f>E2124/5</x:f>
        <x:v>20.4</x:v>
      </x:c>
    </x:row>
    <x:row r="2125" ht="22" customHeight="1">
      <x:c r="A2125" s="2" t="n">
        <x:v>1060</x:v>
      </x:c>
      <x:c r="B2125" s="2" t="str">
        <x:v>NAVY</x:v>
      </x:c>
      <x:c r="C2125" s="2" t="str">
        <x:v>160만</x:v>
      </x:c>
      <x:c r="D2125" s="2" t="str">
        <x:v>240만</x:v>
      </x:c>
      <x:c r="E2125" s="14" t="n">
        <x:f>SUM(F2125:M2125)</x:f>
        <x:v>102</x:v>
      </x:c>
      <x:c r="F2125" s="14" t="n">
        <x:v>0</x:v>
      </x:c>
      <x:c r="G2125" s="14" t="n">
        <x:v>20</x:v>
      </x:c>
      <x:c r="H2125" s="14" t="n">
        <x:v>5</x:v>
      </x:c>
      <x:c r="I2125" s="14" t="n">
        <x:v>6</x:v>
      </x:c>
      <x:c r="J2125" s="14" t="n">
        <x:v>4</x:v>
      </x:c>
      <x:c r="K2125" s="14" t="n">
        <x:v>11</x:v>
      </x:c>
      <x:c r="L2125" s="14" t="n">
        <x:v>28</x:v>
      </x:c>
      <x:c r="M2125" s="14" t="n">
        <x:v>28</x:v>
      </x:c>
      <x:c r="N2125" s="15" t="n">
        <x:f>IF(E2125=0,"해당 없음",F2125/E2125)</x:f>
        <x:v>0</x:v>
      </x:c>
      <x:c r="O2125" s="15" t="n">
        <x:f>IF(E2125=0,"해당 없음",G2125/E2125)</x:f>
        <x:v>0.19607843137254902</x:v>
      </x:c>
      <x:c r="P2125" s="15" t="n">
        <x:f>IF(E2125=0,"해당 없음",H2125/E2125)</x:f>
        <x:v>0.049019607843137254</x:v>
      </x:c>
      <x:c r="Q2125" s="15" t="n">
        <x:f>IF(E2125=0,"해당 없음",I2125/E2125)</x:f>
        <x:v>0.058823529411764705</x:v>
      </x:c>
      <x:c r="R2125" s="15" t="n">
        <x:f>IF(E2125=0,"해당 없음",J2125/E2125)</x:f>
        <x:v>0.0392156862745098</x:v>
      </x:c>
      <x:c r="S2125" s="15" t="n">
        <x:f>IF(E2125=0,"해당 없음",K2125/E2125)</x:f>
        <x:v>0.10784313725490197</x:v>
      </x:c>
      <x:c r="T2125" s="15" t="n">
        <x:f>IF(E2125=0,"해당 없음",L2125/E2125)</x:f>
        <x:v>0.27450980392156865</x:v>
      </x:c>
      <x:c r="U2125" s="15" t="n">
        <x:f>IF(E2125=0,"해당 없음",M2125/E2125)</x:f>
        <x:v>0.27450980392156865</x:v>
      </x:c>
      <x:c r="V2125" s="16" t="n">
        <x:f>E2125/5</x:f>
        <x:v>20.4</x:v>
      </x:c>
    </x:row>
    <x:row r="2126" ht="22" customHeight="1">
      <x:c r="A2126" s="2" t="n">
        <x:v>1061</x:v>
      </x:c>
      <x:c r="B2126" s="2" t="str">
        <x:v>RED</x:v>
      </x:c>
      <x:c r="C2126" s="2" t="str">
        <x:v>160만</x:v>
      </x:c>
      <x:c r="D2126" s="2" t="str">
        <x:v>240만</x:v>
      </x:c>
      <x:c r="E2126" s="14" t="n">
        <x:f>SUM(F2126:M2126)</x:f>
        <x:v>105</x:v>
      </x:c>
      <x:c r="F2126" s="14" t="n">
        <x:v>2</x:v>
      </x:c>
      <x:c r="G2126" s="14" t="n">
        <x:v>15</x:v>
      </x:c>
      <x:c r="H2126" s="14" t="n">
        <x:v>4</x:v>
      </x:c>
      <x:c r="I2126" s="14" t="n">
        <x:v>2</x:v>
      </x:c>
      <x:c r="J2126" s="14" t="n">
        <x:v>4</x:v>
      </x:c>
      <x:c r="K2126" s="14" t="n">
        <x:v>5</x:v>
      </x:c>
      <x:c r="L2126" s="14" t="n">
        <x:v>41</x:v>
      </x:c>
      <x:c r="M2126" s="14" t="n">
        <x:v>32</x:v>
      </x:c>
      <x:c r="N2126" s="15" t="n">
        <x:f>IF(E2126=0,"해당 없음",F2126/E2126)</x:f>
        <x:v>0.01904761904761905</x:v>
      </x:c>
      <x:c r="O2126" s="15" t="n">
        <x:f>IF(E2126=0,"해당 없음",G2126/E2126)</x:f>
        <x:v>0.14285714285714285</x:v>
      </x:c>
      <x:c r="P2126" s="15" t="n">
        <x:f>IF(E2126=0,"해당 없음",H2126/E2126)</x:f>
        <x:v>0.0380952380952381</x:v>
      </x:c>
      <x:c r="Q2126" s="15" t="n">
        <x:f>IF(E2126=0,"해당 없음",I2126/E2126)</x:f>
        <x:v>0.01904761904761905</x:v>
      </x:c>
      <x:c r="R2126" s="15" t="n">
        <x:f>IF(E2126=0,"해당 없음",J2126/E2126)</x:f>
        <x:v>0.0380952380952381</x:v>
      </x:c>
      <x:c r="S2126" s="15" t="n">
        <x:f>IF(E2126=0,"해당 없음",K2126/E2126)</x:f>
        <x:v>0.047619047619047616</x:v>
      </x:c>
      <x:c r="T2126" s="15" t="n">
        <x:f>IF(E2126=0,"해당 없음",L2126/E2126)</x:f>
        <x:v>0.3904761904761905</x:v>
      </x:c>
      <x:c r="U2126" s="15" t="n">
        <x:f>IF(E2126=0,"해당 없음",M2126/E2126)</x:f>
        <x:v>0.3047619047619048</x:v>
      </x:c>
      <x:c r="V2126" s="16" t="n">
        <x:f>E2126/5</x:f>
        <x:v>21</x:v>
      </x:c>
    </x:row>
    <x:row r="2127" ht="22" customHeight="1">
      <x:c r="A2127" s="2" t="n">
        <x:v>1061</x:v>
      </x:c>
      <x:c r="B2127" s="2" t="str">
        <x:v>NAVY</x:v>
      </x:c>
      <x:c r="C2127" s="2" t="str">
        <x:v>240만</x:v>
      </x:c>
      <x:c r="D2127" s="2" t="str">
        <x:v>160만</x:v>
      </x:c>
      <x:c r="E2127" s="14" t="n">
        <x:f>SUM(F2127:M2127)</x:f>
        <x:v>104</x:v>
      </x:c>
      <x:c r="F2127" s="14" t="n">
        <x:v>4</x:v>
      </x:c>
      <x:c r="G2127" s="14" t="n">
        <x:v>6</x:v>
      </x:c>
      <x:c r="H2127" s="14" t="n">
        <x:v>1</x:v>
      </x:c>
      <x:c r="I2127" s="14" t="n">
        <x:v>1</x:v>
      </x:c>
      <x:c r="J2127" s="14" t="n">
        <x:v>5</x:v>
      </x:c>
      <x:c r="K2127" s="14" t="n">
        <x:v>1</x:v>
      </x:c>
      <x:c r="L2127" s="14" t="n">
        <x:v>41</x:v>
      </x:c>
      <x:c r="M2127" s="14" t="n">
        <x:v>45</x:v>
      </x:c>
      <x:c r="N2127" s="15" t="n">
        <x:f>IF(E2127=0,"해당 없음",F2127/E2127)</x:f>
        <x:v>0.038461538461538464</x:v>
      </x:c>
      <x:c r="O2127" s="15" t="n">
        <x:f>IF(E2127=0,"해당 없음",G2127/E2127)</x:f>
        <x:v>0.057692307692307696</x:v>
      </x:c>
      <x:c r="P2127" s="15" t="n">
        <x:f>IF(E2127=0,"해당 없음",H2127/E2127)</x:f>
        <x:v>0.009615384615384616</x:v>
      </x:c>
      <x:c r="Q2127" s="15" t="n">
        <x:f>IF(E2127=0,"해당 없음",I2127/E2127)</x:f>
        <x:v>0.009615384615384616</x:v>
      </x:c>
      <x:c r="R2127" s="15" t="n">
        <x:f>IF(E2127=0,"해당 없음",J2127/E2127)</x:f>
        <x:v>0.04807692307692308</x:v>
      </x:c>
      <x:c r="S2127" s="15" t="n">
        <x:f>IF(E2127=0,"해당 없음",K2127/E2127)</x:f>
        <x:v>0.009615384615384616</x:v>
      </x:c>
      <x:c r="T2127" s="15" t="n">
        <x:f>IF(E2127=0,"해당 없음",L2127/E2127)</x:f>
        <x:v>0.3942307692307692</x:v>
      </x:c>
      <x:c r="U2127" s="15" t="n">
        <x:f>IF(E2127=0,"해당 없음",M2127/E2127)</x:f>
        <x:v>0.4326923076923077</x:v>
      </x:c>
      <x:c r="V2127" s="16" t="n">
        <x:f>E2127/5</x:f>
        <x:v>20.8</x:v>
      </x:c>
    </x:row>
    <x:row r="2128" ht="22" customHeight="1">
      <x:c r="A2128" s="2" t="n">
        <x:v>1062</x:v>
      </x:c>
      <x:c r="B2128" s="2" t="str">
        <x:v>RED</x:v>
      </x:c>
      <x:c r="C2128" s="2" t="str">
        <x:v>240만</x:v>
      </x:c>
      <x:c r="D2128" s="2" t="str">
        <x:v>160만</x:v>
      </x:c>
      <x:c r="E2128" s="14" t="n">
        <x:f>SUM(F2128:M2128)</x:f>
        <x:v>105</x:v>
      </x:c>
      <x:c r="F2128" s="14" t="n">
        <x:v>5</x:v>
      </x:c>
      <x:c r="G2128" s="14" t="n">
        <x:v>4</x:v>
      </x:c>
      <x:c r="H2128" s="14" t="n">
        <x:v>3</x:v>
      </x:c>
      <x:c r="I2128" s="14" t="n">
        <x:v>5</x:v>
      </x:c>
      <x:c r="J2128" s="14" t="n">
        <x:v>3</x:v>
      </x:c>
      <x:c r="K2128" s="14" t="n">
        <x:v>0</x:v>
      </x:c>
      <x:c r="L2128" s="14" t="n">
        <x:v>42</x:v>
      </x:c>
      <x:c r="M2128" s="14" t="n">
        <x:v>43</x:v>
      </x:c>
      <x:c r="N2128" s="15" t="n">
        <x:f>IF(E2128=0,"해당 없음",F2128/E2128)</x:f>
        <x:v>0.047619047619047616</x:v>
      </x:c>
      <x:c r="O2128" s="15" t="n">
        <x:f>IF(E2128=0,"해당 없음",G2128/E2128)</x:f>
        <x:v>0.0380952380952381</x:v>
      </x:c>
      <x:c r="P2128" s="15" t="n">
        <x:f>IF(E2128=0,"해당 없음",H2128/E2128)</x:f>
        <x:v>0.02857142857142857</x:v>
      </x:c>
      <x:c r="Q2128" s="15" t="n">
        <x:f>IF(E2128=0,"해당 없음",I2128/E2128)</x:f>
        <x:v>0.047619047619047616</x:v>
      </x:c>
      <x:c r="R2128" s="15" t="n">
        <x:f>IF(E2128=0,"해당 없음",J2128/E2128)</x:f>
        <x:v>0.02857142857142857</x:v>
      </x:c>
      <x:c r="S2128" s="15" t="n">
        <x:f>IF(E2128=0,"해당 없음",K2128/E2128)</x:f>
        <x:v>0</x:v>
      </x:c>
      <x:c r="T2128" s="15" t="n">
        <x:f>IF(E2128=0,"해당 없음",L2128/E2128)</x:f>
        <x:v>0.4</x:v>
      </x:c>
      <x:c r="U2128" s="15" t="n">
        <x:f>IF(E2128=0,"해당 없음",M2128/E2128)</x:f>
        <x:v>0.4095238095238095</x:v>
      </x:c>
      <x:c r="V2128" s="16" t="n">
        <x:f>E2128/5</x:f>
        <x:v>21</x:v>
      </x:c>
    </x:row>
    <x:row r="2129" ht="22" customHeight="1">
      <x:c r="A2129" s="2" t="n">
        <x:v>1062</x:v>
      </x:c>
      <x:c r="B2129" s="2" t="str">
        <x:v>NAVY</x:v>
      </x:c>
      <x:c r="C2129" s="2" t="str">
        <x:v>160만</x:v>
      </x:c>
      <x:c r="D2129" s="2" t="str">
        <x:v>240만</x:v>
      </x:c>
      <x:c r="E2129" s="14" t="n">
        <x:f>SUM(F2129:M2129)</x:f>
        <x:v>102</x:v>
      </x:c>
      <x:c r="F2129" s="14" t="n">
        <x:v>0</x:v>
      </x:c>
      <x:c r="G2129" s="14" t="n">
        <x:v>14</x:v>
      </x:c>
      <x:c r="H2129" s="14" t="n">
        <x:v>8</x:v>
      </x:c>
      <x:c r="I2129" s="14" t="n">
        <x:v>3</x:v>
      </x:c>
      <x:c r="J2129" s="14" t="n">
        <x:v>5</x:v>
      </x:c>
      <x:c r="K2129" s="14" t="n">
        <x:v>4</x:v>
      </x:c>
      <x:c r="L2129" s="14" t="n">
        <x:v>38</x:v>
      </x:c>
      <x:c r="M2129" s="14" t="n">
        <x:v>30</x:v>
      </x:c>
      <x:c r="N2129" s="15" t="n">
        <x:f>IF(E2129=0,"해당 없음",F2129/E2129)</x:f>
        <x:v>0</x:v>
      </x:c>
      <x:c r="O2129" s="15" t="n">
        <x:f>IF(E2129=0,"해당 없음",G2129/E2129)</x:f>
        <x:v>0.13725490196078433</x:v>
      </x:c>
      <x:c r="P2129" s="15" t="n">
        <x:f>IF(E2129=0,"해당 없음",H2129/E2129)</x:f>
        <x:v>0.0784313725490196</x:v>
      </x:c>
      <x:c r="Q2129" s="15" t="n">
        <x:f>IF(E2129=0,"해당 없음",I2129/E2129)</x:f>
        <x:v>0.029411764705882353</x:v>
      </x:c>
      <x:c r="R2129" s="15" t="n">
        <x:f>IF(E2129=0,"해당 없음",J2129/E2129)</x:f>
        <x:v>0.049019607843137254</x:v>
      </x:c>
      <x:c r="S2129" s="15" t="n">
        <x:f>IF(E2129=0,"해당 없음",K2129/E2129)</x:f>
        <x:v>0.0392156862745098</x:v>
      </x:c>
      <x:c r="T2129" s="15" t="n">
        <x:f>IF(E2129=0,"해당 없음",L2129/E2129)</x:f>
        <x:v>0.37254901960784315</x:v>
      </x:c>
      <x:c r="U2129" s="15" t="n">
        <x:f>IF(E2129=0,"해당 없음",M2129/E2129)</x:f>
        <x:v>0.29411764705882354</x:v>
      </x:c>
      <x:c r="V2129" s="16" t="n">
        <x:f>E2129/5</x:f>
        <x:v>20.4</x:v>
      </x:c>
    </x:row>
    <x:row r="2130" ht="22" customHeight="1">
      <x:c r="A2130" s="2" t="n">
        <x:v>1063</x:v>
      </x:c>
      <x:c r="B2130" s="2" t="str">
        <x:v>RED</x:v>
      </x:c>
      <x:c r="C2130" s="2" t="str">
        <x:v>160만</x:v>
      </x:c>
      <x:c r="D2130" s="2" t="str">
        <x:v>240만</x:v>
      </x:c>
      <x:c r="E2130" s="14" t="n">
        <x:f>SUM(F2130:M2130)</x:f>
        <x:v>105</x:v>
      </x:c>
      <x:c r="F2130" s="14" t="n">
        <x:v>6</x:v>
      </x:c>
      <x:c r="G2130" s="14" t="n">
        <x:v>15</x:v>
      </x:c>
      <x:c r="H2130" s="14" t="n">
        <x:v>6</x:v>
      </x:c>
      <x:c r="I2130" s="14" t="n">
        <x:v>8</x:v>
      </x:c>
      <x:c r="J2130" s="14" t="n">
        <x:v>4</x:v>
      </x:c>
      <x:c r="K2130" s="14" t="n">
        <x:v>3</x:v>
      </x:c>
      <x:c r="L2130" s="14" t="n">
        <x:v>36</x:v>
      </x:c>
      <x:c r="M2130" s="14" t="n">
        <x:v>27</x:v>
      </x:c>
      <x:c r="N2130" s="15" t="n">
        <x:f>IF(E2130=0,"해당 없음",F2130/E2130)</x:f>
        <x:v>0.05714285714285714</x:v>
      </x:c>
      <x:c r="O2130" s="15" t="n">
        <x:f>IF(E2130=0,"해당 없음",G2130/E2130)</x:f>
        <x:v>0.14285714285714285</x:v>
      </x:c>
      <x:c r="P2130" s="15" t="n">
        <x:f>IF(E2130=0,"해당 없음",H2130/E2130)</x:f>
        <x:v>0.05714285714285714</x:v>
      </x:c>
      <x:c r="Q2130" s="15" t="n">
        <x:f>IF(E2130=0,"해당 없음",I2130/E2130)</x:f>
        <x:v>0.0761904761904762</x:v>
      </x:c>
      <x:c r="R2130" s="15" t="n">
        <x:f>IF(E2130=0,"해당 없음",J2130/E2130)</x:f>
        <x:v>0.0380952380952381</x:v>
      </x:c>
      <x:c r="S2130" s="15" t="n">
        <x:f>IF(E2130=0,"해당 없음",K2130/E2130)</x:f>
        <x:v>0.02857142857142857</x:v>
      </x:c>
      <x:c r="T2130" s="15" t="n">
        <x:f>IF(E2130=0,"해당 없음",L2130/E2130)</x:f>
        <x:v>0.34285714285714286</x:v>
      </x:c>
      <x:c r="U2130" s="15" t="n">
        <x:f>IF(E2130=0,"해당 없음",M2130/E2130)</x:f>
        <x:v>0.2571428571428571</x:v>
      </x:c>
      <x:c r="V2130" s="16" t="n">
        <x:f>E2130/5</x:f>
        <x:v>21</x:v>
      </x:c>
    </x:row>
    <x:row r="2131" ht="22" customHeight="1">
      <x:c r="A2131" s="2" t="n">
        <x:v>1063</x:v>
      </x:c>
      <x:c r="B2131" s="2" t="str">
        <x:v>NAVY</x:v>
      </x:c>
      <x:c r="C2131" s="2" t="str">
        <x:v>240만</x:v>
      </x:c>
      <x:c r="D2131" s="2" t="str">
        <x:v>160만</x:v>
      </x:c>
      <x:c r="E2131" s="14" t="n">
        <x:f>SUM(F2131:M2131)</x:f>
        <x:v>105</x:v>
      </x:c>
      <x:c r="F2131" s="14" t="n">
        <x:v>1</x:v>
      </x:c>
      <x:c r="G2131" s="14" t="n">
        <x:v>9</x:v>
      </x:c>
      <x:c r="H2131" s="14" t="n">
        <x:v>3</x:v>
      </x:c>
      <x:c r="I2131" s="14" t="n">
        <x:v>8</x:v>
      </x:c>
      <x:c r="J2131" s="14" t="n">
        <x:v>4</x:v>
      </x:c>
      <x:c r="K2131" s="14" t="n">
        <x:v>5</x:v>
      </x:c>
      <x:c r="L2131" s="14" t="n">
        <x:v>45</x:v>
      </x:c>
      <x:c r="M2131" s="14" t="n">
        <x:v>30</x:v>
      </x:c>
      <x:c r="N2131" s="15" t="n">
        <x:f>IF(E2131=0,"해당 없음",F2131/E2131)</x:f>
        <x:v>0.009523809523809525</x:v>
      </x:c>
      <x:c r="O2131" s="15" t="n">
        <x:f>IF(E2131=0,"해당 없음",G2131/E2131)</x:f>
        <x:v>0.08571428571428572</x:v>
      </x:c>
      <x:c r="P2131" s="15" t="n">
        <x:f>IF(E2131=0,"해당 없음",H2131/E2131)</x:f>
        <x:v>0.02857142857142857</x:v>
      </x:c>
      <x:c r="Q2131" s="15" t="n">
        <x:f>IF(E2131=0,"해당 없음",I2131/E2131)</x:f>
        <x:v>0.0761904761904762</x:v>
      </x:c>
      <x:c r="R2131" s="15" t="n">
        <x:f>IF(E2131=0,"해당 없음",J2131/E2131)</x:f>
        <x:v>0.0380952380952381</x:v>
      </x:c>
      <x:c r="S2131" s="15" t="n">
        <x:f>IF(E2131=0,"해당 없음",K2131/E2131)</x:f>
        <x:v>0.047619047619047616</x:v>
      </x:c>
      <x:c r="T2131" s="15" t="n">
        <x:f>IF(E2131=0,"해당 없음",L2131/E2131)</x:f>
        <x:v>0.42857142857142855</x:v>
      </x:c>
      <x:c r="U2131" s="15" t="n">
        <x:f>IF(E2131=0,"해당 없음",M2131/E2131)</x:f>
        <x:v>0.2857142857142857</x:v>
      </x:c>
      <x:c r="V2131" s="16" t="n">
        <x:f>E2131/5</x:f>
        <x:v>21</x:v>
      </x:c>
    </x:row>
    <x:row r="2132" ht="22" customHeight="1">
      <x:c r="A2132" s="2" t="n">
        <x:v>1064</x:v>
      </x:c>
      <x:c r="B2132" s="2" t="str">
        <x:v>RED</x:v>
      </x:c>
      <x:c r="C2132" s="2" t="str">
        <x:v>240만</x:v>
      </x:c>
      <x:c r="D2132" s="2" t="str">
        <x:v>160만</x:v>
      </x:c>
      <x:c r="E2132" s="14" t="n">
        <x:f>SUM(F2132:M2132)</x:f>
        <x:v>103</x:v>
      </x:c>
      <x:c r="F2132" s="14" t="n">
        <x:v>3</x:v>
      </x:c>
      <x:c r="G2132" s="14" t="n">
        <x:v>12</x:v>
      </x:c>
      <x:c r="H2132" s="14" t="n">
        <x:v>3</x:v>
      </x:c>
      <x:c r="I2132" s="14" t="n">
        <x:v>6</x:v>
      </x:c>
      <x:c r="J2132" s="14" t="n">
        <x:v>1</x:v>
      </x:c>
      <x:c r="K2132" s="14" t="n">
        <x:v>5</x:v>
      </x:c>
      <x:c r="L2132" s="14" t="n">
        <x:v>46</x:v>
      </x:c>
      <x:c r="M2132" s="14" t="n">
        <x:v>27</x:v>
      </x:c>
      <x:c r="N2132" s="15" t="n">
        <x:f>IF(E2132=0,"해당 없음",F2132/E2132)</x:f>
        <x:v>0.02912621359223301</x:v>
      </x:c>
      <x:c r="O2132" s="15" t="n">
        <x:f>IF(E2132=0,"해당 없음",G2132/E2132)</x:f>
        <x:v>0.11650485436893204</x:v>
      </x:c>
      <x:c r="P2132" s="15" t="n">
        <x:f>IF(E2132=0,"해당 없음",H2132/E2132)</x:f>
        <x:v>0.02912621359223301</x:v>
      </x:c>
      <x:c r="Q2132" s="15" t="n">
        <x:f>IF(E2132=0,"해당 없음",I2132/E2132)</x:f>
        <x:v>0.05825242718446602</x:v>
      </x:c>
      <x:c r="R2132" s="15" t="n">
        <x:f>IF(E2132=0,"해당 없음",J2132/E2132)</x:f>
        <x:v>0.009708737864077669</x:v>
      </x:c>
      <x:c r="S2132" s="15" t="n">
        <x:f>IF(E2132=0,"해당 없음",K2132/E2132)</x:f>
        <x:v>0.04854368932038835</x:v>
      </x:c>
      <x:c r="T2132" s="15" t="n">
        <x:f>IF(E2132=0,"해당 없음",L2132/E2132)</x:f>
        <x:v>0.44660194174757284</x:v>
      </x:c>
      <x:c r="U2132" s="15" t="n">
        <x:f>IF(E2132=0,"해당 없음",M2132/E2132)</x:f>
        <x:v>0.2621359223300971</x:v>
      </x:c>
      <x:c r="V2132" s="16" t="n">
        <x:f>E2132/5</x:f>
        <x:v>20.6</x:v>
      </x:c>
    </x:row>
    <x:row r="2133" ht="22" customHeight="1">
      <x:c r="A2133" s="2" t="n">
        <x:v>1064</x:v>
      </x:c>
      <x:c r="B2133" s="2" t="str">
        <x:v>NAVY</x:v>
      </x:c>
      <x:c r="C2133" s="2" t="str">
        <x:v>160만</x:v>
      </x:c>
      <x:c r="D2133" s="2" t="str">
        <x:v>240만</x:v>
      </x:c>
      <x:c r="E2133" s="14" t="n">
        <x:f>SUM(F2133:M2133)</x:f>
        <x:v>104</x:v>
      </x:c>
      <x:c r="F2133" s="14" t="n">
        <x:v>6</x:v>
      </x:c>
      <x:c r="G2133" s="14" t="n">
        <x:v>17</x:v>
      </x:c>
      <x:c r="H2133" s="14" t="n">
        <x:v>5</x:v>
      </x:c>
      <x:c r="I2133" s="14" t="n">
        <x:v>10</x:v>
      </x:c>
      <x:c r="J2133" s="14" t="n">
        <x:v>1</x:v>
      </x:c>
      <x:c r="K2133" s="14" t="n">
        <x:v>5</x:v>
      </x:c>
      <x:c r="L2133" s="14" t="n">
        <x:v>37</x:v>
      </x:c>
      <x:c r="M2133" s="14" t="n">
        <x:v>23</x:v>
      </x:c>
      <x:c r="N2133" s="15" t="n">
        <x:f>IF(E2133=0,"해당 없음",F2133/E2133)</x:f>
        <x:v>0.057692307692307696</x:v>
      </x:c>
      <x:c r="O2133" s="15" t="n">
        <x:f>IF(E2133=0,"해당 없음",G2133/E2133)</x:f>
        <x:v>0.16346153846153846</x:v>
      </x:c>
      <x:c r="P2133" s="15" t="n">
        <x:f>IF(E2133=0,"해당 없음",H2133/E2133)</x:f>
        <x:v>0.04807692307692308</x:v>
      </x:c>
      <x:c r="Q2133" s="15" t="n">
        <x:f>IF(E2133=0,"해당 없음",I2133/E2133)</x:f>
        <x:v>0.09615384615384616</x:v>
      </x:c>
      <x:c r="R2133" s="15" t="n">
        <x:f>IF(E2133=0,"해당 없음",J2133/E2133)</x:f>
        <x:v>0.009615384615384616</x:v>
      </x:c>
      <x:c r="S2133" s="15" t="n">
        <x:f>IF(E2133=0,"해당 없음",K2133/E2133)</x:f>
        <x:v>0.04807692307692308</x:v>
      </x:c>
      <x:c r="T2133" s="15" t="n">
        <x:f>IF(E2133=0,"해당 없음",L2133/E2133)</x:f>
        <x:v>0.3557692307692308</x:v>
      </x:c>
      <x:c r="U2133" s="15" t="n">
        <x:f>IF(E2133=0,"해당 없음",M2133/E2133)</x:f>
        <x:v>0.22115384615384615</x:v>
      </x:c>
      <x:c r="V2133" s="16" t="n">
        <x:f>E2133/5</x:f>
        <x:v>20.8</x:v>
      </x:c>
    </x:row>
    <x:row r="2134" ht="22" customHeight="1">
      <x:c r="A2134" s="2" t="n">
        <x:v>1065</x:v>
      </x:c>
      <x:c r="B2134" s="2" t="str">
        <x:v>RED</x:v>
      </x:c>
      <x:c r="C2134" s="2" t="str">
        <x:v>160만</x:v>
      </x:c>
      <x:c r="D2134" s="2" t="str">
        <x:v>240만</x:v>
      </x:c>
      <x:c r="E2134" s="14" t="n">
        <x:f>SUM(F2134:M2134)</x:f>
        <x:v>103</x:v>
      </x:c>
      <x:c r="F2134" s="14" t="n">
        <x:v>3</x:v>
      </x:c>
      <x:c r="G2134" s="14" t="n">
        <x:v>13</x:v>
      </x:c>
      <x:c r="H2134" s="14" t="n">
        <x:v>5</x:v>
      </x:c>
      <x:c r="I2134" s="14" t="n">
        <x:v>4</x:v>
      </x:c>
      <x:c r="J2134" s="14" t="n">
        <x:v>5</x:v>
      </x:c>
      <x:c r="K2134" s="14" t="n">
        <x:v>9</x:v>
      </x:c>
      <x:c r="L2134" s="14" t="n">
        <x:v>35</x:v>
      </x:c>
      <x:c r="M2134" s="14" t="n">
        <x:v>29</x:v>
      </x:c>
      <x:c r="N2134" s="15" t="n">
        <x:f>IF(E2134=0,"해당 없음",F2134/E2134)</x:f>
        <x:v>0.02912621359223301</x:v>
      </x:c>
      <x:c r="O2134" s="15" t="n">
        <x:f>IF(E2134=0,"해당 없음",G2134/E2134)</x:f>
        <x:v>0.1262135922330097</x:v>
      </x:c>
      <x:c r="P2134" s="15" t="n">
        <x:f>IF(E2134=0,"해당 없음",H2134/E2134)</x:f>
        <x:v>0.04854368932038835</x:v>
      </x:c>
      <x:c r="Q2134" s="15" t="n">
        <x:f>IF(E2134=0,"해당 없음",I2134/E2134)</x:f>
        <x:v>0.038834951456310676</x:v>
      </x:c>
      <x:c r="R2134" s="15" t="n">
        <x:f>IF(E2134=0,"해당 없음",J2134/E2134)</x:f>
        <x:v>0.04854368932038835</x:v>
      </x:c>
      <x:c r="S2134" s="15" t="n">
        <x:f>IF(E2134=0,"해당 없음",K2134/E2134)</x:f>
        <x:v>0.08737864077669903</x:v>
      </x:c>
      <x:c r="T2134" s="15" t="n">
        <x:f>IF(E2134=0,"해당 없음",L2134/E2134)</x:f>
        <x:v>0.33980582524271846</x:v>
      </x:c>
      <x:c r="U2134" s="15" t="n">
        <x:f>IF(E2134=0,"해당 없음",M2134/E2134)</x:f>
        <x:v>0.2815533980582524</x:v>
      </x:c>
      <x:c r="V2134" s="16" t="n">
        <x:f>E2134/5</x:f>
        <x:v>20.6</x:v>
      </x:c>
    </x:row>
    <x:row r="2135" ht="22" customHeight="1">
      <x:c r="A2135" s="2" t="n">
        <x:v>1065</x:v>
      </x:c>
      <x:c r="B2135" s="2" t="str">
        <x:v>NAVY</x:v>
      </x:c>
      <x:c r="C2135" s="2" t="str">
        <x:v>240만</x:v>
      </x:c>
      <x:c r="D2135" s="2" t="str">
        <x:v>160만</x:v>
      </x:c>
      <x:c r="E2135" s="14" t="n">
        <x:f>SUM(F2135:M2135)</x:f>
        <x:v>103</x:v>
      </x:c>
      <x:c r="F2135" s="14" t="n">
        <x:v>3</x:v>
      </x:c>
      <x:c r="G2135" s="14" t="n">
        <x:v>12</x:v>
      </x:c>
      <x:c r="H2135" s="14" t="n">
        <x:v>3</x:v>
      </x:c>
      <x:c r="I2135" s="14" t="n">
        <x:v>1</x:v>
      </x:c>
      <x:c r="J2135" s="14" t="n">
        <x:v>2</x:v>
      </x:c>
      <x:c r="K2135" s="14" t="n">
        <x:v>5</x:v>
      </x:c>
      <x:c r="L2135" s="14" t="n">
        <x:v>31</x:v>
      </x:c>
      <x:c r="M2135" s="14" t="n">
        <x:v>46</x:v>
      </x:c>
      <x:c r="N2135" s="15" t="n">
        <x:f>IF(E2135=0,"해당 없음",F2135/E2135)</x:f>
        <x:v>0.02912621359223301</x:v>
      </x:c>
      <x:c r="O2135" s="15" t="n">
        <x:f>IF(E2135=0,"해당 없음",G2135/E2135)</x:f>
        <x:v>0.11650485436893204</x:v>
      </x:c>
      <x:c r="P2135" s="15" t="n">
        <x:f>IF(E2135=0,"해당 없음",H2135/E2135)</x:f>
        <x:v>0.02912621359223301</x:v>
      </x:c>
      <x:c r="Q2135" s="15" t="n">
        <x:f>IF(E2135=0,"해당 없음",I2135/E2135)</x:f>
        <x:v>0.009708737864077669</x:v>
      </x:c>
      <x:c r="R2135" s="15" t="n">
        <x:f>IF(E2135=0,"해당 없음",J2135/E2135)</x:f>
        <x:v>0.019417475728155338</x:v>
      </x:c>
      <x:c r="S2135" s="15" t="n">
        <x:f>IF(E2135=0,"해당 없음",K2135/E2135)</x:f>
        <x:v>0.04854368932038835</x:v>
      </x:c>
      <x:c r="T2135" s="15" t="n">
        <x:f>IF(E2135=0,"해당 없음",L2135/E2135)</x:f>
        <x:v>0.30097087378640774</x:v>
      </x:c>
      <x:c r="U2135" s="15" t="n">
        <x:f>IF(E2135=0,"해당 없음",M2135/E2135)</x:f>
        <x:v>0.44660194174757284</x:v>
      </x:c>
      <x:c r="V2135" s="16" t="n">
        <x:f>E2135/5</x:f>
        <x:v>20.6</x:v>
      </x:c>
    </x:row>
    <x:row r="2136" ht="22" customHeight="1">
      <x:c r="A2136" s="2" t="n">
        <x:v>1066</x:v>
      </x:c>
      <x:c r="B2136" s="2" t="str">
        <x:v>RED</x:v>
      </x:c>
      <x:c r="C2136" s="2" t="str">
        <x:v>240만</x:v>
      </x:c>
      <x:c r="D2136" s="2" t="str">
        <x:v>160만</x:v>
      </x:c>
      <x:c r="E2136" s="14" t="n">
        <x:f>SUM(F2136:M2136)</x:f>
        <x:v>104</x:v>
      </x:c>
      <x:c r="F2136" s="14" t="n">
        <x:v>2</x:v>
      </x:c>
      <x:c r="G2136" s="14" t="n">
        <x:v>16</x:v>
      </x:c>
      <x:c r="H2136" s="14" t="n">
        <x:v>7</x:v>
      </x:c>
      <x:c r="I2136" s="14" t="n">
        <x:v>3</x:v>
      </x:c>
      <x:c r="J2136" s="14" t="n">
        <x:v>0</x:v>
      </x:c>
      <x:c r="K2136" s="14" t="n">
        <x:v>5</x:v>
      </x:c>
      <x:c r="L2136" s="14" t="n">
        <x:v>37</x:v>
      </x:c>
      <x:c r="M2136" s="14" t="n">
        <x:v>34</x:v>
      </x:c>
      <x:c r="N2136" s="15" t="n">
        <x:f>IF(E2136=0,"해당 없음",F2136/E2136)</x:f>
        <x:v>0.019230769230769232</x:v>
      </x:c>
      <x:c r="O2136" s="15" t="n">
        <x:f>IF(E2136=0,"해당 없음",G2136/E2136)</x:f>
        <x:v>0.15384615384615385</x:v>
      </x:c>
      <x:c r="P2136" s="15" t="n">
        <x:f>IF(E2136=0,"해당 없음",H2136/E2136)</x:f>
        <x:v>0.0673076923076923</x:v>
      </x:c>
      <x:c r="Q2136" s="15" t="n">
        <x:f>IF(E2136=0,"해당 없음",I2136/E2136)</x:f>
        <x:v>0.028846153846153848</x:v>
      </x:c>
      <x:c r="R2136" s="15" t="n">
        <x:f>IF(E2136=0,"해당 없음",J2136/E2136)</x:f>
        <x:v>0</x:v>
      </x:c>
      <x:c r="S2136" s="15" t="n">
        <x:f>IF(E2136=0,"해당 없음",K2136/E2136)</x:f>
        <x:v>0.04807692307692308</x:v>
      </x:c>
      <x:c r="T2136" s="15" t="n">
        <x:f>IF(E2136=0,"해당 없음",L2136/E2136)</x:f>
        <x:v>0.3557692307692308</x:v>
      </x:c>
      <x:c r="U2136" s="15" t="n">
        <x:f>IF(E2136=0,"해당 없음",M2136/E2136)</x:f>
        <x:v>0.3269230769230769</x:v>
      </x:c>
      <x:c r="V2136" s="16" t="n">
        <x:f>E2136/5</x:f>
        <x:v>20.8</x:v>
      </x:c>
    </x:row>
    <x:row r="2137" ht="22" customHeight="1">
      <x:c r="A2137" s="2" t="n">
        <x:v>1066</x:v>
      </x:c>
      <x:c r="B2137" s="2" t="str">
        <x:v>NAVY</x:v>
      </x:c>
      <x:c r="C2137" s="2" t="str">
        <x:v>160만</x:v>
      </x:c>
      <x:c r="D2137" s="2" t="str">
        <x:v>240만</x:v>
      </x:c>
      <x:c r="E2137" s="14" t="n">
        <x:f>SUM(F2137:M2137)</x:f>
        <x:v>103</x:v>
      </x:c>
      <x:c r="F2137" s="14" t="n">
        <x:v>2</x:v>
      </x:c>
      <x:c r="G2137" s="14" t="n">
        <x:v>13</x:v>
      </x:c>
      <x:c r="H2137" s="14" t="n">
        <x:v>6</x:v>
      </x:c>
      <x:c r="I2137" s="14" t="n">
        <x:v>4</x:v>
      </x:c>
      <x:c r="J2137" s="14" t="n">
        <x:v>6</x:v>
      </x:c>
      <x:c r="K2137" s="14" t="n">
        <x:v>15</x:v>
      </x:c>
      <x:c r="L2137" s="14" t="n">
        <x:v>34</x:v>
      </x:c>
      <x:c r="M2137" s="14" t="n">
        <x:v>23</x:v>
      </x:c>
      <x:c r="N2137" s="15" t="n">
        <x:f>IF(E2137=0,"해당 없음",F2137/E2137)</x:f>
        <x:v>0.019417475728155338</x:v>
      </x:c>
      <x:c r="O2137" s="15" t="n">
        <x:f>IF(E2137=0,"해당 없음",G2137/E2137)</x:f>
        <x:v>0.1262135922330097</x:v>
      </x:c>
      <x:c r="P2137" s="15" t="n">
        <x:f>IF(E2137=0,"해당 없음",H2137/E2137)</x:f>
        <x:v>0.05825242718446602</x:v>
      </x:c>
      <x:c r="Q2137" s="15" t="n">
        <x:f>IF(E2137=0,"해당 없음",I2137/E2137)</x:f>
        <x:v>0.038834951456310676</x:v>
      </x:c>
      <x:c r="R2137" s="15" t="n">
        <x:f>IF(E2137=0,"해당 없음",J2137/E2137)</x:f>
        <x:v>0.05825242718446602</x:v>
      </x:c>
      <x:c r="S2137" s="15" t="n">
        <x:f>IF(E2137=0,"해당 없음",K2137/E2137)</x:f>
        <x:v>0.14563106796116504</x:v>
      </x:c>
      <x:c r="T2137" s="15" t="n">
        <x:f>IF(E2137=0,"해당 없음",L2137/E2137)</x:f>
        <x:v>0.3300970873786408</x:v>
      </x:c>
      <x:c r="U2137" s="15" t="n">
        <x:f>IF(E2137=0,"해당 없음",M2137/E2137)</x:f>
        <x:v>0.22330097087378642</x:v>
      </x:c>
      <x:c r="V2137" s="16" t="n">
        <x:f>E2137/5</x:f>
        <x:v>20.6</x:v>
      </x:c>
    </x:row>
    <x:row r="2138" ht="22" customHeight="1">
      <x:c r="A2138" s="2" t="n">
        <x:v>1067</x:v>
      </x:c>
      <x:c r="B2138" s="2" t="str">
        <x:v>RED</x:v>
      </x:c>
      <x:c r="C2138" s="2" t="str">
        <x:v>160만</x:v>
      </x:c>
      <x:c r="D2138" s="2" t="str">
        <x:v>240만</x:v>
      </x:c>
      <x:c r="E2138" s="14" t="n">
        <x:f>SUM(F2138:M2138)</x:f>
        <x:v>103</x:v>
      </x:c>
      <x:c r="F2138" s="14" t="n">
        <x:v>2</x:v>
      </x:c>
      <x:c r="G2138" s="14" t="n">
        <x:v>12</x:v>
      </x:c>
      <x:c r="H2138" s="14" t="n">
        <x:v>6</x:v>
      </x:c>
      <x:c r="I2138" s="14" t="n">
        <x:v>3</x:v>
      </x:c>
      <x:c r="J2138" s="14" t="n">
        <x:v>0</x:v>
      </x:c>
      <x:c r="K2138" s="14" t="n">
        <x:v>8</x:v>
      </x:c>
      <x:c r="L2138" s="14" t="n">
        <x:v>41</x:v>
      </x:c>
      <x:c r="M2138" s="14" t="n">
        <x:v>31</x:v>
      </x:c>
      <x:c r="N2138" s="15" t="n">
        <x:f>IF(E2138=0,"해당 없음",F2138/E2138)</x:f>
        <x:v>0.019417475728155338</x:v>
      </x:c>
      <x:c r="O2138" s="15" t="n">
        <x:f>IF(E2138=0,"해당 없음",G2138/E2138)</x:f>
        <x:v>0.11650485436893204</x:v>
      </x:c>
      <x:c r="P2138" s="15" t="n">
        <x:f>IF(E2138=0,"해당 없음",H2138/E2138)</x:f>
        <x:v>0.05825242718446602</x:v>
      </x:c>
      <x:c r="Q2138" s="15" t="n">
        <x:f>IF(E2138=0,"해당 없음",I2138/E2138)</x:f>
        <x:v>0.02912621359223301</x:v>
      </x:c>
      <x:c r="R2138" s="15" t="n">
        <x:f>IF(E2138=0,"해당 없음",J2138/E2138)</x:f>
        <x:v>0</x:v>
      </x:c>
      <x:c r="S2138" s="15" t="n">
        <x:f>IF(E2138=0,"해당 없음",K2138/E2138)</x:f>
        <x:v>0.07766990291262135</x:v>
      </x:c>
      <x:c r="T2138" s="15" t="n">
        <x:f>IF(E2138=0,"해당 없음",L2138/E2138)</x:f>
        <x:v>0.39805825242718446</x:v>
      </x:c>
      <x:c r="U2138" s="15" t="n">
        <x:f>IF(E2138=0,"해당 없음",M2138/E2138)</x:f>
        <x:v>0.30097087378640774</x:v>
      </x:c>
      <x:c r="V2138" s="16" t="n">
        <x:f>E2138/5</x:f>
        <x:v>20.6</x:v>
      </x:c>
    </x:row>
    <x:row r="2139" ht="22" customHeight="1">
      <x:c r="A2139" s="2" t="n">
        <x:v>1067</x:v>
      </x:c>
      <x:c r="B2139" s="2" t="str">
        <x:v>NAVY</x:v>
      </x:c>
      <x:c r="C2139" s="2" t="str">
        <x:v>240만</x:v>
      </x:c>
      <x:c r="D2139" s="2" t="str">
        <x:v>160만</x:v>
      </x:c>
      <x:c r="E2139" s="14" t="n">
        <x:f>SUM(F2139:M2139)</x:f>
        <x:v>103</x:v>
      </x:c>
      <x:c r="F2139" s="14" t="n">
        <x:v>2</x:v>
      </x:c>
      <x:c r="G2139" s="14" t="n">
        <x:v>2</x:v>
      </x:c>
      <x:c r="H2139" s="14" t="n">
        <x:v>1</x:v>
      </x:c>
      <x:c r="I2139" s="14" t="n">
        <x:v>3</x:v>
      </x:c>
      <x:c r="J2139" s="14" t="n">
        <x:v>4</x:v>
      </x:c>
      <x:c r="K2139" s="14" t="n">
        <x:v>2</x:v>
      </x:c>
      <x:c r="L2139" s="14" t="n">
        <x:v>39</x:v>
      </x:c>
      <x:c r="M2139" s="14" t="n">
        <x:v>50</x:v>
      </x:c>
      <x:c r="N2139" s="15" t="n">
        <x:f>IF(E2139=0,"해당 없음",F2139/E2139)</x:f>
        <x:v>0.019417475728155338</x:v>
      </x:c>
      <x:c r="O2139" s="15" t="n">
        <x:f>IF(E2139=0,"해당 없음",G2139/E2139)</x:f>
        <x:v>0.019417475728155338</x:v>
      </x:c>
      <x:c r="P2139" s="15" t="n">
        <x:f>IF(E2139=0,"해당 없음",H2139/E2139)</x:f>
        <x:v>0.009708737864077669</x:v>
      </x:c>
      <x:c r="Q2139" s="15" t="n">
        <x:f>IF(E2139=0,"해당 없음",I2139/E2139)</x:f>
        <x:v>0.02912621359223301</x:v>
      </x:c>
      <x:c r="R2139" s="15" t="n">
        <x:f>IF(E2139=0,"해당 없음",J2139/E2139)</x:f>
        <x:v>0.038834951456310676</x:v>
      </x:c>
      <x:c r="S2139" s="15" t="n">
        <x:f>IF(E2139=0,"해당 없음",K2139/E2139)</x:f>
        <x:v>0.019417475728155338</x:v>
      </x:c>
      <x:c r="T2139" s="15" t="n">
        <x:f>IF(E2139=0,"해당 없음",L2139/E2139)</x:f>
        <x:v>0.3786407766990291</x:v>
      </x:c>
      <x:c r="U2139" s="15" t="n">
        <x:f>IF(E2139=0,"해당 없음",M2139/E2139)</x:f>
        <x:v>0.4854368932038835</x:v>
      </x:c>
      <x:c r="V2139" s="16" t="n">
        <x:f>E2139/5</x:f>
        <x:v>20.6</x:v>
      </x:c>
    </x:row>
    <x:row r="2140" ht="22" customHeight="1">
      <x:c r="A2140" s="2" t="n">
        <x:v>1068</x:v>
      </x:c>
      <x:c r="B2140" s="2" t="str">
        <x:v>RED</x:v>
      </x:c>
      <x:c r="C2140" s="2" t="str">
        <x:v>240만</x:v>
      </x:c>
      <x:c r="D2140" s="2" t="str">
        <x:v>160만</x:v>
      </x:c>
      <x:c r="E2140" s="14" t="n">
        <x:f>SUM(F2140:M2140)</x:f>
        <x:v>104</x:v>
      </x:c>
      <x:c r="F2140" s="14" t="n">
        <x:v>4</x:v>
      </x:c>
      <x:c r="G2140" s="14" t="n">
        <x:v>15</x:v>
      </x:c>
      <x:c r="H2140" s="14" t="n">
        <x:v>3</x:v>
      </x:c>
      <x:c r="I2140" s="14" t="n">
        <x:v>8</x:v>
      </x:c>
      <x:c r="J2140" s="14" t="n">
        <x:v>1</x:v>
      </x:c>
      <x:c r="K2140" s="14" t="n">
        <x:v>6</x:v>
      </x:c>
      <x:c r="L2140" s="14" t="n">
        <x:v>42</x:v>
      </x:c>
      <x:c r="M2140" s="14" t="n">
        <x:v>25</x:v>
      </x:c>
      <x:c r="N2140" s="15" t="n">
        <x:f>IF(E2140=0,"해당 없음",F2140/E2140)</x:f>
        <x:v>0.038461538461538464</x:v>
      </x:c>
      <x:c r="O2140" s="15" t="n">
        <x:f>IF(E2140=0,"해당 없음",G2140/E2140)</x:f>
        <x:v>0.14423076923076922</x:v>
      </x:c>
      <x:c r="P2140" s="15" t="n">
        <x:f>IF(E2140=0,"해당 없음",H2140/E2140)</x:f>
        <x:v>0.028846153846153848</x:v>
      </x:c>
      <x:c r="Q2140" s="15" t="n">
        <x:f>IF(E2140=0,"해당 없음",I2140/E2140)</x:f>
        <x:v>0.07692307692307693</x:v>
      </x:c>
      <x:c r="R2140" s="15" t="n">
        <x:f>IF(E2140=0,"해당 없음",J2140/E2140)</x:f>
        <x:v>0.009615384615384616</x:v>
      </x:c>
      <x:c r="S2140" s="15" t="n">
        <x:f>IF(E2140=0,"해당 없음",K2140/E2140)</x:f>
        <x:v>0.057692307692307696</x:v>
      </x:c>
      <x:c r="T2140" s="15" t="n">
        <x:f>IF(E2140=0,"해당 없음",L2140/E2140)</x:f>
        <x:v>0.40384615384615385</x:v>
      </x:c>
      <x:c r="U2140" s="15" t="n">
        <x:f>IF(E2140=0,"해당 없음",M2140/E2140)</x:f>
        <x:v>0.2403846153846154</x:v>
      </x:c>
      <x:c r="V2140" s="16" t="n">
        <x:f>E2140/5</x:f>
        <x:v>20.8</x:v>
      </x:c>
    </x:row>
    <x:row r="2141" ht="22" customHeight="1">
      <x:c r="A2141" s="2" t="n">
        <x:v>1068</x:v>
      </x:c>
      <x:c r="B2141" s="2" t="str">
        <x:v>NAVY</x:v>
      </x:c>
      <x:c r="C2141" s="2" t="str">
        <x:v>160만</x:v>
      </x:c>
      <x:c r="D2141" s="2" t="str">
        <x:v>240만</x:v>
      </x:c>
      <x:c r="E2141" s="14" t="n">
        <x:f>SUM(F2141:M2141)</x:f>
        <x:v>104</x:v>
      </x:c>
      <x:c r="F2141" s="14" t="n">
        <x:v>6</x:v>
      </x:c>
      <x:c r="G2141" s="14" t="n">
        <x:v>13</x:v>
      </x:c>
      <x:c r="H2141" s="14" t="n">
        <x:v>5</x:v>
      </x:c>
      <x:c r="I2141" s="14" t="n">
        <x:v>8</x:v>
      </x:c>
      <x:c r="J2141" s="14" t="n">
        <x:v>4</x:v>
      </x:c>
      <x:c r="K2141" s="14" t="n">
        <x:v>5</x:v>
      </x:c>
      <x:c r="L2141" s="14" t="n">
        <x:v>38</x:v>
      </x:c>
      <x:c r="M2141" s="14" t="n">
        <x:v>25</x:v>
      </x:c>
      <x:c r="N2141" s="15" t="n">
        <x:f>IF(E2141=0,"해당 없음",F2141/E2141)</x:f>
        <x:v>0.057692307692307696</x:v>
      </x:c>
      <x:c r="O2141" s="15" t="n">
        <x:f>IF(E2141=0,"해당 없음",G2141/E2141)</x:f>
        <x:v>0.125</x:v>
      </x:c>
      <x:c r="P2141" s="15" t="n">
        <x:f>IF(E2141=0,"해당 없음",H2141/E2141)</x:f>
        <x:v>0.04807692307692308</x:v>
      </x:c>
      <x:c r="Q2141" s="15" t="n">
        <x:f>IF(E2141=0,"해당 없음",I2141/E2141)</x:f>
        <x:v>0.07692307692307693</x:v>
      </x:c>
      <x:c r="R2141" s="15" t="n">
        <x:f>IF(E2141=0,"해당 없음",J2141/E2141)</x:f>
        <x:v>0.038461538461538464</x:v>
      </x:c>
      <x:c r="S2141" s="15" t="n">
        <x:f>IF(E2141=0,"해당 없음",K2141/E2141)</x:f>
        <x:v>0.04807692307692308</x:v>
      </x:c>
      <x:c r="T2141" s="15" t="n">
        <x:f>IF(E2141=0,"해당 없음",L2141/E2141)</x:f>
        <x:v>0.36538461538461536</x:v>
      </x:c>
      <x:c r="U2141" s="15" t="n">
        <x:f>IF(E2141=0,"해당 없음",M2141/E2141)</x:f>
        <x:v>0.2403846153846154</x:v>
      </x:c>
      <x:c r="V2141" s="16" t="n">
        <x:f>E2141/5</x:f>
        <x:v>20.8</x:v>
      </x:c>
    </x:row>
    <x:row r="2142" ht="22" customHeight="1">
      <x:c r="A2142" s="2" t="n">
        <x:v>1069</x:v>
      </x:c>
      <x:c r="B2142" s="2" t="str">
        <x:v>RED</x:v>
      </x:c>
      <x:c r="C2142" s="2" t="str">
        <x:v>160만</x:v>
      </x:c>
      <x:c r="D2142" s="2" t="str">
        <x:v>240만</x:v>
      </x:c>
      <x:c r="E2142" s="14" t="n">
        <x:f>SUM(F2142:M2142)</x:f>
        <x:v>101</x:v>
      </x:c>
      <x:c r="F2142" s="14" t="n">
        <x:v>2</x:v>
      </x:c>
      <x:c r="G2142" s="14" t="n">
        <x:v>8</x:v>
      </x:c>
      <x:c r="H2142" s="14" t="n">
        <x:v>3</x:v>
      </x:c>
      <x:c r="I2142" s="14" t="n">
        <x:v>6</x:v>
      </x:c>
      <x:c r="J2142" s="14" t="n">
        <x:v>3</x:v>
      </x:c>
      <x:c r="K2142" s="14" t="n">
        <x:v>7</x:v>
      </x:c>
      <x:c r="L2142" s="14" t="n">
        <x:v>35</x:v>
      </x:c>
      <x:c r="M2142" s="14" t="n">
        <x:v>37</x:v>
      </x:c>
      <x:c r="N2142" s="15" t="n">
        <x:f>IF(E2142=0,"해당 없음",F2142/E2142)</x:f>
        <x:v>0.019801980198019802</x:v>
      </x:c>
      <x:c r="O2142" s="15" t="n">
        <x:f>IF(E2142=0,"해당 없음",G2142/E2142)</x:f>
        <x:v>0.07920792079207921</x:v>
      </x:c>
      <x:c r="P2142" s="15" t="n">
        <x:f>IF(E2142=0,"해당 없음",H2142/E2142)</x:f>
        <x:v>0.0297029702970297</x:v>
      </x:c>
      <x:c r="Q2142" s="15" t="n">
        <x:f>IF(E2142=0,"해당 없음",I2142/E2142)</x:f>
        <x:v>0.0594059405940594</x:v>
      </x:c>
      <x:c r="R2142" s="15" t="n">
        <x:f>IF(E2142=0,"해당 없음",J2142/E2142)</x:f>
        <x:v>0.0297029702970297</x:v>
      </x:c>
      <x:c r="S2142" s="15" t="n">
        <x:f>IF(E2142=0,"해당 없음",K2142/E2142)</x:f>
        <x:v>0.06930693069306931</x:v>
      </x:c>
      <x:c r="T2142" s="15" t="n">
        <x:f>IF(E2142=0,"해당 없음",L2142/E2142)</x:f>
        <x:v>0.3465346534653465</x:v>
      </x:c>
      <x:c r="U2142" s="15" t="n">
        <x:f>IF(E2142=0,"해당 없음",M2142/E2142)</x:f>
        <x:v>0.36633663366336633</x:v>
      </x:c>
      <x:c r="V2142" s="16" t="n">
        <x:f>E2142/5</x:f>
        <x:v>20.2</x:v>
      </x:c>
    </x:row>
    <x:row r="2143" ht="22" customHeight="1">
      <x:c r="A2143" s="2" t="n">
        <x:v>1069</x:v>
      </x:c>
      <x:c r="B2143" s="2" t="str">
        <x:v>NAVY</x:v>
      </x:c>
      <x:c r="C2143" s="2" t="str">
        <x:v>240만</x:v>
      </x:c>
      <x:c r="D2143" s="2" t="str">
        <x:v>160만</x:v>
      </x:c>
      <x:c r="E2143" s="14" t="n">
        <x:f>SUM(F2143:M2143)</x:f>
        <x:v>101</x:v>
      </x:c>
      <x:c r="F2143" s="14" t="n">
        <x:v>0</x:v>
      </x:c>
      <x:c r="G2143" s="14" t="n">
        <x:v>15</x:v>
      </x:c>
      <x:c r="H2143" s="14" t="n">
        <x:v>2</x:v>
      </x:c>
      <x:c r="I2143" s="14" t="n">
        <x:v>4</x:v>
      </x:c>
      <x:c r="J2143" s="14" t="n">
        <x:v>0</x:v>
      </x:c>
      <x:c r="K2143" s="14" t="n">
        <x:v>5</x:v>
      </x:c>
      <x:c r="L2143" s="14" t="n">
        <x:v>37</x:v>
      </x:c>
      <x:c r="M2143" s="14" t="n">
        <x:v>38</x:v>
      </x:c>
      <x:c r="N2143" s="15" t="n">
        <x:f>IF(E2143=0,"해당 없음",F2143/E2143)</x:f>
        <x:v>0</x:v>
      </x:c>
      <x:c r="O2143" s="15" t="n">
        <x:f>IF(E2143=0,"해당 없음",G2143/E2143)</x:f>
        <x:v>0.1485148514851485</x:v>
      </x:c>
      <x:c r="P2143" s="15" t="n">
        <x:f>IF(E2143=0,"해당 없음",H2143/E2143)</x:f>
        <x:v>0.019801980198019802</x:v>
      </x:c>
      <x:c r="Q2143" s="15" t="n">
        <x:f>IF(E2143=0,"해당 없음",I2143/E2143)</x:f>
        <x:v>0.039603960396039604</x:v>
      </x:c>
      <x:c r="R2143" s="15" t="n">
        <x:f>IF(E2143=0,"해당 없음",J2143/E2143)</x:f>
        <x:v>0</x:v>
      </x:c>
      <x:c r="S2143" s="15" t="n">
        <x:f>IF(E2143=0,"해당 없음",K2143/E2143)</x:f>
        <x:v>0.04950495049504951</x:v>
      </x:c>
      <x:c r="T2143" s="15" t="n">
        <x:f>IF(E2143=0,"해당 없음",L2143/E2143)</x:f>
        <x:v>0.36633663366336633</x:v>
      </x:c>
      <x:c r="U2143" s="15" t="n">
        <x:f>IF(E2143=0,"해당 없음",M2143/E2143)</x:f>
        <x:v>0.37623762376237624</x:v>
      </x:c>
      <x:c r="V2143" s="16" t="n">
        <x:f>E2143/5</x:f>
        <x:v>20.2</x:v>
      </x:c>
    </x:row>
    <x:row r="2144" ht="22" customHeight="1">
      <x:c r="A2144" s="2" t="n">
        <x:v>1070</x:v>
      </x:c>
      <x:c r="B2144" s="2" t="str">
        <x:v>RED</x:v>
      </x:c>
      <x:c r="C2144" s="2" t="str">
        <x:v>240만</x:v>
      </x:c>
      <x:c r="D2144" s="2" t="str">
        <x:v>160만</x:v>
      </x:c>
      <x:c r="E2144" s="14" t="n">
        <x:f>SUM(F2144:M2144)</x:f>
        <x:v>103</x:v>
      </x:c>
      <x:c r="F2144" s="14" t="n">
        <x:v>2</x:v>
      </x:c>
      <x:c r="G2144" s="14" t="n">
        <x:v>11</x:v>
      </x:c>
      <x:c r="H2144" s="14" t="n">
        <x:v>4</x:v>
      </x:c>
      <x:c r="I2144" s="14" t="n">
        <x:v>1</x:v>
      </x:c>
      <x:c r="J2144" s="14" t="n">
        <x:v>0</x:v>
      </x:c>
      <x:c r="K2144" s="14" t="n">
        <x:v>7</x:v>
      </x:c>
      <x:c r="L2144" s="14" t="n">
        <x:v>38</x:v>
      </x:c>
      <x:c r="M2144" s="14" t="n">
        <x:v>40</x:v>
      </x:c>
      <x:c r="N2144" s="15" t="n">
        <x:f>IF(E2144=0,"해당 없음",F2144/E2144)</x:f>
        <x:v>0.019417475728155338</x:v>
      </x:c>
      <x:c r="O2144" s="15" t="n">
        <x:f>IF(E2144=0,"해당 없음",G2144/E2144)</x:f>
        <x:v>0.10679611650485436</x:v>
      </x:c>
      <x:c r="P2144" s="15" t="n">
        <x:f>IF(E2144=0,"해당 없음",H2144/E2144)</x:f>
        <x:v>0.038834951456310676</x:v>
      </x:c>
      <x:c r="Q2144" s="15" t="n">
        <x:f>IF(E2144=0,"해당 없음",I2144/E2144)</x:f>
        <x:v>0.009708737864077669</x:v>
      </x:c>
      <x:c r="R2144" s="15" t="n">
        <x:f>IF(E2144=0,"해당 없음",J2144/E2144)</x:f>
        <x:v>0</x:v>
      </x:c>
      <x:c r="S2144" s="15" t="n">
        <x:f>IF(E2144=0,"해당 없음",K2144/E2144)</x:f>
        <x:v>0.06796116504854369</x:v>
      </x:c>
      <x:c r="T2144" s="15" t="n">
        <x:f>IF(E2144=0,"해당 없음",L2144/E2144)</x:f>
        <x:v>0.36893203883495146</x:v>
      </x:c>
      <x:c r="U2144" s="15" t="n">
        <x:f>IF(E2144=0,"해당 없음",M2144/E2144)</x:f>
        <x:v>0.3883495145631068</x:v>
      </x:c>
      <x:c r="V2144" s="16" t="n">
        <x:f>E2144/5</x:f>
        <x:v>20.6</x:v>
      </x:c>
    </x:row>
    <x:row r="2145" ht="22" customHeight="1">
      <x:c r="A2145" s="2" t="n">
        <x:v>1070</x:v>
      </x:c>
      <x:c r="B2145" s="2" t="str">
        <x:v>NAVY</x:v>
      </x:c>
      <x:c r="C2145" s="2" t="str">
        <x:v>160만</x:v>
      </x:c>
      <x:c r="D2145" s="2" t="str">
        <x:v>240만</x:v>
      </x:c>
      <x:c r="E2145" s="14" t="n">
        <x:f>SUM(F2145:M2145)</x:f>
        <x:v>102</x:v>
      </x:c>
      <x:c r="F2145" s="14" t="n">
        <x:v>5</x:v>
      </x:c>
      <x:c r="G2145" s="14" t="n">
        <x:v>17</x:v>
      </x:c>
      <x:c r="H2145" s="14" t="n">
        <x:v>3</x:v>
      </x:c>
      <x:c r="I2145" s="14" t="n">
        <x:v>7</x:v>
      </x:c>
      <x:c r="J2145" s="14" t="n">
        <x:v>3</x:v>
      </x:c>
      <x:c r="K2145" s="14" t="n">
        <x:v>7</x:v>
      </x:c>
      <x:c r="L2145" s="14" t="n">
        <x:v>38</x:v>
      </x:c>
      <x:c r="M2145" s="14" t="n">
        <x:v>22</x:v>
      </x:c>
      <x:c r="N2145" s="15" t="n">
        <x:f>IF(E2145=0,"해당 없음",F2145/E2145)</x:f>
        <x:v>0.049019607843137254</x:v>
      </x:c>
      <x:c r="O2145" s="15" t="n">
        <x:f>IF(E2145=0,"해당 없음",G2145/E2145)</x:f>
        <x:v>0.16666666666666666</x:v>
      </x:c>
      <x:c r="P2145" s="15" t="n">
        <x:f>IF(E2145=0,"해당 없음",H2145/E2145)</x:f>
        <x:v>0.029411764705882353</x:v>
      </x:c>
      <x:c r="Q2145" s="15" t="n">
        <x:f>IF(E2145=0,"해당 없음",I2145/E2145)</x:f>
        <x:v>0.06862745098039216</x:v>
      </x:c>
      <x:c r="R2145" s="15" t="n">
        <x:f>IF(E2145=0,"해당 없음",J2145/E2145)</x:f>
        <x:v>0.029411764705882353</x:v>
      </x:c>
      <x:c r="S2145" s="15" t="n">
        <x:f>IF(E2145=0,"해당 없음",K2145/E2145)</x:f>
        <x:v>0.06862745098039216</x:v>
      </x:c>
      <x:c r="T2145" s="15" t="n">
        <x:f>IF(E2145=0,"해당 없음",L2145/E2145)</x:f>
        <x:v>0.37254901960784315</x:v>
      </x:c>
      <x:c r="U2145" s="15" t="n">
        <x:f>IF(E2145=0,"해당 없음",M2145/E2145)</x:f>
        <x:v>0.21568627450980393</x:v>
      </x:c>
      <x:c r="V2145" s="16" t="n">
        <x:f>E2145/5</x:f>
        <x:v>20.4</x:v>
      </x:c>
    </x:row>
    <x:row r="2146" ht="22" customHeight="1">
      <x:c r="A2146" s="2" t="n">
        <x:v>1071</x:v>
      </x:c>
      <x:c r="B2146" s="2" t="str">
        <x:v>RED</x:v>
      </x:c>
      <x:c r="C2146" s="2" t="str">
        <x:v>160만</x:v>
      </x:c>
      <x:c r="D2146" s="2" t="str">
        <x:v>240만</x:v>
      </x:c>
      <x:c r="E2146" s="14" t="n">
        <x:f>SUM(F2146:M2146)</x:f>
        <x:v>103</x:v>
      </x:c>
      <x:c r="F2146" s="14" t="n">
        <x:v>4</x:v>
      </x:c>
      <x:c r="G2146" s="14" t="n">
        <x:v>13</x:v>
      </x:c>
      <x:c r="H2146" s="14" t="n">
        <x:v>4</x:v>
      </x:c>
      <x:c r="I2146" s="14" t="n">
        <x:v>8</x:v>
      </x:c>
      <x:c r="J2146" s="14" t="n">
        <x:v>2</x:v>
      </x:c>
      <x:c r="K2146" s="14" t="n">
        <x:v>4</x:v>
      </x:c>
      <x:c r="L2146" s="14" t="n">
        <x:v>39</x:v>
      </x:c>
      <x:c r="M2146" s="14" t="n">
        <x:v>29</x:v>
      </x:c>
      <x:c r="N2146" s="15" t="n">
        <x:f>IF(E2146=0,"해당 없음",F2146/E2146)</x:f>
        <x:v>0.038834951456310676</x:v>
      </x:c>
      <x:c r="O2146" s="15" t="n">
        <x:f>IF(E2146=0,"해당 없음",G2146/E2146)</x:f>
        <x:v>0.1262135922330097</x:v>
      </x:c>
      <x:c r="P2146" s="15" t="n">
        <x:f>IF(E2146=0,"해당 없음",H2146/E2146)</x:f>
        <x:v>0.038834951456310676</x:v>
      </x:c>
      <x:c r="Q2146" s="15" t="n">
        <x:f>IF(E2146=0,"해당 없음",I2146/E2146)</x:f>
        <x:v>0.07766990291262135</x:v>
      </x:c>
      <x:c r="R2146" s="15" t="n">
        <x:f>IF(E2146=0,"해당 없음",J2146/E2146)</x:f>
        <x:v>0.019417475728155338</x:v>
      </x:c>
      <x:c r="S2146" s="15" t="n">
        <x:f>IF(E2146=0,"해당 없음",K2146/E2146)</x:f>
        <x:v>0.038834951456310676</x:v>
      </x:c>
      <x:c r="T2146" s="15" t="n">
        <x:f>IF(E2146=0,"해당 없음",L2146/E2146)</x:f>
        <x:v>0.3786407766990291</x:v>
      </x:c>
      <x:c r="U2146" s="15" t="n">
        <x:f>IF(E2146=0,"해당 없음",M2146/E2146)</x:f>
        <x:v>0.2815533980582524</x:v>
      </x:c>
      <x:c r="V2146" s="16" t="n">
        <x:f>E2146/5</x:f>
        <x:v>20.6</x:v>
      </x:c>
    </x:row>
    <x:row r="2147" ht="22" customHeight="1">
      <x:c r="A2147" s="2" t="n">
        <x:v>1071</x:v>
      </x:c>
      <x:c r="B2147" s="2" t="str">
        <x:v>NAVY</x:v>
      </x:c>
      <x:c r="C2147" s="2" t="str">
        <x:v>240만</x:v>
      </x:c>
      <x:c r="D2147" s="2" t="str">
        <x:v>160만</x:v>
      </x:c>
      <x:c r="E2147" s="14" t="n">
        <x:f>SUM(F2147:M2147)</x:f>
        <x:v>102</x:v>
      </x:c>
      <x:c r="F2147" s="14" t="n">
        <x:v>0</x:v>
      </x:c>
      <x:c r="G2147" s="14" t="n">
        <x:v>11</x:v>
      </x:c>
      <x:c r="H2147" s="14" t="n">
        <x:v>4</x:v>
      </x:c>
      <x:c r="I2147" s="14" t="n">
        <x:v>6</x:v>
      </x:c>
      <x:c r="J2147" s="14" t="n">
        <x:v>2</x:v>
      </x:c>
      <x:c r="K2147" s="14" t="n">
        <x:v>9</x:v>
      </x:c>
      <x:c r="L2147" s="14" t="n">
        <x:v>37</x:v>
      </x:c>
      <x:c r="M2147" s="14" t="n">
        <x:v>33</x:v>
      </x:c>
      <x:c r="N2147" s="15" t="n">
        <x:f>IF(E2147=0,"해당 없음",F2147/E2147)</x:f>
        <x:v>0</x:v>
      </x:c>
      <x:c r="O2147" s="15" t="n">
        <x:f>IF(E2147=0,"해당 없음",G2147/E2147)</x:f>
        <x:v>0.10784313725490197</x:v>
      </x:c>
      <x:c r="P2147" s="15" t="n">
        <x:f>IF(E2147=0,"해당 없음",H2147/E2147)</x:f>
        <x:v>0.0392156862745098</x:v>
      </x:c>
      <x:c r="Q2147" s="15" t="n">
        <x:f>IF(E2147=0,"해당 없음",I2147/E2147)</x:f>
        <x:v>0.058823529411764705</x:v>
      </x:c>
      <x:c r="R2147" s="15" t="n">
        <x:f>IF(E2147=0,"해당 없음",J2147/E2147)</x:f>
        <x:v>0.0196078431372549</x:v>
      </x:c>
      <x:c r="S2147" s="15" t="n">
        <x:f>IF(E2147=0,"해당 없음",K2147/E2147)</x:f>
        <x:v>0.08823529411764706</x:v>
      </x:c>
      <x:c r="T2147" s="15" t="n">
        <x:f>IF(E2147=0,"해당 없음",L2147/E2147)</x:f>
        <x:v>0.3627450980392157</x:v>
      </x:c>
      <x:c r="U2147" s="15" t="n">
        <x:f>IF(E2147=0,"해당 없음",M2147/E2147)</x:f>
        <x:v>0.3235294117647059</x:v>
      </x:c>
      <x:c r="V2147" s="16" t="n">
        <x:f>E2147/5</x:f>
        <x:v>20.4</x:v>
      </x:c>
    </x:row>
    <x:row r="2148" ht="22" customHeight="1">
      <x:c r="A2148" s="2" t="n">
        <x:v>1072</x:v>
      </x:c>
      <x:c r="B2148" s="2" t="str">
        <x:v>RED</x:v>
      </x:c>
      <x:c r="C2148" s="2" t="str">
        <x:v>240만</x:v>
      </x:c>
      <x:c r="D2148" s="2" t="str">
        <x:v>160만</x:v>
      </x:c>
      <x:c r="E2148" s="14" t="n">
        <x:f>SUM(F2148:M2148)</x:f>
        <x:v>105</x:v>
      </x:c>
      <x:c r="F2148" s="14" t="n">
        <x:v>2</x:v>
      </x:c>
      <x:c r="G2148" s="14" t="n">
        <x:v>10</x:v>
      </x:c>
      <x:c r="H2148" s="14" t="n">
        <x:v>1</x:v>
      </x:c>
      <x:c r="I2148" s="14" t="n">
        <x:v>4</x:v>
      </x:c>
      <x:c r="J2148" s="14" t="n">
        <x:v>1</x:v>
      </x:c>
      <x:c r="K2148" s="14" t="n">
        <x:v>4</x:v>
      </x:c>
      <x:c r="L2148" s="14" t="n">
        <x:v>41</x:v>
      </x:c>
      <x:c r="M2148" s="14" t="n">
        <x:v>42</x:v>
      </x:c>
      <x:c r="N2148" s="15" t="n">
        <x:f>IF(E2148=0,"해당 없음",F2148/E2148)</x:f>
        <x:v>0.01904761904761905</x:v>
      </x:c>
      <x:c r="O2148" s="15" t="n">
        <x:f>IF(E2148=0,"해당 없음",G2148/E2148)</x:f>
        <x:v>0.09523809523809523</x:v>
      </x:c>
      <x:c r="P2148" s="15" t="n">
        <x:f>IF(E2148=0,"해당 없음",H2148/E2148)</x:f>
        <x:v>0.009523809523809525</x:v>
      </x:c>
      <x:c r="Q2148" s="15" t="n">
        <x:f>IF(E2148=0,"해당 없음",I2148/E2148)</x:f>
        <x:v>0.0380952380952381</x:v>
      </x:c>
      <x:c r="R2148" s="15" t="n">
        <x:f>IF(E2148=0,"해당 없음",J2148/E2148)</x:f>
        <x:v>0.009523809523809525</x:v>
      </x:c>
      <x:c r="S2148" s="15" t="n">
        <x:f>IF(E2148=0,"해당 없음",K2148/E2148)</x:f>
        <x:v>0.0380952380952381</x:v>
      </x:c>
      <x:c r="T2148" s="15" t="n">
        <x:f>IF(E2148=0,"해당 없음",L2148/E2148)</x:f>
        <x:v>0.3904761904761905</x:v>
      </x:c>
      <x:c r="U2148" s="15" t="n">
        <x:f>IF(E2148=0,"해당 없음",M2148/E2148)</x:f>
        <x:v>0.4</x:v>
      </x:c>
      <x:c r="V2148" s="16" t="n">
        <x:f>E2148/5</x:f>
        <x:v>21</x:v>
      </x:c>
    </x:row>
    <x:row r="2149" ht="22" customHeight="1">
      <x:c r="A2149" s="2" t="n">
        <x:v>1072</x:v>
      </x:c>
      <x:c r="B2149" s="2" t="str">
        <x:v>NAVY</x:v>
      </x:c>
      <x:c r="C2149" s="2" t="str">
        <x:v>160만</x:v>
      </x:c>
      <x:c r="D2149" s="2" t="str">
        <x:v>240만</x:v>
      </x:c>
      <x:c r="E2149" s="14" t="n">
        <x:f>SUM(F2149:M2149)</x:f>
        <x:v>104</x:v>
      </x:c>
      <x:c r="F2149" s="14" t="n">
        <x:v>3</x:v>
      </x:c>
      <x:c r="G2149" s="14" t="n">
        <x:v>18</x:v>
      </x:c>
      <x:c r="H2149" s="14" t="n">
        <x:v>5</x:v>
      </x:c>
      <x:c r="I2149" s="14" t="n">
        <x:v>8</x:v>
      </x:c>
      <x:c r="J2149" s="14" t="n">
        <x:v>4</x:v>
      </x:c>
      <x:c r="K2149" s="14" t="n">
        <x:v>7</x:v>
      </x:c>
      <x:c r="L2149" s="14" t="n">
        <x:v>39</x:v>
      </x:c>
      <x:c r="M2149" s="14" t="n">
        <x:v>20</x:v>
      </x:c>
      <x:c r="N2149" s="15" t="n">
        <x:f>IF(E2149=0,"해당 없음",F2149/E2149)</x:f>
        <x:v>0.028846153846153848</x:v>
      </x:c>
      <x:c r="O2149" s="15" t="n">
        <x:f>IF(E2149=0,"해당 없음",G2149/E2149)</x:f>
        <x:v>0.17307692307692307</x:v>
      </x:c>
      <x:c r="P2149" s="15" t="n">
        <x:f>IF(E2149=0,"해당 없음",H2149/E2149)</x:f>
        <x:v>0.04807692307692308</x:v>
      </x:c>
      <x:c r="Q2149" s="15" t="n">
        <x:f>IF(E2149=0,"해당 없음",I2149/E2149)</x:f>
        <x:v>0.07692307692307693</x:v>
      </x:c>
      <x:c r="R2149" s="15" t="n">
        <x:f>IF(E2149=0,"해당 없음",J2149/E2149)</x:f>
        <x:v>0.038461538461538464</x:v>
      </x:c>
      <x:c r="S2149" s="15" t="n">
        <x:f>IF(E2149=0,"해당 없음",K2149/E2149)</x:f>
        <x:v>0.0673076923076923</x:v>
      </x:c>
      <x:c r="T2149" s="15" t="n">
        <x:f>IF(E2149=0,"해당 없음",L2149/E2149)</x:f>
        <x:v>0.375</x:v>
      </x:c>
      <x:c r="U2149" s="15" t="n">
        <x:f>IF(E2149=0,"해당 없음",M2149/E2149)</x:f>
        <x:v>0.19230769230769232</x:v>
      </x:c>
      <x:c r="V2149" s="16" t="n">
        <x:f>E2149/5</x:f>
        <x:v>20.8</x:v>
      </x:c>
    </x:row>
    <x:row r="2150" ht="22" customHeight="1">
      <x:c r="A2150" s="2" t="n">
        <x:v>1073</x:v>
      </x:c>
      <x:c r="B2150" s="2" t="str">
        <x:v>RED</x:v>
      </x:c>
      <x:c r="C2150" s="2" t="str">
        <x:v>160만</x:v>
      </x:c>
      <x:c r="D2150" s="2" t="str">
        <x:v>240만</x:v>
      </x:c>
      <x:c r="E2150" s="14" t="n">
        <x:f>SUM(F2150:M2150)</x:f>
        <x:v>101</x:v>
      </x:c>
      <x:c r="F2150" s="14" t="n">
        <x:v>3</x:v>
      </x:c>
      <x:c r="G2150" s="14" t="n">
        <x:v>10</x:v>
      </x:c>
      <x:c r="H2150" s="14" t="n">
        <x:v>6</x:v>
      </x:c>
      <x:c r="I2150" s="14" t="n">
        <x:v>7</x:v>
      </x:c>
      <x:c r="J2150" s="14" t="n">
        <x:v>2</x:v>
      </x:c>
      <x:c r="K2150" s="14" t="n">
        <x:v>6</x:v>
      </x:c>
      <x:c r="L2150" s="14" t="n">
        <x:v>38</x:v>
      </x:c>
      <x:c r="M2150" s="14" t="n">
        <x:v>29</x:v>
      </x:c>
      <x:c r="N2150" s="15" t="n">
        <x:f>IF(E2150=0,"해당 없음",F2150/E2150)</x:f>
        <x:v>0.0297029702970297</x:v>
      </x:c>
      <x:c r="O2150" s="15" t="n">
        <x:f>IF(E2150=0,"해당 없음",G2150/E2150)</x:f>
        <x:v>0.09900990099009901</x:v>
      </x:c>
      <x:c r="P2150" s="15" t="n">
        <x:f>IF(E2150=0,"해당 없음",H2150/E2150)</x:f>
        <x:v>0.0594059405940594</x:v>
      </x:c>
      <x:c r="Q2150" s="15" t="n">
        <x:f>IF(E2150=0,"해당 없음",I2150/E2150)</x:f>
        <x:v>0.06930693069306931</x:v>
      </x:c>
      <x:c r="R2150" s="15" t="n">
        <x:f>IF(E2150=0,"해당 없음",J2150/E2150)</x:f>
        <x:v>0.019801980198019802</x:v>
      </x:c>
      <x:c r="S2150" s="15" t="n">
        <x:f>IF(E2150=0,"해당 없음",K2150/E2150)</x:f>
        <x:v>0.0594059405940594</x:v>
      </x:c>
      <x:c r="T2150" s="15" t="n">
        <x:f>IF(E2150=0,"해당 없음",L2150/E2150)</x:f>
        <x:v>0.37623762376237624</x:v>
      </x:c>
      <x:c r="U2150" s="15" t="n">
        <x:f>IF(E2150=0,"해당 없음",M2150/E2150)</x:f>
        <x:v>0.2871287128712871</x:v>
      </x:c>
      <x:c r="V2150" s="16" t="n">
        <x:f>E2150/5</x:f>
        <x:v>20.2</x:v>
      </x:c>
    </x:row>
    <x:row r="2151" ht="22" customHeight="1">
      <x:c r="A2151" s="2" t="n">
        <x:v>1073</x:v>
      </x:c>
      <x:c r="B2151" s="2" t="str">
        <x:v>NAVY</x:v>
      </x:c>
      <x:c r="C2151" s="2" t="str">
        <x:v>240만</x:v>
      </x:c>
      <x:c r="D2151" s="2" t="str">
        <x:v>160만</x:v>
      </x:c>
      <x:c r="E2151" s="14" t="n">
        <x:f>SUM(F2151:M2151)</x:f>
        <x:v>104</x:v>
      </x:c>
      <x:c r="F2151" s="14" t="n">
        <x:v>1</x:v>
      </x:c>
      <x:c r="G2151" s="14" t="n">
        <x:v>8</x:v>
      </x:c>
      <x:c r="H2151" s="14" t="n">
        <x:v>1</x:v>
      </x:c>
      <x:c r="I2151" s="14" t="n">
        <x:v>4</x:v>
      </x:c>
      <x:c r="J2151" s="14" t="n">
        <x:v>2</x:v>
      </x:c>
      <x:c r="K2151" s="14" t="n">
        <x:v>4</x:v>
      </x:c>
      <x:c r="L2151" s="14" t="n">
        <x:v>42</x:v>
      </x:c>
      <x:c r="M2151" s="14" t="n">
        <x:v>42</x:v>
      </x:c>
      <x:c r="N2151" s="15" t="n">
        <x:f>IF(E2151=0,"해당 없음",F2151/E2151)</x:f>
        <x:v>0.009615384615384616</x:v>
      </x:c>
      <x:c r="O2151" s="15" t="n">
        <x:f>IF(E2151=0,"해당 없음",G2151/E2151)</x:f>
        <x:v>0.07692307692307693</x:v>
      </x:c>
      <x:c r="P2151" s="15" t="n">
        <x:f>IF(E2151=0,"해당 없음",H2151/E2151)</x:f>
        <x:v>0.009615384615384616</x:v>
      </x:c>
      <x:c r="Q2151" s="15" t="n">
        <x:f>IF(E2151=0,"해당 없음",I2151/E2151)</x:f>
        <x:v>0.038461538461538464</x:v>
      </x:c>
      <x:c r="R2151" s="15" t="n">
        <x:f>IF(E2151=0,"해당 없음",J2151/E2151)</x:f>
        <x:v>0.019230769230769232</x:v>
      </x:c>
      <x:c r="S2151" s="15" t="n">
        <x:f>IF(E2151=0,"해당 없음",K2151/E2151)</x:f>
        <x:v>0.038461538461538464</x:v>
      </x:c>
      <x:c r="T2151" s="15" t="n">
        <x:f>IF(E2151=0,"해당 없음",L2151/E2151)</x:f>
        <x:v>0.40384615384615385</x:v>
      </x:c>
      <x:c r="U2151" s="15" t="n">
        <x:f>IF(E2151=0,"해당 없음",M2151/E2151)</x:f>
        <x:v>0.40384615384615385</x:v>
      </x:c>
      <x:c r="V2151" s="16" t="n">
        <x:f>E2151/5</x:f>
        <x:v>20.8</x:v>
      </x:c>
    </x:row>
    <x:row r="2152" ht="22" customHeight="1">
      <x:c r="A2152" s="2" t="n">
        <x:v>1074</x:v>
      </x:c>
      <x:c r="B2152" s="2" t="str">
        <x:v>RED</x:v>
      </x:c>
      <x:c r="C2152" s="2" t="str">
        <x:v>240만</x:v>
      </x:c>
      <x:c r="D2152" s="2" t="str">
        <x:v>160만</x:v>
      </x:c>
      <x:c r="E2152" s="14" t="n">
        <x:f>SUM(F2152:M2152)</x:f>
        <x:v>104</x:v>
      </x:c>
      <x:c r="F2152" s="14" t="n">
        <x:v>2</x:v>
      </x:c>
      <x:c r="G2152" s="14" t="n">
        <x:v>6</x:v>
      </x:c>
      <x:c r="H2152" s="14" t="n">
        <x:v>2</x:v>
      </x:c>
      <x:c r="I2152" s="14" t="n">
        <x:v>6</x:v>
      </x:c>
      <x:c r="J2152" s="14" t="n">
        <x:v>0</x:v>
      </x:c>
      <x:c r="K2152" s="14" t="n">
        <x:v>1</x:v>
      </x:c>
      <x:c r="L2152" s="14" t="n">
        <x:v>46</x:v>
      </x:c>
      <x:c r="M2152" s="14" t="n">
        <x:v>41</x:v>
      </x:c>
      <x:c r="N2152" s="15" t="n">
        <x:f>IF(E2152=0,"해당 없음",F2152/E2152)</x:f>
        <x:v>0.019230769230769232</x:v>
      </x:c>
      <x:c r="O2152" s="15" t="n">
        <x:f>IF(E2152=0,"해당 없음",G2152/E2152)</x:f>
        <x:v>0.057692307692307696</x:v>
      </x:c>
      <x:c r="P2152" s="15" t="n">
        <x:f>IF(E2152=0,"해당 없음",H2152/E2152)</x:f>
        <x:v>0.019230769230769232</x:v>
      </x:c>
      <x:c r="Q2152" s="15" t="n">
        <x:f>IF(E2152=0,"해당 없음",I2152/E2152)</x:f>
        <x:v>0.057692307692307696</x:v>
      </x:c>
      <x:c r="R2152" s="15" t="n">
        <x:f>IF(E2152=0,"해당 없음",J2152/E2152)</x:f>
        <x:v>0</x:v>
      </x:c>
      <x:c r="S2152" s="15" t="n">
        <x:f>IF(E2152=0,"해당 없음",K2152/E2152)</x:f>
        <x:v>0.009615384615384616</x:v>
      </x:c>
      <x:c r="T2152" s="15" t="n">
        <x:f>IF(E2152=0,"해당 없음",L2152/E2152)</x:f>
        <x:v>0.4423076923076923</x:v>
      </x:c>
      <x:c r="U2152" s="15" t="n">
        <x:f>IF(E2152=0,"해당 없음",M2152/E2152)</x:f>
        <x:v>0.3942307692307692</x:v>
      </x:c>
      <x:c r="V2152" s="16" t="n">
        <x:f>E2152/5</x:f>
        <x:v>20.8</x:v>
      </x:c>
    </x:row>
    <x:row r="2153" ht="22" customHeight="1">
      <x:c r="A2153" s="2" t="n">
        <x:v>1074</x:v>
      </x:c>
      <x:c r="B2153" s="2" t="str">
        <x:v>NAVY</x:v>
      </x:c>
      <x:c r="C2153" s="2" t="str">
        <x:v>160만</x:v>
      </x:c>
      <x:c r="D2153" s="2" t="str">
        <x:v>240만</x:v>
      </x:c>
      <x:c r="E2153" s="14" t="n">
        <x:f>SUM(F2153:M2153)</x:f>
        <x:v>104</x:v>
      </x:c>
      <x:c r="F2153" s="14" t="n">
        <x:v>6</x:v>
      </x:c>
      <x:c r="G2153" s="14" t="n">
        <x:v>9</x:v>
      </x:c>
      <x:c r="H2153" s="14" t="n">
        <x:v>3</x:v>
      </x:c>
      <x:c r="I2153" s="14" t="n">
        <x:v>6</x:v>
      </x:c>
      <x:c r="J2153" s="14" t="n">
        <x:v>6</x:v>
      </x:c>
      <x:c r="K2153" s="14" t="n">
        <x:v>6</x:v>
      </x:c>
      <x:c r="L2153" s="14" t="n">
        <x:v>37</x:v>
      </x:c>
      <x:c r="M2153" s="14" t="n">
        <x:v>31</x:v>
      </x:c>
      <x:c r="N2153" s="15" t="n">
        <x:f>IF(E2153=0,"해당 없음",F2153/E2153)</x:f>
        <x:v>0.057692307692307696</x:v>
      </x:c>
      <x:c r="O2153" s="15" t="n">
        <x:f>IF(E2153=0,"해당 없음",G2153/E2153)</x:f>
        <x:v>0.08653846153846154</x:v>
      </x:c>
      <x:c r="P2153" s="15" t="n">
        <x:f>IF(E2153=0,"해당 없음",H2153/E2153)</x:f>
        <x:v>0.028846153846153848</x:v>
      </x:c>
      <x:c r="Q2153" s="15" t="n">
        <x:f>IF(E2153=0,"해당 없음",I2153/E2153)</x:f>
        <x:v>0.057692307692307696</x:v>
      </x:c>
      <x:c r="R2153" s="15" t="n">
        <x:f>IF(E2153=0,"해당 없음",J2153/E2153)</x:f>
        <x:v>0.057692307692307696</x:v>
      </x:c>
      <x:c r="S2153" s="15" t="n">
        <x:f>IF(E2153=0,"해당 없음",K2153/E2153)</x:f>
        <x:v>0.057692307692307696</x:v>
      </x:c>
      <x:c r="T2153" s="15" t="n">
        <x:f>IF(E2153=0,"해당 없음",L2153/E2153)</x:f>
        <x:v>0.3557692307692308</x:v>
      </x:c>
      <x:c r="U2153" s="15" t="n">
        <x:f>IF(E2153=0,"해당 없음",M2153/E2153)</x:f>
        <x:v>0.2980769230769231</x:v>
      </x:c>
      <x:c r="V2153" s="16" t="n">
        <x:f>E2153/5</x:f>
        <x:v>20.8</x:v>
      </x:c>
    </x:row>
    <x:row r="2154" ht="22" customHeight="1">
      <x:c r="A2154" s="2" t="n">
        <x:v>1075</x:v>
      </x:c>
      <x:c r="B2154" s="2" t="str">
        <x:v>RED</x:v>
      </x:c>
      <x:c r="C2154" s="2" t="str">
        <x:v>160만</x:v>
      </x:c>
      <x:c r="D2154" s="2" t="str">
        <x:v>240만</x:v>
      </x:c>
      <x:c r="E2154" s="14" t="n">
        <x:f>SUM(F2154:M2154)</x:f>
        <x:v>104</x:v>
      </x:c>
      <x:c r="F2154" s="14" t="n">
        <x:v>5</x:v>
      </x:c>
      <x:c r="G2154" s="14" t="n">
        <x:v>9</x:v>
      </x:c>
      <x:c r="H2154" s="14" t="n">
        <x:v>2</x:v>
      </x:c>
      <x:c r="I2154" s="14" t="n">
        <x:v>7</x:v>
      </x:c>
      <x:c r="J2154" s="14" t="n">
        <x:v>7</x:v>
      </x:c>
      <x:c r="K2154" s="14" t="n">
        <x:v>4</x:v>
      </x:c>
      <x:c r="L2154" s="14" t="n">
        <x:v>39</x:v>
      </x:c>
      <x:c r="M2154" s="14" t="n">
        <x:v>31</x:v>
      </x:c>
      <x:c r="N2154" s="15" t="n">
        <x:f>IF(E2154=0,"해당 없음",F2154/E2154)</x:f>
        <x:v>0.04807692307692308</x:v>
      </x:c>
      <x:c r="O2154" s="15" t="n">
        <x:f>IF(E2154=0,"해당 없음",G2154/E2154)</x:f>
        <x:v>0.08653846153846154</x:v>
      </x:c>
      <x:c r="P2154" s="15" t="n">
        <x:f>IF(E2154=0,"해당 없음",H2154/E2154)</x:f>
        <x:v>0.019230769230769232</x:v>
      </x:c>
      <x:c r="Q2154" s="15" t="n">
        <x:f>IF(E2154=0,"해당 없음",I2154/E2154)</x:f>
        <x:v>0.0673076923076923</x:v>
      </x:c>
      <x:c r="R2154" s="15" t="n">
        <x:f>IF(E2154=0,"해당 없음",J2154/E2154)</x:f>
        <x:v>0.0673076923076923</x:v>
      </x:c>
      <x:c r="S2154" s="15" t="n">
        <x:f>IF(E2154=0,"해당 없음",K2154/E2154)</x:f>
        <x:v>0.038461538461538464</x:v>
      </x:c>
      <x:c r="T2154" s="15" t="n">
        <x:f>IF(E2154=0,"해당 없음",L2154/E2154)</x:f>
        <x:v>0.375</x:v>
      </x:c>
      <x:c r="U2154" s="15" t="n">
        <x:f>IF(E2154=0,"해당 없음",M2154/E2154)</x:f>
        <x:v>0.2980769230769231</x:v>
      </x:c>
      <x:c r="V2154" s="16" t="n">
        <x:f>E2154/5</x:f>
        <x:v>20.8</x:v>
      </x:c>
    </x:row>
    <x:row r="2155" ht="22" customHeight="1">
      <x:c r="A2155" s="2" t="n">
        <x:v>1075</x:v>
      </x:c>
      <x:c r="B2155" s="2" t="str">
        <x:v>NAVY</x:v>
      </x:c>
      <x:c r="C2155" s="2" t="str">
        <x:v>240만</x:v>
      </x:c>
      <x:c r="D2155" s="2" t="str">
        <x:v>160만</x:v>
      </x:c>
      <x:c r="E2155" s="14" t="n">
        <x:f>SUM(F2155:M2155)</x:f>
        <x:v>105</x:v>
      </x:c>
      <x:c r="F2155" s="14" t="n">
        <x:v>2</x:v>
      </x:c>
      <x:c r="G2155" s="14" t="n">
        <x:v>7</x:v>
      </x:c>
      <x:c r="H2155" s="14" t="n">
        <x:v>4</x:v>
      </x:c>
      <x:c r="I2155" s="14" t="n">
        <x:v>5</x:v>
      </x:c>
      <x:c r="J2155" s="14" t="n">
        <x:v>4</x:v>
      </x:c>
      <x:c r="K2155" s="14" t="n">
        <x:v>0</x:v>
      </x:c>
      <x:c r="L2155" s="14" t="n">
        <x:v>43</x:v>
      </x:c>
      <x:c r="M2155" s="14" t="n">
        <x:v>40</x:v>
      </x:c>
      <x:c r="N2155" s="15" t="n">
        <x:f>IF(E2155=0,"해당 없음",F2155/E2155)</x:f>
        <x:v>0.01904761904761905</x:v>
      </x:c>
      <x:c r="O2155" s="15" t="n">
        <x:f>IF(E2155=0,"해당 없음",G2155/E2155)</x:f>
        <x:v>0.06666666666666667</x:v>
      </x:c>
      <x:c r="P2155" s="15" t="n">
        <x:f>IF(E2155=0,"해당 없음",H2155/E2155)</x:f>
        <x:v>0.0380952380952381</x:v>
      </x:c>
      <x:c r="Q2155" s="15" t="n">
        <x:f>IF(E2155=0,"해당 없음",I2155/E2155)</x:f>
        <x:v>0.047619047619047616</x:v>
      </x:c>
      <x:c r="R2155" s="15" t="n">
        <x:f>IF(E2155=0,"해당 없음",J2155/E2155)</x:f>
        <x:v>0.0380952380952381</x:v>
      </x:c>
      <x:c r="S2155" s="15" t="n">
        <x:f>IF(E2155=0,"해당 없음",K2155/E2155)</x:f>
        <x:v>0</x:v>
      </x:c>
      <x:c r="T2155" s="15" t="n">
        <x:f>IF(E2155=0,"해당 없음",L2155/E2155)</x:f>
        <x:v>0.4095238095238095</x:v>
      </x:c>
      <x:c r="U2155" s="15" t="n">
        <x:f>IF(E2155=0,"해당 없음",M2155/E2155)</x:f>
        <x:v>0.38095238095238093</x:v>
      </x:c>
      <x:c r="V2155" s="16" t="n">
        <x:f>E2155/5</x:f>
        <x:v>21</x:v>
      </x:c>
    </x:row>
    <x:row r="2156" ht="22" customHeight="1">
      <x:c r="A2156" s="2" t="n">
        <x:v>1076</x:v>
      </x:c>
      <x:c r="B2156" s="2" t="str">
        <x:v>RED</x:v>
      </x:c>
      <x:c r="C2156" s="2" t="str">
        <x:v>240만</x:v>
      </x:c>
      <x:c r="D2156" s="2" t="str">
        <x:v>160만</x:v>
      </x:c>
      <x:c r="E2156" s="14" t="n">
        <x:f>SUM(F2156:M2156)</x:f>
        <x:v>104</x:v>
      </x:c>
      <x:c r="F2156" s="14" t="n">
        <x:v>1</x:v>
      </x:c>
      <x:c r="G2156" s="14" t="n">
        <x:v>13</x:v>
      </x:c>
      <x:c r="H2156" s="14" t="n">
        <x:v>5</x:v>
      </x:c>
      <x:c r="I2156" s="14" t="n">
        <x:v>1</x:v>
      </x:c>
      <x:c r="J2156" s="14" t="n">
        <x:v>2</x:v>
      </x:c>
      <x:c r="K2156" s="14" t="n">
        <x:v>7</x:v>
      </x:c>
      <x:c r="L2156" s="14" t="n">
        <x:v>40</x:v>
      </x:c>
      <x:c r="M2156" s="14" t="n">
        <x:v>35</x:v>
      </x:c>
      <x:c r="N2156" s="15" t="n">
        <x:f>IF(E2156=0,"해당 없음",F2156/E2156)</x:f>
        <x:v>0.009615384615384616</x:v>
      </x:c>
      <x:c r="O2156" s="15" t="n">
        <x:f>IF(E2156=0,"해당 없음",G2156/E2156)</x:f>
        <x:v>0.125</x:v>
      </x:c>
      <x:c r="P2156" s="15" t="n">
        <x:f>IF(E2156=0,"해당 없음",H2156/E2156)</x:f>
        <x:v>0.04807692307692308</x:v>
      </x:c>
      <x:c r="Q2156" s="15" t="n">
        <x:f>IF(E2156=0,"해당 없음",I2156/E2156)</x:f>
        <x:v>0.009615384615384616</x:v>
      </x:c>
      <x:c r="R2156" s="15" t="n">
        <x:f>IF(E2156=0,"해당 없음",J2156/E2156)</x:f>
        <x:v>0.019230769230769232</x:v>
      </x:c>
      <x:c r="S2156" s="15" t="n">
        <x:f>IF(E2156=0,"해당 없음",K2156/E2156)</x:f>
        <x:v>0.0673076923076923</x:v>
      </x:c>
      <x:c r="T2156" s="15" t="n">
        <x:f>IF(E2156=0,"해당 없음",L2156/E2156)</x:f>
        <x:v>0.38461538461538464</x:v>
      </x:c>
      <x:c r="U2156" s="15" t="n">
        <x:f>IF(E2156=0,"해당 없음",M2156/E2156)</x:f>
        <x:v>0.33653846153846156</x:v>
      </x:c>
      <x:c r="V2156" s="16" t="n">
        <x:f>E2156/5</x:f>
        <x:v>20.8</x:v>
      </x:c>
    </x:row>
    <x:row r="2157" ht="22" customHeight="1">
      <x:c r="A2157" s="2" t="n">
        <x:v>1076</x:v>
      </x:c>
      <x:c r="B2157" s="2" t="str">
        <x:v>NAVY</x:v>
      </x:c>
      <x:c r="C2157" s="2" t="str">
        <x:v>160만</x:v>
      </x:c>
      <x:c r="D2157" s="2" t="str">
        <x:v>240만</x:v>
      </x:c>
      <x:c r="E2157" s="14" t="n">
        <x:f>SUM(F2157:M2157)</x:f>
        <x:v>104</x:v>
      </x:c>
      <x:c r="F2157" s="14" t="n">
        <x:v>3</x:v>
      </x:c>
      <x:c r="G2157" s="14" t="n">
        <x:v>10</x:v>
      </x:c>
      <x:c r="H2157" s="14" t="n">
        <x:v>5</x:v>
      </x:c>
      <x:c r="I2157" s="14" t="n">
        <x:v>3</x:v>
      </x:c>
      <x:c r="J2157" s="14" t="n">
        <x:v>10</x:v>
      </x:c>
      <x:c r="K2157" s="14" t="n">
        <x:v>4</x:v>
      </x:c>
      <x:c r="L2157" s="14" t="n">
        <x:v>38</x:v>
      </x:c>
      <x:c r="M2157" s="14" t="n">
        <x:v>31</x:v>
      </x:c>
      <x:c r="N2157" s="15" t="n">
        <x:f>IF(E2157=0,"해당 없음",F2157/E2157)</x:f>
        <x:v>0.028846153846153848</x:v>
      </x:c>
      <x:c r="O2157" s="15" t="n">
        <x:f>IF(E2157=0,"해당 없음",G2157/E2157)</x:f>
        <x:v>0.09615384615384616</x:v>
      </x:c>
      <x:c r="P2157" s="15" t="n">
        <x:f>IF(E2157=0,"해당 없음",H2157/E2157)</x:f>
        <x:v>0.04807692307692308</x:v>
      </x:c>
      <x:c r="Q2157" s="15" t="n">
        <x:f>IF(E2157=0,"해당 없음",I2157/E2157)</x:f>
        <x:v>0.028846153846153848</x:v>
      </x:c>
      <x:c r="R2157" s="15" t="n">
        <x:f>IF(E2157=0,"해당 없음",J2157/E2157)</x:f>
        <x:v>0.09615384615384616</x:v>
      </x:c>
      <x:c r="S2157" s="15" t="n">
        <x:f>IF(E2157=0,"해당 없음",K2157/E2157)</x:f>
        <x:v>0.038461538461538464</x:v>
      </x:c>
      <x:c r="T2157" s="15" t="n">
        <x:f>IF(E2157=0,"해당 없음",L2157/E2157)</x:f>
        <x:v>0.36538461538461536</x:v>
      </x:c>
      <x:c r="U2157" s="15" t="n">
        <x:f>IF(E2157=0,"해당 없음",M2157/E2157)</x:f>
        <x:v>0.2980769230769231</x:v>
      </x:c>
      <x:c r="V2157" s="16" t="n">
        <x:f>E2157/5</x:f>
        <x:v>20.8</x:v>
      </x:c>
    </x:row>
    <x:row r="2158" ht="22" customHeight="1">
      <x:c r="A2158" s="2" t="n">
        <x:v>1077</x:v>
      </x:c>
      <x:c r="B2158" s="2" t="str">
        <x:v>RED</x:v>
      </x:c>
      <x:c r="C2158" s="2" t="str">
        <x:v>160만</x:v>
      </x:c>
      <x:c r="D2158" s="2" t="str">
        <x:v>240만</x:v>
      </x:c>
      <x:c r="E2158" s="14" t="n">
        <x:f>SUM(F2158:M2158)</x:f>
        <x:v>103</x:v>
      </x:c>
      <x:c r="F2158" s="14" t="n">
        <x:v>4</x:v>
      </x:c>
      <x:c r="G2158" s="14" t="n">
        <x:v>16</x:v>
      </x:c>
      <x:c r="H2158" s="14" t="n">
        <x:v>6</x:v>
      </x:c>
      <x:c r="I2158" s="14" t="n">
        <x:v>8</x:v>
      </x:c>
      <x:c r="J2158" s="14" t="n">
        <x:v>1</x:v>
      </x:c>
      <x:c r="K2158" s="14" t="n">
        <x:v>4</x:v>
      </x:c>
      <x:c r="L2158" s="14" t="n">
        <x:v>35</x:v>
      </x:c>
      <x:c r="M2158" s="14" t="n">
        <x:v>29</x:v>
      </x:c>
      <x:c r="N2158" s="15" t="n">
        <x:f>IF(E2158=0,"해당 없음",F2158/E2158)</x:f>
        <x:v>0.038834951456310676</x:v>
      </x:c>
      <x:c r="O2158" s="15" t="n">
        <x:f>IF(E2158=0,"해당 없음",G2158/E2158)</x:f>
        <x:v>0.1553398058252427</x:v>
      </x:c>
      <x:c r="P2158" s="15" t="n">
        <x:f>IF(E2158=0,"해당 없음",H2158/E2158)</x:f>
        <x:v>0.05825242718446602</x:v>
      </x:c>
      <x:c r="Q2158" s="15" t="n">
        <x:f>IF(E2158=0,"해당 없음",I2158/E2158)</x:f>
        <x:v>0.07766990291262135</x:v>
      </x:c>
      <x:c r="R2158" s="15" t="n">
        <x:f>IF(E2158=0,"해당 없음",J2158/E2158)</x:f>
        <x:v>0.009708737864077669</x:v>
      </x:c>
      <x:c r="S2158" s="15" t="n">
        <x:f>IF(E2158=0,"해당 없음",K2158/E2158)</x:f>
        <x:v>0.038834951456310676</x:v>
      </x:c>
      <x:c r="T2158" s="15" t="n">
        <x:f>IF(E2158=0,"해당 없음",L2158/E2158)</x:f>
        <x:v>0.33980582524271846</x:v>
      </x:c>
      <x:c r="U2158" s="15" t="n">
        <x:f>IF(E2158=0,"해당 없음",M2158/E2158)</x:f>
        <x:v>0.2815533980582524</x:v>
      </x:c>
      <x:c r="V2158" s="16" t="n">
        <x:f>E2158/5</x:f>
        <x:v>20.6</x:v>
      </x:c>
    </x:row>
    <x:row r="2159" ht="22" customHeight="1">
      <x:c r="A2159" s="2" t="n">
        <x:v>1077</x:v>
      </x:c>
      <x:c r="B2159" s="2" t="str">
        <x:v>NAVY</x:v>
      </x:c>
      <x:c r="C2159" s="2" t="str">
        <x:v>240만</x:v>
      </x:c>
      <x:c r="D2159" s="2" t="str">
        <x:v>160만</x:v>
      </x:c>
      <x:c r="E2159" s="14" t="n">
        <x:f>SUM(F2159:M2159)</x:f>
        <x:v>101</x:v>
      </x:c>
      <x:c r="F2159" s="14" t="n">
        <x:v>3</x:v>
      </x:c>
      <x:c r="G2159" s="14" t="n">
        <x:v>11</x:v>
      </x:c>
      <x:c r="H2159" s="14" t="n">
        <x:v>2</x:v>
      </x:c>
      <x:c r="I2159" s="14" t="n">
        <x:v>5</x:v>
      </x:c>
      <x:c r="J2159" s="14" t="n">
        <x:v>2</x:v>
      </x:c>
      <x:c r="K2159" s="14" t="n">
        <x:v>4</x:v>
      </x:c>
      <x:c r="L2159" s="14" t="n">
        <x:v>36</x:v>
      </x:c>
      <x:c r="M2159" s="14" t="n">
        <x:v>38</x:v>
      </x:c>
      <x:c r="N2159" s="15" t="n">
        <x:f>IF(E2159=0,"해당 없음",F2159/E2159)</x:f>
        <x:v>0.0297029702970297</x:v>
      </x:c>
      <x:c r="O2159" s="15" t="n">
        <x:f>IF(E2159=0,"해당 없음",G2159/E2159)</x:f>
        <x:v>0.10891089108910891</x:v>
      </x:c>
      <x:c r="P2159" s="15" t="n">
        <x:f>IF(E2159=0,"해당 없음",H2159/E2159)</x:f>
        <x:v>0.019801980198019802</x:v>
      </x:c>
      <x:c r="Q2159" s="15" t="n">
        <x:f>IF(E2159=0,"해당 없음",I2159/E2159)</x:f>
        <x:v>0.04950495049504951</x:v>
      </x:c>
      <x:c r="R2159" s="15" t="n">
        <x:f>IF(E2159=0,"해당 없음",J2159/E2159)</x:f>
        <x:v>0.019801980198019802</x:v>
      </x:c>
      <x:c r="S2159" s="15" t="n">
        <x:f>IF(E2159=0,"해당 없음",K2159/E2159)</x:f>
        <x:v>0.039603960396039604</x:v>
      </x:c>
      <x:c r="T2159" s="15" t="n">
        <x:f>IF(E2159=0,"해당 없음",L2159/E2159)</x:f>
        <x:v>0.3564356435643564</x:v>
      </x:c>
      <x:c r="U2159" s="15" t="n">
        <x:f>IF(E2159=0,"해당 없음",M2159/E2159)</x:f>
        <x:v>0.37623762376237624</x:v>
      </x:c>
      <x:c r="V2159" s="16" t="n">
        <x:f>E2159/5</x:f>
        <x:v>20.2</x:v>
      </x:c>
    </x:row>
    <x:row r="2160" ht="22" customHeight="1">
      <x:c r="A2160" s="2" t="n">
        <x:v>1078</x:v>
      </x:c>
      <x:c r="B2160" s="2" t="str">
        <x:v>RED</x:v>
      </x:c>
      <x:c r="C2160" s="2" t="str">
        <x:v>240만</x:v>
      </x:c>
      <x:c r="D2160" s="2" t="str">
        <x:v>160만</x:v>
      </x:c>
      <x:c r="E2160" s="14" t="n">
        <x:f>SUM(F2160:M2160)</x:f>
        <x:v>101</x:v>
      </x:c>
      <x:c r="F2160" s="14" t="n">
        <x:v>1</x:v>
      </x:c>
      <x:c r="G2160" s="14" t="n">
        <x:v>13</x:v>
      </x:c>
      <x:c r="H2160" s="14" t="n">
        <x:v>3</x:v>
      </x:c>
      <x:c r="I2160" s="14" t="n">
        <x:v>2</x:v>
      </x:c>
      <x:c r="J2160" s="14" t="n">
        <x:v>2</x:v>
      </x:c>
      <x:c r="K2160" s="14" t="n">
        <x:v>2</x:v>
      </x:c>
      <x:c r="L2160" s="14" t="n">
        <x:v>33</x:v>
      </x:c>
      <x:c r="M2160" s="14" t="n">
        <x:v>45</x:v>
      </x:c>
      <x:c r="N2160" s="15" t="n">
        <x:f>IF(E2160=0,"해당 없음",F2160/E2160)</x:f>
        <x:v>0.009900990099009901</x:v>
      </x:c>
      <x:c r="O2160" s="15" t="n">
        <x:f>IF(E2160=0,"해당 없음",G2160/E2160)</x:f>
        <x:v>0.12871287128712872</x:v>
      </x:c>
      <x:c r="P2160" s="15" t="n">
        <x:f>IF(E2160=0,"해당 없음",H2160/E2160)</x:f>
        <x:v>0.0297029702970297</x:v>
      </x:c>
      <x:c r="Q2160" s="15" t="n">
        <x:f>IF(E2160=0,"해당 없음",I2160/E2160)</x:f>
        <x:v>0.019801980198019802</x:v>
      </x:c>
      <x:c r="R2160" s="15" t="n">
        <x:f>IF(E2160=0,"해당 없음",J2160/E2160)</x:f>
        <x:v>0.019801980198019802</x:v>
      </x:c>
      <x:c r="S2160" s="15" t="n">
        <x:f>IF(E2160=0,"해당 없음",K2160/E2160)</x:f>
        <x:v>0.019801980198019802</x:v>
      </x:c>
      <x:c r="T2160" s="15" t="n">
        <x:f>IF(E2160=0,"해당 없음",L2160/E2160)</x:f>
        <x:v>0.32673267326732675</x:v>
      </x:c>
      <x:c r="U2160" s="15" t="n">
        <x:f>IF(E2160=0,"해당 없음",M2160/E2160)</x:f>
        <x:v>0.44554455445544555</x:v>
      </x:c>
      <x:c r="V2160" s="16" t="n">
        <x:f>E2160/5</x:f>
        <x:v>20.2</x:v>
      </x:c>
    </x:row>
    <x:row r="2161" ht="22" customHeight="1">
      <x:c r="A2161" s="2" t="n">
        <x:v>1078</x:v>
      </x:c>
      <x:c r="B2161" s="2" t="str">
        <x:v>NAVY</x:v>
      </x:c>
      <x:c r="C2161" s="2" t="str">
        <x:v>160만</x:v>
      </x:c>
      <x:c r="D2161" s="2" t="str">
        <x:v>240만</x:v>
      </x:c>
      <x:c r="E2161" s="14" t="n">
        <x:f>SUM(F2161:M2161)</x:f>
        <x:v>103</x:v>
      </x:c>
      <x:c r="F2161" s="14" t="n">
        <x:v>3</x:v>
      </x:c>
      <x:c r="G2161" s="14" t="n">
        <x:v>11</x:v>
      </x:c>
      <x:c r="H2161" s="14" t="n">
        <x:v>6</x:v>
      </x:c>
      <x:c r="I2161" s="14" t="n">
        <x:v>8</x:v>
      </x:c>
      <x:c r="J2161" s="14" t="n">
        <x:v>3</x:v>
      </x:c>
      <x:c r="K2161" s="14" t="n">
        <x:v>16</x:v>
      </x:c>
      <x:c r="L2161" s="14" t="n">
        <x:v>33</x:v>
      </x:c>
      <x:c r="M2161" s="14" t="n">
        <x:v>23</x:v>
      </x:c>
      <x:c r="N2161" s="15" t="n">
        <x:f>IF(E2161=0,"해당 없음",F2161/E2161)</x:f>
        <x:v>0.02912621359223301</x:v>
      </x:c>
      <x:c r="O2161" s="15" t="n">
        <x:f>IF(E2161=0,"해당 없음",G2161/E2161)</x:f>
        <x:v>0.10679611650485436</x:v>
      </x:c>
      <x:c r="P2161" s="15" t="n">
        <x:f>IF(E2161=0,"해당 없음",H2161/E2161)</x:f>
        <x:v>0.05825242718446602</x:v>
      </x:c>
      <x:c r="Q2161" s="15" t="n">
        <x:f>IF(E2161=0,"해당 없음",I2161/E2161)</x:f>
        <x:v>0.07766990291262135</x:v>
      </x:c>
      <x:c r="R2161" s="15" t="n">
        <x:f>IF(E2161=0,"해당 없음",J2161/E2161)</x:f>
        <x:v>0.02912621359223301</x:v>
      </x:c>
      <x:c r="S2161" s="15" t="n">
        <x:f>IF(E2161=0,"해당 없음",K2161/E2161)</x:f>
        <x:v>0.1553398058252427</x:v>
      </x:c>
      <x:c r="T2161" s="15" t="n">
        <x:f>IF(E2161=0,"해당 없음",L2161/E2161)</x:f>
        <x:v>0.32038834951456313</x:v>
      </x:c>
      <x:c r="U2161" s="15" t="n">
        <x:f>IF(E2161=0,"해당 없음",M2161/E2161)</x:f>
        <x:v>0.22330097087378642</x:v>
      </x:c>
      <x:c r="V2161" s="16" t="n">
        <x:f>E2161/5</x:f>
        <x:v>20.6</x:v>
      </x:c>
    </x:row>
    <x:row r="2162" ht="22" customHeight="1">
      <x:c r="A2162" s="2" t="n">
        <x:v>1079</x:v>
      </x:c>
      <x:c r="B2162" s="2" t="str">
        <x:v>RED</x:v>
      </x:c>
      <x:c r="C2162" s="2" t="str">
        <x:v>160만</x:v>
      </x:c>
      <x:c r="D2162" s="2" t="str">
        <x:v>240만</x:v>
      </x:c>
      <x:c r="E2162" s="14" t="n">
        <x:f>SUM(F2162:M2162)</x:f>
        <x:v>104</x:v>
      </x:c>
      <x:c r="F2162" s="14" t="n">
        <x:v>5</x:v>
      </x:c>
      <x:c r="G2162" s="14" t="n">
        <x:v>12</x:v>
      </x:c>
      <x:c r="H2162" s="14" t="n">
        <x:v>3</x:v>
      </x:c>
      <x:c r="I2162" s="14" t="n">
        <x:v>4</x:v>
      </x:c>
      <x:c r="J2162" s="14" t="n">
        <x:v>3</x:v>
      </x:c>
      <x:c r="K2162" s="14" t="n">
        <x:v>4</x:v>
      </x:c>
      <x:c r="L2162" s="14" t="n">
        <x:v>38</x:v>
      </x:c>
      <x:c r="M2162" s="14" t="n">
        <x:v>35</x:v>
      </x:c>
      <x:c r="N2162" s="15" t="n">
        <x:f>IF(E2162=0,"해당 없음",F2162/E2162)</x:f>
        <x:v>0.04807692307692308</x:v>
      </x:c>
      <x:c r="O2162" s="15" t="n">
        <x:f>IF(E2162=0,"해당 없음",G2162/E2162)</x:f>
        <x:v>0.11538461538461539</x:v>
      </x:c>
      <x:c r="P2162" s="15" t="n">
        <x:f>IF(E2162=0,"해당 없음",H2162/E2162)</x:f>
        <x:v>0.028846153846153848</x:v>
      </x:c>
      <x:c r="Q2162" s="15" t="n">
        <x:f>IF(E2162=0,"해당 없음",I2162/E2162)</x:f>
        <x:v>0.038461538461538464</x:v>
      </x:c>
      <x:c r="R2162" s="15" t="n">
        <x:f>IF(E2162=0,"해당 없음",J2162/E2162)</x:f>
        <x:v>0.028846153846153848</x:v>
      </x:c>
      <x:c r="S2162" s="15" t="n">
        <x:f>IF(E2162=0,"해당 없음",K2162/E2162)</x:f>
        <x:v>0.038461538461538464</x:v>
      </x:c>
      <x:c r="T2162" s="15" t="n">
        <x:f>IF(E2162=0,"해당 없음",L2162/E2162)</x:f>
        <x:v>0.36538461538461536</x:v>
      </x:c>
      <x:c r="U2162" s="15" t="n">
        <x:f>IF(E2162=0,"해당 없음",M2162/E2162)</x:f>
        <x:v>0.33653846153846156</x:v>
      </x:c>
      <x:c r="V2162" s="16" t="n">
        <x:f>E2162/5</x:f>
        <x:v>20.8</x:v>
      </x:c>
    </x:row>
    <x:row r="2163" ht="22" customHeight="1">
      <x:c r="A2163" s="2" t="n">
        <x:v>1079</x:v>
      </x:c>
      <x:c r="B2163" s="2" t="str">
        <x:v>NAVY</x:v>
      </x:c>
      <x:c r="C2163" s="2" t="str">
        <x:v>240만</x:v>
      </x:c>
      <x:c r="D2163" s="2" t="str">
        <x:v>160만</x:v>
      </x:c>
      <x:c r="E2163" s="14" t="n">
        <x:f>SUM(F2163:M2163)</x:f>
        <x:v>104</x:v>
      </x:c>
      <x:c r="F2163" s="14" t="n">
        <x:v>3</x:v>
      </x:c>
      <x:c r="G2163" s="14" t="n">
        <x:v>20</x:v>
      </x:c>
      <x:c r="H2163" s="14" t="n">
        <x:v>4</x:v>
      </x:c>
      <x:c r="I2163" s="14" t="n">
        <x:v>0</x:v>
      </x:c>
      <x:c r="J2163" s="14" t="n">
        <x:v>5</x:v>
      </x:c>
      <x:c r="K2163" s="14" t="n">
        <x:v>6</x:v>
      </x:c>
      <x:c r="L2163" s="14" t="n">
        <x:v>37</x:v>
      </x:c>
      <x:c r="M2163" s="14" t="n">
        <x:v>29</x:v>
      </x:c>
      <x:c r="N2163" s="15" t="n">
        <x:f>IF(E2163=0,"해당 없음",F2163/E2163)</x:f>
        <x:v>0.028846153846153848</x:v>
      </x:c>
      <x:c r="O2163" s="15" t="n">
        <x:f>IF(E2163=0,"해당 없음",G2163/E2163)</x:f>
        <x:v>0.19230769230769232</x:v>
      </x:c>
      <x:c r="P2163" s="15" t="n">
        <x:f>IF(E2163=0,"해당 없음",H2163/E2163)</x:f>
        <x:v>0.038461538461538464</x:v>
      </x:c>
      <x:c r="Q2163" s="15" t="n">
        <x:f>IF(E2163=0,"해당 없음",I2163/E2163)</x:f>
        <x:v>0</x:v>
      </x:c>
      <x:c r="R2163" s="15" t="n">
        <x:f>IF(E2163=0,"해당 없음",J2163/E2163)</x:f>
        <x:v>0.04807692307692308</x:v>
      </x:c>
      <x:c r="S2163" s="15" t="n">
        <x:f>IF(E2163=0,"해당 없음",K2163/E2163)</x:f>
        <x:v>0.057692307692307696</x:v>
      </x:c>
      <x:c r="T2163" s="15" t="n">
        <x:f>IF(E2163=0,"해당 없음",L2163/E2163)</x:f>
        <x:v>0.3557692307692308</x:v>
      </x:c>
      <x:c r="U2163" s="15" t="n">
        <x:f>IF(E2163=0,"해당 없음",M2163/E2163)</x:f>
        <x:v>0.27884615384615385</x:v>
      </x:c>
      <x:c r="V2163" s="16" t="n">
        <x:f>E2163/5</x:f>
        <x:v>20.8</x:v>
      </x:c>
    </x:row>
    <x:row r="2164" ht="22" customHeight="1">
      <x:c r="A2164" s="2" t="n">
        <x:v>1080</x:v>
      </x:c>
      <x:c r="B2164" s="2" t="str">
        <x:v>RED</x:v>
      </x:c>
      <x:c r="C2164" s="2" t="str">
        <x:v>240만</x:v>
      </x:c>
      <x:c r="D2164" s="2" t="str">
        <x:v>160만</x:v>
      </x:c>
      <x:c r="E2164" s="14" t="n">
        <x:f>SUM(F2164:M2164)</x:f>
        <x:v>105</x:v>
      </x:c>
      <x:c r="F2164" s="14" t="n">
        <x:v>2</x:v>
      </x:c>
      <x:c r="G2164" s="14" t="n">
        <x:v>18</x:v>
      </x:c>
      <x:c r="H2164" s="14" t="n">
        <x:v>3</x:v>
      </x:c>
      <x:c r="I2164" s="14" t="n">
        <x:v>1</x:v>
      </x:c>
      <x:c r="J2164" s="14" t="n">
        <x:v>5</x:v>
      </x:c>
      <x:c r="K2164" s="14" t="n">
        <x:v>5</x:v>
      </x:c>
      <x:c r="L2164" s="14" t="n">
        <x:v>41</x:v>
      </x:c>
      <x:c r="M2164" s="14" t="n">
        <x:v>30</x:v>
      </x:c>
      <x:c r="N2164" s="15" t="n">
        <x:f>IF(E2164=0,"해당 없음",F2164/E2164)</x:f>
        <x:v>0.01904761904761905</x:v>
      </x:c>
      <x:c r="O2164" s="15" t="n">
        <x:f>IF(E2164=0,"해당 없음",G2164/E2164)</x:f>
        <x:v>0.17142857142857143</x:v>
      </x:c>
      <x:c r="P2164" s="15" t="n">
        <x:f>IF(E2164=0,"해당 없음",H2164/E2164)</x:f>
        <x:v>0.02857142857142857</x:v>
      </x:c>
      <x:c r="Q2164" s="15" t="n">
        <x:f>IF(E2164=0,"해당 없음",I2164/E2164)</x:f>
        <x:v>0.009523809523809525</x:v>
      </x:c>
      <x:c r="R2164" s="15" t="n">
        <x:f>IF(E2164=0,"해당 없음",J2164/E2164)</x:f>
        <x:v>0.047619047619047616</x:v>
      </x:c>
      <x:c r="S2164" s="15" t="n">
        <x:f>IF(E2164=0,"해당 없음",K2164/E2164)</x:f>
        <x:v>0.047619047619047616</x:v>
      </x:c>
      <x:c r="T2164" s="15" t="n">
        <x:f>IF(E2164=0,"해당 없음",L2164/E2164)</x:f>
        <x:v>0.3904761904761905</x:v>
      </x:c>
      <x:c r="U2164" s="15" t="n">
        <x:f>IF(E2164=0,"해당 없음",M2164/E2164)</x:f>
        <x:v>0.2857142857142857</x:v>
      </x:c>
      <x:c r="V2164" s="16" t="n">
        <x:f>E2164/5</x:f>
        <x:v>21</x:v>
      </x:c>
    </x:row>
    <x:row r="2165" ht="22" customHeight="1">
      <x:c r="A2165" s="2" t="n">
        <x:v>1080</x:v>
      </x:c>
      <x:c r="B2165" s="2" t="str">
        <x:v>NAVY</x:v>
      </x:c>
      <x:c r="C2165" s="2" t="str">
        <x:v>160만</x:v>
      </x:c>
      <x:c r="D2165" s="2" t="str">
        <x:v>240만</x:v>
      </x:c>
      <x:c r="E2165" s="14" t="n">
        <x:f>SUM(F2165:M2165)</x:f>
        <x:v>103</x:v>
      </x:c>
      <x:c r="F2165" s="14" t="n">
        <x:v>5</x:v>
      </x:c>
      <x:c r="G2165" s="14" t="n">
        <x:v>11</x:v>
      </x:c>
      <x:c r="H2165" s="14" t="n">
        <x:v>5</x:v>
      </x:c>
      <x:c r="I2165" s="14" t="n">
        <x:v>6</x:v>
      </x:c>
      <x:c r="J2165" s="14" t="n">
        <x:v>3</x:v>
      </x:c>
      <x:c r="K2165" s="14" t="n">
        <x:v>15</x:v>
      </x:c>
      <x:c r="L2165" s="14" t="n">
        <x:v>34</x:v>
      </x:c>
      <x:c r="M2165" s="14" t="n">
        <x:v>24</x:v>
      </x:c>
      <x:c r="N2165" s="15" t="n">
        <x:f>IF(E2165=0,"해당 없음",F2165/E2165)</x:f>
        <x:v>0.04854368932038835</x:v>
      </x:c>
      <x:c r="O2165" s="15" t="n">
        <x:f>IF(E2165=0,"해당 없음",G2165/E2165)</x:f>
        <x:v>0.10679611650485436</x:v>
      </x:c>
      <x:c r="P2165" s="15" t="n">
        <x:f>IF(E2165=0,"해당 없음",H2165/E2165)</x:f>
        <x:v>0.04854368932038835</x:v>
      </x:c>
      <x:c r="Q2165" s="15" t="n">
        <x:f>IF(E2165=0,"해당 없음",I2165/E2165)</x:f>
        <x:v>0.05825242718446602</x:v>
      </x:c>
      <x:c r="R2165" s="15" t="n">
        <x:f>IF(E2165=0,"해당 없음",J2165/E2165)</x:f>
        <x:v>0.02912621359223301</x:v>
      </x:c>
      <x:c r="S2165" s="15" t="n">
        <x:f>IF(E2165=0,"해당 없음",K2165/E2165)</x:f>
        <x:v>0.14563106796116504</x:v>
      </x:c>
      <x:c r="T2165" s="15" t="n">
        <x:f>IF(E2165=0,"해당 없음",L2165/E2165)</x:f>
        <x:v>0.3300970873786408</x:v>
      </x:c>
      <x:c r="U2165" s="15" t="n">
        <x:f>IF(E2165=0,"해당 없음",M2165/E2165)</x:f>
        <x:v>0.23300970873786409</x:v>
      </x:c>
      <x:c r="V2165" s="16" t="n">
        <x:f>E2165/5</x:f>
        <x:v>20.6</x:v>
      </x:c>
    </x:row>
    <x:row r="2166" ht="22" customHeight="1">
      <x:c r="A2166" s="2" t="n">
        <x:v>1081</x:v>
      </x:c>
      <x:c r="B2166" s="2" t="str">
        <x:v>RED</x:v>
      </x:c>
      <x:c r="C2166" s="2" t="str">
        <x:v>200만</x:v>
      </x:c>
      <x:c r="D2166" s="2" t="str">
        <x:v>240만</x:v>
      </x:c>
      <x:c r="E2166" s="14" t="n">
        <x:f>SUM(F2166:M2166)</x:f>
        <x:v>103</x:v>
      </x:c>
      <x:c r="F2166" s="14" t="n">
        <x:v>5</x:v>
      </x:c>
      <x:c r="G2166" s="14" t="n">
        <x:v>11</x:v>
      </x:c>
      <x:c r="H2166" s="14" t="n">
        <x:v>4</x:v>
      </x:c>
      <x:c r="I2166" s="14" t="n">
        <x:v>8</x:v>
      </x:c>
      <x:c r="J2166" s="14" t="n">
        <x:v>0</x:v>
      </x:c>
      <x:c r="K2166" s="14" t="n">
        <x:v>0</x:v>
      </x:c>
      <x:c r="L2166" s="14" t="n">
        <x:v>40</x:v>
      </x:c>
      <x:c r="M2166" s="14" t="n">
        <x:v>35</x:v>
      </x:c>
      <x:c r="N2166" s="15" t="n">
        <x:f>IF(E2166=0,"해당 없음",F2166/E2166)</x:f>
        <x:v>0.04854368932038835</x:v>
      </x:c>
      <x:c r="O2166" s="15" t="n">
        <x:f>IF(E2166=0,"해당 없음",G2166/E2166)</x:f>
        <x:v>0.10679611650485436</x:v>
      </x:c>
      <x:c r="P2166" s="15" t="n">
        <x:f>IF(E2166=0,"해당 없음",H2166/E2166)</x:f>
        <x:v>0.038834951456310676</x:v>
      </x:c>
      <x:c r="Q2166" s="15" t="n">
        <x:f>IF(E2166=0,"해당 없음",I2166/E2166)</x:f>
        <x:v>0.07766990291262135</x:v>
      </x:c>
      <x:c r="R2166" s="15" t="n">
        <x:f>IF(E2166=0,"해당 없음",J2166/E2166)</x:f>
        <x:v>0</x:v>
      </x:c>
      <x:c r="S2166" s="15" t="n">
        <x:f>IF(E2166=0,"해당 없음",K2166/E2166)</x:f>
        <x:v>0</x:v>
      </x:c>
      <x:c r="T2166" s="15" t="n">
        <x:f>IF(E2166=0,"해당 없음",L2166/E2166)</x:f>
        <x:v>0.3883495145631068</x:v>
      </x:c>
      <x:c r="U2166" s="15" t="n">
        <x:f>IF(E2166=0,"해당 없음",M2166/E2166)</x:f>
        <x:v>0.33980582524271846</x:v>
      </x:c>
      <x:c r="V2166" s="16" t="n">
        <x:f>E2166/5</x:f>
        <x:v>20.6</x:v>
      </x:c>
    </x:row>
    <x:row r="2167" ht="22" customHeight="1">
      <x:c r="A2167" s="2" t="n">
        <x:v>1081</x:v>
      </x:c>
      <x:c r="B2167" s="2" t="str">
        <x:v>NAVY</x:v>
      </x:c>
      <x:c r="C2167" s="2" t="str">
        <x:v>240만</x:v>
      </x:c>
      <x:c r="D2167" s="2" t="str">
        <x:v>200만</x:v>
      </x:c>
      <x:c r="E2167" s="14" t="n">
        <x:f>SUM(F2167:M2167)</x:f>
        <x:v>103</x:v>
      </x:c>
      <x:c r="F2167" s="14" t="n">
        <x:v>1</x:v>
      </x:c>
      <x:c r="G2167" s="14" t="n">
        <x:v>16</x:v>
      </x:c>
      <x:c r="H2167" s="14" t="n">
        <x:v>0</x:v>
      </x:c>
      <x:c r="I2167" s="14" t="n">
        <x:v>3</x:v>
      </x:c>
      <x:c r="J2167" s="14" t="n">
        <x:v>4</x:v>
      </x:c>
      <x:c r="K2167" s="14" t="n">
        <x:v>4</x:v>
      </x:c>
      <x:c r="L2167" s="14" t="n">
        <x:v>36</x:v>
      </x:c>
      <x:c r="M2167" s="14" t="n">
        <x:v>39</x:v>
      </x:c>
      <x:c r="N2167" s="15" t="n">
        <x:f>IF(E2167=0,"해당 없음",F2167/E2167)</x:f>
        <x:v>0.009708737864077669</x:v>
      </x:c>
      <x:c r="O2167" s="15" t="n">
        <x:f>IF(E2167=0,"해당 없음",G2167/E2167)</x:f>
        <x:v>0.1553398058252427</x:v>
      </x:c>
      <x:c r="P2167" s="15" t="n">
        <x:f>IF(E2167=0,"해당 없음",H2167/E2167)</x:f>
        <x:v>0</x:v>
      </x:c>
      <x:c r="Q2167" s="15" t="n">
        <x:f>IF(E2167=0,"해당 없음",I2167/E2167)</x:f>
        <x:v>0.02912621359223301</x:v>
      </x:c>
      <x:c r="R2167" s="15" t="n">
        <x:f>IF(E2167=0,"해당 없음",J2167/E2167)</x:f>
        <x:v>0.038834951456310676</x:v>
      </x:c>
      <x:c r="S2167" s="15" t="n">
        <x:f>IF(E2167=0,"해당 없음",K2167/E2167)</x:f>
        <x:v>0.038834951456310676</x:v>
      </x:c>
      <x:c r="T2167" s="15" t="n">
        <x:f>IF(E2167=0,"해당 없음",L2167/E2167)</x:f>
        <x:v>0.34951456310679613</x:v>
      </x:c>
      <x:c r="U2167" s="15" t="n">
        <x:f>IF(E2167=0,"해당 없음",M2167/E2167)</x:f>
        <x:v>0.3786407766990291</x:v>
      </x:c>
      <x:c r="V2167" s="16" t="n">
        <x:f>E2167/5</x:f>
        <x:v>20.6</x:v>
      </x:c>
    </x:row>
    <x:row r="2168" ht="22" customHeight="1">
      <x:c r="A2168" s="2" t="n">
        <x:v>1082</x:v>
      </x:c>
      <x:c r="B2168" s="2" t="str">
        <x:v>RED</x:v>
      </x:c>
      <x:c r="C2168" s="2" t="str">
        <x:v>240만</x:v>
      </x:c>
      <x:c r="D2168" s="2" t="str">
        <x:v>200만</x:v>
      </x:c>
      <x:c r="E2168" s="14" t="n">
        <x:f>SUM(F2168:M2168)</x:f>
        <x:v>103</x:v>
      </x:c>
      <x:c r="F2168" s="14" t="n">
        <x:v>4</x:v>
      </x:c>
      <x:c r="G2168" s="14" t="n">
        <x:v>9</x:v>
      </x:c>
      <x:c r="H2168" s="14" t="n">
        <x:v>3</x:v>
      </x:c>
      <x:c r="I2168" s="14" t="n">
        <x:v>8</x:v>
      </x:c>
      <x:c r="J2168" s="14" t="n">
        <x:v>2</x:v>
      </x:c>
      <x:c r="K2168" s="14" t="n">
        <x:v>2</x:v>
      </x:c>
      <x:c r="L2168" s="14" t="n">
        <x:v>44</x:v>
      </x:c>
      <x:c r="M2168" s="14" t="n">
        <x:v>31</x:v>
      </x:c>
      <x:c r="N2168" s="15" t="n">
        <x:f>IF(E2168=0,"해당 없음",F2168/E2168)</x:f>
        <x:v>0.038834951456310676</x:v>
      </x:c>
      <x:c r="O2168" s="15" t="n">
        <x:f>IF(E2168=0,"해당 없음",G2168/E2168)</x:f>
        <x:v>0.08737864077669903</x:v>
      </x:c>
      <x:c r="P2168" s="15" t="n">
        <x:f>IF(E2168=0,"해당 없음",H2168/E2168)</x:f>
        <x:v>0.02912621359223301</x:v>
      </x:c>
      <x:c r="Q2168" s="15" t="n">
        <x:f>IF(E2168=0,"해당 없음",I2168/E2168)</x:f>
        <x:v>0.07766990291262135</x:v>
      </x:c>
      <x:c r="R2168" s="15" t="n">
        <x:f>IF(E2168=0,"해당 없음",J2168/E2168)</x:f>
        <x:v>0.019417475728155338</x:v>
      </x:c>
      <x:c r="S2168" s="15" t="n">
        <x:f>IF(E2168=0,"해당 없음",K2168/E2168)</x:f>
        <x:v>0.019417475728155338</x:v>
      </x:c>
      <x:c r="T2168" s="15" t="n">
        <x:f>IF(E2168=0,"해당 없음",L2168/E2168)</x:f>
        <x:v>0.42718446601941745</x:v>
      </x:c>
      <x:c r="U2168" s="15" t="n">
        <x:f>IF(E2168=0,"해당 없음",M2168/E2168)</x:f>
        <x:v>0.30097087378640774</x:v>
      </x:c>
      <x:c r="V2168" s="16" t="n">
        <x:f>E2168/5</x:f>
        <x:v>20.6</x:v>
      </x:c>
    </x:row>
    <x:row r="2169" ht="22" customHeight="1">
      <x:c r="A2169" s="2" t="n">
        <x:v>1082</x:v>
      </x:c>
      <x:c r="B2169" s="2" t="str">
        <x:v>NAVY</x:v>
      </x:c>
      <x:c r="C2169" s="2" t="str">
        <x:v>200만</x:v>
      </x:c>
      <x:c r="D2169" s="2" t="str">
        <x:v>240만</x:v>
      </x:c>
      <x:c r="E2169" s="14" t="n">
        <x:f>SUM(F2169:M2169)</x:f>
        <x:v>102</x:v>
      </x:c>
      <x:c r="F2169" s="14" t="n">
        <x:v>1</x:v>
      </x:c>
      <x:c r="G2169" s="14" t="n">
        <x:v>21</x:v>
      </x:c>
      <x:c r="H2169" s="14" t="n">
        <x:v>2</x:v>
      </x:c>
      <x:c r="I2169" s="14" t="n">
        <x:v>1</x:v>
      </x:c>
      <x:c r="J2169" s="14" t="n">
        <x:v>4</x:v>
      </x:c>
      <x:c r="K2169" s="14" t="n">
        <x:v>3</x:v>
      </x:c>
      <x:c r="L2169" s="14" t="n">
        <x:v>36</x:v>
      </x:c>
      <x:c r="M2169" s="14" t="n">
        <x:v>34</x:v>
      </x:c>
      <x:c r="N2169" s="15" t="n">
        <x:f>IF(E2169=0,"해당 없음",F2169/E2169)</x:f>
        <x:v>0.00980392156862745</x:v>
      </x:c>
      <x:c r="O2169" s="15" t="n">
        <x:f>IF(E2169=0,"해당 없음",G2169/E2169)</x:f>
        <x:v>0.20588235294117646</x:v>
      </x:c>
      <x:c r="P2169" s="15" t="n">
        <x:f>IF(E2169=0,"해당 없음",H2169/E2169)</x:f>
        <x:v>0.0196078431372549</x:v>
      </x:c>
      <x:c r="Q2169" s="15" t="n">
        <x:f>IF(E2169=0,"해당 없음",I2169/E2169)</x:f>
        <x:v>0.00980392156862745</x:v>
      </x:c>
      <x:c r="R2169" s="15" t="n">
        <x:f>IF(E2169=0,"해당 없음",J2169/E2169)</x:f>
        <x:v>0.0392156862745098</x:v>
      </x:c>
      <x:c r="S2169" s="15" t="n">
        <x:f>IF(E2169=0,"해당 없음",K2169/E2169)</x:f>
        <x:v>0.029411764705882353</x:v>
      </x:c>
      <x:c r="T2169" s="15" t="n">
        <x:f>IF(E2169=0,"해당 없음",L2169/E2169)</x:f>
        <x:v>0.35294117647058826</x:v>
      </x:c>
      <x:c r="U2169" s="15" t="n">
        <x:f>IF(E2169=0,"해당 없음",M2169/E2169)</x:f>
        <x:v>0.3333333333333333</x:v>
      </x:c>
      <x:c r="V2169" s="16" t="n">
        <x:f>E2169/5</x:f>
        <x:v>20.4</x:v>
      </x:c>
    </x:row>
    <x:row r="2170" ht="22" customHeight="1">
      <x:c r="A2170" s="2" t="n">
        <x:v>1083</x:v>
      </x:c>
      <x:c r="B2170" s="2" t="str">
        <x:v>RED</x:v>
      </x:c>
      <x:c r="C2170" s="2" t="str">
        <x:v>200만</x:v>
      </x:c>
      <x:c r="D2170" s="2" t="str">
        <x:v>240만</x:v>
      </x:c>
      <x:c r="E2170" s="14" t="n">
        <x:f>SUM(F2170:M2170)</x:f>
        <x:v>103</x:v>
      </x:c>
      <x:c r="F2170" s="14" t="n">
        <x:v>8</x:v>
      </x:c>
      <x:c r="G2170" s="14" t="n">
        <x:v>9</x:v>
      </x:c>
      <x:c r="H2170" s="14" t="n">
        <x:v>2</x:v>
      </x:c>
      <x:c r="I2170" s="14" t="n">
        <x:v>6</x:v>
      </x:c>
      <x:c r="J2170" s="14" t="n">
        <x:v>0</x:v>
      </x:c>
      <x:c r="K2170" s="14" t="n">
        <x:v>9</x:v>
      </x:c>
      <x:c r="L2170" s="14" t="n">
        <x:v>32</x:v>
      </x:c>
      <x:c r="M2170" s="14" t="n">
        <x:v>37</x:v>
      </x:c>
      <x:c r="N2170" s="15" t="n">
        <x:f>IF(E2170=0,"해당 없음",F2170/E2170)</x:f>
        <x:v>0.07766990291262135</x:v>
      </x:c>
      <x:c r="O2170" s="15" t="n">
        <x:f>IF(E2170=0,"해당 없음",G2170/E2170)</x:f>
        <x:v>0.08737864077669903</x:v>
      </x:c>
      <x:c r="P2170" s="15" t="n">
        <x:f>IF(E2170=0,"해당 없음",H2170/E2170)</x:f>
        <x:v>0.019417475728155338</x:v>
      </x:c>
      <x:c r="Q2170" s="15" t="n">
        <x:f>IF(E2170=0,"해당 없음",I2170/E2170)</x:f>
        <x:v>0.05825242718446602</x:v>
      </x:c>
      <x:c r="R2170" s="15" t="n">
        <x:f>IF(E2170=0,"해당 없음",J2170/E2170)</x:f>
        <x:v>0</x:v>
      </x:c>
      <x:c r="S2170" s="15" t="n">
        <x:f>IF(E2170=0,"해당 없음",K2170/E2170)</x:f>
        <x:v>0.08737864077669903</x:v>
      </x:c>
      <x:c r="T2170" s="15" t="n">
        <x:f>IF(E2170=0,"해당 없음",L2170/E2170)</x:f>
        <x:v>0.3106796116504854</x:v>
      </x:c>
      <x:c r="U2170" s="15" t="n">
        <x:f>IF(E2170=0,"해당 없음",M2170/E2170)</x:f>
        <x:v>0.3592233009708738</x:v>
      </x:c>
      <x:c r="V2170" s="16" t="n">
        <x:f>E2170/5</x:f>
        <x:v>20.6</x:v>
      </x:c>
    </x:row>
    <x:row r="2171" ht="22" customHeight="1">
      <x:c r="A2171" s="2" t="n">
        <x:v>1083</x:v>
      </x:c>
      <x:c r="B2171" s="2" t="str">
        <x:v>NAVY</x:v>
      </x:c>
      <x:c r="C2171" s="2" t="str">
        <x:v>240만</x:v>
      </x:c>
      <x:c r="D2171" s="2" t="str">
        <x:v>200만</x:v>
      </x:c>
      <x:c r="E2171" s="14" t="n">
        <x:f>SUM(F2171:M2171)</x:f>
        <x:v>103</x:v>
      </x:c>
      <x:c r="F2171" s="14" t="n">
        <x:v>3</x:v>
      </x:c>
      <x:c r="G2171" s="14" t="n">
        <x:v>15</x:v>
      </x:c>
      <x:c r="H2171" s="14" t="n">
        <x:v>0</x:v>
      </x:c>
      <x:c r="I2171" s="14" t="n">
        <x:v>2</x:v>
      </x:c>
      <x:c r="J2171" s="14" t="n">
        <x:v>1</x:v>
      </x:c>
      <x:c r="K2171" s="14" t="n">
        <x:v>7</x:v>
      </x:c>
      <x:c r="L2171" s="14" t="n">
        <x:v>38</x:v>
      </x:c>
      <x:c r="M2171" s="14" t="n">
        <x:v>37</x:v>
      </x:c>
      <x:c r="N2171" s="15" t="n">
        <x:f>IF(E2171=0,"해당 없음",F2171/E2171)</x:f>
        <x:v>0.02912621359223301</x:v>
      </x:c>
      <x:c r="O2171" s="15" t="n">
        <x:f>IF(E2171=0,"해당 없음",G2171/E2171)</x:f>
        <x:v>0.14563106796116504</x:v>
      </x:c>
      <x:c r="P2171" s="15" t="n">
        <x:f>IF(E2171=0,"해당 없음",H2171/E2171)</x:f>
        <x:v>0</x:v>
      </x:c>
      <x:c r="Q2171" s="15" t="n">
        <x:f>IF(E2171=0,"해당 없음",I2171/E2171)</x:f>
        <x:v>0.019417475728155338</x:v>
      </x:c>
      <x:c r="R2171" s="15" t="n">
        <x:f>IF(E2171=0,"해당 없음",J2171/E2171)</x:f>
        <x:v>0.009708737864077669</x:v>
      </x:c>
      <x:c r="S2171" s="15" t="n">
        <x:f>IF(E2171=0,"해당 없음",K2171/E2171)</x:f>
        <x:v>0.06796116504854369</x:v>
      </x:c>
      <x:c r="T2171" s="15" t="n">
        <x:f>IF(E2171=0,"해당 없음",L2171/E2171)</x:f>
        <x:v>0.36893203883495146</x:v>
      </x:c>
      <x:c r="U2171" s="15" t="n">
        <x:f>IF(E2171=0,"해당 없음",M2171/E2171)</x:f>
        <x:v>0.3592233009708738</x:v>
      </x:c>
      <x:c r="V2171" s="16" t="n">
        <x:f>E2171/5</x:f>
        <x:v>20.6</x:v>
      </x:c>
    </x:row>
    <x:row r="2172" ht="22" customHeight="1">
      <x:c r="A2172" s="2" t="n">
        <x:v>1084</x:v>
      </x:c>
      <x:c r="B2172" s="2" t="str">
        <x:v>RED</x:v>
      </x:c>
      <x:c r="C2172" s="2" t="str">
        <x:v>240만</x:v>
      </x:c>
      <x:c r="D2172" s="2" t="str">
        <x:v>200만</x:v>
      </x:c>
      <x:c r="E2172" s="14" t="n">
        <x:f>SUM(F2172:M2172)</x:f>
        <x:v>101</x:v>
      </x:c>
      <x:c r="F2172" s="14" t="n">
        <x:v>4</x:v>
      </x:c>
      <x:c r="G2172" s="14" t="n">
        <x:v>17</x:v>
      </x:c>
      <x:c r="H2172" s="14" t="n">
        <x:v>1</x:v>
      </x:c>
      <x:c r="I2172" s="14" t="n">
        <x:v>7</x:v>
      </x:c>
      <x:c r="J2172" s="14" t="n">
        <x:v>0</x:v>
      </x:c>
      <x:c r="K2172" s="14" t="n">
        <x:v>12</x:v>
      </x:c>
      <x:c r="L2172" s="14" t="n">
        <x:v>38</x:v>
      </x:c>
      <x:c r="M2172" s="14" t="n">
        <x:v>22</x:v>
      </x:c>
      <x:c r="N2172" s="15" t="n">
        <x:f>IF(E2172=0,"해당 없음",F2172/E2172)</x:f>
        <x:v>0.039603960396039604</x:v>
      </x:c>
      <x:c r="O2172" s="15" t="n">
        <x:f>IF(E2172=0,"해당 없음",G2172/E2172)</x:f>
        <x:v>0.16831683168316833</x:v>
      </x:c>
      <x:c r="P2172" s="15" t="n">
        <x:f>IF(E2172=0,"해당 없음",H2172/E2172)</x:f>
        <x:v>0.009900990099009901</x:v>
      </x:c>
      <x:c r="Q2172" s="15" t="n">
        <x:f>IF(E2172=0,"해당 없음",I2172/E2172)</x:f>
        <x:v>0.06930693069306931</x:v>
      </x:c>
      <x:c r="R2172" s="15" t="n">
        <x:f>IF(E2172=0,"해당 없음",J2172/E2172)</x:f>
        <x:v>0</x:v>
      </x:c>
      <x:c r="S2172" s="15" t="n">
        <x:f>IF(E2172=0,"해당 없음",K2172/E2172)</x:f>
        <x:v>0.1188118811881188</x:v>
      </x:c>
      <x:c r="T2172" s="15" t="n">
        <x:f>IF(E2172=0,"해당 없음",L2172/E2172)</x:f>
        <x:v>0.37623762376237624</x:v>
      </x:c>
      <x:c r="U2172" s="15" t="n">
        <x:f>IF(E2172=0,"해당 없음",M2172/E2172)</x:f>
        <x:v>0.21782178217821782</x:v>
      </x:c>
      <x:c r="V2172" s="16" t="n">
        <x:f>E2172/5</x:f>
        <x:v>20.2</x:v>
      </x:c>
    </x:row>
    <x:row r="2173" ht="22" customHeight="1">
      <x:c r="A2173" s="2" t="n">
        <x:v>1084</x:v>
      </x:c>
      <x:c r="B2173" s="2" t="str">
        <x:v>NAVY</x:v>
      </x:c>
      <x:c r="C2173" s="2" t="str">
        <x:v>200만</x:v>
      </x:c>
      <x:c r="D2173" s="2" t="str">
        <x:v>240만</x:v>
      </x:c>
      <x:c r="E2173" s="14" t="n">
        <x:f>SUM(F2173:M2173)</x:f>
        <x:v>101</x:v>
      </x:c>
      <x:c r="F2173" s="14" t="n">
        <x:v>9</x:v>
      </x:c>
      <x:c r="G2173" s="14" t="n">
        <x:v>10</x:v>
      </x:c>
      <x:c r="H2173" s="14" t="n">
        <x:v>3</x:v>
      </x:c>
      <x:c r="I2173" s="14" t="n">
        <x:v>3</x:v>
      </x:c>
      <x:c r="J2173" s="14" t="n">
        <x:v>0</x:v>
      </x:c>
      <x:c r="K2173" s="14" t="n">
        <x:v>10</x:v>
      </x:c>
      <x:c r="L2173" s="14" t="n">
        <x:v>32</x:v>
      </x:c>
      <x:c r="M2173" s="14" t="n">
        <x:v>34</x:v>
      </x:c>
      <x:c r="N2173" s="15" t="n">
        <x:f>IF(E2173=0,"해당 없음",F2173/E2173)</x:f>
        <x:v>0.0891089108910891</x:v>
      </x:c>
      <x:c r="O2173" s="15" t="n">
        <x:f>IF(E2173=0,"해당 없음",G2173/E2173)</x:f>
        <x:v>0.09900990099009901</x:v>
      </x:c>
      <x:c r="P2173" s="15" t="n">
        <x:f>IF(E2173=0,"해당 없음",H2173/E2173)</x:f>
        <x:v>0.0297029702970297</x:v>
      </x:c>
      <x:c r="Q2173" s="15" t="n">
        <x:f>IF(E2173=0,"해당 없음",I2173/E2173)</x:f>
        <x:v>0.0297029702970297</x:v>
      </x:c>
      <x:c r="R2173" s="15" t="n">
        <x:f>IF(E2173=0,"해당 없음",J2173/E2173)</x:f>
        <x:v>0</x:v>
      </x:c>
      <x:c r="S2173" s="15" t="n">
        <x:f>IF(E2173=0,"해당 없음",K2173/E2173)</x:f>
        <x:v>0.09900990099009901</x:v>
      </x:c>
      <x:c r="T2173" s="15" t="n">
        <x:f>IF(E2173=0,"해당 없음",L2173/E2173)</x:f>
        <x:v>0.31683168316831684</x:v>
      </x:c>
      <x:c r="U2173" s="15" t="n">
        <x:f>IF(E2173=0,"해당 없음",M2173/E2173)</x:f>
        <x:v>0.33663366336633666</x:v>
      </x:c>
      <x:c r="V2173" s="16" t="n">
        <x:f>E2173/5</x:f>
        <x:v>20.2</x:v>
      </x:c>
    </x:row>
    <x:row r="2174" ht="22" customHeight="1">
      <x:c r="A2174" s="2" t="n">
        <x:v>1085</x:v>
      </x:c>
      <x:c r="B2174" s="2" t="str">
        <x:v>RED</x:v>
      </x:c>
      <x:c r="C2174" s="2" t="str">
        <x:v>200만</x:v>
      </x:c>
      <x:c r="D2174" s="2" t="str">
        <x:v>240만</x:v>
      </x:c>
      <x:c r="E2174" s="14" t="n">
        <x:f>SUM(F2174:M2174)</x:f>
        <x:v>102</x:v>
      </x:c>
      <x:c r="F2174" s="14" t="n">
        <x:v>4</x:v>
      </x:c>
      <x:c r="G2174" s="14" t="n">
        <x:v>15</x:v>
      </x:c>
      <x:c r="H2174" s="14" t="n">
        <x:v>4</x:v>
      </x:c>
      <x:c r="I2174" s="14" t="n">
        <x:v>3</x:v>
      </x:c>
      <x:c r="J2174" s="14" t="n">
        <x:v>2</x:v>
      </x:c>
      <x:c r="K2174" s="14" t="n">
        <x:v>5</x:v>
      </x:c>
      <x:c r="L2174" s="14" t="n">
        <x:v>39</x:v>
      </x:c>
      <x:c r="M2174" s="14" t="n">
        <x:v>30</x:v>
      </x:c>
      <x:c r="N2174" s="15" t="n">
        <x:f>IF(E2174=0,"해당 없음",F2174/E2174)</x:f>
        <x:v>0.0392156862745098</x:v>
      </x:c>
      <x:c r="O2174" s="15" t="n">
        <x:f>IF(E2174=0,"해당 없음",G2174/E2174)</x:f>
        <x:v>0.14705882352941177</x:v>
      </x:c>
      <x:c r="P2174" s="15" t="n">
        <x:f>IF(E2174=0,"해당 없음",H2174/E2174)</x:f>
        <x:v>0.0392156862745098</x:v>
      </x:c>
      <x:c r="Q2174" s="15" t="n">
        <x:f>IF(E2174=0,"해당 없음",I2174/E2174)</x:f>
        <x:v>0.029411764705882353</x:v>
      </x:c>
      <x:c r="R2174" s="15" t="n">
        <x:f>IF(E2174=0,"해당 없음",J2174/E2174)</x:f>
        <x:v>0.0196078431372549</x:v>
      </x:c>
      <x:c r="S2174" s="15" t="n">
        <x:f>IF(E2174=0,"해당 없음",K2174/E2174)</x:f>
        <x:v>0.049019607843137254</x:v>
      </x:c>
      <x:c r="T2174" s="15" t="n">
        <x:f>IF(E2174=0,"해당 없음",L2174/E2174)</x:f>
        <x:v>0.38235294117647056</x:v>
      </x:c>
      <x:c r="U2174" s="15" t="n">
        <x:f>IF(E2174=0,"해당 없음",M2174/E2174)</x:f>
        <x:v>0.29411764705882354</x:v>
      </x:c>
      <x:c r="V2174" s="16" t="n">
        <x:f>E2174/5</x:f>
        <x:v>20.4</x:v>
      </x:c>
    </x:row>
    <x:row r="2175" ht="22" customHeight="1">
      <x:c r="A2175" s="2" t="n">
        <x:v>1085</x:v>
      </x:c>
      <x:c r="B2175" s="2" t="str">
        <x:v>NAVY</x:v>
      </x:c>
      <x:c r="C2175" s="2" t="str">
        <x:v>240만</x:v>
      </x:c>
      <x:c r="D2175" s="2" t="str">
        <x:v>200만</x:v>
      </x:c>
      <x:c r="E2175" s="14" t="n">
        <x:f>SUM(F2175:M2175)</x:f>
        <x:v>102</x:v>
      </x:c>
      <x:c r="F2175" s="14" t="n">
        <x:v>1</x:v>
      </x:c>
      <x:c r="G2175" s="14" t="n">
        <x:v>12</x:v>
      </x:c>
      <x:c r="H2175" s="14" t="n">
        <x:v>2</x:v>
      </x:c>
      <x:c r="I2175" s="14" t="n">
        <x:v>7</x:v>
      </x:c>
      <x:c r="J2175" s="14" t="n">
        <x:v>3</x:v>
      </x:c>
      <x:c r="K2175" s="14" t="n">
        <x:v>2</x:v>
      </x:c>
      <x:c r="L2175" s="14" t="n">
        <x:v>41</x:v>
      </x:c>
      <x:c r="M2175" s="14" t="n">
        <x:v>34</x:v>
      </x:c>
      <x:c r="N2175" s="15" t="n">
        <x:f>IF(E2175=0,"해당 없음",F2175/E2175)</x:f>
        <x:v>0.00980392156862745</x:v>
      </x:c>
      <x:c r="O2175" s="15" t="n">
        <x:f>IF(E2175=0,"해당 없음",G2175/E2175)</x:f>
        <x:v>0.11764705882352941</x:v>
      </x:c>
      <x:c r="P2175" s="15" t="n">
        <x:f>IF(E2175=0,"해당 없음",H2175/E2175)</x:f>
        <x:v>0.0196078431372549</x:v>
      </x:c>
      <x:c r="Q2175" s="15" t="n">
        <x:f>IF(E2175=0,"해당 없음",I2175/E2175)</x:f>
        <x:v>0.06862745098039216</x:v>
      </x:c>
      <x:c r="R2175" s="15" t="n">
        <x:f>IF(E2175=0,"해당 없음",J2175/E2175)</x:f>
        <x:v>0.029411764705882353</x:v>
      </x:c>
      <x:c r="S2175" s="15" t="n">
        <x:f>IF(E2175=0,"해당 없음",K2175/E2175)</x:f>
        <x:v>0.0196078431372549</x:v>
      </x:c>
      <x:c r="T2175" s="15" t="n">
        <x:f>IF(E2175=0,"해당 없음",L2175/E2175)</x:f>
        <x:v>0.4019607843137255</x:v>
      </x:c>
      <x:c r="U2175" s="15" t="n">
        <x:f>IF(E2175=0,"해당 없음",M2175/E2175)</x:f>
        <x:v>0.3333333333333333</x:v>
      </x:c>
      <x:c r="V2175" s="16" t="n">
        <x:f>E2175/5</x:f>
        <x:v>20.4</x:v>
      </x:c>
    </x:row>
    <x:row r="2176" ht="22" customHeight="1">
      <x:c r="A2176" s="2" t="n">
        <x:v>1086</x:v>
      </x:c>
      <x:c r="B2176" s="2" t="str">
        <x:v>RED</x:v>
      </x:c>
      <x:c r="C2176" s="2" t="str">
        <x:v>240만</x:v>
      </x:c>
      <x:c r="D2176" s="2" t="str">
        <x:v>200만</x:v>
      </x:c>
      <x:c r="E2176" s="14" t="n">
        <x:f>SUM(F2176:M2176)</x:f>
        <x:v>104</x:v>
      </x:c>
      <x:c r="F2176" s="14" t="n">
        <x:v>4</x:v>
      </x:c>
      <x:c r="G2176" s="14" t="n">
        <x:v>13</x:v>
      </x:c>
      <x:c r="H2176" s="14" t="n">
        <x:v>3</x:v>
      </x:c>
      <x:c r="I2176" s="14" t="n">
        <x:v>4</x:v>
      </x:c>
      <x:c r="J2176" s="14" t="n">
        <x:v>1</x:v>
      </x:c>
      <x:c r="K2176" s="14" t="n">
        <x:v>4</x:v>
      </x:c>
      <x:c r="L2176" s="14" t="n">
        <x:v>38</x:v>
      </x:c>
      <x:c r="M2176" s="14" t="n">
        <x:v>37</x:v>
      </x:c>
      <x:c r="N2176" s="15" t="n">
        <x:f>IF(E2176=0,"해당 없음",F2176/E2176)</x:f>
        <x:v>0.038461538461538464</x:v>
      </x:c>
      <x:c r="O2176" s="15" t="n">
        <x:f>IF(E2176=0,"해당 없음",G2176/E2176)</x:f>
        <x:v>0.125</x:v>
      </x:c>
      <x:c r="P2176" s="15" t="n">
        <x:f>IF(E2176=0,"해당 없음",H2176/E2176)</x:f>
        <x:v>0.028846153846153848</x:v>
      </x:c>
      <x:c r="Q2176" s="15" t="n">
        <x:f>IF(E2176=0,"해당 없음",I2176/E2176)</x:f>
        <x:v>0.038461538461538464</x:v>
      </x:c>
      <x:c r="R2176" s="15" t="n">
        <x:f>IF(E2176=0,"해당 없음",J2176/E2176)</x:f>
        <x:v>0.009615384615384616</x:v>
      </x:c>
      <x:c r="S2176" s="15" t="n">
        <x:f>IF(E2176=0,"해당 없음",K2176/E2176)</x:f>
        <x:v>0.038461538461538464</x:v>
      </x:c>
      <x:c r="T2176" s="15" t="n">
        <x:f>IF(E2176=0,"해당 없음",L2176/E2176)</x:f>
        <x:v>0.36538461538461536</x:v>
      </x:c>
      <x:c r="U2176" s="15" t="n">
        <x:f>IF(E2176=0,"해당 없음",M2176/E2176)</x:f>
        <x:v>0.3557692307692308</x:v>
      </x:c>
      <x:c r="V2176" s="16" t="n">
        <x:f>E2176/5</x:f>
        <x:v>20.8</x:v>
      </x:c>
    </x:row>
    <x:row r="2177" ht="22" customHeight="1">
      <x:c r="A2177" s="2" t="n">
        <x:v>1086</x:v>
      </x:c>
      <x:c r="B2177" s="2" t="str">
        <x:v>NAVY</x:v>
      </x:c>
      <x:c r="C2177" s="2" t="str">
        <x:v>200만</x:v>
      </x:c>
      <x:c r="D2177" s="2" t="str">
        <x:v>240만</x:v>
      </x:c>
      <x:c r="E2177" s="14" t="n">
        <x:f>SUM(F2177:M2177)</x:f>
        <x:v>103</x:v>
      </x:c>
      <x:c r="F2177" s="14" t="n">
        <x:v>4</x:v>
      </x:c>
      <x:c r="G2177" s="14" t="n">
        <x:v>13</x:v>
      </x:c>
      <x:c r="H2177" s="14" t="n">
        <x:v>4</x:v>
      </x:c>
      <x:c r="I2177" s="14" t="n">
        <x:v>3</x:v>
      </x:c>
      <x:c r="J2177" s="14" t="n">
        <x:v>5</x:v>
      </x:c>
      <x:c r="K2177" s="14" t="n">
        <x:v>3</x:v>
      </x:c>
      <x:c r="L2177" s="14" t="n">
        <x:v>38</x:v>
      </x:c>
      <x:c r="M2177" s="14" t="n">
        <x:v>33</x:v>
      </x:c>
      <x:c r="N2177" s="15" t="n">
        <x:f>IF(E2177=0,"해당 없음",F2177/E2177)</x:f>
        <x:v>0.038834951456310676</x:v>
      </x:c>
      <x:c r="O2177" s="15" t="n">
        <x:f>IF(E2177=0,"해당 없음",G2177/E2177)</x:f>
        <x:v>0.1262135922330097</x:v>
      </x:c>
      <x:c r="P2177" s="15" t="n">
        <x:f>IF(E2177=0,"해당 없음",H2177/E2177)</x:f>
        <x:v>0.038834951456310676</x:v>
      </x:c>
      <x:c r="Q2177" s="15" t="n">
        <x:f>IF(E2177=0,"해당 없음",I2177/E2177)</x:f>
        <x:v>0.02912621359223301</x:v>
      </x:c>
      <x:c r="R2177" s="15" t="n">
        <x:f>IF(E2177=0,"해당 없음",J2177/E2177)</x:f>
        <x:v>0.04854368932038835</x:v>
      </x:c>
      <x:c r="S2177" s="15" t="n">
        <x:f>IF(E2177=0,"해당 없음",K2177/E2177)</x:f>
        <x:v>0.02912621359223301</x:v>
      </x:c>
      <x:c r="T2177" s="15" t="n">
        <x:f>IF(E2177=0,"해당 없음",L2177/E2177)</x:f>
        <x:v>0.36893203883495146</x:v>
      </x:c>
      <x:c r="U2177" s="15" t="n">
        <x:f>IF(E2177=0,"해당 없음",M2177/E2177)</x:f>
        <x:v>0.32038834951456313</x:v>
      </x:c>
      <x:c r="V2177" s="16" t="n">
        <x:f>E2177/5</x:f>
        <x:v>20.6</x:v>
      </x:c>
    </x:row>
    <x:row r="2178" ht="22" customHeight="1">
      <x:c r="A2178" s="2" t="n">
        <x:v>1087</x:v>
      </x:c>
      <x:c r="B2178" s="2" t="str">
        <x:v>RED</x:v>
      </x:c>
      <x:c r="C2178" s="2" t="str">
        <x:v>200만</x:v>
      </x:c>
      <x:c r="D2178" s="2" t="str">
        <x:v>240만</x:v>
      </x:c>
      <x:c r="E2178" s="14" t="n">
        <x:f>SUM(F2178:M2178)</x:f>
        <x:v>104</x:v>
      </x:c>
      <x:c r="F2178" s="14" t="n">
        <x:v>4</x:v>
      </x:c>
      <x:c r="G2178" s="14" t="n">
        <x:v>13</x:v>
      </x:c>
      <x:c r="H2178" s="14" t="n">
        <x:v>5</x:v>
      </x:c>
      <x:c r="I2178" s="14" t="n">
        <x:v>3</x:v>
      </x:c>
      <x:c r="J2178" s="14" t="n">
        <x:v>4</x:v>
      </x:c>
      <x:c r="K2178" s="14" t="n">
        <x:v>6</x:v>
      </x:c>
      <x:c r="L2178" s="14" t="n">
        <x:v>34</x:v>
      </x:c>
      <x:c r="M2178" s="14" t="n">
        <x:v>35</x:v>
      </x:c>
      <x:c r="N2178" s="15" t="n">
        <x:f>IF(E2178=0,"해당 없음",F2178/E2178)</x:f>
        <x:v>0.038461538461538464</x:v>
      </x:c>
      <x:c r="O2178" s="15" t="n">
        <x:f>IF(E2178=0,"해당 없음",G2178/E2178)</x:f>
        <x:v>0.125</x:v>
      </x:c>
      <x:c r="P2178" s="15" t="n">
        <x:f>IF(E2178=0,"해당 없음",H2178/E2178)</x:f>
        <x:v>0.04807692307692308</x:v>
      </x:c>
      <x:c r="Q2178" s="15" t="n">
        <x:f>IF(E2178=0,"해당 없음",I2178/E2178)</x:f>
        <x:v>0.028846153846153848</x:v>
      </x:c>
      <x:c r="R2178" s="15" t="n">
        <x:f>IF(E2178=0,"해당 없음",J2178/E2178)</x:f>
        <x:v>0.038461538461538464</x:v>
      </x:c>
      <x:c r="S2178" s="15" t="n">
        <x:f>IF(E2178=0,"해당 없음",K2178/E2178)</x:f>
        <x:v>0.057692307692307696</x:v>
      </x:c>
      <x:c r="T2178" s="15" t="n">
        <x:f>IF(E2178=0,"해당 없음",L2178/E2178)</x:f>
        <x:v>0.3269230769230769</x:v>
      </x:c>
      <x:c r="U2178" s="15" t="n">
        <x:f>IF(E2178=0,"해당 없음",M2178/E2178)</x:f>
        <x:v>0.33653846153846156</x:v>
      </x:c>
      <x:c r="V2178" s="16" t="n">
        <x:f>E2178/5</x:f>
        <x:v>20.8</x:v>
      </x:c>
    </x:row>
    <x:row r="2179" ht="22" customHeight="1">
      <x:c r="A2179" s="2" t="n">
        <x:v>1087</x:v>
      </x:c>
      <x:c r="B2179" s="2" t="str">
        <x:v>NAVY</x:v>
      </x:c>
      <x:c r="C2179" s="2" t="str">
        <x:v>240만</x:v>
      </x:c>
      <x:c r="D2179" s="2" t="str">
        <x:v>200만</x:v>
      </x:c>
      <x:c r="E2179" s="14" t="n">
        <x:f>SUM(F2179:M2179)</x:f>
        <x:v>103</x:v>
      </x:c>
      <x:c r="F2179" s="14" t="n">
        <x:v>2</x:v>
      </x:c>
      <x:c r="G2179" s="14" t="n">
        <x:v>11</x:v>
      </x:c>
      <x:c r="H2179" s="14" t="n">
        <x:v>5</x:v>
      </x:c>
      <x:c r="I2179" s="14" t="n">
        <x:v>2</x:v>
      </x:c>
      <x:c r="J2179" s="14" t="n">
        <x:v>4</x:v>
      </x:c>
      <x:c r="K2179" s="14" t="n">
        <x:v>4</x:v>
      </x:c>
      <x:c r="L2179" s="14" t="n">
        <x:v>36</x:v>
      </x:c>
      <x:c r="M2179" s="14" t="n">
        <x:v>39</x:v>
      </x:c>
      <x:c r="N2179" s="15" t="n">
        <x:f>IF(E2179=0,"해당 없음",F2179/E2179)</x:f>
        <x:v>0.019417475728155338</x:v>
      </x:c>
      <x:c r="O2179" s="15" t="n">
        <x:f>IF(E2179=0,"해당 없음",G2179/E2179)</x:f>
        <x:v>0.10679611650485436</x:v>
      </x:c>
      <x:c r="P2179" s="15" t="n">
        <x:f>IF(E2179=0,"해당 없음",H2179/E2179)</x:f>
        <x:v>0.04854368932038835</x:v>
      </x:c>
      <x:c r="Q2179" s="15" t="n">
        <x:f>IF(E2179=0,"해당 없음",I2179/E2179)</x:f>
        <x:v>0.019417475728155338</x:v>
      </x:c>
      <x:c r="R2179" s="15" t="n">
        <x:f>IF(E2179=0,"해당 없음",J2179/E2179)</x:f>
        <x:v>0.038834951456310676</x:v>
      </x:c>
      <x:c r="S2179" s="15" t="n">
        <x:f>IF(E2179=0,"해당 없음",K2179/E2179)</x:f>
        <x:v>0.038834951456310676</x:v>
      </x:c>
      <x:c r="T2179" s="15" t="n">
        <x:f>IF(E2179=0,"해당 없음",L2179/E2179)</x:f>
        <x:v>0.34951456310679613</x:v>
      </x:c>
      <x:c r="U2179" s="15" t="n">
        <x:f>IF(E2179=0,"해당 없음",M2179/E2179)</x:f>
        <x:v>0.3786407766990291</x:v>
      </x:c>
      <x:c r="V2179" s="16" t="n">
        <x:f>E2179/5</x:f>
        <x:v>20.6</x:v>
      </x:c>
    </x:row>
    <x:row r="2180" ht="22" customHeight="1">
      <x:c r="A2180" s="2" t="n">
        <x:v>1088</x:v>
      </x:c>
      <x:c r="B2180" s="2" t="str">
        <x:v>RED</x:v>
      </x:c>
      <x:c r="C2180" s="2" t="str">
        <x:v>240만</x:v>
      </x:c>
      <x:c r="D2180" s="2" t="str">
        <x:v>200만</x:v>
      </x:c>
      <x:c r="E2180" s="14" t="n">
        <x:f>SUM(F2180:M2180)</x:f>
        <x:v>104</x:v>
      </x:c>
      <x:c r="F2180" s="14" t="n">
        <x:v>3</x:v>
      </x:c>
      <x:c r="G2180" s="14" t="n">
        <x:v>12</x:v>
      </x:c>
      <x:c r="H2180" s="14" t="n">
        <x:v>6</x:v>
      </x:c>
      <x:c r="I2180" s="14" t="n">
        <x:v>6</x:v>
      </x:c>
      <x:c r="J2180" s="14" t="n">
        <x:v>0</x:v>
      </x:c>
      <x:c r="K2180" s="14" t="n">
        <x:v>2</x:v>
      </x:c>
      <x:c r="L2180" s="14" t="n">
        <x:v>44</x:v>
      </x:c>
      <x:c r="M2180" s="14" t="n">
        <x:v>31</x:v>
      </x:c>
      <x:c r="N2180" s="15" t="n">
        <x:f>IF(E2180=0,"해당 없음",F2180/E2180)</x:f>
        <x:v>0.028846153846153848</x:v>
      </x:c>
      <x:c r="O2180" s="15" t="n">
        <x:f>IF(E2180=0,"해당 없음",G2180/E2180)</x:f>
        <x:v>0.11538461538461539</x:v>
      </x:c>
      <x:c r="P2180" s="15" t="n">
        <x:f>IF(E2180=0,"해당 없음",H2180/E2180)</x:f>
        <x:v>0.057692307692307696</x:v>
      </x:c>
      <x:c r="Q2180" s="15" t="n">
        <x:f>IF(E2180=0,"해당 없음",I2180/E2180)</x:f>
        <x:v>0.057692307692307696</x:v>
      </x:c>
      <x:c r="R2180" s="15" t="n">
        <x:f>IF(E2180=0,"해당 없음",J2180/E2180)</x:f>
        <x:v>0</x:v>
      </x:c>
      <x:c r="S2180" s="15" t="n">
        <x:f>IF(E2180=0,"해당 없음",K2180/E2180)</x:f>
        <x:v>0.019230769230769232</x:v>
      </x:c>
      <x:c r="T2180" s="15" t="n">
        <x:f>IF(E2180=0,"해당 없음",L2180/E2180)</x:f>
        <x:v>0.4230769230769231</x:v>
      </x:c>
      <x:c r="U2180" s="15" t="n">
        <x:f>IF(E2180=0,"해당 없음",M2180/E2180)</x:f>
        <x:v>0.2980769230769231</x:v>
      </x:c>
      <x:c r="V2180" s="16" t="n">
        <x:f>E2180/5</x:f>
        <x:v>20.8</x:v>
      </x:c>
    </x:row>
    <x:row r="2181" ht="22" customHeight="1">
      <x:c r="A2181" s="2" t="n">
        <x:v>1088</x:v>
      </x:c>
      <x:c r="B2181" s="2" t="str">
        <x:v>NAVY</x:v>
      </x:c>
      <x:c r="C2181" s="2" t="str">
        <x:v>200만</x:v>
      </x:c>
      <x:c r="D2181" s="2" t="str">
        <x:v>240만</x:v>
      </x:c>
      <x:c r="E2181" s="14" t="n">
        <x:f>SUM(F2181:M2181)</x:f>
        <x:v>103</x:v>
      </x:c>
      <x:c r="F2181" s="14" t="n">
        <x:v>4</x:v>
      </x:c>
      <x:c r="G2181" s="14" t="n">
        <x:v>16</x:v>
      </x:c>
      <x:c r="H2181" s="14" t="n">
        <x:v>5</x:v>
      </x:c>
      <x:c r="I2181" s="14" t="n">
        <x:v>5</x:v>
      </x:c>
      <x:c r="J2181" s="14" t="n">
        <x:v>5</x:v>
      </x:c>
      <x:c r="K2181" s="14" t="n">
        <x:v>8</x:v>
      </x:c>
      <x:c r="L2181" s="14" t="n">
        <x:v>33</x:v>
      </x:c>
      <x:c r="M2181" s="14" t="n">
        <x:v>27</x:v>
      </x:c>
      <x:c r="N2181" s="15" t="n">
        <x:f>IF(E2181=0,"해당 없음",F2181/E2181)</x:f>
        <x:v>0.038834951456310676</x:v>
      </x:c>
      <x:c r="O2181" s="15" t="n">
        <x:f>IF(E2181=0,"해당 없음",G2181/E2181)</x:f>
        <x:v>0.1553398058252427</x:v>
      </x:c>
      <x:c r="P2181" s="15" t="n">
        <x:f>IF(E2181=0,"해당 없음",H2181/E2181)</x:f>
        <x:v>0.04854368932038835</x:v>
      </x:c>
      <x:c r="Q2181" s="15" t="n">
        <x:f>IF(E2181=0,"해당 없음",I2181/E2181)</x:f>
        <x:v>0.04854368932038835</x:v>
      </x:c>
      <x:c r="R2181" s="15" t="n">
        <x:f>IF(E2181=0,"해당 없음",J2181/E2181)</x:f>
        <x:v>0.04854368932038835</x:v>
      </x:c>
      <x:c r="S2181" s="15" t="n">
        <x:f>IF(E2181=0,"해당 없음",K2181/E2181)</x:f>
        <x:v>0.07766990291262135</x:v>
      </x:c>
      <x:c r="T2181" s="15" t="n">
        <x:f>IF(E2181=0,"해당 없음",L2181/E2181)</x:f>
        <x:v>0.32038834951456313</x:v>
      </x:c>
      <x:c r="U2181" s="15" t="n">
        <x:f>IF(E2181=0,"해당 없음",M2181/E2181)</x:f>
        <x:v>0.2621359223300971</x:v>
      </x:c>
      <x:c r="V2181" s="16" t="n">
        <x:f>E2181/5</x:f>
        <x:v>20.6</x:v>
      </x:c>
    </x:row>
    <x:row r="2182" ht="22" customHeight="1">
      <x:c r="A2182" s="2" t="n">
        <x:v>1089</x:v>
      </x:c>
      <x:c r="B2182" s="2" t="str">
        <x:v>RED</x:v>
      </x:c>
      <x:c r="C2182" s="2" t="str">
        <x:v>200만</x:v>
      </x:c>
      <x:c r="D2182" s="2" t="str">
        <x:v>240만</x:v>
      </x:c>
      <x:c r="E2182" s="14" t="n">
        <x:f>SUM(F2182:M2182)</x:f>
        <x:v>104</x:v>
      </x:c>
      <x:c r="F2182" s="14" t="n">
        <x:v>2</x:v>
      </x:c>
      <x:c r="G2182" s="14" t="n">
        <x:v>24</x:v>
      </x:c>
      <x:c r="H2182" s="14" t="n">
        <x:v>6</x:v>
      </x:c>
      <x:c r="I2182" s="14" t="n">
        <x:v>5</x:v>
      </x:c>
      <x:c r="J2182" s="14" t="n">
        <x:v>2</x:v>
      </x:c>
      <x:c r="K2182" s="14" t="n">
        <x:v>5</x:v>
      </x:c>
      <x:c r="L2182" s="14" t="n">
        <x:v>37</x:v>
      </x:c>
      <x:c r="M2182" s="14" t="n">
        <x:v>23</x:v>
      </x:c>
      <x:c r="N2182" s="15" t="n">
        <x:f>IF(E2182=0,"해당 없음",F2182/E2182)</x:f>
        <x:v>0.019230769230769232</x:v>
      </x:c>
      <x:c r="O2182" s="15" t="n">
        <x:f>IF(E2182=0,"해당 없음",G2182/E2182)</x:f>
        <x:v>0.23076923076923078</x:v>
      </x:c>
      <x:c r="P2182" s="15" t="n">
        <x:f>IF(E2182=0,"해당 없음",H2182/E2182)</x:f>
        <x:v>0.057692307692307696</x:v>
      </x:c>
      <x:c r="Q2182" s="15" t="n">
        <x:f>IF(E2182=0,"해당 없음",I2182/E2182)</x:f>
        <x:v>0.04807692307692308</x:v>
      </x:c>
      <x:c r="R2182" s="15" t="n">
        <x:f>IF(E2182=0,"해당 없음",J2182/E2182)</x:f>
        <x:v>0.019230769230769232</x:v>
      </x:c>
      <x:c r="S2182" s="15" t="n">
        <x:f>IF(E2182=0,"해당 없음",K2182/E2182)</x:f>
        <x:v>0.04807692307692308</x:v>
      </x:c>
      <x:c r="T2182" s="15" t="n">
        <x:f>IF(E2182=0,"해당 없음",L2182/E2182)</x:f>
        <x:v>0.3557692307692308</x:v>
      </x:c>
      <x:c r="U2182" s="15" t="n">
        <x:f>IF(E2182=0,"해당 없음",M2182/E2182)</x:f>
        <x:v>0.22115384615384615</x:v>
      </x:c>
      <x:c r="V2182" s="16" t="n">
        <x:f>E2182/5</x:f>
        <x:v>20.8</x:v>
      </x:c>
    </x:row>
    <x:row r="2183" ht="22" customHeight="1">
      <x:c r="A2183" s="2" t="n">
        <x:v>1089</x:v>
      </x:c>
      <x:c r="B2183" s="2" t="str">
        <x:v>NAVY</x:v>
      </x:c>
      <x:c r="C2183" s="2" t="str">
        <x:v>240만</x:v>
      </x:c>
      <x:c r="D2183" s="2" t="str">
        <x:v>200만</x:v>
      </x:c>
      <x:c r="E2183" s="14" t="n">
        <x:f>SUM(F2183:M2183)</x:f>
        <x:v>104</x:v>
      </x:c>
      <x:c r="F2183" s="14" t="n">
        <x:v>2</x:v>
      </x:c>
      <x:c r="G2183" s="14" t="n">
        <x:v>17</x:v>
      </x:c>
      <x:c r="H2183" s="14" t="n">
        <x:v>4</x:v>
      </x:c>
      <x:c r="I2183" s="14" t="n">
        <x:v>1</x:v>
      </x:c>
      <x:c r="J2183" s="14" t="n">
        <x:v>2</x:v>
      </x:c>
      <x:c r="K2183" s="14" t="n">
        <x:v>7</x:v>
      </x:c>
      <x:c r="L2183" s="14" t="n">
        <x:v>35</x:v>
      </x:c>
      <x:c r="M2183" s="14" t="n">
        <x:v>36</x:v>
      </x:c>
      <x:c r="N2183" s="15" t="n">
        <x:f>IF(E2183=0,"해당 없음",F2183/E2183)</x:f>
        <x:v>0.019230769230769232</x:v>
      </x:c>
      <x:c r="O2183" s="15" t="n">
        <x:f>IF(E2183=0,"해당 없음",G2183/E2183)</x:f>
        <x:v>0.16346153846153846</x:v>
      </x:c>
      <x:c r="P2183" s="15" t="n">
        <x:f>IF(E2183=0,"해당 없음",H2183/E2183)</x:f>
        <x:v>0.038461538461538464</x:v>
      </x:c>
      <x:c r="Q2183" s="15" t="n">
        <x:f>IF(E2183=0,"해당 없음",I2183/E2183)</x:f>
        <x:v>0.009615384615384616</x:v>
      </x:c>
      <x:c r="R2183" s="15" t="n">
        <x:f>IF(E2183=0,"해당 없음",J2183/E2183)</x:f>
        <x:v>0.019230769230769232</x:v>
      </x:c>
      <x:c r="S2183" s="15" t="n">
        <x:f>IF(E2183=0,"해당 없음",K2183/E2183)</x:f>
        <x:v>0.0673076923076923</x:v>
      </x:c>
      <x:c r="T2183" s="15" t="n">
        <x:f>IF(E2183=0,"해당 없음",L2183/E2183)</x:f>
        <x:v>0.33653846153846156</x:v>
      </x:c>
      <x:c r="U2183" s="15" t="n">
        <x:f>IF(E2183=0,"해당 없음",M2183/E2183)</x:f>
        <x:v>0.34615384615384615</x:v>
      </x:c>
      <x:c r="V2183" s="16" t="n">
        <x:f>E2183/5</x:f>
        <x:v>20.8</x:v>
      </x:c>
    </x:row>
    <x:row r="2184" ht="22" customHeight="1">
      <x:c r="A2184" s="2" t="n">
        <x:v>1090</x:v>
      </x:c>
      <x:c r="B2184" s="2" t="str">
        <x:v>RED</x:v>
      </x:c>
      <x:c r="C2184" s="2" t="str">
        <x:v>240만</x:v>
      </x:c>
      <x:c r="D2184" s="2" t="str">
        <x:v>200만</x:v>
      </x:c>
      <x:c r="E2184" s="14" t="n">
        <x:f>SUM(F2184:M2184)</x:f>
        <x:v>104</x:v>
      </x:c>
      <x:c r="F2184" s="14" t="n">
        <x:v>3</x:v>
      </x:c>
      <x:c r="G2184" s="14" t="n">
        <x:v>17</x:v>
      </x:c>
      <x:c r="H2184" s="14" t="n">
        <x:v>2</x:v>
      </x:c>
      <x:c r="I2184" s="14" t="n">
        <x:v>3</x:v>
      </x:c>
      <x:c r="J2184" s="14" t="n">
        <x:v>2</x:v>
      </x:c>
      <x:c r="K2184" s="14" t="n">
        <x:v>8</x:v>
      </x:c>
      <x:c r="L2184" s="14" t="n">
        <x:v>40</x:v>
      </x:c>
      <x:c r="M2184" s="14" t="n">
        <x:v>29</x:v>
      </x:c>
      <x:c r="N2184" s="15" t="n">
        <x:f>IF(E2184=0,"해당 없음",F2184/E2184)</x:f>
        <x:v>0.028846153846153848</x:v>
      </x:c>
      <x:c r="O2184" s="15" t="n">
        <x:f>IF(E2184=0,"해당 없음",G2184/E2184)</x:f>
        <x:v>0.16346153846153846</x:v>
      </x:c>
      <x:c r="P2184" s="15" t="n">
        <x:f>IF(E2184=0,"해당 없음",H2184/E2184)</x:f>
        <x:v>0.019230769230769232</x:v>
      </x:c>
      <x:c r="Q2184" s="15" t="n">
        <x:f>IF(E2184=0,"해당 없음",I2184/E2184)</x:f>
        <x:v>0.028846153846153848</x:v>
      </x:c>
      <x:c r="R2184" s="15" t="n">
        <x:f>IF(E2184=0,"해당 없음",J2184/E2184)</x:f>
        <x:v>0.019230769230769232</x:v>
      </x:c>
      <x:c r="S2184" s="15" t="n">
        <x:f>IF(E2184=0,"해당 없음",K2184/E2184)</x:f>
        <x:v>0.07692307692307693</x:v>
      </x:c>
      <x:c r="T2184" s="15" t="n">
        <x:f>IF(E2184=0,"해당 없음",L2184/E2184)</x:f>
        <x:v>0.38461538461538464</x:v>
      </x:c>
      <x:c r="U2184" s="15" t="n">
        <x:f>IF(E2184=0,"해당 없음",M2184/E2184)</x:f>
        <x:v>0.27884615384615385</x:v>
      </x:c>
      <x:c r="V2184" s="16" t="n">
        <x:f>E2184/5</x:f>
        <x:v>20.8</x:v>
      </x:c>
    </x:row>
    <x:row r="2185" ht="22" customHeight="1">
      <x:c r="A2185" s="2" t="n">
        <x:v>1090</x:v>
      </x:c>
      <x:c r="B2185" s="2" t="str">
        <x:v>NAVY</x:v>
      </x:c>
      <x:c r="C2185" s="2" t="str">
        <x:v>200만</x:v>
      </x:c>
      <x:c r="D2185" s="2" t="str">
        <x:v>240만</x:v>
      </x:c>
      <x:c r="E2185" s="14" t="n">
        <x:f>SUM(F2185:M2185)</x:f>
        <x:v>103</x:v>
      </x:c>
      <x:c r="F2185" s="14" t="n">
        <x:v>7</x:v>
      </x:c>
      <x:c r="G2185" s="14" t="n">
        <x:v>14</x:v>
      </x:c>
      <x:c r="H2185" s="14" t="n">
        <x:v>5</x:v>
      </x:c>
      <x:c r="I2185" s="14" t="n">
        <x:v>1</x:v>
      </x:c>
      <x:c r="J2185" s="14" t="n">
        <x:v>6</x:v>
      </x:c>
      <x:c r="K2185" s="14" t="n">
        <x:v>8</x:v>
      </x:c>
      <x:c r="L2185" s="14" t="n">
        <x:v>32</x:v>
      </x:c>
      <x:c r="M2185" s="14" t="n">
        <x:v>30</x:v>
      </x:c>
      <x:c r="N2185" s="15" t="n">
        <x:f>IF(E2185=0,"해당 없음",F2185/E2185)</x:f>
        <x:v>0.06796116504854369</x:v>
      </x:c>
      <x:c r="O2185" s="15" t="n">
        <x:f>IF(E2185=0,"해당 없음",G2185/E2185)</x:f>
        <x:v>0.13592233009708737</x:v>
      </x:c>
      <x:c r="P2185" s="15" t="n">
        <x:f>IF(E2185=0,"해당 없음",H2185/E2185)</x:f>
        <x:v>0.04854368932038835</x:v>
      </x:c>
      <x:c r="Q2185" s="15" t="n">
        <x:f>IF(E2185=0,"해당 없음",I2185/E2185)</x:f>
        <x:v>0.009708737864077669</x:v>
      </x:c>
      <x:c r="R2185" s="15" t="n">
        <x:f>IF(E2185=0,"해당 없음",J2185/E2185)</x:f>
        <x:v>0.05825242718446602</x:v>
      </x:c>
      <x:c r="S2185" s="15" t="n">
        <x:f>IF(E2185=0,"해당 없음",K2185/E2185)</x:f>
        <x:v>0.07766990291262135</x:v>
      </x:c>
      <x:c r="T2185" s="15" t="n">
        <x:f>IF(E2185=0,"해당 없음",L2185/E2185)</x:f>
        <x:v>0.3106796116504854</x:v>
      </x:c>
      <x:c r="U2185" s="15" t="n">
        <x:f>IF(E2185=0,"해당 없음",M2185/E2185)</x:f>
        <x:v>0.2912621359223301</x:v>
      </x:c>
      <x:c r="V2185" s="16" t="n">
        <x:f>E2185/5</x:f>
        <x:v>20.6</x:v>
      </x:c>
    </x:row>
    <x:row r="2186" ht="22" customHeight="1">
      <x:c r="A2186" s="2" t="n">
        <x:v>1091</x:v>
      </x:c>
      <x:c r="B2186" s="2" t="str">
        <x:v>RED</x:v>
      </x:c>
      <x:c r="C2186" s="2" t="str">
        <x:v>200만</x:v>
      </x:c>
      <x:c r="D2186" s="2" t="str">
        <x:v>240만</x:v>
      </x:c>
      <x:c r="E2186" s="14" t="n">
        <x:f>SUM(F2186:M2186)</x:f>
        <x:v>104</x:v>
      </x:c>
      <x:c r="F2186" s="14" t="n">
        <x:v>3</x:v>
      </x:c>
      <x:c r="G2186" s="14" t="n">
        <x:v>11</x:v>
      </x:c>
      <x:c r="H2186" s="14" t="n">
        <x:v>2</x:v>
      </x:c>
      <x:c r="I2186" s="14" t="n">
        <x:v>3</x:v>
      </x:c>
      <x:c r="J2186" s="14" t="n">
        <x:v>3</x:v>
      </x:c>
      <x:c r="K2186" s="14" t="n">
        <x:v>3</x:v>
      </x:c>
      <x:c r="L2186" s="14" t="n">
        <x:v>39</x:v>
      </x:c>
      <x:c r="M2186" s="14" t="n">
        <x:v>40</x:v>
      </x:c>
      <x:c r="N2186" s="15" t="n">
        <x:f>IF(E2186=0,"해당 없음",F2186/E2186)</x:f>
        <x:v>0.028846153846153848</x:v>
      </x:c>
      <x:c r="O2186" s="15" t="n">
        <x:f>IF(E2186=0,"해당 없음",G2186/E2186)</x:f>
        <x:v>0.10576923076923077</x:v>
      </x:c>
      <x:c r="P2186" s="15" t="n">
        <x:f>IF(E2186=0,"해당 없음",H2186/E2186)</x:f>
        <x:v>0.019230769230769232</x:v>
      </x:c>
      <x:c r="Q2186" s="15" t="n">
        <x:f>IF(E2186=0,"해당 없음",I2186/E2186)</x:f>
        <x:v>0.028846153846153848</x:v>
      </x:c>
      <x:c r="R2186" s="15" t="n">
        <x:f>IF(E2186=0,"해당 없음",J2186/E2186)</x:f>
        <x:v>0.028846153846153848</x:v>
      </x:c>
      <x:c r="S2186" s="15" t="n">
        <x:f>IF(E2186=0,"해당 없음",K2186/E2186)</x:f>
        <x:v>0.028846153846153848</x:v>
      </x:c>
      <x:c r="T2186" s="15" t="n">
        <x:f>IF(E2186=0,"해당 없음",L2186/E2186)</x:f>
        <x:v>0.375</x:v>
      </x:c>
      <x:c r="U2186" s="15" t="n">
        <x:f>IF(E2186=0,"해당 없음",M2186/E2186)</x:f>
        <x:v>0.38461538461538464</x:v>
      </x:c>
      <x:c r="V2186" s="16" t="n">
        <x:f>E2186/5</x:f>
        <x:v>20.8</x:v>
      </x:c>
    </x:row>
    <x:row r="2187" ht="22" customHeight="1">
      <x:c r="A2187" s="2" t="n">
        <x:v>1091</x:v>
      </x:c>
      <x:c r="B2187" s="2" t="str">
        <x:v>NAVY</x:v>
      </x:c>
      <x:c r="C2187" s="2" t="str">
        <x:v>240만</x:v>
      </x:c>
      <x:c r="D2187" s="2" t="str">
        <x:v>200만</x:v>
      </x:c>
      <x:c r="E2187" s="14" t="n">
        <x:f>SUM(F2187:M2187)</x:f>
        <x:v>103</x:v>
      </x:c>
      <x:c r="F2187" s="14" t="n">
        <x:v>2</x:v>
      </x:c>
      <x:c r="G2187" s="14" t="n">
        <x:v>14</x:v>
      </x:c>
      <x:c r="H2187" s="14" t="n">
        <x:v>3</x:v>
      </x:c>
      <x:c r="I2187" s="14" t="n">
        <x:v>5</x:v>
      </x:c>
      <x:c r="J2187" s="14" t="n">
        <x:v>2</x:v>
      </x:c>
      <x:c r="K2187" s="14" t="n">
        <x:v>3</x:v>
      </x:c>
      <x:c r="L2187" s="14" t="n">
        <x:v>34</x:v>
      </x:c>
      <x:c r="M2187" s="14" t="n">
        <x:v>40</x:v>
      </x:c>
      <x:c r="N2187" s="15" t="n">
        <x:f>IF(E2187=0,"해당 없음",F2187/E2187)</x:f>
        <x:v>0.019417475728155338</x:v>
      </x:c>
      <x:c r="O2187" s="15" t="n">
        <x:f>IF(E2187=0,"해당 없음",G2187/E2187)</x:f>
        <x:v>0.13592233009708737</x:v>
      </x:c>
      <x:c r="P2187" s="15" t="n">
        <x:f>IF(E2187=0,"해당 없음",H2187/E2187)</x:f>
        <x:v>0.02912621359223301</x:v>
      </x:c>
      <x:c r="Q2187" s="15" t="n">
        <x:f>IF(E2187=0,"해당 없음",I2187/E2187)</x:f>
        <x:v>0.04854368932038835</x:v>
      </x:c>
      <x:c r="R2187" s="15" t="n">
        <x:f>IF(E2187=0,"해당 없음",J2187/E2187)</x:f>
        <x:v>0.019417475728155338</x:v>
      </x:c>
      <x:c r="S2187" s="15" t="n">
        <x:f>IF(E2187=0,"해당 없음",K2187/E2187)</x:f>
        <x:v>0.02912621359223301</x:v>
      </x:c>
      <x:c r="T2187" s="15" t="n">
        <x:f>IF(E2187=0,"해당 없음",L2187/E2187)</x:f>
        <x:v>0.3300970873786408</x:v>
      </x:c>
      <x:c r="U2187" s="15" t="n">
        <x:f>IF(E2187=0,"해당 없음",M2187/E2187)</x:f>
        <x:v>0.3883495145631068</x:v>
      </x:c>
      <x:c r="V2187" s="16" t="n">
        <x:f>E2187/5</x:f>
        <x:v>20.6</x:v>
      </x:c>
    </x:row>
    <x:row r="2188" ht="22" customHeight="1">
      <x:c r="A2188" s="2" t="n">
        <x:v>1092</x:v>
      </x:c>
      <x:c r="B2188" s="2" t="str">
        <x:v>RED</x:v>
      </x:c>
      <x:c r="C2188" s="2" t="str">
        <x:v>240만</x:v>
      </x:c>
      <x:c r="D2188" s="2" t="str">
        <x:v>200만</x:v>
      </x:c>
      <x:c r="E2188" s="14" t="n">
        <x:f>SUM(F2188:M2188)</x:f>
        <x:v>104</x:v>
      </x:c>
      <x:c r="F2188" s="14" t="n">
        <x:v>2</x:v>
      </x:c>
      <x:c r="G2188" s="14" t="n">
        <x:v>4</x:v>
      </x:c>
      <x:c r="H2188" s="14" t="n">
        <x:v>2</x:v>
      </x:c>
      <x:c r="I2188" s="14" t="n">
        <x:v>4</x:v>
      </x:c>
      <x:c r="J2188" s="14" t="n">
        <x:v>1</x:v>
      </x:c>
      <x:c r="K2188" s="14" t="n">
        <x:v>1</x:v>
      </x:c>
      <x:c r="L2188" s="14" t="n">
        <x:v>42</x:v>
      </x:c>
      <x:c r="M2188" s="14" t="n">
        <x:v>48</x:v>
      </x:c>
      <x:c r="N2188" s="15" t="n">
        <x:f>IF(E2188=0,"해당 없음",F2188/E2188)</x:f>
        <x:v>0.019230769230769232</x:v>
      </x:c>
      <x:c r="O2188" s="15" t="n">
        <x:f>IF(E2188=0,"해당 없음",G2188/E2188)</x:f>
        <x:v>0.038461538461538464</x:v>
      </x:c>
      <x:c r="P2188" s="15" t="n">
        <x:f>IF(E2188=0,"해당 없음",H2188/E2188)</x:f>
        <x:v>0.019230769230769232</x:v>
      </x:c>
      <x:c r="Q2188" s="15" t="n">
        <x:f>IF(E2188=0,"해당 없음",I2188/E2188)</x:f>
        <x:v>0.038461538461538464</x:v>
      </x:c>
      <x:c r="R2188" s="15" t="n">
        <x:f>IF(E2188=0,"해당 없음",J2188/E2188)</x:f>
        <x:v>0.009615384615384616</x:v>
      </x:c>
      <x:c r="S2188" s="15" t="n">
        <x:f>IF(E2188=0,"해당 없음",K2188/E2188)</x:f>
        <x:v>0.009615384615384616</x:v>
      </x:c>
      <x:c r="T2188" s="15" t="n">
        <x:f>IF(E2188=0,"해당 없음",L2188/E2188)</x:f>
        <x:v>0.40384615384615385</x:v>
      </x:c>
      <x:c r="U2188" s="15" t="n">
        <x:f>IF(E2188=0,"해당 없음",M2188/E2188)</x:f>
        <x:v>0.46153846153846156</x:v>
      </x:c>
      <x:c r="V2188" s="16" t="n">
        <x:f>E2188/5</x:f>
        <x:v>20.8</x:v>
      </x:c>
    </x:row>
    <x:row r="2189" ht="22" customHeight="1">
      <x:c r="A2189" s="2" t="n">
        <x:v>1092</x:v>
      </x:c>
      <x:c r="B2189" s="2" t="str">
        <x:v>NAVY</x:v>
      </x:c>
      <x:c r="C2189" s="2" t="str">
        <x:v>200만</x:v>
      </x:c>
      <x:c r="D2189" s="2" t="str">
        <x:v>240만</x:v>
      </x:c>
      <x:c r="E2189" s="14" t="n">
        <x:f>SUM(F2189:M2189)</x:f>
        <x:v>105</x:v>
      </x:c>
      <x:c r="F2189" s="14" t="n">
        <x:v>1</x:v>
      </x:c>
      <x:c r="G2189" s="14" t="n">
        <x:v>14</x:v>
      </x:c>
      <x:c r="H2189" s="14" t="n">
        <x:v>2</x:v>
      </x:c>
      <x:c r="I2189" s="14" t="n">
        <x:v>0</x:v>
      </x:c>
      <x:c r="J2189" s="14" t="n">
        <x:v>9</x:v>
      </x:c>
      <x:c r="K2189" s="14" t="n">
        <x:v>8</x:v>
      </x:c>
      <x:c r="L2189" s="14" t="n">
        <x:v>36</x:v>
      </x:c>
      <x:c r="M2189" s="14" t="n">
        <x:v>35</x:v>
      </x:c>
      <x:c r="N2189" s="15" t="n">
        <x:f>IF(E2189=0,"해당 없음",F2189/E2189)</x:f>
        <x:v>0.009523809523809525</x:v>
      </x:c>
      <x:c r="O2189" s="15" t="n">
        <x:f>IF(E2189=0,"해당 없음",G2189/E2189)</x:f>
        <x:v>0.13333333333333333</x:v>
      </x:c>
      <x:c r="P2189" s="15" t="n">
        <x:f>IF(E2189=0,"해당 없음",H2189/E2189)</x:f>
        <x:v>0.01904761904761905</x:v>
      </x:c>
      <x:c r="Q2189" s="15" t="n">
        <x:f>IF(E2189=0,"해당 없음",I2189/E2189)</x:f>
        <x:v>0</x:v>
      </x:c>
      <x:c r="R2189" s="15" t="n">
        <x:f>IF(E2189=0,"해당 없음",J2189/E2189)</x:f>
        <x:v>0.08571428571428572</x:v>
      </x:c>
      <x:c r="S2189" s="15" t="n">
        <x:f>IF(E2189=0,"해당 없음",K2189/E2189)</x:f>
        <x:v>0.0761904761904762</x:v>
      </x:c>
      <x:c r="T2189" s="15" t="n">
        <x:f>IF(E2189=0,"해당 없음",L2189/E2189)</x:f>
        <x:v>0.34285714285714286</x:v>
      </x:c>
      <x:c r="U2189" s="15" t="n">
        <x:f>IF(E2189=0,"해당 없음",M2189/E2189)</x:f>
        <x:v>0.3333333333333333</x:v>
      </x:c>
      <x:c r="V2189" s="16" t="n">
        <x:f>E2189/5</x:f>
        <x:v>21</x:v>
      </x:c>
    </x:row>
    <x:row r="2190" ht="22" customHeight="1">
      <x:c r="A2190" s="2" t="n">
        <x:v>1093</x:v>
      </x:c>
      <x:c r="B2190" s="2" t="str">
        <x:v>RED</x:v>
      </x:c>
      <x:c r="C2190" s="2" t="str">
        <x:v>200만</x:v>
      </x:c>
      <x:c r="D2190" s="2" t="str">
        <x:v>240만</x:v>
      </x:c>
      <x:c r="E2190" s="14" t="n">
        <x:f>SUM(F2190:M2190)</x:f>
        <x:v>105</x:v>
      </x:c>
      <x:c r="F2190" s="14" t="n">
        <x:v>4</x:v>
      </x:c>
      <x:c r="G2190" s="14" t="n">
        <x:v>10</x:v>
      </x:c>
      <x:c r="H2190" s="14" t="n">
        <x:v>3</x:v>
      </x:c>
      <x:c r="I2190" s="14" t="n">
        <x:v>6</x:v>
      </x:c>
      <x:c r="J2190" s="14" t="n">
        <x:v>5</x:v>
      </x:c>
      <x:c r="K2190" s="14" t="n">
        <x:v>3</x:v>
      </x:c>
      <x:c r="L2190" s="14" t="n">
        <x:v>40</x:v>
      </x:c>
      <x:c r="M2190" s="14" t="n">
        <x:v>34</x:v>
      </x:c>
      <x:c r="N2190" s="15" t="n">
        <x:f>IF(E2190=0,"해당 없음",F2190/E2190)</x:f>
        <x:v>0.0380952380952381</x:v>
      </x:c>
      <x:c r="O2190" s="15" t="n">
        <x:f>IF(E2190=0,"해당 없음",G2190/E2190)</x:f>
        <x:v>0.09523809523809523</x:v>
      </x:c>
      <x:c r="P2190" s="15" t="n">
        <x:f>IF(E2190=0,"해당 없음",H2190/E2190)</x:f>
        <x:v>0.02857142857142857</x:v>
      </x:c>
      <x:c r="Q2190" s="15" t="n">
        <x:f>IF(E2190=0,"해당 없음",I2190/E2190)</x:f>
        <x:v>0.05714285714285714</x:v>
      </x:c>
      <x:c r="R2190" s="15" t="n">
        <x:f>IF(E2190=0,"해당 없음",J2190/E2190)</x:f>
        <x:v>0.047619047619047616</x:v>
      </x:c>
      <x:c r="S2190" s="15" t="n">
        <x:f>IF(E2190=0,"해당 없음",K2190/E2190)</x:f>
        <x:v>0.02857142857142857</x:v>
      </x:c>
      <x:c r="T2190" s="15" t="n">
        <x:f>IF(E2190=0,"해당 없음",L2190/E2190)</x:f>
        <x:v>0.38095238095238093</x:v>
      </x:c>
      <x:c r="U2190" s="15" t="n">
        <x:f>IF(E2190=0,"해당 없음",M2190/E2190)</x:f>
        <x:v>0.3238095238095238</x:v>
      </x:c>
      <x:c r="V2190" s="16" t="n">
        <x:f>E2190/5</x:f>
        <x:v>21</x:v>
      </x:c>
    </x:row>
    <x:row r="2191" ht="22" customHeight="1">
      <x:c r="A2191" s="2" t="n">
        <x:v>1093</x:v>
      </x:c>
      <x:c r="B2191" s="2" t="str">
        <x:v>NAVY</x:v>
      </x:c>
      <x:c r="C2191" s="2" t="str">
        <x:v>240만</x:v>
      </x:c>
      <x:c r="D2191" s="2" t="str">
        <x:v>200만</x:v>
      </x:c>
      <x:c r="E2191" s="14" t="n">
        <x:f>SUM(F2191:M2191)</x:f>
        <x:v>106</x:v>
      </x:c>
      <x:c r="F2191" s="14" t="n">
        <x:v>3</x:v>
      </x:c>
      <x:c r="G2191" s="14" t="n">
        <x:v>16</x:v>
      </x:c>
      <x:c r="H2191" s="14" t="n">
        <x:v>7</x:v>
      </x:c>
      <x:c r="I2191" s="14" t="n">
        <x:v>1</x:v>
      </x:c>
      <x:c r="J2191" s="14" t="n">
        <x:v>6</x:v>
      </x:c>
      <x:c r="K2191" s="14" t="n">
        <x:v>7</x:v>
      </x:c>
      <x:c r="L2191" s="14" t="n">
        <x:v>37</x:v>
      </x:c>
      <x:c r="M2191" s="14" t="n">
        <x:v>29</x:v>
      </x:c>
      <x:c r="N2191" s="15" t="n">
        <x:f>IF(E2191=0,"해당 없음",F2191/E2191)</x:f>
        <x:v>0.02830188679245283</x:v>
      </x:c>
      <x:c r="O2191" s="15" t="n">
        <x:f>IF(E2191=0,"해당 없음",G2191/E2191)</x:f>
        <x:v>0.1509433962264151</x:v>
      </x:c>
      <x:c r="P2191" s="15" t="n">
        <x:f>IF(E2191=0,"해당 없음",H2191/E2191)</x:f>
        <x:v>0.0660377358490566</x:v>
      </x:c>
      <x:c r="Q2191" s="15" t="n">
        <x:f>IF(E2191=0,"해당 없음",I2191/E2191)</x:f>
        <x:v>0.009433962264150943</x:v>
      </x:c>
      <x:c r="R2191" s="15" t="n">
        <x:f>IF(E2191=0,"해당 없음",J2191/E2191)</x:f>
        <x:v>0.05660377358490566</x:v>
      </x:c>
      <x:c r="S2191" s="15" t="n">
        <x:f>IF(E2191=0,"해당 없음",K2191/E2191)</x:f>
        <x:v>0.0660377358490566</x:v>
      </x:c>
      <x:c r="T2191" s="15" t="n">
        <x:f>IF(E2191=0,"해당 없음",L2191/E2191)</x:f>
        <x:v>0.3490566037735849</x:v>
      </x:c>
      <x:c r="U2191" s="15" t="n">
        <x:f>IF(E2191=0,"해당 없음",M2191/E2191)</x:f>
        <x:v>0.27358490566037735</x:v>
      </x:c>
      <x:c r="V2191" s="16" t="n">
        <x:f>E2191/5</x:f>
        <x:v>21.2</x:v>
      </x:c>
    </x:row>
    <x:row r="2192" ht="22" customHeight="1">
      <x:c r="A2192" s="2" t="n">
        <x:v>1094</x:v>
      </x:c>
      <x:c r="B2192" s="2" t="str">
        <x:v>RED</x:v>
      </x:c>
      <x:c r="C2192" s="2" t="str">
        <x:v>240만</x:v>
      </x:c>
      <x:c r="D2192" s="2" t="str">
        <x:v>200만</x:v>
      </x:c>
      <x:c r="E2192" s="14" t="n">
        <x:f>SUM(F2192:M2192)</x:f>
        <x:v>101</x:v>
      </x:c>
      <x:c r="F2192" s="14" t="n">
        <x:v>1</x:v>
      </x:c>
      <x:c r="G2192" s="14" t="n">
        <x:v>10</x:v>
      </x:c>
      <x:c r="H2192" s="14" t="n">
        <x:v>3</x:v>
      </x:c>
      <x:c r="I2192" s="14" t="n">
        <x:v>11</x:v>
      </x:c>
      <x:c r="J2192" s="14" t="n">
        <x:v>0</x:v>
      </x:c>
      <x:c r="K2192" s="14" t="n">
        <x:v>3</x:v>
      </x:c>
      <x:c r="L2192" s="14" t="n">
        <x:v>38</x:v>
      </x:c>
      <x:c r="M2192" s="14" t="n">
        <x:v>35</x:v>
      </x:c>
      <x:c r="N2192" s="15" t="n">
        <x:f>IF(E2192=0,"해당 없음",F2192/E2192)</x:f>
        <x:v>0.009900990099009901</x:v>
      </x:c>
      <x:c r="O2192" s="15" t="n">
        <x:f>IF(E2192=0,"해당 없음",G2192/E2192)</x:f>
        <x:v>0.09900990099009901</x:v>
      </x:c>
      <x:c r="P2192" s="15" t="n">
        <x:f>IF(E2192=0,"해당 없음",H2192/E2192)</x:f>
        <x:v>0.0297029702970297</x:v>
      </x:c>
      <x:c r="Q2192" s="15" t="n">
        <x:f>IF(E2192=0,"해당 없음",I2192/E2192)</x:f>
        <x:v>0.10891089108910891</x:v>
      </x:c>
      <x:c r="R2192" s="15" t="n">
        <x:f>IF(E2192=0,"해당 없음",J2192/E2192)</x:f>
        <x:v>0</x:v>
      </x:c>
      <x:c r="S2192" s="15" t="n">
        <x:f>IF(E2192=0,"해당 없음",K2192/E2192)</x:f>
        <x:v>0.0297029702970297</x:v>
      </x:c>
      <x:c r="T2192" s="15" t="n">
        <x:f>IF(E2192=0,"해당 없음",L2192/E2192)</x:f>
        <x:v>0.37623762376237624</x:v>
      </x:c>
      <x:c r="U2192" s="15" t="n">
        <x:f>IF(E2192=0,"해당 없음",M2192/E2192)</x:f>
        <x:v>0.3465346534653465</x:v>
      </x:c>
      <x:c r="V2192" s="16" t="n">
        <x:f>E2192/5</x:f>
        <x:v>20.2</x:v>
      </x:c>
    </x:row>
    <x:row r="2193" ht="22" customHeight="1">
      <x:c r="A2193" s="2" t="n">
        <x:v>1094</x:v>
      </x:c>
      <x:c r="B2193" s="2" t="str">
        <x:v>NAVY</x:v>
      </x:c>
      <x:c r="C2193" s="2" t="str">
        <x:v>200만</x:v>
      </x:c>
      <x:c r="D2193" s="2" t="str">
        <x:v>240만</x:v>
      </x:c>
      <x:c r="E2193" s="14" t="n">
        <x:f>SUM(F2193:M2193)</x:f>
        <x:v>103</x:v>
      </x:c>
      <x:c r="F2193" s="14" t="n">
        <x:v>8</x:v>
      </x:c>
      <x:c r="G2193" s="14" t="n">
        <x:v>21</x:v>
      </x:c>
      <x:c r="H2193" s="14" t="n">
        <x:v>4</x:v>
      </x:c>
      <x:c r="I2193" s="14" t="n">
        <x:v>3</x:v>
      </x:c>
      <x:c r="J2193" s="14" t="n">
        <x:v>3</x:v>
      </x:c>
      <x:c r="K2193" s="14" t="n">
        <x:v>9</x:v>
      </x:c>
      <x:c r="L2193" s="14" t="n">
        <x:v>26</x:v>
      </x:c>
      <x:c r="M2193" s="14" t="n">
        <x:v>29</x:v>
      </x:c>
      <x:c r="N2193" s="15" t="n">
        <x:f>IF(E2193=0,"해당 없음",F2193/E2193)</x:f>
        <x:v>0.07766990291262135</x:v>
      </x:c>
      <x:c r="O2193" s="15" t="n">
        <x:f>IF(E2193=0,"해당 없음",G2193/E2193)</x:f>
        <x:v>0.20388349514563106</x:v>
      </x:c>
      <x:c r="P2193" s="15" t="n">
        <x:f>IF(E2193=0,"해당 없음",H2193/E2193)</x:f>
        <x:v>0.038834951456310676</x:v>
      </x:c>
      <x:c r="Q2193" s="15" t="n">
        <x:f>IF(E2193=0,"해당 없음",I2193/E2193)</x:f>
        <x:v>0.02912621359223301</x:v>
      </x:c>
      <x:c r="R2193" s="15" t="n">
        <x:f>IF(E2193=0,"해당 없음",J2193/E2193)</x:f>
        <x:v>0.02912621359223301</x:v>
      </x:c>
      <x:c r="S2193" s="15" t="n">
        <x:f>IF(E2193=0,"해당 없음",K2193/E2193)</x:f>
        <x:v>0.08737864077669903</x:v>
      </x:c>
      <x:c r="T2193" s="15" t="n">
        <x:f>IF(E2193=0,"해당 없음",L2193/E2193)</x:f>
        <x:v>0.2524271844660194</x:v>
      </x:c>
      <x:c r="U2193" s="15" t="n">
        <x:f>IF(E2193=0,"해당 없음",M2193/E2193)</x:f>
        <x:v>0.2815533980582524</x:v>
      </x:c>
      <x:c r="V2193" s="16" t="n">
        <x:f>E2193/5</x:f>
        <x:v>20.6</x:v>
      </x:c>
    </x:row>
    <x:row r="2194" ht="22" customHeight="1">
      <x:c r="A2194" s="2" t="n">
        <x:v>1095</x:v>
      </x:c>
      <x:c r="B2194" s="2" t="str">
        <x:v>RED</x:v>
      </x:c>
      <x:c r="C2194" s="2" t="str">
        <x:v>200만</x:v>
      </x:c>
      <x:c r="D2194" s="2" t="str">
        <x:v>240만</x:v>
      </x:c>
      <x:c r="E2194" s="14" t="n">
        <x:f>SUM(F2194:M2194)</x:f>
        <x:v>101</x:v>
      </x:c>
      <x:c r="F2194" s="14" t="n">
        <x:v>7</x:v>
      </x:c>
      <x:c r="G2194" s="14" t="n">
        <x:v>15</x:v>
      </x:c>
      <x:c r="H2194" s="14" t="n">
        <x:v>2</x:v>
      </x:c>
      <x:c r="I2194" s="14" t="n">
        <x:v>1</x:v>
      </x:c>
      <x:c r="J2194" s="14" t="n">
        <x:v>1</x:v>
      </x:c>
      <x:c r="K2194" s="14" t="n">
        <x:v>8</x:v>
      </x:c>
      <x:c r="L2194" s="14" t="n">
        <x:v>37</x:v>
      </x:c>
      <x:c r="M2194" s="14" t="n">
        <x:v>30</x:v>
      </x:c>
      <x:c r="N2194" s="15" t="n">
        <x:f>IF(E2194=0,"해당 없음",F2194/E2194)</x:f>
        <x:v>0.06930693069306931</x:v>
      </x:c>
      <x:c r="O2194" s="15" t="n">
        <x:f>IF(E2194=0,"해당 없음",G2194/E2194)</x:f>
        <x:v>0.1485148514851485</x:v>
      </x:c>
      <x:c r="P2194" s="15" t="n">
        <x:f>IF(E2194=0,"해당 없음",H2194/E2194)</x:f>
        <x:v>0.019801980198019802</x:v>
      </x:c>
      <x:c r="Q2194" s="15" t="n">
        <x:f>IF(E2194=0,"해당 없음",I2194/E2194)</x:f>
        <x:v>0.009900990099009901</x:v>
      </x:c>
      <x:c r="R2194" s="15" t="n">
        <x:f>IF(E2194=0,"해당 없음",J2194/E2194)</x:f>
        <x:v>0.009900990099009901</x:v>
      </x:c>
      <x:c r="S2194" s="15" t="n">
        <x:f>IF(E2194=0,"해당 없음",K2194/E2194)</x:f>
        <x:v>0.07920792079207921</x:v>
      </x:c>
      <x:c r="T2194" s="15" t="n">
        <x:f>IF(E2194=0,"해당 없음",L2194/E2194)</x:f>
        <x:v>0.36633663366336633</x:v>
      </x:c>
      <x:c r="U2194" s="15" t="n">
        <x:f>IF(E2194=0,"해당 없음",M2194/E2194)</x:f>
        <x:v>0.297029702970297</x:v>
      </x:c>
      <x:c r="V2194" s="16" t="n">
        <x:f>E2194/5</x:f>
        <x:v>20.2</x:v>
      </x:c>
    </x:row>
    <x:row r="2195" ht="22" customHeight="1">
      <x:c r="A2195" s="2" t="n">
        <x:v>1095</x:v>
      </x:c>
      <x:c r="B2195" s="2" t="str">
        <x:v>NAVY</x:v>
      </x:c>
      <x:c r="C2195" s="2" t="str">
        <x:v>240만</x:v>
      </x:c>
      <x:c r="D2195" s="2" t="str">
        <x:v>200만</x:v>
      </x:c>
      <x:c r="E2195" s="14" t="n">
        <x:f>SUM(F2195:M2195)</x:f>
        <x:v>102</x:v>
      </x:c>
      <x:c r="F2195" s="14" t="n">
        <x:v>4</x:v>
      </x:c>
      <x:c r="G2195" s="14" t="n">
        <x:v>12</x:v>
      </x:c>
      <x:c r="H2195" s="14" t="n">
        <x:v>1</x:v>
      </x:c>
      <x:c r="I2195" s="14" t="n">
        <x:v>6</x:v>
      </x:c>
      <x:c r="J2195" s="14" t="n">
        <x:v>3</x:v>
      </x:c>
      <x:c r="K2195" s="14" t="n">
        <x:v>3</x:v>
      </x:c>
      <x:c r="L2195" s="14" t="n">
        <x:v>38</x:v>
      </x:c>
      <x:c r="M2195" s="14" t="n">
        <x:v>35</x:v>
      </x:c>
      <x:c r="N2195" s="15" t="n">
        <x:f>IF(E2195=0,"해당 없음",F2195/E2195)</x:f>
        <x:v>0.0392156862745098</x:v>
      </x:c>
      <x:c r="O2195" s="15" t="n">
        <x:f>IF(E2195=0,"해당 없음",G2195/E2195)</x:f>
        <x:v>0.11764705882352941</x:v>
      </x:c>
      <x:c r="P2195" s="15" t="n">
        <x:f>IF(E2195=0,"해당 없음",H2195/E2195)</x:f>
        <x:v>0.00980392156862745</x:v>
      </x:c>
      <x:c r="Q2195" s="15" t="n">
        <x:f>IF(E2195=0,"해당 없음",I2195/E2195)</x:f>
        <x:v>0.058823529411764705</x:v>
      </x:c>
      <x:c r="R2195" s="15" t="n">
        <x:f>IF(E2195=0,"해당 없음",J2195/E2195)</x:f>
        <x:v>0.029411764705882353</x:v>
      </x:c>
      <x:c r="S2195" s="15" t="n">
        <x:f>IF(E2195=0,"해당 없음",K2195/E2195)</x:f>
        <x:v>0.029411764705882353</x:v>
      </x:c>
      <x:c r="T2195" s="15" t="n">
        <x:f>IF(E2195=0,"해당 없음",L2195/E2195)</x:f>
        <x:v>0.37254901960784315</x:v>
      </x:c>
      <x:c r="U2195" s="15" t="n">
        <x:f>IF(E2195=0,"해당 없음",M2195/E2195)</x:f>
        <x:v>0.3431372549019608</x:v>
      </x:c>
      <x:c r="V2195" s="16" t="n">
        <x:f>E2195/5</x:f>
        <x:v>20.4</x:v>
      </x:c>
    </x:row>
    <x:row r="2196" ht="22" customHeight="1">
      <x:c r="A2196" s="2" t="n">
        <x:v>1096</x:v>
      </x:c>
      <x:c r="B2196" s="2" t="str">
        <x:v>RED</x:v>
      </x:c>
      <x:c r="C2196" s="2" t="str">
        <x:v>240만</x:v>
      </x:c>
      <x:c r="D2196" s="2" t="str">
        <x:v>200만</x:v>
      </x:c>
      <x:c r="E2196" s="14" t="n">
        <x:f>SUM(F2196:M2196)</x:f>
        <x:v>105</x:v>
      </x:c>
      <x:c r="F2196" s="14" t="n">
        <x:v>2</x:v>
      </x:c>
      <x:c r="G2196" s="14" t="n">
        <x:v>10</x:v>
      </x:c>
      <x:c r="H2196" s="14" t="n">
        <x:v>2</x:v>
      </x:c>
      <x:c r="I2196" s="14" t="n">
        <x:v>3</x:v>
      </x:c>
      <x:c r="J2196" s="14" t="n">
        <x:v>1</x:v>
      </x:c>
      <x:c r="K2196" s="14" t="n">
        <x:v>8</x:v>
      </x:c>
      <x:c r="L2196" s="14" t="n">
        <x:v>42</x:v>
      </x:c>
      <x:c r="M2196" s="14" t="n">
        <x:v>37</x:v>
      </x:c>
      <x:c r="N2196" s="15" t="n">
        <x:f>IF(E2196=0,"해당 없음",F2196/E2196)</x:f>
        <x:v>0.01904761904761905</x:v>
      </x:c>
      <x:c r="O2196" s="15" t="n">
        <x:f>IF(E2196=0,"해당 없음",G2196/E2196)</x:f>
        <x:v>0.09523809523809523</x:v>
      </x:c>
      <x:c r="P2196" s="15" t="n">
        <x:f>IF(E2196=0,"해당 없음",H2196/E2196)</x:f>
        <x:v>0.01904761904761905</x:v>
      </x:c>
      <x:c r="Q2196" s="15" t="n">
        <x:f>IF(E2196=0,"해당 없음",I2196/E2196)</x:f>
        <x:v>0.02857142857142857</x:v>
      </x:c>
      <x:c r="R2196" s="15" t="n">
        <x:f>IF(E2196=0,"해당 없음",J2196/E2196)</x:f>
        <x:v>0.009523809523809525</x:v>
      </x:c>
      <x:c r="S2196" s="15" t="n">
        <x:f>IF(E2196=0,"해당 없음",K2196/E2196)</x:f>
        <x:v>0.0761904761904762</x:v>
      </x:c>
      <x:c r="T2196" s="15" t="n">
        <x:f>IF(E2196=0,"해당 없음",L2196/E2196)</x:f>
        <x:v>0.4</x:v>
      </x:c>
      <x:c r="U2196" s="15" t="n">
        <x:f>IF(E2196=0,"해당 없음",M2196/E2196)</x:f>
        <x:v>0.3523809523809524</x:v>
      </x:c>
      <x:c r="V2196" s="16" t="n">
        <x:f>E2196/5</x:f>
        <x:v>21</x:v>
      </x:c>
    </x:row>
    <x:row r="2197" ht="22" customHeight="1">
      <x:c r="A2197" s="2" t="n">
        <x:v>1096</x:v>
      </x:c>
      <x:c r="B2197" s="2" t="str">
        <x:v>NAVY</x:v>
      </x:c>
      <x:c r="C2197" s="2" t="str">
        <x:v>200만</x:v>
      </x:c>
      <x:c r="D2197" s="2" t="str">
        <x:v>240만</x:v>
      </x:c>
      <x:c r="E2197" s="14" t="n">
        <x:f>SUM(F2197:M2197)</x:f>
        <x:v>105</x:v>
      </x:c>
      <x:c r="F2197" s="14" t="n">
        <x:v>4</x:v>
      </x:c>
      <x:c r="G2197" s="14" t="n">
        <x:v>8</x:v>
      </x:c>
      <x:c r="H2197" s="14" t="n">
        <x:v>3</x:v>
      </x:c>
      <x:c r="I2197" s="14" t="n">
        <x:v>3</x:v>
      </x:c>
      <x:c r="J2197" s="14" t="n">
        <x:v>7</x:v>
      </x:c>
      <x:c r="K2197" s="14" t="n">
        <x:v>6</x:v>
      </x:c>
      <x:c r="L2197" s="14" t="n">
        <x:v>35</x:v>
      </x:c>
      <x:c r="M2197" s="14" t="n">
        <x:v>39</x:v>
      </x:c>
      <x:c r="N2197" s="15" t="n">
        <x:f>IF(E2197=0,"해당 없음",F2197/E2197)</x:f>
        <x:v>0.0380952380952381</x:v>
      </x:c>
      <x:c r="O2197" s="15" t="n">
        <x:f>IF(E2197=0,"해당 없음",G2197/E2197)</x:f>
        <x:v>0.0761904761904762</x:v>
      </x:c>
      <x:c r="P2197" s="15" t="n">
        <x:f>IF(E2197=0,"해당 없음",H2197/E2197)</x:f>
        <x:v>0.02857142857142857</x:v>
      </x:c>
      <x:c r="Q2197" s="15" t="n">
        <x:f>IF(E2197=0,"해당 없음",I2197/E2197)</x:f>
        <x:v>0.02857142857142857</x:v>
      </x:c>
      <x:c r="R2197" s="15" t="n">
        <x:f>IF(E2197=0,"해당 없음",J2197/E2197)</x:f>
        <x:v>0.06666666666666667</x:v>
      </x:c>
      <x:c r="S2197" s="15" t="n">
        <x:f>IF(E2197=0,"해당 없음",K2197/E2197)</x:f>
        <x:v>0.05714285714285714</x:v>
      </x:c>
      <x:c r="T2197" s="15" t="n">
        <x:f>IF(E2197=0,"해당 없음",L2197/E2197)</x:f>
        <x:v>0.3333333333333333</x:v>
      </x:c>
      <x:c r="U2197" s="15" t="n">
        <x:f>IF(E2197=0,"해당 없음",M2197/E2197)</x:f>
        <x:v>0.37142857142857144</x:v>
      </x:c>
      <x:c r="V2197" s="16" t="n">
        <x:f>E2197/5</x:f>
        <x:v>21</x:v>
      </x:c>
    </x:row>
    <x:row r="2198" ht="22" customHeight="1">
      <x:c r="A2198" s="2" t="n">
        <x:v>1097</x:v>
      </x:c>
      <x:c r="B2198" s="2" t="str">
        <x:v>RED</x:v>
      </x:c>
      <x:c r="C2198" s="2" t="str">
        <x:v>200만</x:v>
      </x:c>
      <x:c r="D2198" s="2" t="str">
        <x:v>240만</x:v>
      </x:c>
      <x:c r="E2198" s="14" t="n">
        <x:f>SUM(F2198:M2198)</x:f>
        <x:v>105</x:v>
      </x:c>
      <x:c r="F2198" s="14" t="n">
        <x:v>2</x:v>
      </x:c>
      <x:c r="G2198" s="14" t="n">
        <x:v>20</x:v>
      </x:c>
      <x:c r="H2198" s="14" t="n">
        <x:v>5</x:v>
      </x:c>
      <x:c r="I2198" s="14" t="n">
        <x:v>4</x:v>
      </x:c>
      <x:c r="J2198" s="14" t="n">
        <x:v>4</x:v>
      </x:c>
      <x:c r="K2198" s="14" t="n">
        <x:v>4</x:v>
      </x:c>
      <x:c r="L2198" s="14" t="n">
        <x:v>38</x:v>
      </x:c>
      <x:c r="M2198" s="14" t="n">
        <x:v>28</x:v>
      </x:c>
      <x:c r="N2198" s="15" t="n">
        <x:f>IF(E2198=0,"해당 없음",F2198/E2198)</x:f>
        <x:v>0.01904761904761905</x:v>
      </x:c>
      <x:c r="O2198" s="15" t="n">
        <x:f>IF(E2198=0,"해당 없음",G2198/E2198)</x:f>
        <x:v>0.19047619047619047</x:v>
      </x:c>
      <x:c r="P2198" s="15" t="n">
        <x:f>IF(E2198=0,"해당 없음",H2198/E2198)</x:f>
        <x:v>0.047619047619047616</x:v>
      </x:c>
      <x:c r="Q2198" s="15" t="n">
        <x:f>IF(E2198=0,"해당 없음",I2198/E2198)</x:f>
        <x:v>0.0380952380952381</x:v>
      </x:c>
      <x:c r="R2198" s="15" t="n">
        <x:f>IF(E2198=0,"해당 없음",J2198/E2198)</x:f>
        <x:v>0.0380952380952381</x:v>
      </x:c>
      <x:c r="S2198" s="15" t="n">
        <x:f>IF(E2198=0,"해당 없음",K2198/E2198)</x:f>
        <x:v>0.0380952380952381</x:v>
      </x:c>
      <x:c r="T2198" s="15" t="n">
        <x:f>IF(E2198=0,"해당 없음",L2198/E2198)</x:f>
        <x:v>0.3619047619047619</x:v>
      </x:c>
      <x:c r="U2198" s="15" t="n">
        <x:f>IF(E2198=0,"해당 없음",M2198/E2198)</x:f>
        <x:v>0.26666666666666666</x:v>
      </x:c>
      <x:c r="V2198" s="16" t="n">
        <x:f>E2198/5</x:f>
        <x:v>21</x:v>
      </x:c>
    </x:row>
    <x:row r="2199" ht="22" customHeight="1">
      <x:c r="A2199" s="2" t="n">
        <x:v>1097</x:v>
      </x:c>
      <x:c r="B2199" s="2" t="str">
        <x:v>NAVY</x:v>
      </x:c>
      <x:c r="C2199" s="2" t="str">
        <x:v>240만</x:v>
      </x:c>
      <x:c r="D2199" s="2" t="str">
        <x:v>200만</x:v>
      </x:c>
      <x:c r="E2199" s="14" t="n">
        <x:f>SUM(F2199:M2199)</x:f>
        <x:v>104</x:v>
      </x:c>
      <x:c r="F2199" s="14" t="n">
        <x:v>1</x:v>
      </x:c>
      <x:c r="G2199" s="14" t="n">
        <x:v>17</x:v>
      </x:c>
      <x:c r="H2199" s="14" t="n">
        <x:v>1</x:v>
      </x:c>
      <x:c r="I2199" s="14" t="n">
        <x:v>2</x:v>
      </x:c>
      <x:c r="J2199" s="14" t="n">
        <x:v>4</x:v>
      </x:c>
      <x:c r="K2199" s="14" t="n">
        <x:v>2</x:v>
      </x:c>
      <x:c r="L2199" s="14" t="n">
        <x:v>39</x:v>
      </x:c>
      <x:c r="M2199" s="14" t="n">
        <x:v>38</x:v>
      </x:c>
      <x:c r="N2199" s="15" t="n">
        <x:f>IF(E2199=0,"해당 없음",F2199/E2199)</x:f>
        <x:v>0.009615384615384616</x:v>
      </x:c>
      <x:c r="O2199" s="15" t="n">
        <x:f>IF(E2199=0,"해당 없음",G2199/E2199)</x:f>
        <x:v>0.16346153846153846</x:v>
      </x:c>
      <x:c r="P2199" s="15" t="n">
        <x:f>IF(E2199=0,"해당 없음",H2199/E2199)</x:f>
        <x:v>0.009615384615384616</x:v>
      </x:c>
      <x:c r="Q2199" s="15" t="n">
        <x:f>IF(E2199=0,"해당 없음",I2199/E2199)</x:f>
        <x:v>0.019230769230769232</x:v>
      </x:c>
      <x:c r="R2199" s="15" t="n">
        <x:f>IF(E2199=0,"해당 없음",J2199/E2199)</x:f>
        <x:v>0.038461538461538464</x:v>
      </x:c>
      <x:c r="S2199" s="15" t="n">
        <x:f>IF(E2199=0,"해당 없음",K2199/E2199)</x:f>
        <x:v>0.019230769230769232</x:v>
      </x:c>
      <x:c r="T2199" s="15" t="n">
        <x:f>IF(E2199=0,"해당 없음",L2199/E2199)</x:f>
        <x:v>0.375</x:v>
      </x:c>
      <x:c r="U2199" s="15" t="n">
        <x:f>IF(E2199=0,"해당 없음",M2199/E2199)</x:f>
        <x:v>0.36538461538461536</x:v>
      </x:c>
      <x:c r="V2199" s="16" t="n">
        <x:f>E2199/5</x:f>
        <x:v>20.8</x:v>
      </x:c>
    </x:row>
    <x:row r="2200" ht="22" customHeight="1">
      <x:c r="A2200" s="2" t="n">
        <x:v>1098</x:v>
      </x:c>
      <x:c r="B2200" s="2" t="str">
        <x:v>RED</x:v>
      </x:c>
      <x:c r="C2200" s="2" t="str">
        <x:v>240만</x:v>
      </x:c>
      <x:c r="D2200" s="2" t="str">
        <x:v>200만</x:v>
      </x:c>
      <x:c r="E2200" s="14" t="n">
        <x:f>SUM(F2200:M2200)</x:f>
        <x:v>104</x:v>
      </x:c>
      <x:c r="F2200" s="14" t="n">
        <x:v>1</x:v>
      </x:c>
      <x:c r="G2200" s="14" t="n">
        <x:v>12</x:v>
      </x:c>
      <x:c r="H2200" s="14" t="n">
        <x:v>3</x:v>
      </x:c>
      <x:c r="I2200" s="14" t="n">
        <x:v>7</x:v>
      </x:c>
      <x:c r="J2200" s="14" t="n">
        <x:v>2</x:v>
      </x:c>
      <x:c r="K2200" s="14" t="n">
        <x:v>6</x:v>
      </x:c>
      <x:c r="L2200" s="14" t="n">
        <x:v>39</x:v>
      </x:c>
      <x:c r="M2200" s="14" t="n">
        <x:v>34</x:v>
      </x:c>
      <x:c r="N2200" s="15" t="n">
        <x:f>IF(E2200=0,"해당 없음",F2200/E2200)</x:f>
        <x:v>0.009615384615384616</x:v>
      </x:c>
      <x:c r="O2200" s="15" t="n">
        <x:f>IF(E2200=0,"해당 없음",G2200/E2200)</x:f>
        <x:v>0.11538461538461539</x:v>
      </x:c>
      <x:c r="P2200" s="15" t="n">
        <x:f>IF(E2200=0,"해당 없음",H2200/E2200)</x:f>
        <x:v>0.028846153846153848</x:v>
      </x:c>
      <x:c r="Q2200" s="15" t="n">
        <x:f>IF(E2200=0,"해당 없음",I2200/E2200)</x:f>
        <x:v>0.0673076923076923</x:v>
      </x:c>
      <x:c r="R2200" s="15" t="n">
        <x:f>IF(E2200=0,"해당 없음",J2200/E2200)</x:f>
        <x:v>0.019230769230769232</x:v>
      </x:c>
      <x:c r="S2200" s="15" t="n">
        <x:f>IF(E2200=0,"해당 없음",K2200/E2200)</x:f>
        <x:v>0.057692307692307696</x:v>
      </x:c>
      <x:c r="T2200" s="15" t="n">
        <x:f>IF(E2200=0,"해당 없음",L2200/E2200)</x:f>
        <x:v>0.375</x:v>
      </x:c>
      <x:c r="U2200" s="15" t="n">
        <x:f>IF(E2200=0,"해당 없음",M2200/E2200)</x:f>
        <x:v>0.3269230769230769</x:v>
      </x:c>
      <x:c r="V2200" s="16" t="n">
        <x:f>E2200/5</x:f>
        <x:v>20.8</x:v>
      </x:c>
    </x:row>
    <x:row r="2201" ht="22" customHeight="1">
      <x:c r="A2201" s="2" t="n">
        <x:v>1098</x:v>
      </x:c>
      <x:c r="B2201" s="2" t="str">
        <x:v>NAVY</x:v>
      </x:c>
      <x:c r="C2201" s="2" t="str">
        <x:v>200만</x:v>
      </x:c>
      <x:c r="D2201" s="2" t="str">
        <x:v>240만</x:v>
      </x:c>
      <x:c r="E2201" s="14" t="n">
        <x:f>SUM(F2201:M2201)</x:f>
        <x:v>103</x:v>
      </x:c>
      <x:c r="F2201" s="14" t="n">
        <x:v>5</x:v>
      </x:c>
      <x:c r="G2201" s="14" t="n">
        <x:v>16</x:v>
      </x:c>
      <x:c r="H2201" s="14" t="n">
        <x:v>4</x:v>
      </x:c>
      <x:c r="I2201" s="14" t="n">
        <x:v>4</x:v>
      </x:c>
      <x:c r="J2201" s="14" t="n">
        <x:v>4</x:v>
      </x:c>
      <x:c r="K2201" s="14" t="n">
        <x:v>3</x:v>
      </x:c>
      <x:c r="L2201" s="14" t="n">
        <x:v>35</x:v>
      </x:c>
      <x:c r="M2201" s="14" t="n">
        <x:v>32</x:v>
      </x:c>
      <x:c r="N2201" s="15" t="n">
        <x:f>IF(E2201=0,"해당 없음",F2201/E2201)</x:f>
        <x:v>0.04854368932038835</x:v>
      </x:c>
      <x:c r="O2201" s="15" t="n">
        <x:f>IF(E2201=0,"해당 없음",G2201/E2201)</x:f>
        <x:v>0.1553398058252427</x:v>
      </x:c>
      <x:c r="P2201" s="15" t="n">
        <x:f>IF(E2201=0,"해당 없음",H2201/E2201)</x:f>
        <x:v>0.038834951456310676</x:v>
      </x:c>
      <x:c r="Q2201" s="15" t="n">
        <x:f>IF(E2201=0,"해당 없음",I2201/E2201)</x:f>
        <x:v>0.038834951456310676</x:v>
      </x:c>
      <x:c r="R2201" s="15" t="n">
        <x:f>IF(E2201=0,"해당 없음",J2201/E2201)</x:f>
        <x:v>0.038834951456310676</x:v>
      </x:c>
      <x:c r="S2201" s="15" t="n">
        <x:f>IF(E2201=0,"해당 없음",K2201/E2201)</x:f>
        <x:v>0.02912621359223301</x:v>
      </x:c>
      <x:c r="T2201" s="15" t="n">
        <x:f>IF(E2201=0,"해당 없음",L2201/E2201)</x:f>
        <x:v>0.33980582524271846</x:v>
      </x:c>
      <x:c r="U2201" s="15" t="n">
        <x:f>IF(E2201=0,"해당 없음",M2201/E2201)</x:f>
        <x:v>0.3106796116504854</x:v>
      </x:c>
      <x:c r="V2201" s="16" t="n">
        <x:f>E2201/5</x:f>
        <x:v>20.6</x:v>
      </x:c>
    </x:row>
    <x:row r="2202" ht="22" customHeight="1">
      <x:c r="A2202" s="2" t="n">
        <x:v>1099</x:v>
      </x:c>
      <x:c r="B2202" s="2" t="str">
        <x:v>RED</x:v>
      </x:c>
      <x:c r="C2202" s="2" t="str">
        <x:v>200만</x:v>
      </x:c>
      <x:c r="D2202" s="2" t="str">
        <x:v>240만</x:v>
      </x:c>
      <x:c r="E2202" s="14" t="n">
        <x:f>SUM(F2202:M2202)</x:f>
        <x:v>103</x:v>
      </x:c>
      <x:c r="F2202" s="14" t="n">
        <x:v>3</x:v>
      </x:c>
      <x:c r="G2202" s="14" t="n">
        <x:v>19</x:v>
      </x:c>
      <x:c r="H2202" s="14" t="n">
        <x:v>3</x:v>
      </x:c>
      <x:c r="I2202" s="14" t="n">
        <x:v>6</x:v>
      </x:c>
      <x:c r="J2202" s="14" t="n">
        <x:v>2</x:v>
      </x:c>
      <x:c r="K2202" s="14" t="n">
        <x:v>5</x:v>
      </x:c>
      <x:c r="L2202" s="14" t="n">
        <x:v>38</x:v>
      </x:c>
      <x:c r="M2202" s="14" t="n">
        <x:v>27</x:v>
      </x:c>
      <x:c r="N2202" s="15" t="n">
        <x:f>IF(E2202=0,"해당 없음",F2202/E2202)</x:f>
        <x:v>0.02912621359223301</x:v>
      </x:c>
      <x:c r="O2202" s="15" t="n">
        <x:f>IF(E2202=0,"해당 없음",G2202/E2202)</x:f>
        <x:v>0.18446601941747573</x:v>
      </x:c>
      <x:c r="P2202" s="15" t="n">
        <x:f>IF(E2202=0,"해당 없음",H2202/E2202)</x:f>
        <x:v>0.02912621359223301</x:v>
      </x:c>
      <x:c r="Q2202" s="15" t="n">
        <x:f>IF(E2202=0,"해당 없음",I2202/E2202)</x:f>
        <x:v>0.05825242718446602</x:v>
      </x:c>
      <x:c r="R2202" s="15" t="n">
        <x:f>IF(E2202=0,"해당 없음",J2202/E2202)</x:f>
        <x:v>0.019417475728155338</x:v>
      </x:c>
      <x:c r="S2202" s="15" t="n">
        <x:f>IF(E2202=0,"해당 없음",K2202/E2202)</x:f>
        <x:v>0.04854368932038835</x:v>
      </x:c>
      <x:c r="T2202" s="15" t="n">
        <x:f>IF(E2202=0,"해당 없음",L2202/E2202)</x:f>
        <x:v>0.36893203883495146</x:v>
      </x:c>
      <x:c r="U2202" s="15" t="n">
        <x:f>IF(E2202=0,"해당 없음",M2202/E2202)</x:f>
        <x:v>0.2621359223300971</x:v>
      </x:c>
      <x:c r="V2202" s="16" t="n">
        <x:f>E2202/5</x:f>
        <x:v>20.6</x:v>
      </x:c>
    </x:row>
    <x:row r="2203" ht="22" customHeight="1">
      <x:c r="A2203" s="2" t="n">
        <x:v>1099</x:v>
      </x:c>
      <x:c r="B2203" s="2" t="str">
        <x:v>NAVY</x:v>
      </x:c>
      <x:c r="C2203" s="2" t="str">
        <x:v>240만</x:v>
      </x:c>
      <x:c r="D2203" s="2" t="str">
        <x:v>200만</x:v>
      </x:c>
      <x:c r="E2203" s="14" t="n">
        <x:f>SUM(F2203:M2203)</x:f>
        <x:v>101</x:v>
      </x:c>
      <x:c r="F2203" s="14" t="n">
        <x:v>2</x:v>
      </x:c>
      <x:c r="G2203" s="14" t="n">
        <x:v>15</x:v>
      </x:c>
      <x:c r="H2203" s="14" t="n">
        <x:v>5</x:v>
      </x:c>
      <x:c r="I2203" s="14" t="n">
        <x:v>6</x:v>
      </x:c>
      <x:c r="J2203" s="14" t="n">
        <x:v>0</x:v>
      </x:c>
      <x:c r="K2203" s="14" t="n">
        <x:v>0</x:v>
      </x:c>
      <x:c r="L2203" s="14" t="n">
        <x:v>38</x:v>
      </x:c>
      <x:c r="M2203" s="14" t="n">
        <x:v>35</x:v>
      </x:c>
      <x:c r="N2203" s="15" t="n">
        <x:f>IF(E2203=0,"해당 없음",F2203/E2203)</x:f>
        <x:v>0.019801980198019802</x:v>
      </x:c>
      <x:c r="O2203" s="15" t="n">
        <x:f>IF(E2203=0,"해당 없음",G2203/E2203)</x:f>
        <x:v>0.1485148514851485</x:v>
      </x:c>
      <x:c r="P2203" s="15" t="n">
        <x:f>IF(E2203=0,"해당 없음",H2203/E2203)</x:f>
        <x:v>0.04950495049504951</x:v>
      </x:c>
      <x:c r="Q2203" s="15" t="n">
        <x:f>IF(E2203=0,"해당 없음",I2203/E2203)</x:f>
        <x:v>0.0594059405940594</x:v>
      </x:c>
      <x:c r="R2203" s="15" t="n">
        <x:f>IF(E2203=0,"해당 없음",J2203/E2203)</x:f>
        <x:v>0</x:v>
      </x:c>
      <x:c r="S2203" s="15" t="n">
        <x:f>IF(E2203=0,"해당 없음",K2203/E2203)</x:f>
        <x:v>0</x:v>
      </x:c>
      <x:c r="T2203" s="15" t="n">
        <x:f>IF(E2203=0,"해당 없음",L2203/E2203)</x:f>
        <x:v>0.37623762376237624</x:v>
      </x:c>
      <x:c r="U2203" s="15" t="n">
        <x:f>IF(E2203=0,"해당 없음",M2203/E2203)</x:f>
        <x:v>0.3465346534653465</x:v>
      </x:c>
      <x:c r="V2203" s="16" t="n">
        <x:f>E2203/5</x:f>
        <x:v>20.2</x:v>
      </x:c>
    </x:row>
    <x:row r="2204" ht="22" customHeight="1">
      <x:c r="A2204" s="2" t="n">
        <x:v>1100</x:v>
      </x:c>
      <x:c r="B2204" s="2" t="str">
        <x:v>RED</x:v>
      </x:c>
      <x:c r="C2204" s="2" t="str">
        <x:v>240만</x:v>
      </x:c>
      <x:c r="D2204" s="2" t="str">
        <x:v>200만</x:v>
      </x:c>
      <x:c r="E2204" s="14" t="n">
        <x:f>SUM(F2204:M2204)</x:f>
        <x:v>102</x:v>
      </x:c>
      <x:c r="F2204" s="14" t="n">
        <x:v>6</x:v>
      </x:c>
      <x:c r="G2204" s="14" t="n">
        <x:v>24</x:v>
      </x:c>
      <x:c r="H2204" s="14" t="n">
        <x:v>2</x:v>
      </x:c>
      <x:c r="I2204" s="14" t="n">
        <x:v>1</x:v>
      </x:c>
      <x:c r="J2204" s="14" t="n">
        <x:v>1</x:v>
      </x:c>
      <x:c r="K2204" s="14" t="n">
        <x:v>5</x:v>
      </x:c>
      <x:c r="L2204" s="14" t="n">
        <x:v>40</x:v>
      </x:c>
      <x:c r="M2204" s="14" t="n">
        <x:v>23</x:v>
      </x:c>
      <x:c r="N2204" s="15" t="n">
        <x:f>IF(E2204=0,"해당 없음",F2204/E2204)</x:f>
        <x:v>0.058823529411764705</x:v>
      </x:c>
      <x:c r="O2204" s="15" t="n">
        <x:f>IF(E2204=0,"해당 없음",G2204/E2204)</x:f>
        <x:v>0.23529411764705882</x:v>
      </x:c>
      <x:c r="P2204" s="15" t="n">
        <x:f>IF(E2204=0,"해당 없음",H2204/E2204)</x:f>
        <x:v>0.0196078431372549</x:v>
      </x:c>
      <x:c r="Q2204" s="15" t="n">
        <x:f>IF(E2204=0,"해당 없음",I2204/E2204)</x:f>
        <x:v>0.00980392156862745</x:v>
      </x:c>
      <x:c r="R2204" s="15" t="n">
        <x:f>IF(E2204=0,"해당 없음",J2204/E2204)</x:f>
        <x:v>0.00980392156862745</x:v>
      </x:c>
      <x:c r="S2204" s="15" t="n">
        <x:f>IF(E2204=0,"해당 없음",K2204/E2204)</x:f>
        <x:v>0.049019607843137254</x:v>
      </x:c>
      <x:c r="T2204" s="15" t="n">
        <x:f>IF(E2204=0,"해당 없음",L2204/E2204)</x:f>
        <x:v>0.39215686274509803</x:v>
      </x:c>
      <x:c r="U2204" s="15" t="n">
        <x:f>IF(E2204=0,"해당 없음",M2204/E2204)</x:f>
        <x:v>0.22549019607843138</x:v>
      </x:c>
      <x:c r="V2204" s="16" t="n">
        <x:f>E2204/5</x:f>
        <x:v>20.4</x:v>
      </x:c>
    </x:row>
    <x:row r="2205" ht="22" customHeight="1">
      <x:c r="A2205" s="2" t="n">
        <x:v>1100</x:v>
      </x:c>
      <x:c r="B2205" s="2" t="str">
        <x:v>NAVY</x:v>
      </x:c>
      <x:c r="C2205" s="2" t="str">
        <x:v>200만</x:v>
      </x:c>
      <x:c r="D2205" s="2" t="str">
        <x:v>240만</x:v>
      </x:c>
      <x:c r="E2205" s="14" t="n">
        <x:f>SUM(F2205:M2205)</x:f>
        <x:v>103</x:v>
      </x:c>
      <x:c r="F2205" s="14" t="n">
        <x:v>6</x:v>
      </x:c>
      <x:c r="G2205" s="14" t="n">
        <x:v>14</x:v>
      </x:c>
      <x:c r="H2205" s="14" t="n">
        <x:v>4</x:v>
      </x:c>
      <x:c r="I2205" s="14" t="n">
        <x:v>4</x:v>
      </x:c>
      <x:c r="J2205" s="14" t="n">
        <x:v>4</x:v>
      </x:c>
      <x:c r="K2205" s="14" t="n">
        <x:v>15</x:v>
      </x:c>
      <x:c r="L2205" s="14" t="n">
        <x:v>35</x:v>
      </x:c>
      <x:c r="M2205" s="14" t="n">
        <x:v>21</x:v>
      </x:c>
      <x:c r="N2205" s="15" t="n">
        <x:f>IF(E2205=0,"해당 없음",F2205/E2205)</x:f>
        <x:v>0.05825242718446602</x:v>
      </x:c>
      <x:c r="O2205" s="15" t="n">
        <x:f>IF(E2205=0,"해당 없음",G2205/E2205)</x:f>
        <x:v>0.13592233009708737</x:v>
      </x:c>
      <x:c r="P2205" s="15" t="n">
        <x:f>IF(E2205=0,"해당 없음",H2205/E2205)</x:f>
        <x:v>0.038834951456310676</x:v>
      </x:c>
      <x:c r="Q2205" s="15" t="n">
        <x:f>IF(E2205=0,"해당 없음",I2205/E2205)</x:f>
        <x:v>0.038834951456310676</x:v>
      </x:c>
      <x:c r="R2205" s="15" t="n">
        <x:f>IF(E2205=0,"해당 없음",J2205/E2205)</x:f>
        <x:v>0.038834951456310676</x:v>
      </x:c>
      <x:c r="S2205" s="15" t="n">
        <x:f>IF(E2205=0,"해당 없음",K2205/E2205)</x:f>
        <x:v>0.14563106796116504</x:v>
      </x:c>
      <x:c r="T2205" s="15" t="n">
        <x:f>IF(E2205=0,"해당 없음",L2205/E2205)</x:f>
        <x:v>0.33980582524271846</x:v>
      </x:c>
      <x:c r="U2205" s="15" t="n">
        <x:f>IF(E2205=0,"해당 없음",M2205/E2205)</x:f>
        <x:v>0.20388349514563106</x:v>
      </x:c>
      <x:c r="V2205" s="16" t="n">
        <x:f>E2205/5</x:f>
        <x:v>20.6</x:v>
      </x:c>
    </x:row>
    <x:row r="2206" ht="22" customHeight="1">
      <x:c r="A2206" s="2" t="n">
        <x:v>1101</x:v>
      </x:c>
      <x:c r="B2206" s="2" t="str">
        <x:v>RED</x:v>
      </x:c>
      <x:c r="C2206" s="2" t="str">
        <x:v>200만</x:v>
      </x:c>
      <x:c r="D2206" s="2" t="str">
        <x:v>240만</x:v>
      </x:c>
      <x:c r="E2206" s="14" t="n">
        <x:f>SUM(F2206:M2206)</x:f>
        <x:v>100</x:v>
      </x:c>
      <x:c r="F2206" s="14" t="n">
        <x:v>3</x:v>
      </x:c>
      <x:c r="G2206" s="14" t="n">
        <x:v>17</x:v>
      </x:c>
      <x:c r="H2206" s="14" t="n">
        <x:v>1</x:v>
      </x:c>
      <x:c r="I2206" s="14" t="n">
        <x:v>9</x:v>
      </x:c>
      <x:c r="J2206" s="14" t="n">
        <x:v>1</x:v>
      </x:c>
      <x:c r="K2206" s="14" t="n">
        <x:v>7</x:v>
      </x:c>
      <x:c r="L2206" s="14" t="n">
        <x:v>37</x:v>
      </x:c>
      <x:c r="M2206" s="14" t="n">
        <x:v>25</x:v>
      </x:c>
      <x:c r="N2206" s="15" t="n">
        <x:f>IF(E2206=0,"해당 없음",F2206/E2206)</x:f>
        <x:v>0.03</x:v>
      </x:c>
      <x:c r="O2206" s="15" t="n">
        <x:f>IF(E2206=0,"해당 없음",G2206/E2206)</x:f>
        <x:v>0.17</x:v>
      </x:c>
      <x:c r="P2206" s="15" t="n">
        <x:f>IF(E2206=0,"해당 없음",H2206/E2206)</x:f>
        <x:v>0.01</x:v>
      </x:c>
      <x:c r="Q2206" s="15" t="n">
        <x:f>IF(E2206=0,"해당 없음",I2206/E2206)</x:f>
        <x:v>0.09</x:v>
      </x:c>
      <x:c r="R2206" s="15" t="n">
        <x:f>IF(E2206=0,"해당 없음",J2206/E2206)</x:f>
        <x:v>0.01</x:v>
      </x:c>
      <x:c r="S2206" s="15" t="n">
        <x:f>IF(E2206=0,"해당 없음",K2206/E2206)</x:f>
        <x:v>0.07</x:v>
      </x:c>
      <x:c r="T2206" s="15" t="n">
        <x:f>IF(E2206=0,"해당 없음",L2206/E2206)</x:f>
        <x:v>0.37</x:v>
      </x:c>
      <x:c r="U2206" s="15" t="n">
        <x:f>IF(E2206=0,"해당 없음",M2206/E2206)</x:f>
        <x:v>0.25</x:v>
      </x:c>
      <x:c r="V2206" s="16" t="n">
        <x:f>E2206/5</x:f>
        <x:v>20</x:v>
      </x:c>
    </x:row>
    <x:row r="2207" ht="22" customHeight="1">
      <x:c r="A2207" s="2" t="n">
        <x:v>1101</x:v>
      </x:c>
      <x:c r="B2207" s="2" t="str">
        <x:v>NAVY</x:v>
      </x:c>
      <x:c r="C2207" s="2" t="str">
        <x:v>240만</x:v>
      </x:c>
      <x:c r="D2207" s="2" t="str">
        <x:v>200만</x:v>
      </x:c>
      <x:c r="E2207" s="14" t="n">
        <x:f>SUM(F2207:M2207)</x:f>
        <x:v>102</x:v>
      </x:c>
      <x:c r="F2207" s="14" t="n">
        <x:v>1</x:v>
      </x:c>
      <x:c r="G2207" s="14" t="n">
        <x:v>13</x:v>
      </x:c>
      <x:c r="H2207" s="14" t="n">
        <x:v>3</x:v>
      </x:c>
      <x:c r="I2207" s="14" t="n">
        <x:v>3</x:v>
      </x:c>
      <x:c r="J2207" s="14" t="n">
        <x:v>1</x:v>
      </x:c>
      <x:c r="K2207" s="14" t="n">
        <x:v>2</x:v>
      </x:c>
      <x:c r="L2207" s="14" t="n">
        <x:v>36</x:v>
      </x:c>
      <x:c r="M2207" s="14" t="n">
        <x:v>43</x:v>
      </x:c>
      <x:c r="N2207" s="15" t="n">
        <x:f>IF(E2207=0,"해당 없음",F2207/E2207)</x:f>
        <x:v>0.00980392156862745</x:v>
      </x:c>
      <x:c r="O2207" s="15" t="n">
        <x:f>IF(E2207=0,"해당 없음",G2207/E2207)</x:f>
        <x:v>0.12745098039215685</x:v>
      </x:c>
      <x:c r="P2207" s="15" t="n">
        <x:f>IF(E2207=0,"해당 없음",H2207/E2207)</x:f>
        <x:v>0.029411764705882353</x:v>
      </x:c>
      <x:c r="Q2207" s="15" t="n">
        <x:f>IF(E2207=0,"해당 없음",I2207/E2207)</x:f>
        <x:v>0.029411764705882353</x:v>
      </x:c>
      <x:c r="R2207" s="15" t="n">
        <x:f>IF(E2207=0,"해당 없음",J2207/E2207)</x:f>
        <x:v>0.00980392156862745</x:v>
      </x:c>
      <x:c r="S2207" s="15" t="n">
        <x:f>IF(E2207=0,"해당 없음",K2207/E2207)</x:f>
        <x:v>0.0196078431372549</x:v>
      </x:c>
      <x:c r="T2207" s="15" t="n">
        <x:f>IF(E2207=0,"해당 없음",L2207/E2207)</x:f>
        <x:v>0.35294117647058826</x:v>
      </x:c>
      <x:c r="U2207" s="15" t="n">
        <x:f>IF(E2207=0,"해당 없음",M2207/E2207)</x:f>
        <x:v>0.4215686274509804</x:v>
      </x:c>
      <x:c r="V2207" s="16" t="n">
        <x:f>E2207/5</x:f>
        <x:v>20.4</x:v>
      </x:c>
    </x:row>
    <x:row r="2208" ht="22" customHeight="1">
      <x:c r="A2208" s="2" t="n">
        <x:v>1102</x:v>
      </x:c>
      <x:c r="B2208" s="2" t="str">
        <x:v>RED</x:v>
      </x:c>
      <x:c r="C2208" s="2" t="str">
        <x:v>240만</x:v>
      </x:c>
      <x:c r="D2208" s="2" t="str">
        <x:v>200만</x:v>
      </x:c>
      <x:c r="E2208" s="14" t="n">
        <x:f>SUM(F2208:M2208)</x:f>
        <x:v>102</x:v>
      </x:c>
      <x:c r="F2208" s="14" t="n">
        <x:v>1</x:v>
      </x:c>
      <x:c r="G2208" s="14" t="n">
        <x:v>11</x:v>
      </x:c>
      <x:c r="H2208" s="14" t="n">
        <x:v>2</x:v>
      </x:c>
      <x:c r="I2208" s="14" t="n">
        <x:v>7</x:v>
      </x:c>
      <x:c r="J2208" s="14" t="n">
        <x:v>0</x:v>
      </x:c>
      <x:c r="K2208" s="14" t="n">
        <x:v>0</x:v>
      </x:c>
      <x:c r="L2208" s="14" t="n">
        <x:v>42</x:v>
      </x:c>
      <x:c r="M2208" s="14" t="n">
        <x:v>39</x:v>
      </x:c>
      <x:c r="N2208" s="15" t="n">
        <x:f>IF(E2208=0,"해당 없음",F2208/E2208)</x:f>
        <x:v>0.00980392156862745</x:v>
      </x:c>
      <x:c r="O2208" s="15" t="n">
        <x:f>IF(E2208=0,"해당 없음",G2208/E2208)</x:f>
        <x:v>0.10784313725490197</x:v>
      </x:c>
      <x:c r="P2208" s="15" t="n">
        <x:f>IF(E2208=0,"해당 없음",H2208/E2208)</x:f>
        <x:v>0.0196078431372549</x:v>
      </x:c>
      <x:c r="Q2208" s="15" t="n">
        <x:f>IF(E2208=0,"해당 없음",I2208/E2208)</x:f>
        <x:v>0.06862745098039216</x:v>
      </x:c>
      <x:c r="R2208" s="15" t="n">
        <x:f>IF(E2208=0,"해당 없음",J2208/E2208)</x:f>
        <x:v>0</x:v>
      </x:c>
      <x:c r="S2208" s="15" t="n">
        <x:f>IF(E2208=0,"해당 없음",K2208/E2208)</x:f>
        <x:v>0</x:v>
      </x:c>
      <x:c r="T2208" s="15" t="n">
        <x:f>IF(E2208=0,"해당 없음",L2208/E2208)</x:f>
        <x:v>0.4117647058823529</x:v>
      </x:c>
      <x:c r="U2208" s="15" t="n">
        <x:f>IF(E2208=0,"해당 없음",M2208/E2208)</x:f>
        <x:v>0.38235294117647056</x:v>
      </x:c>
      <x:c r="V2208" s="16" t="n">
        <x:f>E2208/5</x:f>
        <x:v>20.4</x:v>
      </x:c>
    </x:row>
    <x:row r="2209" ht="22" customHeight="1">
      <x:c r="A2209" s="2" t="n">
        <x:v>1102</x:v>
      </x:c>
      <x:c r="B2209" s="2" t="str">
        <x:v>NAVY</x:v>
      </x:c>
      <x:c r="C2209" s="2" t="str">
        <x:v>200만</x:v>
      </x:c>
      <x:c r="D2209" s="2" t="str">
        <x:v>240만</x:v>
      </x:c>
      <x:c r="E2209" s="14" t="n">
        <x:f>SUM(F2209:M2209)</x:f>
        <x:v>103</x:v>
      </x:c>
      <x:c r="F2209" s="14" t="n">
        <x:v>4</x:v>
      </x:c>
      <x:c r="G2209" s="14" t="n">
        <x:v>11</x:v>
      </x:c>
      <x:c r="H2209" s="14" t="n">
        <x:v>1</x:v>
      </x:c>
      <x:c r="I2209" s="14" t="n">
        <x:v>3</x:v>
      </x:c>
      <x:c r="J2209" s="14" t="n">
        <x:v>6</x:v>
      </x:c>
      <x:c r="K2209" s="14" t="n">
        <x:v>5</x:v>
      </x:c>
      <x:c r="L2209" s="14" t="n">
        <x:v>36</x:v>
      </x:c>
      <x:c r="M2209" s="14" t="n">
        <x:v>37</x:v>
      </x:c>
      <x:c r="N2209" s="15" t="n">
        <x:f>IF(E2209=0,"해당 없음",F2209/E2209)</x:f>
        <x:v>0.038834951456310676</x:v>
      </x:c>
      <x:c r="O2209" s="15" t="n">
        <x:f>IF(E2209=0,"해당 없음",G2209/E2209)</x:f>
        <x:v>0.10679611650485436</x:v>
      </x:c>
      <x:c r="P2209" s="15" t="n">
        <x:f>IF(E2209=0,"해당 없음",H2209/E2209)</x:f>
        <x:v>0.009708737864077669</x:v>
      </x:c>
      <x:c r="Q2209" s="15" t="n">
        <x:f>IF(E2209=0,"해당 없음",I2209/E2209)</x:f>
        <x:v>0.02912621359223301</x:v>
      </x:c>
      <x:c r="R2209" s="15" t="n">
        <x:f>IF(E2209=0,"해당 없음",J2209/E2209)</x:f>
        <x:v>0.05825242718446602</x:v>
      </x:c>
      <x:c r="S2209" s="15" t="n">
        <x:f>IF(E2209=0,"해당 없음",K2209/E2209)</x:f>
        <x:v>0.04854368932038835</x:v>
      </x:c>
      <x:c r="T2209" s="15" t="n">
        <x:f>IF(E2209=0,"해당 없음",L2209/E2209)</x:f>
        <x:v>0.34951456310679613</x:v>
      </x:c>
      <x:c r="U2209" s="15" t="n">
        <x:f>IF(E2209=0,"해당 없음",M2209/E2209)</x:f>
        <x:v>0.3592233009708738</x:v>
      </x:c>
      <x:c r="V2209" s="16" t="n">
        <x:f>E2209/5</x:f>
        <x:v>20.6</x:v>
      </x:c>
    </x:row>
    <x:row r="2210" ht="22" customHeight="1">
      <x:c r="A2210" s="2" t="n">
        <x:v>1103</x:v>
      </x:c>
      <x:c r="B2210" s="2" t="str">
        <x:v>RED</x:v>
      </x:c>
      <x:c r="C2210" s="2" t="str">
        <x:v>200만</x:v>
      </x:c>
      <x:c r="D2210" s="2" t="str">
        <x:v>240만</x:v>
      </x:c>
      <x:c r="E2210" s="14" t="n">
        <x:f>SUM(F2210:M2210)</x:f>
        <x:v>103</x:v>
      </x:c>
      <x:c r="F2210" s="14" t="n">
        <x:v>5</x:v>
      </x:c>
      <x:c r="G2210" s="14" t="n">
        <x:v>14</x:v>
      </x:c>
      <x:c r="H2210" s="14" t="n">
        <x:v>3</x:v>
      </x:c>
      <x:c r="I2210" s="14" t="n">
        <x:v>6</x:v>
      </x:c>
      <x:c r="J2210" s="14" t="n">
        <x:v>3</x:v>
      </x:c>
      <x:c r="K2210" s="14" t="n">
        <x:v>6</x:v>
      </x:c>
      <x:c r="L2210" s="14" t="n">
        <x:v>40</x:v>
      </x:c>
      <x:c r="M2210" s="14" t="n">
        <x:v>26</x:v>
      </x:c>
      <x:c r="N2210" s="15" t="n">
        <x:f>IF(E2210=0,"해당 없음",F2210/E2210)</x:f>
        <x:v>0.04854368932038835</x:v>
      </x:c>
      <x:c r="O2210" s="15" t="n">
        <x:f>IF(E2210=0,"해당 없음",G2210/E2210)</x:f>
        <x:v>0.13592233009708737</x:v>
      </x:c>
      <x:c r="P2210" s="15" t="n">
        <x:f>IF(E2210=0,"해당 없음",H2210/E2210)</x:f>
        <x:v>0.02912621359223301</x:v>
      </x:c>
      <x:c r="Q2210" s="15" t="n">
        <x:f>IF(E2210=0,"해당 없음",I2210/E2210)</x:f>
        <x:v>0.05825242718446602</x:v>
      </x:c>
      <x:c r="R2210" s="15" t="n">
        <x:f>IF(E2210=0,"해당 없음",J2210/E2210)</x:f>
        <x:v>0.02912621359223301</x:v>
      </x:c>
      <x:c r="S2210" s="15" t="n">
        <x:f>IF(E2210=0,"해당 없음",K2210/E2210)</x:f>
        <x:v>0.05825242718446602</x:v>
      </x:c>
      <x:c r="T2210" s="15" t="n">
        <x:f>IF(E2210=0,"해당 없음",L2210/E2210)</x:f>
        <x:v>0.3883495145631068</x:v>
      </x:c>
      <x:c r="U2210" s="15" t="n">
        <x:f>IF(E2210=0,"해당 없음",M2210/E2210)</x:f>
        <x:v>0.2524271844660194</x:v>
      </x:c>
      <x:c r="V2210" s="16" t="n">
        <x:f>E2210/5</x:f>
        <x:v>20.6</x:v>
      </x:c>
    </x:row>
    <x:row r="2211" ht="22" customHeight="1">
      <x:c r="A2211" s="2" t="n">
        <x:v>1103</x:v>
      </x:c>
      <x:c r="B2211" s="2" t="str">
        <x:v>NAVY</x:v>
      </x:c>
      <x:c r="C2211" s="2" t="str">
        <x:v>240만</x:v>
      </x:c>
      <x:c r="D2211" s="2" t="str">
        <x:v>200만</x:v>
      </x:c>
      <x:c r="E2211" s="14" t="n">
        <x:f>SUM(F2211:M2211)</x:f>
        <x:v>103</x:v>
      </x:c>
      <x:c r="F2211" s="14" t="n">
        <x:v>1</x:v>
      </x:c>
      <x:c r="G2211" s="14" t="n">
        <x:v>6</x:v>
      </x:c>
      <x:c r="H2211" s="14" t="n">
        <x:v>2</x:v>
      </x:c>
      <x:c r="I2211" s="14" t="n">
        <x:v>4</x:v>
      </x:c>
      <x:c r="J2211" s="14" t="n">
        <x:v>3</x:v>
      </x:c>
      <x:c r="K2211" s="14" t="n">
        <x:v>0</x:v>
      </x:c>
      <x:c r="L2211" s="14" t="n">
        <x:v>38</x:v>
      </x:c>
      <x:c r="M2211" s="14" t="n">
        <x:v>49</x:v>
      </x:c>
      <x:c r="N2211" s="15" t="n">
        <x:f>IF(E2211=0,"해당 없음",F2211/E2211)</x:f>
        <x:v>0.009708737864077669</x:v>
      </x:c>
      <x:c r="O2211" s="15" t="n">
        <x:f>IF(E2211=0,"해당 없음",G2211/E2211)</x:f>
        <x:v>0.05825242718446602</x:v>
      </x:c>
      <x:c r="P2211" s="15" t="n">
        <x:f>IF(E2211=0,"해당 없음",H2211/E2211)</x:f>
        <x:v>0.019417475728155338</x:v>
      </x:c>
      <x:c r="Q2211" s="15" t="n">
        <x:f>IF(E2211=0,"해당 없음",I2211/E2211)</x:f>
        <x:v>0.038834951456310676</x:v>
      </x:c>
      <x:c r="R2211" s="15" t="n">
        <x:f>IF(E2211=0,"해당 없음",J2211/E2211)</x:f>
        <x:v>0.02912621359223301</x:v>
      </x:c>
      <x:c r="S2211" s="15" t="n">
        <x:f>IF(E2211=0,"해당 없음",K2211/E2211)</x:f>
        <x:v>0</x:v>
      </x:c>
      <x:c r="T2211" s="15" t="n">
        <x:f>IF(E2211=0,"해당 없음",L2211/E2211)</x:f>
        <x:v>0.36893203883495146</x:v>
      </x:c>
      <x:c r="U2211" s="15" t="n">
        <x:f>IF(E2211=0,"해당 없음",M2211/E2211)</x:f>
        <x:v>0.47572815533980584</x:v>
      </x:c>
      <x:c r="V2211" s="16" t="n">
        <x:f>E2211/5</x:f>
        <x:v>20.6</x:v>
      </x:c>
    </x:row>
    <x:row r="2212" ht="22" customHeight="1">
      <x:c r="A2212" s="2" t="n">
        <x:v>1104</x:v>
      </x:c>
      <x:c r="B2212" s="2" t="str">
        <x:v>RED</x:v>
      </x:c>
      <x:c r="C2212" s="2" t="str">
        <x:v>240만</x:v>
      </x:c>
      <x:c r="D2212" s="2" t="str">
        <x:v>200만</x:v>
      </x:c>
      <x:c r="E2212" s="14" t="n">
        <x:f>SUM(F2212:M2212)</x:f>
        <x:v>104</x:v>
      </x:c>
      <x:c r="F2212" s="14" t="n">
        <x:v>0</x:v>
      </x:c>
      <x:c r="G2212" s="14" t="n">
        <x:v>5</x:v>
      </x:c>
      <x:c r="H2212" s="14" t="n">
        <x:v>4</x:v>
      </x:c>
      <x:c r="I2212" s="14" t="n">
        <x:v>6</x:v>
      </x:c>
      <x:c r="J2212" s="14" t="n">
        <x:v>0</x:v>
      </x:c>
      <x:c r="K2212" s="14" t="n">
        <x:v>3</x:v>
      </x:c>
      <x:c r="L2212" s="14" t="n">
        <x:v>37</x:v>
      </x:c>
      <x:c r="M2212" s="14" t="n">
        <x:v>49</x:v>
      </x:c>
      <x:c r="N2212" s="15" t="n">
        <x:f>IF(E2212=0,"해당 없음",F2212/E2212)</x:f>
        <x:v>0</x:v>
      </x:c>
      <x:c r="O2212" s="15" t="n">
        <x:f>IF(E2212=0,"해당 없음",G2212/E2212)</x:f>
        <x:v>0.04807692307692308</x:v>
      </x:c>
      <x:c r="P2212" s="15" t="n">
        <x:f>IF(E2212=0,"해당 없음",H2212/E2212)</x:f>
        <x:v>0.038461538461538464</x:v>
      </x:c>
      <x:c r="Q2212" s="15" t="n">
        <x:f>IF(E2212=0,"해당 없음",I2212/E2212)</x:f>
        <x:v>0.057692307692307696</x:v>
      </x:c>
      <x:c r="R2212" s="15" t="n">
        <x:f>IF(E2212=0,"해당 없음",J2212/E2212)</x:f>
        <x:v>0</x:v>
      </x:c>
      <x:c r="S2212" s="15" t="n">
        <x:f>IF(E2212=0,"해당 없음",K2212/E2212)</x:f>
        <x:v>0.028846153846153848</x:v>
      </x:c>
      <x:c r="T2212" s="15" t="n">
        <x:f>IF(E2212=0,"해당 없음",L2212/E2212)</x:f>
        <x:v>0.3557692307692308</x:v>
      </x:c>
      <x:c r="U2212" s="15" t="n">
        <x:f>IF(E2212=0,"해당 없음",M2212/E2212)</x:f>
        <x:v>0.47115384615384615</x:v>
      </x:c>
      <x:c r="V2212" s="16" t="n">
        <x:f>E2212/5</x:f>
        <x:v>20.8</x:v>
      </x:c>
    </x:row>
    <x:row r="2213" ht="22" customHeight="1">
      <x:c r="A2213" s="2" t="n">
        <x:v>1104</x:v>
      </x:c>
      <x:c r="B2213" s="2" t="str">
        <x:v>NAVY</x:v>
      </x:c>
      <x:c r="C2213" s="2" t="str">
        <x:v>200만</x:v>
      </x:c>
      <x:c r="D2213" s="2" t="str">
        <x:v>240만</x:v>
      </x:c>
      <x:c r="E2213" s="14" t="n">
        <x:f>SUM(F2213:M2213)</x:f>
        <x:v>102</x:v>
      </x:c>
      <x:c r="F2213" s="14" t="n">
        <x:v>6</x:v>
      </x:c>
      <x:c r="G2213" s="14" t="n">
        <x:v>18</x:v>
      </x:c>
      <x:c r="H2213" s="14" t="n">
        <x:v>2</x:v>
      </x:c>
      <x:c r="I2213" s="14" t="n">
        <x:v>1</x:v>
      </x:c>
      <x:c r="J2213" s="14" t="n">
        <x:v>8</x:v>
      </x:c>
      <x:c r="K2213" s="14" t="n">
        <x:v>5</x:v>
      </x:c>
      <x:c r="L2213" s="14" t="n">
        <x:v>35</x:v>
      </x:c>
      <x:c r="M2213" s="14" t="n">
        <x:v>27</x:v>
      </x:c>
      <x:c r="N2213" s="15" t="n">
        <x:f>IF(E2213=0,"해당 없음",F2213/E2213)</x:f>
        <x:v>0.058823529411764705</x:v>
      </x:c>
      <x:c r="O2213" s="15" t="n">
        <x:f>IF(E2213=0,"해당 없음",G2213/E2213)</x:f>
        <x:v>0.17647058823529413</x:v>
      </x:c>
      <x:c r="P2213" s="15" t="n">
        <x:f>IF(E2213=0,"해당 없음",H2213/E2213)</x:f>
        <x:v>0.0196078431372549</x:v>
      </x:c>
      <x:c r="Q2213" s="15" t="n">
        <x:f>IF(E2213=0,"해당 없음",I2213/E2213)</x:f>
        <x:v>0.00980392156862745</x:v>
      </x:c>
      <x:c r="R2213" s="15" t="n">
        <x:f>IF(E2213=0,"해당 없음",J2213/E2213)</x:f>
        <x:v>0.0784313725490196</x:v>
      </x:c>
      <x:c r="S2213" s="15" t="n">
        <x:f>IF(E2213=0,"해당 없음",K2213/E2213)</x:f>
        <x:v>0.049019607843137254</x:v>
      </x:c>
      <x:c r="T2213" s="15" t="n">
        <x:f>IF(E2213=0,"해당 없음",L2213/E2213)</x:f>
        <x:v>0.3431372549019608</x:v>
      </x:c>
      <x:c r="U2213" s="15" t="n">
        <x:f>IF(E2213=0,"해당 없음",M2213/E2213)</x:f>
        <x:v>0.2647058823529412</x:v>
      </x:c>
      <x:c r="V2213" s="16" t="n">
        <x:f>E2213/5</x:f>
        <x:v>20.4</x:v>
      </x:c>
    </x:row>
    <x:row r="2214" ht="22" customHeight="1">
      <x:c r="A2214" s="2" t="n">
        <x:v>1105</x:v>
      </x:c>
      <x:c r="B2214" s="2" t="str">
        <x:v>RED</x:v>
      </x:c>
      <x:c r="C2214" s="2" t="str">
        <x:v>200만</x:v>
      </x:c>
      <x:c r="D2214" s="2" t="str">
        <x:v>240만</x:v>
      </x:c>
      <x:c r="E2214" s="14" t="n">
        <x:f>SUM(F2214:M2214)</x:f>
        <x:v>103</x:v>
      </x:c>
      <x:c r="F2214" s="14" t="n">
        <x:v>5</x:v>
      </x:c>
      <x:c r="G2214" s="14" t="n">
        <x:v>14</x:v>
      </x:c>
      <x:c r="H2214" s="14" t="n">
        <x:v>2</x:v>
      </x:c>
      <x:c r="I2214" s="14" t="n">
        <x:v>4</x:v>
      </x:c>
      <x:c r="J2214" s="14" t="n">
        <x:v>2</x:v>
      </x:c>
      <x:c r="K2214" s="14" t="n">
        <x:v>10</x:v>
      </x:c>
      <x:c r="L2214" s="14" t="n">
        <x:v>37</x:v>
      </x:c>
      <x:c r="M2214" s="14" t="n">
        <x:v>29</x:v>
      </x:c>
      <x:c r="N2214" s="15" t="n">
        <x:f>IF(E2214=0,"해당 없음",F2214/E2214)</x:f>
        <x:v>0.04854368932038835</x:v>
      </x:c>
      <x:c r="O2214" s="15" t="n">
        <x:f>IF(E2214=0,"해당 없음",G2214/E2214)</x:f>
        <x:v>0.13592233009708737</x:v>
      </x:c>
      <x:c r="P2214" s="15" t="n">
        <x:f>IF(E2214=0,"해당 없음",H2214/E2214)</x:f>
        <x:v>0.019417475728155338</x:v>
      </x:c>
      <x:c r="Q2214" s="15" t="n">
        <x:f>IF(E2214=0,"해당 없음",I2214/E2214)</x:f>
        <x:v>0.038834951456310676</x:v>
      </x:c>
      <x:c r="R2214" s="15" t="n">
        <x:f>IF(E2214=0,"해당 없음",J2214/E2214)</x:f>
        <x:v>0.019417475728155338</x:v>
      </x:c>
      <x:c r="S2214" s="15" t="n">
        <x:f>IF(E2214=0,"해당 없음",K2214/E2214)</x:f>
        <x:v>0.0970873786407767</x:v>
      </x:c>
      <x:c r="T2214" s="15" t="n">
        <x:f>IF(E2214=0,"해당 없음",L2214/E2214)</x:f>
        <x:v>0.3592233009708738</x:v>
      </x:c>
      <x:c r="U2214" s="15" t="n">
        <x:f>IF(E2214=0,"해당 없음",M2214/E2214)</x:f>
        <x:v>0.2815533980582524</x:v>
      </x:c>
      <x:c r="V2214" s="16" t="n">
        <x:f>E2214/5</x:f>
        <x:v>20.6</x:v>
      </x:c>
    </x:row>
    <x:row r="2215" ht="22" customHeight="1">
      <x:c r="A2215" s="2" t="n">
        <x:v>1105</x:v>
      </x:c>
      <x:c r="B2215" s="2" t="str">
        <x:v>NAVY</x:v>
      </x:c>
      <x:c r="C2215" s="2" t="str">
        <x:v>240만</x:v>
      </x:c>
      <x:c r="D2215" s="2" t="str">
        <x:v>200만</x:v>
      </x:c>
      <x:c r="E2215" s="14" t="n">
        <x:f>SUM(F2215:M2215)</x:f>
        <x:v>105</x:v>
      </x:c>
      <x:c r="F2215" s="14" t="n">
        <x:v>2</x:v>
      </x:c>
      <x:c r="G2215" s="14" t="n">
        <x:v>6</x:v>
      </x:c>
      <x:c r="H2215" s="14" t="n">
        <x:v>1</x:v>
      </x:c>
      <x:c r="I2215" s="14" t="n">
        <x:v>1</x:v>
      </x:c>
      <x:c r="J2215" s="14" t="n">
        <x:v>4</x:v>
      </x:c>
      <x:c r="K2215" s="14" t="n">
        <x:v>9</x:v>
      </x:c>
      <x:c r="L2215" s="14" t="n">
        <x:v>41</x:v>
      </x:c>
      <x:c r="M2215" s="14" t="n">
        <x:v>41</x:v>
      </x:c>
      <x:c r="N2215" s="15" t="n">
        <x:f>IF(E2215=0,"해당 없음",F2215/E2215)</x:f>
        <x:v>0.01904761904761905</x:v>
      </x:c>
      <x:c r="O2215" s="15" t="n">
        <x:f>IF(E2215=0,"해당 없음",G2215/E2215)</x:f>
        <x:v>0.05714285714285714</x:v>
      </x:c>
      <x:c r="P2215" s="15" t="n">
        <x:f>IF(E2215=0,"해당 없음",H2215/E2215)</x:f>
        <x:v>0.009523809523809525</x:v>
      </x:c>
      <x:c r="Q2215" s="15" t="n">
        <x:f>IF(E2215=0,"해당 없음",I2215/E2215)</x:f>
        <x:v>0.009523809523809525</x:v>
      </x:c>
      <x:c r="R2215" s="15" t="n">
        <x:f>IF(E2215=0,"해당 없음",J2215/E2215)</x:f>
        <x:v>0.0380952380952381</x:v>
      </x:c>
      <x:c r="S2215" s="15" t="n">
        <x:f>IF(E2215=0,"해당 없음",K2215/E2215)</x:f>
        <x:v>0.08571428571428572</x:v>
      </x:c>
      <x:c r="T2215" s="15" t="n">
        <x:f>IF(E2215=0,"해당 없음",L2215/E2215)</x:f>
        <x:v>0.3904761904761905</x:v>
      </x:c>
      <x:c r="U2215" s="15" t="n">
        <x:f>IF(E2215=0,"해당 없음",M2215/E2215)</x:f>
        <x:v>0.3904761904761905</x:v>
      </x:c>
      <x:c r="V2215" s="16" t="n">
        <x:f>E2215/5</x:f>
        <x:v>21</x:v>
      </x:c>
    </x:row>
    <x:row r="2216" ht="22" customHeight="1">
      <x:c r="A2216" s="2" t="n">
        <x:v>1106</x:v>
      </x:c>
      <x:c r="B2216" s="2" t="str">
        <x:v>RED</x:v>
      </x:c>
      <x:c r="C2216" s="2" t="str">
        <x:v>240만</x:v>
      </x:c>
      <x:c r="D2216" s="2" t="str">
        <x:v>200만</x:v>
      </x:c>
      <x:c r="E2216" s="14" t="n">
        <x:f>SUM(F2216:M2216)</x:f>
        <x:v>103</x:v>
      </x:c>
      <x:c r="F2216" s="14" t="n">
        <x:v>5</x:v>
      </x:c>
      <x:c r="G2216" s="14" t="n">
        <x:v>14</x:v>
      </x:c>
      <x:c r="H2216" s="14" t="n">
        <x:v>3</x:v>
      </x:c>
      <x:c r="I2216" s="14" t="n">
        <x:v>6</x:v>
      </x:c>
      <x:c r="J2216" s="14" t="n">
        <x:v>1</x:v>
      </x:c>
      <x:c r="K2216" s="14" t="n">
        <x:v>5</x:v>
      </x:c>
      <x:c r="L2216" s="14" t="n">
        <x:v>37</x:v>
      </x:c>
      <x:c r="M2216" s="14" t="n">
        <x:v>32</x:v>
      </x:c>
      <x:c r="N2216" s="15" t="n">
        <x:f>IF(E2216=0,"해당 없음",F2216/E2216)</x:f>
        <x:v>0.04854368932038835</x:v>
      </x:c>
      <x:c r="O2216" s="15" t="n">
        <x:f>IF(E2216=0,"해당 없음",G2216/E2216)</x:f>
        <x:v>0.13592233009708737</x:v>
      </x:c>
      <x:c r="P2216" s="15" t="n">
        <x:f>IF(E2216=0,"해당 없음",H2216/E2216)</x:f>
        <x:v>0.02912621359223301</x:v>
      </x:c>
      <x:c r="Q2216" s="15" t="n">
        <x:f>IF(E2216=0,"해당 없음",I2216/E2216)</x:f>
        <x:v>0.05825242718446602</x:v>
      </x:c>
      <x:c r="R2216" s="15" t="n">
        <x:f>IF(E2216=0,"해당 없음",J2216/E2216)</x:f>
        <x:v>0.009708737864077669</x:v>
      </x:c>
      <x:c r="S2216" s="15" t="n">
        <x:f>IF(E2216=0,"해당 없음",K2216/E2216)</x:f>
        <x:v>0.04854368932038835</x:v>
      </x:c>
      <x:c r="T2216" s="15" t="n">
        <x:f>IF(E2216=0,"해당 없음",L2216/E2216)</x:f>
        <x:v>0.3592233009708738</x:v>
      </x:c>
      <x:c r="U2216" s="15" t="n">
        <x:f>IF(E2216=0,"해당 없음",M2216/E2216)</x:f>
        <x:v>0.3106796116504854</x:v>
      </x:c>
      <x:c r="V2216" s="16" t="n">
        <x:f>E2216/5</x:f>
        <x:v>20.6</x:v>
      </x:c>
    </x:row>
    <x:row r="2217" ht="22" customHeight="1">
      <x:c r="A2217" s="2" t="n">
        <x:v>1106</x:v>
      </x:c>
      <x:c r="B2217" s="2" t="str">
        <x:v>NAVY</x:v>
      </x:c>
      <x:c r="C2217" s="2" t="str">
        <x:v>200만</x:v>
      </x:c>
      <x:c r="D2217" s="2" t="str">
        <x:v>240만</x:v>
      </x:c>
      <x:c r="E2217" s="14" t="n">
        <x:f>SUM(F2217:M2217)</x:f>
        <x:v>101</x:v>
      </x:c>
      <x:c r="F2217" s="14" t="n">
        <x:v>2</x:v>
      </x:c>
      <x:c r="G2217" s="14" t="n">
        <x:v>13</x:v>
      </x:c>
      <x:c r="H2217" s="14" t="n">
        <x:v>3</x:v>
      </x:c>
      <x:c r="I2217" s="14" t="n">
        <x:v>5</x:v>
      </x:c>
      <x:c r="J2217" s="14" t="n">
        <x:v>3</x:v>
      </x:c>
      <x:c r="K2217" s="14" t="n">
        <x:v>6</x:v>
      </x:c>
      <x:c r="L2217" s="14" t="n">
        <x:v>41</x:v>
      </x:c>
      <x:c r="M2217" s="14" t="n">
        <x:v>28</x:v>
      </x:c>
      <x:c r="N2217" s="15" t="n">
        <x:f>IF(E2217=0,"해당 없음",F2217/E2217)</x:f>
        <x:v>0.019801980198019802</x:v>
      </x:c>
      <x:c r="O2217" s="15" t="n">
        <x:f>IF(E2217=0,"해당 없음",G2217/E2217)</x:f>
        <x:v>0.12871287128712872</x:v>
      </x:c>
      <x:c r="P2217" s="15" t="n">
        <x:f>IF(E2217=0,"해당 없음",H2217/E2217)</x:f>
        <x:v>0.0297029702970297</x:v>
      </x:c>
      <x:c r="Q2217" s="15" t="n">
        <x:f>IF(E2217=0,"해당 없음",I2217/E2217)</x:f>
        <x:v>0.04950495049504951</x:v>
      </x:c>
      <x:c r="R2217" s="15" t="n">
        <x:f>IF(E2217=0,"해당 없음",J2217/E2217)</x:f>
        <x:v>0.0297029702970297</x:v>
      </x:c>
      <x:c r="S2217" s="15" t="n">
        <x:f>IF(E2217=0,"해당 없음",K2217/E2217)</x:f>
        <x:v>0.0594059405940594</x:v>
      </x:c>
      <x:c r="T2217" s="15" t="n">
        <x:f>IF(E2217=0,"해당 없음",L2217/E2217)</x:f>
        <x:v>0.40594059405940597</x:v>
      </x:c>
      <x:c r="U2217" s="15" t="n">
        <x:f>IF(E2217=0,"해당 없음",M2217/E2217)</x:f>
        <x:v>0.27722772277227725</x:v>
      </x:c>
      <x:c r="V2217" s="16" t="n">
        <x:f>E2217/5</x:f>
        <x:v>20.2</x:v>
      </x:c>
    </x:row>
    <x:row r="2218" ht="22" customHeight="1">
      <x:c r="A2218" s="2" t="n">
        <x:v>1107</x:v>
      </x:c>
      <x:c r="B2218" s="2" t="str">
        <x:v>RED</x:v>
      </x:c>
      <x:c r="C2218" s="2" t="str">
        <x:v>200만</x:v>
      </x:c>
      <x:c r="D2218" s="2" t="str">
        <x:v>240만</x:v>
      </x:c>
      <x:c r="E2218" s="14" t="n">
        <x:f>SUM(F2218:M2218)</x:f>
        <x:v>105</x:v>
      </x:c>
      <x:c r="F2218" s="14" t="n">
        <x:v>5</x:v>
      </x:c>
      <x:c r="G2218" s="14" t="n">
        <x:v>12</x:v>
      </x:c>
      <x:c r="H2218" s="14" t="n">
        <x:v>4</x:v>
      </x:c>
      <x:c r="I2218" s="14" t="n">
        <x:v>3</x:v>
      </x:c>
      <x:c r="J2218" s="14" t="n">
        <x:v>3</x:v>
      </x:c>
      <x:c r="K2218" s="14" t="n">
        <x:v>7</x:v>
      </x:c>
      <x:c r="L2218" s="14" t="n">
        <x:v>44</x:v>
      </x:c>
      <x:c r="M2218" s="14" t="n">
        <x:v>27</x:v>
      </x:c>
      <x:c r="N2218" s="15" t="n">
        <x:f>IF(E2218=0,"해당 없음",F2218/E2218)</x:f>
        <x:v>0.047619047619047616</x:v>
      </x:c>
      <x:c r="O2218" s="15" t="n">
        <x:f>IF(E2218=0,"해당 없음",G2218/E2218)</x:f>
        <x:v>0.11428571428571428</x:v>
      </x:c>
      <x:c r="P2218" s="15" t="n">
        <x:f>IF(E2218=0,"해당 없음",H2218/E2218)</x:f>
        <x:v>0.0380952380952381</x:v>
      </x:c>
      <x:c r="Q2218" s="15" t="n">
        <x:f>IF(E2218=0,"해당 없음",I2218/E2218)</x:f>
        <x:v>0.02857142857142857</x:v>
      </x:c>
      <x:c r="R2218" s="15" t="n">
        <x:f>IF(E2218=0,"해당 없음",J2218/E2218)</x:f>
        <x:v>0.02857142857142857</x:v>
      </x:c>
      <x:c r="S2218" s="15" t="n">
        <x:f>IF(E2218=0,"해당 없음",K2218/E2218)</x:f>
        <x:v>0.06666666666666667</x:v>
      </x:c>
      <x:c r="T2218" s="15" t="n">
        <x:f>IF(E2218=0,"해당 없음",L2218/E2218)</x:f>
        <x:v>0.41904761904761906</x:v>
      </x:c>
      <x:c r="U2218" s="15" t="n">
        <x:f>IF(E2218=0,"해당 없음",M2218/E2218)</x:f>
        <x:v>0.2571428571428571</x:v>
      </x:c>
      <x:c r="V2218" s="16" t="n">
        <x:f>E2218/5</x:f>
        <x:v>21</x:v>
      </x:c>
    </x:row>
    <x:row r="2219" ht="22" customHeight="1">
      <x:c r="A2219" s="2" t="n">
        <x:v>1107</x:v>
      </x:c>
      <x:c r="B2219" s="2" t="str">
        <x:v>NAVY</x:v>
      </x:c>
      <x:c r="C2219" s="2" t="str">
        <x:v>240만</x:v>
      </x:c>
      <x:c r="D2219" s="2" t="str">
        <x:v>200만</x:v>
      </x:c>
      <x:c r="E2219" s="14" t="n">
        <x:f>SUM(F2219:M2219)</x:f>
        <x:v>103</x:v>
      </x:c>
      <x:c r="F2219" s="14" t="n">
        <x:v>4</x:v>
      </x:c>
      <x:c r="G2219" s="14" t="n">
        <x:v>8</x:v>
      </x:c>
      <x:c r="H2219" s="14" t="n">
        <x:v>1</x:v>
      </x:c>
      <x:c r="I2219" s="14" t="n">
        <x:v>4</x:v>
      </x:c>
      <x:c r="J2219" s="14" t="n">
        <x:v>4</x:v>
      </x:c>
      <x:c r="K2219" s="14" t="n">
        <x:v>2</x:v>
      </x:c>
      <x:c r="L2219" s="14" t="n">
        <x:v>40</x:v>
      </x:c>
      <x:c r="M2219" s="14" t="n">
        <x:v>40</x:v>
      </x:c>
      <x:c r="N2219" s="15" t="n">
        <x:f>IF(E2219=0,"해당 없음",F2219/E2219)</x:f>
        <x:v>0.038834951456310676</x:v>
      </x:c>
      <x:c r="O2219" s="15" t="n">
        <x:f>IF(E2219=0,"해당 없음",G2219/E2219)</x:f>
        <x:v>0.07766990291262135</x:v>
      </x:c>
      <x:c r="P2219" s="15" t="n">
        <x:f>IF(E2219=0,"해당 없음",H2219/E2219)</x:f>
        <x:v>0.009708737864077669</x:v>
      </x:c>
      <x:c r="Q2219" s="15" t="n">
        <x:f>IF(E2219=0,"해당 없음",I2219/E2219)</x:f>
        <x:v>0.038834951456310676</x:v>
      </x:c>
      <x:c r="R2219" s="15" t="n">
        <x:f>IF(E2219=0,"해당 없음",J2219/E2219)</x:f>
        <x:v>0.038834951456310676</x:v>
      </x:c>
      <x:c r="S2219" s="15" t="n">
        <x:f>IF(E2219=0,"해당 없음",K2219/E2219)</x:f>
        <x:v>0.019417475728155338</x:v>
      </x:c>
      <x:c r="T2219" s="15" t="n">
        <x:f>IF(E2219=0,"해당 없음",L2219/E2219)</x:f>
        <x:v>0.3883495145631068</x:v>
      </x:c>
      <x:c r="U2219" s="15" t="n">
        <x:f>IF(E2219=0,"해당 없음",M2219/E2219)</x:f>
        <x:v>0.3883495145631068</x:v>
      </x:c>
      <x:c r="V2219" s="16" t="n">
        <x:f>E2219/5</x:f>
        <x:v>20.6</x:v>
      </x:c>
    </x:row>
    <x:row r="2220" ht="22" customHeight="1">
      <x:c r="A2220" s="2" t="n">
        <x:v>1108</x:v>
      </x:c>
      <x:c r="B2220" s="2" t="str">
        <x:v>RED</x:v>
      </x:c>
      <x:c r="C2220" s="2" t="str">
        <x:v>240만</x:v>
      </x:c>
      <x:c r="D2220" s="2" t="str">
        <x:v>200만</x:v>
      </x:c>
      <x:c r="E2220" s="14" t="n">
        <x:f>SUM(F2220:M2220)</x:f>
        <x:v>104</x:v>
      </x:c>
      <x:c r="F2220" s="14" t="n">
        <x:v>1</x:v>
      </x:c>
      <x:c r="G2220" s="14" t="n">
        <x:v>7</x:v>
      </x:c>
      <x:c r="H2220" s="14" t="n">
        <x:v>4</x:v>
      </x:c>
      <x:c r="I2220" s="14" t="n">
        <x:v>4</x:v>
      </x:c>
      <x:c r="J2220" s="14" t="n">
        <x:v>1</x:v>
      </x:c>
      <x:c r="K2220" s="14" t="n">
        <x:v>1</x:v>
      </x:c>
      <x:c r="L2220" s="14" t="n">
        <x:v>37</x:v>
      </x:c>
      <x:c r="M2220" s="14" t="n">
        <x:v>49</x:v>
      </x:c>
      <x:c r="N2220" s="15" t="n">
        <x:f>IF(E2220=0,"해당 없음",F2220/E2220)</x:f>
        <x:v>0.009615384615384616</x:v>
      </x:c>
      <x:c r="O2220" s="15" t="n">
        <x:f>IF(E2220=0,"해당 없음",G2220/E2220)</x:f>
        <x:v>0.0673076923076923</x:v>
      </x:c>
      <x:c r="P2220" s="15" t="n">
        <x:f>IF(E2220=0,"해당 없음",H2220/E2220)</x:f>
        <x:v>0.038461538461538464</x:v>
      </x:c>
      <x:c r="Q2220" s="15" t="n">
        <x:f>IF(E2220=0,"해당 없음",I2220/E2220)</x:f>
        <x:v>0.038461538461538464</x:v>
      </x:c>
      <x:c r="R2220" s="15" t="n">
        <x:f>IF(E2220=0,"해당 없음",J2220/E2220)</x:f>
        <x:v>0.009615384615384616</x:v>
      </x:c>
      <x:c r="S2220" s="15" t="n">
        <x:f>IF(E2220=0,"해당 없음",K2220/E2220)</x:f>
        <x:v>0.009615384615384616</x:v>
      </x:c>
      <x:c r="T2220" s="15" t="n">
        <x:f>IF(E2220=0,"해당 없음",L2220/E2220)</x:f>
        <x:v>0.3557692307692308</x:v>
      </x:c>
      <x:c r="U2220" s="15" t="n">
        <x:f>IF(E2220=0,"해당 없음",M2220/E2220)</x:f>
        <x:v>0.47115384615384615</x:v>
      </x:c>
      <x:c r="V2220" s="16" t="n">
        <x:f>E2220/5</x:f>
        <x:v>20.8</x:v>
      </x:c>
    </x:row>
    <x:row r="2221" ht="22" customHeight="1">
      <x:c r="A2221" s="2" t="n">
        <x:v>1108</x:v>
      </x:c>
      <x:c r="B2221" s="2" t="str">
        <x:v>NAVY</x:v>
      </x:c>
      <x:c r="C2221" s="2" t="str">
        <x:v>200만</x:v>
      </x:c>
      <x:c r="D2221" s="2" t="str">
        <x:v>240만</x:v>
      </x:c>
      <x:c r="E2221" s="14" t="n">
        <x:f>SUM(F2221:M2221)</x:f>
        <x:v>104</x:v>
      </x:c>
      <x:c r="F2221" s="14" t="n">
        <x:v>2</x:v>
      </x:c>
      <x:c r="G2221" s="14" t="n">
        <x:v>16</x:v>
      </x:c>
      <x:c r="H2221" s="14" t="n">
        <x:v>3</x:v>
      </x:c>
      <x:c r="I2221" s="14" t="n">
        <x:v>4</x:v>
      </x:c>
      <x:c r="J2221" s="14" t="n">
        <x:v>3</x:v>
      </x:c>
      <x:c r="K2221" s="14" t="n">
        <x:v>5</x:v>
      </x:c>
      <x:c r="L2221" s="14" t="n">
        <x:v>39</x:v>
      </x:c>
      <x:c r="M2221" s="14" t="n">
        <x:v>32</x:v>
      </x:c>
      <x:c r="N2221" s="15" t="n">
        <x:f>IF(E2221=0,"해당 없음",F2221/E2221)</x:f>
        <x:v>0.019230769230769232</x:v>
      </x:c>
      <x:c r="O2221" s="15" t="n">
        <x:f>IF(E2221=0,"해당 없음",G2221/E2221)</x:f>
        <x:v>0.15384615384615385</x:v>
      </x:c>
      <x:c r="P2221" s="15" t="n">
        <x:f>IF(E2221=0,"해당 없음",H2221/E2221)</x:f>
        <x:v>0.028846153846153848</x:v>
      </x:c>
      <x:c r="Q2221" s="15" t="n">
        <x:f>IF(E2221=0,"해당 없음",I2221/E2221)</x:f>
        <x:v>0.038461538461538464</x:v>
      </x:c>
      <x:c r="R2221" s="15" t="n">
        <x:f>IF(E2221=0,"해당 없음",J2221/E2221)</x:f>
        <x:v>0.028846153846153848</x:v>
      </x:c>
      <x:c r="S2221" s="15" t="n">
        <x:f>IF(E2221=0,"해당 없음",K2221/E2221)</x:f>
        <x:v>0.04807692307692308</x:v>
      </x:c>
      <x:c r="T2221" s="15" t="n">
        <x:f>IF(E2221=0,"해당 없음",L2221/E2221)</x:f>
        <x:v>0.375</x:v>
      </x:c>
      <x:c r="U2221" s="15" t="n">
        <x:f>IF(E2221=0,"해당 없음",M2221/E2221)</x:f>
        <x:v>0.3076923076923077</x:v>
      </x:c>
      <x:c r="V2221" s="16" t="n">
        <x:f>E2221/5</x:f>
        <x:v>20.8</x:v>
      </x:c>
    </x:row>
    <x:row r="2222" ht="22" customHeight="1">
      <x:c r="A2222" s="2" t="n">
        <x:v>1109</x:v>
      </x:c>
      <x:c r="B2222" s="2" t="str">
        <x:v>RED</x:v>
      </x:c>
      <x:c r="C2222" s="2" t="str">
        <x:v>200만</x:v>
      </x:c>
      <x:c r="D2222" s="2" t="str">
        <x:v>240만</x:v>
      </x:c>
      <x:c r="E2222" s="14" t="n">
        <x:f>SUM(F2222:M2222)</x:f>
        <x:v>101</x:v>
      </x:c>
      <x:c r="F2222" s="14" t="n">
        <x:v>5</x:v>
      </x:c>
      <x:c r="G2222" s="14" t="n">
        <x:v>13</x:v>
      </x:c>
      <x:c r="H2222" s="14" t="n">
        <x:v>2</x:v>
      </x:c>
      <x:c r="I2222" s="14" t="n">
        <x:v>4</x:v>
      </x:c>
      <x:c r="J2222" s="14" t="n">
        <x:v>0</x:v>
      </x:c>
      <x:c r="K2222" s="14" t="n">
        <x:v>5</x:v>
      </x:c>
      <x:c r="L2222" s="14" t="n">
        <x:v>32</x:v>
      </x:c>
      <x:c r="M2222" s="14" t="n">
        <x:v>40</x:v>
      </x:c>
      <x:c r="N2222" s="15" t="n">
        <x:f>IF(E2222=0,"해당 없음",F2222/E2222)</x:f>
        <x:v>0.04950495049504951</x:v>
      </x:c>
      <x:c r="O2222" s="15" t="n">
        <x:f>IF(E2222=0,"해당 없음",G2222/E2222)</x:f>
        <x:v>0.12871287128712872</x:v>
      </x:c>
      <x:c r="P2222" s="15" t="n">
        <x:f>IF(E2222=0,"해당 없음",H2222/E2222)</x:f>
        <x:v>0.019801980198019802</x:v>
      </x:c>
      <x:c r="Q2222" s="15" t="n">
        <x:f>IF(E2222=0,"해당 없음",I2222/E2222)</x:f>
        <x:v>0.039603960396039604</x:v>
      </x:c>
      <x:c r="R2222" s="15" t="n">
        <x:f>IF(E2222=0,"해당 없음",J2222/E2222)</x:f>
        <x:v>0</x:v>
      </x:c>
      <x:c r="S2222" s="15" t="n">
        <x:f>IF(E2222=0,"해당 없음",K2222/E2222)</x:f>
        <x:v>0.04950495049504951</x:v>
      </x:c>
      <x:c r="T2222" s="15" t="n">
        <x:f>IF(E2222=0,"해당 없음",L2222/E2222)</x:f>
        <x:v>0.31683168316831684</x:v>
      </x:c>
      <x:c r="U2222" s="15" t="n">
        <x:f>IF(E2222=0,"해당 없음",M2222/E2222)</x:f>
        <x:v>0.39603960396039606</x:v>
      </x:c>
      <x:c r="V2222" s="16" t="n">
        <x:f>E2222/5</x:f>
        <x:v>20.2</x:v>
      </x:c>
    </x:row>
    <x:row r="2223" ht="22" customHeight="1">
      <x:c r="A2223" s="2" t="n">
        <x:v>1109</x:v>
      </x:c>
      <x:c r="B2223" s="2" t="str">
        <x:v>NAVY</x:v>
      </x:c>
      <x:c r="C2223" s="2" t="str">
        <x:v>240만</x:v>
      </x:c>
      <x:c r="D2223" s="2" t="str">
        <x:v>200만</x:v>
      </x:c>
      <x:c r="E2223" s="14" t="n">
        <x:f>SUM(F2223:M2223)</x:f>
        <x:v>101</x:v>
      </x:c>
      <x:c r="F2223" s="14" t="n">
        <x:v>2</x:v>
      </x:c>
      <x:c r="G2223" s="14" t="n">
        <x:v>12</x:v>
      </x:c>
      <x:c r="H2223" s="14" t="n">
        <x:v>1</x:v>
      </x:c>
      <x:c r="I2223" s="14" t="n">
        <x:v>5</x:v>
      </x:c>
      <x:c r="J2223" s="14" t="n">
        <x:v>1</x:v>
      </x:c>
      <x:c r="K2223" s="14" t="n">
        <x:v>8</x:v>
      </x:c>
      <x:c r="L2223" s="14" t="n">
        <x:v>34</x:v>
      </x:c>
      <x:c r="M2223" s="14" t="n">
        <x:v>38</x:v>
      </x:c>
      <x:c r="N2223" s="15" t="n">
        <x:f>IF(E2223=0,"해당 없음",F2223/E2223)</x:f>
        <x:v>0.019801980198019802</x:v>
      </x:c>
      <x:c r="O2223" s="15" t="n">
        <x:f>IF(E2223=0,"해당 없음",G2223/E2223)</x:f>
        <x:v>0.1188118811881188</x:v>
      </x:c>
      <x:c r="P2223" s="15" t="n">
        <x:f>IF(E2223=0,"해당 없음",H2223/E2223)</x:f>
        <x:v>0.009900990099009901</x:v>
      </x:c>
      <x:c r="Q2223" s="15" t="n">
        <x:f>IF(E2223=0,"해당 없음",I2223/E2223)</x:f>
        <x:v>0.04950495049504951</x:v>
      </x:c>
      <x:c r="R2223" s="15" t="n">
        <x:f>IF(E2223=0,"해당 없음",J2223/E2223)</x:f>
        <x:v>0.009900990099009901</x:v>
      </x:c>
      <x:c r="S2223" s="15" t="n">
        <x:f>IF(E2223=0,"해당 없음",K2223/E2223)</x:f>
        <x:v>0.07920792079207921</x:v>
      </x:c>
      <x:c r="T2223" s="15" t="n">
        <x:f>IF(E2223=0,"해당 없음",L2223/E2223)</x:f>
        <x:v>0.33663366336633666</x:v>
      </x:c>
      <x:c r="U2223" s="15" t="n">
        <x:f>IF(E2223=0,"해당 없음",M2223/E2223)</x:f>
        <x:v>0.37623762376237624</x:v>
      </x:c>
      <x:c r="V2223" s="16" t="n">
        <x:f>E2223/5</x:f>
        <x:v>20.2</x:v>
      </x:c>
    </x:row>
    <x:row r="2224" ht="22" customHeight="1">
      <x:c r="A2224" s="2" t="n">
        <x:v>1110</x:v>
      </x:c>
      <x:c r="B2224" s="2" t="str">
        <x:v>RED</x:v>
      </x:c>
      <x:c r="C2224" s="2" t="str">
        <x:v>240만</x:v>
      </x:c>
      <x:c r="D2224" s="2" t="str">
        <x:v>200만</x:v>
      </x:c>
      <x:c r="E2224" s="14" t="n">
        <x:f>SUM(F2224:M2224)</x:f>
        <x:v>102</x:v>
      </x:c>
      <x:c r="F2224" s="14" t="n">
        <x:v>1</x:v>
      </x:c>
      <x:c r="G2224" s="14" t="n">
        <x:v>8</x:v>
      </x:c>
      <x:c r="H2224" s="14" t="n">
        <x:v>4</x:v>
      </x:c>
      <x:c r="I2224" s="14" t="n">
        <x:v>3</x:v>
      </x:c>
      <x:c r="J2224" s="14" t="n">
        <x:v>0</x:v>
      </x:c>
      <x:c r="K2224" s="14" t="n">
        <x:v>3</x:v>
      </x:c>
      <x:c r="L2224" s="14" t="n">
        <x:v>33</x:v>
      </x:c>
      <x:c r="M2224" s="14" t="n">
        <x:v>50</x:v>
      </x:c>
      <x:c r="N2224" s="15" t="n">
        <x:f>IF(E2224=0,"해당 없음",F2224/E2224)</x:f>
        <x:v>0.00980392156862745</x:v>
      </x:c>
      <x:c r="O2224" s="15" t="n">
        <x:f>IF(E2224=0,"해당 없음",G2224/E2224)</x:f>
        <x:v>0.0784313725490196</x:v>
      </x:c>
      <x:c r="P2224" s="15" t="n">
        <x:f>IF(E2224=0,"해당 없음",H2224/E2224)</x:f>
        <x:v>0.0392156862745098</x:v>
      </x:c>
      <x:c r="Q2224" s="15" t="n">
        <x:f>IF(E2224=0,"해당 없음",I2224/E2224)</x:f>
        <x:v>0.029411764705882353</x:v>
      </x:c>
      <x:c r="R2224" s="15" t="n">
        <x:f>IF(E2224=0,"해당 없음",J2224/E2224)</x:f>
        <x:v>0</x:v>
      </x:c>
      <x:c r="S2224" s="15" t="n">
        <x:f>IF(E2224=0,"해당 없음",K2224/E2224)</x:f>
        <x:v>0.029411764705882353</x:v>
      </x:c>
      <x:c r="T2224" s="15" t="n">
        <x:f>IF(E2224=0,"해당 없음",L2224/E2224)</x:f>
        <x:v>0.3235294117647059</x:v>
      </x:c>
      <x:c r="U2224" s="15" t="n">
        <x:f>IF(E2224=0,"해당 없음",M2224/E2224)</x:f>
        <x:v>0.49019607843137253</x:v>
      </x:c>
      <x:c r="V2224" s="16" t="n">
        <x:f>E2224/5</x:f>
        <x:v>20.4</x:v>
      </x:c>
    </x:row>
    <x:row r="2225" ht="22" customHeight="1">
      <x:c r="A2225" s="2" t="n">
        <x:v>1110</x:v>
      </x:c>
      <x:c r="B2225" s="2" t="str">
        <x:v>NAVY</x:v>
      </x:c>
      <x:c r="C2225" s="2" t="str">
        <x:v>200만</x:v>
      </x:c>
      <x:c r="D2225" s="2" t="str">
        <x:v>240만</x:v>
      </x:c>
      <x:c r="E2225" s="14" t="n">
        <x:f>SUM(F2225:M2225)</x:f>
        <x:v>102</x:v>
      </x:c>
      <x:c r="F2225" s="14" t="n">
        <x:v>5</x:v>
      </x:c>
      <x:c r="G2225" s="14" t="n">
        <x:v>8</x:v>
      </x:c>
      <x:c r="H2225" s="14" t="n">
        <x:v>5</x:v>
      </x:c>
      <x:c r="I2225" s="14" t="n">
        <x:v>5</x:v>
      </x:c>
      <x:c r="J2225" s="14" t="n">
        <x:v>3</x:v>
      </x:c>
      <x:c r="K2225" s="14" t="n">
        <x:v>9</x:v>
      </x:c>
      <x:c r="L2225" s="14" t="n">
        <x:v>35</x:v>
      </x:c>
      <x:c r="M2225" s="14" t="n">
        <x:v>32</x:v>
      </x:c>
      <x:c r="N2225" s="15" t="n">
        <x:f>IF(E2225=0,"해당 없음",F2225/E2225)</x:f>
        <x:v>0.049019607843137254</x:v>
      </x:c>
      <x:c r="O2225" s="15" t="n">
        <x:f>IF(E2225=0,"해당 없음",G2225/E2225)</x:f>
        <x:v>0.0784313725490196</x:v>
      </x:c>
      <x:c r="P2225" s="15" t="n">
        <x:f>IF(E2225=0,"해당 없음",H2225/E2225)</x:f>
        <x:v>0.049019607843137254</x:v>
      </x:c>
      <x:c r="Q2225" s="15" t="n">
        <x:f>IF(E2225=0,"해당 없음",I2225/E2225)</x:f>
        <x:v>0.049019607843137254</x:v>
      </x:c>
      <x:c r="R2225" s="15" t="n">
        <x:f>IF(E2225=0,"해당 없음",J2225/E2225)</x:f>
        <x:v>0.029411764705882353</x:v>
      </x:c>
      <x:c r="S2225" s="15" t="n">
        <x:f>IF(E2225=0,"해당 없음",K2225/E2225)</x:f>
        <x:v>0.08823529411764706</x:v>
      </x:c>
      <x:c r="T2225" s="15" t="n">
        <x:f>IF(E2225=0,"해당 없음",L2225/E2225)</x:f>
        <x:v>0.3431372549019608</x:v>
      </x:c>
      <x:c r="U2225" s="15" t="n">
        <x:f>IF(E2225=0,"해당 없음",M2225/E2225)</x:f>
        <x:v>0.3137254901960784</x:v>
      </x:c>
      <x:c r="V2225" s="16" t="n">
        <x:f>E2225/5</x:f>
        <x:v>20.4</x:v>
      </x:c>
    </x:row>
    <x:row r="2226" ht="22" customHeight="1">
      <x:c r="A2226" s="2" t="n">
        <x:v>1111</x:v>
      </x:c>
      <x:c r="B2226" s="2" t="str">
        <x:v>RED</x:v>
      </x:c>
      <x:c r="C2226" s="2" t="str">
        <x:v>200만</x:v>
      </x:c>
      <x:c r="D2226" s="2" t="str">
        <x:v>240만</x:v>
      </x:c>
      <x:c r="E2226" s="14" t="n">
        <x:f>SUM(F2226:M2226)</x:f>
        <x:v>103</x:v>
      </x:c>
      <x:c r="F2226" s="14" t="n">
        <x:v>6</x:v>
      </x:c>
      <x:c r="G2226" s="14" t="n">
        <x:v>19</x:v>
      </x:c>
      <x:c r="H2226" s="14" t="n">
        <x:v>1</x:v>
      </x:c>
      <x:c r="I2226" s="14" t="n">
        <x:v>4</x:v>
      </x:c>
      <x:c r="J2226" s="14" t="n">
        <x:v>6</x:v>
      </x:c>
      <x:c r="K2226" s="14" t="n">
        <x:v>5</x:v>
      </x:c>
      <x:c r="L2226" s="14" t="n">
        <x:v>35</x:v>
      </x:c>
      <x:c r="M2226" s="14" t="n">
        <x:v>27</x:v>
      </x:c>
      <x:c r="N2226" s="15" t="n">
        <x:f>IF(E2226=0,"해당 없음",F2226/E2226)</x:f>
        <x:v>0.05825242718446602</x:v>
      </x:c>
      <x:c r="O2226" s="15" t="n">
        <x:f>IF(E2226=0,"해당 없음",G2226/E2226)</x:f>
        <x:v>0.18446601941747573</x:v>
      </x:c>
      <x:c r="P2226" s="15" t="n">
        <x:f>IF(E2226=0,"해당 없음",H2226/E2226)</x:f>
        <x:v>0.009708737864077669</x:v>
      </x:c>
      <x:c r="Q2226" s="15" t="n">
        <x:f>IF(E2226=0,"해당 없음",I2226/E2226)</x:f>
        <x:v>0.038834951456310676</x:v>
      </x:c>
      <x:c r="R2226" s="15" t="n">
        <x:f>IF(E2226=0,"해당 없음",J2226/E2226)</x:f>
        <x:v>0.05825242718446602</x:v>
      </x:c>
      <x:c r="S2226" s="15" t="n">
        <x:f>IF(E2226=0,"해당 없음",K2226/E2226)</x:f>
        <x:v>0.04854368932038835</x:v>
      </x:c>
      <x:c r="T2226" s="15" t="n">
        <x:f>IF(E2226=0,"해당 없음",L2226/E2226)</x:f>
        <x:v>0.33980582524271846</x:v>
      </x:c>
      <x:c r="U2226" s="15" t="n">
        <x:f>IF(E2226=0,"해당 없음",M2226/E2226)</x:f>
        <x:v>0.2621359223300971</x:v>
      </x:c>
      <x:c r="V2226" s="16" t="n">
        <x:f>E2226/5</x:f>
        <x:v>20.6</x:v>
      </x:c>
    </x:row>
    <x:row r="2227" ht="22" customHeight="1">
      <x:c r="A2227" s="2" t="n">
        <x:v>1111</x:v>
      </x:c>
      <x:c r="B2227" s="2" t="str">
        <x:v>NAVY</x:v>
      </x:c>
      <x:c r="C2227" s="2" t="str">
        <x:v>240만</x:v>
      </x:c>
      <x:c r="D2227" s="2" t="str">
        <x:v>200만</x:v>
      </x:c>
      <x:c r="E2227" s="14" t="n">
        <x:f>SUM(F2227:M2227)</x:f>
        <x:v>104</x:v>
      </x:c>
      <x:c r="F2227" s="14" t="n">
        <x:v>0</x:v>
      </x:c>
      <x:c r="G2227" s="14" t="n">
        <x:v>15</x:v>
      </x:c>
      <x:c r="H2227" s="14" t="n">
        <x:v>3</x:v>
      </x:c>
      <x:c r="I2227" s="14" t="n">
        <x:v>5</x:v>
      </x:c>
      <x:c r="J2227" s="14" t="n">
        <x:v>1</x:v>
      </x:c>
      <x:c r="K2227" s="14" t="n">
        <x:v>10</x:v>
      </x:c>
      <x:c r="L2227" s="14" t="n">
        <x:v>39</x:v>
      </x:c>
      <x:c r="M2227" s="14" t="n">
        <x:v>31</x:v>
      </x:c>
      <x:c r="N2227" s="15" t="n">
        <x:f>IF(E2227=0,"해당 없음",F2227/E2227)</x:f>
        <x:v>0</x:v>
      </x:c>
      <x:c r="O2227" s="15" t="n">
        <x:f>IF(E2227=0,"해당 없음",G2227/E2227)</x:f>
        <x:v>0.14423076923076922</x:v>
      </x:c>
      <x:c r="P2227" s="15" t="n">
        <x:f>IF(E2227=0,"해당 없음",H2227/E2227)</x:f>
        <x:v>0.028846153846153848</x:v>
      </x:c>
      <x:c r="Q2227" s="15" t="n">
        <x:f>IF(E2227=0,"해당 없음",I2227/E2227)</x:f>
        <x:v>0.04807692307692308</x:v>
      </x:c>
      <x:c r="R2227" s="15" t="n">
        <x:f>IF(E2227=0,"해당 없음",J2227/E2227)</x:f>
        <x:v>0.009615384615384616</x:v>
      </x:c>
      <x:c r="S2227" s="15" t="n">
        <x:f>IF(E2227=0,"해당 없음",K2227/E2227)</x:f>
        <x:v>0.09615384615384616</x:v>
      </x:c>
      <x:c r="T2227" s="15" t="n">
        <x:f>IF(E2227=0,"해당 없음",L2227/E2227)</x:f>
        <x:v>0.375</x:v>
      </x:c>
      <x:c r="U2227" s="15" t="n">
        <x:f>IF(E2227=0,"해당 없음",M2227/E2227)</x:f>
        <x:v>0.2980769230769231</x:v>
      </x:c>
      <x:c r="V2227" s="16" t="n">
        <x:f>E2227/5</x:f>
        <x:v>20.8</x:v>
      </x:c>
    </x:row>
    <x:row r="2228" ht="22" customHeight="1">
      <x:c r="A2228" s="2" t="n">
        <x:v>1112</x:v>
      </x:c>
      <x:c r="B2228" s="2" t="str">
        <x:v>RED</x:v>
      </x:c>
      <x:c r="C2228" s="2" t="str">
        <x:v>240만</x:v>
      </x:c>
      <x:c r="D2228" s="2" t="str">
        <x:v>200만</x:v>
      </x:c>
      <x:c r="E2228" s="14" t="n">
        <x:f>SUM(F2228:M2228)</x:f>
        <x:v>103</x:v>
      </x:c>
      <x:c r="F2228" s="14" t="n">
        <x:v>0</x:v>
      </x:c>
      <x:c r="G2228" s="14" t="n">
        <x:v>6</x:v>
      </x:c>
      <x:c r="H2228" s="14" t="n">
        <x:v>4</x:v>
      </x:c>
      <x:c r="I2228" s="14" t="n">
        <x:v>6</x:v>
      </x:c>
      <x:c r="J2228" s="14" t="n">
        <x:v>3</x:v>
      </x:c>
      <x:c r="K2228" s="14" t="n">
        <x:v>1</x:v>
      </x:c>
      <x:c r="L2228" s="14" t="n">
        <x:v>46</x:v>
      </x:c>
      <x:c r="M2228" s="14" t="n">
        <x:v>37</x:v>
      </x:c>
      <x:c r="N2228" s="15" t="n">
        <x:f>IF(E2228=0,"해당 없음",F2228/E2228)</x:f>
        <x:v>0</x:v>
      </x:c>
      <x:c r="O2228" s="15" t="n">
        <x:f>IF(E2228=0,"해당 없음",G2228/E2228)</x:f>
        <x:v>0.05825242718446602</x:v>
      </x:c>
      <x:c r="P2228" s="15" t="n">
        <x:f>IF(E2228=0,"해당 없음",H2228/E2228)</x:f>
        <x:v>0.038834951456310676</x:v>
      </x:c>
      <x:c r="Q2228" s="15" t="n">
        <x:f>IF(E2228=0,"해당 없음",I2228/E2228)</x:f>
        <x:v>0.05825242718446602</x:v>
      </x:c>
      <x:c r="R2228" s="15" t="n">
        <x:f>IF(E2228=0,"해당 없음",J2228/E2228)</x:f>
        <x:v>0.02912621359223301</x:v>
      </x:c>
      <x:c r="S2228" s="15" t="n">
        <x:f>IF(E2228=0,"해당 없음",K2228/E2228)</x:f>
        <x:v>0.009708737864077669</x:v>
      </x:c>
      <x:c r="T2228" s="15" t="n">
        <x:f>IF(E2228=0,"해당 없음",L2228/E2228)</x:f>
        <x:v>0.44660194174757284</x:v>
      </x:c>
      <x:c r="U2228" s="15" t="n">
        <x:f>IF(E2228=0,"해당 없음",M2228/E2228)</x:f>
        <x:v>0.3592233009708738</x:v>
      </x:c>
      <x:c r="V2228" s="16" t="n">
        <x:f>E2228/5</x:f>
        <x:v>20.6</x:v>
      </x:c>
    </x:row>
    <x:row r="2229" ht="22" customHeight="1">
      <x:c r="A2229" s="2" t="n">
        <x:v>1112</x:v>
      </x:c>
      <x:c r="B2229" s="2" t="str">
        <x:v>NAVY</x:v>
      </x:c>
      <x:c r="C2229" s="2" t="str">
        <x:v>200만</x:v>
      </x:c>
      <x:c r="D2229" s="2" t="str">
        <x:v>240만</x:v>
      </x:c>
      <x:c r="E2229" s="14" t="n">
        <x:f>SUM(F2229:M2229)</x:f>
        <x:v>105</x:v>
      </x:c>
      <x:c r="F2229" s="14" t="n">
        <x:v>2</x:v>
      </x:c>
      <x:c r="G2229" s="14" t="n">
        <x:v>16</x:v>
      </x:c>
      <x:c r="H2229" s="14" t="n">
        <x:v>6</x:v>
      </x:c>
      <x:c r="I2229" s="14" t="n">
        <x:v>1</x:v>
      </x:c>
      <x:c r="J2229" s="14" t="n">
        <x:v>6</x:v>
      </x:c>
      <x:c r="K2229" s="14" t="n">
        <x:v>2</x:v>
      </x:c>
      <x:c r="L2229" s="14" t="n">
        <x:v>40</x:v>
      </x:c>
      <x:c r="M2229" s="14" t="n">
        <x:v>32</x:v>
      </x:c>
      <x:c r="N2229" s="15" t="n">
        <x:f>IF(E2229=0,"해당 없음",F2229/E2229)</x:f>
        <x:v>0.01904761904761905</x:v>
      </x:c>
      <x:c r="O2229" s="15" t="n">
        <x:f>IF(E2229=0,"해당 없음",G2229/E2229)</x:f>
        <x:v>0.1523809523809524</x:v>
      </x:c>
      <x:c r="P2229" s="15" t="n">
        <x:f>IF(E2229=0,"해당 없음",H2229/E2229)</x:f>
        <x:v>0.05714285714285714</x:v>
      </x:c>
      <x:c r="Q2229" s="15" t="n">
        <x:f>IF(E2229=0,"해당 없음",I2229/E2229)</x:f>
        <x:v>0.009523809523809525</x:v>
      </x:c>
      <x:c r="R2229" s="15" t="n">
        <x:f>IF(E2229=0,"해당 없음",J2229/E2229)</x:f>
        <x:v>0.05714285714285714</x:v>
      </x:c>
      <x:c r="S2229" s="15" t="n">
        <x:f>IF(E2229=0,"해당 없음",K2229/E2229)</x:f>
        <x:v>0.01904761904761905</x:v>
      </x:c>
      <x:c r="T2229" s="15" t="n">
        <x:f>IF(E2229=0,"해당 없음",L2229/E2229)</x:f>
        <x:v>0.38095238095238093</x:v>
      </x:c>
      <x:c r="U2229" s="15" t="n">
        <x:f>IF(E2229=0,"해당 없음",M2229/E2229)</x:f>
        <x:v>0.3047619047619048</x:v>
      </x:c>
      <x:c r="V2229" s="16" t="n">
        <x:f>E2229/5</x:f>
        <x:v>21</x:v>
      </x:c>
    </x:row>
    <x:row r="2230" ht="22" customHeight="1">
      <x:c r="A2230" s="2" t="n">
        <x:v>1113</x:v>
      </x:c>
      <x:c r="B2230" s="2" t="str">
        <x:v>RED</x:v>
      </x:c>
      <x:c r="C2230" s="2" t="str">
        <x:v>200만</x:v>
      </x:c>
      <x:c r="D2230" s="2" t="str">
        <x:v>240만</x:v>
      </x:c>
      <x:c r="E2230" s="14" t="n">
        <x:f>SUM(F2230:M2230)</x:f>
        <x:v>104</x:v>
      </x:c>
      <x:c r="F2230" s="14" t="n">
        <x:v>2</x:v>
      </x:c>
      <x:c r="G2230" s="14" t="n">
        <x:v>16</x:v>
      </x:c>
      <x:c r="H2230" s="14" t="n">
        <x:v>4</x:v>
      </x:c>
      <x:c r="I2230" s="14" t="n">
        <x:v>3</x:v>
      </x:c>
      <x:c r="J2230" s="14" t="n">
        <x:v>5</x:v>
      </x:c>
      <x:c r="K2230" s="14" t="n">
        <x:v>3</x:v>
      </x:c>
      <x:c r="L2230" s="14" t="n">
        <x:v>33</x:v>
      </x:c>
      <x:c r="M2230" s="14" t="n">
        <x:v>38</x:v>
      </x:c>
      <x:c r="N2230" s="15" t="n">
        <x:f>IF(E2230=0,"해당 없음",F2230/E2230)</x:f>
        <x:v>0.019230769230769232</x:v>
      </x:c>
      <x:c r="O2230" s="15" t="n">
        <x:f>IF(E2230=0,"해당 없음",G2230/E2230)</x:f>
        <x:v>0.15384615384615385</x:v>
      </x:c>
      <x:c r="P2230" s="15" t="n">
        <x:f>IF(E2230=0,"해당 없음",H2230/E2230)</x:f>
        <x:v>0.038461538461538464</x:v>
      </x:c>
      <x:c r="Q2230" s="15" t="n">
        <x:f>IF(E2230=0,"해당 없음",I2230/E2230)</x:f>
        <x:v>0.028846153846153848</x:v>
      </x:c>
      <x:c r="R2230" s="15" t="n">
        <x:f>IF(E2230=0,"해당 없음",J2230/E2230)</x:f>
        <x:v>0.04807692307692308</x:v>
      </x:c>
      <x:c r="S2230" s="15" t="n">
        <x:f>IF(E2230=0,"해당 없음",K2230/E2230)</x:f>
        <x:v>0.028846153846153848</x:v>
      </x:c>
      <x:c r="T2230" s="15" t="n">
        <x:f>IF(E2230=0,"해당 없음",L2230/E2230)</x:f>
        <x:v>0.3173076923076923</x:v>
      </x:c>
      <x:c r="U2230" s="15" t="n">
        <x:f>IF(E2230=0,"해당 없음",M2230/E2230)</x:f>
        <x:v>0.36538461538461536</x:v>
      </x:c>
      <x:c r="V2230" s="16" t="n">
        <x:f>E2230/5</x:f>
        <x:v>20.8</x:v>
      </x:c>
    </x:row>
    <x:row r="2231" ht="22" customHeight="1">
      <x:c r="A2231" s="2" t="n">
        <x:v>1113</x:v>
      </x:c>
      <x:c r="B2231" s="2" t="str">
        <x:v>NAVY</x:v>
      </x:c>
      <x:c r="C2231" s="2" t="str">
        <x:v>240만</x:v>
      </x:c>
      <x:c r="D2231" s="2" t="str">
        <x:v>200만</x:v>
      </x:c>
      <x:c r="E2231" s="14" t="n">
        <x:f>SUM(F2231:M2231)</x:f>
        <x:v>103</x:v>
      </x:c>
      <x:c r="F2231" s="14" t="n">
        <x:v>0</x:v>
      </x:c>
      <x:c r="G2231" s="14" t="n">
        <x:v>9</x:v>
      </x:c>
      <x:c r="H2231" s="14" t="n">
        <x:v>2</x:v>
      </x:c>
      <x:c r="I2231" s="14" t="n">
        <x:v>2</x:v>
      </x:c>
      <x:c r="J2231" s="14" t="n">
        <x:v>4</x:v>
      </x:c>
      <x:c r="K2231" s="14" t="n">
        <x:v>6</x:v>
      </x:c>
      <x:c r="L2231" s="14" t="n">
        <x:v>38</x:v>
      </x:c>
      <x:c r="M2231" s="14" t="n">
        <x:v>42</x:v>
      </x:c>
      <x:c r="N2231" s="15" t="n">
        <x:f>IF(E2231=0,"해당 없음",F2231/E2231)</x:f>
        <x:v>0</x:v>
      </x:c>
      <x:c r="O2231" s="15" t="n">
        <x:f>IF(E2231=0,"해당 없음",G2231/E2231)</x:f>
        <x:v>0.08737864077669903</x:v>
      </x:c>
      <x:c r="P2231" s="15" t="n">
        <x:f>IF(E2231=0,"해당 없음",H2231/E2231)</x:f>
        <x:v>0.019417475728155338</x:v>
      </x:c>
      <x:c r="Q2231" s="15" t="n">
        <x:f>IF(E2231=0,"해당 없음",I2231/E2231)</x:f>
        <x:v>0.019417475728155338</x:v>
      </x:c>
      <x:c r="R2231" s="15" t="n">
        <x:f>IF(E2231=0,"해당 없음",J2231/E2231)</x:f>
        <x:v>0.038834951456310676</x:v>
      </x:c>
      <x:c r="S2231" s="15" t="n">
        <x:f>IF(E2231=0,"해당 없음",K2231/E2231)</x:f>
        <x:v>0.05825242718446602</x:v>
      </x:c>
      <x:c r="T2231" s="15" t="n">
        <x:f>IF(E2231=0,"해당 없음",L2231/E2231)</x:f>
        <x:v>0.36893203883495146</x:v>
      </x:c>
      <x:c r="U2231" s="15" t="n">
        <x:f>IF(E2231=0,"해당 없음",M2231/E2231)</x:f>
        <x:v>0.4077669902912621</x:v>
      </x:c>
      <x:c r="V2231" s="16" t="n">
        <x:f>E2231/5</x:f>
        <x:v>20.6</x:v>
      </x:c>
    </x:row>
    <x:row r="2232" ht="22" customHeight="1">
      <x:c r="A2232" s="2" t="n">
        <x:v>1114</x:v>
      </x:c>
      <x:c r="B2232" s="2" t="str">
        <x:v>RED</x:v>
      </x:c>
      <x:c r="C2232" s="2" t="str">
        <x:v>240만</x:v>
      </x:c>
      <x:c r="D2232" s="2" t="str">
        <x:v>200만</x:v>
      </x:c>
      <x:c r="E2232" s="14" t="n">
        <x:f>SUM(F2232:M2232)</x:f>
        <x:v>103</x:v>
      </x:c>
      <x:c r="F2232" s="14" t="n">
        <x:v>4</x:v>
      </x:c>
      <x:c r="G2232" s="14" t="n">
        <x:v>14</x:v>
      </x:c>
      <x:c r="H2232" s="14" t="n">
        <x:v>3</x:v>
      </x:c>
      <x:c r="I2232" s="14" t="n">
        <x:v>6</x:v>
      </x:c>
      <x:c r="J2232" s="14" t="n">
        <x:v>0</x:v>
      </x:c>
      <x:c r="K2232" s="14" t="n">
        <x:v>3</x:v>
      </x:c>
      <x:c r="L2232" s="14" t="n">
        <x:v>40</x:v>
      </x:c>
      <x:c r="M2232" s="14" t="n">
        <x:v>33</x:v>
      </x:c>
      <x:c r="N2232" s="15" t="n">
        <x:f>IF(E2232=0,"해당 없음",F2232/E2232)</x:f>
        <x:v>0.038834951456310676</x:v>
      </x:c>
      <x:c r="O2232" s="15" t="n">
        <x:f>IF(E2232=0,"해당 없음",G2232/E2232)</x:f>
        <x:v>0.13592233009708737</x:v>
      </x:c>
      <x:c r="P2232" s="15" t="n">
        <x:f>IF(E2232=0,"해당 없음",H2232/E2232)</x:f>
        <x:v>0.02912621359223301</x:v>
      </x:c>
      <x:c r="Q2232" s="15" t="n">
        <x:f>IF(E2232=0,"해당 없음",I2232/E2232)</x:f>
        <x:v>0.05825242718446602</x:v>
      </x:c>
      <x:c r="R2232" s="15" t="n">
        <x:f>IF(E2232=0,"해당 없음",J2232/E2232)</x:f>
        <x:v>0</x:v>
      </x:c>
      <x:c r="S2232" s="15" t="n">
        <x:f>IF(E2232=0,"해당 없음",K2232/E2232)</x:f>
        <x:v>0.02912621359223301</x:v>
      </x:c>
      <x:c r="T2232" s="15" t="n">
        <x:f>IF(E2232=0,"해당 없음",L2232/E2232)</x:f>
        <x:v>0.3883495145631068</x:v>
      </x:c>
      <x:c r="U2232" s="15" t="n">
        <x:f>IF(E2232=0,"해당 없음",M2232/E2232)</x:f>
        <x:v>0.32038834951456313</x:v>
      </x:c>
      <x:c r="V2232" s="16" t="n">
        <x:f>E2232/5</x:f>
        <x:v>20.6</x:v>
      </x:c>
    </x:row>
    <x:row r="2233" ht="22" customHeight="1">
      <x:c r="A2233" s="2" t="n">
        <x:v>1114</x:v>
      </x:c>
      <x:c r="B2233" s="2" t="str">
        <x:v>NAVY</x:v>
      </x:c>
      <x:c r="C2233" s="2" t="str">
        <x:v>200만</x:v>
      </x:c>
      <x:c r="D2233" s="2" t="str">
        <x:v>240만</x:v>
      </x:c>
      <x:c r="E2233" s="14" t="n">
        <x:f>SUM(F2233:M2233)</x:f>
        <x:v>103</x:v>
      </x:c>
      <x:c r="F2233" s="14" t="n">
        <x:v>3</x:v>
      </x:c>
      <x:c r="G2233" s="14" t="n">
        <x:v>15</x:v>
      </x:c>
      <x:c r="H2233" s="14" t="n">
        <x:v>5</x:v>
      </x:c>
      <x:c r="I2233" s="14" t="n">
        <x:v>4</x:v>
      </x:c>
      <x:c r="J2233" s="14" t="n">
        <x:v>5</x:v>
      </x:c>
      <x:c r="K2233" s="14" t="n">
        <x:v>7</x:v>
      </x:c>
      <x:c r="L2233" s="14" t="n">
        <x:v>31</x:v>
      </x:c>
      <x:c r="M2233" s="14" t="n">
        <x:v>33</x:v>
      </x:c>
      <x:c r="N2233" s="15" t="n">
        <x:f>IF(E2233=0,"해당 없음",F2233/E2233)</x:f>
        <x:v>0.02912621359223301</x:v>
      </x:c>
      <x:c r="O2233" s="15" t="n">
        <x:f>IF(E2233=0,"해당 없음",G2233/E2233)</x:f>
        <x:v>0.14563106796116504</x:v>
      </x:c>
      <x:c r="P2233" s="15" t="n">
        <x:f>IF(E2233=0,"해당 없음",H2233/E2233)</x:f>
        <x:v>0.04854368932038835</x:v>
      </x:c>
      <x:c r="Q2233" s="15" t="n">
        <x:f>IF(E2233=0,"해당 없음",I2233/E2233)</x:f>
        <x:v>0.038834951456310676</x:v>
      </x:c>
      <x:c r="R2233" s="15" t="n">
        <x:f>IF(E2233=0,"해당 없음",J2233/E2233)</x:f>
        <x:v>0.04854368932038835</x:v>
      </x:c>
      <x:c r="S2233" s="15" t="n">
        <x:f>IF(E2233=0,"해당 없음",K2233/E2233)</x:f>
        <x:v>0.06796116504854369</x:v>
      </x:c>
      <x:c r="T2233" s="15" t="n">
        <x:f>IF(E2233=0,"해당 없음",L2233/E2233)</x:f>
        <x:v>0.30097087378640774</x:v>
      </x:c>
      <x:c r="U2233" s="15" t="n">
        <x:f>IF(E2233=0,"해당 없음",M2233/E2233)</x:f>
        <x:v>0.32038834951456313</x:v>
      </x:c>
      <x:c r="V2233" s="16" t="n">
        <x:f>E2233/5</x:f>
        <x:v>20.6</x:v>
      </x:c>
    </x:row>
    <x:row r="2234" ht="22" customHeight="1">
      <x:c r="A2234" s="2" t="n">
        <x:v>1115</x:v>
      </x:c>
      <x:c r="B2234" s="2" t="str">
        <x:v>RED</x:v>
      </x:c>
      <x:c r="C2234" s="2" t="str">
        <x:v>200만</x:v>
      </x:c>
      <x:c r="D2234" s="2" t="str">
        <x:v>240만</x:v>
      </x:c>
      <x:c r="E2234" s="14" t="n">
        <x:f>SUM(F2234:M2234)</x:f>
        <x:v>106</x:v>
      </x:c>
      <x:c r="F2234" s="14" t="n">
        <x:v>5</x:v>
      </x:c>
      <x:c r="G2234" s="14" t="n">
        <x:v>13</x:v>
      </x:c>
      <x:c r="H2234" s="14" t="n">
        <x:v>7</x:v>
      </x:c>
      <x:c r="I2234" s="14" t="n">
        <x:v>2</x:v>
      </x:c>
      <x:c r="J2234" s="14" t="n">
        <x:v>4</x:v>
      </x:c>
      <x:c r="K2234" s="14" t="n">
        <x:v>3</x:v>
      </x:c>
      <x:c r="L2234" s="14" t="n">
        <x:v>34</x:v>
      </x:c>
      <x:c r="M2234" s="14" t="n">
        <x:v>38</x:v>
      </x:c>
      <x:c r="N2234" s="15" t="n">
        <x:f>IF(E2234=0,"해당 없음",F2234/E2234)</x:f>
        <x:v>0.04716981132075472</x:v>
      </x:c>
      <x:c r="O2234" s="15" t="n">
        <x:f>IF(E2234=0,"해당 없음",G2234/E2234)</x:f>
        <x:v>0.12264150943396226</x:v>
      </x:c>
      <x:c r="P2234" s="15" t="n">
        <x:f>IF(E2234=0,"해당 없음",H2234/E2234)</x:f>
        <x:v>0.0660377358490566</x:v>
      </x:c>
      <x:c r="Q2234" s="15" t="n">
        <x:f>IF(E2234=0,"해당 없음",I2234/E2234)</x:f>
        <x:v>0.018867924528301886</x:v>
      </x:c>
      <x:c r="R2234" s="15" t="n">
        <x:f>IF(E2234=0,"해당 없음",J2234/E2234)</x:f>
        <x:v>0.03773584905660377</x:v>
      </x:c>
      <x:c r="S2234" s="15" t="n">
        <x:f>IF(E2234=0,"해당 없음",K2234/E2234)</x:f>
        <x:v>0.02830188679245283</x:v>
      </x:c>
      <x:c r="T2234" s="15" t="n">
        <x:f>IF(E2234=0,"해당 없음",L2234/E2234)</x:f>
        <x:v>0.32075471698113206</x:v>
      </x:c>
      <x:c r="U2234" s="15" t="n">
        <x:f>IF(E2234=0,"해당 없음",M2234/E2234)</x:f>
        <x:v>0.3584905660377358</x:v>
      </x:c>
      <x:c r="V2234" s="16" t="n">
        <x:f>E2234/5</x:f>
        <x:v>21.2</x:v>
      </x:c>
    </x:row>
    <x:row r="2235" ht="22" customHeight="1">
      <x:c r="A2235" s="2" t="n">
        <x:v>1115</x:v>
      </x:c>
      <x:c r="B2235" s="2" t="str">
        <x:v>NAVY</x:v>
      </x:c>
      <x:c r="C2235" s="2" t="str">
        <x:v>240만</x:v>
      </x:c>
      <x:c r="D2235" s="2" t="str">
        <x:v>200만</x:v>
      </x:c>
      <x:c r="E2235" s="14" t="n">
        <x:f>SUM(F2235:M2235)</x:f>
        <x:v>105</x:v>
      </x:c>
      <x:c r="F2235" s="14" t="n">
        <x:v>3</x:v>
      </x:c>
      <x:c r="G2235" s="14" t="n">
        <x:v>10</x:v>
      </x:c>
      <x:c r="H2235" s="14" t="n">
        <x:v>3</x:v>
      </x:c>
      <x:c r="I2235" s="14" t="n">
        <x:v>9</x:v>
      </x:c>
      <x:c r="J2235" s="14" t="n">
        <x:v>3</x:v>
      </x:c>
      <x:c r="K2235" s="14" t="n">
        <x:v>4</x:v>
      </x:c>
      <x:c r="L2235" s="14" t="n">
        <x:v>40</x:v>
      </x:c>
      <x:c r="M2235" s="14" t="n">
        <x:v>33</x:v>
      </x:c>
      <x:c r="N2235" s="15" t="n">
        <x:f>IF(E2235=0,"해당 없음",F2235/E2235)</x:f>
        <x:v>0.02857142857142857</x:v>
      </x:c>
      <x:c r="O2235" s="15" t="n">
        <x:f>IF(E2235=0,"해당 없음",G2235/E2235)</x:f>
        <x:v>0.09523809523809523</x:v>
      </x:c>
      <x:c r="P2235" s="15" t="n">
        <x:f>IF(E2235=0,"해당 없음",H2235/E2235)</x:f>
        <x:v>0.02857142857142857</x:v>
      </x:c>
      <x:c r="Q2235" s="15" t="n">
        <x:f>IF(E2235=0,"해당 없음",I2235/E2235)</x:f>
        <x:v>0.08571428571428572</x:v>
      </x:c>
      <x:c r="R2235" s="15" t="n">
        <x:f>IF(E2235=0,"해당 없음",J2235/E2235)</x:f>
        <x:v>0.02857142857142857</x:v>
      </x:c>
      <x:c r="S2235" s="15" t="n">
        <x:f>IF(E2235=0,"해당 없음",K2235/E2235)</x:f>
        <x:v>0.0380952380952381</x:v>
      </x:c>
      <x:c r="T2235" s="15" t="n">
        <x:f>IF(E2235=0,"해당 없음",L2235/E2235)</x:f>
        <x:v>0.38095238095238093</x:v>
      </x:c>
      <x:c r="U2235" s="15" t="n">
        <x:f>IF(E2235=0,"해당 없음",M2235/E2235)</x:f>
        <x:v>0.3142857142857143</x:v>
      </x:c>
      <x:c r="V2235" s="16" t="n">
        <x:f>E2235/5</x:f>
        <x:v>21</x:v>
      </x:c>
    </x:row>
    <x:row r="2236" ht="22" customHeight="1">
      <x:c r="A2236" s="2" t="n">
        <x:v>1116</x:v>
      </x:c>
      <x:c r="B2236" s="2" t="str">
        <x:v>RED</x:v>
      </x:c>
      <x:c r="C2236" s="2" t="str">
        <x:v>240만</x:v>
      </x:c>
      <x:c r="D2236" s="2" t="str">
        <x:v>200만</x:v>
      </x:c>
      <x:c r="E2236" s="14" t="n">
        <x:f>SUM(F2236:M2236)</x:f>
        <x:v>105</x:v>
      </x:c>
      <x:c r="F2236" s="14" t="n">
        <x:v>1</x:v>
      </x:c>
      <x:c r="G2236" s="14" t="n">
        <x:v>8</x:v>
      </x:c>
      <x:c r="H2236" s="14" t="n">
        <x:v>6</x:v>
      </x:c>
      <x:c r="I2236" s="14" t="n">
        <x:v>10</x:v>
      </x:c>
      <x:c r="J2236" s="14" t="n">
        <x:v>0</x:v>
      </x:c>
      <x:c r="K2236" s="14" t="n">
        <x:v>4</x:v>
      </x:c>
      <x:c r="L2236" s="14" t="n">
        <x:v>44</x:v>
      </x:c>
      <x:c r="M2236" s="14" t="n">
        <x:v>32</x:v>
      </x:c>
      <x:c r="N2236" s="15" t="n">
        <x:f>IF(E2236=0,"해당 없음",F2236/E2236)</x:f>
        <x:v>0.009523809523809525</x:v>
      </x:c>
      <x:c r="O2236" s="15" t="n">
        <x:f>IF(E2236=0,"해당 없음",G2236/E2236)</x:f>
        <x:v>0.0761904761904762</x:v>
      </x:c>
      <x:c r="P2236" s="15" t="n">
        <x:f>IF(E2236=0,"해당 없음",H2236/E2236)</x:f>
        <x:v>0.05714285714285714</x:v>
      </x:c>
      <x:c r="Q2236" s="15" t="n">
        <x:f>IF(E2236=0,"해당 없음",I2236/E2236)</x:f>
        <x:v>0.09523809523809523</x:v>
      </x:c>
      <x:c r="R2236" s="15" t="n">
        <x:f>IF(E2236=0,"해당 없음",J2236/E2236)</x:f>
        <x:v>0</x:v>
      </x:c>
      <x:c r="S2236" s="15" t="n">
        <x:f>IF(E2236=0,"해당 없음",K2236/E2236)</x:f>
        <x:v>0.0380952380952381</x:v>
      </x:c>
      <x:c r="T2236" s="15" t="n">
        <x:f>IF(E2236=0,"해당 없음",L2236/E2236)</x:f>
        <x:v>0.41904761904761906</x:v>
      </x:c>
      <x:c r="U2236" s="15" t="n">
        <x:f>IF(E2236=0,"해당 없음",M2236/E2236)</x:f>
        <x:v>0.3047619047619048</x:v>
      </x:c>
      <x:c r="V2236" s="16" t="n">
        <x:f>E2236/5</x:f>
        <x:v>21</x:v>
      </x:c>
    </x:row>
    <x:row r="2237" ht="22" customHeight="1">
      <x:c r="A2237" s="2" t="n">
        <x:v>1116</x:v>
      </x:c>
      <x:c r="B2237" s="2" t="str">
        <x:v>NAVY</x:v>
      </x:c>
      <x:c r="C2237" s="2" t="str">
        <x:v>200만</x:v>
      </x:c>
      <x:c r="D2237" s="2" t="str">
        <x:v>240만</x:v>
      </x:c>
      <x:c r="E2237" s="14" t="n">
        <x:f>SUM(F2237:M2237)</x:f>
        <x:v>103</x:v>
      </x:c>
      <x:c r="F2237" s="14" t="n">
        <x:v>6</x:v>
      </x:c>
      <x:c r="G2237" s="14" t="n">
        <x:v>17</x:v>
      </x:c>
      <x:c r="H2237" s="14" t="n">
        <x:v>1</x:v>
      </x:c>
      <x:c r="I2237" s="14" t="n">
        <x:v>3</x:v>
      </x:c>
      <x:c r="J2237" s="14" t="n">
        <x:v>5</x:v>
      </x:c>
      <x:c r="K2237" s="14" t="n">
        <x:v>2</x:v>
      </x:c>
      <x:c r="L2237" s="14" t="n">
        <x:v>35</x:v>
      </x:c>
      <x:c r="M2237" s="14" t="n">
        <x:v>34</x:v>
      </x:c>
      <x:c r="N2237" s="15" t="n">
        <x:f>IF(E2237=0,"해당 없음",F2237/E2237)</x:f>
        <x:v>0.05825242718446602</x:v>
      </x:c>
      <x:c r="O2237" s="15" t="n">
        <x:f>IF(E2237=0,"해당 없음",G2237/E2237)</x:f>
        <x:v>0.1650485436893204</x:v>
      </x:c>
      <x:c r="P2237" s="15" t="n">
        <x:f>IF(E2237=0,"해당 없음",H2237/E2237)</x:f>
        <x:v>0.009708737864077669</x:v>
      </x:c>
      <x:c r="Q2237" s="15" t="n">
        <x:f>IF(E2237=0,"해당 없음",I2237/E2237)</x:f>
        <x:v>0.02912621359223301</x:v>
      </x:c>
      <x:c r="R2237" s="15" t="n">
        <x:f>IF(E2237=0,"해당 없음",J2237/E2237)</x:f>
        <x:v>0.04854368932038835</x:v>
      </x:c>
      <x:c r="S2237" s="15" t="n">
        <x:f>IF(E2237=0,"해당 없음",K2237/E2237)</x:f>
        <x:v>0.019417475728155338</x:v>
      </x:c>
      <x:c r="T2237" s="15" t="n">
        <x:f>IF(E2237=0,"해당 없음",L2237/E2237)</x:f>
        <x:v>0.33980582524271846</x:v>
      </x:c>
      <x:c r="U2237" s="15" t="n">
        <x:f>IF(E2237=0,"해당 없음",M2237/E2237)</x:f>
        <x:v>0.3300970873786408</x:v>
      </x:c>
      <x:c r="V2237" s="16" t="n">
        <x:f>E2237/5</x:f>
        <x:v>20.6</x:v>
      </x:c>
    </x:row>
    <x:row r="2238" ht="22" customHeight="1">
      <x:c r="A2238" s="2" t="n">
        <x:v>1117</x:v>
      </x:c>
      <x:c r="B2238" s="2" t="str">
        <x:v>RED</x:v>
      </x:c>
      <x:c r="C2238" s="2" t="str">
        <x:v>200만</x:v>
      </x:c>
      <x:c r="D2238" s="2" t="str">
        <x:v>240만</x:v>
      </x:c>
      <x:c r="E2238" s="14" t="n">
        <x:f>SUM(F2238:M2238)</x:f>
        <x:v>106</x:v>
      </x:c>
      <x:c r="F2238" s="14" t="n">
        <x:v>6</x:v>
      </x:c>
      <x:c r="G2238" s="14" t="n">
        <x:v>14</x:v>
      </x:c>
      <x:c r="H2238" s="14" t="n">
        <x:v>4</x:v>
      </x:c>
      <x:c r="I2238" s="14" t="n">
        <x:v>6</x:v>
      </x:c>
      <x:c r="J2238" s="14" t="n">
        <x:v>3</x:v>
      </x:c>
      <x:c r="K2238" s="14" t="n">
        <x:v>12</x:v>
      </x:c>
      <x:c r="L2238" s="14" t="n">
        <x:v>35</x:v>
      </x:c>
      <x:c r="M2238" s="14" t="n">
        <x:v>26</x:v>
      </x:c>
      <x:c r="N2238" s="15" t="n">
        <x:f>IF(E2238=0,"해당 없음",F2238/E2238)</x:f>
        <x:v>0.05660377358490566</x:v>
      </x:c>
      <x:c r="O2238" s="15" t="n">
        <x:f>IF(E2238=0,"해당 없음",G2238/E2238)</x:f>
        <x:v>0.1320754716981132</x:v>
      </x:c>
      <x:c r="P2238" s="15" t="n">
        <x:f>IF(E2238=0,"해당 없음",H2238/E2238)</x:f>
        <x:v>0.03773584905660377</x:v>
      </x:c>
      <x:c r="Q2238" s="15" t="n">
        <x:f>IF(E2238=0,"해당 없음",I2238/E2238)</x:f>
        <x:v>0.05660377358490566</x:v>
      </x:c>
      <x:c r="R2238" s="15" t="n">
        <x:f>IF(E2238=0,"해당 없음",J2238/E2238)</x:f>
        <x:v>0.02830188679245283</x:v>
      </x:c>
      <x:c r="S2238" s="15" t="n">
        <x:f>IF(E2238=0,"해당 없음",K2238/E2238)</x:f>
        <x:v>0.11320754716981132</x:v>
      </x:c>
      <x:c r="T2238" s="15" t="n">
        <x:f>IF(E2238=0,"해당 없음",L2238/E2238)</x:f>
        <x:v>0.330188679245283</x:v>
      </x:c>
      <x:c r="U2238" s="15" t="n">
        <x:f>IF(E2238=0,"해당 없음",M2238/E2238)</x:f>
        <x:v>0.24528301886792453</x:v>
      </x:c>
      <x:c r="V2238" s="16" t="n">
        <x:f>E2238/5</x:f>
        <x:v>21.2</x:v>
      </x:c>
    </x:row>
    <x:row r="2239" ht="22" customHeight="1">
      <x:c r="A2239" s="2" t="n">
        <x:v>1117</x:v>
      </x:c>
      <x:c r="B2239" s="2" t="str">
        <x:v>NAVY</x:v>
      </x:c>
      <x:c r="C2239" s="2" t="str">
        <x:v>240만</x:v>
      </x:c>
      <x:c r="D2239" s="2" t="str">
        <x:v>200만</x:v>
      </x:c>
      <x:c r="E2239" s="14" t="n">
        <x:f>SUM(F2239:M2239)</x:f>
        <x:v>105</x:v>
      </x:c>
      <x:c r="F2239" s="14" t="n">
        <x:v>1</x:v>
      </x:c>
      <x:c r="G2239" s="14" t="n">
        <x:v>8</x:v>
      </x:c>
      <x:c r="H2239" s="14" t="n">
        <x:v>3</x:v>
      </x:c>
      <x:c r="I2239" s="14" t="n">
        <x:v>5</x:v>
      </x:c>
      <x:c r="J2239" s="14" t="n">
        <x:v>4</x:v>
      </x:c>
      <x:c r="K2239" s="14" t="n">
        <x:v>3</x:v>
      </x:c>
      <x:c r="L2239" s="14" t="n">
        <x:v>40</x:v>
      </x:c>
      <x:c r="M2239" s="14" t="n">
        <x:v>41</x:v>
      </x:c>
      <x:c r="N2239" s="15" t="n">
        <x:f>IF(E2239=0,"해당 없음",F2239/E2239)</x:f>
        <x:v>0.009523809523809525</x:v>
      </x:c>
      <x:c r="O2239" s="15" t="n">
        <x:f>IF(E2239=0,"해당 없음",G2239/E2239)</x:f>
        <x:v>0.0761904761904762</x:v>
      </x:c>
      <x:c r="P2239" s="15" t="n">
        <x:f>IF(E2239=0,"해당 없음",H2239/E2239)</x:f>
        <x:v>0.02857142857142857</x:v>
      </x:c>
      <x:c r="Q2239" s="15" t="n">
        <x:f>IF(E2239=0,"해당 없음",I2239/E2239)</x:f>
        <x:v>0.047619047619047616</x:v>
      </x:c>
      <x:c r="R2239" s="15" t="n">
        <x:f>IF(E2239=0,"해당 없음",J2239/E2239)</x:f>
        <x:v>0.0380952380952381</x:v>
      </x:c>
      <x:c r="S2239" s="15" t="n">
        <x:f>IF(E2239=0,"해당 없음",K2239/E2239)</x:f>
        <x:v>0.02857142857142857</x:v>
      </x:c>
      <x:c r="T2239" s="15" t="n">
        <x:f>IF(E2239=0,"해당 없음",L2239/E2239)</x:f>
        <x:v>0.38095238095238093</x:v>
      </x:c>
      <x:c r="U2239" s="15" t="n">
        <x:f>IF(E2239=0,"해당 없음",M2239/E2239)</x:f>
        <x:v>0.3904761904761905</x:v>
      </x:c>
      <x:c r="V2239" s="16" t="n">
        <x:f>E2239/5</x:f>
        <x:v>21</x:v>
      </x:c>
    </x:row>
    <x:row r="2240" ht="22" customHeight="1">
      <x:c r="A2240" s="2" t="n">
        <x:v>1118</x:v>
      </x:c>
      <x:c r="B2240" s="2" t="str">
        <x:v>RED</x:v>
      </x:c>
      <x:c r="C2240" s="2" t="str">
        <x:v>240만</x:v>
      </x:c>
      <x:c r="D2240" s="2" t="str">
        <x:v>200만</x:v>
      </x:c>
      <x:c r="E2240" s="14" t="n">
        <x:f>SUM(F2240:M2240)</x:f>
        <x:v>105</x:v>
      </x:c>
      <x:c r="F2240" s="14" t="n">
        <x:v>1</x:v>
      </x:c>
      <x:c r="G2240" s="14" t="n">
        <x:v>13</x:v>
      </x:c>
      <x:c r="H2240" s="14" t="n">
        <x:v>6</x:v>
      </x:c>
      <x:c r="I2240" s="14" t="n">
        <x:v>8</x:v>
      </x:c>
      <x:c r="J2240" s="14" t="n">
        <x:v>0</x:v>
      </x:c>
      <x:c r="K2240" s="14" t="n">
        <x:v>4</x:v>
      </x:c>
      <x:c r="L2240" s="14" t="n">
        <x:v>42</x:v>
      </x:c>
      <x:c r="M2240" s="14" t="n">
        <x:v>31</x:v>
      </x:c>
      <x:c r="N2240" s="15" t="n">
        <x:f>IF(E2240=0,"해당 없음",F2240/E2240)</x:f>
        <x:v>0.009523809523809525</x:v>
      </x:c>
      <x:c r="O2240" s="15" t="n">
        <x:f>IF(E2240=0,"해당 없음",G2240/E2240)</x:f>
        <x:v>0.12380952380952381</x:v>
      </x:c>
      <x:c r="P2240" s="15" t="n">
        <x:f>IF(E2240=0,"해당 없음",H2240/E2240)</x:f>
        <x:v>0.05714285714285714</x:v>
      </x:c>
      <x:c r="Q2240" s="15" t="n">
        <x:f>IF(E2240=0,"해당 없음",I2240/E2240)</x:f>
        <x:v>0.0761904761904762</x:v>
      </x:c>
      <x:c r="R2240" s="15" t="n">
        <x:f>IF(E2240=0,"해당 없음",J2240/E2240)</x:f>
        <x:v>0</x:v>
      </x:c>
      <x:c r="S2240" s="15" t="n">
        <x:f>IF(E2240=0,"해당 없음",K2240/E2240)</x:f>
        <x:v>0.0380952380952381</x:v>
      </x:c>
      <x:c r="T2240" s="15" t="n">
        <x:f>IF(E2240=0,"해당 없음",L2240/E2240)</x:f>
        <x:v>0.4</x:v>
      </x:c>
      <x:c r="U2240" s="15" t="n">
        <x:f>IF(E2240=0,"해당 없음",M2240/E2240)</x:f>
        <x:v>0.29523809523809524</x:v>
      </x:c>
      <x:c r="V2240" s="16" t="n">
        <x:f>E2240/5</x:f>
        <x:v>21</x:v>
      </x:c>
    </x:row>
    <x:row r="2241" ht="22" customHeight="1">
      <x:c r="A2241" s="2" t="n">
        <x:v>1118</x:v>
      </x:c>
      <x:c r="B2241" s="2" t="str">
        <x:v>NAVY</x:v>
      </x:c>
      <x:c r="C2241" s="2" t="str">
        <x:v>200만</x:v>
      </x:c>
      <x:c r="D2241" s="2" t="str">
        <x:v>240만</x:v>
      </x:c>
      <x:c r="E2241" s="14" t="n">
        <x:f>SUM(F2241:M2241)</x:f>
        <x:v>103</x:v>
      </x:c>
      <x:c r="F2241" s="14" t="n">
        <x:v>8</x:v>
      </x:c>
      <x:c r="G2241" s="14" t="n">
        <x:v>10</x:v>
      </x:c>
      <x:c r="H2241" s="14" t="n">
        <x:v>3</x:v>
      </x:c>
      <x:c r="I2241" s="14" t="n">
        <x:v>2</x:v>
      </x:c>
      <x:c r="J2241" s="14" t="n">
        <x:v>8</x:v>
      </x:c>
      <x:c r="K2241" s="14" t="n">
        <x:v>1</x:v>
      </x:c>
      <x:c r="L2241" s="14" t="n">
        <x:v>34</x:v>
      </x:c>
      <x:c r="M2241" s="14" t="n">
        <x:v>37</x:v>
      </x:c>
      <x:c r="N2241" s="15" t="n">
        <x:f>IF(E2241=0,"해당 없음",F2241/E2241)</x:f>
        <x:v>0.07766990291262135</x:v>
      </x:c>
      <x:c r="O2241" s="15" t="n">
        <x:f>IF(E2241=0,"해당 없음",G2241/E2241)</x:f>
        <x:v>0.0970873786407767</x:v>
      </x:c>
      <x:c r="P2241" s="15" t="n">
        <x:f>IF(E2241=0,"해당 없음",H2241/E2241)</x:f>
        <x:v>0.02912621359223301</x:v>
      </x:c>
      <x:c r="Q2241" s="15" t="n">
        <x:f>IF(E2241=0,"해당 없음",I2241/E2241)</x:f>
        <x:v>0.019417475728155338</x:v>
      </x:c>
      <x:c r="R2241" s="15" t="n">
        <x:f>IF(E2241=0,"해당 없음",J2241/E2241)</x:f>
        <x:v>0.07766990291262135</x:v>
      </x:c>
      <x:c r="S2241" s="15" t="n">
        <x:f>IF(E2241=0,"해당 없음",K2241/E2241)</x:f>
        <x:v>0.009708737864077669</x:v>
      </x:c>
      <x:c r="T2241" s="15" t="n">
        <x:f>IF(E2241=0,"해당 없음",L2241/E2241)</x:f>
        <x:v>0.3300970873786408</x:v>
      </x:c>
      <x:c r="U2241" s="15" t="n">
        <x:f>IF(E2241=0,"해당 없음",M2241/E2241)</x:f>
        <x:v>0.3592233009708738</x:v>
      </x:c>
      <x:c r="V2241" s="16" t="n">
        <x:f>E2241/5</x:f>
        <x:v>20.6</x:v>
      </x:c>
    </x:row>
    <x:row r="2242" ht="22" customHeight="1">
      <x:c r="A2242" s="2" t="n">
        <x:v>1119</x:v>
      </x:c>
      <x:c r="B2242" s="2" t="str">
        <x:v>RED</x:v>
      </x:c>
      <x:c r="C2242" s="2" t="str">
        <x:v>200만</x:v>
      </x:c>
      <x:c r="D2242" s="2" t="str">
        <x:v>240만</x:v>
      </x:c>
      <x:c r="E2242" s="14" t="n">
        <x:f>SUM(F2242:M2242)</x:f>
        <x:v>104</x:v>
      </x:c>
      <x:c r="F2242" s="14" t="n">
        <x:v>4</x:v>
      </x:c>
      <x:c r="G2242" s="14" t="n">
        <x:v>24</x:v>
      </x:c>
      <x:c r="H2242" s="14" t="n">
        <x:v>6</x:v>
      </x:c>
      <x:c r="I2242" s="14" t="n">
        <x:v>1</x:v>
      </x:c>
      <x:c r="J2242" s="14" t="n">
        <x:v>2</x:v>
      </x:c>
      <x:c r="K2242" s="14" t="n">
        <x:v>6</x:v>
      </x:c>
      <x:c r="L2242" s="14" t="n">
        <x:v>39</x:v>
      </x:c>
      <x:c r="M2242" s="14" t="n">
        <x:v>22</x:v>
      </x:c>
      <x:c r="N2242" s="15" t="n">
        <x:f>IF(E2242=0,"해당 없음",F2242/E2242)</x:f>
        <x:v>0.038461538461538464</x:v>
      </x:c>
      <x:c r="O2242" s="15" t="n">
        <x:f>IF(E2242=0,"해당 없음",G2242/E2242)</x:f>
        <x:v>0.23076923076923078</x:v>
      </x:c>
      <x:c r="P2242" s="15" t="n">
        <x:f>IF(E2242=0,"해당 없음",H2242/E2242)</x:f>
        <x:v>0.057692307692307696</x:v>
      </x:c>
      <x:c r="Q2242" s="15" t="n">
        <x:f>IF(E2242=0,"해당 없음",I2242/E2242)</x:f>
        <x:v>0.009615384615384616</x:v>
      </x:c>
      <x:c r="R2242" s="15" t="n">
        <x:f>IF(E2242=0,"해당 없음",J2242/E2242)</x:f>
        <x:v>0.019230769230769232</x:v>
      </x:c>
      <x:c r="S2242" s="15" t="n">
        <x:f>IF(E2242=0,"해당 없음",K2242/E2242)</x:f>
        <x:v>0.057692307692307696</x:v>
      </x:c>
      <x:c r="T2242" s="15" t="n">
        <x:f>IF(E2242=0,"해당 없음",L2242/E2242)</x:f>
        <x:v>0.375</x:v>
      </x:c>
      <x:c r="U2242" s="15" t="n">
        <x:f>IF(E2242=0,"해당 없음",M2242/E2242)</x:f>
        <x:v>0.21153846153846154</x:v>
      </x:c>
      <x:c r="V2242" s="16" t="n">
        <x:f>E2242/5</x:f>
        <x:v>20.8</x:v>
      </x:c>
    </x:row>
    <x:row r="2243" ht="22" customHeight="1">
      <x:c r="A2243" s="2" t="n">
        <x:v>1119</x:v>
      </x:c>
      <x:c r="B2243" s="2" t="str">
        <x:v>NAVY</x:v>
      </x:c>
      <x:c r="C2243" s="2" t="str">
        <x:v>240만</x:v>
      </x:c>
      <x:c r="D2243" s="2" t="str">
        <x:v>200만</x:v>
      </x:c>
      <x:c r="E2243" s="14" t="n">
        <x:f>SUM(F2243:M2243)</x:f>
        <x:v>106</x:v>
      </x:c>
      <x:c r="F2243" s="14" t="n">
        <x:v>2</x:v>
      </x:c>
      <x:c r="G2243" s="14" t="n">
        <x:v>6</x:v>
      </x:c>
      <x:c r="H2243" s="14" t="n">
        <x:v>1</x:v>
      </x:c>
      <x:c r="I2243" s="14" t="n">
        <x:v>5</x:v>
      </x:c>
      <x:c r="J2243" s="14" t="n">
        <x:v>6</x:v>
      </x:c>
      <x:c r="K2243" s="14" t="n">
        <x:v>1</x:v>
      </x:c>
      <x:c r="L2243" s="14" t="n">
        <x:v>43</x:v>
      </x:c>
      <x:c r="M2243" s="14" t="n">
        <x:v>42</x:v>
      </x:c>
      <x:c r="N2243" s="15" t="n">
        <x:f>IF(E2243=0,"해당 없음",F2243/E2243)</x:f>
        <x:v>0.018867924528301886</x:v>
      </x:c>
      <x:c r="O2243" s="15" t="n">
        <x:f>IF(E2243=0,"해당 없음",G2243/E2243)</x:f>
        <x:v>0.05660377358490566</x:v>
      </x:c>
      <x:c r="P2243" s="15" t="n">
        <x:f>IF(E2243=0,"해당 없음",H2243/E2243)</x:f>
        <x:v>0.009433962264150943</x:v>
      </x:c>
      <x:c r="Q2243" s="15" t="n">
        <x:f>IF(E2243=0,"해당 없음",I2243/E2243)</x:f>
        <x:v>0.04716981132075472</x:v>
      </x:c>
      <x:c r="R2243" s="15" t="n">
        <x:f>IF(E2243=0,"해당 없음",J2243/E2243)</x:f>
        <x:v>0.05660377358490566</x:v>
      </x:c>
      <x:c r="S2243" s="15" t="n">
        <x:f>IF(E2243=0,"해당 없음",K2243/E2243)</x:f>
        <x:v>0.009433962264150943</x:v>
      </x:c>
      <x:c r="T2243" s="15" t="n">
        <x:f>IF(E2243=0,"해당 없음",L2243/E2243)</x:f>
        <x:v>0.4056603773584906</x:v>
      </x:c>
      <x:c r="U2243" s="15" t="n">
        <x:f>IF(E2243=0,"해당 없음",M2243/E2243)</x:f>
        <x:v>0.39622641509433965</x:v>
      </x:c>
      <x:c r="V2243" s="16" t="n">
        <x:f>E2243/5</x:f>
        <x:v>21.2</x:v>
      </x:c>
    </x:row>
    <x:row r="2244" ht="22" customHeight="1">
      <x:c r="A2244" s="2" t="n">
        <x:v>1120</x:v>
      </x:c>
      <x:c r="B2244" s="2" t="str">
        <x:v>RED</x:v>
      </x:c>
      <x:c r="C2244" s="2" t="str">
        <x:v>240만</x:v>
      </x:c>
      <x:c r="D2244" s="2" t="str">
        <x:v>200만</x:v>
      </x:c>
      <x:c r="E2244" s="14" t="n">
        <x:f>SUM(F2244:M2244)</x:f>
        <x:v>101</x:v>
      </x:c>
      <x:c r="F2244" s="14" t="n">
        <x:v>1</x:v>
      </x:c>
      <x:c r="G2244" s="14" t="n">
        <x:v>7</x:v>
      </x:c>
      <x:c r="H2244" s="14" t="n">
        <x:v>6</x:v>
      </x:c>
      <x:c r="I2244" s="14" t="n">
        <x:v>5</x:v>
      </x:c>
      <x:c r="J2244" s="14" t="n">
        <x:v>0</x:v>
      </x:c>
      <x:c r="K2244" s="14" t="n">
        <x:v>4</x:v>
      </x:c>
      <x:c r="L2244" s="14" t="n">
        <x:v>37</x:v>
      </x:c>
      <x:c r="M2244" s="14" t="n">
        <x:v>41</x:v>
      </x:c>
      <x:c r="N2244" s="15" t="n">
        <x:f>IF(E2244=0,"해당 없음",F2244/E2244)</x:f>
        <x:v>0.009900990099009901</x:v>
      </x:c>
      <x:c r="O2244" s="15" t="n">
        <x:f>IF(E2244=0,"해당 없음",G2244/E2244)</x:f>
        <x:v>0.06930693069306931</x:v>
      </x:c>
      <x:c r="P2244" s="15" t="n">
        <x:f>IF(E2244=0,"해당 없음",H2244/E2244)</x:f>
        <x:v>0.0594059405940594</x:v>
      </x:c>
      <x:c r="Q2244" s="15" t="n">
        <x:f>IF(E2244=0,"해당 없음",I2244/E2244)</x:f>
        <x:v>0.04950495049504951</x:v>
      </x:c>
      <x:c r="R2244" s="15" t="n">
        <x:f>IF(E2244=0,"해당 없음",J2244/E2244)</x:f>
        <x:v>0</x:v>
      </x:c>
      <x:c r="S2244" s="15" t="n">
        <x:f>IF(E2244=0,"해당 없음",K2244/E2244)</x:f>
        <x:v>0.039603960396039604</x:v>
      </x:c>
      <x:c r="T2244" s="15" t="n">
        <x:f>IF(E2244=0,"해당 없음",L2244/E2244)</x:f>
        <x:v>0.36633663366336633</x:v>
      </x:c>
      <x:c r="U2244" s="15" t="n">
        <x:f>IF(E2244=0,"해당 없음",M2244/E2244)</x:f>
        <x:v>0.40594059405940597</x:v>
      </x:c>
      <x:c r="V2244" s="16" t="n">
        <x:f>E2244/5</x:f>
        <x:v>20.2</x:v>
      </x:c>
    </x:row>
    <x:row r="2245" ht="22" customHeight="1">
      <x:c r="A2245" s="2" t="n">
        <x:v>1120</x:v>
      </x:c>
      <x:c r="B2245" s="2" t="str">
        <x:v>NAVY</x:v>
      </x:c>
      <x:c r="C2245" s="2" t="str">
        <x:v>200만</x:v>
      </x:c>
      <x:c r="D2245" s="2" t="str">
        <x:v>240만</x:v>
      </x:c>
      <x:c r="E2245" s="14" t="n">
        <x:f>SUM(F2245:M2245)</x:f>
        <x:v>103</x:v>
      </x:c>
      <x:c r="F2245" s="14" t="n">
        <x:v>5</x:v>
      </x:c>
      <x:c r="G2245" s="14" t="n">
        <x:v>14</x:v>
      </x:c>
      <x:c r="H2245" s="14" t="n">
        <x:v>2</x:v>
      </x:c>
      <x:c r="I2245" s="14" t="n">
        <x:v>2</x:v>
      </x:c>
      <x:c r="J2245" s="14" t="n">
        <x:v>5</x:v>
      </x:c>
      <x:c r="K2245" s="14" t="n">
        <x:v>2</x:v>
      </x:c>
      <x:c r="L2245" s="14" t="n">
        <x:v>39</x:v>
      </x:c>
      <x:c r="M2245" s="14" t="n">
        <x:v>34</x:v>
      </x:c>
      <x:c r="N2245" s="15" t="n">
        <x:f>IF(E2245=0,"해당 없음",F2245/E2245)</x:f>
        <x:v>0.04854368932038835</x:v>
      </x:c>
      <x:c r="O2245" s="15" t="n">
        <x:f>IF(E2245=0,"해당 없음",G2245/E2245)</x:f>
        <x:v>0.13592233009708737</x:v>
      </x:c>
      <x:c r="P2245" s="15" t="n">
        <x:f>IF(E2245=0,"해당 없음",H2245/E2245)</x:f>
        <x:v>0.019417475728155338</x:v>
      </x:c>
      <x:c r="Q2245" s="15" t="n">
        <x:f>IF(E2245=0,"해당 없음",I2245/E2245)</x:f>
        <x:v>0.019417475728155338</x:v>
      </x:c>
      <x:c r="R2245" s="15" t="n">
        <x:f>IF(E2245=0,"해당 없음",J2245/E2245)</x:f>
        <x:v>0.04854368932038835</x:v>
      </x:c>
      <x:c r="S2245" s="15" t="n">
        <x:f>IF(E2245=0,"해당 없음",K2245/E2245)</x:f>
        <x:v>0.019417475728155338</x:v>
      </x:c>
      <x:c r="T2245" s="15" t="n">
        <x:f>IF(E2245=0,"해당 없음",L2245/E2245)</x:f>
        <x:v>0.3786407766990291</x:v>
      </x:c>
      <x:c r="U2245" s="15" t="n">
        <x:f>IF(E2245=0,"해당 없음",M2245/E2245)</x:f>
        <x:v>0.3300970873786408</x:v>
      </x:c>
      <x:c r="V2245" s="16" t="n">
        <x:f>E2245/5</x:f>
        <x:v>20.6</x:v>
      </x:c>
    </x:row>
  </x:sheetData>
  <x:pageMargins left="0.7" right="0.7" top="0.75" bottom="0.75" header="0.3" footer="0.3"/>
  <x:tableParts count="1">
    <x:tablePart xmlns:r="http://schemas.openxmlformats.org/officeDocument/2006/relationships" r:id="Rc307e6b434764509"/>
  </x:tableParts>
</x:worksheet>
</file>